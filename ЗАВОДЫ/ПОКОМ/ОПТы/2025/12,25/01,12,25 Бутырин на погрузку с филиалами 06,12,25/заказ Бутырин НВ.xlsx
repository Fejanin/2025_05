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12126D45-49CD-4E5E-9FDA-8315368EC56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O481" i="1"/>
  <c r="BM481" i="1"/>
  <c r="Y481" i="1"/>
  <c r="BP481" i="1" s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W499" i="1" s="1"/>
  <c r="P415" i="1"/>
  <c r="X412" i="1"/>
  <c r="X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BP408" i="1" s="1"/>
  <c r="P408" i="1"/>
  <c r="BP407" i="1"/>
  <c r="BO407" i="1"/>
  <c r="BN407" i="1"/>
  <c r="BM407" i="1"/>
  <c r="Z407" i="1"/>
  <c r="Y407" i="1"/>
  <c r="Y411" i="1" s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Y400" i="1" s="1"/>
  <c r="P397" i="1"/>
  <c r="X395" i="1"/>
  <c r="X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U499" i="1" s="1"/>
  <c r="P385" i="1"/>
  <c r="X381" i="1"/>
  <c r="X380" i="1"/>
  <c r="BO379" i="1"/>
  <c r="BM379" i="1"/>
  <c r="Y379" i="1"/>
  <c r="BP379" i="1" s="1"/>
  <c r="BO378" i="1"/>
  <c r="BM378" i="1"/>
  <c r="Y378" i="1"/>
  <c r="BP378" i="1" s="1"/>
  <c r="P378" i="1"/>
  <c r="BP377" i="1"/>
  <c r="BO377" i="1"/>
  <c r="BN377" i="1"/>
  <c r="BM377" i="1"/>
  <c r="Z377" i="1"/>
  <c r="Y377" i="1"/>
  <c r="Y380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Y375" i="1" s="1"/>
  <c r="P372" i="1"/>
  <c r="X370" i="1"/>
  <c r="X369" i="1"/>
  <c r="BO368" i="1"/>
  <c r="BM368" i="1"/>
  <c r="Y368" i="1"/>
  <c r="BP368" i="1" s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Y360" i="1" s="1"/>
  <c r="P357" i="1"/>
  <c r="X355" i="1"/>
  <c r="X354" i="1"/>
  <c r="BO353" i="1"/>
  <c r="BM353" i="1"/>
  <c r="Y353" i="1"/>
  <c r="BP353" i="1" s="1"/>
  <c r="P353" i="1"/>
  <c r="BP352" i="1"/>
  <c r="BO352" i="1"/>
  <c r="BN352" i="1"/>
  <c r="BM352" i="1"/>
  <c r="Z352" i="1"/>
  <c r="Y352" i="1"/>
  <c r="Y354" i="1" s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P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BP343" i="1" s="1"/>
  <c r="P343" i="1"/>
  <c r="BP342" i="1"/>
  <c r="BO342" i="1"/>
  <c r="BN342" i="1"/>
  <c r="BM342" i="1"/>
  <c r="Z342" i="1"/>
  <c r="Y342" i="1"/>
  <c r="P342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BP328" i="1" s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Y325" i="1" s="1"/>
  <c r="P320" i="1"/>
  <c r="X318" i="1"/>
  <c r="X317" i="1"/>
  <c r="BO316" i="1"/>
  <c r="BM316" i="1"/>
  <c r="Y316" i="1"/>
  <c r="BP316" i="1" s="1"/>
  <c r="P316" i="1"/>
  <c r="BP315" i="1"/>
  <c r="BO315" i="1"/>
  <c r="BN315" i="1"/>
  <c r="BM315" i="1"/>
  <c r="Z315" i="1"/>
  <c r="Y315" i="1"/>
  <c r="P315" i="1"/>
  <c r="BO314" i="1"/>
  <c r="BM314" i="1"/>
  <c r="Y314" i="1"/>
  <c r="Y317" i="1" s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Y311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BP246" i="1" s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K499" i="1" s="1"/>
  <c r="P224" i="1"/>
  <c r="X221" i="1"/>
  <c r="X220" i="1"/>
  <c r="BO219" i="1"/>
  <c r="BM219" i="1"/>
  <c r="Y219" i="1"/>
  <c r="BP219" i="1" s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BO195" i="1"/>
  <c r="BM195" i="1"/>
  <c r="Y195" i="1"/>
  <c r="Y204" i="1" s="1"/>
  <c r="P195" i="1"/>
  <c r="X193" i="1"/>
  <c r="X192" i="1"/>
  <c r="BO191" i="1"/>
  <c r="BM191" i="1"/>
  <c r="Y191" i="1"/>
  <c r="BP191" i="1" s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J499" i="1" s="1"/>
  <c r="P185" i="1"/>
  <c r="X182" i="1"/>
  <c r="X181" i="1"/>
  <c r="BO180" i="1"/>
  <c r="BM180" i="1"/>
  <c r="Y180" i="1"/>
  <c r="Y181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77" i="1" s="1"/>
  <c r="P174" i="1"/>
  <c r="X172" i="1"/>
  <c r="X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P162" i="1"/>
  <c r="BO161" i="1"/>
  <c r="BM161" i="1"/>
  <c r="Y161" i="1"/>
  <c r="Y171" i="1" s="1"/>
  <c r="P161" i="1"/>
  <c r="X159" i="1"/>
  <c r="X158" i="1"/>
  <c r="BO157" i="1"/>
  <c r="BM157" i="1"/>
  <c r="Y157" i="1"/>
  <c r="I499" i="1" s="1"/>
  <c r="P157" i="1"/>
  <c r="X153" i="1"/>
  <c r="X152" i="1"/>
  <c r="BO151" i="1"/>
  <c r="BM151" i="1"/>
  <c r="Y151" i="1"/>
  <c r="Y152" i="1" s="1"/>
  <c r="P151" i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9" i="1" s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489" i="1" s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F10" i="1" s="1"/>
  <c r="D7" i="1"/>
  <c r="Q6" i="1"/>
  <c r="P2" i="1"/>
  <c r="Z69" i="1" l="1"/>
  <c r="Z131" i="1"/>
  <c r="Z192" i="1"/>
  <c r="Z88" i="1"/>
  <c r="H9" i="1"/>
  <c r="A1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3" i="1"/>
  <c r="Y159" i="1"/>
  <c r="Y172" i="1"/>
  <c r="Y178" i="1"/>
  <c r="Y182" i="1"/>
  <c r="Y187" i="1"/>
  <c r="Y193" i="1"/>
  <c r="Y203" i="1"/>
  <c r="Y215" i="1"/>
  <c r="Y221" i="1"/>
  <c r="Y234" i="1"/>
  <c r="Y250" i="1"/>
  <c r="M499" i="1"/>
  <c r="Y268" i="1"/>
  <c r="BP263" i="1"/>
  <c r="BN263" i="1"/>
  <c r="Z263" i="1"/>
  <c r="Y267" i="1"/>
  <c r="BP272" i="1"/>
  <c r="BN272" i="1"/>
  <c r="Z272" i="1"/>
  <c r="Z274" i="1" s="1"/>
  <c r="BP290" i="1"/>
  <c r="BN290" i="1"/>
  <c r="Z290" i="1"/>
  <c r="Z294" i="1" s="1"/>
  <c r="Y294" i="1"/>
  <c r="BP298" i="1"/>
  <c r="BN298" i="1"/>
  <c r="Z298" i="1"/>
  <c r="BP302" i="1"/>
  <c r="BN302" i="1"/>
  <c r="Z302" i="1"/>
  <c r="BP310" i="1"/>
  <c r="BN310" i="1"/>
  <c r="Z310" i="1"/>
  <c r="Z330" i="1"/>
  <c r="Z369" i="1"/>
  <c r="F9" i="1"/>
  <c r="J9" i="1"/>
  <c r="Z22" i="1"/>
  <c r="Z23" i="1" s="1"/>
  <c r="BN22" i="1"/>
  <c r="BP22" i="1"/>
  <c r="Y23" i="1"/>
  <c r="Z26" i="1"/>
  <c r="Z31" i="1" s="1"/>
  <c r="BN26" i="1"/>
  <c r="BP26" i="1"/>
  <c r="Z28" i="1"/>
  <c r="BN28" i="1"/>
  <c r="Z30" i="1"/>
  <c r="BN30" i="1"/>
  <c r="Z34" i="1"/>
  <c r="Z35" i="1" s="1"/>
  <c r="BN34" i="1"/>
  <c r="BP34" i="1"/>
  <c r="Z40" i="1"/>
  <c r="Z43" i="1" s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Z63" i="1" s="1"/>
  <c r="BN61" i="1"/>
  <c r="Z67" i="1"/>
  <c r="BN67" i="1"/>
  <c r="Z73" i="1"/>
  <c r="Z76" i="1" s="1"/>
  <c r="BN73" i="1"/>
  <c r="Z75" i="1"/>
  <c r="BN75" i="1"/>
  <c r="Z79" i="1"/>
  <c r="Z81" i="1" s="1"/>
  <c r="BN79" i="1"/>
  <c r="BP79" i="1"/>
  <c r="E499" i="1"/>
  <c r="Z86" i="1"/>
  <c r="BN86" i="1"/>
  <c r="Y89" i="1"/>
  <c r="Z92" i="1"/>
  <c r="Z95" i="1" s="1"/>
  <c r="BN92" i="1"/>
  <c r="Z94" i="1"/>
  <c r="BN94" i="1"/>
  <c r="Z99" i="1"/>
  <c r="Z103" i="1" s="1"/>
  <c r="BN99" i="1"/>
  <c r="BP99" i="1"/>
  <c r="Z101" i="1"/>
  <c r="BN101" i="1"/>
  <c r="Y104" i="1"/>
  <c r="Z107" i="1"/>
  <c r="Z109" i="1" s="1"/>
  <c r="BN107" i="1"/>
  <c r="Z113" i="1"/>
  <c r="Z116" i="1" s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BN130" i="1"/>
  <c r="Z134" i="1"/>
  <c r="Z136" i="1" s="1"/>
  <c r="BN134" i="1"/>
  <c r="BP134" i="1"/>
  <c r="H499" i="1"/>
  <c r="Z141" i="1"/>
  <c r="Z142" i="1" s="1"/>
  <c r="BN141" i="1"/>
  <c r="Y142" i="1"/>
  <c r="Z145" i="1"/>
  <c r="Z148" i="1" s="1"/>
  <c r="BN145" i="1"/>
  <c r="BP145" i="1"/>
  <c r="Z147" i="1"/>
  <c r="BN147" i="1"/>
  <c r="Z151" i="1"/>
  <c r="Z152" i="1" s="1"/>
  <c r="BN151" i="1"/>
  <c r="BP151" i="1"/>
  <c r="Z157" i="1"/>
  <c r="Z158" i="1" s="1"/>
  <c r="BN157" i="1"/>
  <c r="BP157" i="1"/>
  <c r="Y158" i="1"/>
  <c r="Z161" i="1"/>
  <c r="Z171" i="1" s="1"/>
  <c r="BN161" i="1"/>
  <c r="BP161" i="1"/>
  <c r="Z163" i="1"/>
  <c r="BN163" i="1"/>
  <c r="Z166" i="1"/>
  <c r="BN166" i="1"/>
  <c r="Z168" i="1"/>
  <c r="BN168" i="1"/>
  <c r="Z170" i="1"/>
  <c r="BN170" i="1"/>
  <c r="Z174" i="1"/>
  <c r="BN174" i="1"/>
  <c r="BP174" i="1"/>
  <c r="Z176" i="1"/>
  <c r="BN176" i="1"/>
  <c r="Z180" i="1"/>
  <c r="Z181" i="1" s="1"/>
  <c r="BN180" i="1"/>
  <c r="BP180" i="1"/>
  <c r="Z185" i="1"/>
  <c r="Z187" i="1" s="1"/>
  <c r="BN185" i="1"/>
  <c r="BP185" i="1"/>
  <c r="Y188" i="1"/>
  <c r="Z191" i="1"/>
  <c r="BN191" i="1"/>
  <c r="Z195" i="1"/>
  <c r="BN195" i="1"/>
  <c r="BP195" i="1"/>
  <c r="Z197" i="1"/>
  <c r="BN197" i="1"/>
  <c r="Z199" i="1"/>
  <c r="BN199" i="1"/>
  <c r="Z201" i="1"/>
  <c r="BN201" i="1"/>
  <c r="Z207" i="1"/>
  <c r="Z215" i="1" s="1"/>
  <c r="BN207" i="1"/>
  <c r="Z209" i="1"/>
  <c r="BN209" i="1"/>
  <c r="Z211" i="1"/>
  <c r="BN211" i="1"/>
  <c r="Z213" i="1"/>
  <c r="BN213" i="1"/>
  <c r="Z219" i="1"/>
  <c r="Z220" i="1" s="1"/>
  <c r="BN219" i="1"/>
  <c r="Z224" i="1"/>
  <c r="Z234" i="1" s="1"/>
  <c r="BN224" i="1"/>
  <c r="BP224" i="1"/>
  <c r="Z226" i="1"/>
  <c r="BN226" i="1"/>
  <c r="Z228" i="1"/>
  <c r="BN228" i="1"/>
  <c r="Z230" i="1"/>
  <c r="BN230" i="1"/>
  <c r="Z232" i="1"/>
  <c r="BN232" i="1"/>
  <c r="Y235" i="1"/>
  <c r="Z246" i="1"/>
  <c r="Z250" i="1" s="1"/>
  <c r="BN246" i="1"/>
  <c r="Z248" i="1"/>
  <c r="BN248" i="1"/>
  <c r="L499" i="1"/>
  <c r="Y259" i="1"/>
  <c r="Z255" i="1"/>
  <c r="Z259" i="1" s="1"/>
  <c r="BN255" i="1"/>
  <c r="Z257" i="1"/>
  <c r="BN257" i="1"/>
  <c r="BP258" i="1"/>
  <c r="BN258" i="1"/>
  <c r="BP265" i="1"/>
  <c r="BN265" i="1"/>
  <c r="Z265" i="1"/>
  <c r="Y274" i="1"/>
  <c r="BP279" i="1"/>
  <c r="BN279" i="1"/>
  <c r="Z279" i="1"/>
  <c r="Z280" i="1" s="1"/>
  <c r="Y281" i="1"/>
  <c r="Y286" i="1"/>
  <c r="BP283" i="1"/>
  <c r="BN283" i="1"/>
  <c r="Z283" i="1"/>
  <c r="Z285" i="1" s="1"/>
  <c r="BP292" i="1"/>
  <c r="BN292" i="1"/>
  <c r="Z292" i="1"/>
  <c r="Y305" i="1"/>
  <c r="BP300" i="1"/>
  <c r="BN300" i="1"/>
  <c r="Z300" i="1"/>
  <c r="Z304" i="1" s="1"/>
  <c r="Y304" i="1"/>
  <c r="Z311" i="1"/>
  <c r="BP308" i="1"/>
  <c r="BN308" i="1"/>
  <c r="Z308" i="1"/>
  <c r="Y312" i="1"/>
  <c r="Y318" i="1"/>
  <c r="Y324" i="1"/>
  <c r="Y330" i="1"/>
  <c r="Y337" i="1"/>
  <c r="Y349" i="1"/>
  <c r="Y355" i="1"/>
  <c r="Y359" i="1"/>
  <c r="Y370" i="1"/>
  <c r="Y374" i="1"/>
  <c r="Y381" i="1"/>
  <c r="Y395" i="1"/>
  <c r="Y399" i="1"/>
  <c r="Y412" i="1"/>
  <c r="Y417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Z447" i="1" s="1"/>
  <c r="BP445" i="1"/>
  <c r="BN445" i="1"/>
  <c r="Z445" i="1"/>
  <c r="BP459" i="1"/>
  <c r="BN459" i="1"/>
  <c r="Z459" i="1"/>
  <c r="Z462" i="1" s="1"/>
  <c r="BP467" i="1"/>
  <c r="BN467" i="1"/>
  <c r="Z467" i="1"/>
  <c r="Y469" i="1"/>
  <c r="Y474" i="1"/>
  <c r="BP471" i="1"/>
  <c r="BN471" i="1"/>
  <c r="Z471" i="1"/>
  <c r="Z473" i="1" s="1"/>
  <c r="O499" i="1"/>
  <c r="Y275" i="1"/>
  <c r="P499" i="1"/>
  <c r="Y280" i="1"/>
  <c r="Q499" i="1"/>
  <c r="Y295" i="1"/>
  <c r="Z314" i="1"/>
  <c r="BN314" i="1"/>
  <c r="BP314" i="1"/>
  <c r="Z316" i="1"/>
  <c r="BN316" i="1"/>
  <c r="Z320" i="1"/>
  <c r="Z324" i="1" s="1"/>
  <c r="BN320" i="1"/>
  <c r="BP320" i="1"/>
  <c r="Z322" i="1"/>
  <c r="BN322" i="1"/>
  <c r="Z328" i="1"/>
  <c r="BN328" i="1"/>
  <c r="R499" i="1"/>
  <c r="Z335" i="1"/>
  <c r="Z337" i="1" s="1"/>
  <c r="BN335" i="1"/>
  <c r="Y338" i="1"/>
  <c r="S499" i="1"/>
  <c r="Z343" i="1"/>
  <c r="Z349" i="1" s="1"/>
  <c r="BN343" i="1"/>
  <c r="Z345" i="1"/>
  <c r="BN345" i="1"/>
  <c r="Z347" i="1"/>
  <c r="BN347" i="1"/>
  <c r="Y350" i="1"/>
  <c r="Z353" i="1"/>
  <c r="Z354" i="1" s="1"/>
  <c r="BN353" i="1"/>
  <c r="Z357" i="1"/>
  <c r="Z359" i="1" s="1"/>
  <c r="BN357" i="1"/>
  <c r="BP357" i="1"/>
  <c r="T499" i="1"/>
  <c r="Z368" i="1"/>
  <c r="BN368" i="1"/>
  <c r="Y369" i="1"/>
  <c r="Z372" i="1"/>
  <c r="Z374" i="1" s="1"/>
  <c r="BN372" i="1"/>
  <c r="BP372" i="1"/>
  <c r="Z378" i="1"/>
  <c r="Z380" i="1" s="1"/>
  <c r="BN378" i="1"/>
  <c r="Z379" i="1"/>
  <c r="BN379" i="1"/>
  <c r="Z385" i="1"/>
  <c r="BN385" i="1"/>
  <c r="BP385" i="1"/>
  <c r="Z387" i="1"/>
  <c r="BN387" i="1"/>
  <c r="Z389" i="1"/>
  <c r="BN389" i="1"/>
  <c r="Z391" i="1"/>
  <c r="BN391" i="1"/>
  <c r="Z393" i="1"/>
  <c r="BN393" i="1"/>
  <c r="Y394" i="1"/>
  <c r="Z397" i="1"/>
  <c r="Z399" i="1" s="1"/>
  <c r="BN397" i="1"/>
  <c r="BP397" i="1"/>
  <c r="V499" i="1"/>
  <c r="Y405" i="1"/>
  <c r="Z408" i="1"/>
  <c r="Z411" i="1" s="1"/>
  <c r="BN408" i="1"/>
  <c r="Z410" i="1"/>
  <c r="BN410" i="1"/>
  <c r="Z415" i="1"/>
  <c r="Z416" i="1" s="1"/>
  <c r="BN415" i="1"/>
  <c r="BP415" i="1"/>
  <c r="Y416" i="1"/>
  <c r="Z421" i="1"/>
  <c r="BN421" i="1"/>
  <c r="BP421" i="1"/>
  <c r="Z423" i="1"/>
  <c r="BP427" i="1"/>
  <c r="BN427" i="1"/>
  <c r="Z427" i="1"/>
  <c r="BP431" i="1"/>
  <c r="BN431" i="1"/>
  <c r="Z431" i="1"/>
  <c r="Y433" i="1"/>
  <c r="Y438" i="1"/>
  <c r="BP435" i="1"/>
  <c r="BN435" i="1"/>
  <c r="Z435" i="1"/>
  <c r="Z438" i="1" s="1"/>
  <c r="BP443" i="1"/>
  <c r="BN443" i="1"/>
  <c r="Z443" i="1"/>
  <c r="Y447" i="1"/>
  <c r="BP451" i="1"/>
  <c r="BN451" i="1"/>
  <c r="Z451" i="1"/>
  <c r="Z453" i="1" s="1"/>
  <c r="Y462" i="1"/>
  <c r="BP461" i="1"/>
  <c r="BN461" i="1"/>
  <c r="Z461" i="1"/>
  <c r="Y463" i="1"/>
  <c r="Y468" i="1"/>
  <c r="BP465" i="1"/>
  <c r="BN465" i="1"/>
  <c r="Z465" i="1"/>
  <c r="Z468" i="1" s="1"/>
  <c r="Y473" i="1"/>
  <c r="Y483" i="1"/>
  <c r="Y488" i="1"/>
  <c r="Y499" i="1"/>
  <c r="Z481" i="1"/>
  <c r="Z482" i="1" s="1"/>
  <c r="BN481" i="1"/>
  <c r="Z486" i="1"/>
  <c r="Z487" i="1" s="1"/>
  <c r="BN486" i="1"/>
  <c r="BP486" i="1"/>
  <c r="Y487" i="1"/>
  <c r="Z432" i="1" l="1"/>
  <c r="Y491" i="1"/>
  <c r="Y489" i="1"/>
  <c r="Z394" i="1"/>
  <c r="Z317" i="1"/>
  <c r="Z203" i="1"/>
  <c r="Z177" i="1"/>
  <c r="Z57" i="1"/>
  <c r="Z494" i="1" s="1"/>
  <c r="Y493" i="1"/>
  <c r="Y490" i="1"/>
  <c r="Z267" i="1"/>
  <c r="Y492" i="1" l="1"/>
</calcChain>
</file>

<file path=xl/sharedStrings.xml><?xml version="1.0" encoding="utf-8"?>
<sst xmlns="http://schemas.openxmlformats.org/spreadsheetml/2006/main" count="2276" uniqueCount="762">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</sst>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9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0.41666666666666669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9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8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122</v>
      </c>
      <c r="Y91" s="542">
        <f>IFERROR(IF(X91="",0,CEILING((X91/$H91),1)*$H91),"")</f>
        <v>129.6</v>
      </c>
      <c r="Z91" s="36">
        <f>IFERROR(IF(Y91=0,"",ROUNDUP(Y91/H91,0)*0.01898),"")</f>
        <v>0.30368000000000001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129.44049382716048</v>
      </c>
      <c r="BN91" s="64">
        <f>IFERROR(Y91*I91/H91,"0")</f>
        <v>137.50399999999999</v>
      </c>
      <c r="BO91" s="64">
        <f>IFERROR(1/J91*(X91/H91),"0")</f>
        <v>0.23533950617283952</v>
      </c>
      <c r="BP91" s="64">
        <f>IFERROR(1/J91*(Y91/H91),"0")</f>
        <v>0.25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15.06172839506173</v>
      </c>
      <c r="Y95" s="543">
        <f>IFERROR(Y91/H91,"0")+IFERROR(Y92/H92,"0")+IFERROR(Y93/H93,"0")+IFERROR(Y94/H94,"0")</f>
        <v>16</v>
      </c>
      <c r="Z95" s="543">
        <f>IFERROR(IF(Z91="",0,Z91),"0")+IFERROR(IF(Z92="",0,Z92),"0")+IFERROR(IF(Z93="",0,Z93),"0")+IFERROR(IF(Z94="",0,Z94),"0")</f>
        <v>0.30368000000000001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122</v>
      </c>
      <c r="Y96" s="543">
        <f>IFERROR(SUM(Y91:Y94),"0")</f>
        <v>129.6</v>
      </c>
      <c r="Z96" s="37"/>
      <c r="AA96" s="544"/>
      <c r="AB96" s="544"/>
      <c r="AC96" s="544"/>
    </row>
    <row r="97" spans="1:68" ht="16.5" customHeight="1" x14ac:dyDescent="0.25">
      <c r="A97" s="558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9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126</v>
      </c>
      <c r="Y112" s="542">
        <f>IFERROR(IF(X112="",0,CEILING((X112/$H112),1)*$H112),"")</f>
        <v>129.6</v>
      </c>
      <c r="Z112" s="36">
        <f>IFERROR(IF(Y112=0,"",ROUNDUP(Y112/H112,0)*0.01898),"")</f>
        <v>0.30368000000000001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133.5911111111111</v>
      </c>
      <c r="BN112" s="64">
        <f>IFERROR(Y112*I112/H112,"0")</f>
        <v>137.40799999999999</v>
      </c>
      <c r="BO112" s="64">
        <f>IFERROR(1/J112*(X112/H112),"0")</f>
        <v>0.24305555555555555</v>
      </c>
      <c r="BP112" s="64">
        <f>IFERROR(1/J112*(Y112/H112),"0")</f>
        <v>0.25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15.555555555555555</v>
      </c>
      <c r="Y116" s="543">
        <f>IFERROR(Y112/H112,"0")+IFERROR(Y113/H113,"0")+IFERROR(Y114/H114,"0")+IFERROR(Y115/H115,"0")</f>
        <v>16</v>
      </c>
      <c r="Z116" s="543">
        <f>IFERROR(IF(Z112="",0,Z112),"0")+IFERROR(IF(Z113="",0,Z113),"0")+IFERROR(IF(Z114="",0,Z114),"0")+IFERROR(IF(Z115="",0,Z115),"0")</f>
        <v>0.30368000000000001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126</v>
      </c>
      <c r="Y117" s="543">
        <f>IFERROR(SUM(Y112:Y115),"0")</f>
        <v>129.6</v>
      </c>
      <c r="Z117" s="37"/>
      <c r="AA117" s="544"/>
      <c r="AB117" s="544"/>
      <c r="AC117" s="544"/>
    </row>
    <row r="118" spans="1:68" ht="14.25" customHeight="1" x14ac:dyDescent="0.25">
      <c r="A118" s="559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/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186</v>
      </c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106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135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99</v>
      </c>
      <c r="Y211" s="542">
        <f t="shared" si="15"/>
        <v>100.8</v>
      </c>
      <c r="Z211" s="36">
        <f t="shared" si="20"/>
        <v>0.27342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109.39500000000001</v>
      </c>
      <c r="BN211" s="64">
        <f t="shared" si="17"/>
        <v>111.384</v>
      </c>
      <c r="BO211" s="64">
        <f t="shared" si="18"/>
        <v>0.22664835164835168</v>
      </c>
      <c r="BP211" s="64">
        <f t="shared" si="19"/>
        <v>0.23076923076923078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81</v>
      </c>
      <c r="Y212" s="542">
        <f t="shared" si="15"/>
        <v>81.599999999999994</v>
      </c>
      <c r="Z212" s="36">
        <f t="shared" si="20"/>
        <v>0.22134000000000001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89.50500000000001</v>
      </c>
      <c r="BN212" s="64">
        <f t="shared" si="17"/>
        <v>90.168000000000006</v>
      </c>
      <c r="BO212" s="64">
        <f t="shared" si="18"/>
        <v>0.18543956043956045</v>
      </c>
      <c r="BP212" s="64">
        <f t="shared" si="19"/>
        <v>0.18681318681318682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75</v>
      </c>
      <c r="Y215" s="543">
        <f>IFERROR(Y206/H206,"0")+IFERROR(Y207/H207,"0")+IFERROR(Y208/H208,"0")+IFERROR(Y209/H209,"0")+IFERROR(Y210/H210,"0")+IFERROR(Y211/H211,"0")+IFERROR(Y212/H212,"0")+IFERROR(Y213/H213,"0")+IFERROR(Y214/H214,"0")</f>
        <v>76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0.49475999999999998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180</v>
      </c>
      <c r="Y216" s="543">
        <f>IFERROR(SUM(Y206:Y214),"0")</f>
        <v>182.39999999999998</v>
      </c>
      <c r="Z216" s="37"/>
      <c r="AA216" s="544"/>
      <c r="AB216" s="544"/>
      <c r="AC216" s="544"/>
    </row>
    <row r="217" spans="1:68" ht="14.25" customHeight="1" x14ac:dyDescent="0.25">
      <c r="A217" s="559" t="s">
        <v>163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9" t="s">
        <v>135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 t="s">
        <v>103</v>
      </c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106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50</v>
      </c>
      <c r="Y272" s="542">
        <f>IFERROR(IF(X272="",0,CEILING((X272/$H272),1)*$H272),"")</f>
        <v>50.4</v>
      </c>
      <c r="Z272" s="36">
        <f>IFERROR(IF(Y272=0,"",ROUNDUP(Y272/H272,0)*0.00651),"")</f>
        <v>0.13671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55.25</v>
      </c>
      <c r="BN272" s="64">
        <f>IFERROR(Y272*I272/H272,"0")</f>
        <v>55.692</v>
      </c>
      <c r="BO272" s="64">
        <f>IFERROR(1/J272*(X272/H272),"0")</f>
        <v>0.11446886446886449</v>
      </c>
      <c r="BP272" s="64">
        <f>IFERROR(1/J272*(Y272/H272),"0")</f>
        <v>0.11538461538461539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55</v>
      </c>
      <c r="Y273" s="542">
        <f>IFERROR(IF(X273="",0,CEILING((X273/$H273),1)*$H273),"")</f>
        <v>55.199999999999996</v>
      </c>
      <c r="Z273" s="36">
        <f>IFERROR(IF(Y273=0,"",ROUNDUP(Y273/H273,0)*0.00651),"")</f>
        <v>0.14973</v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59.125000000000007</v>
      </c>
      <c r="BN273" s="64">
        <f>IFERROR(Y273*I273/H273,"0")</f>
        <v>59.34</v>
      </c>
      <c r="BO273" s="64">
        <f>IFERROR(1/J273*(X273/H273),"0")</f>
        <v>0.12591575091575094</v>
      </c>
      <c r="BP273" s="64">
        <f>IFERROR(1/J273*(Y273/H273),"0")</f>
        <v>0.1263736263736264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43.75</v>
      </c>
      <c r="Y274" s="543">
        <f>IFERROR(Y271/H271,"0")+IFERROR(Y272/H272,"0")+IFERROR(Y273/H273,"0")</f>
        <v>44</v>
      </c>
      <c r="Z274" s="543">
        <f>IFERROR(IF(Z271="",0,Z271),"0")+IFERROR(IF(Z272="",0,Z272),"0")+IFERROR(IF(Z273="",0,Z273),"0")</f>
        <v>0.28644000000000003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105</v>
      </c>
      <c r="Y275" s="543">
        <f>IFERROR(SUM(Y271:Y273),"0")</f>
        <v>105.6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163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114</v>
      </c>
      <c r="Y315" s="542">
        <f>IFERROR(IF(X315="",0,CEILING((X315/$H315),1)*$H315),"")</f>
        <v>117</v>
      </c>
      <c r="Z315" s="36">
        <f>IFERROR(IF(Y315=0,"",ROUNDUP(Y315/H315,0)*0.01898),"")</f>
        <v>0.28470000000000001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121.22000000000001</v>
      </c>
      <c r="BN315" s="64">
        <f>IFERROR(Y315*I315/H315,"0")</f>
        <v>124.41000000000001</v>
      </c>
      <c r="BO315" s="64">
        <f>IFERROR(1/J315*(X315/H315),"0")</f>
        <v>0.22836538461538461</v>
      </c>
      <c r="BP315" s="64">
        <f>IFERROR(1/J315*(Y315/H315),"0")</f>
        <v>0.234375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14.615384615384615</v>
      </c>
      <c r="Y317" s="543">
        <f>IFERROR(Y314/H314,"0")+IFERROR(Y315/H315,"0")+IFERROR(Y316/H316,"0")</f>
        <v>15</v>
      </c>
      <c r="Z317" s="543">
        <f>IFERROR(IF(Z314="",0,Z314),"0")+IFERROR(IF(Z315="",0,Z315),"0")+IFERROR(IF(Z316="",0,Z316),"0")</f>
        <v>0.28470000000000001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114</v>
      </c>
      <c r="Y318" s="543">
        <f>IFERROR(SUM(Y314:Y316),"0")</f>
        <v>117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127</v>
      </c>
      <c r="Y342" s="542">
        <f t="shared" ref="Y342:Y348" si="31">IFERROR(IF(X342="",0,CEILING((X342/$H342),1)*$H342),"")</f>
        <v>135</v>
      </c>
      <c r="Z342" s="36">
        <f>IFERROR(IF(Y342=0,"",ROUNDUP(Y342/H342,0)*0.02175),"")</f>
        <v>0.19574999999999998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130.97933333333333</v>
      </c>
      <c r="BN342" s="64">
        <f t="shared" ref="BN342:BN348" si="33">IFERROR(Y342*I342/H342,"0")</f>
        <v>139.23000000000002</v>
      </c>
      <c r="BO342" s="64">
        <f t="shared" ref="BO342:BO348" si="34">IFERROR(1/J342*(X342/H342),"0")</f>
        <v>0.17638888888888887</v>
      </c>
      <c r="BP342" s="64">
        <f t="shared" ref="BP342:BP348" si="35">IFERROR(1/J342*(Y342/H342),"0")</f>
        <v>0.1875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124</v>
      </c>
      <c r="Y345" s="542">
        <f t="shared" si="31"/>
        <v>135</v>
      </c>
      <c r="Z345" s="36">
        <f>IFERROR(IF(Y345=0,"",ROUNDUP(Y345/H345,0)*0.02175),"")</f>
        <v>0.19574999999999998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127.88533333333334</v>
      </c>
      <c r="BN345" s="64">
        <f t="shared" si="33"/>
        <v>139.23000000000002</v>
      </c>
      <c r="BO345" s="64">
        <f t="shared" si="34"/>
        <v>0.17222222222222222</v>
      </c>
      <c r="BP345" s="64">
        <f t="shared" si="35"/>
        <v>0.1875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16.733333333333334</v>
      </c>
      <c r="Y349" s="543">
        <f>IFERROR(Y342/H342,"0")+IFERROR(Y343/H343,"0")+IFERROR(Y344/H344,"0")+IFERROR(Y345/H345,"0")+IFERROR(Y346/H346,"0")+IFERROR(Y347/H347,"0")+IFERROR(Y348/H348,"0")</f>
        <v>18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0.39149999999999996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251</v>
      </c>
      <c r="Y350" s="543">
        <f>IFERROR(SUM(Y342:Y348),"0")</f>
        <v>270</v>
      </c>
      <c r="Z350" s="37"/>
      <c r="AA350" s="544"/>
      <c r="AB350" s="544"/>
      <c r="AC350" s="544"/>
    </row>
    <row r="351" spans="1:68" ht="14.25" customHeight="1" x14ac:dyDescent="0.25">
      <c r="A351" s="559" t="s">
        <v>135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143</v>
      </c>
      <c r="Y352" s="542">
        <f>IFERROR(IF(X352="",0,CEILING((X352/$H352),1)*$H352),"")</f>
        <v>150</v>
      </c>
      <c r="Z352" s="36">
        <f>IFERROR(IF(Y352=0,"",ROUNDUP(Y352/H352,0)*0.02175),"")</f>
        <v>0.21749999999999997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147.48066666666668</v>
      </c>
      <c r="BN352" s="64">
        <f>IFERROR(Y352*I352/H352,"0")</f>
        <v>154.69999999999999</v>
      </c>
      <c r="BO352" s="64">
        <f>IFERROR(1/J352*(X352/H352),"0")</f>
        <v>0.1986111111111111</v>
      </c>
      <c r="BP352" s="64">
        <f>IFERROR(1/J352*(Y352/H352),"0")</f>
        <v>0.20833333333333331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9.5333333333333332</v>
      </c>
      <c r="Y354" s="543">
        <f>IFERROR(Y352/H352,"0")+IFERROR(Y353/H353,"0")</f>
        <v>10</v>
      </c>
      <c r="Z354" s="543">
        <f>IFERROR(IF(Z352="",0,Z352),"0")+IFERROR(IF(Z353="",0,Z353),"0")</f>
        <v>0.21749999999999997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143</v>
      </c>
      <c r="Y355" s="543">
        <f>IFERROR(SUM(Y352:Y353),"0")</f>
        <v>150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customHeight="1" x14ac:dyDescent="0.25">
      <c r="A361" s="559" t="s">
        <v>163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307</v>
      </c>
      <c r="Y426" s="542">
        <f t="shared" si="42"/>
        <v>311.52000000000004</v>
      </c>
      <c r="Z426" s="36">
        <f t="shared" si="43"/>
        <v>0.70564000000000004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327.35037878787875</v>
      </c>
      <c r="BN426" s="64">
        <f t="shared" si="45"/>
        <v>332.17</v>
      </c>
      <c r="BO426" s="64">
        <f t="shared" si="46"/>
        <v>0.55907634032634035</v>
      </c>
      <c r="BP426" s="64">
        <f t="shared" si="47"/>
        <v>0.5673076923076924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58.143939393939391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59.000000000000007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0.70564000000000004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307</v>
      </c>
      <c r="Y433" s="543">
        <f>IFERROR(SUM(Y421:Y431),"0")</f>
        <v>311.52000000000004</v>
      </c>
      <c r="Z433" s="37"/>
      <c r="AA433" s="544"/>
      <c r="AB433" s="544"/>
      <c r="AC433" s="544"/>
    </row>
    <row r="434" spans="1:68" ht="14.25" customHeight="1" x14ac:dyDescent="0.25">
      <c r="A434" s="559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149</v>
      </c>
      <c r="Y435" s="542">
        <f>IFERROR(IF(X435="",0,CEILING((X435/$H435),1)*$H435),"")</f>
        <v>153.12</v>
      </c>
      <c r="Z435" s="36">
        <f>IFERROR(IF(Y435=0,"",ROUNDUP(Y435/H435,0)*0.01196),"")</f>
        <v>0.34683999999999998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158.87689393939394</v>
      </c>
      <c r="BN435" s="64">
        <f>IFERROR(Y435*I435/H435,"0")</f>
        <v>163.26999999999998</v>
      </c>
      <c r="BO435" s="64">
        <f>IFERROR(1/J435*(X435/H435),"0")</f>
        <v>0.27134324009324012</v>
      </c>
      <c r="BP435" s="64">
        <f>IFERROR(1/J435*(Y435/H435),"0")</f>
        <v>0.27884615384615385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28.219696969696969</v>
      </c>
      <c r="Y438" s="543">
        <f>IFERROR(Y435/H435,"0")+IFERROR(Y436/H436,"0")+IFERROR(Y437/H437,"0")</f>
        <v>29</v>
      </c>
      <c r="Z438" s="543">
        <f>IFERROR(IF(Z435="",0,Z435),"0")+IFERROR(IF(Z436="",0,Z436),"0")+IFERROR(IF(Z437="",0,Z437),"0")</f>
        <v>0.34683999999999998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149</v>
      </c>
      <c r="Y439" s="543">
        <f>IFERROR(SUM(Y435:Y437),"0")</f>
        <v>153.12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79</v>
      </c>
      <c r="Y441" s="542">
        <f t="shared" ref="Y441:Y446" si="48">IFERROR(IF(X441="",0,CEILING((X441/$H441),1)*$H441),"")</f>
        <v>79.2</v>
      </c>
      <c r="Z441" s="36">
        <f>IFERROR(IF(Y441=0,"",ROUNDUP(Y441/H441,0)*0.01196),"")</f>
        <v>0.1794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84.236742424242422</v>
      </c>
      <c r="BN441" s="64">
        <f t="shared" ref="BN441:BN446" si="50">IFERROR(Y441*I441/H441,"0")</f>
        <v>84.45</v>
      </c>
      <c r="BO441" s="64">
        <f t="shared" ref="BO441:BO446" si="51">IFERROR(1/J441*(X441/H441),"0")</f>
        <v>0.14386655011655011</v>
      </c>
      <c r="BP441" s="64">
        <f t="shared" ref="BP441:BP446" si="52">IFERROR(1/J441*(Y441/H441),"0")</f>
        <v>0.14423076923076925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70</v>
      </c>
      <c r="Y442" s="542">
        <f t="shared" si="48"/>
        <v>73.92</v>
      </c>
      <c r="Z442" s="36">
        <f>IFERROR(IF(Y442=0,"",ROUNDUP(Y442/H442,0)*0.01196),"")</f>
        <v>0.16744000000000001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74.640151515151501</v>
      </c>
      <c r="BN442" s="64">
        <f t="shared" si="50"/>
        <v>78.819999999999993</v>
      </c>
      <c r="BO442" s="64">
        <f t="shared" si="51"/>
        <v>0.12747668997668998</v>
      </c>
      <c r="BP442" s="64">
        <f t="shared" si="52"/>
        <v>0.13461538461538464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103</v>
      </c>
      <c r="Y443" s="542">
        <f t="shared" si="48"/>
        <v>105.60000000000001</v>
      </c>
      <c r="Z443" s="36">
        <f>IFERROR(IF(Y443=0,"",ROUNDUP(Y443/H443,0)*0.01196),"")</f>
        <v>0.2392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109.8276515151515</v>
      </c>
      <c r="BN443" s="64">
        <f t="shared" si="50"/>
        <v>112.6</v>
      </c>
      <c r="BO443" s="64">
        <f t="shared" si="51"/>
        <v>0.18757284382284384</v>
      </c>
      <c r="BP443" s="64">
        <f t="shared" si="52"/>
        <v>0.19230769230769232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47.727272727272727</v>
      </c>
      <c r="Y447" s="543">
        <f>IFERROR(Y441/H441,"0")+IFERROR(Y442/H442,"0")+IFERROR(Y443/H443,"0")+IFERROR(Y444/H444,"0")+IFERROR(Y445/H445,"0")+IFERROR(Y446/H446,"0")</f>
        <v>49</v>
      </c>
      <c r="Z447" s="543">
        <f>IFERROR(IF(Z441="",0,Z441),"0")+IFERROR(IF(Z442="",0,Z442),"0")+IFERROR(IF(Z443="",0,Z443),"0")+IFERROR(IF(Z444="",0,Z444),"0")+IFERROR(IF(Z445="",0,Z445),"0")+IFERROR(IF(Z446="",0,Z446),"0")</f>
        <v>0.58604000000000001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252</v>
      </c>
      <c r="Y448" s="543">
        <f>IFERROR(SUM(Y441:Y446),"0")</f>
        <v>258.72000000000003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9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1749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1807.5599999999997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1858.8037564534231</v>
      </c>
      <c r="Y490" s="543">
        <f>IFERROR(SUM(BN22:BN486),"0")</f>
        <v>1920.376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4</v>
      </c>
      <c r="Y491" s="38">
        <f>ROUNDUP(SUM(BP22:BP486),0)</f>
        <v>4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1958.8037564534231</v>
      </c>
      <c r="Y492" s="543">
        <f>GrossWeightTotalR+PalletQtyTotalR*25</f>
        <v>2020.376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324.34024432357774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332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3.9207799999999997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129.6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129.6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182.39999999999998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105.6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117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420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723.36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KsyrZkJsBYn0v0p57SqHd6TtPtMCBscTCBjX3zRZfC0O5DsnhAHZpxfhkhRYQmfjLqUM7baNZPnqVuFh6TgdEA==" saltValue="8KWS2d12fJEDSrDhzUBqK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7 X421 X423:X424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ai57I0qyl3NU9xU6W9fvpzPqiYM3RzYA9l/zekjC704yffVkUfJ431EvWCl8S1TE2Fn8CpRYIjNZoV3KJ6O/1w==" saltValue="uz1nQfykUEKLwYQ5X/8OY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2025-12-03T06:24:46Z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