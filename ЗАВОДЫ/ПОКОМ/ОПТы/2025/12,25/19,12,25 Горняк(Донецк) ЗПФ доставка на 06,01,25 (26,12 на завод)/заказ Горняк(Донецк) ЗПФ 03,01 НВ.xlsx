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7EF6315F-ADAA-4E31-8B73-8B67CCFD45C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Y269" i="1"/>
  <c r="X269" i="1"/>
  <c r="Z268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Y268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Z249" i="1" s="1"/>
  <c r="Y247" i="1"/>
  <c r="P247" i="1"/>
  <c r="X245" i="1"/>
  <c r="X244" i="1"/>
  <c r="BO243" i="1"/>
  <c r="BM243" i="1"/>
  <c r="Z243" i="1"/>
  <c r="Y243" i="1"/>
  <c r="P243" i="1"/>
  <c r="BP242" i="1"/>
  <c r="BO242" i="1"/>
  <c r="BN242" i="1"/>
  <c r="BM242" i="1"/>
  <c r="Z242" i="1"/>
  <c r="Z244" i="1" s="1"/>
  <c r="Y242" i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1" i="1"/>
  <c r="X211" i="1"/>
  <c r="Z210" i="1"/>
  <c r="X210" i="1"/>
  <c r="BO209" i="1"/>
  <c r="BM209" i="1"/>
  <c r="Z209" i="1"/>
  <c r="Y209" i="1"/>
  <c r="P209" i="1"/>
  <c r="X206" i="1"/>
  <c r="Z205" i="1"/>
  <c r="X205" i="1"/>
  <c r="BO204" i="1"/>
  <c r="BM204" i="1"/>
  <c r="Z204" i="1"/>
  <c r="Y204" i="1"/>
  <c r="P204" i="1"/>
  <c r="Y201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X193" i="1"/>
  <c r="Z192" i="1"/>
  <c r="X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Y163" i="1"/>
  <c r="X163" i="1"/>
  <c r="Z162" i="1"/>
  <c r="X162" i="1"/>
  <c r="BO161" i="1"/>
  <c r="BM161" i="1"/>
  <c r="Z161" i="1"/>
  <c r="Y161" i="1"/>
  <c r="P161" i="1"/>
  <c r="X158" i="1"/>
  <c r="Z157" i="1"/>
  <c r="X157" i="1"/>
  <c r="BO156" i="1"/>
  <c r="BM156" i="1"/>
  <c r="Z156" i="1"/>
  <c r="Y156" i="1"/>
  <c r="P156" i="1"/>
  <c r="Y153" i="1"/>
  <c r="X153" i="1"/>
  <c r="Z152" i="1"/>
  <c r="X152" i="1"/>
  <c r="BO151" i="1"/>
  <c r="BM151" i="1"/>
  <c r="Z151" i="1"/>
  <c r="Y151" i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Y142" i="1" s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Y135" i="1" s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1" i="1" s="1"/>
  <c r="Y113" i="1"/>
  <c r="Y122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4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274" i="1" s="1"/>
  <c r="Y42" i="1"/>
  <c r="Y49" i="1"/>
  <c r="Y56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Y271" i="1" s="1"/>
  <c r="Y273" i="1" s="1"/>
  <c r="BN25" i="1"/>
  <c r="BN27" i="1"/>
  <c r="X270" i="1"/>
  <c r="BN32" i="1"/>
  <c r="BP32" i="1"/>
  <c r="Y272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Z275" i="1" s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X273" i="1" l="1"/>
  <c r="A283" i="1"/>
  <c r="Y270" i="1"/>
  <c r="B283" i="1" s="1"/>
  <c r="C283" i="1" l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<sst xmlns="http://schemas.openxmlformats.org/spreadsheetml/2006/main" count="1222" uniqueCount="394">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</sst>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65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0</v>
      </c>
      <c r="Y39" s="269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0</v>
      </c>
      <c r="Y41" s="270">
        <f>IFERROR(SUM(Y39:Y40),"0")</f>
        <v>0</v>
      </c>
      <c r="Z41" s="270">
        <f>IFERROR(IF(Z39="",0,Z39),"0")+IFERROR(IF(Z40="",0,Z40),"0")</f>
        <v>0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0</v>
      </c>
      <c r="Y42" s="270">
        <f>IFERROR(SUMPRODUCT(Y39:Y40*H39:H40),"0")</f>
        <v>0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0</v>
      </c>
      <c r="Y48" s="270">
        <f>IFERROR(SUM(Y45:Y47),"0")</f>
        <v>0</v>
      </c>
      <c r="Z48" s="270">
        <f>IFERROR(IF(Z45="",0,Z45),"0")+IFERROR(IF(Z46="",0,Z46),"0")+IFERROR(IF(Z47="",0,Z47),"0")</f>
        <v>0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0</v>
      </c>
      <c r="Y49" s="270">
        <f>IFERROR(SUMPRODUCT(Y45:Y47*H45:H47),"0")</f>
        <v>0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0</v>
      </c>
      <c r="Y56" s="270">
        <f>IFERROR(SUM(Y52:Y55),"0")</f>
        <v>0</v>
      </c>
      <c r="Z56" s="270">
        <f>IFERROR(IF(Z52="",0,Z52),"0")+IFERROR(IF(Z53="",0,Z53),"0")+IFERROR(IF(Z54="",0,Z54),"0")+IFERROR(IF(Z55="",0,Z55),"0")</f>
        <v>0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0</v>
      </c>
      <c r="Y57" s="270">
        <f>IFERROR(SUMPRODUCT(Y52:Y55*H52:H55),"0")</f>
        <v>0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0</v>
      </c>
      <c r="Y81" s="269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customHeight="1" x14ac:dyDescent="0.25">
      <c r="A84" s="284" t="s">
        <v>151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customHeight="1" x14ac:dyDescent="0.25">
      <c r="A89" s="284" t="s">
        <v>155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156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0</v>
      </c>
      <c r="Y91" s="269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0</v>
      </c>
      <c r="Y92" s="269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0</v>
      </c>
      <c r="Y93" s="270">
        <f>IFERROR(SUM(Y91:Y92),"0")</f>
        <v>0</v>
      </c>
      <c r="Z93" s="270">
        <f>IFERROR(IF(Z91="",0,Z91),"0")+IFERROR(IF(Z92="",0,Z92),"0")</f>
        <v>0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0</v>
      </c>
      <c r="Y94" s="270">
        <f>IFERROR(SUMPRODUCT(Y91:Y92*H91:H92),"0")</f>
        <v>0</v>
      </c>
      <c r="Z94" s="37"/>
      <c r="AA94" s="271"/>
      <c r="AB94" s="271"/>
      <c r="AC94" s="271"/>
    </row>
    <row r="95" spans="1:68" ht="16.5" customHeight="1" x14ac:dyDescent="0.25">
      <c r="A95" s="284" t="s">
        <v>163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0</v>
      </c>
      <c r="Y98" s="269">
        <f t="shared" si="6"/>
        <v>0</v>
      </c>
      <c r="Z98" s="36">
        <f t="shared" si="7"/>
        <v>0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0</v>
      </c>
      <c r="Y100" s="269">
        <f t="shared" si="6"/>
        <v>0</v>
      </c>
      <c r="Z100" s="36">
        <f t="shared" si="7"/>
        <v>0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0</v>
      </c>
      <c r="Y103" s="270">
        <f>IFERROR(SUM(Y97:Y102),"0")</f>
        <v>0</v>
      </c>
      <c r="Z103" s="270">
        <f>IFERROR(IF(Z97="",0,Z97),"0")+IFERROR(IF(Z98="",0,Z98),"0")+IFERROR(IF(Z99="",0,Z99),"0")+IFERROR(IF(Z100="",0,Z100),"0")+IFERROR(IF(Z101="",0,Z101),"0")+IFERROR(IF(Z102="",0,Z102),"0")</f>
        <v>0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0</v>
      </c>
      <c r="Y104" s="270">
        <f>IFERROR(SUMPRODUCT(Y97:Y102*H97:H102),"0")</f>
        <v>0</v>
      </c>
      <c r="Z104" s="37"/>
      <c r="AA104" s="271"/>
      <c r="AB104" s="271"/>
      <c r="AC104" s="271"/>
    </row>
    <row r="105" spans="1:68" ht="16.5" customHeight="1" x14ac:dyDescent="0.25">
      <c r="A105" s="284" t="s">
        <v>178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customHeight="1" x14ac:dyDescent="0.25">
      <c r="A111" s="284" t="s">
        <v>184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185</v>
      </c>
      <c r="B113" s="54" t="s">
        <v>186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0</v>
      </c>
      <c r="Y116" s="269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0</v>
      </c>
      <c r="Y119" s="269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0</v>
      </c>
      <c r="Y121" s="270">
        <f>IFERROR(SUM(Y113:Y120),"0")</f>
        <v>0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0</v>
      </c>
      <c r="Y122" s="270">
        <f>IFERROR(SUMPRODUCT(Y113:Y120*H113:H120),"0")</f>
        <v>0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305" t="s">
        <v>209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213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308</v>
      </c>
      <c r="Y134" s="269">
        <f>IFERROR(IF(X134="","",X134),"")</f>
        <v>308</v>
      </c>
      <c r="Z134" s="36">
        <f>IFERROR(IF(X134="","",X134*0.01788),"")</f>
        <v>5.5070399999999999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1140.7087999999999</v>
      </c>
      <c r="BN134" s="67">
        <f>IFERROR(Y134*I134,"0")</f>
        <v>1140.7087999999999</v>
      </c>
      <c r="BO134" s="67">
        <f>IFERROR(X134/J134,"0")</f>
        <v>4.4000000000000004</v>
      </c>
      <c r="BP134" s="67">
        <f>IFERROR(Y134/J134,"0")</f>
        <v>4.4000000000000004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308</v>
      </c>
      <c r="Y135" s="270">
        <f>IFERROR(SUM(Y133:Y134),"0")</f>
        <v>308</v>
      </c>
      <c r="Z135" s="270">
        <f>IFERROR(IF(Z133="",0,Z133),"0")+IFERROR(IF(Z134="",0,Z134),"0")</f>
        <v>5.5070399999999999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924</v>
      </c>
      <c r="Y136" s="270">
        <f>IFERROR(SUMPRODUCT(Y133:Y134*H133:H134),"0")</f>
        <v>924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126</v>
      </c>
      <c r="Y140" s="269">
        <f>IFERROR(IF(X140="","",X140),"")</f>
        <v>126</v>
      </c>
      <c r="Z140" s="36">
        <f>IFERROR(IF(X140="","",X140*0.01788),"")</f>
        <v>2.2528800000000002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466.65359999999998</v>
      </c>
      <c r="BN140" s="67">
        <f>IFERROR(Y140*I140,"0")</f>
        <v>466.65359999999998</v>
      </c>
      <c r="BO140" s="67">
        <f>IFERROR(X140/J140,"0")</f>
        <v>1.8</v>
      </c>
      <c r="BP140" s="67">
        <f>IFERROR(Y140/J140,"0")</f>
        <v>1.8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126</v>
      </c>
      <c r="Y141" s="270">
        <f>IFERROR(SUM(Y139:Y140),"0")</f>
        <v>126</v>
      </c>
      <c r="Z141" s="270">
        <f>IFERROR(IF(Z139="",0,Z139),"0")+IFERROR(IF(Z140="",0,Z140),"0")</f>
        <v>2.2528800000000002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378</v>
      </c>
      <c r="Y142" s="270">
        <f>IFERROR(SUMPRODUCT(Y139:Y140*H139:H140),"0")</f>
        <v>378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84</v>
      </c>
      <c r="Y145" s="269">
        <f>IFERROR(IF(X145="","",X145),"")</f>
        <v>84</v>
      </c>
      <c r="Z145" s="36">
        <f>IFERROR(IF(X145="","",X145*0.01788),"")</f>
        <v>1.5019199999999999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225.12</v>
      </c>
      <c r="BN145" s="67">
        <f>IFERROR(Y145*I145,"0")</f>
        <v>225.12</v>
      </c>
      <c r="BO145" s="67">
        <f>IFERROR(X145/J145,"0")</f>
        <v>1.2</v>
      </c>
      <c r="BP145" s="67">
        <f>IFERROR(Y145/J145,"0")</f>
        <v>1.2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56</v>
      </c>
      <c r="Y146" s="269">
        <f>IFERROR(IF(X146="","",X146),"")</f>
        <v>56</v>
      </c>
      <c r="Z146" s="36">
        <f>IFERROR(IF(X146="","",X146*0.01788),"")</f>
        <v>1.0012799999999999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150.08000000000001</v>
      </c>
      <c r="BN146" s="67">
        <f>IFERROR(Y146*I146,"0")</f>
        <v>150.08000000000001</v>
      </c>
      <c r="BO146" s="67">
        <f>IFERROR(X146/J146,"0")</f>
        <v>0.8</v>
      </c>
      <c r="BP146" s="67">
        <f>IFERROR(Y146/J146,"0")</f>
        <v>0.8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140</v>
      </c>
      <c r="Y147" s="270">
        <f>IFERROR(SUM(Y145:Y146),"0")</f>
        <v>140</v>
      </c>
      <c r="Z147" s="270">
        <f>IFERROR(IF(Z145="",0,Z145),"0")+IFERROR(IF(Z146="",0,Z146),"0")</f>
        <v>2.5031999999999996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336</v>
      </c>
      <c r="Y148" s="270">
        <f>IFERROR(SUMPRODUCT(Y145:Y146*H145:H146),"0")</f>
        <v>336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70</v>
      </c>
      <c r="Y151" s="269">
        <f>IFERROR(IF(X151="","",X151),"")</f>
        <v>70</v>
      </c>
      <c r="Z151" s="36">
        <f>IFERROR(IF(X151="","",X151*0.01788),"")</f>
        <v>1.2516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259.25200000000001</v>
      </c>
      <c r="BN151" s="67">
        <f>IFERROR(Y151*I151,"0")</f>
        <v>259.25200000000001</v>
      </c>
      <c r="BO151" s="67">
        <f>IFERROR(X151/J151,"0")</f>
        <v>1</v>
      </c>
      <c r="BP151" s="67">
        <f>IFERROR(Y151/J151,"0")</f>
        <v>1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70</v>
      </c>
      <c r="Y152" s="270">
        <f>IFERROR(SUM(Y151:Y151),"0")</f>
        <v>70</v>
      </c>
      <c r="Z152" s="270">
        <f>IFERROR(IF(Z151="",0,Z151),"0")</f>
        <v>1.2516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210</v>
      </c>
      <c r="Y153" s="270">
        <f>IFERROR(SUMPRODUCT(Y151:Y151*H151:H151),"0")</f>
        <v>210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209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182</v>
      </c>
      <c r="Y166" s="269">
        <f>IFERROR(IF(X166="","",X166),"")</f>
        <v>182</v>
      </c>
      <c r="Z166" s="36">
        <f>IFERROR(IF(X166="","",X166*0.00941),"")</f>
        <v>1.71262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382.52760000000001</v>
      </c>
      <c r="BN166" s="67">
        <f>IFERROR(Y166*I166,"0")</f>
        <v>382.52760000000001</v>
      </c>
      <c r="BO166" s="67">
        <f>IFERROR(X166/J166,"0")</f>
        <v>1.3</v>
      </c>
      <c r="BP166" s="67">
        <f>IFERROR(Y166/J166,"0")</f>
        <v>1.3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182</v>
      </c>
      <c r="Y167" s="270">
        <f>IFERROR(SUM(Y166:Y166),"0")</f>
        <v>182</v>
      </c>
      <c r="Z167" s="270">
        <f>IFERROR(IF(Z166="",0,Z166),"0")</f>
        <v>1.71262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305.76</v>
      </c>
      <c r="Y168" s="270">
        <f>IFERROR(SUMPRODUCT(Y166:Y166*H166:H166),"0")</f>
        <v>305.76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98</v>
      </c>
      <c r="Y179" s="269">
        <f>IFERROR(IF(X179="","",X179),"")</f>
        <v>98</v>
      </c>
      <c r="Z179" s="36">
        <f>IFERROR(IF(X179="","",X179*0.01788),"")</f>
        <v>1.75224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332.024</v>
      </c>
      <c r="BN179" s="67">
        <f>IFERROR(Y179*I179,"0")</f>
        <v>332.024</v>
      </c>
      <c r="BO179" s="67">
        <f>IFERROR(X179/J179,"0")</f>
        <v>1.4</v>
      </c>
      <c r="BP179" s="67">
        <f>IFERROR(Y179/J179,"0")</f>
        <v>1.4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84</v>
      </c>
      <c r="Y180" s="269">
        <f>IFERROR(IF(X180="","",X180),"")</f>
        <v>84</v>
      </c>
      <c r="Z180" s="36">
        <f>IFERROR(IF(X180="","",X180*0.01788),"")</f>
        <v>1.5019199999999999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284.59199999999998</v>
      </c>
      <c r="BN180" s="67">
        <f>IFERROR(Y180*I180,"0")</f>
        <v>284.59199999999998</v>
      </c>
      <c r="BO180" s="67">
        <f>IFERROR(X180/J180,"0")</f>
        <v>1.2</v>
      </c>
      <c r="BP180" s="67">
        <f>IFERROR(Y180/J180,"0")</f>
        <v>1.2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182</v>
      </c>
      <c r="Y182" s="270">
        <f>IFERROR(SUM(Y179:Y181),"0")</f>
        <v>182</v>
      </c>
      <c r="Z182" s="270">
        <f>IFERROR(IF(Z179="",0,Z179),"0")+IFERROR(IF(Z180="",0,Z180),"0")+IFERROR(IF(Z181="",0,Z181),"0")</f>
        <v>3.2541599999999997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546</v>
      </c>
      <c r="Y183" s="270">
        <f>IFERROR(SUMPRODUCT(Y179:Y181*H179:H181),"0")</f>
        <v>546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264</v>
      </c>
      <c r="Y247" s="269">
        <f>IFERROR(IF(X247="","",X247),"")</f>
        <v>264</v>
      </c>
      <c r="Z247" s="36">
        <f>IFERROR(IF(X247="","",X247*0.0155),"")</f>
        <v>4.0919999999999996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1652.6399999999999</v>
      </c>
      <c r="BN247" s="67">
        <f>IFERROR(Y247*I247,"0")</f>
        <v>1652.6399999999999</v>
      </c>
      <c r="BO247" s="67">
        <f>IFERROR(X247/J247,"0")</f>
        <v>3.1428571428571428</v>
      </c>
      <c r="BP247" s="67">
        <f>IFERROR(Y247/J247,"0")</f>
        <v>3.1428571428571428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264</v>
      </c>
      <c r="Y249" s="270">
        <f>IFERROR(SUM(Y247:Y248),"0")</f>
        <v>264</v>
      </c>
      <c r="Z249" s="270">
        <f>IFERROR(IF(Z247="",0,Z247),"0")+IFERROR(IF(Z248="",0,Z248),"0")</f>
        <v>4.0919999999999996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1584</v>
      </c>
      <c r="Y250" s="270">
        <f>IFERROR(SUMPRODUCT(Y247:Y248*H247:H248),"0")</f>
        <v>1584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630</v>
      </c>
      <c r="Y259" s="269">
        <f t="shared" si="18"/>
        <v>630</v>
      </c>
      <c r="Z259" s="36">
        <f>IFERROR(IF(X259="","",X259*0.00936),"")</f>
        <v>5.8967999999999998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2451.96</v>
      </c>
      <c r="BN259" s="67">
        <f t="shared" si="20"/>
        <v>2451.96</v>
      </c>
      <c r="BO259" s="67">
        <f t="shared" si="21"/>
        <v>5</v>
      </c>
      <c r="BP259" s="67">
        <f t="shared" si="22"/>
        <v>5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228</v>
      </c>
      <c r="Y260" s="269">
        <f t="shared" si="18"/>
        <v>228</v>
      </c>
      <c r="Z260" s="36">
        <f>IFERROR(IF(X260="","",X260*0.0155),"")</f>
        <v>3.5339999999999998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1307.5800000000002</v>
      </c>
      <c r="BN260" s="67">
        <f t="shared" si="20"/>
        <v>1307.5800000000002</v>
      </c>
      <c r="BO260" s="67">
        <f t="shared" si="21"/>
        <v>2.7142857142857144</v>
      </c>
      <c r="BP260" s="67">
        <f t="shared" si="22"/>
        <v>2.7142857142857144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224</v>
      </c>
      <c r="Y261" s="269">
        <f t="shared" si="18"/>
        <v>224</v>
      </c>
      <c r="Z261" s="36">
        <f t="shared" ref="Z261:Z266" si="23">IFERROR(IF(X261="","",X261*0.00936),"")</f>
        <v>2.0966399999999998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715.00800000000004</v>
      </c>
      <c r="BN261" s="67">
        <f t="shared" si="20"/>
        <v>715.00800000000004</v>
      </c>
      <c r="BO261" s="67">
        <f t="shared" si="21"/>
        <v>1.7777777777777777</v>
      </c>
      <c r="BP261" s="67">
        <f t="shared" si="22"/>
        <v>1.7777777777777777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630</v>
      </c>
      <c r="Y262" s="269">
        <f t="shared" si="18"/>
        <v>630</v>
      </c>
      <c r="Z262" s="36">
        <f t="shared" si="23"/>
        <v>5.8967999999999998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2451.96</v>
      </c>
      <c r="BN262" s="67">
        <f t="shared" si="20"/>
        <v>2451.96</v>
      </c>
      <c r="BO262" s="67">
        <f t="shared" si="21"/>
        <v>5</v>
      </c>
      <c r="BP262" s="67">
        <f t="shared" si="22"/>
        <v>5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14</v>
      </c>
      <c r="Y263" s="269">
        <f t="shared" si="18"/>
        <v>14</v>
      </c>
      <c r="Z263" s="36">
        <f t="shared" si="23"/>
        <v>0.13103999999999999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54.488</v>
      </c>
      <c r="BN263" s="67">
        <f t="shared" si="20"/>
        <v>54.488</v>
      </c>
      <c r="BO263" s="67">
        <f t="shared" si="21"/>
        <v>0.1111111111111111</v>
      </c>
      <c r="BP263" s="67">
        <f t="shared" si="22"/>
        <v>0.1111111111111111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1726</v>
      </c>
      <c r="Y268" s="270">
        <f>IFERROR(SUM(Y258:Y267),"0")</f>
        <v>1726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17.555279999999996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6639.8</v>
      </c>
      <c r="Y269" s="270">
        <f>IFERROR(SUMPRODUCT(Y258:Y267*H258:H267),"0")</f>
        <v>6639.8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10923.560000000001</v>
      </c>
      <c r="Y270" s="270">
        <f>IFERROR(Y29+Y35+Y42+Y49+Y57+Y62+Y66+Y71+Y77+Y83+Y88+Y94+Y104+Y110+Y122+Y126+Y130+Y136+Y142+Y148+Y153+Y158+Y163+Y168+Y175+Y183+Y187+Y193+Y201+Y206+Y211+Y216+Y222+Y228+Y234+Y238+Y245+Y250+Y256+Y269,"0")</f>
        <v>10923.560000000001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11874.593999999999</v>
      </c>
      <c r="Y271" s="270">
        <f>IFERROR(SUM(BN22:BN267),"0")</f>
        <v>11874.593999999999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31</v>
      </c>
      <c r="Y272" s="38">
        <f>ROUNDUP(SUM(BP22:BP267),0)</f>
        <v>31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12649.593999999999</v>
      </c>
      <c r="Y273" s="270">
        <f>GrossWeightTotalR+PalletQtyTotalR*25</f>
        <v>12649.593999999999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2998</v>
      </c>
      <c r="Y274" s="270">
        <f>IFERROR(Y28+Y34+Y41+Y48+Y56+Y61+Y65+Y70+Y76+Y82+Y87+Y93+Y103+Y109+Y121+Y125+Y129+Y135+Y141+Y147+Y152+Y157+Y162+Y167+Y174+Y182+Y186+Y192+Y200+Y205+Y210+Y215+Y221+Y227+Y233+Y237+Y244+Y249+Y255+Y268,"0")</f>
        <v>2998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38.128779999999992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144</v>
      </c>
      <c r="I278" s="289" t="s">
        <v>151</v>
      </c>
      <c r="J278" s="289" t="s">
        <v>155</v>
      </c>
      <c r="K278" s="289" t="s">
        <v>163</v>
      </c>
      <c r="L278" s="289" t="s">
        <v>178</v>
      </c>
      <c r="M278" s="289" t="s">
        <v>184</v>
      </c>
      <c r="N278" s="266"/>
      <c r="O278" s="289" t="s">
        <v>213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0</v>
      </c>
      <c r="E280" s="46">
        <f>IFERROR(X45*H45,"0")+IFERROR(X46*H46,"0")+IFERROR(X47*H47,"0")</f>
        <v>0</v>
      </c>
      <c r="F280" s="46">
        <f>IFERROR(X52*H52,"0")+IFERROR(X53*H53,"0")+IFERROR(X54*H54,"0")+IFERROR(X55*H55,"0")</f>
        <v>0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0</v>
      </c>
      <c r="I280" s="46">
        <f>IFERROR(X86*H86,"0")</f>
        <v>0</v>
      </c>
      <c r="J280" s="46">
        <f>IFERROR(X91*H91,"0")+IFERROR(X92*H92,"0")</f>
        <v>0</v>
      </c>
      <c r="K280" s="46">
        <f>IFERROR(X97*H97,"0")+IFERROR(X98*H98,"0")+IFERROR(X99*H99,"0")+IFERROR(X100*H100,"0")+IFERROR(X101*H101,"0")+IFERROR(X102*H102,"0")</f>
        <v>0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0</v>
      </c>
      <c r="N280" s="266"/>
      <c r="O280" s="46">
        <f>IFERROR(X133*H133,"0")+IFERROR(X134*H134,"0")</f>
        <v>924</v>
      </c>
      <c r="P280" s="46">
        <f>IFERROR(X139*H139,"0")+IFERROR(X140*H140,"0")</f>
        <v>378</v>
      </c>
      <c r="Q280" s="46">
        <f>IFERROR(X145*H145,"0")+IFERROR(X146*H146,"0")</f>
        <v>336</v>
      </c>
      <c r="R280" s="46">
        <f>IFERROR(X151*H151,"0")</f>
        <v>210</v>
      </c>
      <c r="S280" s="46">
        <f>IFERROR(X156*H156,"0")</f>
        <v>0</v>
      </c>
      <c r="T280" s="46">
        <f>IFERROR(X161*H161,"0")</f>
        <v>0</v>
      </c>
      <c r="U280" s="46">
        <f>IFERROR(X166*H166,"0")</f>
        <v>305.76</v>
      </c>
      <c r="V280" s="46">
        <f>IFERROR(X172*H172,"0")+IFERROR(X173*H173,"0")</f>
        <v>0</v>
      </c>
      <c r="W280" s="46">
        <f>IFERROR(X179*H179,"0")+IFERROR(X180*H180,"0")+IFERROR(X181*H181,"0")+IFERROR(X185*H185,"0")</f>
        <v>546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8223.7999999999993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0</v>
      </c>
      <c r="B283" s="60">
        <f>SUMPRODUCT(--(BB:BB="ПГП"),--(W:W="кор"),H:H,Y:Y)+SUMPRODUCT(--(BB:BB="ПГП"),--(W:W="кг"),Y:Y)</f>
        <v>10923.56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2025-12-26T09:51:30Z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