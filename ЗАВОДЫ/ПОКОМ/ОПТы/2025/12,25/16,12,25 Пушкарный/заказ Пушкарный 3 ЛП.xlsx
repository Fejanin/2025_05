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7290610-D837-4420-A84D-AF064CCCDA3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O502" i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Y471" i="1" s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Y453" i="1" s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X502" i="1" s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10" i="1"/>
  <c r="Y409" i="1"/>
  <c r="X409" i="1"/>
  <c r="BP408" i="1"/>
  <c r="BO408" i="1"/>
  <c r="BN408" i="1"/>
  <c r="BM408" i="1"/>
  <c r="Z408" i="1"/>
  <c r="Z409" i="1" s="1"/>
  <c r="Y408" i="1"/>
  <c r="P408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Y329" i="1" s="1"/>
  <c r="P325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N271" i="1"/>
  <c r="BM271" i="1"/>
  <c r="Z271" i="1"/>
  <c r="Y271" i="1"/>
  <c r="BP271" i="1" s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BP251" i="1"/>
  <c r="BO251" i="1"/>
  <c r="BN251" i="1"/>
  <c r="BM251" i="1"/>
  <c r="Z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Y226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Y222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I502" i="1" s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2" i="1" s="1"/>
  <c r="P149" i="1"/>
  <c r="X147" i="1"/>
  <c r="X146" i="1"/>
  <c r="BO145" i="1"/>
  <c r="BM145" i="1"/>
  <c r="Y145" i="1"/>
  <c r="BP145" i="1" s="1"/>
  <c r="P145" i="1"/>
  <c r="BP144" i="1"/>
  <c r="BO144" i="1"/>
  <c r="BN144" i="1"/>
  <c r="BM144" i="1"/>
  <c r="Z144" i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G502" i="1" s="1"/>
  <c r="P128" i="1"/>
  <c r="X125" i="1"/>
  <c r="X124" i="1"/>
  <c r="BO123" i="1"/>
  <c r="BM123" i="1"/>
  <c r="Y123" i="1"/>
  <c r="Y124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Y114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BO101" i="1"/>
  <c r="BM101" i="1"/>
  <c r="Y101" i="1"/>
  <c r="F502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37" i="1"/>
  <c r="Y45" i="1"/>
  <c r="Y49" i="1"/>
  <c r="Y58" i="1"/>
  <c r="Y64" i="1"/>
  <c r="Y70" i="1"/>
  <c r="Y78" i="1"/>
  <c r="Y82" i="1"/>
  <c r="Y90" i="1"/>
  <c r="Y98" i="1"/>
  <c r="Y106" i="1"/>
  <c r="Y113" i="1"/>
  <c r="Y121" i="1"/>
  <c r="Y125" i="1"/>
  <c r="Y130" i="1"/>
  <c r="Y136" i="1"/>
  <c r="Y140" i="1"/>
  <c r="Y147" i="1"/>
  <c r="Y153" i="1"/>
  <c r="Y157" i="1"/>
  <c r="Y163" i="1"/>
  <c r="Y177" i="1"/>
  <c r="Y183" i="1"/>
  <c r="Y194" i="1"/>
  <c r="Y198" i="1"/>
  <c r="Y210" i="1"/>
  <c r="BP232" i="1"/>
  <c r="BN232" i="1"/>
  <c r="Z232" i="1"/>
  <c r="BP236" i="1"/>
  <c r="BN236" i="1"/>
  <c r="Z236" i="1"/>
  <c r="BP252" i="1"/>
  <c r="BN252" i="1"/>
  <c r="Z252" i="1"/>
  <c r="BP261" i="1"/>
  <c r="BN261" i="1"/>
  <c r="Z261" i="1"/>
  <c r="BP270" i="1"/>
  <c r="BN270" i="1"/>
  <c r="Z270" i="1"/>
  <c r="BP296" i="1"/>
  <c r="BN296" i="1"/>
  <c r="Z296" i="1"/>
  <c r="Y300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Y316" i="1"/>
  <c r="BP320" i="1"/>
  <c r="BN320" i="1"/>
  <c r="Z320" i="1"/>
  <c r="Z322" i="1" s="1"/>
  <c r="Y322" i="1"/>
  <c r="BP384" i="1"/>
  <c r="BN384" i="1"/>
  <c r="Z384" i="1"/>
  <c r="Y386" i="1"/>
  <c r="U502" i="1"/>
  <c r="Y399" i="1"/>
  <c r="BP390" i="1"/>
  <c r="BN390" i="1"/>
  <c r="Z390" i="1"/>
  <c r="BP394" i="1"/>
  <c r="BN394" i="1"/>
  <c r="Z394" i="1"/>
  <c r="BP398" i="1"/>
  <c r="BN398" i="1"/>
  <c r="Z398" i="1"/>
  <c r="Y400" i="1"/>
  <c r="Y405" i="1"/>
  <c r="BP402" i="1"/>
  <c r="BN402" i="1"/>
  <c r="Z402" i="1"/>
  <c r="Z404" i="1" s="1"/>
  <c r="Y404" i="1"/>
  <c r="H9" i="1"/>
  <c r="B502" i="1"/>
  <c r="X493" i="1"/>
  <c r="X494" i="1"/>
  <c r="Z23" i="1"/>
  <c r="Z24" i="1" s="1"/>
  <c r="BN23" i="1"/>
  <c r="Y493" i="1" s="1"/>
  <c r="Y24" i="1"/>
  <c r="X492" i="1"/>
  <c r="Z27" i="1"/>
  <c r="BN27" i="1"/>
  <c r="BP27" i="1"/>
  <c r="Y494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Z68" i="1"/>
  <c r="Z70" i="1" s="1"/>
  <c r="BN68" i="1"/>
  <c r="Z74" i="1"/>
  <c r="Z77" i="1" s="1"/>
  <c r="BN74" i="1"/>
  <c r="Z76" i="1"/>
  <c r="BN76" i="1"/>
  <c r="Z80" i="1"/>
  <c r="Z82" i="1" s="1"/>
  <c r="BN80" i="1"/>
  <c r="BP80" i="1"/>
  <c r="E502" i="1"/>
  <c r="Z88" i="1"/>
  <c r="Z90" i="1" s="1"/>
  <c r="BN88" i="1"/>
  <c r="Y91" i="1"/>
  <c r="Z94" i="1"/>
  <c r="Z97" i="1" s="1"/>
  <c r="BN94" i="1"/>
  <c r="Z96" i="1"/>
  <c r="BN96" i="1"/>
  <c r="Z101" i="1"/>
  <c r="BN101" i="1"/>
  <c r="BP101" i="1"/>
  <c r="Z102" i="1"/>
  <c r="BN102" i="1"/>
  <c r="Z104" i="1"/>
  <c r="BN104" i="1"/>
  <c r="Y107" i="1"/>
  <c r="Z111" i="1"/>
  <c r="Z113" i="1" s="1"/>
  <c r="BN111" i="1"/>
  <c r="Z117" i="1"/>
  <c r="Z120" i="1" s="1"/>
  <c r="BN117" i="1"/>
  <c r="Z119" i="1"/>
  <c r="BN119" i="1"/>
  <c r="Z123" i="1"/>
  <c r="Z124" i="1" s="1"/>
  <c r="BN123" i="1"/>
  <c r="BP123" i="1"/>
  <c r="Z128" i="1"/>
  <c r="Z130" i="1" s="1"/>
  <c r="BN128" i="1"/>
  <c r="BP128" i="1"/>
  <c r="Y131" i="1"/>
  <c r="Z134" i="1"/>
  <c r="Z135" i="1" s="1"/>
  <c r="BN134" i="1"/>
  <c r="Z138" i="1"/>
  <c r="Z140" i="1" s="1"/>
  <c r="BN138" i="1"/>
  <c r="BP138" i="1"/>
  <c r="H502" i="1"/>
  <c r="Z145" i="1"/>
  <c r="Z146" i="1" s="1"/>
  <c r="BN145" i="1"/>
  <c r="Y146" i="1"/>
  <c r="Z149" i="1"/>
  <c r="BN149" i="1"/>
  <c r="BP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6" i="1"/>
  <c r="Z177" i="1" s="1"/>
  <c r="BN166" i="1"/>
  <c r="Z168" i="1"/>
  <c r="BN168" i="1"/>
  <c r="Z170" i="1"/>
  <c r="BN170" i="1"/>
  <c r="Z172" i="1"/>
  <c r="BN172" i="1"/>
  <c r="Z173" i="1"/>
  <c r="BN173" i="1"/>
  <c r="Z175" i="1"/>
  <c r="BN175" i="1"/>
  <c r="Z181" i="1"/>
  <c r="Z183" i="1" s="1"/>
  <c r="BN181" i="1"/>
  <c r="J502" i="1"/>
  <c r="Z192" i="1"/>
  <c r="Z193" i="1" s="1"/>
  <c r="BN192" i="1"/>
  <c r="Y193" i="1"/>
  <c r="Z196" i="1"/>
  <c r="Z198" i="1" s="1"/>
  <c r="BN196" i="1"/>
  <c r="BP196" i="1"/>
  <c r="Z202" i="1"/>
  <c r="Z209" i="1" s="1"/>
  <c r="BN202" i="1"/>
  <c r="Z204" i="1"/>
  <c r="BN204" i="1"/>
  <c r="Z206" i="1"/>
  <c r="BN206" i="1"/>
  <c r="Z208" i="1"/>
  <c r="BN208" i="1"/>
  <c r="Z212" i="1"/>
  <c r="Z221" i="1" s="1"/>
  <c r="BN212" i="1"/>
  <c r="BP212" i="1"/>
  <c r="Z214" i="1"/>
  <c r="BN214" i="1"/>
  <c r="Z216" i="1"/>
  <c r="BN216" i="1"/>
  <c r="Z218" i="1"/>
  <c r="BN218" i="1"/>
  <c r="Z220" i="1"/>
  <c r="BN220" i="1"/>
  <c r="Y221" i="1"/>
  <c r="BP225" i="1"/>
  <c r="BN225" i="1"/>
  <c r="Z225" i="1"/>
  <c r="Z226" i="1" s="1"/>
  <c r="Y227" i="1"/>
  <c r="K502" i="1"/>
  <c r="Y239" i="1"/>
  <c r="BP230" i="1"/>
  <c r="BN230" i="1"/>
  <c r="Z230" i="1"/>
  <c r="BP234" i="1"/>
  <c r="BN234" i="1"/>
  <c r="Z234" i="1"/>
  <c r="BP238" i="1"/>
  <c r="BN238" i="1"/>
  <c r="Z238" i="1"/>
  <c r="Y240" i="1"/>
  <c r="Y243" i="1"/>
  <c r="BP242" i="1"/>
  <c r="BN242" i="1"/>
  <c r="Z242" i="1"/>
  <c r="Z243" i="1" s="1"/>
  <c r="Y244" i="1"/>
  <c r="Y247" i="1"/>
  <c r="BP246" i="1"/>
  <c r="BN246" i="1"/>
  <c r="Z246" i="1"/>
  <c r="Z247" i="1" s="1"/>
  <c r="Y248" i="1"/>
  <c r="Y255" i="1"/>
  <c r="BP250" i="1"/>
  <c r="BN250" i="1"/>
  <c r="Z250" i="1"/>
  <c r="BP254" i="1"/>
  <c r="BN254" i="1"/>
  <c r="Z254" i="1"/>
  <c r="Y256" i="1"/>
  <c r="L502" i="1"/>
  <c r="Y264" i="1"/>
  <c r="BP259" i="1"/>
  <c r="BN259" i="1"/>
  <c r="Z259" i="1"/>
  <c r="Z264" i="1" s="1"/>
  <c r="BP263" i="1"/>
  <c r="BN263" i="1"/>
  <c r="Z263" i="1"/>
  <c r="Y265" i="1"/>
  <c r="M502" i="1"/>
  <c r="Y272" i="1"/>
  <c r="Y273" i="1"/>
  <c r="BP268" i="1"/>
  <c r="BN268" i="1"/>
  <c r="Z268" i="1"/>
  <c r="Z272" i="1" s="1"/>
  <c r="BP278" i="1"/>
  <c r="BN278" i="1"/>
  <c r="Z278" i="1"/>
  <c r="Y280" i="1"/>
  <c r="P502" i="1"/>
  <c r="Y286" i="1"/>
  <c r="BP283" i="1"/>
  <c r="BN283" i="1"/>
  <c r="Z283" i="1"/>
  <c r="Z285" i="1" s="1"/>
  <c r="Y285" i="1"/>
  <c r="BP328" i="1"/>
  <c r="BN328" i="1"/>
  <c r="Z328" i="1"/>
  <c r="Y330" i="1"/>
  <c r="Y335" i="1"/>
  <c r="BP332" i="1"/>
  <c r="BN332" i="1"/>
  <c r="Z332" i="1"/>
  <c r="Y336" i="1"/>
  <c r="BP341" i="1"/>
  <c r="BN341" i="1"/>
  <c r="Z341" i="1"/>
  <c r="Y343" i="1"/>
  <c r="Y354" i="1"/>
  <c r="BP347" i="1"/>
  <c r="BN347" i="1"/>
  <c r="Z347" i="1"/>
  <c r="S502" i="1"/>
  <c r="Y355" i="1"/>
  <c r="BP351" i="1"/>
  <c r="BN351" i="1"/>
  <c r="Z351" i="1"/>
  <c r="BP363" i="1"/>
  <c r="BN363" i="1"/>
  <c r="Z363" i="1"/>
  <c r="Z364" i="1" s="1"/>
  <c r="Y365" i="1"/>
  <c r="Y368" i="1"/>
  <c r="BP367" i="1"/>
  <c r="BN367" i="1"/>
  <c r="Z367" i="1"/>
  <c r="Z368" i="1" s="1"/>
  <c r="Y369" i="1"/>
  <c r="T502" i="1"/>
  <c r="Y375" i="1"/>
  <c r="BP372" i="1"/>
  <c r="BN372" i="1"/>
  <c r="Z372" i="1"/>
  <c r="Z374" i="1" s="1"/>
  <c r="Y374" i="1"/>
  <c r="BP415" i="1"/>
  <c r="BN415" i="1"/>
  <c r="Z415" i="1"/>
  <c r="BP430" i="1"/>
  <c r="BN430" i="1"/>
  <c r="Z430" i="1"/>
  <c r="BP434" i="1"/>
  <c r="BN434" i="1"/>
  <c r="Z434" i="1"/>
  <c r="Y438" i="1"/>
  <c r="Z444" i="1"/>
  <c r="BP442" i="1"/>
  <c r="BN442" i="1"/>
  <c r="Z442" i="1"/>
  <c r="Y444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279" i="1"/>
  <c r="BP276" i="1"/>
  <c r="BN276" i="1"/>
  <c r="Z276" i="1"/>
  <c r="Z279" i="1" s="1"/>
  <c r="BP289" i="1"/>
  <c r="BN289" i="1"/>
  <c r="Z289" i="1"/>
  <c r="Z290" i="1" s="1"/>
  <c r="Y291" i="1"/>
  <c r="Q502" i="1"/>
  <c r="Y301" i="1"/>
  <c r="BP294" i="1"/>
  <c r="BN294" i="1"/>
  <c r="Z294" i="1"/>
  <c r="Z300" i="1" s="1"/>
  <c r="BP298" i="1"/>
  <c r="BN298" i="1"/>
  <c r="Z298" i="1"/>
  <c r="Y309" i="1"/>
  <c r="BP306" i="1"/>
  <c r="BN306" i="1"/>
  <c r="Z306" i="1"/>
  <c r="BP314" i="1"/>
  <c r="BN314" i="1"/>
  <c r="Z314" i="1"/>
  <c r="Y323" i="1"/>
  <c r="BP326" i="1"/>
  <c r="BN326" i="1"/>
  <c r="Z326" i="1"/>
  <c r="Z329" i="1" s="1"/>
  <c r="BP334" i="1"/>
  <c r="BN334" i="1"/>
  <c r="Z334" i="1"/>
  <c r="R502" i="1"/>
  <c r="Y342" i="1"/>
  <c r="BP339" i="1"/>
  <c r="BN339" i="1"/>
  <c r="Z339" i="1"/>
  <c r="Z342" i="1" s="1"/>
  <c r="BP349" i="1"/>
  <c r="BN349" i="1"/>
  <c r="Z349" i="1"/>
  <c r="BP353" i="1"/>
  <c r="BN353" i="1"/>
  <c r="Z353" i="1"/>
  <c r="Y360" i="1"/>
  <c r="BP357" i="1"/>
  <c r="BN357" i="1"/>
  <c r="Z357" i="1"/>
  <c r="Z359" i="1" s="1"/>
  <c r="Y364" i="1"/>
  <c r="BP378" i="1"/>
  <c r="BN378" i="1"/>
  <c r="Z378" i="1"/>
  <c r="Z379" i="1" s="1"/>
  <c r="Y380" i="1"/>
  <c r="Y385" i="1"/>
  <c r="BP382" i="1"/>
  <c r="BN382" i="1"/>
  <c r="Z382" i="1"/>
  <c r="Z385" i="1" s="1"/>
  <c r="BP392" i="1"/>
  <c r="BN392" i="1"/>
  <c r="Z392" i="1"/>
  <c r="BP396" i="1"/>
  <c r="BN396" i="1"/>
  <c r="Z396" i="1"/>
  <c r="Z416" i="1"/>
  <c r="BP413" i="1"/>
  <c r="BN413" i="1"/>
  <c r="Z413" i="1"/>
  <c r="BP450" i="1"/>
  <c r="BN450" i="1"/>
  <c r="Z450" i="1"/>
  <c r="BP464" i="1"/>
  <c r="BN464" i="1"/>
  <c r="Z464" i="1"/>
  <c r="Z471" i="1"/>
  <c r="V502" i="1"/>
  <c r="Y410" i="1"/>
  <c r="Y417" i="1"/>
  <c r="Y416" i="1"/>
  <c r="BP428" i="1"/>
  <c r="BN428" i="1"/>
  <c r="Z428" i="1"/>
  <c r="Z438" i="1" s="1"/>
  <c r="BP432" i="1"/>
  <c r="BN432" i="1"/>
  <c r="Z432" i="1"/>
  <c r="BP436" i="1"/>
  <c r="BN436" i="1"/>
  <c r="Z436" i="1"/>
  <c r="Y445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Z466" i="1" s="1"/>
  <c r="Y466" i="1"/>
  <c r="BP470" i="1"/>
  <c r="BN470" i="1"/>
  <c r="Z470" i="1"/>
  <c r="Y472" i="1"/>
  <c r="Y477" i="1"/>
  <c r="BP474" i="1"/>
  <c r="BN474" i="1"/>
  <c r="Z474" i="1"/>
  <c r="Z476" i="1" s="1"/>
  <c r="Y485" i="1"/>
  <c r="Y502" i="1"/>
  <c r="Y439" i="1"/>
  <c r="Y495" i="1" l="1"/>
  <c r="Z335" i="1"/>
  <c r="Z255" i="1"/>
  <c r="Z152" i="1"/>
  <c r="Z106" i="1"/>
  <c r="Z44" i="1"/>
  <c r="Z32" i="1"/>
  <c r="Z497" i="1" s="1"/>
  <c r="Y496" i="1"/>
  <c r="X495" i="1"/>
  <c r="Z316" i="1"/>
  <c r="Z354" i="1"/>
  <c r="Z239" i="1"/>
  <c r="Z399" i="1"/>
  <c r="Y492" i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<sst xmlns="http://schemas.openxmlformats.org/spreadsheetml/2006/main" count="2362" uniqueCount="778">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</sst>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82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1" t="s">
        <v>0</v>
      </c>
      <c r="E1" s="579"/>
      <c r="F1" s="579"/>
      <c r="G1" s="12" t="s">
        <v>1</v>
      </c>
      <c r="H1" s="621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6"/>
      <c r="J5" s="776"/>
      <c r="K5" s="776"/>
      <c r="L5" s="776"/>
      <c r="M5" s="626"/>
      <c r="N5" s="58"/>
      <c r="P5" s="24" t="s">
        <v>10</v>
      </c>
      <c r="Q5" s="848">
        <v>46009</v>
      </c>
      <c r="R5" s="666"/>
      <c r="T5" s="715" t="s">
        <v>11</v>
      </c>
      <c r="U5" s="716"/>
      <c r="V5" s="718" t="s">
        <v>12</v>
      </c>
      <c r="W5" s="666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69"/>
      <c r="C6" s="670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6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1" t="s">
        <v>16</v>
      </c>
      <c r="U6" s="716"/>
      <c r="V6" s="764" t="s">
        <v>17</v>
      </c>
      <c r="W6" s="596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61"/>
      <c r="U7" s="716"/>
      <c r="V7" s="765"/>
      <c r="W7" s="766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9">
        <v>0.41666666666666669</v>
      </c>
      <c r="R8" s="607"/>
      <c r="T8" s="561"/>
      <c r="U8" s="716"/>
      <c r="V8" s="765"/>
      <c r="W8" s="766"/>
      <c r="AB8" s="51"/>
      <c r="AC8" s="51"/>
      <c r="AD8" s="51"/>
      <c r="AE8" s="51"/>
    </row>
    <row r="9" spans="1:32" s="541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9"/>
      <c r="P9" s="26" t="s">
        <v>21</v>
      </c>
      <c r="Q9" s="662"/>
      <c r="R9" s="663"/>
      <c r="T9" s="561"/>
      <c r="U9" s="716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61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2"/>
      <c r="R10" s="723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6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0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679"/>
      <c r="R12" s="607"/>
      <c r="S12" s="23"/>
      <c r="U12" s="24"/>
      <c r="V12" s="579"/>
      <c r="W12" s="561"/>
      <c r="AB12" s="51"/>
      <c r="AC12" s="51"/>
      <c r="AD12" s="51"/>
      <c r="AE12" s="51"/>
    </row>
    <row r="13" spans="1:32" s="541" customFormat="1" ht="23.25" customHeight="1" x14ac:dyDescent="0.2">
      <c r="A13" s="710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796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0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00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6" t="s">
        <v>51</v>
      </c>
      <c r="V17" s="670"/>
      <c r="W17" s="590" t="s">
        <v>52</v>
      </c>
      <c r="X17" s="590" t="s">
        <v>53</v>
      </c>
      <c r="Y17" s="864" t="s">
        <v>54</v>
      </c>
      <c r="Z17" s="774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91"/>
      <c r="X18" s="591"/>
      <c r="Y18" s="865"/>
      <c r="Z18" s="775"/>
      <c r="AA18" s="760"/>
      <c r="AB18" s="760"/>
      <c r="AC18" s="760"/>
      <c r="AD18" s="831"/>
      <c r="AE18" s="832"/>
      <c r="AF18" s="833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3500</v>
      </c>
      <c r="Y53" s="548">
        <f t="shared" si="0"/>
        <v>3510.0000000000005</v>
      </c>
      <c r="Z53" s="36">
        <f>IFERROR(IF(Y53=0,"",ROUNDUP(Y53/H53,0)*0.01898),"")</f>
        <v>6.1684999999999999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3632.87037037037</v>
      </c>
      <c r="BN53" s="64">
        <f t="shared" si="2"/>
        <v>3643.2500000000005</v>
      </c>
      <c r="BO53" s="64">
        <f t="shared" si="3"/>
        <v>5.0636574074074074</v>
      </c>
      <c r="BP53" s="64">
        <f t="shared" si="4"/>
        <v>5.078125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324.07407407407408</v>
      </c>
      <c r="Y58" s="549">
        <f>IFERROR(Y52/H52,"0")+IFERROR(Y53/H53,"0")+IFERROR(Y54/H54,"0")+IFERROR(Y55/H55,"0")+IFERROR(Y56/H56,"0")+IFERROR(Y57/H57,"0")</f>
        <v>325</v>
      </c>
      <c r="Z58" s="549">
        <f>IFERROR(IF(Z52="",0,Z52),"0")+IFERROR(IF(Z53="",0,Z53),"0")+IFERROR(IF(Z54="",0,Z54),"0")+IFERROR(IF(Z55="",0,Z55),"0")+IFERROR(IF(Z56="",0,Z56),"0")+IFERROR(IF(Z57="",0,Z57),"0")</f>
        <v>6.1684999999999999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3500</v>
      </c>
      <c r="Y59" s="549">
        <f>IFERROR(SUM(Y52:Y57),"0")</f>
        <v>3510.0000000000005</v>
      </c>
      <c r="Z59" s="37"/>
      <c r="AA59" s="550"/>
      <c r="AB59" s="550"/>
      <c r="AC59" s="550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9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500</v>
      </c>
      <c r="Y61" s="548">
        <f>IFERROR(IF(X61="",0,CEILING((X61/$H61),1)*$H61),"")</f>
        <v>507.6</v>
      </c>
      <c r="Z61" s="36">
        <f>IFERROR(IF(Y61=0,"",ROUNDUP(Y61/H61,0)*0.01898),"")</f>
        <v>0.89205999999999996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518.98148148148141</v>
      </c>
      <c r="BN61" s="64">
        <f>IFERROR(Y61*I61/H61,"0")</f>
        <v>526.87</v>
      </c>
      <c r="BO61" s="64">
        <f>IFERROR(1/J61*(X61/H61),"0")</f>
        <v>0.72337962962962954</v>
      </c>
      <c r="BP61" s="64">
        <f>IFERROR(1/J61*(Y61/H61),"0")</f>
        <v>0.734375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46.296296296296291</v>
      </c>
      <c r="Y64" s="549">
        <f>IFERROR(Y61/H61,"0")+IFERROR(Y62/H62,"0")+IFERROR(Y63/H63,"0")</f>
        <v>47</v>
      </c>
      <c r="Z64" s="549">
        <f>IFERROR(IF(Z61="",0,Z61),"0")+IFERROR(IF(Z62="",0,Z62),"0")+IFERROR(IF(Z63="",0,Z63),"0")</f>
        <v>0.89205999999999996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500</v>
      </c>
      <c r="Y65" s="549">
        <f>IFERROR(SUM(Y61:Y63),"0")</f>
        <v>507.6</v>
      </c>
      <c r="Z65" s="37"/>
      <c r="AA65" s="550"/>
      <c r="AB65" s="550"/>
      <c r="AC65" s="550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8">
        <v>4680115885059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8">
        <v>4680115885097</v>
      </c>
      <c r="E69" s="559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8">
        <v>4680115885769</v>
      </c>
      <c r="E73" s="559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8">
        <v>4680115884311</v>
      </c>
      <c r="E74" s="559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8">
        <v>4680115885929</v>
      </c>
      <c r="E75" s="559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8">
        <v>4680115884403</v>
      </c>
      <c r="E76" s="559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8">
        <v>4680115881532</v>
      </c>
      <c r="E80" s="559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8">
        <v>4680115881464</v>
      </c>
      <c r="E81" s="559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8">
        <v>4680115881327</v>
      </c>
      <c r="E86" s="559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8">
        <v>4680115887732</v>
      </c>
      <c r="E87" s="559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7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8">
        <v>4680115881518</v>
      </c>
      <c r="E88" s="559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8">
        <v>4680115881303</v>
      </c>
      <c r="E89" s="559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7" t="s">
        <v>76</v>
      </c>
      <c r="X90" s="549">
        <f>IFERROR(X86/H86,"0")+IFERROR(X87/H87,"0")+IFERROR(X88/H88,"0")+IFERROR(X89/H89,"0")</f>
        <v>0</v>
      </c>
      <c r="Y90" s="549">
        <f>IFERROR(Y86/H86,"0")+IFERROR(Y87/H87,"0")+IFERROR(Y88/H88,"0")+IFERROR(Y89/H89,"0")</f>
        <v>0</v>
      </c>
      <c r="Z90" s="549">
        <f>IFERROR(IF(Z86="",0,Z86),"0")+IFERROR(IF(Z87="",0,Z87),"0")+IFERROR(IF(Z88="",0,Z88),"0")+IFERROR(IF(Z89="",0,Z89),"0")</f>
        <v>0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7" t="s">
        <v>69</v>
      </c>
      <c r="X91" s="549">
        <f>IFERROR(SUM(X86:X89),"0")</f>
        <v>0</v>
      </c>
      <c r="Y91" s="549">
        <f>IFERROR(SUM(Y86:Y89),"0")</f>
        <v>0</v>
      </c>
      <c r="Z91" s="37"/>
      <c r="AA91" s="550"/>
      <c r="AB91" s="550"/>
      <c r="AC91" s="550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8">
        <v>4607091386967</v>
      </c>
      <c r="E93" s="559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8">
        <v>4680115884953</v>
      </c>
      <c r="E94" s="559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8">
        <v>4607091385731</v>
      </c>
      <c r="E95" s="559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15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4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7" t="s">
        <v>76</v>
      </c>
      <c r="X120" s="549">
        <f>IFERROR(X116/H116,"0")+IFERROR(X117/H117,"0")+IFERROR(X118/H118,"0")+IFERROR(X119/H119,"0")</f>
        <v>0</v>
      </c>
      <c r="Y120" s="549">
        <f>IFERROR(Y116/H116,"0")+IFERROR(Y117/H117,"0")+IFERROR(Y118/H118,"0")+IFERROR(Y119/H119,"0")</f>
        <v>0</v>
      </c>
      <c r="Z120" s="549">
        <f>IFERROR(IF(Z116="",0,Z116),"0")+IFERROR(IF(Z117="",0,Z117),"0")+IFERROR(IF(Z118="",0,Z118),"0")+IFERROR(IF(Z119="",0,Z119),"0")</f>
        <v>0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7" t="s">
        <v>69</v>
      </c>
      <c r="X121" s="549">
        <f>IFERROR(SUM(X116:X119),"0")</f>
        <v>0</v>
      </c>
      <c r="Y121" s="549">
        <f>IFERROR(SUM(Y116:Y119),"0")</f>
        <v>0</v>
      </c>
      <c r="Z121" s="37"/>
      <c r="AA121" s="550"/>
      <c r="AB121" s="550"/>
      <c r="AC121" s="550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8"/>
      <c r="AB158" s="48"/>
      <c r="AC158" s="48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5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1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0</v>
      </c>
      <c r="Y221" s="549">
        <f>IFERROR(Y212/H212,"0")+IFERROR(Y213/H213,"0")+IFERROR(Y214/H214,"0")+IFERROR(Y215/H215,"0")+IFERROR(Y216/H216,"0")+IFERROR(Y217/H217,"0")+IFERROR(Y218/H218,"0")+IFERROR(Y219/H219,"0")+IFERROR(Y220/H220,"0")</f>
        <v>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7" t="s">
        <v>69</v>
      </c>
      <c r="X222" s="549">
        <f>IFERROR(SUM(X212:X220),"0")</f>
        <v>0</v>
      </c>
      <c r="Y222" s="549">
        <f>IFERROR(SUM(Y212:Y220),"0")</f>
        <v>0</v>
      </c>
      <c r="Z222" s="37"/>
      <c r="AA222" s="550"/>
      <c r="AB222" s="550"/>
      <c r="AC222" s="550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9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8">
        <v>4607091386004</v>
      </c>
      <c r="E294" s="559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3000</v>
      </c>
      <c r="Y294" s="548">
        <f t="shared" ref="Y294:Y299" si="26">IFERROR(IF(X294="",0,CEILING((X294/$H294),1)*$H294),"")</f>
        <v>3002.4</v>
      </c>
      <c r="Z294" s="36">
        <f>IFERROR(IF(Y294=0,"",ROUNDUP(Y294/H294,0)*0.01898),"")</f>
        <v>5.27644</v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3113.8888888888887</v>
      </c>
      <c r="BN294" s="64">
        <f t="shared" ref="BN294:BN299" si="28">IFERROR(Y294*I294/H294,"0")</f>
        <v>3116.38</v>
      </c>
      <c r="BO294" s="64">
        <f t="shared" ref="BO294:BO299" si="29">IFERROR(1/J294*(X294/H294),"0")</f>
        <v>4.3402777777777777</v>
      </c>
      <c r="BP294" s="64">
        <f t="shared" ref="BP294:BP299" si="30">IFERROR(1/J294*(Y294/H294),"0")</f>
        <v>4.34375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8">
        <v>4680115885615</v>
      </c>
      <c r="E295" s="559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8">
        <v>4680115885646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2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8">
        <v>4680115885554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8">
        <v>4680115885622</v>
      </c>
      <c r="E298" s="559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8">
        <v>4680115885608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7" t="s">
        <v>76</v>
      </c>
      <c r="X300" s="549">
        <f>IFERROR(X294/H294,"0")+IFERROR(X295/H295,"0")+IFERROR(X296/H296,"0")+IFERROR(X297/H297,"0")+IFERROR(X298/H298,"0")+IFERROR(X299/H299,"0")</f>
        <v>277.77777777777777</v>
      </c>
      <c r="Y300" s="549">
        <f>IFERROR(Y294/H294,"0")+IFERROR(Y295/H295,"0")+IFERROR(Y296/H296,"0")+IFERROR(Y297/H297,"0")+IFERROR(Y298/H298,"0")+IFERROR(Y299/H299,"0")</f>
        <v>278</v>
      </c>
      <c r="Z300" s="549">
        <f>IFERROR(IF(Z294="",0,Z294),"0")+IFERROR(IF(Z295="",0,Z295),"0")+IFERROR(IF(Z296="",0,Z296),"0")+IFERROR(IF(Z297="",0,Z297),"0")+IFERROR(IF(Z298="",0,Z298),"0")+IFERROR(IF(Z299="",0,Z299),"0")</f>
        <v>5.27644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7" t="s">
        <v>69</v>
      </c>
      <c r="X301" s="549">
        <f>IFERROR(SUM(X294:X299),"0")</f>
        <v>3000</v>
      </c>
      <c r="Y301" s="549">
        <f>IFERROR(SUM(Y294:Y299),"0")</f>
        <v>3002.4</v>
      </c>
      <c r="Z301" s="37"/>
      <c r="AA301" s="550"/>
      <c r="AB301" s="550"/>
      <c r="AC301" s="550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8">
        <v>4607091387193</v>
      </c>
      <c r="E303" s="559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0</v>
      </c>
      <c r="Y303" s="548">
        <f t="shared" ref="Y303:Y308" si="31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0</v>
      </c>
      <c r="BN303" s="64">
        <f t="shared" ref="BN303:BN308" si="33">IFERROR(Y303*I303/H303,"0")</f>
        <v>0</v>
      </c>
      <c r="BO303" s="64">
        <f t="shared" ref="BO303:BO308" si="34">IFERROR(1/J303*(X303/H303),"0")</f>
        <v>0</v>
      </c>
      <c r="BP303" s="64">
        <f t="shared" ref="BP303:BP308" si="35">IFERROR(1/J303*(Y303/H303),"0")</f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8">
        <v>4607091387230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si="31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8">
        <v>4607091387292</v>
      </c>
      <c r="E305" s="559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8">
        <v>4607091387285</v>
      </c>
      <c r="E306" s="559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8">
        <v>4607091389845</v>
      </c>
      <c r="E307" s="559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8">
        <v>4607091383836</v>
      </c>
      <c r="E308" s="559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7" t="s">
        <v>76</v>
      </c>
      <c r="X309" s="549">
        <f>IFERROR(X303/H303,"0")+IFERROR(X304/H304,"0")+IFERROR(X305/H305,"0")+IFERROR(X306/H306,"0")+IFERROR(X307/H307,"0")+IFERROR(X308/H308,"0")</f>
        <v>0</v>
      </c>
      <c r="Y309" s="549">
        <f>IFERROR(Y303/H303,"0")+IFERROR(Y304/H304,"0")+IFERROR(Y305/H305,"0")+IFERROR(Y306/H306,"0")+IFERROR(Y307/H307,"0")+IFERROR(Y308/H308,"0")</f>
        <v>0</v>
      </c>
      <c r="Z309" s="549">
        <f>IFERROR(IF(Z303="",0,Z303),"0")+IFERROR(IF(Z304="",0,Z304),"0")+IFERROR(IF(Z305="",0,Z305),"0")+IFERROR(IF(Z306="",0,Z306),"0")+IFERROR(IF(Z307="",0,Z307),"0")+IFERROR(IF(Z308="",0,Z308),"0")</f>
        <v>0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7" t="s">
        <v>69</v>
      </c>
      <c r="X310" s="549">
        <f>IFERROR(SUM(X303:X308),"0")</f>
        <v>0</v>
      </c>
      <c r="Y310" s="549">
        <f>IFERROR(SUM(Y303:Y308),"0")</f>
        <v>0</v>
      </c>
      <c r="Z310" s="37"/>
      <c r="AA310" s="550"/>
      <c r="AB310" s="550"/>
      <c r="AC310" s="550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8">
        <v>4607091387766</v>
      </c>
      <c r="E312" s="559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6000</v>
      </c>
      <c r="Y312" s="548">
        <f>IFERROR(IF(X312="",0,CEILING((X312/$H312),1)*$H312),"")</f>
        <v>6006</v>
      </c>
      <c r="Z312" s="36">
        <f>IFERROR(IF(Y312=0,"",ROUNDUP(Y312/H312,0)*0.01898),"")</f>
        <v>14.614600000000001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6375.3846153846152</v>
      </c>
      <c r="BN312" s="64">
        <f>IFERROR(Y312*I312/H312,"0")</f>
        <v>6381.76</v>
      </c>
      <c r="BO312" s="64">
        <f>IFERROR(1/J312*(X312/H312),"0")</f>
        <v>12.01923076923077</v>
      </c>
      <c r="BP312" s="64">
        <f>IFERROR(1/J312*(Y312/H312),"0")</f>
        <v>12.03125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8">
        <v>4607091387957</v>
      </c>
      <c r="E313" s="559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8">
        <v>4607091387964</v>
      </c>
      <c r="E314" s="559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8">
        <v>4680115884588</v>
      </c>
      <c r="E315" s="559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7" t="s">
        <v>76</v>
      </c>
      <c r="X316" s="549">
        <f>IFERROR(X312/H312,"0")+IFERROR(X313/H313,"0")+IFERROR(X314/H314,"0")+IFERROR(X315/H315,"0")</f>
        <v>769.23076923076928</v>
      </c>
      <c r="Y316" s="549">
        <f>IFERROR(Y312/H312,"0")+IFERROR(Y313/H313,"0")+IFERROR(Y314/H314,"0")+IFERROR(Y315/H315,"0")</f>
        <v>770</v>
      </c>
      <c r="Z316" s="549">
        <f>IFERROR(IF(Z312="",0,Z312),"0")+IFERROR(IF(Z313="",0,Z313),"0")+IFERROR(IF(Z314="",0,Z314),"0")+IFERROR(IF(Z315="",0,Z315),"0")</f>
        <v>14.614600000000001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7" t="s">
        <v>69</v>
      </c>
      <c r="X317" s="549">
        <f>IFERROR(SUM(X312:X315),"0")</f>
        <v>6000</v>
      </c>
      <c r="Y317" s="549">
        <f>IFERROR(SUM(Y312:Y315),"0")</f>
        <v>6006</v>
      </c>
      <c r="Z317" s="37"/>
      <c r="AA317" s="550"/>
      <c r="AB317" s="550"/>
      <c r="AC317" s="550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8">
        <v>4607091380880</v>
      </c>
      <c r="E319" s="559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8">
        <v>4607091384482</v>
      </c>
      <c r="E320" s="559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8">
        <v>4607091380897</v>
      </c>
      <c r="E321" s="559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7" t="s">
        <v>76</v>
      </c>
      <c r="X322" s="549">
        <f>IFERROR(X319/H319,"0")+IFERROR(X320/H320,"0")+IFERROR(X321/H321,"0")</f>
        <v>0</v>
      </c>
      <c r="Y322" s="549">
        <f>IFERROR(Y319/H319,"0")+IFERROR(Y320/H320,"0")+IFERROR(Y321/H321,"0")</f>
        <v>0</v>
      </c>
      <c r="Z322" s="549">
        <f>IFERROR(IF(Z319="",0,Z319),"0")+IFERROR(IF(Z320="",0,Z320),"0")+IFERROR(IF(Z321="",0,Z321),"0")</f>
        <v>0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7" t="s">
        <v>69</v>
      </c>
      <c r="X323" s="549">
        <f>IFERROR(SUM(X319:X321),"0")</f>
        <v>0</v>
      </c>
      <c r="Y323" s="549">
        <f>IFERROR(SUM(Y319:Y321),"0")</f>
        <v>0</v>
      </c>
      <c r="Z323" s="37"/>
      <c r="AA323" s="550"/>
      <c r="AB323" s="550"/>
      <c r="AC323" s="550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8">
        <v>4607091388381</v>
      </c>
      <c r="E325" s="559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8">
        <v>4607091388374</v>
      </c>
      <c r="E326" s="559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8">
        <v>4607091383102</v>
      </c>
      <c r="E327" s="559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8">
        <v>4607091388404</v>
      </c>
      <c r="E328" s="559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8">
        <v>4680115881808</v>
      </c>
      <c r="E332" s="559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8">
        <v>4680115881822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8">
        <v>4680115880016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8">
        <v>4607091387919</v>
      </c>
      <c r="E339" s="559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8">
        <v>4680115883604</v>
      </c>
      <c r="E340" s="559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8">
        <v>4680115883567</v>
      </c>
      <c r="E341" s="559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7" t="s">
        <v>76</v>
      </c>
      <c r="X342" s="549">
        <f>IFERROR(X339/H339,"0")+IFERROR(X340/H340,"0")+IFERROR(X341/H341,"0")</f>
        <v>0</v>
      </c>
      <c r="Y342" s="549">
        <f>IFERROR(Y339/H339,"0")+IFERROR(Y340/H340,"0")+IFERROR(Y341/H341,"0")</f>
        <v>0</v>
      </c>
      <c r="Z342" s="549">
        <f>IFERROR(IF(Z339="",0,Z339),"0")+IFERROR(IF(Z340="",0,Z340),"0")+IFERROR(IF(Z341="",0,Z341),"0")</f>
        <v>0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7" t="s">
        <v>69</v>
      </c>
      <c r="X343" s="549">
        <f>IFERROR(SUM(X339:X341),"0")</f>
        <v>0</v>
      </c>
      <c r="Y343" s="549">
        <f>IFERROR(SUM(Y339:Y341),"0")</f>
        <v>0</v>
      </c>
      <c r="Z343" s="37"/>
      <c r="AA343" s="550"/>
      <c r="AB343" s="550"/>
      <c r="AC343" s="550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8"/>
      <c r="AB344" s="48"/>
      <c r="AC344" s="48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8">
        <v>4680115884847</v>
      </c>
      <c r="E347" s="559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8">
        <v>4680115884854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0</v>
      </c>
      <c r="Y348" s="548">
        <f t="shared" si="36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8">
        <v>4680115887046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5000</v>
      </c>
      <c r="Y350" s="548">
        <f t="shared" si="36"/>
        <v>5010</v>
      </c>
      <c r="Z350" s="36">
        <f>IFERROR(IF(Y350=0,"",ROUNDUP(Y350/H350,0)*0.02175),"")</f>
        <v>7.2644999999999991</v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5156.666666666667</v>
      </c>
      <c r="BN350" s="64">
        <f t="shared" si="38"/>
        <v>5166.9799999999996</v>
      </c>
      <c r="BO350" s="64">
        <f t="shared" si="39"/>
        <v>6.9444444444444438</v>
      </c>
      <c r="BP350" s="64">
        <f t="shared" si="40"/>
        <v>6.958333333333333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8">
        <v>4680115882638</v>
      </c>
      <c r="E351" s="559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8">
        <v>4680115884922</v>
      </c>
      <c r="E352" s="559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8">
        <v>4680115884861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7" t="s">
        <v>76</v>
      </c>
      <c r="X354" s="549">
        <f>IFERROR(X347/H347,"0")+IFERROR(X348/H348,"0")+IFERROR(X349/H349,"0")+IFERROR(X350/H350,"0")+IFERROR(X351/H351,"0")+IFERROR(X352/H352,"0")+IFERROR(X353/H353,"0")</f>
        <v>333.33333333333331</v>
      </c>
      <c r="Y354" s="549">
        <f>IFERROR(Y347/H347,"0")+IFERROR(Y348/H348,"0")+IFERROR(Y349/H349,"0")+IFERROR(Y350/H350,"0")+IFERROR(Y351/H351,"0")+IFERROR(Y352/H352,"0")+IFERROR(Y353/H353,"0")</f>
        <v>334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7.2644999999999991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7" t="s">
        <v>69</v>
      </c>
      <c r="X355" s="549">
        <f>IFERROR(SUM(X347:X353),"0")</f>
        <v>5000</v>
      </c>
      <c r="Y355" s="549">
        <f>IFERROR(SUM(Y347:Y353),"0")</f>
        <v>5010</v>
      </c>
      <c r="Z355" s="37"/>
      <c r="AA355" s="550"/>
      <c r="AB355" s="550"/>
      <c r="AC355" s="550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8">
        <v>4607091383980</v>
      </c>
      <c r="E357" s="559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0</v>
      </c>
      <c r="Y357" s="548">
        <f>IFERROR(IF(X357="",0,CEILING((X357/$H357),1)*$H357),"")</f>
        <v>0</v>
      </c>
      <c r="Z357" s="36" t="str">
        <f>IFERROR(IF(Y357=0,"",ROUNDUP(Y357/H357,0)*0.02175),"")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8">
        <v>4607091384178</v>
      </c>
      <c r="E358" s="559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7" t="s">
        <v>76</v>
      </c>
      <c r="X359" s="549">
        <f>IFERROR(X357/H357,"0")+IFERROR(X358/H358,"0")</f>
        <v>0</v>
      </c>
      <c r="Y359" s="549">
        <f>IFERROR(Y357/H357,"0")+IFERROR(Y358/H358,"0")</f>
        <v>0</v>
      </c>
      <c r="Z359" s="549">
        <f>IFERROR(IF(Z357="",0,Z357),"0")+IFERROR(IF(Z358="",0,Z358),"0")</f>
        <v>0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7" t="s">
        <v>69</v>
      </c>
      <c r="X360" s="549">
        <f>IFERROR(SUM(X357:X358),"0")</f>
        <v>0</v>
      </c>
      <c r="Y360" s="549">
        <f>IFERROR(SUM(Y357:Y358),"0")</f>
        <v>0</v>
      </c>
      <c r="Z360" s="37"/>
      <c r="AA360" s="550"/>
      <c r="AB360" s="550"/>
      <c r="AC360" s="550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8">
        <v>4607091383928</v>
      </c>
      <c r="E362" s="559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8">
        <v>4607091384260</v>
      </c>
      <c r="E363" s="559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8">
        <v>4607091384673</v>
      </c>
      <c r="E367" s="559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8">
        <v>4680115884885</v>
      </c>
      <c r="E372" s="559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8">
        <v>4680115884908</v>
      </c>
      <c r="E373" s="559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8">
        <v>4607091384802</v>
      </c>
      <c r="E377" s="559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8">
        <v>4607091384802</v>
      </c>
      <c r="E378" s="559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8">
        <v>4607091384246</v>
      </c>
      <c r="E382" s="559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8">
        <v>4607091384253</v>
      </c>
      <c r="E383" s="559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8"/>
      <c r="AB387" s="48"/>
      <c r="AC387" s="48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8">
        <v>4680115886100</v>
      </c>
      <c r="E390" s="559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8">
        <v>4680115886117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8">
        <v>4680115886124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8">
        <v>4680115883147</v>
      </c>
      <c r="E393" s="559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8">
        <v>4607091384338</v>
      </c>
      <c r="E394" s="559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8">
        <v>4607091389524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8">
        <v>4680115883161</v>
      </c>
      <c r="E396" s="559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8">
        <v>4607091389531</v>
      </c>
      <c r="E397" s="559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8">
        <v>4607091384345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8">
        <v>4607091384352</v>
      </c>
      <c r="E402" s="559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8">
        <v>4607091389654</v>
      </c>
      <c r="E403" s="559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8">
        <v>4680115885240</v>
      </c>
      <c r="E408" s="559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8">
        <v>4680115886094</v>
      </c>
      <c r="E412" s="559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8">
        <v>4607091389425</v>
      </c>
      <c r="E413" s="559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8">
        <v>4680115880771</v>
      </c>
      <c r="E414" s="559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8">
        <v>4607091389500</v>
      </c>
      <c r="E415" s="559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8">
        <v>4680115885110</v>
      </c>
      <c r="E420" s="559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8"/>
      <c r="AB423" s="48"/>
      <c r="AC423" s="48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8">
        <v>4607091389067</v>
      </c>
      <c r="E426" s="559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8">
        <v>4607091383522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705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8">
        <v>4680115885271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8">
        <v>4680115885226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8">
        <v>4680115884502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8">
        <v>4607091389104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8">
        <v>4680115886391</v>
      </c>
      <c r="E433" s="559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8">
        <v>4680115880603</v>
      </c>
      <c r="E434" s="559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8">
        <v>4680115882782</v>
      </c>
      <c r="E435" s="559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8">
        <v>4680115885479</v>
      </c>
      <c r="E436" s="559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8">
        <v>4607091389982</v>
      </c>
      <c r="E437" s="559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7" t="s">
        <v>69</v>
      </c>
      <c r="X439" s="549">
        <f>IFERROR(SUM(X426:X437),"0")</f>
        <v>0</v>
      </c>
      <c r="Y439" s="549">
        <f>IFERROR(SUM(Y426:Y437),"0")</f>
        <v>0</v>
      </c>
      <c r="Z439" s="37"/>
      <c r="AA439" s="550"/>
      <c r="AB439" s="550"/>
      <c r="AC439" s="550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8">
        <v>4607091388930</v>
      </c>
      <c r="E441" s="559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0</v>
      </c>
      <c r="Y441" s="54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8">
        <v>4680115886407</v>
      </c>
      <c r="E442" s="559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8">
        <v>4680115880054</v>
      </c>
      <c r="E443" s="559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7" t="s">
        <v>76</v>
      </c>
      <c r="X444" s="549">
        <f>IFERROR(X441/H441,"0")+IFERROR(X442/H442,"0")+IFERROR(X443/H443,"0")</f>
        <v>0</v>
      </c>
      <c r="Y444" s="549">
        <f>IFERROR(Y441/H441,"0")+IFERROR(Y442/H442,"0")+IFERROR(Y443/H443,"0")</f>
        <v>0</v>
      </c>
      <c r="Z444" s="549">
        <f>IFERROR(IF(Z441="",0,Z441),"0")+IFERROR(IF(Z442="",0,Z442),"0")+IFERROR(IF(Z443="",0,Z443),"0")</f>
        <v>0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7" t="s">
        <v>69</v>
      </c>
      <c r="X445" s="549">
        <f>IFERROR(SUM(X441:X443),"0")</f>
        <v>0</v>
      </c>
      <c r="Y445" s="549">
        <f>IFERROR(SUM(Y441:Y443),"0")</f>
        <v>0</v>
      </c>
      <c r="Z445" s="37"/>
      <c r="AA445" s="550"/>
      <c r="AB445" s="550"/>
      <c r="AC445" s="550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8">
        <v>4680115883116</v>
      </c>
      <c r="E447" s="559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8">
        <v>4680115883093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8">
        <v>4680115883109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8">
        <v>4680115882072</v>
      </c>
      <c r="E450" s="559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8">
        <v>4680115882102</v>
      </c>
      <c r="E451" s="559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8">
        <v>4680115882096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7" t="s">
        <v>76</v>
      </c>
      <c r="X453" s="549">
        <f>IFERROR(X447/H447,"0")+IFERROR(X448/H448,"0")+IFERROR(X449/H449,"0")+IFERROR(X450/H450,"0")+IFERROR(X451/H451,"0")+IFERROR(X452/H452,"0")</f>
        <v>0</v>
      </c>
      <c r="Y453" s="549">
        <f>IFERROR(Y447/H447,"0")+IFERROR(Y448/H448,"0")+IFERROR(Y449/H449,"0")+IFERROR(Y450/H450,"0")+IFERROR(Y451/H451,"0")+IFERROR(Y452/H452,"0")</f>
        <v>0</v>
      </c>
      <c r="Z453" s="549">
        <f>IFERROR(IF(Z447="",0,Z447),"0")+IFERROR(IF(Z448="",0,Z448),"0")+IFERROR(IF(Z449="",0,Z449),"0")+IFERROR(IF(Z450="",0,Z450),"0")+IFERROR(IF(Z451="",0,Z451),"0")+IFERROR(IF(Z452="",0,Z452),"0")</f>
        <v>0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7" t="s">
        <v>69</v>
      </c>
      <c r="X454" s="549">
        <f>IFERROR(SUM(X447:X452),"0")</f>
        <v>0</v>
      </c>
      <c r="Y454" s="549">
        <f>IFERROR(SUM(Y447:Y452),"0")</f>
        <v>0</v>
      </c>
      <c r="Z454" s="37"/>
      <c r="AA454" s="550"/>
      <c r="AB454" s="550"/>
      <c r="AC454" s="550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8">
        <v>4680115883536</v>
      </c>
      <c r="E456" s="559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8"/>
      <c r="AB459" s="48"/>
      <c r="AC459" s="48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8">
        <v>4640242181011</v>
      </c>
      <c r="E462" s="559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8">
        <v>4640242180441</v>
      </c>
      <c r="E463" s="559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8">
        <v>4640242180564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8">
        <v>4640242181189</v>
      </c>
      <c r="E465" s="559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8">
        <v>4640242180519</v>
      </c>
      <c r="E469" s="559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8">
        <v>4640242180526</v>
      </c>
      <c r="E470" s="559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8">
        <v>4640242180816</v>
      </c>
      <c r="E474" s="559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3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6"/>
      <c r="P492" s="708" t="s">
        <v>752</v>
      </c>
      <c r="Q492" s="669"/>
      <c r="R492" s="669"/>
      <c r="S492" s="669"/>
      <c r="T492" s="669"/>
      <c r="U492" s="669"/>
      <c r="V492" s="670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18000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18036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6"/>
      <c r="P493" s="708" t="s">
        <v>753</v>
      </c>
      <c r="Q493" s="669"/>
      <c r="R493" s="669"/>
      <c r="S493" s="669"/>
      <c r="T493" s="669"/>
      <c r="U493" s="669"/>
      <c r="V493" s="670"/>
      <c r="W493" s="37" t="s">
        <v>69</v>
      </c>
      <c r="X493" s="549">
        <f>IFERROR(SUM(BM22:BM489),"0")</f>
        <v>18797.792022792022</v>
      </c>
      <c r="Y493" s="549">
        <f>IFERROR(SUM(BN22:BN489),"0")</f>
        <v>18835.240000000002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6"/>
      <c r="P494" s="708" t="s">
        <v>754</v>
      </c>
      <c r="Q494" s="669"/>
      <c r="R494" s="669"/>
      <c r="S494" s="669"/>
      <c r="T494" s="669"/>
      <c r="U494" s="669"/>
      <c r="V494" s="670"/>
      <c r="W494" s="37" t="s">
        <v>755</v>
      </c>
      <c r="X494" s="38">
        <f>ROUNDUP(SUM(BO22:BO489),0)</f>
        <v>30</v>
      </c>
      <c r="Y494" s="38">
        <f>ROUNDUP(SUM(BP22:BP489),0)</f>
        <v>30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6"/>
      <c r="P495" s="708" t="s">
        <v>756</v>
      </c>
      <c r="Q495" s="669"/>
      <c r="R495" s="669"/>
      <c r="S495" s="669"/>
      <c r="T495" s="669"/>
      <c r="U495" s="669"/>
      <c r="V495" s="670"/>
      <c r="W495" s="37" t="s">
        <v>69</v>
      </c>
      <c r="X495" s="549">
        <f>GrossWeightTotal+PalletQtyTotal*25</f>
        <v>19547.792022792022</v>
      </c>
      <c r="Y495" s="549">
        <f>GrossWeightTotalR+PalletQtyTotalR*25</f>
        <v>19585.240000000002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6"/>
      <c r="P496" s="708" t="s">
        <v>757</v>
      </c>
      <c r="Q496" s="669"/>
      <c r="R496" s="669"/>
      <c r="S496" s="669"/>
      <c r="T496" s="669"/>
      <c r="U496" s="669"/>
      <c r="V496" s="670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1750.7122507122506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1754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6"/>
      <c r="P497" s="708" t="s">
        <v>758</v>
      </c>
      <c r="Q497" s="669"/>
      <c r="R497" s="669"/>
      <c r="S497" s="669"/>
      <c r="T497" s="669"/>
      <c r="U497" s="669"/>
      <c r="V497" s="670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34.216099999999997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44" t="s">
        <v>659</v>
      </c>
      <c r="Y499" s="597" t="s">
        <v>715</v>
      </c>
      <c r="Z499" s="603"/>
      <c r="AB499" s="52"/>
      <c r="AC499" s="52"/>
      <c r="AF499" s="545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5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4017.6000000000004</v>
      </c>
      <c r="E502" s="46">
        <f>IFERROR(Y86*1,"0")+IFERROR(Y87*1,"0")+IFERROR(Y88*1,"0")+IFERROR(Y89*1,"0")+IFERROR(Y93*1,"0")+IFERROR(Y94*1,"0")+IFERROR(Y95*1,"0")+IFERROR(Y96*1,"0")</f>
        <v>0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9008.4</v>
      </c>
      <c r="R502" s="46">
        <f>IFERROR(Y339*1,"0")+IFERROR(Y340*1,"0")+IFERROR(Y341*1,"0")</f>
        <v>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5010</v>
      </c>
      <c r="T502" s="46">
        <f>IFERROR(Y372*1,"0")+IFERROR(Y373*1,"0")+IFERROR(Y377*1,"0")+IFERROR(Y378*1,"0")+IFERROR(Y382*1,"0")+IFERROR(Y383*1,"0")+IFERROR(Y384*1,"0")</f>
        <v>0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0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P447:T447"/>
    <mergeCell ref="Y17:Y18"/>
    <mergeCell ref="U17:V17"/>
    <mergeCell ref="P310:V310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D203:E203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D420:E420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406:Z406"/>
    <mergeCell ref="P385:V385"/>
    <mergeCell ref="A381:Z381"/>
    <mergeCell ref="P124:V124"/>
    <mergeCell ref="P360:V360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D109:E109"/>
    <mergeCell ref="P138:T138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D448:E448"/>
    <mergeCell ref="P119:T119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D167:E167"/>
    <mergeCell ref="P351:T351"/>
    <mergeCell ref="P289:T289"/>
    <mergeCell ref="D161:E161"/>
    <mergeCell ref="D403:E403"/>
    <mergeCell ref="D232:E232"/>
    <mergeCell ref="A164:Z164"/>
    <mergeCell ref="D327:E327"/>
    <mergeCell ref="P439:V439"/>
    <mergeCell ref="D398:E398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D442:E442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261:E261"/>
    <mergeCell ref="P169:T169"/>
    <mergeCell ref="A130:O131"/>
    <mergeCell ref="P442:T442"/>
    <mergeCell ref="D118:E118"/>
    <mergeCell ref="P53:T53"/>
    <mergeCell ref="D63:E63"/>
    <mergeCell ref="D52:E52"/>
    <mergeCell ref="A438:O439"/>
    <mergeCell ref="P308:T308"/>
    <mergeCell ref="P427:T427"/>
    <mergeCell ref="A146:O147"/>
    <mergeCell ref="P283:T283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52:T452"/>
    <mergeCell ref="A258:Z258"/>
    <mergeCell ref="P37:V37"/>
    <mergeCell ref="P104:T104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P73:T73"/>
    <mergeCell ref="P144:T144"/>
    <mergeCell ref="P437:T437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277:T277"/>
    <mergeCell ref="D391:E391"/>
    <mergeCell ref="D220:E220"/>
    <mergeCell ref="P199:V199"/>
    <mergeCell ref="A195:Z195"/>
    <mergeCell ref="A198:O199"/>
    <mergeCell ref="A12:M12"/>
    <mergeCell ref="A19:Z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2025-12-16T08:38:08Z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