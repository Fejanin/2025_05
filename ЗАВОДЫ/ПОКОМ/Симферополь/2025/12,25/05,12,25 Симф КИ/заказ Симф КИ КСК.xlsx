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C2B7B545-F426-4216-80E2-519665D5982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BP423" i="1" s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500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U500" i="1" s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Y381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5" i="1" s="1"/>
  <c r="P372" i="1"/>
  <c r="X370" i="1"/>
  <c r="X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60" i="1" s="1"/>
  <c r="P357" i="1"/>
  <c r="X355" i="1"/>
  <c r="X354" i="1"/>
  <c r="BO353" i="1"/>
  <c r="BM353" i="1"/>
  <c r="Y353" i="1"/>
  <c r="BP353" i="1" s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Y350" i="1" s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7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Y311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Q500" i="1" s="1"/>
  <c r="P290" i="1"/>
  <c r="X287" i="1"/>
  <c r="X286" i="1"/>
  <c r="BO285" i="1"/>
  <c r="BM285" i="1"/>
  <c r="Y285" i="1"/>
  <c r="BP285" i="1" s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Y276" i="1" s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Z265" i="1" s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0" i="1" s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1" i="1" s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8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0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0" i="1" s="1"/>
  <c r="X24" i="1"/>
  <c r="X494" i="1" s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A9" i="1"/>
  <c r="A10" i="1" s="1"/>
  <c r="D7" i="1"/>
  <c r="Q6" i="1"/>
  <c r="P2" i="1"/>
  <c r="F9" i="1" l="1"/>
  <c r="J9" i="1"/>
  <c r="F10" i="1"/>
  <c r="Y24" i="1"/>
  <c r="Y32" i="1"/>
  <c r="Y44" i="1"/>
  <c r="Y59" i="1"/>
  <c r="Y65" i="1"/>
  <c r="Y71" i="1"/>
  <c r="Y77" i="1"/>
  <c r="Y83" i="1"/>
  <c r="Y90" i="1"/>
  <c r="Y96" i="1"/>
  <c r="Y105" i="1"/>
  <c r="Y111" i="1"/>
  <c r="Y117" i="1"/>
  <c r="Y128" i="1"/>
  <c r="Y132" i="1"/>
  <c r="Y138" i="1"/>
  <c r="Y143" i="1"/>
  <c r="Y149" i="1"/>
  <c r="Y173" i="1"/>
  <c r="Y179" i="1"/>
  <c r="Y183" i="1"/>
  <c r="J500" i="1"/>
  <c r="Y189" i="1"/>
  <c r="BP186" i="1"/>
  <c r="BN186" i="1"/>
  <c r="Y188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2" i="1"/>
  <c r="BN212" i="1"/>
  <c r="Z212" i="1"/>
  <c r="Y216" i="1"/>
  <c r="BP220" i="1"/>
  <c r="BN220" i="1"/>
  <c r="Z220" i="1"/>
  <c r="Z221" i="1" s="1"/>
  <c r="Y222" i="1"/>
  <c r="K500" i="1"/>
  <c r="Y235" i="1"/>
  <c r="Y236" i="1"/>
  <c r="BP225" i="1"/>
  <c r="BN225" i="1"/>
  <c r="Z225" i="1"/>
  <c r="H9" i="1"/>
  <c r="Z22" i="1"/>
  <c r="Z24" i="1" s="1"/>
  <c r="BN22" i="1"/>
  <c r="BP22" i="1"/>
  <c r="Y25" i="1"/>
  <c r="Z28" i="1"/>
  <c r="Z32" i="1" s="1"/>
  <c r="BN28" i="1"/>
  <c r="Z30" i="1"/>
  <c r="BN30" i="1"/>
  <c r="C500" i="1"/>
  <c r="Z42" i="1"/>
  <c r="Z44" i="1" s="1"/>
  <c r="BN42" i="1"/>
  <c r="Y45" i="1"/>
  <c r="D500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BN67" i="1"/>
  <c r="BP67" i="1"/>
  <c r="Z69" i="1"/>
  <c r="BN69" i="1"/>
  <c r="Z73" i="1"/>
  <c r="Z77" i="1" s="1"/>
  <c r="BN73" i="1"/>
  <c r="BP73" i="1"/>
  <c r="Z75" i="1"/>
  <c r="BN75" i="1"/>
  <c r="Z81" i="1"/>
  <c r="Z82" i="1" s="1"/>
  <c r="BN81" i="1"/>
  <c r="Z86" i="1"/>
  <c r="BN86" i="1"/>
  <c r="BP86" i="1"/>
  <c r="Z88" i="1"/>
  <c r="BN88" i="1"/>
  <c r="Y89" i="1"/>
  <c r="Z92" i="1"/>
  <c r="BN92" i="1"/>
  <c r="BP92" i="1"/>
  <c r="Z94" i="1"/>
  <c r="BN94" i="1"/>
  <c r="F500" i="1"/>
  <c r="Z101" i="1"/>
  <c r="Z104" i="1" s="1"/>
  <c r="BN101" i="1"/>
  <c r="Z103" i="1"/>
  <c r="BN103" i="1"/>
  <c r="Y104" i="1"/>
  <c r="Z107" i="1"/>
  <c r="Z110" i="1" s="1"/>
  <c r="BN107" i="1"/>
  <c r="BP107" i="1"/>
  <c r="Z109" i="1"/>
  <c r="BN109" i="1"/>
  <c r="Z113" i="1"/>
  <c r="BN113" i="1"/>
  <c r="BP113" i="1"/>
  <c r="Z115" i="1"/>
  <c r="BN115" i="1"/>
  <c r="G500" i="1"/>
  <c r="Z126" i="1"/>
  <c r="Z127" i="1" s="1"/>
  <c r="BN126" i="1"/>
  <c r="Y127" i="1"/>
  <c r="Z130" i="1"/>
  <c r="Z132" i="1" s="1"/>
  <c r="BN130" i="1"/>
  <c r="BP130" i="1"/>
  <c r="Z136" i="1"/>
  <c r="Z137" i="1" s="1"/>
  <c r="BN136" i="1"/>
  <c r="Z141" i="1"/>
  <c r="Z143" i="1" s="1"/>
  <c r="BN141" i="1"/>
  <c r="BP141" i="1"/>
  <c r="Y144" i="1"/>
  <c r="Z147" i="1"/>
  <c r="Z149" i="1" s="1"/>
  <c r="BN147" i="1"/>
  <c r="I500" i="1"/>
  <c r="Y160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Y193" i="1"/>
  <c r="BP198" i="1"/>
  <c r="BN198" i="1"/>
  <c r="Z198" i="1"/>
  <c r="BP202" i="1"/>
  <c r="BN202" i="1"/>
  <c r="Z202" i="1"/>
  <c r="Y217" i="1"/>
  <c r="BP210" i="1"/>
  <c r="BN210" i="1"/>
  <c r="Z210" i="1"/>
  <c r="BP214" i="1"/>
  <c r="BN214" i="1"/>
  <c r="Z214" i="1"/>
  <c r="Y221" i="1"/>
  <c r="Z227" i="1"/>
  <c r="BN227" i="1"/>
  <c r="Z229" i="1"/>
  <c r="BN229" i="1"/>
  <c r="Z231" i="1"/>
  <c r="BN231" i="1"/>
  <c r="Z233" i="1"/>
  <c r="BN233" i="1"/>
  <c r="Z247" i="1"/>
  <c r="Z251" i="1" s="1"/>
  <c r="BN247" i="1"/>
  <c r="BP247" i="1"/>
  <c r="Z249" i="1"/>
  <c r="BN249" i="1"/>
  <c r="L500" i="1"/>
  <c r="Z256" i="1"/>
  <c r="Z260" i="1" s="1"/>
  <c r="BN256" i="1"/>
  <c r="BP256" i="1"/>
  <c r="Z258" i="1"/>
  <c r="BN258" i="1"/>
  <c r="Y261" i="1"/>
  <c r="M500" i="1"/>
  <c r="Y268" i="1"/>
  <c r="BP274" i="1"/>
  <c r="BN274" i="1"/>
  <c r="Z274" i="1"/>
  <c r="P500" i="1"/>
  <c r="Y282" i="1"/>
  <c r="BP279" i="1"/>
  <c r="BN279" i="1"/>
  <c r="Z279" i="1"/>
  <c r="Z281" i="1" s="1"/>
  <c r="Y281" i="1"/>
  <c r="BP265" i="1"/>
  <c r="BN265" i="1"/>
  <c r="BP267" i="1"/>
  <c r="BN267" i="1"/>
  <c r="Z267" i="1"/>
  <c r="Z268" i="1" s="1"/>
  <c r="Y269" i="1"/>
  <c r="Y275" i="1"/>
  <c r="BP272" i="1"/>
  <c r="BN272" i="1"/>
  <c r="Z272" i="1"/>
  <c r="Z275" i="1" s="1"/>
  <c r="O500" i="1"/>
  <c r="Y287" i="1"/>
  <c r="Y296" i="1"/>
  <c r="Y304" i="1"/>
  <c r="Y312" i="1"/>
  <c r="Y318" i="1"/>
  <c r="Y324" i="1"/>
  <c r="Y330" i="1"/>
  <c r="Y337" i="1"/>
  <c r="Y349" i="1"/>
  <c r="Y355" i="1"/>
  <c r="Y359" i="1"/>
  <c r="Y370" i="1"/>
  <c r="Y374" i="1"/>
  <c r="Y380" i="1"/>
  <c r="Y394" i="1"/>
  <c r="Y400" i="1"/>
  <c r="Y405" i="1"/>
  <c r="Y411" i="1"/>
  <c r="BP428" i="1"/>
  <c r="BN428" i="1"/>
  <c r="Z428" i="1"/>
  <c r="BP432" i="1"/>
  <c r="BN432" i="1"/>
  <c r="Z432" i="1"/>
  <c r="Y434" i="1"/>
  <c r="Y439" i="1"/>
  <c r="BP436" i="1"/>
  <c r="BN436" i="1"/>
  <c r="Z436" i="1"/>
  <c r="BP444" i="1"/>
  <c r="BN444" i="1"/>
  <c r="Z444" i="1"/>
  <c r="Y448" i="1"/>
  <c r="BP452" i="1"/>
  <c r="BN452" i="1"/>
  <c r="Z452" i="1"/>
  <c r="Z454" i="1" s="1"/>
  <c r="BP462" i="1"/>
  <c r="BN462" i="1"/>
  <c r="Z462" i="1"/>
  <c r="Y464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S500" i="1"/>
  <c r="W500" i="1"/>
  <c r="Z285" i="1"/>
  <c r="Z286" i="1" s="1"/>
  <c r="BN285" i="1"/>
  <c r="Z290" i="1"/>
  <c r="BN290" i="1"/>
  <c r="BP290" i="1"/>
  <c r="Z292" i="1"/>
  <c r="BN292" i="1"/>
  <c r="Z294" i="1"/>
  <c r="BN294" i="1"/>
  <c r="Y295" i="1"/>
  <c r="Z298" i="1"/>
  <c r="BN298" i="1"/>
  <c r="BP298" i="1"/>
  <c r="Z300" i="1"/>
  <c r="BN300" i="1"/>
  <c r="Z302" i="1"/>
  <c r="BN302" i="1"/>
  <c r="Z308" i="1"/>
  <c r="Z311" i="1" s="1"/>
  <c r="BN308" i="1"/>
  <c r="Z310" i="1"/>
  <c r="BN310" i="1"/>
  <c r="Z314" i="1"/>
  <c r="Z317" i="1" s="1"/>
  <c r="BN314" i="1"/>
  <c r="BP314" i="1"/>
  <c r="Z316" i="1"/>
  <c r="BN316" i="1"/>
  <c r="Z320" i="1"/>
  <c r="BN320" i="1"/>
  <c r="BP320" i="1"/>
  <c r="Z322" i="1"/>
  <c r="BN322" i="1"/>
  <c r="Z328" i="1"/>
  <c r="Z330" i="1" s="1"/>
  <c r="BN328" i="1"/>
  <c r="R500" i="1"/>
  <c r="Z335" i="1"/>
  <c r="Z337" i="1" s="1"/>
  <c r="BN335" i="1"/>
  <c r="Y338" i="1"/>
  <c r="Z343" i="1"/>
  <c r="Z349" i="1" s="1"/>
  <c r="BN343" i="1"/>
  <c r="Z345" i="1"/>
  <c r="BN345" i="1"/>
  <c r="Z347" i="1"/>
  <c r="BN347" i="1"/>
  <c r="Z353" i="1"/>
  <c r="Z354" i="1" s="1"/>
  <c r="BN353" i="1"/>
  <c r="Z357" i="1"/>
  <c r="Z359" i="1" s="1"/>
  <c r="BN357" i="1"/>
  <c r="BP357" i="1"/>
  <c r="T500" i="1"/>
  <c r="Z368" i="1"/>
  <c r="Z369" i="1" s="1"/>
  <c r="BN368" i="1"/>
  <c r="Y369" i="1"/>
  <c r="Z372" i="1"/>
  <c r="Z374" i="1" s="1"/>
  <c r="BN372" i="1"/>
  <c r="BP372" i="1"/>
  <c r="Z378" i="1"/>
  <c r="Z380" i="1" s="1"/>
  <c r="BN378" i="1"/>
  <c r="Z386" i="1"/>
  <c r="Z394" i="1" s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X500" i="1"/>
  <c r="Y433" i="1"/>
  <c r="Z422" i="1"/>
  <c r="Z433" i="1" s="1"/>
  <c r="BN422" i="1"/>
  <c r="Z423" i="1"/>
  <c r="BN423" i="1"/>
  <c r="BP424" i="1"/>
  <c r="BN424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BP446" i="1"/>
  <c r="BN446" i="1"/>
  <c r="Z446" i="1"/>
  <c r="Y455" i="1"/>
  <c r="Y454" i="1"/>
  <c r="BP460" i="1"/>
  <c r="BN460" i="1"/>
  <c r="Z460" i="1"/>
  <c r="Z463" i="1" s="1"/>
  <c r="BP468" i="1"/>
  <c r="BN468" i="1"/>
  <c r="Z468" i="1"/>
  <c r="Y470" i="1"/>
  <c r="Y475" i="1"/>
  <c r="BP472" i="1"/>
  <c r="BN472" i="1"/>
  <c r="Z472" i="1"/>
  <c r="Z474" i="1" s="1"/>
  <c r="Y483" i="1"/>
  <c r="Y500" i="1"/>
  <c r="Z469" i="1" l="1"/>
  <c r="Z439" i="1"/>
  <c r="Y492" i="1"/>
  <c r="Z235" i="1"/>
  <c r="Z204" i="1"/>
  <c r="Z448" i="1"/>
  <c r="Z411" i="1"/>
  <c r="Z324" i="1"/>
  <c r="Z304" i="1"/>
  <c r="Z295" i="1"/>
  <c r="Z178" i="1"/>
  <c r="Z117" i="1"/>
  <c r="Z96" i="1"/>
  <c r="Z89" i="1"/>
  <c r="Z70" i="1"/>
  <c r="Z495" i="1" s="1"/>
  <c r="Y490" i="1"/>
  <c r="Y491" i="1"/>
  <c r="Y493" i="1" s="1"/>
  <c r="Y494" i="1"/>
</calcChain>
</file>

<file path=xl/sharedStrings.xml><?xml version="1.0" encoding="utf-8"?>
<sst xmlns="http://schemas.openxmlformats.org/spreadsheetml/2006/main" count="2283" uniqueCount="765">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</sst>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45998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Воскресенье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0.375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100</v>
      </c>
      <c r="Y41" s="54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280</v>
      </c>
      <c r="Y42" s="544">
        <f>IFERROR(IF(X42="",0,CEILING((X42/$H42),1)*$H42),"")</f>
        <v>280</v>
      </c>
      <c r="Z42" s="36">
        <f>IFERROR(IF(Y42=0,"",ROUNDUP(Y42/H42,0)*0.00902),"")</f>
        <v>0.63139999999999996</v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293.3</v>
      </c>
      <c r="BN42" s="64">
        <f>IFERROR(Y42*I42/H42,"0")</f>
        <v>293.3</v>
      </c>
      <c r="BO42" s="64">
        <f>IFERROR(1/J42*(X42/H42),"0")</f>
        <v>0.53030303030303028</v>
      </c>
      <c r="BP42" s="64">
        <f>IFERROR(1/J42*(Y42/H42),"0")</f>
        <v>0.53030303030303028</v>
      </c>
    </row>
    <row r="43" spans="1:68" ht="27" customHeight="1" x14ac:dyDescent="0.25">
      <c r="A43" s="54" t="s">
        <v>115</v>
      </c>
      <c r="B43" s="54" t="s">
        <v>116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79.259259259259267</v>
      </c>
      <c r="Y44" s="545">
        <f>IFERROR(Y41/H41,"0")+IFERROR(Y42/H42,"0")+IFERROR(Y43/H43,"0")</f>
        <v>80</v>
      </c>
      <c r="Z44" s="545">
        <f>IFERROR(IF(Z41="",0,Z41),"0")+IFERROR(IF(Z42="",0,Z42),"0")+IFERROR(IF(Z43="",0,Z43),"0")</f>
        <v>0.82119999999999993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380</v>
      </c>
      <c r="Y45" s="545">
        <f>IFERROR(SUM(Y41:Y43),"0")</f>
        <v>388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250</v>
      </c>
      <c r="Y53" s="54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/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315</v>
      </c>
      <c r="Y57" s="544">
        <f t="shared" si="0"/>
        <v>315</v>
      </c>
      <c r="Z57" s="36">
        <f>IFERROR(IF(Y57=0,"",ROUNDUP(Y57/H57,0)*0.00902),"")</f>
        <v>0.63139999999999996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328.3</v>
      </c>
      <c r="BN57" s="64">
        <f t="shared" si="2"/>
        <v>328.3</v>
      </c>
      <c r="BO57" s="64">
        <f t="shared" si="3"/>
        <v>0.53030303030303028</v>
      </c>
      <c r="BP57" s="64">
        <f t="shared" si="4"/>
        <v>0.53030303030303028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93.148148148148152</v>
      </c>
      <c r="Y58" s="545">
        <f>IFERROR(Y52/H52,"0")+IFERROR(Y53/H53,"0")+IFERROR(Y54/H54,"0")+IFERROR(Y55/H55,"0")+IFERROR(Y56/H56,"0")+IFERROR(Y57/H57,"0")</f>
        <v>94</v>
      </c>
      <c r="Z58" s="545">
        <f>IFERROR(IF(Z52="",0,Z52),"0")+IFERROR(IF(Z53="",0,Z53),"0")+IFERROR(IF(Z54="",0,Z54),"0")+IFERROR(IF(Z55="",0,Z55),"0")+IFERROR(IF(Z56="",0,Z56),"0")+IFERROR(IF(Z57="",0,Z57),"0")</f>
        <v>1.0869200000000001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565</v>
      </c>
      <c r="Y59" s="545">
        <f>IFERROR(SUM(Y52:Y57),"0")</f>
        <v>574.20000000000005</v>
      </c>
      <c r="Z59" s="37"/>
      <c r="AA59" s="546"/>
      <c r="AB59" s="546"/>
      <c r="AC59" s="546"/>
    </row>
    <row r="60" spans="1:68" ht="14.25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260</v>
      </c>
      <c r="Y61" s="544">
        <f>IFERROR(IF(X61="",0,CEILING((X61/$H61),1)*$H61),"")</f>
        <v>270</v>
      </c>
      <c r="Z61" s="36">
        <f>IFERROR(IF(Y61=0,"",ROUNDUP(Y61/H61,0)*0.01898),"")</f>
        <v>0.47450000000000003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269.87037037037038</v>
      </c>
      <c r="BN61" s="64">
        <f>IFERROR(Y61*I61/H61,"0")</f>
        <v>280.25</v>
      </c>
      <c r="BO61" s="64">
        <f>IFERROR(1/J61*(X61/H61),"0")</f>
        <v>0.37615740740740738</v>
      </c>
      <c r="BP61" s="64">
        <f>IFERROR(1/J61*(Y61/H61),"0")</f>
        <v>0.390625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189</v>
      </c>
      <c r="Y63" s="544">
        <f>IFERROR(IF(X63="",0,CEILING((X63/$H63),1)*$H63),"")</f>
        <v>189</v>
      </c>
      <c r="Z63" s="36">
        <f>IFERROR(IF(Y63=0,"",ROUNDUP(Y63/H63,0)*0.00651),"")</f>
        <v>0.45569999999999999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201.59999999999997</v>
      </c>
      <c r="BN63" s="64">
        <f>IFERROR(Y63*I63/H63,"0")</f>
        <v>201.59999999999997</v>
      </c>
      <c r="BO63" s="64">
        <f>IFERROR(1/J63*(X63/H63),"0")</f>
        <v>0.38461538461538464</v>
      </c>
      <c r="BP63" s="64">
        <f>IFERROR(1/J63*(Y63/H63),"0")</f>
        <v>0.38461538461538464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94.074074074074076</v>
      </c>
      <c r="Y64" s="545">
        <f>IFERROR(Y61/H61,"0")+IFERROR(Y62/H62,"0")+IFERROR(Y63/H63,"0")</f>
        <v>95</v>
      </c>
      <c r="Z64" s="545">
        <f>IFERROR(IF(Z61="",0,Z61),"0")+IFERROR(IF(Z62="",0,Z62),"0")+IFERROR(IF(Z63="",0,Z63),"0")</f>
        <v>0.93020000000000003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449</v>
      </c>
      <c r="Y65" s="545">
        <f>IFERROR(SUM(Y61:Y63),"0")</f>
        <v>459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40</v>
      </c>
      <c r="Y80" s="544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5.1282051282051286</v>
      </c>
      <c r="Y82" s="545">
        <f>IFERROR(Y80/H80,"0")+IFERROR(Y81/H81,"0")</f>
        <v>6</v>
      </c>
      <c r="Z82" s="545">
        <f>IFERROR(IF(Z80="",0,Z80),"0")+IFERROR(IF(Z81="",0,Z81),"0")</f>
        <v>0.11388000000000001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40</v>
      </c>
      <c r="Y83" s="545">
        <f>IFERROR(SUM(Y80:Y81),"0")</f>
        <v>46.8</v>
      </c>
      <c r="Z83" s="37"/>
      <c r="AA83" s="546"/>
      <c r="AB83" s="546"/>
      <c r="AC83" s="546"/>
    </row>
    <row r="84" spans="1:68" ht="16.5" customHeight="1" x14ac:dyDescent="0.25">
      <c r="A84" s="558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300</v>
      </c>
      <c r="Y86" s="544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/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450</v>
      </c>
      <c r="Y88" s="54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127.77777777777777</v>
      </c>
      <c r="Y89" s="545">
        <f>IFERROR(Y86/H86,"0")+IFERROR(Y87/H87,"0")+IFERROR(Y88/H88,"0")</f>
        <v>128</v>
      </c>
      <c r="Z89" s="545">
        <f>IFERROR(IF(Z86="",0,Z86),"0")+IFERROR(IF(Z87="",0,Z87),"0")+IFERROR(IF(Z88="",0,Z88),"0")</f>
        <v>1.43344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750</v>
      </c>
      <c r="Y90" s="545">
        <f>IFERROR(SUM(Y86:Y88),"0")</f>
        <v>752.40000000000009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480</v>
      </c>
      <c r="Y92" s="544">
        <f>IFERROR(IF(X92="",0,CEILING((X92/$H92),1)*$H92),"")</f>
        <v>486</v>
      </c>
      <c r="Z92" s="36">
        <f>IFERROR(IF(Y92=0,"",ROUNDUP(Y92/H92,0)*0.01898),"")</f>
        <v>1.1388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509.27407407407406</v>
      </c>
      <c r="BN92" s="64">
        <f>IFERROR(Y92*I92/H92,"0")</f>
        <v>515.64</v>
      </c>
      <c r="BO92" s="64">
        <f>IFERROR(1/J92*(X92/H92),"0")</f>
        <v>0.92592592592592593</v>
      </c>
      <c r="BP92" s="64">
        <f>IFERROR(1/J92*(Y92/H92),"0")</f>
        <v>0.9375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540</v>
      </c>
      <c r="Y94" s="544">
        <f>IFERROR(IF(X94="",0,CEILING((X94/$H94),1)*$H94),"")</f>
        <v>540</v>
      </c>
      <c r="Z94" s="36">
        <f>IFERROR(IF(Y94=0,"",ROUNDUP(Y94/H94,0)*0.00651),"")</f>
        <v>1.302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590.4</v>
      </c>
      <c r="BN94" s="64">
        <f>IFERROR(Y94*I94/H94,"0")</f>
        <v>590.4</v>
      </c>
      <c r="BO94" s="64">
        <f>IFERROR(1/J94*(X94/H94),"0")</f>
        <v>1.098901098901099</v>
      </c>
      <c r="BP94" s="64">
        <f>IFERROR(1/J94*(Y94/H94),"0")</f>
        <v>1.098901098901099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259.25925925925924</v>
      </c>
      <c r="Y96" s="545">
        <f>IFERROR(Y92/H92,"0")+IFERROR(Y93/H93,"0")+IFERROR(Y94/H94,"0")+IFERROR(Y95/H95,"0")</f>
        <v>260</v>
      </c>
      <c r="Z96" s="545">
        <f>IFERROR(IF(Z92="",0,Z92),"0")+IFERROR(IF(Z93="",0,Z93),"0")+IFERROR(IF(Z94="",0,Z94),"0")+IFERROR(IF(Z95="",0,Z95),"0")</f>
        <v>2.4408000000000003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1020</v>
      </c>
      <c r="Y97" s="545">
        <f>IFERROR(SUM(Y92:Y95),"0")</f>
        <v>1026</v>
      </c>
      <c r="Z97" s="37"/>
      <c r="AA97" s="546"/>
      <c r="AB97" s="546"/>
      <c r="AC97" s="546"/>
    </row>
    <row r="98" spans="1:68" ht="16.5" customHeight="1" x14ac:dyDescent="0.25">
      <c r="A98" s="558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90</v>
      </c>
      <c r="Y100" s="544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93.416666666666671</v>
      </c>
      <c r="BN100" s="64">
        <f>IFERROR(Y100*I100/H100,"0")</f>
        <v>100.89</v>
      </c>
      <c r="BO100" s="64">
        <f>IFERROR(1/J100*(X100/H100),"0")</f>
        <v>0.13020833333333331</v>
      </c>
      <c r="BP100" s="64">
        <f>IFERROR(1/J100*(Y100/H100),"0")</f>
        <v>0.140625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90</v>
      </c>
      <c r="Y102" s="544">
        <f>IFERROR(IF(X102="",0,CEILING((X102/$H102),1)*$H102),"")</f>
        <v>90</v>
      </c>
      <c r="Z102" s="36">
        <f>IFERROR(IF(Y102=0,"",ROUNDUP(Y102/H102,0)*0.00902),"")</f>
        <v>0.1804</v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93.800000000000011</v>
      </c>
      <c r="BN102" s="64">
        <f>IFERROR(Y102*I102/H102,"0")</f>
        <v>93.800000000000011</v>
      </c>
      <c r="BO102" s="64">
        <f>IFERROR(1/J102*(X102/H102),"0")</f>
        <v>0.15151515151515152</v>
      </c>
      <c r="BP102" s="64">
        <f>IFERROR(1/J102*(Y102/H102),"0")</f>
        <v>0.15151515151515152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28.333333333333332</v>
      </c>
      <c r="Y104" s="545">
        <f>IFERROR(Y100/H100,"0")+IFERROR(Y101/H101,"0")+IFERROR(Y102/H102,"0")+IFERROR(Y103/H103,"0")</f>
        <v>29</v>
      </c>
      <c r="Z104" s="545">
        <f>IFERROR(IF(Z100="",0,Z100),"0")+IFERROR(IF(Z101="",0,Z101),"0")+IFERROR(IF(Z102="",0,Z102),"0")+IFERROR(IF(Z103="",0,Z103),"0")</f>
        <v>0.35121999999999998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180</v>
      </c>
      <c r="Y105" s="545">
        <f>IFERROR(SUM(Y100:Y103),"0")</f>
        <v>187.2</v>
      </c>
      <c r="Z105" s="37"/>
      <c r="AA105" s="546"/>
      <c r="AB105" s="546"/>
      <c r="AC105" s="546"/>
    </row>
    <row r="106" spans="1:68" ht="14.25" customHeight="1" x14ac:dyDescent="0.25">
      <c r="A106" s="556" t="s">
        <v>139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480</v>
      </c>
      <c r="Y113" s="544">
        <f>IFERROR(IF(X113="",0,CEILING((X113/$H113),1)*$H113),"")</f>
        <v>486</v>
      </c>
      <c r="Z113" s="36">
        <f>IFERROR(IF(Y113=0,"",ROUNDUP(Y113/H113,0)*0.01898),"")</f>
        <v>1.1388</v>
      </c>
      <c r="AA113" s="56"/>
      <c r="AB113" s="57"/>
      <c r="AC113" s="157" t="s">
        <v>212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508.91851851851851</v>
      </c>
      <c r="BN113" s="64">
        <f>IFERROR(Y113*I113/H113,"0")</f>
        <v>515.28</v>
      </c>
      <c r="BO113" s="64">
        <f>IFERROR(1/J113*(X113/H113),"0")</f>
        <v>0.92592592592592593</v>
      </c>
      <c r="BP113" s="64">
        <f>IFERROR(1/J113*(Y113/H113),"0")</f>
        <v>0.9375</v>
      </c>
    </row>
    <row r="114" spans="1:68" ht="27" customHeight="1" x14ac:dyDescent="0.25">
      <c r="A114" s="54" t="s">
        <v>213</v>
      </c>
      <c r="B114" s="54" t="s">
        <v>214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217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337.5</v>
      </c>
      <c r="Y115" s="544">
        <f>IFERROR(IF(X115="",0,CEILING((X115/$H115),1)*$H115),"")</f>
        <v>337.5</v>
      </c>
      <c r="Z115" s="36">
        <f>IFERROR(IF(Y115=0,"",ROUNDUP(Y115/H115,0)*0.00651),"")</f>
        <v>0.81374999999999997</v>
      </c>
      <c r="AA115" s="56"/>
      <c r="AB115" s="57"/>
      <c r="AC115" s="161" t="s">
        <v>212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368.99999999999994</v>
      </c>
      <c r="BN115" s="64">
        <f>IFERROR(Y115*I115/H115,"0")</f>
        <v>368.99999999999994</v>
      </c>
      <c r="BO115" s="64">
        <f>IFERROR(1/J115*(X115/H115),"0")</f>
        <v>0.68681318681318682</v>
      </c>
      <c r="BP115" s="64">
        <f>IFERROR(1/J115*(Y115/H115),"0")</f>
        <v>0.68681318681318682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 t="s">
        <v>217</v>
      </c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60</v>
      </c>
      <c r="Y116" s="544">
        <f>IFERROR(IF(X116="",0,CEILING((X116/$H116),1)*$H116),"")</f>
        <v>61.2</v>
      </c>
      <c r="Z116" s="36">
        <f>IFERROR(IF(Y116=0,"",ROUNDUP(Y116/H116,0)*0.00651),"")</f>
        <v>0.22134000000000001</v>
      </c>
      <c r="AA116" s="56"/>
      <c r="AB116" s="57"/>
      <c r="AC116" s="163" t="s">
        <v>220</v>
      </c>
      <c r="AG116" s="64"/>
      <c r="AJ116" s="68" t="s">
        <v>110</v>
      </c>
      <c r="AK116" s="68">
        <v>25.2</v>
      </c>
      <c r="BB116" s="164" t="s">
        <v>1</v>
      </c>
      <c r="BM116" s="64">
        <f>IFERROR(X116*I116/H116,"0")</f>
        <v>66</v>
      </c>
      <c r="BN116" s="64">
        <f>IFERROR(Y116*I116/H116,"0")</f>
        <v>67.319999999999993</v>
      </c>
      <c r="BO116" s="64">
        <f>IFERROR(1/J116*(X116/H116),"0")</f>
        <v>0.18315018315018317</v>
      </c>
      <c r="BP116" s="64">
        <f>IFERROR(1/J116*(Y116/H116),"0")</f>
        <v>0.18681318681318682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217.59259259259258</v>
      </c>
      <c r="Y117" s="545">
        <f>IFERROR(Y113/H113,"0")+IFERROR(Y114/H114,"0")+IFERROR(Y115/H115,"0")+IFERROR(Y116/H116,"0")</f>
        <v>219</v>
      </c>
      <c r="Z117" s="545">
        <f>IFERROR(IF(Z113="",0,Z113),"0")+IFERROR(IF(Z114="",0,Z114),"0")+IFERROR(IF(Z115="",0,Z115),"0")+IFERROR(IF(Z116="",0,Z116),"0")</f>
        <v>2.1738900000000001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877.5</v>
      </c>
      <c r="Y118" s="545">
        <f>IFERROR(SUM(Y113:Y116),"0")</f>
        <v>884.7</v>
      </c>
      <c r="Z118" s="37"/>
      <c r="AA118" s="546"/>
      <c r="AB118" s="546"/>
      <c r="AC118" s="546"/>
    </row>
    <row r="119" spans="1:68" ht="14.25" customHeight="1" x14ac:dyDescent="0.25">
      <c r="A119" s="556" t="s">
        <v>167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 t="s">
        <v>217</v>
      </c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110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217</v>
      </c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80</v>
      </c>
      <c r="Y125" s="544">
        <f>IFERROR(IF(X125="",0,CEILING((X125/$H125),1)*$H125),"")</f>
        <v>80</v>
      </c>
      <c r="Z125" s="36">
        <f>IFERROR(IF(Y125=0,"",ROUNDUP(Y125/H125,0)*0.00651),"")</f>
        <v>0.16275000000000001</v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84.499999999999986</v>
      </c>
      <c r="BN125" s="64">
        <f>IFERROR(Y125*I125/H125,"0")</f>
        <v>84.499999999999986</v>
      </c>
      <c r="BO125" s="64">
        <f>IFERROR(1/J125*(X125/H125),"0")</f>
        <v>0.13736263736263737</v>
      </c>
      <c r="BP125" s="64">
        <f>IFERROR(1/J125*(Y125/H125),"0")</f>
        <v>0.13736263736263737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25</v>
      </c>
      <c r="Y127" s="545">
        <f>IFERROR(Y125/H125,"0")+IFERROR(Y126/H126,"0")</f>
        <v>25</v>
      </c>
      <c r="Z127" s="545">
        <f>IFERROR(IF(Z125="",0,Z125),"0")+IFERROR(IF(Z126="",0,Z126),"0")</f>
        <v>0.16275000000000001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80</v>
      </c>
      <c r="Y128" s="545">
        <f>IFERROR(SUM(Y125:Y126),"0")</f>
        <v>80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217</v>
      </c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122.5</v>
      </c>
      <c r="Y131" s="544">
        <f>IFERROR(IF(X131="",0,CEILING((X131/$H131),1)*$H131),"")</f>
        <v>123.19999999999999</v>
      </c>
      <c r="Z131" s="36">
        <f>IFERROR(IF(Y131=0,"",ROUNDUP(Y131/H131,0)*0.00651),"")</f>
        <v>0.28644000000000003</v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134.22499999999999</v>
      </c>
      <c r="BN131" s="64">
        <f>IFERROR(Y131*I131/H131,"0")</f>
        <v>134.99200000000002</v>
      </c>
      <c r="BO131" s="64">
        <f>IFERROR(1/J131*(X131/H131),"0")</f>
        <v>0.24038461538461539</v>
      </c>
      <c r="BP131" s="64">
        <f>IFERROR(1/J131*(Y131/H131),"0")</f>
        <v>0.24175824175824179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43.75</v>
      </c>
      <c r="Y132" s="545">
        <f>IFERROR(Y130/H130,"0")+IFERROR(Y131/H131,"0")</f>
        <v>44</v>
      </c>
      <c r="Z132" s="545">
        <f>IFERROR(IF(Z130="",0,Z130),"0")+IFERROR(IF(Z131="",0,Z131),"0")</f>
        <v>0.28644000000000003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122.5</v>
      </c>
      <c r="Y133" s="545">
        <f>IFERROR(SUM(Y130:Y131),"0")</f>
        <v>123.19999999999999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 t="s">
        <v>217</v>
      </c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16.5</v>
      </c>
      <c r="Y136" s="544">
        <f>IFERROR(IF(X136="",0,CEILING((X136/$H136),1)*$H136),"")</f>
        <v>18.48</v>
      </c>
      <c r="Z136" s="36">
        <f>IFERROR(IF(Y136=0,"",ROUNDUP(Y136/H136,0)*0.00651),"")</f>
        <v>4.5569999999999999E-2</v>
      </c>
      <c r="AA136" s="56"/>
      <c r="AB136" s="57"/>
      <c r="AC136" s="177" t="s">
        <v>227</v>
      </c>
      <c r="AG136" s="64"/>
      <c r="AJ136" s="68" t="s">
        <v>110</v>
      </c>
      <c r="AK136" s="68">
        <v>36.96</v>
      </c>
      <c r="BB136" s="178" t="s">
        <v>1</v>
      </c>
      <c r="BM136" s="64">
        <f>IFERROR(X136*I136/H136,"0")</f>
        <v>18.174999999999997</v>
      </c>
      <c r="BN136" s="64">
        <f>IFERROR(Y136*I136/H136,"0")</f>
        <v>20.355999999999998</v>
      </c>
      <c r="BO136" s="64">
        <f>IFERROR(1/J136*(X136/H136),"0")</f>
        <v>3.4340659340659344E-2</v>
      </c>
      <c r="BP136" s="64">
        <f>IFERROR(1/J136*(Y136/H136),"0")</f>
        <v>3.8461538461538464E-2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6.25</v>
      </c>
      <c r="Y137" s="545">
        <f>IFERROR(Y135/H135,"0")+IFERROR(Y136/H136,"0")</f>
        <v>7</v>
      </c>
      <c r="Z137" s="545">
        <f>IFERROR(IF(Z135="",0,Z135),"0")+IFERROR(IF(Z136="",0,Z136),"0")</f>
        <v>4.5569999999999999E-2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16.5</v>
      </c>
      <c r="Y138" s="545">
        <f>IFERROR(SUM(Y135:Y136),"0")</f>
        <v>18.48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139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60</v>
      </c>
      <c r="Y162" s="544">
        <f t="shared" ref="Y162:Y171" si="5">IFERROR(IF(X162="",0,CEILING((X162/$H162),1)*$H162),"")</f>
        <v>63</v>
      </c>
      <c r="Z162" s="36">
        <f>IFERROR(IF(Y162=0,"",ROUNDUP(Y162/H162,0)*0.00902),"")</f>
        <v>0.1353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63.571428571428569</v>
      </c>
      <c r="BN162" s="64">
        <f t="shared" ref="BN162:BN171" si="7">IFERROR(Y162*I162/H162,"0")</f>
        <v>66.75</v>
      </c>
      <c r="BO162" s="64">
        <f t="shared" ref="BO162:BO171" si="8">IFERROR(1/J162*(X162/H162),"0")</f>
        <v>0.10822510822510822</v>
      </c>
      <c r="BP162" s="64">
        <f t="shared" ref="BP162:BP171" si="9">IFERROR(1/J162*(Y162/H162),"0")</f>
        <v>0.11363636363636365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 t="s">
        <v>114</v>
      </c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30</v>
      </c>
      <c r="Y163" s="544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264</v>
      </c>
      <c r="AG163" s="64"/>
      <c r="AJ163" s="68" t="s">
        <v>110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90</v>
      </c>
      <c r="Y164" s="544">
        <f t="shared" si="5"/>
        <v>92.4</v>
      </c>
      <c r="Z164" s="36">
        <f>IFERROR(IF(Y164=0,"",ROUNDUP(Y164/H164,0)*0.00902),"")</f>
        <v>0.19844000000000001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94.071428571428555</v>
      </c>
      <c r="BN164" s="64">
        <f t="shared" si="7"/>
        <v>96.579999999999984</v>
      </c>
      <c r="BO164" s="64">
        <f t="shared" si="8"/>
        <v>0.16233766233766234</v>
      </c>
      <c r="BP164" s="64">
        <f t="shared" si="9"/>
        <v>0.16666666666666669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98</v>
      </c>
      <c r="Y165" s="544">
        <f t="shared" si="5"/>
        <v>98.7</v>
      </c>
      <c r="Z165" s="36">
        <f>IFERROR(IF(Y165=0,"",ROUNDUP(Y165/H165,0)*0.00502),"")</f>
        <v>0.23594000000000001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104.06666666666666</v>
      </c>
      <c r="BN165" s="64">
        <f t="shared" si="7"/>
        <v>104.80999999999999</v>
      </c>
      <c r="BO165" s="64">
        <f t="shared" si="8"/>
        <v>0.19943019943019943</v>
      </c>
      <c r="BP165" s="64">
        <f t="shared" si="9"/>
        <v>0.20085470085470086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115.5</v>
      </c>
      <c r="Y167" s="544">
        <f t="shared" si="5"/>
        <v>115.5</v>
      </c>
      <c r="Z167" s="36">
        <f>IFERROR(IF(Y167=0,"",ROUNDUP(Y167/H167,0)*0.00502),"")</f>
        <v>0.27610000000000001</v>
      </c>
      <c r="AA167" s="56"/>
      <c r="AB167" s="57"/>
      <c r="AC167" s="203" t="s">
        <v>264</v>
      </c>
      <c r="AG167" s="64"/>
      <c r="AJ167" s="68" t="s">
        <v>110</v>
      </c>
      <c r="AK167" s="68">
        <v>37.799999999999997</v>
      </c>
      <c r="BB167" s="204" t="s">
        <v>1</v>
      </c>
      <c r="BM167" s="64">
        <f t="shared" si="6"/>
        <v>122.64999999999999</v>
      </c>
      <c r="BN167" s="64">
        <f t="shared" si="7"/>
        <v>122.64999999999999</v>
      </c>
      <c r="BO167" s="64">
        <f t="shared" si="8"/>
        <v>0.23504273504273507</v>
      </c>
      <c r="BP167" s="64">
        <f t="shared" si="9"/>
        <v>0.23504273504273507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203</v>
      </c>
      <c r="Y169" s="544">
        <f t="shared" si="5"/>
        <v>203.70000000000002</v>
      </c>
      <c r="Z169" s="36">
        <f>IFERROR(IF(Y169=0,"",ROUNDUP(Y169/H169,0)*0.00502),"")</f>
        <v>0.48694000000000004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212.66666666666666</v>
      </c>
      <c r="BN169" s="64">
        <f t="shared" si="7"/>
        <v>213.40000000000003</v>
      </c>
      <c r="BO169" s="64">
        <f t="shared" si="8"/>
        <v>0.4131054131054131</v>
      </c>
      <c r="BP169" s="64">
        <f t="shared" si="9"/>
        <v>0.41452991452991456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241.19047619047618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244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1.4048800000000001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596.5</v>
      </c>
      <c r="Y173" s="545">
        <f>IFERROR(SUM(Y162:Y171),"0")</f>
        <v>606.9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7.0000000000000009</v>
      </c>
      <c r="Y175" s="544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7.0000000000000009</v>
      </c>
      <c r="Y176" s="544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10.5</v>
      </c>
      <c r="Y177" s="544">
        <f>IFERROR(IF(X177="",0,CEILING((X177/$H177),1)*$H177),"")</f>
        <v>11.34</v>
      </c>
      <c r="Z177" s="36">
        <f>IFERROR(IF(Y177=0,"",ROUNDUP(Y177/H177,0)*0.0059),"")</f>
        <v>5.3100000000000001E-2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12.083333333333332</v>
      </c>
      <c r="BN177" s="64">
        <f>IFERROR(Y177*I177/H177,"0")</f>
        <v>13.049999999999999</v>
      </c>
      <c r="BO177" s="64">
        <f>IFERROR(1/J177*(X177/H177),"0")</f>
        <v>3.8580246913580245E-2</v>
      </c>
      <c r="BP177" s="64">
        <f>IFERROR(1/J177*(Y177/H177),"0")</f>
        <v>4.1666666666666664E-2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19.444444444444446</v>
      </c>
      <c r="Y178" s="545">
        <f>IFERROR(Y175/H175,"0")+IFERROR(Y176/H176,"0")+IFERROR(Y177/H177,"0")</f>
        <v>21</v>
      </c>
      <c r="Z178" s="545">
        <f>IFERROR(IF(Z175="",0,Z175),"0")+IFERROR(IF(Z176="",0,Z176),"0")+IFERROR(IF(Z177="",0,Z177),"0")</f>
        <v>0.12390000000000001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24.5</v>
      </c>
      <c r="Y179" s="545">
        <f>IFERROR(SUM(Y175:Y177),"0")</f>
        <v>26.46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7.0000000000000009</v>
      </c>
      <c r="Y181" s="544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5.5555555555555562</v>
      </c>
      <c r="Y182" s="545">
        <f>IFERROR(Y181/H181,"0")</f>
        <v>6</v>
      </c>
      <c r="Z182" s="545">
        <f>IFERROR(IF(Z181="",0,Z181),"0")</f>
        <v>3.5400000000000001E-2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7.0000000000000009</v>
      </c>
      <c r="Y183" s="545">
        <f>IFERROR(SUM(Y181:Y181),"0")</f>
        <v>7.5600000000000005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139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110</v>
      </c>
      <c r="Y196" s="544">
        <f t="shared" ref="Y196:Y203" si="10">IFERROR(IF(X196="",0,CEILING((X196/$H196),1)*$H196),"")</f>
        <v>113.4</v>
      </c>
      <c r="Z196" s="36">
        <f>IFERROR(IF(Y196=0,"",ROUNDUP(Y196/H196,0)*0.00902),"")</f>
        <v>0.18942000000000001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113.87037037037035</v>
      </c>
      <c r="BN196" s="64">
        <f t="shared" ref="BN196:BN203" si="12">IFERROR(Y196*I196/H196,"0")</f>
        <v>117.39</v>
      </c>
      <c r="BO196" s="64">
        <f t="shared" ref="BO196:BO203" si="13">IFERROR(1/J196*(X196/H196),"0")</f>
        <v>0.15432098765432098</v>
      </c>
      <c r="BP196" s="64">
        <f t="shared" ref="BP196:BP203" si="14">IFERROR(1/J196*(Y196/H196),"0")</f>
        <v>0.15909090909090909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30</v>
      </c>
      <c r="Y197" s="544">
        <f t="shared" si="10"/>
        <v>32.400000000000006</v>
      </c>
      <c r="Z197" s="36">
        <f>IFERROR(IF(Y197=0,"",ROUNDUP(Y197/H197,0)*0.00902),"")</f>
        <v>5.4120000000000001E-2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31.05555555555555</v>
      </c>
      <c r="BN197" s="64">
        <f t="shared" si="12"/>
        <v>33.54</v>
      </c>
      <c r="BO197" s="64">
        <f t="shared" si="13"/>
        <v>4.208754208754209E-2</v>
      </c>
      <c r="BP197" s="64">
        <f t="shared" si="14"/>
        <v>4.5454545454545463E-2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520</v>
      </c>
      <c r="Y198" s="544">
        <f t="shared" si="10"/>
        <v>523.80000000000007</v>
      </c>
      <c r="Z198" s="36">
        <f>IFERROR(IF(Y198=0,"",ROUNDUP(Y198/H198,0)*0.00902),"")</f>
        <v>0.87494000000000005</v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538.29629629629619</v>
      </c>
      <c r="BN198" s="64">
        <f t="shared" si="12"/>
        <v>542.23</v>
      </c>
      <c r="BO198" s="64">
        <f t="shared" si="13"/>
        <v>0.72951739618406286</v>
      </c>
      <c r="BP198" s="64">
        <f t="shared" si="14"/>
        <v>0.73484848484848486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70</v>
      </c>
      <c r="Y199" s="544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150</v>
      </c>
      <c r="Y200" s="544">
        <f t="shared" si="10"/>
        <v>151.20000000000002</v>
      </c>
      <c r="Z200" s="36">
        <f>IFERROR(IF(Y200=0,"",ROUNDUP(Y200/H200,0)*0.00502),"")</f>
        <v>0.42168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160.83333333333334</v>
      </c>
      <c r="BN200" s="64">
        <f t="shared" si="12"/>
        <v>162.12</v>
      </c>
      <c r="BO200" s="64">
        <f t="shared" si="13"/>
        <v>0.35612535612535612</v>
      </c>
      <c r="BP200" s="64">
        <f t="shared" si="14"/>
        <v>0.35897435897435909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60</v>
      </c>
      <c r="Y201" s="544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 t="s">
        <v>270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90</v>
      </c>
      <c r="Y202" s="544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318</v>
      </c>
      <c r="AG202" s="64"/>
      <c r="AJ202" s="68" t="s">
        <v>110</v>
      </c>
      <c r="AK202" s="68">
        <v>32.4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90</v>
      </c>
      <c r="Y203" s="544">
        <f t="shared" si="10"/>
        <v>90</v>
      </c>
      <c r="Z203" s="36">
        <f>IFERROR(IF(Y203=0,"",ROUNDUP(Y203/H203,0)*0.00502),"")</f>
        <v>0.251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95</v>
      </c>
      <c r="BN203" s="64">
        <f t="shared" si="12"/>
        <v>95</v>
      </c>
      <c r="BO203" s="64">
        <f t="shared" si="13"/>
        <v>0.21367521367521369</v>
      </c>
      <c r="BP203" s="64">
        <f t="shared" si="14"/>
        <v>0.21367521367521369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351.85185185185185</v>
      </c>
      <c r="Y204" s="545">
        <f>IFERROR(Y196/H196,"0")+IFERROR(Y197/H197,"0")+IFERROR(Y198/H198,"0")+IFERROR(Y199/H199,"0")+IFERROR(Y200/H200,"0")+IFERROR(Y201/H201,"0")+IFERROR(Y202/H202,"0")+IFERROR(Y203/H203,"0")</f>
        <v>355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2.3300999999999998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1120</v>
      </c>
      <c r="Y205" s="545">
        <f>IFERROR(SUM(Y196:Y203),"0")</f>
        <v>1132.2000000000003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130</v>
      </c>
      <c r="Y209" s="544">
        <f t="shared" si="15"/>
        <v>130.5</v>
      </c>
      <c r="Z209" s="36">
        <f>IFERROR(IF(Y209=0,"",ROUNDUP(Y209/H209,0)*0.01898),"")</f>
        <v>0.28470000000000001</v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137.38160919540232</v>
      </c>
      <c r="BN209" s="64">
        <f t="shared" si="17"/>
        <v>137.91000000000003</v>
      </c>
      <c r="BO209" s="64">
        <f t="shared" si="18"/>
        <v>0.2334770114942529</v>
      </c>
      <c r="BP209" s="64">
        <f t="shared" si="19"/>
        <v>0.23437500000000003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217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340</v>
      </c>
      <c r="Y210" s="544">
        <f t="shared" si="15"/>
        <v>340.8</v>
      </c>
      <c r="Z210" s="36">
        <f t="shared" ref="Z210:Z215" si="20">IFERROR(IF(Y210=0,"",ROUNDUP(Y210/H210,0)*0.00651),"")</f>
        <v>0.92442000000000002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378.25</v>
      </c>
      <c r="BN210" s="64">
        <f t="shared" si="17"/>
        <v>379.14000000000004</v>
      </c>
      <c r="BO210" s="64">
        <f t="shared" si="18"/>
        <v>0.77838827838827851</v>
      </c>
      <c r="BP210" s="64">
        <f t="shared" si="19"/>
        <v>0.78021978021978033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217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340</v>
      </c>
      <c r="Y212" s="544">
        <f t="shared" si="15"/>
        <v>340.8</v>
      </c>
      <c r="Z212" s="36">
        <f t="shared" si="20"/>
        <v>0.92442000000000002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375.70000000000005</v>
      </c>
      <c r="BN212" s="64">
        <f t="shared" si="17"/>
        <v>376.58400000000006</v>
      </c>
      <c r="BO212" s="64">
        <f t="shared" si="18"/>
        <v>0.77838827838827851</v>
      </c>
      <c r="BP212" s="64">
        <f t="shared" si="19"/>
        <v>0.78021978021978033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/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217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112</v>
      </c>
      <c r="Y214" s="544">
        <f t="shared" si="15"/>
        <v>112.8</v>
      </c>
      <c r="Z214" s="36">
        <f t="shared" si="20"/>
        <v>0.30597000000000002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123.76</v>
      </c>
      <c r="BN214" s="64">
        <f t="shared" si="17"/>
        <v>124.64400000000001</v>
      </c>
      <c r="BO214" s="64">
        <f t="shared" si="18"/>
        <v>0.25641025641025644</v>
      </c>
      <c r="BP214" s="64">
        <f t="shared" si="19"/>
        <v>0.25824175824175827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217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200</v>
      </c>
      <c r="Y215" s="544">
        <f t="shared" si="15"/>
        <v>201.6</v>
      </c>
      <c r="Z215" s="36">
        <f t="shared" si="20"/>
        <v>0.54683999999999999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221.50000000000003</v>
      </c>
      <c r="BN215" s="64">
        <f t="shared" si="17"/>
        <v>223.27200000000002</v>
      </c>
      <c r="BO215" s="64">
        <f t="shared" si="18"/>
        <v>0.45787545787545797</v>
      </c>
      <c r="BP215" s="64">
        <f t="shared" si="19"/>
        <v>0.46153846153846156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428.27586206896558</v>
      </c>
      <c r="Y216" s="545">
        <f>IFERROR(Y207/H207,"0")+IFERROR(Y208/H208,"0")+IFERROR(Y209/H209,"0")+IFERROR(Y210/H210,"0")+IFERROR(Y211/H211,"0")+IFERROR(Y212/H212,"0")+IFERROR(Y213/H213,"0")+IFERROR(Y214/H214,"0")+IFERROR(Y215/H215,"0")</f>
        <v>430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2.9863499999999998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1122</v>
      </c>
      <c r="Y217" s="545">
        <f>IFERROR(SUM(Y207:Y215),"0")</f>
        <v>1126.5</v>
      </c>
      <c r="Z217" s="37"/>
      <c r="AA217" s="546"/>
      <c r="AB217" s="546"/>
      <c r="AC217" s="546"/>
    </row>
    <row r="218" spans="1:68" ht="14.25" customHeight="1" x14ac:dyDescent="0.25">
      <c r="A218" s="556" t="s">
        <v>167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217</v>
      </c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20</v>
      </c>
      <c r="Y219" s="544">
        <f>IFERROR(IF(X219="",0,CEILING((X219/$H219),1)*$H219),"")</f>
        <v>21.599999999999998</v>
      </c>
      <c r="Z219" s="36">
        <f>IFERROR(IF(Y219=0,"",ROUNDUP(Y219/H219,0)*0.00651),"")</f>
        <v>5.8590000000000003E-2</v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22.100000000000005</v>
      </c>
      <c r="BN219" s="64">
        <f>IFERROR(Y219*I219/H219,"0")</f>
        <v>23.868000000000002</v>
      </c>
      <c r="BO219" s="64">
        <f>IFERROR(1/J219*(X219/H219),"0")</f>
        <v>4.5787545787545791E-2</v>
      </c>
      <c r="BP219" s="64">
        <f>IFERROR(1/J219*(Y219/H219),"0")</f>
        <v>4.9450549450549455E-2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217</v>
      </c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20</v>
      </c>
      <c r="Y220" s="544">
        <f>IFERROR(IF(X220="",0,CEILING((X220/$H220),1)*$H220),"")</f>
        <v>21.599999999999998</v>
      </c>
      <c r="Z220" s="36">
        <f>IFERROR(IF(Y220=0,"",ROUNDUP(Y220/H220,0)*0.00651),"")</f>
        <v>5.8590000000000003E-2</v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22.100000000000005</v>
      </c>
      <c r="BN220" s="64">
        <f>IFERROR(Y220*I220/H220,"0")</f>
        <v>23.868000000000002</v>
      </c>
      <c r="BO220" s="64">
        <f>IFERROR(1/J220*(X220/H220),"0")</f>
        <v>4.5787545787545791E-2</v>
      </c>
      <c r="BP220" s="64">
        <f>IFERROR(1/J220*(Y220/H220),"0")</f>
        <v>4.9450549450549455E-2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16.666666666666668</v>
      </c>
      <c r="Y221" s="545">
        <f>IFERROR(Y219/H219,"0")+IFERROR(Y220/H220,"0")</f>
        <v>18</v>
      </c>
      <c r="Z221" s="545">
        <f>IFERROR(IF(Z219="",0,Z219),"0")+IFERROR(IF(Z220="",0,Z220),"0")</f>
        <v>0.11718000000000001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40</v>
      </c>
      <c r="Y222" s="545">
        <f>IFERROR(SUM(Y219:Y220),"0")</f>
        <v>43.199999999999996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50</v>
      </c>
      <c r="Y225" s="544">
        <f t="shared" ref="Y225:Y234" si="21">IFERROR(IF(X225="",0,CEILING((X225/$H225),1)*$H225),"")</f>
        <v>58</v>
      </c>
      <c r="Z225" s="36">
        <f>IFERROR(IF(Y225=0,"",ROUNDUP(Y225/H225,0)*0.01898),"")</f>
        <v>9.4899999999999998E-2</v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51.767241379310349</v>
      </c>
      <c r="BN225" s="64">
        <f t="shared" ref="BN225:BN234" si="23">IFERROR(Y225*I225/H225,"0")</f>
        <v>60.050000000000004</v>
      </c>
      <c r="BO225" s="64">
        <f t="shared" ref="BO225:BO234" si="24">IFERROR(1/J225*(X225/H225),"0")</f>
        <v>6.7349137931034489E-2</v>
      </c>
      <c r="BP225" s="64">
        <f t="shared" ref="BP225:BP234" si="25">IFERROR(1/J225*(Y225/H225),"0")</f>
        <v>7.8125E-2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 t="s">
        <v>107</v>
      </c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80</v>
      </c>
      <c r="Y227" s="544">
        <f t="shared" si="21"/>
        <v>81.2</v>
      </c>
      <c r="Z227" s="36">
        <f>IFERROR(IF(Y227=0,"",ROUNDUP(Y227/H227,0)*0.01898),"")</f>
        <v>0.13286000000000001</v>
      </c>
      <c r="AA227" s="56"/>
      <c r="AB227" s="57"/>
      <c r="AC227" s="271" t="s">
        <v>367</v>
      </c>
      <c r="AG227" s="64"/>
      <c r="AJ227" s="68" t="s">
        <v>110</v>
      </c>
      <c r="AK227" s="68">
        <v>92.8</v>
      </c>
      <c r="BB227" s="272" t="s">
        <v>1</v>
      </c>
      <c r="BM227" s="64">
        <f t="shared" si="22"/>
        <v>82.827586206896555</v>
      </c>
      <c r="BN227" s="64">
        <f t="shared" si="23"/>
        <v>84.070000000000007</v>
      </c>
      <c r="BO227" s="64">
        <f t="shared" si="24"/>
        <v>0.10775862068965518</v>
      </c>
      <c r="BP227" s="64">
        <f t="shared" si="25"/>
        <v>0.10937500000000001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 t="s">
        <v>114</v>
      </c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110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 t="s">
        <v>114</v>
      </c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80</v>
      </c>
      <c r="Y233" s="544">
        <f t="shared" si="21"/>
        <v>80</v>
      </c>
      <c r="Z233" s="36">
        <f>IFERROR(IF(Y233=0,"",ROUNDUP(Y233/H233,0)*0.00902),"")</f>
        <v>0.1804</v>
      </c>
      <c r="AA233" s="56"/>
      <c r="AB233" s="57"/>
      <c r="AC233" s="283" t="s">
        <v>367</v>
      </c>
      <c r="AG233" s="64"/>
      <c r="AJ233" s="68" t="s">
        <v>110</v>
      </c>
      <c r="AK233" s="68">
        <v>48</v>
      </c>
      <c r="BB233" s="284" t="s">
        <v>1</v>
      </c>
      <c r="BM233" s="64">
        <f t="shared" si="22"/>
        <v>83.800000000000011</v>
      </c>
      <c r="BN233" s="64">
        <f t="shared" si="23"/>
        <v>83.800000000000011</v>
      </c>
      <c r="BO233" s="64">
        <f t="shared" si="24"/>
        <v>0.15151515151515152</v>
      </c>
      <c r="BP233" s="64">
        <f t="shared" si="25"/>
        <v>0.15151515151515152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31.206896551724139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32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0.40816000000000002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210</v>
      </c>
      <c r="Y236" s="545">
        <f>IFERROR(SUM(Y225:Y234),"0")</f>
        <v>219.2</v>
      </c>
      <c r="Z236" s="37"/>
      <c r="AA236" s="546"/>
      <c r="AB236" s="546"/>
      <c r="AC236" s="546"/>
    </row>
    <row r="237" spans="1:68" ht="14.25" customHeight="1" x14ac:dyDescent="0.25">
      <c r="A237" s="556" t="s">
        <v>139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24</v>
      </c>
      <c r="Y247" s="544">
        <f>IFERROR(IF(X247="",0,CEILING((X247/$H247),1)*$H247),"")</f>
        <v>25.2</v>
      </c>
      <c r="Z247" s="36">
        <f>IFERROR(IF(Y247=0,"",ROUNDUP(Y247/H247,0)*0.0059),"")</f>
        <v>8.2599999999999993E-2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26.333333333333336</v>
      </c>
      <c r="BN247" s="64">
        <f>IFERROR(Y247*I247/H247,"0")</f>
        <v>27.650000000000002</v>
      </c>
      <c r="BO247" s="64">
        <f>IFERROR(1/J247*(X247/H247),"0")</f>
        <v>6.1728395061728385E-2</v>
      </c>
      <c r="BP247" s="64">
        <f>IFERROR(1/J247*(Y247/H247),"0")</f>
        <v>6.4814814814814811E-2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2.5</v>
      </c>
      <c r="Y248" s="544">
        <f>IFERROR(IF(X248="",0,CEILING((X248/$H248),1)*$H248),"")</f>
        <v>2.7</v>
      </c>
      <c r="Z248" s="36">
        <f>IFERROR(IF(Y248=0,"",ROUNDUP(Y248/H248,0)*0.0059),"")</f>
        <v>1.77E-2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3.0277777777777777</v>
      </c>
      <c r="BN248" s="64">
        <f>IFERROR(Y248*I248/H248,"0")</f>
        <v>3.2700000000000005</v>
      </c>
      <c r="BO248" s="64">
        <f>IFERROR(1/J248*(X248/H248),"0")</f>
        <v>1.2860082304526748E-2</v>
      </c>
      <c r="BP248" s="64">
        <f>IFERROR(1/J248*(Y248/H248),"0")</f>
        <v>1.3888888888888888E-2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16.111111111111111</v>
      </c>
      <c r="Y251" s="545">
        <f>IFERROR(Y246/H246,"0")+IFERROR(Y247/H247,"0")+IFERROR(Y248/H248,"0")+IFERROR(Y249/H249,"0")+IFERROR(Y250/H250,"0")</f>
        <v>17</v>
      </c>
      <c r="Z251" s="545">
        <f>IFERROR(IF(Z246="",0,Z246),"0")+IFERROR(IF(Z247="",0,Z247),"0")+IFERROR(IF(Z248="",0,Z248),"0")+IFERROR(IF(Z249="",0,Z249),"0")+IFERROR(IF(Z250="",0,Z250),"0")</f>
        <v>0.1003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26.5</v>
      </c>
      <c r="Y252" s="545">
        <f>IFERROR(SUM(Y246:Y250),"0")</f>
        <v>27.9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217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160</v>
      </c>
      <c r="Y273" s="544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176.80000000000004</v>
      </c>
      <c r="BN273" s="64">
        <f>IFERROR(Y273*I273/H273,"0")</f>
        <v>177.684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/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100</v>
      </c>
      <c r="Y274" s="544">
        <f>IFERROR(IF(X274="",0,CEILING((X274/$H274),1)*$H274),"")</f>
        <v>100.8</v>
      </c>
      <c r="Z274" s="36">
        <f>IFERROR(IF(Y274=0,"",ROUNDUP(Y274/H274,0)*0.00651),"")</f>
        <v>0.27342</v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107.5</v>
      </c>
      <c r="BN274" s="64">
        <f>IFERROR(Y274*I274/H274,"0")</f>
        <v>108.36000000000001</v>
      </c>
      <c r="BO274" s="64">
        <f>IFERROR(1/J274*(X274/H274),"0")</f>
        <v>0.22893772893772898</v>
      </c>
      <c r="BP274" s="64">
        <f>IFERROR(1/J274*(Y274/H274),"0")</f>
        <v>0.23076923076923078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108.33333333333334</v>
      </c>
      <c r="Y275" s="545">
        <f>IFERROR(Y272/H272,"0")+IFERROR(Y273/H273,"0")+IFERROR(Y274/H274,"0")</f>
        <v>109</v>
      </c>
      <c r="Z275" s="545">
        <f>IFERROR(IF(Z272="",0,Z272),"0")+IFERROR(IF(Z273="",0,Z273),"0")+IFERROR(IF(Z274="",0,Z274),"0")</f>
        <v>0.70958999999999994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260</v>
      </c>
      <c r="Y276" s="545">
        <f>IFERROR(SUM(Y272:Y274),"0")</f>
        <v>261.59999999999997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8</v>
      </c>
      <c r="Y280" s="544">
        <f>IFERROR(IF(X280="",0,CEILING((X280/$H280),1)*$H280),"")</f>
        <v>9.6</v>
      </c>
      <c r="Z280" s="36">
        <f>IFERROR(IF(Y280=0,"",ROUNDUP(Y280/H280,0)*0.00651),"")</f>
        <v>2.6040000000000001E-2</v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8.6000000000000014</v>
      </c>
      <c r="BN280" s="64">
        <f>IFERROR(Y280*I280/H280,"0")</f>
        <v>10.32</v>
      </c>
      <c r="BO280" s="64">
        <f>IFERROR(1/J280*(X280/H280),"0")</f>
        <v>1.8315018315018316E-2</v>
      </c>
      <c r="BP280" s="64">
        <f>IFERROR(1/J280*(Y280/H280),"0")</f>
        <v>2.197802197802198E-2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3.3333333333333335</v>
      </c>
      <c r="Y281" s="545">
        <f>IFERROR(Y279/H279,"0")+IFERROR(Y280/H280,"0")</f>
        <v>4</v>
      </c>
      <c r="Z281" s="545">
        <f>IFERROR(IF(Z279="",0,Z279),"0")+IFERROR(IF(Z280="",0,Z280),"0")</f>
        <v>2.6040000000000001E-2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8</v>
      </c>
      <c r="Y282" s="545">
        <f>IFERROR(SUM(Y279:Y280),"0")</f>
        <v>9.6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 t="s">
        <v>270</v>
      </c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110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52.5</v>
      </c>
      <c r="Y302" s="544">
        <f t="shared" si="26"/>
        <v>52.5</v>
      </c>
      <c r="Z302" s="36">
        <f>IFERROR(IF(Y302=0,"",ROUNDUP(Y302/H302,0)*0.00502),"")</f>
        <v>0.1255</v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55.000000000000007</v>
      </c>
      <c r="BN302" s="64">
        <f t="shared" si="28"/>
        <v>55.000000000000007</v>
      </c>
      <c r="BO302" s="64">
        <f t="shared" si="29"/>
        <v>0.10683760683760685</v>
      </c>
      <c r="BP302" s="64">
        <f t="shared" si="30"/>
        <v>0.10683760683760685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 t="s">
        <v>217</v>
      </c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42</v>
      </c>
      <c r="Y303" s="544">
        <f t="shared" si="26"/>
        <v>43.2</v>
      </c>
      <c r="Z303" s="36">
        <f>IFERROR(IF(Y303=0,"",ROUNDUP(Y303/H303,0)*0.00651),"")</f>
        <v>0.15623999999999999</v>
      </c>
      <c r="AA303" s="56"/>
      <c r="AB303" s="57"/>
      <c r="AC303" s="353" t="s">
        <v>480</v>
      </c>
      <c r="AG303" s="64"/>
      <c r="AJ303" s="68" t="s">
        <v>110</v>
      </c>
      <c r="AK303" s="68">
        <v>25.2</v>
      </c>
      <c r="BB303" s="354" t="s">
        <v>1</v>
      </c>
      <c r="BM303" s="64">
        <f t="shared" si="27"/>
        <v>47.32</v>
      </c>
      <c r="BN303" s="64">
        <f t="shared" si="28"/>
        <v>48.671999999999997</v>
      </c>
      <c r="BO303" s="64">
        <f t="shared" si="29"/>
        <v>0.12820512820512822</v>
      </c>
      <c r="BP303" s="64">
        <f t="shared" si="30"/>
        <v>0.13186813186813187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48.333333333333329</v>
      </c>
      <c r="Y304" s="545">
        <f>IFERROR(Y298/H298,"0")+IFERROR(Y299/H299,"0")+IFERROR(Y300/H300,"0")+IFERROR(Y301/H301,"0")+IFERROR(Y302/H302,"0")+IFERROR(Y303/H303,"0")</f>
        <v>49</v>
      </c>
      <c r="Z304" s="545">
        <f>IFERROR(IF(Z298="",0,Z298),"0")+IFERROR(IF(Z299="",0,Z299),"0")+IFERROR(IF(Z300="",0,Z300),"0")+IFERROR(IF(Z301="",0,Z301),"0")+IFERROR(IF(Z302="",0,Z302),"0")+IFERROR(IF(Z303="",0,Z303),"0")</f>
        <v>0.28173999999999999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94.5</v>
      </c>
      <c r="Y305" s="545">
        <f>IFERROR(SUM(Y298:Y303),"0")</f>
        <v>95.7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20</v>
      </c>
      <c r="Y314" s="544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420</v>
      </c>
      <c r="Y315" s="544">
        <f>IFERROR(IF(X315="",0,CEILING((X315/$H315),1)*$H315),"")</f>
        <v>421.2</v>
      </c>
      <c r="Z315" s="36">
        <f>IFERROR(IF(Y315=0,"",ROUNDUP(Y315/H315,0)*0.01898),"")</f>
        <v>1.0249200000000001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446.6</v>
      </c>
      <c r="BN315" s="64">
        <f>IFERROR(Y315*I315/H315,"0")</f>
        <v>447.87600000000003</v>
      </c>
      <c r="BO315" s="64">
        <f>IFERROR(1/J315*(X315/H315),"0")</f>
        <v>0.84134615384615385</v>
      </c>
      <c r="BP315" s="64">
        <f>IFERROR(1/J315*(Y315/H315),"0")</f>
        <v>0.84375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420</v>
      </c>
      <c r="Y316" s="544">
        <f>IFERROR(IF(X316="",0,CEILING((X316/$H316),1)*$H316),"")</f>
        <v>420</v>
      </c>
      <c r="Z316" s="36">
        <f>IFERROR(IF(Y316=0,"",ROUNDUP(Y316/H316,0)*0.01898),"")</f>
        <v>0.94900000000000007</v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444.7</v>
      </c>
      <c r="BN316" s="64">
        <f>IFERROR(Y316*I316/H316,"0")</f>
        <v>444.7</v>
      </c>
      <c r="BO316" s="64">
        <f>IFERROR(1/J316*(X316/H316),"0")</f>
        <v>0.78125</v>
      </c>
      <c r="BP316" s="64">
        <f>IFERROR(1/J316*(Y316/H316),"0")</f>
        <v>0.78125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106.22710622710622</v>
      </c>
      <c r="Y317" s="545">
        <f>IFERROR(Y314/H314,"0")+IFERROR(Y315/H315,"0")+IFERROR(Y316/H316,"0")</f>
        <v>107</v>
      </c>
      <c r="Z317" s="545">
        <f>IFERROR(IF(Z314="",0,Z314),"0")+IFERROR(IF(Z315="",0,Z315),"0")+IFERROR(IF(Z316="",0,Z316),"0")</f>
        <v>2.0308600000000001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860</v>
      </c>
      <c r="Y318" s="545">
        <f>IFERROR(SUM(Y314:Y316),"0")</f>
        <v>866.4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217</v>
      </c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217</v>
      </c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0</v>
      </c>
      <c r="Y324" s="545">
        <f>IFERROR(Y320/H320,"0")+IFERROR(Y321/H321,"0")+IFERROR(Y322/H322,"0")+IFERROR(Y323/H323,"0")</f>
        <v>0</v>
      </c>
      <c r="Z324" s="545">
        <f>IFERROR(IF(Z320="",0,Z320),"0")+IFERROR(IF(Z321="",0,Z321),"0")+IFERROR(IF(Z322="",0,Z322),"0")+IFERROR(IF(Z323="",0,Z323),"0")</f>
        <v>0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0</v>
      </c>
      <c r="Y325" s="545">
        <f>IFERROR(SUM(Y320:Y323),"0")</f>
        <v>0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217</v>
      </c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217</v>
      </c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217</v>
      </c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217</v>
      </c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175</v>
      </c>
      <c r="Y336" s="544">
        <f>IFERROR(IF(X336="",0,CEILING((X336/$H336),1)*$H336),"")</f>
        <v>176.4</v>
      </c>
      <c r="Z336" s="36">
        <f>IFERROR(IF(Y336=0,"",ROUNDUP(Y336/H336,0)*0.00651),"")</f>
        <v>0.54683999999999999</v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195</v>
      </c>
      <c r="BN336" s="64">
        <f>IFERROR(Y336*I336/H336,"0")</f>
        <v>196.56</v>
      </c>
      <c r="BO336" s="64">
        <f>IFERROR(1/J336*(X336/H336),"0")</f>
        <v>0.45787545787545786</v>
      </c>
      <c r="BP336" s="64">
        <f>IFERROR(1/J336*(Y336/H336),"0")</f>
        <v>0.46153846153846156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83.333333333333329</v>
      </c>
      <c r="Y337" s="545">
        <f>IFERROR(Y334/H334,"0")+IFERROR(Y335/H335,"0")+IFERROR(Y336/H336,"0")</f>
        <v>84</v>
      </c>
      <c r="Z337" s="545">
        <f>IFERROR(IF(Z334="",0,Z334),"0")+IFERROR(IF(Z335="",0,Z335),"0")+IFERROR(IF(Z336="",0,Z336),"0")</f>
        <v>0.54683999999999999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175</v>
      </c>
      <c r="Y338" s="545">
        <f>IFERROR(SUM(Y334:Y336),"0")</f>
        <v>176.4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/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2300</v>
      </c>
      <c r="Y342" s="544">
        <f t="shared" ref="Y342:Y348" si="31">IFERROR(IF(X342="",0,CEILING((X342/$H342),1)*$H342),"")</f>
        <v>2310</v>
      </c>
      <c r="Z342" s="36">
        <f>IFERROR(IF(Y342=0,"",ROUNDUP(Y342/H342,0)*0.02175),"")</f>
        <v>3.3494999999999999</v>
      </c>
      <c r="AA342" s="56"/>
      <c r="AB342" s="57"/>
      <c r="AC342" s="389" t="s">
        <v>535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2372.0666666666666</v>
      </c>
      <c r="BN342" s="64">
        <f t="shared" ref="BN342:BN348" si="33">IFERROR(Y342*I342/H342,"0")</f>
        <v>2382.38</v>
      </c>
      <c r="BO342" s="64">
        <f t="shared" ref="BO342:BO348" si="34">IFERROR(1/J342*(X342/H342),"0")</f>
        <v>3.1944444444444446</v>
      </c>
      <c r="BP342" s="64">
        <f t="shared" ref="BP342:BP348" si="35">IFERROR(1/J342*(Y342/H342),"0")</f>
        <v>3.208333333333333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600</v>
      </c>
      <c r="Y343" s="544">
        <f t="shared" si="31"/>
        <v>600</v>
      </c>
      <c r="Z343" s="36">
        <f>IFERROR(IF(Y343=0,"",ROUNDUP(Y343/H343,0)*0.02175),"")</f>
        <v>0.86999999999999988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si="32"/>
        <v>618.79999999999995</v>
      </c>
      <c r="BN343" s="64">
        <f t="shared" si="33"/>
        <v>618.79999999999995</v>
      </c>
      <c r="BO343" s="64">
        <f t="shared" si="34"/>
        <v>0.83333333333333326</v>
      </c>
      <c r="BP343" s="64">
        <f t="shared" si="35"/>
        <v>0.83333333333333326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/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1500</v>
      </c>
      <c r="Y344" s="544">
        <f t="shared" si="31"/>
        <v>1500</v>
      </c>
      <c r="Z344" s="36">
        <f>IFERROR(IF(Y344=0,"",ROUNDUP(Y344/H344,0)*0.02175),"")</f>
        <v>2.1749999999999998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1547</v>
      </c>
      <c r="BN344" s="64">
        <f t="shared" si="33"/>
        <v>1547</v>
      </c>
      <c r="BO344" s="64">
        <f t="shared" si="34"/>
        <v>2.083333333333333</v>
      </c>
      <c r="BP344" s="64">
        <f t="shared" si="35"/>
        <v>2.083333333333333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900</v>
      </c>
      <c r="Y345" s="544">
        <f t="shared" si="31"/>
        <v>900</v>
      </c>
      <c r="Z345" s="36">
        <f>IFERROR(IF(Y345=0,"",ROUNDUP(Y345/H345,0)*0.02175),"")</f>
        <v>1.3049999999999999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928.2</v>
      </c>
      <c r="BN345" s="64">
        <f t="shared" si="33"/>
        <v>928.2</v>
      </c>
      <c r="BO345" s="64">
        <f t="shared" si="34"/>
        <v>1.25</v>
      </c>
      <c r="BP345" s="64">
        <f t="shared" si="35"/>
        <v>1.25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353.33333333333337</v>
      </c>
      <c r="Y349" s="545">
        <f>IFERROR(Y342/H342,"0")+IFERROR(Y343/H343,"0")+IFERROR(Y344/H344,"0")+IFERROR(Y345/H345,"0")+IFERROR(Y346/H346,"0")+IFERROR(Y347/H347,"0")+IFERROR(Y348/H348,"0")</f>
        <v>354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7.6994999999999996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5300</v>
      </c>
      <c r="Y350" s="545">
        <f>IFERROR(SUM(Y342:Y348),"0")</f>
        <v>5310</v>
      </c>
      <c r="Z350" s="37"/>
      <c r="AA350" s="546"/>
      <c r="AB350" s="546"/>
      <c r="AC350" s="546"/>
    </row>
    <row r="351" spans="1:68" ht="14.25" customHeight="1" x14ac:dyDescent="0.25">
      <c r="A351" s="556" t="s">
        <v>139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/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1000</v>
      </c>
      <c r="Y352" s="544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554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8</v>
      </c>
      <c r="Y353" s="544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68.666666666666671</v>
      </c>
      <c r="Y354" s="545">
        <f>IFERROR(Y352/H352,"0")+IFERROR(Y353/H353,"0")</f>
        <v>69</v>
      </c>
      <c r="Z354" s="545">
        <f>IFERROR(IF(Z352="",0,Z352),"0")+IFERROR(IF(Z353="",0,Z353),"0")</f>
        <v>1.47529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1008</v>
      </c>
      <c r="Y355" s="545">
        <f>IFERROR(SUM(Y352:Y353),"0")</f>
        <v>1013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40</v>
      </c>
      <c r="Y358" s="544">
        <f>IFERROR(IF(X358="",0,CEILING((X358/$H358),1)*$H358),"")</f>
        <v>45</v>
      </c>
      <c r="Z358" s="36">
        <f>IFERROR(IF(Y358=0,"",ROUNDUP(Y358/H358,0)*0.01898),"")</f>
        <v>9.4899999999999998E-2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42.195555555555558</v>
      </c>
      <c r="BN358" s="64">
        <f>IFERROR(Y358*I358/H358,"0")</f>
        <v>47.47</v>
      </c>
      <c r="BO358" s="64">
        <f>IFERROR(1/J358*(X358/H358),"0")</f>
        <v>6.9444444444444448E-2</v>
      </c>
      <c r="BP358" s="64">
        <f>IFERROR(1/J358*(Y358/H358),"0")</f>
        <v>7.8125E-2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4.4444444444444446</v>
      </c>
      <c r="Y359" s="545">
        <f>IFERROR(Y357/H357,"0")+IFERROR(Y358/H358,"0")</f>
        <v>5</v>
      </c>
      <c r="Z359" s="545">
        <f>IFERROR(IF(Z357="",0,Z357),"0")+IFERROR(IF(Z358="",0,Z358),"0")</f>
        <v>9.4899999999999998E-2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40</v>
      </c>
      <c r="Y360" s="545">
        <f>IFERROR(SUM(Y357:Y358),"0")</f>
        <v>45</v>
      </c>
      <c r="Z360" s="37"/>
      <c r="AA360" s="546"/>
      <c r="AB360" s="546"/>
      <c r="AC360" s="546"/>
    </row>
    <row r="361" spans="1:68" ht="14.25" customHeight="1" x14ac:dyDescent="0.25">
      <c r="A361" s="556" t="s">
        <v>167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10</v>
      </c>
      <c r="Y362" s="544">
        <f>IFERROR(IF(X362="",0,CEILING((X362/$H362),1)*$H362),"")</f>
        <v>18</v>
      </c>
      <c r="Z362" s="36">
        <f>IFERROR(IF(Y362=0,"",ROUNDUP(Y362/H362,0)*0.01898),"")</f>
        <v>3.7960000000000001E-2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10.548888888888889</v>
      </c>
      <c r="BN362" s="64">
        <f>IFERROR(Y362*I362/H362,"0")</f>
        <v>18.988</v>
      </c>
      <c r="BO362" s="64">
        <f>IFERROR(1/J362*(X362/H362),"0")</f>
        <v>1.7361111111111112E-2</v>
      </c>
      <c r="BP362" s="64">
        <f>IFERROR(1/J362*(Y362/H362),"0")</f>
        <v>3.125E-2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1.1111111111111112</v>
      </c>
      <c r="Y363" s="545">
        <f>IFERROR(Y362/H362,"0")</f>
        <v>2</v>
      </c>
      <c r="Z363" s="545">
        <f>IFERROR(IF(Z362="",0,Z362),"0")</f>
        <v>3.7960000000000001E-2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10</v>
      </c>
      <c r="Y364" s="545">
        <f>IFERROR(SUM(Y362:Y362),"0")</f>
        <v>18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70</v>
      </c>
      <c r="Y367" s="544">
        <f>IFERROR(IF(X367="",0,CEILING((X367/$H367),1)*$H367),"")</f>
        <v>72</v>
      </c>
      <c r="Z367" s="36">
        <f>IFERROR(IF(Y367=0,"",ROUNDUP(Y367/H367,0)*0.01898),"")</f>
        <v>0.11388000000000001</v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72.391666666666666</v>
      </c>
      <c r="BN367" s="64">
        <f>IFERROR(Y367*I367/H367,"0")</f>
        <v>74.459999999999994</v>
      </c>
      <c r="BO367" s="64">
        <f>IFERROR(1/J367*(X367/H367),"0")</f>
        <v>9.1145833333333329E-2</v>
      </c>
      <c r="BP367" s="64">
        <f>IFERROR(1/J367*(Y367/H367),"0")</f>
        <v>9.375E-2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5.833333333333333</v>
      </c>
      <c r="Y369" s="545">
        <f>IFERROR(Y367/H367,"0")+IFERROR(Y368/H368,"0")</f>
        <v>6</v>
      </c>
      <c r="Z369" s="545">
        <f>IFERROR(IF(Z367="",0,Z367),"0")+IFERROR(IF(Z368="",0,Z368),"0")</f>
        <v>0.11388000000000001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70</v>
      </c>
      <c r="Y370" s="545">
        <f>IFERROR(SUM(Y367:Y368),"0")</f>
        <v>72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0</v>
      </c>
      <c r="Y377" s="544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/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0</v>
      </c>
      <c r="Y380" s="545">
        <f>IFERROR(Y377/H377,"0")+IFERROR(Y378/H378,"0")+IFERROR(Y379/H379,"0")</f>
        <v>0</v>
      </c>
      <c r="Z380" s="545">
        <f>IFERROR(IF(Z377="",0,Z377),"0")+IFERROR(IF(Z378="",0,Z378),"0")+IFERROR(IF(Z379="",0,Z379),"0")</f>
        <v>0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0</v>
      </c>
      <c r="Y381" s="545">
        <f>IFERROR(SUM(Y377:Y379),"0")</f>
        <v>0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 t="s">
        <v>270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42</v>
      </c>
      <c r="Y389" s="544">
        <f t="shared" si="36"/>
        <v>42</v>
      </c>
      <c r="Z389" s="36">
        <f t="shared" si="41"/>
        <v>0.1004</v>
      </c>
      <c r="AA389" s="56"/>
      <c r="AB389" s="57"/>
      <c r="AC389" s="435" t="s">
        <v>589</v>
      </c>
      <c r="AG389" s="64"/>
      <c r="AJ389" s="68" t="s">
        <v>110</v>
      </c>
      <c r="AK389" s="68">
        <v>37.799999999999997</v>
      </c>
      <c r="BB389" s="436" t="s">
        <v>1</v>
      </c>
      <c r="BM389" s="64">
        <f t="shared" si="37"/>
        <v>44.599999999999994</v>
      </c>
      <c r="BN389" s="64">
        <f t="shared" si="38"/>
        <v>44.599999999999994</v>
      </c>
      <c r="BO389" s="64">
        <f t="shared" si="39"/>
        <v>8.5470085470085472E-2</v>
      </c>
      <c r="BP389" s="64">
        <f t="shared" si="40"/>
        <v>8.5470085470085472E-2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 t="s">
        <v>270</v>
      </c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10.5</v>
      </c>
      <c r="Y390" s="544">
        <f t="shared" si="36"/>
        <v>10.5</v>
      </c>
      <c r="Z390" s="36">
        <f t="shared" si="41"/>
        <v>2.5100000000000001E-2</v>
      </c>
      <c r="AA390" s="56"/>
      <c r="AB390" s="57"/>
      <c r="AC390" s="437" t="s">
        <v>602</v>
      </c>
      <c r="AG390" s="64"/>
      <c r="AJ390" s="68" t="s">
        <v>110</v>
      </c>
      <c r="AK390" s="68">
        <v>37.799999999999997</v>
      </c>
      <c r="BB390" s="438" t="s">
        <v>1</v>
      </c>
      <c r="BM390" s="64">
        <f t="shared" si="37"/>
        <v>11.149999999999999</v>
      </c>
      <c r="BN390" s="64">
        <f t="shared" si="38"/>
        <v>11.149999999999999</v>
      </c>
      <c r="BO390" s="64">
        <f t="shared" si="39"/>
        <v>2.1367521367521368E-2</v>
      </c>
      <c r="BP390" s="64">
        <f t="shared" si="40"/>
        <v>2.1367521367521368E-2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62.999999999999993</v>
      </c>
      <c r="Y392" s="544">
        <f t="shared" si="36"/>
        <v>63</v>
      </c>
      <c r="Z392" s="36">
        <f t="shared" si="41"/>
        <v>0.15060000000000001</v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66.899999999999991</v>
      </c>
      <c r="BN392" s="64">
        <f t="shared" si="38"/>
        <v>66.900000000000006</v>
      </c>
      <c r="BO392" s="64">
        <f t="shared" si="39"/>
        <v>0.12820512820512819</v>
      </c>
      <c r="BP392" s="64">
        <f t="shared" si="40"/>
        <v>0.12820512820512822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55</v>
      </c>
      <c r="Y394" s="545">
        <f>IFERROR(Y385/H385,"0")+IFERROR(Y386/H386,"0")+IFERROR(Y387/H387,"0")+IFERROR(Y388/H388,"0")+IFERROR(Y389/H389,"0")+IFERROR(Y390/H390,"0")+IFERROR(Y391/H391,"0")+IFERROR(Y392/H392,"0")+IFERROR(Y393/H393,"0")</f>
        <v>55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0.27610000000000001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115.5</v>
      </c>
      <c r="Y395" s="545">
        <f>IFERROR(SUM(Y385:Y393),"0")</f>
        <v>115.5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139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17.5</v>
      </c>
      <c r="Y410" s="544">
        <f>IFERROR(IF(X410="",0,CEILING((X410/$H410),1)*$H410),"")</f>
        <v>18.900000000000002</v>
      </c>
      <c r="Z410" s="36">
        <f>IFERROR(IF(Y410=0,"",ROUNDUP(Y410/H410,0)*0.00502),"")</f>
        <v>4.5179999999999998E-2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18.583333333333332</v>
      </c>
      <c r="BN410" s="64">
        <f>IFERROR(Y410*I410/H410,"0")</f>
        <v>20.07</v>
      </c>
      <c r="BO410" s="64">
        <f>IFERROR(1/J410*(X410/H410),"0")</f>
        <v>3.5612535612535613E-2</v>
      </c>
      <c r="BP410" s="64">
        <f>IFERROR(1/J410*(Y410/H410),"0")</f>
        <v>3.8461538461538464E-2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8.3333333333333321</v>
      </c>
      <c r="Y411" s="545">
        <f>IFERROR(Y407/H407,"0")+IFERROR(Y408/H408,"0")+IFERROR(Y409/H409,"0")+IFERROR(Y410/H410,"0")</f>
        <v>9</v>
      </c>
      <c r="Z411" s="545">
        <f>IFERROR(IF(Z407="",0,Z407),"0")+IFERROR(IF(Z408="",0,Z408),"0")+IFERROR(IF(Z409="",0,Z409),"0")+IFERROR(IF(Z410="",0,Z410),"0")</f>
        <v>4.5179999999999998E-2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17.5</v>
      </c>
      <c r="Y412" s="545">
        <f>IFERROR(SUM(Y407:Y410),"0")</f>
        <v>18.900000000000002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 t="s">
        <v>217</v>
      </c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20</v>
      </c>
      <c r="Y415" s="544">
        <f>IFERROR(IF(X415="",0,CEILING((X415/$H415),1)*$H415),"")</f>
        <v>20.399999999999999</v>
      </c>
      <c r="Z415" s="36">
        <f>IFERROR(IF(Y415=0,"",ROUNDUP(Y415/H415,0)*0.00651),"")</f>
        <v>0.11067</v>
      </c>
      <c r="AA415" s="56"/>
      <c r="AB415" s="57"/>
      <c r="AC415" s="459" t="s">
        <v>635</v>
      </c>
      <c r="AG415" s="64"/>
      <c r="AJ415" s="68" t="s">
        <v>110</v>
      </c>
      <c r="AK415" s="68">
        <v>16.8</v>
      </c>
      <c r="BB415" s="460" t="s">
        <v>1</v>
      </c>
      <c r="BM415" s="64">
        <f>IFERROR(X415*I415/H415,"0")</f>
        <v>35</v>
      </c>
      <c r="BN415" s="64">
        <f>IFERROR(Y415*I415/H415,"0")</f>
        <v>35.699999999999996</v>
      </c>
      <c r="BO415" s="64">
        <f>IFERROR(1/J415*(X415/H415),"0")</f>
        <v>9.1575091575091583E-2</v>
      </c>
      <c r="BP415" s="64">
        <f>IFERROR(1/J415*(Y415/H415),"0")</f>
        <v>9.3406593406593408E-2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16.666666666666668</v>
      </c>
      <c r="Y416" s="545">
        <f>IFERROR(Y415/H415,"0")</f>
        <v>17</v>
      </c>
      <c r="Z416" s="545">
        <f>IFERROR(IF(Z415="",0,Z415),"0")</f>
        <v>0.11067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20</v>
      </c>
      <c r="Y417" s="545">
        <f>IFERROR(SUM(Y415:Y415),"0")</f>
        <v>20.399999999999999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/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80</v>
      </c>
      <c r="Y425" s="544">
        <f t="shared" si="42"/>
        <v>84.48</v>
      </c>
      <c r="Z425" s="36">
        <f t="shared" si="43"/>
        <v>0.19136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85.303030303030297</v>
      </c>
      <c r="BN425" s="64">
        <f t="shared" si="45"/>
        <v>90.08</v>
      </c>
      <c r="BO425" s="64">
        <f t="shared" si="46"/>
        <v>0.14568764568764569</v>
      </c>
      <c r="BP425" s="64">
        <f t="shared" si="47"/>
        <v>0.15384615384615385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210</v>
      </c>
      <c r="Y427" s="544">
        <f t="shared" si="42"/>
        <v>211.20000000000002</v>
      </c>
      <c r="Z427" s="36">
        <f t="shared" si="43"/>
        <v>0.47839999999999999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223.92045454545453</v>
      </c>
      <c r="BN427" s="64">
        <f t="shared" si="45"/>
        <v>225.2</v>
      </c>
      <c r="BO427" s="64">
        <f t="shared" si="46"/>
        <v>0.38243006993006995</v>
      </c>
      <c r="BP427" s="64">
        <f t="shared" si="47"/>
        <v>0.38461538461538464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132</v>
      </c>
      <c r="Y429" s="544">
        <f t="shared" si="42"/>
        <v>134.4</v>
      </c>
      <c r="Z429" s="36">
        <f>IFERROR(IF(Y429=0,"",ROUNDUP(Y429/H429,0)*0.00902),"")</f>
        <v>0.25256000000000001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190.02500000000001</v>
      </c>
      <c r="BN429" s="64">
        <f t="shared" si="45"/>
        <v>193.48000000000002</v>
      </c>
      <c r="BO429" s="64">
        <f t="shared" si="46"/>
        <v>0.20833333333333334</v>
      </c>
      <c r="BP429" s="64">
        <f t="shared" si="47"/>
        <v>0.21212121212121215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90</v>
      </c>
      <c r="Y432" s="544">
        <f t="shared" si="42"/>
        <v>91.2</v>
      </c>
      <c r="Z432" s="36">
        <f>IFERROR(IF(Y432=0,"",ROUNDUP(Y432/H432,0)*0.00902),"")</f>
        <v>0.17138</v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129.5625</v>
      </c>
      <c r="BN432" s="64">
        <f t="shared" si="45"/>
        <v>131.29000000000002</v>
      </c>
      <c r="BO432" s="64">
        <f t="shared" si="46"/>
        <v>0.14204545454545456</v>
      </c>
      <c r="BP432" s="64">
        <f t="shared" si="47"/>
        <v>0.14393939393939395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101.17424242424242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103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1.0937000000000001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512</v>
      </c>
      <c r="Y434" s="545">
        <f>IFERROR(SUM(Y421:Y432),"0")</f>
        <v>521.28000000000009</v>
      </c>
      <c r="Z434" s="37"/>
      <c r="AA434" s="546"/>
      <c r="AB434" s="546"/>
      <c r="AC434" s="546"/>
    </row>
    <row r="435" spans="1:68" ht="14.25" customHeight="1" x14ac:dyDescent="0.25">
      <c r="A435" s="556" t="s">
        <v>139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150</v>
      </c>
      <c r="Y436" s="544">
        <f>IFERROR(IF(X436="",0,CEILING((X436/$H436),1)*$H436),"")</f>
        <v>153.12</v>
      </c>
      <c r="Z436" s="36">
        <f>IFERROR(IF(Y436=0,"",ROUNDUP(Y436/H436,0)*0.01196),"")</f>
        <v>0.34683999999999998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159.94318181818181</v>
      </c>
      <c r="BN436" s="64">
        <f>IFERROR(Y436*I436/H436,"0")</f>
        <v>163.26999999999998</v>
      </c>
      <c r="BO436" s="64">
        <f>IFERROR(1/J436*(X436/H436),"0")</f>
        <v>0.27316433566433568</v>
      </c>
      <c r="BP436" s="64">
        <f>IFERROR(1/J436*(Y436/H436),"0")</f>
        <v>0.27884615384615385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/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28.409090909090907</v>
      </c>
      <c r="Y439" s="545">
        <f>IFERROR(Y436/H436,"0")+IFERROR(Y437/H437,"0")+IFERROR(Y438/H438,"0")</f>
        <v>29</v>
      </c>
      <c r="Z439" s="545">
        <f>IFERROR(IF(Z436="",0,Z436),"0")+IFERROR(IF(Z437="",0,Z437),"0")+IFERROR(IF(Z438="",0,Z438),"0")</f>
        <v>0.34683999999999998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150</v>
      </c>
      <c r="Y440" s="545">
        <f>IFERROR(SUM(Y436:Y438),"0")</f>
        <v>153.12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30</v>
      </c>
      <c r="Y442" s="544">
        <f t="shared" ref="Y442:Y447" si="48">IFERROR(IF(X442="",0,CEILING((X442/$H442),1)*$H442),"")</f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31.988636363636363</v>
      </c>
      <c r="BN442" s="64">
        <f t="shared" ref="BN442:BN447" si="50">IFERROR(Y442*I442/H442,"0")</f>
        <v>33.779999999999994</v>
      </c>
      <c r="BO442" s="64">
        <f t="shared" ref="BO442:BO447" si="51">IFERROR(1/J442*(X442/H442),"0")</f>
        <v>5.4632867132867136E-2</v>
      </c>
      <c r="BP442" s="64">
        <f t="shared" ref="BP442:BP447" si="52">IFERROR(1/J442*(Y442/H442),"0")</f>
        <v>5.7692307692307696E-2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100</v>
      </c>
      <c r="Y443" s="544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106.62878787878788</v>
      </c>
      <c r="BN443" s="64">
        <f t="shared" si="50"/>
        <v>106.97</v>
      </c>
      <c r="BO443" s="64">
        <f t="shared" si="51"/>
        <v>0.18210955710955709</v>
      </c>
      <c r="BP443" s="64">
        <f t="shared" si="52"/>
        <v>0.18269230769230771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30</v>
      </c>
      <c r="Y444" s="544">
        <f t="shared" si="48"/>
        <v>31.68</v>
      </c>
      <c r="Z444" s="36">
        <f>IFERROR(IF(Y444=0,"",ROUNDUP(Y444/H444,0)*0.01196),"")</f>
        <v>7.1760000000000004E-2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31.988636363636363</v>
      </c>
      <c r="BN444" s="64">
        <f t="shared" si="50"/>
        <v>33.779999999999994</v>
      </c>
      <c r="BO444" s="64">
        <f t="shared" si="51"/>
        <v>5.4632867132867136E-2</v>
      </c>
      <c r="BP444" s="64">
        <f t="shared" si="52"/>
        <v>5.7692307692307696E-2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 t="s">
        <v>114</v>
      </c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102</v>
      </c>
      <c r="Y445" s="544">
        <f t="shared" si="48"/>
        <v>105.6</v>
      </c>
      <c r="Z445" s="36">
        <f>IFERROR(IF(Y445=0,"",ROUNDUP(Y445/H445,0)*0.00902),"")</f>
        <v>0.19844000000000001</v>
      </c>
      <c r="AA445" s="56"/>
      <c r="AB445" s="57"/>
      <c r="AC445" s="497" t="s">
        <v>676</v>
      </c>
      <c r="AG445" s="64"/>
      <c r="AJ445" s="68" t="s">
        <v>110</v>
      </c>
      <c r="AK445" s="68">
        <v>57.6</v>
      </c>
      <c r="BB445" s="498" t="s">
        <v>1</v>
      </c>
      <c r="BM445" s="64">
        <f t="shared" si="49"/>
        <v>146.83750000000001</v>
      </c>
      <c r="BN445" s="64">
        <f t="shared" si="50"/>
        <v>152.02000000000001</v>
      </c>
      <c r="BO445" s="64">
        <f t="shared" si="51"/>
        <v>0.16098484848484848</v>
      </c>
      <c r="BP445" s="64">
        <f t="shared" si="52"/>
        <v>0.16666666666666669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 t="s">
        <v>114</v>
      </c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18</v>
      </c>
      <c r="Y446" s="544">
        <f t="shared" si="48"/>
        <v>19.2</v>
      </c>
      <c r="Z446" s="36">
        <f>IFERROR(IF(Y446=0,"",ROUNDUP(Y446/H446,0)*0.00902),"")</f>
        <v>3.6080000000000001E-2</v>
      </c>
      <c r="AA446" s="56"/>
      <c r="AB446" s="57"/>
      <c r="AC446" s="499" t="s">
        <v>679</v>
      </c>
      <c r="AG446" s="64"/>
      <c r="AJ446" s="68" t="s">
        <v>110</v>
      </c>
      <c r="AK446" s="68">
        <v>57.6</v>
      </c>
      <c r="BB446" s="500" t="s">
        <v>1</v>
      </c>
      <c r="BM446" s="64">
        <f t="shared" si="49"/>
        <v>25.012500000000003</v>
      </c>
      <c r="BN446" s="64">
        <f t="shared" si="50"/>
        <v>26.68</v>
      </c>
      <c r="BO446" s="64">
        <f t="shared" si="51"/>
        <v>2.8409090909090912E-2</v>
      </c>
      <c r="BP446" s="64">
        <f t="shared" si="52"/>
        <v>3.0303030303030304E-2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 t="s">
        <v>114</v>
      </c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72</v>
      </c>
      <c r="Y447" s="544">
        <f t="shared" si="48"/>
        <v>72</v>
      </c>
      <c r="Z447" s="36">
        <f>IFERROR(IF(Y447=0,"",ROUNDUP(Y447/H447,0)*0.00902),"")</f>
        <v>0.1353</v>
      </c>
      <c r="AA447" s="56"/>
      <c r="AB447" s="57"/>
      <c r="AC447" s="501" t="s">
        <v>682</v>
      </c>
      <c r="AG447" s="64"/>
      <c r="AJ447" s="68" t="s">
        <v>110</v>
      </c>
      <c r="AK447" s="68">
        <v>57.6</v>
      </c>
      <c r="BB447" s="502" t="s">
        <v>1</v>
      </c>
      <c r="BM447" s="64">
        <f t="shared" si="49"/>
        <v>100.05000000000001</v>
      </c>
      <c r="BN447" s="64">
        <f t="shared" si="50"/>
        <v>100.05000000000001</v>
      </c>
      <c r="BO447" s="64">
        <f t="shared" si="51"/>
        <v>0.11363636363636365</v>
      </c>
      <c r="BP447" s="64">
        <f t="shared" si="52"/>
        <v>0.11363636363636365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70.303030303030297</v>
      </c>
      <c r="Y448" s="545">
        <f>IFERROR(Y442/H442,"0")+IFERROR(Y443/H443,"0")+IFERROR(Y444/H444,"0")+IFERROR(Y445/H445,"0")+IFERROR(Y446/H446,"0")+IFERROR(Y447/H447,"0")</f>
        <v>72</v>
      </c>
      <c r="Z448" s="545">
        <f>IFERROR(IF(Z442="",0,Z442),"0")+IFERROR(IF(Z443="",0,Z443),"0")+IFERROR(IF(Z444="",0,Z444),"0")+IFERROR(IF(Z445="",0,Z445),"0")+IFERROR(IF(Z446="",0,Z446),"0")+IFERROR(IF(Z447="",0,Z447),"0")</f>
        <v>0.74057999999999991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352</v>
      </c>
      <c r="Y449" s="545">
        <f>IFERROR(SUM(Y442:Y447),"0")</f>
        <v>360.47999999999996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139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900</v>
      </c>
      <c r="Y477" s="544">
        <f>IFERROR(IF(X477="",0,CEILING((X477/$H477),1)*$H477),"")</f>
        <v>900</v>
      </c>
      <c r="Z477" s="36">
        <f>IFERROR(IF(Y477=0,"",ROUNDUP(Y477/H477,0)*0.01898),"")</f>
        <v>1.8980000000000001</v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949.40000000000009</v>
      </c>
      <c r="BN477" s="64">
        <f>IFERROR(Y477*I477/H477,"0")</f>
        <v>949.40000000000009</v>
      </c>
      <c r="BO477" s="64">
        <f>IFERROR(1/J477*(X477/H477),"0")</f>
        <v>1.5625</v>
      </c>
      <c r="BP477" s="64">
        <f>IFERROR(1/J477*(Y477/H477),"0")</f>
        <v>1.5625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100</v>
      </c>
      <c r="Y478" s="545">
        <f>IFERROR(Y477/H477,"0")</f>
        <v>100</v>
      </c>
      <c r="Z478" s="545">
        <f>IFERROR(IF(Z477="",0,Z477),"0")</f>
        <v>1.8980000000000001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900</v>
      </c>
      <c r="Y479" s="545">
        <f>IFERROR(SUM(Y477:Y477),"0")</f>
        <v>900</v>
      </c>
      <c r="Z479" s="37"/>
      <c r="AA479" s="546"/>
      <c r="AB479" s="546"/>
      <c r="AC479" s="546"/>
    </row>
    <row r="480" spans="1:68" ht="14.25" customHeight="1" x14ac:dyDescent="0.25">
      <c r="A480" s="556" t="s">
        <v>167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139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17519.5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17687.28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18600.525286357966</v>
      </c>
      <c r="Y491" s="545">
        <f>IFERROR(SUM(BN22:BN487),"0")</f>
        <v>18780.966000000004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30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19350.525286357966</v>
      </c>
      <c r="Y493" s="545">
        <f>GrossWeightTotalR+PalletQtyTotalR*25</f>
        <v>19555.966000000004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3252.7112060991385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3284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34.880250000000004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120</v>
      </c>
      <c r="E498" s="595" t="s">
        <v>174</v>
      </c>
      <c r="F498" s="595" t="s">
        <v>193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388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1080</v>
      </c>
      <c r="E500" s="46">
        <f>IFERROR(Y86*1,"0")+IFERROR(Y87*1,"0")+IFERROR(Y88*1,"0")+IFERROR(Y92*1,"0")+IFERROR(Y93*1,"0")+IFERROR(Y94*1,"0")+IFERROR(Y95*1,"0")</f>
        <v>1778.4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1071.9000000000001</v>
      </c>
      <c r="G500" s="46">
        <f>IFERROR(Y125*1,"0")+IFERROR(Y126*1,"0")+IFERROR(Y130*1,"0")+IFERROR(Y131*1,"0")+IFERROR(Y135*1,"0")+IFERROR(Y136*1,"0")</f>
        <v>221.67999999999998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640.91999999999985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2301.9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247.09999999999997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261.59999999999997</v>
      </c>
      <c r="P500" s="46">
        <f>IFERROR(Y279*1,"0")+IFERROR(Y280*1,"0")+IFERROR(Y284*1,"0")+IFERROR(Y285*1,"0")</f>
        <v>9.6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962.1</v>
      </c>
      <c r="R500" s="46">
        <f>IFERROR(Y334*1,"0")+IFERROR(Y335*1,"0")+IFERROR(Y336*1,"0")</f>
        <v>176.4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6386</v>
      </c>
      <c r="T500" s="46">
        <f>IFERROR(Y367*1,"0")+IFERROR(Y368*1,"0")+IFERROR(Y372*1,"0")+IFERROR(Y373*1,"0")+IFERROR(Y377*1,"0")+IFERROR(Y378*1,"0")+IFERROR(Y379*1,"0")</f>
        <v>72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115.5</v>
      </c>
      <c r="V500" s="46">
        <f>IFERROR(Y403*1,"0")+IFERROR(Y407*1,"0")+IFERROR(Y408*1,"0")+IFERROR(Y409*1,"0")+IFERROR(Y410*1,"0")</f>
        <v>18.900000000000002</v>
      </c>
      <c r="W500" s="46">
        <f>IFERROR(Y415*1,"0")</f>
        <v>20.399999999999999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1034.8800000000001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900</v>
      </c>
      <c r="Z500" s="46">
        <f>IFERROR(Y487*1,"0")</f>
        <v>0</v>
      </c>
      <c r="AB500" s="52"/>
      <c r="AC500" s="52"/>
      <c r="AF500" s="541"/>
    </row>
  </sheetData>
  <sheetProtection algorithmName="SHA-512" hashValue="Uwtm5+Pv/LNydHzhcePfCVc1g591WR62yFLVXHqljS65RPvf4uAo/7ci9pxmLtcEnzJ0lOcQQ1ftF5ahhJv0/w==" saltValue="NEaMHzryQYppNKE7v7IkI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2 X100 X102 X107 X113 X115:X116 X120 X125 X131 X136 X162:X165 X167 X169 X196:X203 X209:X210 X212 X214:X215 X219:X220 X225 X227:X228 X233 X273 X301:X303 X314:X316 X322:X323 X327 X329 X335:X336 X358 X367 X377 X389:X390 X392 X415 X421 X425 X427 X436 X442:X447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xLDnVJxu7Wk8q1sGRf2n6k5a0ZuXAXovsjMEN+DsL2N0f4cV7AciLO1g97dFtGaWm2eMykumQOdGw3lFZTF14w==" saltValue="e45c5JcTla4bMQtfDBzo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