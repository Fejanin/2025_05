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4E36AEB6-8C07-45ED-A1C5-100AD864306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130" i="1" l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Z97" i="1" s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Z315" i="1" s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Z290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Y491" i="1" l="1"/>
  <c r="Y493" i="1"/>
  <c r="Z90" i="1"/>
  <c r="Z77" i="1"/>
  <c r="Z64" i="1"/>
  <c r="Z496" i="1" s="1"/>
  <c r="Z415" i="1"/>
  <c r="Z308" i="1"/>
  <c r="Z299" i="1"/>
  <c r="Z221" i="1"/>
  <c r="Z465" i="1"/>
  <c r="Z120" i="1"/>
  <c r="Z113" i="1"/>
  <c r="Y492" i="1"/>
  <c r="Y494" i="1" s="1"/>
  <c r="Z328" i="1"/>
  <c r="Z177" i="1"/>
  <c r="Y495" i="1"/>
</calcChain>
</file>

<file path=xl/sharedStrings.xml><?xml version="1.0" encoding="utf-8"?>
<sst xmlns="http://schemas.openxmlformats.org/spreadsheetml/2006/main" count="2293" uniqueCount="775">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</sst>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7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46003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Пятница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0.375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250</v>
      </c>
      <c r="Y41" s="546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400</v>
      </c>
      <c r="Y42" s="546">
        <f>IFERROR(IF(X42="",0,CEILING((X42/$H42),1)*$H42),"")</f>
        <v>400</v>
      </c>
      <c r="Z42" s="36">
        <f>IFERROR(IF(Y42=0,"",ROUNDUP(Y42/H42,0)*0.00902),"")</f>
        <v>0.90200000000000002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419.00000000000006</v>
      </c>
      <c r="BN42" s="64">
        <f>IFERROR(Y42*I42/H42,"0")</f>
        <v>419.00000000000006</v>
      </c>
      <c r="BO42" s="64">
        <f>IFERROR(1/J42*(X42/H42),"0")</f>
        <v>0.75757575757575757</v>
      </c>
      <c r="BP42" s="64">
        <f>IFERROR(1/J42*(Y42/H42),"0")</f>
        <v>0.75757575757575757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123.14814814814815</v>
      </c>
      <c r="Y44" s="547">
        <f>IFERROR(Y41/H41,"0")+IFERROR(Y42/H42,"0")+IFERROR(Y43/H43,"0")</f>
        <v>124</v>
      </c>
      <c r="Z44" s="547">
        <f>IFERROR(IF(Z41="",0,Z41),"0")+IFERROR(IF(Z42="",0,Z42),"0")+IFERROR(IF(Z43="",0,Z43),"0")</f>
        <v>1.3575200000000001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650</v>
      </c>
      <c r="Y45" s="547">
        <f>IFERROR(SUM(Y41:Y43),"0")</f>
        <v>659.2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300</v>
      </c>
      <c r="Y53" s="546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495</v>
      </c>
      <c r="Y57" s="546">
        <f t="shared" si="0"/>
        <v>495</v>
      </c>
      <c r="Z57" s="36">
        <f>IFERROR(IF(Y57=0,"",ROUNDUP(Y57/H57,0)*0.00902),"")</f>
        <v>0.99219999999999997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515.90000000000009</v>
      </c>
      <c r="BN57" s="64">
        <f t="shared" si="2"/>
        <v>515.90000000000009</v>
      </c>
      <c r="BO57" s="64">
        <f t="shared" si="3"/>
        <v>0.83333333333333337</v>
      </c>
      <c r="BP57" s="64">
        <f t="shared" si="4"/>
        <v>0.83333333333333337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137.77777777777777</v>
      </c>
      <c r="Y58" s="547">
        <f>IFERROR(Y52/H52,"0")+IFERROR(Y53/H53,"0")+IFERROR(Y54/H54,"0")+IFERROR(Y55/H55,"0")+IFERROR(Y56/H56,"0")+IFERROR(Y57/H57,"0")</f>
        <v>138</v>
      </c>
      <c r="Z58" s="547">
        <f>IFERROR(IF(Z52="",0,Z52),"0")+IFERROR(IF(Z53="",0,Z53),"0")+IFERROR(IF(Z54="",0,Z54),"0")+IFERROR(IF(Z55="",0,Z55),"0")+IFERROR(IF(Z56="",0,Z56),"0")+IFERROR(IF(Z57="",0,Z57),"0")</f>
        <v>1.5236399999999999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795</v>
      </c>
      <c r="Y59" s="547">
        <f>IFERROR(SUM(Y52:Y57),"0")</f>
        <v>797.40000000000009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100</v>
      </c>
      <c r="Y61" s="546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135</v>
      </c>
      <c r="Y63" s="546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59.25925925925926</v>
      </c>
      <c r="Y64" s="547">
        <f>IFERROR(Y61/H61,"0")+IFERROR(Y62/H62,"0")+IFERROR(Y63/H63,"0")</f>
        <v>60</v>
      </c>
      <c r="Z64" s="547">
        <f>IFERROR(IF(Z61="",0,Z61),"0")+IFERROR(IF(Z62="",0,Z62),"0")+IFERROR(IF(Z63="",0,Z63),"0")</f>
        <v>0.51529999999999998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235</v>
      </c>
      <c r="Y65" s="547">
        <f>IFERROR(SUM(Y61:Y63),"0")</f>
        <v>243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40</v>
      </c>
      <c r="Y80" s="546">
        <f>IFERROR(IF(X80="",0,CEILING((X80/$H80),1)*$H80),"")</f>
        <v>46.8</v>
      </c>
      <c r="Z80" s="36">
        <f>IFERROR(IF(Y80=0,"",ROUNDUP(Y80/H80,0)*0.01898),"")</f>
        <v>0.11388000000000001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42.102564102564109</v>
      </c>
      <c r="BN80" s="64">
        <f>IFERROR(Y80*I80/H80,"0")</f>
        <v>49.260000000000005</v>
      </c>
      <c r="BO80" s="64">
        <f>IFERROR(1/J80*(X80/H80),"0")</f>
        <v>8.0128205128205135E-2</v>
      </c>
      <c r="BP80" s="64">
        <f>IFERROR(1/J80*(Y80/H80),"0")</f>
        <v>9.375E-2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5.1282051282051286</v>
      </c>
      <c r="Y82" s="547">
        <f>IFERROR(Y80/H80,"0")+IFERROR(Y81/H81,"0")</f>
        <v>6</v>
      </c>
      <c r="Z82" s="547">
        <f>IFERROR(IF(Z80="",0,Z80),"0")+IFERROR(IF(Z81="",0,Z81),"0")</f>
        <v>0.11388000000000001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40</v>
      </c>
      <c r="Y83" s="547">
        <f>IFERROR(SUM(Y80:Y81),"0")</f>
        <v>46.8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150</v>
      </c>
      <c r="Y86" s="54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155.69444444444446</v>
      </c>
      <c r="BN86" s="64">
        <f>IFERROR(Y86*I86/H86,"0")</f>
        <v>156.94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405</v>
      </c>
      <c r="Y89" s="546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422.1</v>
      </c>
      <c r="BN89" s="64">
        <f>IFERROR(Y89*I89/H89,"0")</f>
        <v>422.1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103.88888888888889</v>
      </c>
      <c r="Y90" s="547">
        <f>IFERROR(Y86/H86,"0")+IFERROR(Y87/H87,"0")+IFERROR(Y88/H88,"0")+IFERROR(Y89/H89,"0")</f>
        <v>104</v>
      </c>
      <c r="Z90" s="547">
        <f>IFERROR(IF(Z86="",0,Z86),"0")+IFERROR(IF(Z87="",0,Z87),"0")+IFERROR(IF(Z88="",0,Z88),"0")+IFERROR(IF(Z89="",0,Z89),"0")</f>
        <v>1.07752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555</v>
      </c>
      <c r="Y91" s="547">
        <f>IFERROR(SUM(Y86:Y89),"0")</f>
        <v>556.20000000000005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200</v>
      </c>
      <c r="Y93" s="546">
        <f>IFERROR(IF(X93="",0,CEILING((X93/$H93),1)*$H93),"")</f>
        <v>202.5</v>
      </c>
      <c r="Z93" s="36">
        <f>IFERROR(IF(Y93=0,"",ROUNDUP(Y93/H93,0)*0.01898),"")</f>
        <v>0.47450000000000003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212.19753086419755</v>
      </c>
      <c r="BN93" s="64">
        <f>IFERROR(Y93*I93/H93,"0")</f>
        <v>214.85</v>
      </c>
      <c r="BO93" s="64">
        <f>IFERROR(1/J93*(X93/H93),"0")</f>
        <v>0.38580246913580246</v>
      </c>
      <c r="BP93" s="64">
        <f>IFERROR(1/J93*(Y93/H93),"0")</f>
        <v>0.390625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630</v>
      </c>
      <c r="Y95" s="546">
        <f>IFERROR(IF(X95="",0,CEILING((X95/$H95),1)*$H95),"")</f>
        <v>631.80000000000007</v>
      </c>
      <c r="Z95" s="36">
        <f>IFERROR(IF(Y95=0,"",ROUNDUP(Y95/H95,0)*0.00651),"")</f>
        <v>1.5233400000000001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688.8</v>
      </c>
      <c r="BN95" s="64">
        <f>IFERROR(Y95*I95/H95,"0")</f>
        <v>690.76800000000003</v>
      </c>
      <c r="BO95" s="64">
        <f>IFERROR(1/J95*(X95/H95),"0")</f>
        <v>1.2820512820512819</v>
      </c>
      <c r="BP95" s="64">
        <f>IFERROR(1/J95*(Y95/H95),"0")</f>
        <v>1.2857142857142858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258.02469135802465</v>
      </c>
      <c r="Y97" s="547">
        <f>IFERROR(Y93/H93,"0")+IFERROR(Y94/H94,"0")+IFERROR(Y95/H95,"0")+IFERROR(Y96/H96,"0")</f>
        <v>259</v>
      </c>
      <c r="Z97" s="547">
        <f>IFERROR(IF(Z93="",0,Z93),"0")+IFERROR(IF(Z94="",0,Z94),"0")+IFERROR(IF(Z95="",0,Z95),"0")+IFERROR(IF(Z96="",0,Z96),"0")</f>
        <v>1.9978400000000001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830</v>
      </c>
      <c r="Y98" s="547">
        <f>IFERROR(SUM(Y93:Y96),"0")</f>
        <v>834.30000000000007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270</v>
      </c>
      <c r="Y104" s="546">
        <f>IFERROR(IF(X104="",0,CEILING((X104/$H104),1)*$H104),"")</f>
        <v>270</v>
      </c>
      <c r="Z104" s="36">
        <f>IFERROR(IF(Y104=0,"",ROUNDUP(Y104/H104,0)*0.00902),"")</f>
        <v>0.54120000000000001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281.40000000000003</v>
      </c>
      <c r="BN104" s="64">
        <f>IFERROR(Y104*I104/H104,"0")</f>
        <v>281.40000000000003</v>
      </c>
      <c r="BO104" s="64">
        <f>IFERROR(1/J104*(X104/H104),"0")</f>
        <v>0.45454545454545459</v>
      </c>
      <c r="BP104" s="64">
        <f>IFERROR(1/J104*(Y104/H104),"0")</f>
        <v>0.45454545454545459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60</v>
      </c>
      <c r="Y106" s="547">
        <f>IFERROR(Y101/H101,"0")+IFERROR(Y102/H102,"0")+IFERROR(Y103/H103,"0")+IFERROR(Y104/H104,"0")+IFERROR(Y105/H105,"0")</f>
        <v>60</v>
      </c>
      <c r="Z106" s="547">
        <f>IFERROR(IF(Z101="",0,Z101),"0")+IFERROR(IF(Z102="",0,Z102),"0")+IFERROR(IF(Z103="",0,Z103),"0")+IFERROR(IF(Z104="",0,Z104),"0")+IFERROR(IF(Z105="",0,Z105),"0")</f>
        <v>0.54120000000000001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270</v>
      </c>
      <c r="Y107" s="547">
        <f>IFERROR(SUM(Y101:Y105),"0")</f>
        <v>270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400</v>
      </c>
      <c r="Y116" s="546">
        <f>IFERROR(IF(X116="",0,CEILING((X116/$H116),1)*$H116),"")</f>
        <v>405</v>
      </c>
      <c r="Z116" s="36">
        <f>IFERROR(IF(Y116=0,"",ROUNDUP(Y116/H116,0)*0.01898),"")</f>
        <v>0.94900000000000007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424.09876543209879</v>
      </c>
      <c r="BN116" s="64">
        <f>IFERROR(Y116*I116/H116,"0")</f>
        <v>429.4</v>
      </c>
      <c r="BO116" s="64">
        <f>IFERROR(1/J116*(X116/H116),"0")</f>
        <v>0.77160493827160492</v>
      </c>
      <c r="BP116" s="64">
        <f>IFERROR(1/J116*(Y116/H116),"0")</f>
        <v>0.78125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495</v>
      </c>
      <c r="Y118" s="546">
        <f>IFERROR(IF(X118="",0,CEILING((X118/$H118),1)*$H118),"")</f>
        <v>496.8</v>
      </c>
      <c r="Z118" s="36">
        <f>IFERROR(IF(Y118=0,"",ROUNDUP(Y118/H118,0)*0.00651),"")</f>
        <v>1.19784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541.19999999999993</v>
      </c>
      <c r="BN118" s="64">
        <f>IFERROR(Y118*I118/H118,"0")</f>
        <v>543.16800000000001</v>
      </c>
      <c r="BO118" s="64">
        <f>IFERROR(1/J118*(X118/H118),"0")</f>
        <v>1.0073260073260073</v>
      </c>
      <c r="BP118" s="64">
        <f>IFERROR(1/J118*(Y118/H118),"0")</f>
        <v>1.0109890109890112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232.71604938271602</v>
      </c>
      <c r="Y120" s="547">
        <f>IFERROR(Y116/H116,"0")+IFERROR(Y117/H117,"0")+IFERROR(Y118/H118,"0")+IFERROR(Y119/H119,"0")</f>
        <v>234</v>
      </c>
      <c r="Z120" s="547">
        <f>IFERROR(IF(Z116="",0,Z116),"0")+IFERROR(IF(Z117="",0,Z117),"0")+IFERROR(IF(Z118="",0,Z118),"0")+IFERROR(IF(Z119="",0,Z119),"0")</f>
        <v>2.1468400000000001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895</v>
      </c>
      <c r="Y121" s="547">
        <f>IFERROR(SUM(Y116:Y119),"0")</f>
        <v>901.8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46.2</v>
      </c>
      <c r="Y123" s="546">
        <f>IFERROR(IF(X123="",0,CEILING((X123/$H123),1)*$H123),"")</f>
        <v>47.519999999999996</v>
      </c>
      <c r="Z123" s="36">
        <f>IFERROR(IF(Y123=0,"",ROUNDUP(Y123/H123,0)*0.00651),"")</f>
        <v>0.15623999999999999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52.22</v>
      </c>
      <c r="BN123" s="64">
        <f>IFERROR(Y123*I123/H123,"0")</f>
        <v>53.711999999999996</v>
      </c>
      <c r="BO123" s="64">
        <f>IFERROR(1/J123*(X123/H123),"0")</f>
        <v>0.12820512820512822</v>
      </c>
      <c r="BP123" s="64">
        <f>IFERROR(1/J123*(Y123/H123),"0")</f>
        <v>0.13186813186813187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23.333333333333336</v>
      </c>
      <c r="Y124" s="547">
        <f>IFERROR(Y123/H123,"0")</f>
        <v>23.999999999999996</v>
      </c>
      <c r="Z124" s="547">
        <f>IFERROR(IF(Z123="",0,Z123),"0")</f>
        <v>0.15623999999999999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46.2</v>
      </c>
      <c r="Y125" s="547">
        <f>IFERROR(SUM(Y123:Y123),"0")</f>
        <v>47.519999999999996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40</v>
      </c>
      <c r="Y128" s="546">
        <f>IFERROR(IF(X128="",0,CEILING((X128/$H128),1)*$H128),"")</f>
        <v>41.6</v>
      </c>
      <c r="Z128" s="36">
        <f>IFERROR(IF(Y128=0,"",ROUNDUP(Y128/H128,0)*0.00651),"")</f>
        <v>8.4629999999999997E-2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42.249999999999993</v>
      </c>
      <c r="BN128" s="64">
        <f>IFERROR(Y128*I128/H128,"0")</f>
        <v>43.94</v>
      </c>
      <c r="BO128" s="64">
        <f>IFERROR(1/J128*(X128/H128),"0")</f>
        <v>6.8681318681318687E-2</v>
      </c>
      <c r="BP128" s="64">
        <f>IFERROR(1/J128*(Y128/H128),"0")</f>
        <v>7.1428571428571438E-2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12.5</v>
      </c>
      <c r="Y130" s="547">
        <f>IFERROR(Y128/H128,"0")+IFERROR(Y129/H129,"0")</f>
        <v>13</v>
      </c>
      <c r="Z130" s="547">
        <f>IFERROR(IF(Z128="",0,Z128),"0")+IFERROR(IF(Z129="",0,Z129),"0")</f>
        <v>8.4629999999999997E-2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40</v>
      </c>
      <c r="Y131" s="547">
        <f>IFERROR(SUM(Y128:Y129),"0")</f>
        <v>41.6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35</v>
      </c>
      <c r="Y134" s="546">
        <f>IFERROR(IF(X134="",0,CEILING((X134/$H134),1)*$H134),"")</f>
        <v>36.4</v>
      </c>
      <c r="Z134" s="36">
        <f>IFERROR(IF(Y134=0,"",ROUNDUP(Y134/H134,0)*0.00651),"")</f>
        <v>8.4629999999999997E-2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38.35</v>
      </c>
      <c r="BN134" s="64">
        <f>IFERROR(Y134*I134/H134,"0")</f>
        <v>39.884</v>
      </c>
      <c r="BO134" s="64">
        <f>IFERROR(1/J134*(X134/H134),"0")</f>
        <v>6.8681318681318687E-2</v>
      </c>
      <c r="BP134" s="64">
        <f>IFERROR(1/J134*(Y134/H134),"0")</f>
        <v>7.1428571428571438E-2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12.5</v>
      </c>
      <c r="Y135" s="547">
        <f>IFERROR(Y133/H133,"0")+IFERROR(Y134/H134,"0")</f>
        <v>13</v>
      </c>
      <c r="Z135" s="547">
        <f>IFERROR(IF(Z133="",0,Z133),"0")+IFERROR(IF(Z134="",0,Z134),"0")</f>
        <v>8.4629999999999997E-2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35</v>
      </c>
      <c r="Y136" s="547">
        <f>IFERROR(SUM(Y133:Y134),"0")</f>
        <v>36.4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66</v>
      </c>
      <c r="Y139" s="546">
        <f>IFERROR(IF(X139="",0,CEILING((X139/$H139),1)*$H139),"")</f>
        <v>66</v>
      </c>
      <c r="Z139" s="36">
        <f>IFERROR(IF(Y139=0,"",ROUNDUP(Y139/H139,0)*0.00651),"")</f>
        <v>0.16275000000000001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72.699999999999989</v>
      </c>
      <c r="BN139" s="64">
        <f>IFERROR(Y139*I139/H139,"0")</f>
        <v>72.699999999999989</v>
      </c>
      <c r="BO139" s="64">
        <f>IFERROR(1/J139*(X139/H139),"0")</f>
        <v>0.13736263736263737</v>
      </c>
      <c r="BP139" s="64">
        <f>IFERROR(1/J139*(Y139/H139),"0")</f>
        <v>0.13736263736263737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25</v>
      </c>
      <c r="Y140" s="547">
        <f>IFERROR(Y138/H138,"0")+IFERROR(Y139/H139,"0")</f>
        <v>25</v>
      </c>
      <c r="Z140" s="547">
        <f>IFERROR(IF(Z138="",0,Z138),"0")+IFERROR(IF(Z139="",0,Z139),"0")</f>
        <v>0.16275000000000001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66</v>
      </c>
      <c r="Y141" s="547">
        <f>IFERROR(SUM(Y138:Y139),"0")</f>
        <v>66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40</v>
      </c>
      <c r="Y166" s="546">
        <f t="shared" si="5"/>
        <v>42</v>
      </c>
      <c r="Z166" s="36">
        <f>IFERROR(IF(Y166=0,"",ROUNDUP(Y166/H166,0)*0.00902),"")</f>
        <v>9.0200000000000002E-2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42.38095238095238</v>
      </c>
      <c r="BN166" s="64">
        <f t="shared" si="7"/>
        <v>44.5</v>
      </c>
      <c r="BO166" s="64">
        <f t="shared" si="8"/>
        <v>7.2150072150072145E-2</v>
      </c>
      <c r="BP166" s="64">
        <f t="shared" si="9"/>
        <v>7.575757575757576E-2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40</v>
      </c>
      <c r="Y167" s="546">
        <f t="shared" si="5"/>
        <v>42</v>
      </c>
      <c r="Z167" s="36">
        <f>IFERROR(IF(Y167=0,"",ROUNDUP(Y167/H167,0)*0.00902),"")</f>
        <v>9.0200000000000002E-2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42.38095238095238</v>
      </c>
      <c r="BN167" s="64">
        <f t="shared" si="7"/>
        <v>44.5</v>
      </c>
      <c r="BO167" s="64">
        <f t="shared" si="8"/>
        <v>7.2150072150072145E-2</v>
      </c>
      <c r="BP167" s="64">
        <f t="shared" si="9"/>
        <v>7.575757575757576E-2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80</v>
      </c>
      <c r="Y168" s="546">
        <f t="shared" si="5"/>
        <v>84</v>
      </c>
      <c r="Z168" s="36">
        <f>IFERROR(IF(Y168=0,"",ROUNDUP(Y168/H168,0)*0.00902),"")</f>
        <v>0.1804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83.619047619047606</v>
      </c>
      <c r="BN168" s="64">
        <f t="shared" si="7"/>
        <v>87.8</v>
      </c>
      <c r="BO168" s="64">
        <f t="shared" si="8"/>
        <v>0.14430014430014429</v>
      </c>
      <c r="BP168" s="64">
        <f t="shared" si="9"/>
        <v>0.15151515151515152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52.5</v>
      </c>
      <c r="Y169" s="546">
        <f t="shared" si="5"/>
        <v>52.5</v>
      </c>
      <c r="Z169" s="36">
        <f>IFERROR(IF(Y169=0,"",ROUNDUP(Y169/H169,0)*0.00502),"")</f>
        <v>0.1255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55.75</v>
      </c>
      <c r="BN169" s="64">
        <f t="shared" si="7"/>
        <v>55.75</v>
      </c>
      <c r="BO169" s="64">
        <f t="shared" si="8"/>
        <v>0.10683760683760685</v>
      </c>
      <c r="BP169" s="64">
        <f t="shared" si="9"/>
        <v>0.10683760683760685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87.5</v>
      </c>
      <c r="Y171" s="546">
        <f t="shared" si="5"/>
        <v>88.2</v>
      </c>
      <c r="Z171" s="36">
        <f>IFERROR(IF(Y171=0,"",ROUNDUP(Y171/H171,0)*0.00502),"")</f>
        <v>0.21084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92.916666666666657</v>
      </c>
      <c r="BN171" s="64">
        <f t="shared" si="7"/>
        <v>93.66</v>
      </c>
      <c r="BO171" s="64">
        <f t="shared" si="8"/>
        <v>0.17806267806267806</v>
      </c>
      <c r="BP171" s="64">
        <f t="shared" si="9"/>
        <v>0.17948717948717952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210</v>
      </c>
      <c r="Y174" s="546">
        <f t="shared" si="5"/>
        <v>210</v>
      </c>
      <c r="Z174" s="36">
        <f>IFERROR(IF(Y174=0,"",ROUNDUP(Y174/H174,0)*0.00502),"")</f>
        <v>0.502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220.00000000000003</v>
      </c>
      <c r="BN174" s="64">
        <f t="shared" si="7"/>
        <v>220.00000000000003</v>
      </c>
      <c r="BO174" s="64">
        <f t="shared" si="8"/>
        <v>0.42735042735042739</v>
      </c>
      <c r="BP174" s="64">
        <f t="shared" si="9"/>
        <v>0.42735042735042739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204.76190476190476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207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1.1991399999999999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510</v>
      </c>
      <c r="Y178" s="547">
        <f>IFERROR(SUM(Y165:Y176),"0")</f>
        <v>518.70000000000005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14</v>
      </c>
      <c r="Y180" s="546">
        <f>IFERROR(IF(X180="",0,CEILING((X180/$H180),1)*$H180),"")</f>
        <v>15.120000000000001</v>
      </c>
      <c r="Z180" s="36">
        <f>IFERROR(IF(Y180=0,"",ROUNDUP(Y180/H180,0)*0.0059),"")</f>
        <v>7.0800000000000002E-2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16.111111111111111</v>
      </c>
      <c r="BN180" s="64">
        <f>IFERROR(Y180*I180/H180,"0")</f>
        <v>17.399999999999999</v>
      </c>
      <c r="BO180" s="64">
        <f>IFERROR(1/J180*(X180/H180),"0")</f>
        <v>5.1440329218106991E-2</v>
      </c>
      <c r="BP180" s="64">
        <f>IFERROR(1/J180*(Y180/H180),"0")</f>
        <v>5.5555555555555552E-2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5.6000000000000014</v>
      </c>
      <c r="Y181" s="546">
        <f>IFERROR(IF(X181="",0,CEILING((X181/$H181),1)*$H181),"")</f>
        <v>6.3</v>
      </c>
      <c r="Z181" s="36">
        <f>IFERROR(IF(Y181=0,"",ROUNDUP(Y181/H181,0)*0.0059),"")</f>
        <v>2.9499999999999998E-2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6.4444444444444455</v>
      </c>
      <c r="BN181" s="64">
        <f>IFERROR(Y181*I181/H181,"0")</f>
        <v>7.25</v>
      </c>
      <c r="BO181" s="64">
        <f>IFERROR(1/J181*(X181/H181),"0")</f>
        <v>2.0576131687242802E-2</v>
      </c>
      <c r="BP181" s="64">
        <f>IFERROR(1/J181*(Y181/H181),"0")</f>
        <v>2.3148148148148147E-2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14</v>
      </c>
      <c r="Y182" s="546">
        <f>IFERROR(IF(X182="",0,CEILING((X182/$H182),1)*$H182),"")</f>
        <v>15.120000000000001</v>
      </c>
      <c r="Z182" s="36">
        <f>IFERROR(IF(Y182=0,"",ROUNDUP(Y182/H182,0)*0.0059),"")</f>
        <v>7.0800000000000002E-2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16.111111111111111</v>
      </c>
      <c r="BN182" s="64">
        <f>IFERROR(Y182*I182/H182,"0")</f>
        <v>17.399999999999999</v>
      </c>
      <c r="BO182" s="64">
        <f>IFERROR(1/J182*(X182/H182),"0")</f>
        <v>5.1440329218106991E-2</v>
      </c>
      <c r="BP182" s="64">
        <f>IFERROR(1/J182*(Y182/H182),"0")</f>
        <v>5.5555555555555552E-2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26.666666666666668</v>
      </c>
      <c r="Y183" s="547">
        <f>IFERROR(Y180/H180,"0")+IFERROR(Y181/H181,"0")+IFERROR(Y182/H182,"0")</f>
        <v>29</v>
      </c>
      <c r="Z183" s="547">
        <f>IFERROR(IF(Z180="",0,Z180),"0")+IFERROR(IF(Z181="",0,Z181),"0")+IFERROR(IF(Z182="",0,Z182),"0")</f>
        <v>0.1711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33.6</v>
      </c>
      <c r="Y184" s="547">
        <f>IFERROR(SUM(Y180:Y182),"0")</f>
        <v>36.540000000000006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120</v>
      </c>
      <c r="Y201" s="546">
        <f t="shared" ref="Y201:Y208" si="10">IFERROR(IF(X201="",0,CEILING((X201/$H201),1)*$H201),"")</f>
        <v>124.2</v>
      </c>
      <c r="Z201" s="36">
        <f>IFERROR(IF(Y201=0,"",ROUNDUP(Y201/H201,0)*0.00902),"")</f>
        <v>0.20746000000000001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124.2222222222222</v>
      </c>
      <c r="BN201" s="64">
        <f t="shared" ref="BN201:BN208" si="12">IFERROR(Y201*I201/H201,"0")</f>
        <v>128.57</v>
      </c>
      <c r="BO201" s="64">
        <f t="shared" ref="BO201:BO208" si="13">IFERROR(1/J201*(X201/H201),"0")</f>
        <v>0.16835016835016836</v>
      </c>
      <c r="BP201" s="64">
        <f t="shared" ref="BP201:BP208" si="14">IFERROR(1/J201*(Y201/H201),"0")</f>
        <v>0.17424242424242425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40</v>
      </c>
      <c r="Y202" s="546">
        <f t="shared" si="10"/>
        <v>43.2</v>
      </c>
      <c r="Z202" s="36">
        <f>IFERROR(IF(Y202=0,"",ROUNDUP(Y202/H202,0)*0.00902),"")</f>
        <v>7.2160000000000002E-2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41.407407407407405</v>
      </c>
      <c r="BN202" s="64">
        <f t="shared" si="12"/>
        <v>44.72</v>
      </c>
      <c r="BO202" s="64">
        <f t="shared" si="13"/>
        <v>5.6116722783389444E-2</v>
      </c>
      <c r="BP202" s="64">
        <f t="shared" si="14"/>
        <v>6.0606060606060608E-2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260</v>
      </c>
      <c r="Y203" s="546">
        <f t="shared" si="10"/>
        <v>264.60000000000002</v>
      </c>
      <c r="Z203" s="36">
        <f>IFERROR(IF(Y203=0,"",ROUNDUP(Y203/H203,0)*0.00902),"")</f>
        <v>0.44198000000000004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269.1481481481481</v>
      </c>
      <c r="BN203" s="64">
        <f t="shared" si="12"/>
        <v>273.90999999999997</v>
      </c>
      <c r="BO203" s="64">
        <f t="shared" si="13"/>
        <v>0.36475869809203143</v>
      </c>
      <c r="BP203" s="64">
        <f t="shared" si="14"/>
        <v>0.37121212121212122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90</v>
      </c>
      <c r="Y205" s="546">
        <f t="shared" si="10"/>
        <v>90</v>
      </c>
      <c r="Z205" s="36">
        <f>IFERROR(IF(Y205=0,"",ROUNDUP(Y205/H205,0)*0.00502),"")</f>
        <v>0.251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96.499999999999986</v>
      </c>
      <c r="BN205" s="64">
        <f t="shared" si="12"/>
        <v>96.499999999999986</v>
      </c>
      <c r="BO205" s="64">
        <f t="shared" si="13"/>
        <v>0.21367521367521369</v>
      </c>
      <c r="BP205" s="64">
        <f t="shared" si="14"/>
        <v>0.21367521367521369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30</v>
      </c>
      <c r="Y206" s="546">
        <f t="shared" si="10"/>
        <v>30.6</v>
      </c>
      <c r="Z206" s="36">
        <f>IFERROR(IF(Y206=0,"",ROUNDUP(Y206/H206,0)*0.00502),"")</f>
        <v>8.5339999999999999E-2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31.666666666666664</v>
      </c>
      <c r="BN206" s="64">
        <f t="shared" si="12"/>
        <v>32.299999999999997</v>
      </c>
      <c r="BO206" s="64">
        <f t="shared" si="13"/>
        <v>7.122507122507124E-2</v>
      </c>
      <c r="BP206" s="64">
        <f t="shared" si="14"/>
        <v>7.2649572649572655E-2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66</v>
      </c>
      <c r="Y207" s="546">
        <f t="shared" si="10"/>
        <v>66.600000000000009</v>
      </c>
      <c r="Z207" s="36">
        <f>IFERROR(IF(Y207=0,"",ROUNDUP(Y207/H207,0)*0.00502),"")</f>
        <v>0.18574000000000002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69.666666666666657</v>
      </c>
      <c r="BN207" s="64">
        <f t="shared" si="12"/>
        <v>70.3</v>
      </c>
      <c r="BO207" s="64">
        <f t="shared" si="13"/>
        <v>0.15669515669515671</v>
      </c>
      <c r="BP207" s="64">
        <f t="shared" si="14"/>
        <v>0.15811965811965817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54</v>
      </c>
      <c r="Y208" s="546">
        <f t="shared" si="10"/>
        <v>54</v>
      </c>
      <c r="Z208" s="36">
        <f>IFERROR(IF(Y208=0,"",ROUNDUP(Y208/H208,0)*0.00502),"")</f>
        <v>0.15060000000000001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56.999999999999993</v>
      </c>
      <c r="BN208" s="64">
        <f t="shared" si="12"/>
        <v>56.999999999999993</v>
      </c>
      <c r="BO208" s="64">
        <f t="shared" si="13"/>
        <v>0.12820512820512822</v>
      </c>
      <c r="BP208" s="64">
        <f t="shared" si="14"/>
        <v>0.12820512820512822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229.62962962962962</v>
      </c>
      <c r="Y209" s="547">
        <f>IFERROR(Y201/H201,"0")+IFERROR(Y202/H202,"0")+IFERROR(Y203/H203,"0")+IFERROR(Y204/H204,"0")+IFERROR(Y205/H205,"0")+IFERROR(Y206/H206,"0")+IFERROR(Y207/H207,"0")+IFERROR(Y208/H208,"0")</f>
        <v>233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1.5656600000000001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760</v>
      </c>
      <c r="Y210" s="547">
        <f>IFERROR(SUM(Y201:Y208),"0")</f>
        <v>775.80000000000007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70</v>
      </c>
      <c r="Y214" s="546">
        <f t="shared" si="15"/>
        <v>78.3</v>
      </c>
      <c r="Z214" s="36">
        <f>IFERROR(IF(Y214=0,"",ROUNDUP(Y214/H214,0)*0.01898),"")</f>
        <v>0.17082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73.974712643678174</v>
      </c>
      <c r="BN214" s="64">
        <f t="shared" si="17"/>
        <v>82.746000000000009</v>
      </c>
      <c r="BO214" s="64">
        <f t="shared" si="18"/>
        <v>0.12571839080459771</v>
      </c>
      <c r="BP214" s="64">
        <f t="shared" si="19"/>
        <v>0.140625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280</v>
      </c>
      <c r="Y215" s="546">
        <f t="shared" si="15"/>
        <v>280.8</v>
      </c>
      <c r="Z215" s="36">
        <f t="shared" ref="Z215:Z220" si="20">IFERROR(IF(Y215=0,"",ROUNDUP(Y215/H215,0)*0.00651),"")</f>
        <v>0.76167000000000007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311.5</v>
      </c>
      <c r="BN215" s="64">
        <f t="shared" si="17"/>
        <v>312.39</v>
      </c>
      <c r="BO215" s="64">
        <f t="shared" si="18"/>
        <v>0.64102564102564108</v>
      </c>
      <c r="BP215" s="64">
        <f t="shared" si="19"/>
        <v>0.64285714285714302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200</v>
      </c>
      <c r="Y217" s="546">
        <f t="shared" si="15"/>
        <v>201.6</v>
      </c>
      <c r="Z217" s="36">
        <f t="shared" si="20"/>
        <v>0.54683999999999999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221</v>
      </c>
      <c r="BN217" s="64">
        <f t="shared" si="17"/>
        <v>222.768</v>
      </c>
      <c r="BO217" s="64">
        <f t="shared" si="18"/>
        <v>0.45787545787545797</v>
      </c>
      <c r="BP217" s="64">
        <f t="shared" si="19"/>
        <v>0.46153846153846156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100</v>
      </c>
      <c r="Y219" s="546">
        <f t="shared" si="15"/>
        <v>100.8</v>
      </c>
      <c r="Z219" s="36">
        <f t="shared" si="20"/>
        <v>0.27342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110.5</v>
      </c>
      <c r="BN219" s="64">
        <f t="shared" si="17"/>
        <v>111.384</v>
      </c>
      <c r="BO219" s="64">
        <f t="shared" si="18"/>
        <v>0.22893772893772898</v>
      </c>
      <c r="BP219" s="64">
        <f t="shared" si="19"/>
        <v>0.23076923076923078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260</v>
      </c>
      <c r="Y220" s="546">
        <f t="shared" si="15"/>
        <v>261.59999999999997</v>
      </c>
      <c r="Z220" s="36">
        <f t="shared" si="20"/>
        <v>0.70959000000000005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287.95</v>
      </c>
      <c r="BN220" s="64">
        <f t="shared" si="17"/>
        <v>289.72199999999998</v>
      </c>
      <c r="BO220" s="64">
        <f t="shared" si="18"/>
        <v>0.59523809523809534</v>
      </c>
      <c r="BP220" s="64">
        <f t="shared" si="19"/>
        <v>0.59890109890109888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358.0459770114943</v>
      </c>
      <c r="Y221" s="547">
        <f>IFERROR(Y212/H212,"0")+IFERROR(Y213/H213,"0")+IFERROR(Y214/H214,"0")+IFERROR(Y215/H215,"0")+IFERROR(Y216/H216,"0")+IFERROR(Y217/H217,"0")+IFERROR(Y218/H218,"0")+IFERROR(Y219/H219,"0")+IFERROR(Y220/H220,"0")</f>
        <v>361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2.4623400000000002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910</v>
      </c>
      <c r="Y222" s="547">
        <f>IFERROR(SUM(Y212:Y220),"0")</f>
        <v>923.09999999999991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40</v>
      </c>
      <c r="Y224" s="546">
        <f>IFERROR(IF(X224="",0,CEILING((X224/$H224),1)*$H224),"")</f>
        <v>40.799999999999997</v>
      </c>
      <c r="Z224" s="36">
        <f>IFERROR(IF(Y224=0,"",ROUNDUP(Y224/H224,0)*0.00651),"")</f>
        <v>0.11067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44.20000000000001</v>
      </c>
      <c r="BN224" s="64">
        <f>IFERROR(Y224*I224/H224,"0")</f>
        <v>45.084000000000003</v>
      </c>
      <c r="BO224" s="64">
        <f>IFERROR(1/J224*(X224/H224),"0")</f>
        <v>9.1575091575091583E-2</v>
      </c>
      <c r="BP224" s="64">
        <f>IFERROR(1/J224*(Y224/H224),"0")</f>
        <v>9.3406593406593408E-2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24</v>
      </c>
      <c r="Y225" s="546">
        <f>IFERROR(IF(X225="",0,CEILING((X225/$H225),1)*$H225),"")</f>
        <v>24</v>
      </c>
      <c r="Z225" s="36">
        <f>IFERROR(IF(Y225=0,"",ROUNDUP(Y225/H225,0)*0.00651),"")</f>
        <v>6.5100000000000005E-2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26.520000000000003</v>
      </c>
      <c r="BN225" s="64">
        <f>IFERROR(Y225*I225/H225,"0")</f>
        <v>26.520000000000003</v>
      </c>
      <c r="BO225" s="64">
        <f>IFERROR(1/J225*(X225/H225),"0")</f>
        <v>5.4945054945054951E-2</v>
      </c>
      <c r="BP225" s="64">
        <f>IFERROR(1/J225*(Y225/H225),"0")</f>
        <v>5.4945054945054951E-2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26.666666666666668</v>
      </c>
      <c r="Y226" s="547">
        <f>IFERROR(Y224/H224,"0")+IFERROR(Y225/H225,"0")</f>
        <v>27</v>
      </c>
      <c r="Z226" s="547">
        <f>IFERROR(IF(Z224="",0,Z224),"0")+IFERROR(IF(Z225="",0,Z225),"0")</f>
        <v>0.17577000000000001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64</v>
      </c>
      <c r="Y227" s="547">
        <f>IFERROR(SUM(Y224:Y225),"0")</f>
        <v>64.8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60</v>
      </c>
      <c r="Y232" s="546">
        <f t="shared" si="21"/>
        <v>69.599999999999994</v>
      </c>
      <c r="Z232" s="36">
        <f>IFERROR(IF(Y232=0,"",ROUNDUP(Y232/H232,0)*0.01898),"")</f>
        <v>0.11388000000000001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62.12068965517242</v>
      </c>
      <c r="BN232" s="64">
        <f t="shared" si="23"/>
        <v>72.06</v>
      </c>
      <c r="BO232" s="64">
        <f t="shared" si="24"/>
        <v>8.0818965517241381E-2</v>
      </c>
      <c r="BP232" s="64">
        <f t="shared" si="25"/>
        <v>9.375E-2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40</v>
      </c>
      <c r="Y233" s="546">
        <f t="shared" si="21"/>
        <v>40</v>
      </c>
      <c r="Z233" s="36">
        <f>IFERROR(IF(Y233=0,"",ROUNDUP(Y233/H233,0)*0.00902),"")</f>
        <v>9.0200000000000002E-2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41.900000000000006</v>
      </c>
      <c r="BN233" s="64">
        <f t="shared" si="23"/>
        <v>41.900000000000006</v>
      </c>
      <c r="BO233" s="64">
        <f t="shared" si="24"/>
        <v>7.575757575757576E-2</v>
      </c>
      <c r="BP233" s="64">
        <f t="shared" si="25"/>
        <v>7.575757575757576E-2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52</v>
      </c>
      <c r="Y237" s="546">
        <f t="shared" si="21"/>
        <v>52</v>
      </c>
      <c r="Z237" s="36">
        <f>IFERROR(IF(Y237=0,"",ROUNDUP(Y237/H237,0)*0.00902),"")</f>
        <v>0.11726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54.470000000000006</v>
      </c>
      <c r="BN237" s="64">
        <f t="shared" si="23"/>
        <v>54.470000000000006</v>
      </c>
      <c r="BO237" s="64">
        <f t="shared" si="24"/>
        <v>9.8484848484848481E-2</v>
      </c>
      <c r="BP237" s="64">
        <f t="shared" si="25"/>
        <v>9.8484848484848481E-2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28.172413793103448</v>
      </c>
      <c r="Y239" s="547">
        <f>IFERROR(Y230/H230,"0")+IFERROR(Y231/H231,"0")+IFERROR(Y232/H232,"0")+IFERROR(Y233/H233,"0")+IFERROR(Y234/H234,"0")+IFERROR(Y235/H235,"0")+IFERROR(Y236/H236,"0")+IFERROR(Y237/H237,"0")+IFERROR(Y238/H238,"0")</f>
        <v>29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0.32134000000000001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152</v>
      </c>
      <c r="Y240" s="547">
        <f>IFERROR(SUM(Y230:Y238),"0")</f>
        <v>161.6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3.6</v>
      </c>
      <c r="Y246" s="546">
        <f>IFERROR(IF(X246="",0,CEILING((X246/$H246),1)*$H246),"")</f>
        <v>3.6</v>
      </c>
      <c r="Z246" s="36">
        <f>IFERROR(IF(Y246=0,"",ROUNDUP(Y246/H246,0)*0.0059),"")</f>
        <v>1.18E-2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3.95</v>
      </c>
      <c r="BN246" s="64">
        <f>IFERROR(Y246*I246/H246,"0")</f>
        <v>3.95</v>
      </c>
      <c r="BO246" s="64">
        <f>IFERROR(1/J246*(X246/H246),"0")</f>
        <v>9.2592592592592587E-3</v>
      </c>
      <c r="BP246" s="64">
        <f>IFERROR(1/J246*(Y246/H246),"0")</f>
        <v>9.2592592592592587E-3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2</v>
      </c>
      <c r="Y247" s="547">
        <f>IFERROR(Y246/H246,"0")</f>
        <v>2</v>
      </c>
      <c r="Z247" s="547">
        <f>IFERROR(IF(Z246="",0,Z246),"0")</f>
        <v>1.18E-2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3.6</v>
      </c>
      <c r="Y248" s="547">
        <f>IFERROR(SUM(Y246:Y246),"0")</f>
        <v>3.6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12</v>
      </c>
      <c r="Y251" s="546">
        <f>IFERROR(IF(X251="",0,CEILING((X251/$H251),1)*$H251),"")</f>
        <v>12.6</v>
      </c>
      <c r="Z251" s="36">
        <f>IFERROR(IF(Y251=0,"",ROUNDUP(Y251/H251,0)*0.0059),"")</f>
        <v>4.1299999999999996E-2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13.166666666666668</v>
      </c>
      <c r="BN251" s="64">
        <f>IFERROR(Y251*I251/H251,"0")</f>
        <v>13.825000000000001</v>
      </c>
      <c r="BO251" s="64">
        <f>IFERROR(1/J251*(X251/H251),"0")</f>
        <v>3.0864197530864192E-2</v>
      </c>
      <c r="BP251" s="64">
        <f>IFERROR(1/J251*(Y251/H251),"0")</f>
        <v>3.2407407407407406E-2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2.5</v>
      </c>
      <c r="Y252" s="546">
        <f>IFERROR(IF(X252="",0,CEILING((X252/$H252),1)*$H252),"")</f>
        <v>2.7</v>
      </c>
      <c r="Z252" s="36">
        <f>IFERROR(IF(Y252=0,"",ROUNDUP(Y252/H252,0)*0.0059),"")</f>
        <v>1.77E-2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3.0277777777777777</v>
      </c>
      <c r="BN252" s="64">
        <f>IFERROR(Y252*I252/H252,"0")</f>
        <v>3.2700000000000005</v>
      </c>
      <c r="BO252" s="64">
        <f>IFERROR(1/J252*(X252/H252),"0")</f>
        <v>1.2860082304526748E-2</v>
      </c>
      <c r="BP252" s="64">
        <f>IFERROR(1/J252*(Y252/H252),"0")</f>
        <v>1.3888888888888888E-2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9.4444444444444429</v>
      </c>
      <c r="Y255" s="547">
        <f>IFERROR(Y250/H250,"0")+IFERROR(Y251/H251,"0")+IFERROR(Y252/H252,"0")+IFERROR(Y253/H253,"0")+IFERROR(Y254/H254,"0")</f>
        <v>10</v>
      </c>
      <c r="Z255" s="547">
        <f>IFERROR(IF(Z250="",0,Z250),"0")+IFERROR(IF(Z251="",0,Z251),"0")+IFERROR(IF(Z252="",0,Z252),"0")+IFERROR(IF(Z253="",0,Z253),"0")+IFERROR(IF(Z254="",0,Z254),"0")</f>
        <v>5.8999999999999997E-2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14.5</v>
      </c>
      <c r="Y256" s="547">
        <f>IFERROR(SUM(Y250:Y254),"0")</f>
        <v>15.3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120</v>
      </c>
      <c r="Y277" s="546">
        <f>IFERROR(IF(X277="",0,CEILING((X277/$H277),1)*$H277),"")</f>
        <v>120</v>
      </c>
      <c r="Z277" s="36">
        <f>IFERROR(IF(Y277=0,"",ROUNDUP(Y277/H277,0)*0.00651),"")</f>
        <v>0.32550000000000001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132.60000000000002</v>
      </c>
      <c r="BN277" s="64">
        <f>IFERROR(Y277*I277/H277,"0")</f>
        <v>132.60000000000002</v>
      </c>
      <c r="BO277" s="64">
        <f>IFERROR(1/J277*(X277/H277),"0")</f>
        <v>0.27472527472527475</v>
      </c>
      <c r="BP277" s="64">
        <f>IFERROR(1/J277*(Y277/H277),"0")</f>
        <v>0.27472527472527475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260</v>
      </c>
      <c r="Y278" s="546">
        <f>IFERROR(IF(X278="",0,CEILING((X278/$H278),1)*$H278),"")</f>
        <v>261.59999999999997</v>
      </c>
      <c r="Z278" s="36">
        <f>IFERROR(IF(Y278=0,"",ROUNDUP(Y278/H278,0)*0.00651),"")</f>
        <v>0.70959000000000005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279.50000000000006</v>
      </c>
      <c r="BN278" s="64">
        <f>IFERROR(Y278*I278/H278,"0")</f>
        <v>281.21999999999997</v>
      </c>
      <c r="BO278" s="64">
        <f>IFERROR(1/J278*(X278/H278),"0")</f>
        <v>0.59523809523809534</v>
      </c>
      <c r="BP278" s="64">
        <f>IFERROR(1/J278*(Y278/H278),"0")</f>
        <v>0.59890109890109888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158.33333333333334</v>
      </c>
      <c r="Y279" s="547">
        <f>IFERROR(Y276/H276,"0")+IFERROR(Y277/H277,"0")+IFERROR(Y278/H278,"0")</f>
        <v>159</v>
      </c>
      <c r="Z279" s="547">
        <f>IFERROR(IF(Z276="",0,Z276),"0")+IFERROR(IF(Z277="",0,Z277),"0")+IFERROR(IF(Z278="",0,Z278),"0")</f>
        <v>1.0350900000000001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380</v>
      </c>
      <c r="Y280" s="547">
        <f>IFERROR(SUM(Y276:Y278),"0")</f>
        <v>381.59999999999997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8</v>
      </c>
      <c r="Y284" s="546">
        <f>IFERROR(IF(X284="",0,CEILING((X284/$H284),1)*$H284),"")</f>
        <v>9.6</v>
      </c>
      <c r="Z284" s="36">
        <f>IFERROR(IF(Y284=0,"",ROUNDUP(Y284/H284,0)*0.00651),"")</f>
        <v>2.6040000000000001E-2</v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8.6000000000000014</v>
      </c>
      <c r="BN284" s="64">
        <f>IFERROR(Y284*I284/H284,"0")</f>
        <v>10.32</v>
      </c>
      <c r="BO284" s="64">
        <f>IFERROR(1/J284*(X284/H284),"0")</f>
        <v>1.8315018315018316E-2</v>
      </c>
      <c r="BP284" s="64">
        <f>IFERROR(1/J284*(Y284/H284),"0")</f>
        <v>2.197802197802198E-2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3.3333333333333335</v>
      </c>
      <c r="Y285" s="547">
        <f>IFERROR(Y283/H283,"0")+IFERROR(Y284/H284,"0")</f>
        <v>4</v>
      </c>
      <c r="Z285" s="547">
        <f>IFERROR(IF(Z283="",0,Z283),"0")+IFERROR(IF(Z284="",0,Z284),"0")</f>
        <v>2.6040000000000001E-2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8</v>
      </c>
      <c r="Y286" s="547">
        <f>IFERROR(SUM(Y283:Y284),"0")</f>
        <v>9.6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245</v>
      </c>
      <c r="Y306" s="546">
        <f t="shared" si="26"/>
        <v>245.70000000000002</v>
      </c>
      <c r="Z306" s="36">
        <f>IFERROR(IF(Y306=0,"",ROUNDUP(Y306/H306,0)*0.00502),"")</f>
        <v>0.58733999999999997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256.66666666666663</v>
      </c>
      <c r="BN306" s="64">
        <f t="shared" si="28"/>
        <v>257.40000000000003</v>
      </c>
      <c r="BO306" s="64">
        <f t="shared" si="29"/>
        <v>0.4985754985754986</v>
      </c>
      <c r="BP306" s="64">
        <f t="shared" si="30"/>
        <v>0.5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18</v>
      </c>
      <c r="Y307" s="546">
        <f t="shared" si="26"/>
        <v>18</v>
      </c>
      <c r="Z307" s="36">
        <f>IFERROR(IF(Y307=0,"",ROUNDUP(Y307/H307,0)*0.00651),"")</f>
        <v>6.5100000000000005E-2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20.279999999999998</v>
      </c>
      <c r="BN307" s="64">
        <f t="shared" si="28"/>
        <v>20.279999999999998</v>
      </c>
      <c r="BO307" s="64">
        <f t="shared" si="29"/>
        <v>5.4945054945054951E-2</v>
      </c>
      <c r="BP307" s="64">
        <f t="shared" si="30"/>
        <v>5.4945054945054951E-2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126.66666666666666</v>
      </c>
      <c r="Y308" s="547">
        <f>IFERROR(Y302/H302,"0")+IFERROR(Y303/H303,"0")+IFERROR(Y304/H304,"0")+IFERROR(Y305/H305,"0")+IFERROR(Y306/H306,"0")+IFERROR(Y307/H307,"0")</f>
        <v>127</v>
      </c>
      <c r="Z308" s="547">
        <f>IFERROR(IF(Z302="",0,Z302),"0")+IFERROR(IF(Z303="",0,Z303),"0")+IFERROR(IF(Z304="",0,Z304),"0")+IFERROR(IF(Z305="",0,Z305),"0")+IFERROR(IF(Z306="",0,Z306),"0")+IFERROR(IF(Z307="",0,Z307),"0")</f>
        <v>0.65244000000000002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263</v>
      </c>
      <c r="Y309" s="547">
        <f>IFERROR(SUM(Y302:Y307),"0")</f>
        <v>263.70000000000005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20</v>
      </c>
      <c r="Y318" s="546">
        <f>IFERROR(IF(X318="",0,CEILING((X318/$H318),1)*$H318),"")</f>
        <v>25.200000000000003</v>
      </c>
      <c r="Z318" s="36">
        <f>IFERROR(IF(Y318=0,"",ROUNDUP(Y318/H318,0)*0.01898),"")</f>
        <v>5.6940000000000004E-2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21.176190476190474</v>
      </c>
      <c r="BN318" s="64">
        <f>IFERROR(Y318*I318/H318,"0")</f>
        <v>26.682000000000002</v>
      </c>
      <c r="BO318" s="64">
        <f>IFERROR(1/J318*(X318/H318),"0")</f>
        <v>3.7202380952380952E-2</v>
      </c>
      <c r="BP318" s="64">
        <f>IFERROR(1/J318*(Y318/H318),"0")</f>
        <v>4.6875E-2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300</v>
      </c>
      <c r="Y319" s="546">
        <f>IFERROR(IF(X319="",0,CEILING((X319/$H319),1)*$H319),"")</f>
        <v>304.2</v>
      </c>
      <c r="Z319" s="36">
        <f>IFERROR(IF(Y319=0,"",ROUNDUP(Y319/H319,0)*0.01898),"")</f>
        <v>0.74021999999999999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319.00000000000006</v>
      </c>
      <c r="BN319" s="64">
        <f>IFERROR(Y319*I319/H319,"0")</f>
        <v>323.46600000000001</v>
      </c>
      <c r="BO319" s="64">
        <f>IFERROR(1/J319*(X319/H319),"0")</f>
        <v>0.60096153846153844</v>
      </c>
      <c r="BP319" s="64">
        <f>IFERROR(1/J319*(Y319/H319),"0")</f>
        <v>0.609375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100</v>
      </c>
      <c r="Y320" s="546">
        <f>IFERROR(IF(X320="",0,CEILING((X320/$H320),1)*$H320),"")</f>
        <v>100.80000000000001</v>
      </c>
      <c r="Z320" s="36">
        <f>IFERROR(IF(Y320=0,"",ROUNDUP(Y320/H320,0)*0.01898),"")</f>
        <v>0.22776000000000002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105.88095238095238</v>
      </c>
      <c r="BN320" s="64">
        <f>IFERROR(Y320*I320/H320,"0")</f>
        <v>106.72800000000001</v>
      </c>
      <c r="BO320" s="64">
        <f>IFERROR(1/J320*(X320/H320),"0")</f>
        <v>0.18601190476190477</v>
      </c>
      <c r="BP320" s="64">
        <f>IFERROR(1/J320*(Y320/H320),"0")</f>
        <v>0.1875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52.747252747252745</v>
      </c>
      <c r="Y321" s="547">
        <f>IFERROR(Y318/H318,"0")+IFERROR(Y319/H319,"0")+IFERROR(Y320/H320,"0")</f>
        <v>54</v>
      </c>
      <c r="Z321" s="547">
        <f>IFERROR(IF(Z318="",0,Z318),"0")+IFERROR(IF(Z319="",0,Z319),"0")+IFERROR(IF(Z320="",0,Z320),"0")</f>
        <v>1.0249200000000001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420</v>
      </c>
      <c r="Y322" s="547">
        <f>IFERROR(SUM(Y318:Y320),"0")</f>
        <v>430.2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420</v>
      </c>
      <c r="Y339" s="546">
        <f>IFERROR(IF(X339="",0,CEILING((X339/$H339),1)*$H339),"")</f>
        <v>420</v>
      </c>
      <c r="Z339" s="36">
        <f>IFERROR(IF(Y339=0,"",ROUNDUP(Y339/H339,0)*0.00651),"")</f>
        <v>1.302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470.39999999999992</v>
      </c>
      <c r="BN339" s="64">
        <f>IFERROR(Y339*I339/H339,"0")</f>
        <v>470.39999999999992</v>
      </c>
      <c r="BO339" s="64">
        <f>IFERROR(1/J339*(X339/H339),"0")</f>
        <v>1.098901098901099</v>
      </c>
      <c r="BP339" s="64">
        <f>IFERROR(1/J339*(Y339/H339),"0")</f>
        <v>1.098901098901099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840</v>
      </c>
      <c r="Y340" s="546">
        <f>IFERROR(IF(X340="",0,CEILING((X340/$H340),1)*$H340),"")</f>
        <v>840</v>
      </c>
      <c r="Z340" s="36">
        <f>IFERROR(IF(Y340=0,"",ROUNDUP(Y340/H340,0)*0.00651),"")</f>
        <v>2.6040000000000001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935.99999999999989</v>
      </c>
      <c r="BN340" s="64">
        <f>IFERROR(Y340*I340/H340,"0")</f>
        <v>935.99999999999989</v>
      </c>
      <c r="BO340" s="64">
        <f>IFERROR(1/J340*(X340/H340),"0")</f>
        <v>2.197802197802198</v>
      </c>
      <c r="BP340" s="64">
        <f>IFERROR(1/J340*(Y340/H340),"0")</f>
        <v>2.197802197802198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600</v>
      </c>
      <c r="Y341" s="547">
        <f>IFERROR(Y338/H338,"0")+IFERROR(Y339/H339,"0")+IFERROR(Y340/H340,"0")</f>
        <v>600</v>
      </c>
      <c r="Z341" s="547">
        <f>IFERROR(IF(Z338="",0,Z338),"0")+IFERROR(IF(Z339="",0,Z339),"0")+IFERROR(IF(Z340="",0,Z340),"0")</f>
        <v>3.9060000000000001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1260</v>
      </c>
      <c r="Y342" s="547">
        <f>IFERROR(SUM(Y338:Y340),"0")</f>
        <v>1260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1000</v>
      </c>
      <c r="Y346" s="546">
        <f t="shared" ref="Y346:Y352" si="31">IFERROR(IF(X346="",0,CEILING((X346/$H346),1)*$H346),"")</f>
        <v>1005</v>
      </c>
      <c r="Z346" s="36">
        <f>IFERROR(IF(Y346=0,"",ROUNDUP(Y346/H346,0)*0.02175),"")</f>
        <v>1.4572499999999999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1031.3333333333333</v>
      </c>
      <c r="BN346" s="64">
        <f t="shared" ref="BN346:BN352" si="33">IFERROR(Y346*I346/H346,"0")</f>
        <v>1036.49</v>
      </c>
      <c r="BO346" s="64">
        <f t="shared" ref="BO346:BO352" si="34">IFERROR(1/J346*(X346/H346),"0")</f>
        <v>1.3888888888888888</v>
      </c>
      <c r="BP346" s="64">
        <f t="shared" ref="BP346:BP352" si="35">IFERROR(1/J346*(Y346/H346),"0")</f>
        <v>1.3958333333333333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1000</v>
      </c>
      <c r="Y347" s="546">
        <f t="shared" si="31"/>
        <v>1005</v>
      </c>
      <c r="Z347" s="36">
        <f>IFERROR(IF(Y347=0,"",ROUNDUP(Y347/H347,0)*0.02175),"")</f>
        <v>1.4572499999999999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1031.3333333333333</v>
      </c>
      <c r="BN347" s="64">
        <f t="shared" si="33"/>
        <v>1036.49</v>
      </c>
      <c r="BO347" s="64">
        <f t="shared" si="34"/>
        <v>1.3888888888888888</v>
      </c>
      <c r="BP347" s="64">
        <f t="shared" si="35"/>
        <v>1.3958333333333333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1500</v>
      </c>
      <c r="Y348" s="546">
        <f t="shared" si="31"/>
        <v>1500</v>
      </c>
      <c r="Z348" s="36">
        <f>IFERROR(IF(Y348=0,"",ROUNDUP(Y348/H348,0)*0.02175),"")</f>
        <v>2.1749999999999998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1547</v>
      </c>
      <c r="BN348" s="64">
        <f t="shared" si="33"/>
        <v>1547</v>
      </c>
      <c r="BO348" s="64">
        <f t="shared" si="34"/>
        <v>2.083333333333333</v>
      </c>
      <c r="BP348" s="64">
        <f t="shared" si="35"/>
        <v>2.083333333333333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400</v>
      </c>
      <c r="Y349" s="546">
        <f t="shared" si="31"/>
        <v>405</v>
      </c>
      <c r="Z349" s="36">
        <f>IFERROR(IF(Y349=0,"",ROUNDUP(Y349/H349,0)*0.02175),"")</f>
        <v>0.58724999999999994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412.53333333333336</v>
      </c>
      <c r="BN349" s="64">
        <f t="shared" si="33"/>
        <v>417.69</v>
      </c>
      <c r="BO349" s="64">
        <f t="shared" si="34"/>
        <v>0.55555555555555558</v>
      </c>
      <c r="BP349" s="64">
        <f t="shared" si="35"/>
        <v>0.5625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15</v>
      </c>
      <c r="Y352" s="546">
        <f t="shared" si="31"/>
        <v>15</v>
      </c>
      <c r="Z352" s="36">
        <f>IFERROR(IF(Y352=0,"",ROUNDUP(Y352/H352,0)*0.00902),"")</f>
        <v>2.7060000000000001E-2</v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15.570000000000002</v>
      </c>
      <c r="BN352" s="64">
        <f t="shared" si="33"/>
        <v>15.570000000000002</v>
      </c>
      <c r="BO352" s="64">
        <f t="shared" si="34"/>
        <v>2.2727272727272728E-2</v>
      </c>
      <c r="BP352" s="64">
        <f t="shared" si="35"/>
        <v>2.2727272727272728E-2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263</v>
      </c>
      <c r="Y353" s="547">
        <f>IFERROR(Y346/H346,"0")+IFERROR(Y347/H347,"0")+IFERROR(Y348/H348,"0")+IFERROR(Y349/H349,"0")+IFERROR(Y350/H350,"0")+IFERROR(Y351/H351,"0")+IFERROR(Y352/H352,"0")</f>
        <v>264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5.7038099999999989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3915</v>
      </c>
      <c r="Y354" s="547">
        <f>IFERROR(SUM(Y346:Y352),"0")</f>
        <v>3930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1000</v>
      </c>
      <c r="Y356" s="546">
        <f>IFERROR(IF(X356="",0,CEILING((X356/$H356),1)*$H356),"")</f>
        <v>1005</v>
      </c>
      <c r="Z356" s="36">
        <f>IFERROR(IF(Y356=0,"",ROUNDUP(Y356/H356,0)*0.02175),"")</f>
        <v>1.4572499999999999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1031.3333333333333</v>
      </c>
      <c r="BN356" s="64">
        <f>IFERROR(Y356*I356/H356,"0")</f>
        <v>1036.49</v>
      </c>
      <c r="BO356" s="64">
        <f>IFERROR(1/J356*(X356/H356),"0")</f>
        <v>1.3888888888888888</v>
      </c>
      <c r="BP356" s="64">
        <f>IFERROR(1/J356*(Y356/H356),"0")</f>
        <v>1.3958333333333333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16</v>
      </c>
      <c r="Y357" s="546">
        <f>IFERROR(IF(X357="",0,CEILING((X357/$H357),1)*$H357),"")</f>
        <v>16</v>
      </c>
      <c r="Z357" s="36">
        <f>IFERROR(IF(Y357=0,"",ROUNDUP(Y357/H357,0)*0.00902),"")</f>
        <v>3.6080000000000001E-2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16.760000000000002</v>
      </c>
      <c r="BN357" s="64">
        <f>IFERROR(Y357*I357/H357,"0")</f>
        <v>16.760000000000002</v>
      </c>
      <c r="BO357" s="64">
        <f>IFERROR(1/J357*(X357/H357),"0")</f>
        <v>3.0303030303030304E-2</v>
      </c>
      <c r="BP357" s="64">
        <f>IFERROR(1/J357*(Y357/H357),"0")</f>
        <v>3.0303030303030304E-2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70.666666666666671</v>
      </c>
      <c r="Y358" s="547">
        <f>IFERROR(Y356/H356,"0")+IFERROR(Y357/H357,"0")</f>
        <v>71</v>
      </c>
      <c r="Z358" s="547">
        <f>IFERROR(IF(Z356="",0,Z356),"0")+IFERROR(IF(Z357="",0,Z357),"0")</f>
        <v>1.4933299999999998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1016</v>
      </c>
      <c r="Y359" s="547">
        <f>IFERROR(SUM(Y356:Y357),"0")</f>
        <v>1021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10</v>
      </c>
      <c r="Y362" s="546">
        <f>IFERROR(IF(X362="",0,CEILING((X362/$H362),1)*$H362),"")</f>
        <v>18</v>
      </c>
      <c r="Z362" s="36">
        <f>IFERROR(IF(Y362=0,"",ROUNDUP(Y362/H362,0)*0.01898),"")</f>
        <v>3.7960000000000001E-2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10.548888888888889</v>
      </c>
      <c r="BN362" s="64">
        <f>IFERROR(Y362*I362/H362,"0")</f>
        <v>18.988</v>
      </c>
      <c r="BO362" s="64">
        <f>IFERROR(1/J362*(X362/H362),"0")</f>
        <v>1.7361111111111112E-2</v>
      </c>
      <c r="BP362" s="64">
        <f>IFERROR(1/J362*(Y362/H362),"0")</f>
        <v>3.125E-2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1.1111111111111112</v>
      </c>
      <c r="Y363" s="547">
        <f>IFERROR(Y361/H361,"0")+IFERROR(Y362/H362,"0")</f>
        <v>2</v>
      </c>
      <c r="Z363" s="547">
        <f>IFERROR(IF(Z361="",0,Z361),"0")+IFERROR(IF(Z362="",0,Z362),"0")</f>
        <v>3.7960000000000001E-2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10</v>
      </c>
      <c r="Y364" s="547">
        <f>IFERROR(SUM(Y361:Y362),"0")</f>
        <v>18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20</v>
      </c>
      <c r="Y366" s="546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21.097777777777779</v>
      </c>
      <c r="BN366" s="64">
        <f>IFERROR(Y366*I366/H366,"0")</f>
        <v>28.481999999999996</v>
      </c>
      <c r="BO366" s="64">
        <f>IFERROR(1/J366*(X366/H366),"0")</f>
        <v>3.4722222222222224E-2</v>
      </c>
      <c r="BP366" s="64">
        <f>IFERROR(1/J366*(Y366/H366),"0")</f>
        <v>4.6875E-2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2.2222222222222223</v>
      </c>
      <c r="Y367" s="547">
        <f>IFERROR(Y366/H366,"0")</f>
        <v>3</v>
      </c>
      <c r="Z367" s="547">
        <f>IFERROR(IF(Z366="",0,Z366),"0")</f>
        <v>5.6940000000000004E-2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20</v>
      </c>
      <c r="Y368" s="547">
        <f>IFERROR(SUM(Y366:Y366),"0")</f>
        <v>27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20</v>
      </c>
      <c r="Y371" s="546">
        <f>IFERROR(IF(X371="",0,CEILING((X371/$H371),1)*$H371),"")</f>
        <v>24</v>
      </c>
      <c r="Z371" s="36">
        <f>IFERROR(IF(Y371=0,"",ROUNDUP(Y371/H371,0)*0.01898),"")</f>
        <v>3.7960000000000001E-2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20.683333333333334</v>
      </c>
      <c r="BN371" s="64">
        <f>IFERROR(Y371*I371/H371,"0")</f>
        <v>24.820000000000004</v>
      </c>
      <c r="BO371" s="64">
        <f>IFERROR(1/J371*(X371/H371),"0")</f>
        <v>2.6041666666666668E-2</v>
      </c>
      <c r="BP371" s="64">
        <f>IFERROR(1/J371*(Y371/H371),"0")</f>
        <v>3.125E-2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1.6666666666666667</v>
      </c>
      <c r="Y373" s="547">
        <f>IFERROR(Y371/H371,"0")+IFERROR(Y372/H372,"0")</f>
        <v>2</v>
      </c>
      <c r="Z373" s="547">
        <f>IFERROR(IF(Z371="",0,Z371),"0")+IFERROR(IF(Z372="",0,Z372),"0")</f>
        <v>3.7960000000000001E-2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20</v>
      </c>
      <c r="Y374" s="547">
        <f>IFERROR(SUM(Y371:Y372),"0")</f>
        <v>24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10</v>
      </c>
      <c r="Y381" s="546">
        <f>IFERROR(IF(X381="",0,CEILING((X381/$H381),1)*$H381),"")</f>
        <v>18</v>
      </c>
      <c r="Z381" s="36">
        <f>IFERROR(IF(Y381=0,"",ROUNDUP(Y381/H381,0)*0.01898),"")</f>
        <v>3.7960000000000001E-2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10.548888888888889</v>
      </c>
      <c r="BN381" s="64">
        <f>IFERROR(Y381*I381/H381,"0")</f>
        <v>18.988</v>
      </c>
      <c r="BO381" s="64">
        <f>IFERROR(1/J381*(X381/H381),"0")</f>
        <v>1.7361111111111112E-2</v>
      </c>
      <c r="BP381" s="64">
        <f>IFERROR(1/J381*(Y381/H381),"0")</f>
        <v>3.125E-2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1.1111111111111112</v>
      </c>
      <c r="Y384" s="547">
        <f>IFERROR(Y381/H381,"0")+IFERROR(Y382/H382,"0")+IFERROR(Y383/H383,"0")</f>
        <v>2</v>
      </c>
      <c r="Z384" s="547">
        <f>IFERROR(IF(Z381="",0,Z381),"0")+IFERROR(IF(Z382="",0,Z382),"0")+IFERROR(IF(Z383="",0,Z383),"0")</f>
        <v>3.7960000000000001E-2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10</v>
      </c>
      <c r="Y385" s="547">
        <f>IFERROR(SUM(Y381:Y383),"0")</f>
        <v>18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31.5</v>
      </c>
      <c r="Y393" s="546">
        <f t="shared" si="36"/>
        <v>31.5</v>
      </c>
      <c r="Z393" s="36">
        <f t="shared" si="41"/>
        <v>7.5300000000000006E-2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33.450000000000003</v>
      </c>
      <c r="BN393" s="64">
        <f t="shared" si="38"/>
        <v>33.450000000000003</v>
      </c>
      <c r="BO393" s="64">
        <f t="shared" si="39"/>
        <v>6.4102564102564111E-2</v>
      </c>
      <c r="BP393" s="64">
        <f t="shared" si="40"/>
        <v>6.4102564102564111E-2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52.5</v>
      </c>
      <c r="Y396" s="546">
        <f t="shared" si="36"/>
        <v>52.5</v>
      </c>
      <c r="Z396" s="36">
        <f t="shared" si="41"/>
        <v>0.1255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55.75</v>
      </c>
      <c r="BN396" s="64">
        <f t="shared" si="38"/>
        <v>55.75</v>
      </c>
      <c r="BO396" s="64">
        <f t="shared" si="39"/>
        <v>0.10683760683760685</v>
      </c>
      <c r="BP396" s="64">
        <f t="shared" si="40"/>
        <v>0.10683760683760685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40</v>
      </c>
      <c r="Y398" s="547">
        <f>IFERROR(Y389/H389,"0")+IFERROR(Y390/H390,"0")+IFERROR(Y391/H391,"0")+IFERROR(Y392/H392,"0")+IFERROR(Y393/H393,"0")+IFERROR(Y394/H394,"0")+IFERROR(Y395/H395,"0")+IFERROR(Y396/H396,"0")+IFERROR(Y397/H397,"0")</f>
        <v>40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0.20080000000000001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84</v>
      </c>
      <c r="Y399" s="547">
        <f>IFERROR(SUM(Y389:Y397),"0")</f>
        <v>84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7</v>
      </c>
      <c r="Y414" s="546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3.333333333333333</v>
      </c>
      <c r="Y415" s="547">
        <f>IFERROR(Y411/H411,"0")+IFERROR(Y412/H412,"0")+IFERROR(Y413/H413,"0")+IFERROR(Y414/H414,"0")</f>
        <v>4</v>
      </c>
      <c r="Z415" s="547">
        <f>IFERROR(IF(Z411="",0,Z411),"0")+IFERROR(IF(Z412="",0,Z412),"0")+IFERROR(IF(Z413="",0,Z413),"0")+IFERROR(IF(Z414="",0,Z414),"0")</f>
        <v>2.0080000000000001E-2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7</v>
      </c>
      <c r="Y416" s="547">
        <f>IFERROR(SUM(Y411:Y414),"0")</f>
        <v>8.4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16</v>
      </c>
      <c r="Y419" s="546">
        <f>IFERROR(IF(X419="",0,CEILING((X419/$H419),1)*$H419),"")</f>
        <v>16.8</v>
      </c>
      <c r="Z419" s="36">
        <f>IFERROR(IF(Y419=0,"",ROUNDUP(Y419/H419,0)*0.00651),"")</f>
        <v>9.1139999999999999E-2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28.000000000000004</v>
      </c>
      <c r="BN419" s="64">
        <f>IFERROR(Y419*I419/H419,"0")</f>
        <v>29.400000000000002</v>
      </c>
      <c r="BO419" s="64">
        <f>IFERROR(1/J419*(X419/H419),"0")</f>
        <v>7.3260073260073263E-2</v>
      </c>
      <c r="BP419" s="64">
        <f>IFERROR(1/J419*(Y419/H419),"0")</f>
        <v>7.6923076923076941E-2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13.333333333333334</v>
      </c>
      <c r="Y420" s="547">
        <f>IFERROR(Y419/H419,"0")</f>
        <v>14.000000000000002</v>
      </c>
      <c r="Z420" s="547">
        <f>IFERROR(IF(Z419="",0,Z419),"0")</f>
        <v>9.1139999999999999E-2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16</v>
      </c>
      <c r="Y421" s="547">
        <f>IFERROR(SUM(Y419:Y419),"0")</f>
        <v>16.8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150</v>
      </c>
      <c r="Y425" s="546">
        <f t="shared" ref="Y425:Y436" si="42">IFERROR(IF(X425="",0,CEILING((X425/$H425),1)*$H425),"")</f>
        <v>153.12</v>
      </c>
      <c r="Z425" s="36">
        <f t="shared" ref="Z425:Z431" si="43">IFERROR(IF(Y425=0,"",ROUNDUP(Y425/H425,0)*0.01196),"")</f>
        <v>0.34683999999999998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159.94318181818181</v>
      </c>
      <c r="BN425" s="64">
        <f t="shared" ref="BN425:BN436" si="45">IFERROR(Y425*I425/H425,"0")</f>
        <v>163.26999999999998</v>
      </c>
      <c r="BO425" s="64">
        <f t="shared" ref="BO425:BO436" si="46">IFERROR(1/J425*(X425/H425),"0")</f>
        <v>0.27316433566433568</v>
      </c>
      <c r="BP425" s="64">
        <f t="shared" ref="BP425:BP436" si="47">IFERROR(1/J425*(Y425/H425),"0")</f>
        <v>0.27884615384615385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200</v>
      </c>
      <c r="Y429" s="546">
        <f t="shared" si="42"/>
        <v>200.64000000000001</v>
      </c>
      <c r="Z429" s="36">
        <f t="shared" si="43"/>
        <v>0.45448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213.25757575757575</v>
      </c>
      <c r="BN429" s="64">
        <f t="shared" si="45"/>
        <v>213.94</v>
      </c>
      <c r="BO429" s="64">
        <f t="shared" si="46"/>
        <v>0.36421911421911418</v>
      </c>
      <c r="BP429" s="64">
        <f t="shared" si="47"/>
        <v>0.36538461538461542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100</v>
      </c>
      <c r="Y431" s="546">
        <f t="shared" si="42"/>
        <v>100.32000000000001</v>
      </c>
      <c r="Z431" s="36">
        <f t="shared" si="43"/>
        <v>0.22724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106.62878787878788</v>
      </c>
      <c r="BN431" s="64">
        <f t="shared" si="45"/>
        <v>106.97</v>
      </c>
      <c r="BO431" s="64">
        <f t="shared" si="46"/>
        <v>0.18210955710955709</v>
      </c>
      <c r="BP431" s="64">
        <f t="shared" si="47"/>
        <v>0.18269230769230771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168</v>
      </c>
      <c r="Y433" s="546">
        <f t="shared" si="42"/>
        <v>168</v>
      </c>
      <c r="Z433" s="36">
        <f>IFERROR(IF(Y433=0,"",ROUNDUP(Y433/H433,0)*0.00902),"")</f>
        <v>0.31569999999999998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241.85000000000002</v>
      </c>
      <c r="BN433" s="64">
        <f t="shared" si="45"/>
        <v>241.85000000000002</v>
      </c>
      <c r="BO433" s="64">
        <f t="shared" si="46"/>
        <v>0.26515151515151514</v>
      </c>
      <c r="BP433" s="64">
        <f t="shared" si="47"/>
        <v>0.26515151515151514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228</v>
      </c>
      <c r="Y436" s="546">
        <f t="shared" si="42"/>
        <v>230.39999999999998</v>
      </c>
      <c r="Z436" s="36">
        <f>IFERROR(IF(Y436=0,"",ROUNDUP(Y436/H436,0)*0.00902),"")</f>
        <v>0.43296000000000001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328.22500000000002</v>
      </c>
      <c r="BN436" s="64">
        <f t="shared" si="45"/>
        <v>331.68</v>
      </c>
      <c r="BO436" s="64">
        <f t="shared" si="46"/>
        <v>0.35984848484848486</v>
      </c>
      <c r="BP436" s="64">
        <f t="shared" si="47"/>
        <v>0.36363636363636365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167.72727272727272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169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1.7772200000000002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846</v>
      </c>
      <c r="Y438" s="547">
        <f>IFERROR(SUM(Y425:Y436),"0")</f>
        <v>852.4799999999999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120</v>
      </c>
      <c r="Y440" s="546">
        <f>IFERROR(IF(X440="",0,CEILING((X440/$H440),1)*$H440),"")</f>
        <v>121.44000000000001</v>
      </c>
      <c r="Z440" s="36">
        <f>IFERROR(IF(Y440=0,"",ROUNDUP(Y440/H440,0)*0.01196),"")</f>
        <v>0.27507999999999999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127.95454545454545</v>
      </c>
      <c r="BN440" s="64">
        <f>IFERROR(Y440*I440/H440,"0")</f>
        <v>129.49</v>
      </c>
      <c r="BO440" s="64">
        <f>IFERROR(1/J440*(X440/H440),"0")</f>
        <v>0.21853146853146854</v>
      </c>
      <c r="BP440" s="64">
        <f>IFERROR(1/J440*(Y440/H440),"0")</f>
        <v>0.22115384615384617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22.727272727272727</v>
      </c>
      <c r="Y443" s="547">
        <f>IFERROR(Y440/H440,"0")+IFERROR(Y441/H441,"0")+IFERROR(Y442/H442,"0")</f>
        <v>23</v>
      </c>
      <c r="Z443" s="547">
        <f>IFERROR(IF(Z440="",0,Z440),"0")+IFERROR(IF(Z441="",0,Z441),"0")+IFERROR(IF(Z442="",0,Z442),"0")</f>
        <v>0.27507999999999999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120</v>
      </c>
      <c r="Y444" s="547">
        <f>IFERROR(SUM(Y440:Y442),"0")</f>
        <v>121.44000000000001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60</v>
      </c>
      <c r="Y446" s="546">
        <f t="shared" ref="Y446:Y451" si="48">IFERROR(IF(X446="",0,CEILING((X446/$H446),1)*$H446),"")</f>
        <v>63.36</v>
      </c>
      <c r="Z446" s="36">
        <f>IFERROR(IF(Y446=0,"",ROUNDUP(Y446/H446,0)*0.01196),"")</f>
        <v>0.14352000000000001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63.977272727272727</v>
      </c>
      <c r="BN446" s="64">
        <f t="shared" ref="BN446:BN451" si="50">IFERROR(Y446*I446/H446,"0")</f>
        <v>67.559999999999988</v>
      </c>
      <c r="BO446" s="64">
        <f t="shared" ref="BO446:BO451" si="51">IFERROR(1/J446*(X446/H446),"0")</f>
        <v>0.10926573426573427</v>
      </c>
      <c r="BP446" s="64">
        <f t="shared" ref="BP446:BP451" si="52">IFERROR(1/J446*(Y446/H446),"0")</f>
        <v>0.11538461538461539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70</v>
      </c>
      <c r="Y447" s="546">
        <f t="shared" si="48"/>
        <v>73.92</v>
      </c>
      <c r="Z447" s="36">
        <f>IFERROR(IF(Y447=0,"",ROUNDUP(Y447/H447,0)*0.01196),"")</f>
        <v>0.16744000000000001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74.640151515151501</v>
      </c>
      <c r="BN447" s="64">
        <f t="shared" si="50"/>
        <v>78.819999999999993</v>
      </c>
      <c r="BO447" s="64">
        <f t="shared" si="51"/>
        <v>0.12747668997668998</v>
      </c>
      <c r="BP447" s="64">
        <f t="shared" si="52"/>
        <v>0.13461538461538464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110</v>
      </c>
      <c r="Y448" s="546">
        <f t="shared" si="48"/>
        <v>110.88000000000001</v>
      </c>
      <c r="Z448" s="36">
        <f>IFERROR(IF(Y448=0,"",ROUNDUP(Y448/H448,0)*0.01196),"")</f>
        <v>0.25115999999999999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117.29166666666666</v>
      </c>
      <c r="BN448" s="64">
        <f t="shared" si="50"/>
        <v>118.23</v>
      </c>
      <c r="BO448" s="64">
        <f t="shared" si="51"/>
        <v>0.20032051282051283</v>
      </c>
      <c r="BP448" s="64">
        <f t="shared" si="52"/>
        <v>0.20192307692307693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54</v>
      </c>
      <c r="Y449" s="546">
        <f t="shared" si="48"/>
        <v>57.599999999999994</v>
      </c>
      <c r="Z449" s="36">
        <f>IFERROR(IF(Y449=0,"",ROUNDUP(Y449/H449,0)*0.00902),"")</f>
        <v>0.10824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77.737499999999997</v>
      </c>
      <c r="BN449" s="64">
        <f t="shared" si="50"/>
        <v>82.92</v>
      </c>
      <c r="BO449" s="64">
        <f t="shared" si="51"/>
        <v>8.5227272727272735E-2</v>
      </c>
      <c r="BP449" s="64">
        <f t="shared" si="52"/>
        <v>9.0909090909090912E-2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12</v>
      </c>
      <c r="Y450" s="546">
        <f t="shared" si="48"/>
        <v>14.399999999999999</v>
      </c>
      <c r="Z450" s="36">
        <f>IFERROR(IF(Y450=0,"",ROUNDUP(Y450/H450,0)*0.00902),"")</f>
        <v>2.7060000000000001E-2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16.675000000000001</v>
      </c>
      <c r="BN450" s="64">
        <f t="shared" si="50"/>
        <v>20.009999999999998</v>
      </c>
      <c r="BO450" s="64">
        <f t="shared" si="51"/>
        <v>1.893939393939394E-2</v>
      </c>
      <c r="BP450" s="64">
        <f t="shared" si="52"/>
        <v>2.2727272727272728E-2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192</v>
      </c>
      <c r="Y451" s="546">
        <f t="shared" si="48"/>
        <v>192</v>
      </c>
      <c r="Z451" s="36">
        <f>IFERROR(IF(Y451=0,"",ROUNDUP(Y451/H451,0)*0.00902),"")</f>
        <v>0.36080000000000001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266.8</v>
      </c>
      <c r="BN451" s="64">
        <f t="shared" si="50"/>
        <v>266.8</v>
      </c>
      <c r="BO451" s="64">
        <f t="shared" si="51"/>
        <v>0.30303030303030304</v>
      </c>
      <c r="BP451" s="64">
        <f t="shared" si="52"/>
        <v>0.30303030303030304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99.204545454545453</v>
      </c>
      <c r="Y452" s="547">
        <f>IFERROR(Y446/H446,"0")+IFERROR(Y447/H447,"0")+IFERROR(Y448/H448,"0")+IFERROR(Y449/H449,"0")+IFERROR(Y450/H450,"0")+IFERROR(Y451/H451,"0")</f>
        <v>102</v>
      </c>
      <c r="Z452" s="547">
        <f>IFERROR(IF(Z446="",0,Z446),"0")+IFERROR(IF(Z447="",0,Z447),"0")+IFERROR(IF(Z448="",0,Z448),"0")+IFERROR(IF(Z449="",0,Z449),"0")+IFERROR(IF(Z450="",0,Z450),"0")+IFERROR(IF(Z451="",0,Z451),"0")</f>
        <v>1.0582199999999999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498</v>
      </c>
      <c r="Y453" s="547">
        <f>IFERROR(SUM(Y446:Y451),"0")</f>
        <v>512.16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1700</v>
      </c>
      <c r="Y478" s="546">
        <f>IFERROR(IF(X478="",0,CEILING((X478/$H478),1)*$H478),"")</f>
        <v>1701</v>
      </c>
      <c r="Z478" s="36">
        <f>IFERROR(IF(Y478=0,"",ROUNDUP(Y478/H478,0)*0.01898),"")</f>
        <v>3.5872199999999999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1793.3111111111111</v>
      </c>
      <c r="BN478" s="64">
        <f>IFERROR(Y478*I478/H478,"0")</f>
        <v>1794.366</v>
      </c>
      <c r="BO478" s="64">
        <f>IFERROR(1/J478*(X478/H478),"0")</f>
        <v>2.9513888888888888</v>
      </c>
      <c r="BP478" s="64">
        <f>IFERROR(1/J478*(Y478/H478),"0")</f>
        <v>2.953125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188.88888888888889</v>
      </c>
      <c r="Y479" s="547">
        <f>IFERROR(Y478/H478,"0")</f>
        <v>189</v>
      </c>
      <c r="Z479" s="547">
        <f>IFERROR(IF(Z478="",0,Z478),"0")</f>
        <v>3.5872199999999999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1700</v>
      </c>
      <c r="Y480" s="547">
        <f>IFERROR(SUM(Y478:Y478),"0")</f>
        <v>1701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17497.900000000001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17679.04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18761.584150865099</v>
      </c>
      <c r="Y492" s="547">
        <f>IFERROR(SUM(BN22:BN488),"0")</f>
        <v>18956.190999999999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32</v>
      </c>
      <c r="Y493" s="38">
        <f>ROUNDUP(SUM(BP22:BP488),0)</f>
        <v>32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19561.584150865099</v>
      </c>
      <c r="Y494" s="547">
        <f>GrossWeightTotalR+PalletQtyTotalR*25</f>
        <v>19756.190999999999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3754.7370665732738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3787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36.750350000000005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659.2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1087.2</v>
      </c>
      <c r="E501" s="46">
        <f>IFERROR(Y86*1,"0")+IFERROR(Y87*1,"0")+IFERROR(Y88*1,"0")+IFERROR(Y89*1,"0")+IFERROR(Y93*1,"0")+IFERROR(Y94*1,"0")+IFERROR(Y95*1,"0")+IFERROR(Y96*1,"0")</f>
        <v>1390.5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1219.32</v>
      </c>
      <c r="G501" s="46">
        <f>IFERROR(Y128*1,"0")+IFERROR(Y129*1,"0")+IFERROR(Y133*1,"0")+IFERROR(Y134*1,"0")+IFERROR(Y138*1,"0")+IFERROR(Y139*1,"0")</f>
        <v>144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555.24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1763.6999999999998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180.49999999999997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381.59999999999997</v>
      </c>
      <c r="P501" s="46">
        <f>IFERROR(Y283*1,"0")+IFERROR(Y284*1,"0")+IFERROR(Y288*1,"0")+IFERROR(Y289*1,"0")</f>
        <v>9.6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693.90000000000009</v>
      </c>
      <c r="R501" s="46">
        <f>IFERROR(Y338*1,"0")+IFERROR(Y339*1,"0")+IFERROR(Y340*1,"0")</f>
        <v>1260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4996</v>
      </c>
      <c r="T501" s="46">
        <f>IFERROR(Y371*1,"0")+IFERROR(Y372*1,"0")+IFERROR(Y376*1,"0")+IFERROR(Y377*1,"0")+IFERROR(Y381*1,"0")+IFERROR(Y382*1,"0")+IFERROR(Y383*1,"0")</f>
        <v>42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84</v>
      </c>
      <c r="V501" s="46">
        <f>IFERROR(Y407*1,"0")+IFERROR(Y411*1,"0")+IFERROR(Y412*1,"0")+IFERROR(Y413*1,"0")+IFERROR(Y414*1,"0")</f>
        <v>8.4</v>
      </c>
      <c r="W501" s="46">
        <f>IFERROR(Y419*1,"0")</f>
        <v>16.8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1486.0800000000002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1701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2025-12-12T10:16:51Z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