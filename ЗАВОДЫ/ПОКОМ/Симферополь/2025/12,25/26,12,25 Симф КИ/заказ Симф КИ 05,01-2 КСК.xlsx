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E81FB725-00C0-463C-A3D4-D464C5EC03B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6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Y425" i="1"/>
  <c r="X425" i="1"/>
  <c r="X424" i="1"/>
  <c r="BP423" i="1"/>
  <c r="BO423" i="1"/>
  <c r="BN423" i="1"/>
  <c r="BM423" i="1"/>
  <c r="Z423" i="1"/>
  <c r="Z424" i="1" s="1"/>
  <c r="Y423" i="1"/>
  <c r="Y424" i="1" s="1"/>
  <c r="P423" i="1"/>
  <c r="X420" i="1"/>
  <c r="X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Y407" i="1" s="1"/>
  <c r="P405" i="1"/>
  <c r="X403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U505" i="1" s="1"/>
  <c r="P393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P375" i="1"/>
  <c r="BO375" i="1"/>
  <c r="BN375" i="1"/>
  <c r="BM375" i="1"/>
  <c r="Z375" i="1"/>
  <c r="Y375" i="1"/>
  <c r="P375" i="1"/>
  <c r="X372" i="1"/>
  <c r="Y371" i="1"/>
  <c r="X371" i="1"/>
  <c r="BP370" i="1"/>
  <c r="BO370" i="1"/>
  <c r="BN370" i="1"/>
  <c r="BM370" i="1"/>
  <c r="Z370" i="1"/>
  <c r="Z371" i="1" s="1"/>
  <c r="Y370" i="1"/>
  <c r="Y372" i="1" s="1"/>
  <c r="P370" i="1"/>
  <c r="X368" i="1"/>
  <c r="X367" i="1"/>
  <c r="BP366" i="1"/>
  <c r="BO366" i="1"/>
  <c r="BN366" i="1"/>
  <c r="BM366" i="1"/>
  <c r="Z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P360" i="1"/>
  <c r="BO360" i="1"/>
  <c r="BN360" i="1"/>
  <c r="BM360" i="1"/>
  <c r="Z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S505" i="1" s="1"/>
  <c r="P351" i="1"/>
  <c r="BP350" i="1"/>
  <c r="BO350" i="1"/>
  <c r="BN350" i="1"/>
  <c r="BM350" i="1"/>
  <c r="Z350" i="1"/>
  <c r="Y350" i="1"/>
  <c r="Y358" i="1" s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BP266" i="1" s="1"/>
  <c r="P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P256" i="1"/>
  <c r="BO256" i="1"/>
  <c r="BN256" i="1"/>
  <c r="BM256" i="1"/>
  <c r="Z256" i="1"/>
  <c r="Y256" i="1"/>
  <c r="P256" i="1"/>
  <c r="BO255" i="1"/>
  <c r="BM255" i="1"/>
  <c r="Y255" i="1"/>
  <c r="BP255" i="1" s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Y225" i="1" s="1"/>
  <c r="P216" i="1"/>
  <c r="X214" i="1"/>
  <c r="X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Y213" i="1" s="1"/>
  <c r="P205" i="1"/>
  <c r="X203" i="1"/>
  <c r="X202" i="1"/>
  <c r="BP201" i="1"/>
  <c r="BO201" i="1"/>
  <c r="BN201" i="1"/>
  <c r="BM201" i="1"/>
  <c r="Z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P195" i="1"/>
  <c r="BO195" i="1"/>
  <c r="BN195" i="1"/>
  <c r="BM195" i="1"/>
  <c r="Z195" i="1"/>
  <c r="Y195" i="1"/>
  <c r="Y197" i="1" s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Y188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Y182" i="1" s="1"/>
  <c r="X165" i="1"/>
  <c r="X164" i="1"/>
  <c r="BO163" i="1"/>
  <c r="BM163" i="1"/>
  <c r="Y163" i="1"/>
  <c r="I505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Y154" i="1" s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H505" i="1" s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F505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5" i="1" s="1"/>
  <c r="X24" i="1"/>
  <c r="X499" i="1" s="1"/>
  <c r="BP23" i="1"/>
  <c r="BO23" i="1"/>
  <c r="BN23" i="1"/>
  <c r="BM23" i="1"/>
  <c r="Z23" i="1"/>
  <c r="Y23" i="1"/>
  <c r="P23" i="1"/>
  <c r="BO22" i="1"/>
  <c r="X497" i="1" s="1"/>
  <c r="BM22" i="1"/>
  <c r="X496" i="1" s="1"/>
  <c r="X498" i="1" s="1"/>
  <c r="Y22" i="1"/>
  <c r="Y25" i="1" s="1"/>
  <c r="P22" i="1"/>
  <c r="H10" i="1"/>
  <c r="A9" i="1"/>
  <c r="F10" i="1" s="1"/>
  <c r="D7" i="1"/>
  <c r="Q6" i="1"/>
  <c r="P2" i="1"/>
  <c r="H9" i="1" l="1"/>
  <c r="A10" i="1"/>
  <c r="Y24" i="1"/>
  <c r="Y32" i="1"/>
  <c r="Y44" i="1"/>
  <c r="Y59" i="1"/>
  <c r="Y65" i="1"/>
  <c r="Y69" i="1"/>
  <c r="Y77" i="1"/>
  <c r="Y81" i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BP275" i="1"/>
  <c r="BN275" i="1"/>
  <c r="Z275" i="1"/>
  <c r="Y277" i="1"/>
  <c r="Y283" i="1"/>
  <c r="BP280" i="1"/>
  <c r="BN280" i="1"/>
  <c r="Z280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Z345" i="1" s="1"/>
  <c r="BP353" i="1"/>
  <c r="BN353" i="1"/>
  <c r="Z353" i="1"/>
  <c r="Y357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B505" i="1"/>
  <c r="J505" i="1"/>
  <c r="F9" i="1"/>
  <c r="J9" i="1"/>
  <c r="Z22" i="1"/>
  <c r="Z24" i="1" s="1"/>
  <c r="BN22" i="1"/>
  <c r="BP22" i="1"/>
  <c r="Z28" i="1"/>
  <c r="Z32" i="1" s="1"/>
  <c r="BN28" i="1"/>
  <c r="Z30" i="1"/>
  <c r="BN30" i="1"/>
  <c r="C505" i="1"/>
  <c r="Z42" i="1"/>
  <c r="Z44" i="1" s="1"/>
  <c r="BN42" i="1"/>
  <c r="Y45" i="1"/>
  <c r="Y495" i="1" s="1"/>
  <c r="D505" i="1"/>
  <c r="Z53" i="1"/>
  <c r="Z58" i="1" s="1"/>
  <c r="BN53" i="1"/>
  <c r="Z55" i="1"/>
  <c r="BN55" i="1"/>
  <c r="Z57" i="1"/>
  <c r="BN57" i="1"/>
  <c r="Y58" i="1"/>
  <c r="Z61" i="1"/>
  <c r="Z64" i="1" s="1"/>
  <c r="BN61" i="1"/>
  <c r="BP61" i="1"/>
  <c r="Z63" i="1"/>
  <c r="BN63" i="1"/>
  <c r="Z67" i="1"/>
  <c r="Z69" i="1" s="1"/>
  <c r="BN67" i="1"/>
  <c r="BP67" i="1"/>
  <c r="Z73" i="1"/>
  <c r="Z76" i="1" s="1"/>
  <c r="BN73" i="1"/>
  <c r="Z75" i="1"/>
  <c r="BN75" i="1"/>
  <c r="Z79" i="1"/>
  <c r="Z81" i="1" s="1"/>
  <c r="BN79" i="1"/>
  <c r="BP79" i="1"/>
  <c r="E505" i="1"/>
  <c r="Z86" i="1"/>
  <c r="Z89" i="1" s="1"/>
  <c r="BN86" i="1"/>
  <c r="Z88" i="1"/>
  <c r="BN88" i="1"/>
  <c r="Y89" i="1"/>
  <c r="Z92" i="1"/>
  <c r="BN92" i="1"/>
  <c r="BP92" i="1"/>
  <c r="Z94" i="1"/>
  <c r="BN94" i="1"/>
  <c r="Z101" i="1"/>
  <c r="Z105" i="1" s="1"/>
  <c r="BN101" i="1"/>
  <c r="Z103" i="1"/>
  <c r="BN103" i="1"/>
  <c r="Y106" i="1"/>
  <c r="Z109" i="1"/>
  <c r="Z112" i="1" s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Z154" i="1" s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Z181" i="1" s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Z197" i="1" s="1"/>
  <c r="BN196" i="1"/>
  <c r="Z200" i="1"/>
  <c r="Z202" i="1" s="1"/>
  <c r="BN200" i="1"/>
  <c r="BP200" i="1"/>
  <c r="Z206" i="1"/>
  <c r="Z213" i="1" s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Z243" i="1" s="1"/>
  <c r="BN235" i="1"/>
  <c r="Z237" i="1"/>
  <c r="BN237" i="1"/>
  <c r="Z239" i="1"/>
  <c r="BN239" i="1"/>
  <c r="Z241" i="1"/>
  <c r="BN241" i="1"/>
  <c r="Y244" i="1"/>
  <c r="Z255" i="1"/>
  <c r="Z259" i="1" s="1"/>
  <c r="BN255" i="1"/>
  <c r="Z257" i="1"/>
  <c r="BN257" i="1"/>
  <c r="L505" i="1"/>
  <c r="Y269" i="1"/>
  <c r="Z264" i="1"/>
  <c r="Z268" i="1" s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Z332" i="1" s="1"/>
  <c r="Y332" i="1"/>
  <c r="Z338" i="1"/>
  <c r="BP336" i="1"/>
  <c r="BN336" i="1"/>
  <c r="Z336" i="1"/>
  <c r="Y345" i="1"/>
  <c r="BP351" i="1"/>
  <c r="BN351" i="1"/>
  <c r="Z351" i="1"/>
  <c r="Z357" i="1" s="1"/>
  <c r="BP355" i="1"/>
  <c r="BN355" i="1"/>
  <c r="Z355" i="1"/>
  <c r="Y362" i="1"/>
  <c r="Y367" i="1"/>
  <c r="BP376" i="1"/>
  <c r="BN376" i="1"/>
  <c r="Z376" i="1"/>
  <c r="Z377" i="1" s="1"/>
  <c r="Y378" i="1"/>
  <c r="Y383" i="1"/>
  <c r="BP380" i="1"/>
  <c r="BN380" i="1"/>
  <c r="Z380" i="1"/>
  <c r="Z382" i="1" s="1"/>
  <c r="Y389" i="1"/>
  <c r="Y388" i="1"/>
  <c r="BP394" i="1"/>
  <c r="BN394" i="1"/>
  <c r="Z394" i="1"/>
  <c r="BP398" i="1"/>
  <c r="BN398" i="1"/>
  <c r="Z398" i="1"/>
  <c r="Z402" i="1" s="1"/>
  <c r="Y402" i="1"/>
  <c r="BP406" i="1"/>
  <c r="BN406" i="1"/>
  <c r="Z406" i="1"/>
  <c r="Z407" i="1" s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Z419" i="1" s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47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BP455" i="1"/>
  <c r="BN455" i="1"/>
  <c r="Z455" i="1"/>
  <c r="Z456" i="1" s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Z479" i="1" s="1"/>
  <c r="Y488" i="1"/>
  <c r="Y505" i="1"/>
  <c r="Z441" i="1" l="1"/>
  <c r="Z225" i="1"/>
  <c r="Z119" i="1"/>
  <c r="Z500" i="1" s="1"/>
  <c r="Z96" i="1"/>
  <c r="Y497" i="1"/>
  <c r="Z325" i="1"/>
  <c r="Z283" i="1"/>
  <c r="Y496" i="1"/>
  <c r="Y498" i="1" s="1"/>
  <c r="Z312" i="1"/>
  <c r="Z303" i="1"/>
  <c r="Y499" i="1"/>
</calcChain>
</file>

<file path=xl/sharedStrings.xml><?xml version="1.0" encoding="utf-8"?>
<sst xmlns="http://schemas.openxmlformats.org/spreadsheetml/2006/main" count="2318" uniqueCount="781">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</sst>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46024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Пятница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0.375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150</v>
      </c>
      <c r="Y41" s="554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220</v>
      </c>
      <c r="Y43" s="554">
        <f>IFERROR(IF(X43="",0,CEILING((X43/$H43),1)*$H43),"")</f>
        <v>220</v>
      </c>
      <c r="Z43" s="36">
        <f>IFERROR(IF(Y43=0,"",ROUNDUP(Y43/H43,0)*0.00902),"")</f>
        <v>0.49609999999999999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230.45000000000002</v>
      </c>
      <c r="BN43" s="64">
        <f>IFERROR(Y43*I43/H43,"0")</f>
        <v>230.45000000000002</v>
      </c>
      <c r="BO43" s="64">
        <f>IFERROR(1/J43*(X43/H43),"0")</f>
        <v>0.41666666666666669</v>
      </c>
      <c r="BP43" s="64">
        <f>IFERROR(1/J43*(Y43/H43),"0")</f>
        <v>0.41666666666666669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68.888888888888886</v>
      </c>
      <c r="Y44" s="555">
        <f>IFERROR(Y41/H41,"0")+IFERROR(Y42/H42,"0")+IFERROR(Y43/H43,"0")</f>
        <v>69</v>
      </c>
      <c r="Z44" s="555">
        <f>IFERROR(IF(Z41="",0,Z41),"0")+IFERROR(IF(Z42="",0,Z42),"0")+IFERROR(IF(Z43="",0,Z43),"0")</f>
        <v>0.76181999999999994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370</v>
      </c>
      <c r="Y45" s="555">
        <f>IFERROR(SUM(Y41:Y43),"0")</f>
        <v>371.20000000000005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250</v>
      </c>
      <c r="Y53" s="554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450</v>
      </c>
      <c r="Y57" s="554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123.14814814814815</v>
      </c>
      <c r="Y58" s="555">
        <f>IFERROR(Y52/H52,"0")+IFERROR(Y53/H53,"0")+IFERROR(Y54/H54,"0")+IFERROR(Y55/H55,"0")+IFERROR(Y56/H56,"0")+IFERROR(Y57/H57,"0")</f>
        <v>124</v>
      </c>
      <c r="Z58" s="555">
        <f>IFERROR(IF(Z52="",0,Z52),"0")+IFERROR(IF(Z53="",0,Z53),"0")+IFERROR(IF(Z54="",0,Z54),"0")+IFERROR(IF(Z55="",0,Z55),"0")+IFERROR(IF(Z56="",0,Z56),"0")+IFERROR(IF(Z57="",0,Z57),"0")</f>
        <v>1.3575200000000001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700</v>
      </c>
      <c r="Y59" s="555">
        <f>IFERROR(SUM(Y52:Y57),"0")</f>
        <v>709.2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120</v>
      </c>
      <c r="Y61" s="554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124.55555555555556</v>
      </c>
      <c r="BN61" s="64">
        <f>IFERROR(Y61*I61/H61,"0")</f>
        <v>134.52000000000001</v>
      </c>
      <c r="BO61" s="64">
        <f>IFERROR(1/J61*(X61/H61),"0")</f>
        <v>0.1736111111111111</v>
      </c>
      <c r="BP61" s="64">
        <f>IFERROR(1/J61*(Y61/H61),"0")</f>
        <v>0.18750000000000003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157.5</v>
      </c>
      <c r="Y63" s="554">
        <f>IFERROR(IF(X63="",0,CEILING((X63/$H63),1)*$H63),"")</f>
        <v>159.30000000000001</v>
      </c>
      <c r="Z63" s="36">
        <f>IFERROR(IF(Y63=0,"",ROUNDUP(Y63/H63,0)*0.00651),"")</f>
        <v>0.38408999999999999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167.99999999999997</v>
      </c>
      <c r="BN63" s="64">
        <f>IFERROR(Y63*I63/H63,"0")</f>
        <v>169.92</v>
      </c>
      <c r="BO63" s="64">
        <f>IFERROR(1/J63*(X63/H63),"0")</f>
        <v>0.32051282051282048</v>
      </c>
      <c r="BP63" s="64">
        <f>IFERROR(1/J63*(Y63/H63),"0")</f>
        <v>0.32417582417582419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69.444444444444443</v>
      </c>
      <c r="Y64" s="555">
        <f>IFERROR(Y61/H61,"0")+IFERROR(Y62/H62,"0")+IFERROR(Y63/H63,"0")</f>
        <v>71</v>
      </c>
      <c r="Z64" s="555">
        <f>IFERROR(IF(Z61="",0,Z61),"0")+IFERROR(IF(Z62="",0,Z62),"0")+IFERROR(IF(Z63="",0,Z63),"0")</f>
        <v>0.61185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277.5</v>
      </c>
      <c r="Y65" s="555">
        <f>IFERROR(SUM(Y61:Y63),"0")</f>
        <v>288.90000000000003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30</v>
      </c>
      <c r="Y79" s="55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3.8461538461538463</v>
      </c>
      <c r="Y81" s="555">
        <f>IFERROR(Y79/H79,"0")+IFERROR(Y80/H80,"0")</f>
        <v>4</v>
      </c>
      <c r="Z81" s="555">
        <f>IFERROR(IF(Z79="",0,Z79),"0")+IFERROR(IF(Z80="",0,Z80),"0")</f>
        <v>7.5920000000000001E-2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30</v>
      </c>
      <c r="Y82" s="555">
        <f>IFERROR(SUM(Y79:Y80),"0")</f>
        <v>31.2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150</v>
      </c>
      <c r="Y85" s="554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450</v>
      </c>
      <c r="Y88" s="55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113.88888888888889</v>
      </c>
      <c r="Y89" s="555">
        <f>IFERROR(Y85/H85,"0")+IFERROR(Y86/H86,"0")+IFERROR(Y87/H87,"0")+IFERROR(Y88/H88,"0")</f>
        <v>114</v>
      </c>
      <c r="Z89" s="555">
        <f>IFERROR(IF(Z85="",0,Z85),"0")+IFERROR(IF(Z86="",0,Z86),"0")+IFERROR(IF(Z87="",0,Z87),"0")+IFERROR(IF(Z88="",0,Z88),"0")</f>
        <v>1.1677200000000001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600</v>
      </c>
      <c r="Y90" s="555">
        <f>IFERROR(SUM(Y85:Y88),"0")</f>
        <v>601.20000000000005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220</v>
      </c>
      <c r="Y92" s="554">
        <f>IFERROR(IF(X92="",0,CEILING((X92/$H92),1)*$H92),"")</f>
        <v>226.79999999999998</v>
      </c>
      <c r="Z92" s="36">
        <f>IFERROR(IF(Y92=0,"",ROUNDUP(Y92/H92,0)*0.01898),"")</f>
        <v>0.53144000000000002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233.41728395061727</v>
      </c>
      <c r="BN92" s="64">
        <f>IFERROR(Y92*I92/H92,"0")</f>
        <v>240.63199999999998</v>
      </c>
      <c r="BO92" s="64">
        <f>IFERROR(1/J92*(X92/H92),"0")</f>
        <v>0.42438271604938271</v>
      </c>
      <c r="BP92" s="64">
        <f>IFERROR(1/J92*(Y92/H92),"0")</f>
        <v>0.4375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360</v>
      </c>
      <c r="Y94" s="554">
        <f>IFERROR(IF(X94="",0,CEILING((X94/$H94),1)*$H94),"")</f>
        <v>361.8</v>
      </c>
      <c r="Z94" s="36">
        <f>IFERROR(IF(Y94=0,"",ROUNDUP(Y94/H94,0)*0.00651),"")</f>
        <v>0.87234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393.59999999999997</v>
      </c>
      <c r="BN94" s="64">
        <f>IFERROR(Y94*I94/H94,"0")</f>
        <v>395.56799999999998</v>
      </c>
      <c r="BO94" s="64">
        <f>IFERROR(1/J94*(X94/H94),"0")</f>
        <v>0.73260073260073255</v>
      </c>
      <c r="BP94" s="64">
        <f>IFERROR(1/J94*(Y94/H94),"0")</f>
        <v>0.73626373626373631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160.49382716049382</v>
      </c>
      <c r="Y96" s="555">
        <f>IFERROR(Y92/H92,"0")+IFERROR(Y93/H93,"0")+IFERROR(Y94/H94,"0")+IFERROR(Y95/H95,"0")</f>
        <v>162</v>
      </c>
      <c r="Z96" s="555">
        <f>IFERROR(IF(Z92="",0,Z92),"0")+IFERROR(IF(Z93="",0,Z93),"0")+IFERROR(IF(Z94="",0,Z94),"0")+IFERROR(IF(Z95="",0,Z95),"0")</f>
        <v>1.40378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580</v>
      </c>
      <c r="Y97" s="555">
        <f>IFERROR(SUM(Y92:Y95),"0")</f>
        <v>588.6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270</v>
      </c>
      <c r="Y103" s="554">
        <f>IFERROR(IF(X103="",0,CEILING((X103/$H103),1)*$H103),"")</f>
        <v>270</v>
      </c>
      <c r="Z103" s="36">
        <f>IFERROR(IF(Y103=0,"",ROUNDUP(Y103/H103,0)*0.00902),"")</f>
        <v>0.54120000000000001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281.40000000000003</v>
      </c>
      <c r="BN103" s="64">
        <f>IFERROR(Y103*I103/H103,"0")</f>
        <v>281.40000000000003</v>
      </c>
      <c r="BO103" s="64">
        <f>IFERROR(1/J103*(X103/H103),"0")</f>
        <v>0.45454545454545459</v>
      </c>
      <c r="BP103" s="64">
        <f>IFERROR(1/J103*(Y103/H103),"0")</f>
        <v>0.45454545454545459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64.629629629629633</v>
      </c>
      <c r="Y105" s="555">
        <f>IFERROR(Y100/H100,"0")+IFERROR(Y101/H101,"0")+IFERROR(Y102/H102,"0")+IFERROR(Y103/H103,"0")+IFERROR(Y104/H104,"0")</f>
        <v>65</v>
      </c>
      <c r="Z105" s="555">
        <f>IFERROR(IF(Z100="",0,Z100),"0")+IFERROR(IF(Z101="",0,Z101),"0")+IFERROR(IF(Z102="",0,Z102),"0")+IFERROR(IF(Z103="",0,Z103),"0")+IFERROR(IF(Z104="",0,Z104),"0")</f>
        <v>0.6361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320</v>
      </c>
      <c r="Y106" s="555">
        <f>IFERROR(SUM(Y100:Y104),"0")</f>
        <v>324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350</v>
      </c>
      <c r="Y115" s="554">
        <f>IFERROR(IF(X115="",0,CEILING((X115/$H115),1)*$H115),"")</f>
        <v>356.4</v>
      </c>
      <c r="Z115" s="36">
        <f>IFERROR(IF(Y115=0,"",ROUNDUP(Y115/H115,0)*0.01898),"")</f>
        <v>0.83511999999999997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371.08641975308637</v>
      </c>
      <c r="BN115" s="64">
        <f>IFERROR(Y115*I115/H115,"0")</f>
        <v>377.87199999999996</v>
      </c>
      <c r="BO115" s="64">
        <f>IFERROR(1/J115*(X115/H115),"0")</f>
        <v>0.67515432098765438</v>
      </c>
      <c r="BP115" s="64">
        <f>IFERROR(1/J115*(Y115/H115),"0")</f>
        <v>0.6875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360</v>
      </c>
      <c r="Y117" s="554">
        <f>IFERROR(IF(X117="",0,CEILING((X117/$H117),1)*$H117),"")</f>
        <v>361.8</v>
      </c>
      <c r="Z117" s="36">
        <f>IFERROR(IF(Y117=0,"",ROUNDUP(Y117/H117,0)*0.00651),"")</f>
        <v>0.87234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393.59999999999997</v>
      </c>
      <c r="BN117" s="64">
        <f>IFERROR(Y117*I117/H117,"0")</f>
        <v>395.56799999999998</v>
      </c>
      <c r="BO117" s="64">
        <f>IFERROR(1/J117*(X117/H117),"0")</f>
        <v>0.73260073260073255</v>
      </c>
      <c r="BP117" s="64">
        <f>IFERROR(1/J117*(Y117/H117),"0")</f>
        <v>0.73626373626373631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9</v>
      </c>
      <c r="Y118" s="554">
        <f>IFERROR(IF(X118="",0,CEILING((X118/$H118),1)*$H118),"")</f>
        <v>9</v>
      </c>
      <c r="Z118" s="36">
        <f>IFERROR(IF(Y118=0,"",ROUNDUP(Y118/H118,0)*0.00651),"")</f>
        <v>3.2550000000000003E-2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9.9</v>
      </c>
      <c r="BN118" s="64">
        <f>IFERROR(Y118*I118/H118,"0")</f>
        <v>9.9</v>
      </c>
      <c r="BO118" s="64">
        <f>IFERROR(1/J118*(X118/H118),"0")</f>
        <v>2.7472527472527476E-2</v>
      </c>
      <c r="BP118" s="64">
        <f>IFERROR(1/J118*(Y118/H118),"0")</f>
        <v>2.7472527472527476E-2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181.54320987654319</v>
      </c>
      <c r="Y119" s="555">
        <f>IFERROR(Y115/H115,"0")+IFERROR(Y116/H116,"0")+IFERROR(Y117/H117,"0")+IFERROR(Y118/H118,"0")</f>
        <v>183</v>
      </c>
      <c r="Z119" s="555">
        <f>IFERROR(IF(Z115="",0,Z115),"0")+IFERROR(IF(Z116="",0,Z116),"0")+IFERROR(IF(Z117="",0,Z117),"0")+IFERROR(IF(Z118="",0,Z118),"0")</f>
        <v>1.7400100000000001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719</v>
      </c>
      <c r="Y120" s="555">
        <f>IFERROR(SUM(Y115:Y118),"0")</f>
        <v>727.2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19.8</v>
      </c>
      <c r="Y122" s="554">
        <f>IFERROR(IF(X122="",0,CEILING((X122/$H122),1)*$H122),"")</f>
        <v>19.8</v>
      </c>
      <c r="Z122" s="36">
        <f>IFERROR(IF(Y122=0,"",ROUNDUP(Y122/H122,0)*0.00651),"")</f>
        <v>6.5100000000000005E-2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22.380000000000003</v>
      </c>
      <c r="BN122" s="64">
        <f>IFERROR(Y122*I122/H122,"0")</f>
        <v>22.380000000000003</v>
      </c>
      <c r="BO122" s="64">
        <f>IFERROR(1/J122*(X122/H122),"0")</f>
        <v>5.4945054945054951E-2</v>
      </c>
      <c r="BP122" s="64">
        <f>IFERROR(1/J122*(Y122/H122),"0")</f>
        <v>5.4945054945054951E-2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10</v>
      </c>
      <c r="Y123" s="555">
        <f>IFERROR(Y122/H122,"0")</f>
        <v>10</v>
      </c>
      <c r="Z123" s="555">
        <f>IFERROR(IF(Z122="",0,Z122),"0")</f>
        <v>6.5100000000000005E-2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19.8</v>
      </c>
      <c r="Y124" s="555">
        <f>IFERROR(SUM(Y122:Y122),"0")</f>
        <v>19.8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48</v>
      </c>
      <c r="Y127" s="554">
        <f>IFERROR(IF(X127="",0,CEILING((X127/$H127),1)*$H127),"")</f>
        <v>48</v>
      </c>
      <c r="Z127" s="36">
        <f>IFERROR(IF(Y127=0,"",ROUNDUP(Y127/H127,0)*0.00651),"")</f>
        <v>9.7650000000000001E-2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50.7</v>
      </c>
      <c r="BN127" s="64">
        <f>IFERROR(Y127*I127/H127,"0")</f>
        <v>50.7</v>
      </c>
      <c r="BO127" s="64">
        <f>IFERROR(1/J127*(X127/H127),"0")</f>
        <v>8.241758241758243E-2</v>
      </c>
      <c r="BP127" s="64">
        <f>IFERROR(1/J127*(Y127/H127),"0")</f>
        <v>8.241758241758243E-2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15</v>
      </c>
      <c r="Y129" s="555">
        <f>IFERROR(Y127/H127,"0")+IFERROR(Y128/H128,"0")</f>
        <v>15</v>
      </c>
      <c r="Z129" s="555">
        <f>IFERROR(IF(Z127="",0,Z127),"0")+IFERROR(IF(Z128="",0,Z128),"0")</f>
        <v>9.7650000000000001E-2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48</v>
      </c>
      <c r="Y130" s="555">
        <f>IFERROR(SUM(Y127:Y128),"0")</f>
        <v>48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35</v>
      </c>
      <c r="Y133" s="554">
        <f>IFERROR(IF(X133="",0,CEILING((X133/$H133),1)*$H133),"")</f>
        <v>36.4</v>
      </c>
      <c r="Z133" s="36">
        <f>IFERROR(IF(Y133=0,"",ROUNDUP(Y133/H133,0)*0.00651),"")</f>
        <v>8.4629999999999997E-2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38.35</v>
      </c>
      <c r="BN133" s="64">
        <f>IFERROR(Y133*I133/H133,"0")</f>
        <v>39.884</v>
      </c>
      <c r="BO133" s="64">
        <f>IFERROR(1/J133*(X133/H133),"0")</f>
        <v>6.8681318681318687E-2</v>
      </c>
      <c r="BP133" s="64">
        <f>IFERROR(1/J133*(Y133/H133),"0")</f>
        <v>7.1428571428571438E-2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12.5</v>
      </c>
      <c r="Y134" s="555">
        <f>IFERROR(Y132/H132,"0")+IFERROR(Y133/H133,"0")</f>
        <v>13</v>
      </c>
      <c r="Z134" s="555">
        <f>IFERROR(IF(Z132="",0,Z132),"0")+IFERROR(IF(Z133="",0,Z133),"0")</f>
        <v>8.4629999999999997E-2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35</v>
      </c>
      <c r="Y135" s="555">
        <f>IFERROR(SUM(Y132:Y133),"0")</f>
        <v>36.4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26.4</v>
      </c>
      <c r="Y138" s="554">
        <f>IFERROR(IF(X138="",0,CEILING((X138/$H138),1)*$H138),"")</f>
        <v>26.400000000000002</v>
      </c>
      <c r="Z138" s="36">
        <f>IFERROR(IF(Y138=0,"",ROUNDUP(Y138/H138,0)*0.00651),"")</f>
        <v>6.5100000000000005E-2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29.079999999999995</v>
      </c>
      <c r="BN138" s="64">
        <f>IFERROR(Y138*I138/H138,"0")</f>
        <v>29.080000000000002</v>
      </c>
      <c r="BO138" s="64">
        <f>IFERROR(1/J138*(X138/H138),"0")</f>
        <v>5.4945054945054937E-2</v>
      </c>
      <c r="BP138" s="64">
        <f>IFERROR(1/J138*(Y138/H138),"0")</f>
        <v>5.4945054945054951E-2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9.9999999999999982</v>
      </c>
      <c r="Y139" s="555">
        <f>IFERROR(Y137/H137,"0")+IFERROR(Y138/H138,"0")</f>
        <v>10</v>
      </c>
      <c r="Z139" s="555">
        <f>IFERROR(IF(Z137="",0,Z137),"0")+IFERROR(IF(Z138="",0,Z138),"0")</f>
        <v>6.5100000000000005E-2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26.4</v>
      </c>
      <c r="Y140" s="555">
        <f>IFERROR(SUM(Y137:Y138),"0")</f>
        <v>26.400000000000002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50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52.976190476190474</v>
      </c>
      <c r="BN169" s="64">
        <f t="shared" si="12"/>
        <v>53.400000000000006</v>
      </c>
      <c r="BO169" s="64">
        <f t="shared" si="13"/>
        <v>9.0187590187590191E-2</v>
      </c>
      <c r="BP169" s="64">
        <f t="shared" si="14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40</v>
      </c>
      <c r="Y170" s="554">
        <f t="shared" si="10"/>
        <v>42</v>
      </c>
      <c r="Z170" s="36">
        <f>IFERROR(IF(Y170=0,"",ROUNDUP(Y170/H170,0)*0.00902),"")</f>
        <v>9.0200000000000002E-2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42.38095238095238</v>
      </c>
      <c r="BN170" s="64">
        <f t="shared" si="12"/>
        <v>44.5</v>
      </c>
      <c r="BO170" s="64">
        <f t="shared" si="13"/>
        <v>7.2150072150072145E-2</v>
      </c>
      <c r="BP170" s="64">
        <f t="shared" si="14"/>
        <v>7.575757575757576E-2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100</v>
      </c>
      <c r="Y171" s="554">
        <f t="shared" si="10"/>
        <v>100.80000000000001</v>
      </c>
      <c r="Z171" s="36">
        <f>IFERROR(IF(Y171=0,"",ROUNDUP(Y171/H171,0)*0.00902),"")</f>
        <v>0.21648000000000001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104.5238095238095</v>
      </c>
      <c r="BN171" s="64">
        <f t="shared" si="12"/>
        <v>105.36</v>
      </c>
      <c r="BO171" s="64">
        <f t="shared" si="13"/>
        <v>0.18037518037518038</v>
      </c>
      <c r="BP171" s="64">
        <f t="shared" si="14"/>
        <v>0.18181818181818182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87.5</v>
      </c>
      <c r="Y175" s="554">
        <f t="shared" si="10"/>
        <v>88.2</v>
      </c>
      <c r="Z175" s="36">
        <f>IFERROR(IF(Y175=0,"",ROUNDUP(Y175/H175,0)*0.00502),"")</f>
        <v>0.21084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92.916666666666657</v>
      </c>
      <c r="BN175" s="64">
        <f t="shared" si="12"/>
        <v>93.66</v>
      </c>
      <c r="BO175" s="64">
        <f t="shared" si="13"/>
        <v>0.17806267806267806</v>
      </c>
      <c r="BP175" s="64">
        <f t="shared" si="14"/>
        <v>0.17948717948717952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122.5</v>
      </c>
      <c r="Y178" s="554">
        <f t="shared" si="10"/>
        <v>123.9</v>
      </c>
      <c r="Z178" s="36">
        <f>IFERROR(IF(Y178=0,"",ROUNDUP(Y178/H178,0)*0.00502),"")</f>
        <v>0.29618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128.33333333333331</v>
      </c>
      <c r="BN178" s="64">
        <f t="shared" si="12"/>
        <v>129.80000000000001</v>
      </c>
      <c r="BO178" s="64">
        <f t="shared" si="13"/>
        <v>0.2492877492877493</v>
      </c>
      <c r="BP178" s="64">
        <f t="shared" si="14"/>
        <v>0.25213675213675218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178.57142857142856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181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1.0926200000000001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470</v>
      </c>
      <c r="Y182" s="555">
        <f>IFERROR(SUM(Y167:Y180),"0")</f>
        <v>476.70000000000005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7.0000000000000009</v>
      </c>
      <c r="Y184" s="554">
        <f>IFERROR(IF(X184="",0,CEILING((X184/$H184),1)*$H184),"")</f>
        <v>7.5600000000000005</v>
      </c>
      <c r="Z184" s="36">
        <f>IFERROR(IF(Y184=0,"",ROUNDUP(Y184/H184,0)*0.0059),"")</f>
        <v>3.5400000000000001E-2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8.0555555555555554</v>
      </c>
      <c r="BN184" s="64">
        <f>IFERROR(Y184*I184/H184,"0")</f>
        <v>8.6999999999999993</v>
      </c>
      <c r="BO184" s="64">
        <f>IFERROR(1/J184*(X184/H184),"0")</f>
        <v>2.5720164609053499E-2</v>
      </c>
      <c r="BP184" s="64">
        <f>IFERROR(1/J184*(Y184/H184),"0")</f>
        <v>2.7777777777777776E-2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8.4</v>
      </c>
      <c r="Y185" s="554">
        <f>IFERROR(IF(X185="",0,CEILING((X185/$H185),1)*$H185),"")</f>
        <v>8.82</v>
      </c>
      <c r="Z185" s="36">
        <f>IFERROR(IF(Y185=0,"",ROUNDUP(Y185/H185,0)*0.0059),"")</f>
        <v>4.1299999999999996E-2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9.6666666666666661</v>
      </c>
      <c r="BN185" s="64">
        <f>IFERROR(Y185*I185/H185,"0")</f>
        <v>10.15</v>
      </c>
      <c r="BO185" s="64">
        <f>IFERROR(1/J185*(X185/H185),"0")</f>
        <v>3.0864197530864196E-2</v>
      </c>
      <c r="BP185" s="64">
        <f>IFERROR(1/J185*(Y185/H185),"0")</f>
        <v>3.2407407407407406E-2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8.4</v>
      </c>
      <c r="Y186" s="554">
        <f>IFERROR(IF(X186="",0,CEILING((X186/$H186),1)*$H186),"")</f>
        <v>8.82</v>
      </c>
      <c r="Z186" s="36">
        <f>IFERROR(IF(Y186=0,"",ROUNDUP(Y186/H186,0)*0.0059),"")</f>
        <v>4.1299999999999996E-2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9.6666666666666661</v>
      </c>
      <c r="BN186" s="64">
        <f>IFERROR(Y186*I186/H186,"0")</f>
        <v>10.15</v>
      </c>
      <c r="BO186" s="64">
        <f>IFERROR(1/J186*(X186/H186),"0")</f>
        <v>3.0864197530864196E-2</v>
      </c>
      <c r="BP186" s="64">
        <f>IFERROR(1/J186*(Y186/H186),"0")</f>
        <v>3.2407407407407406E-2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18.888888888888889</v>
      </c>
      <c r="Y187" s="555">
        <f>IFERROR(Y184/H184,"0")+IFERROR(Y185/H185,"0")+IFERROR(Y186/H186,"0")</f>
        <v>20</v>
      </c>
      <c r="Z187" s="555">
        <f>IFERROR(IF(Z184="",0,Z184),"0")+IFERROR(IF(Z185="",0,Z185),"0")+IFERROR(IF(Z186="",0,Z186),"0")</f>
        <v>0.11799999999999999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23.800000000000004</v>
      </c>
      <c r="Y188" s="555">
        <f>IFERROR(SUM(Y184:Y186),"0")</f>
        <v>25.200000000000003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4.9000000000000004</v>
      </c>
      <c r="Y190" s="554">
        <f>IFERROR(IF(X190="",0,CEILING((X190/$H190),1)*$H190),"")</f>
        <v>5.04</v>
      </c>
      <c r="Z190" s="36">
        <f>IFERROR(IF(Y190=0,"",ROUNDUP(Y190/H190,0)*0.0059),"")</f>
        <v>2.3599999999999999E-2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5.6388888888888893</v>
      </c>
      <c r="BN190" s="64">
        <f>IFERROR(Y190*I190/H190,"0")</f>
        <v>5.8</v>
      </c>
      <c r="BO190" s="64">
        <f>IFERROR(1/J190*(X190/H190),"0")</f>
        <v>1.800411522633745E-2</v>
      </c>
      <c r="BP190" s="64">
        <f>IFERROR(1/J190*(Y190/H190),"0")</f>
        <v>1.8518518518518517E-2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3.8888888888888893</v>
      </c>
      <c r="Y191" s="555">
        <f>IFERROR(Y190/H190,"0")</f>
        <v>4</v>
      </c>
      <c r="Z191" s="555">
        <f>IFERROR(IF(Z190="",0,Z190),"0")</f>
        <v>2.3599999999999999E-2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4.9000000000000004</v>
      </c>
      <c r="Y192" s="555">
        <f>IFERROR(SUM(Y190:Y190),"0")</f>
        <v>5.04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110</v>
      </c>
      <c r="Y205" s="554">
        <f t="shared" ref="Y205:Y212" si="15">IFERROR(IF(X205="",0,CEILING((X205/$H205),1)*$H205),"")</f>
        <v>113.4</v>
      </c>
      <c r="Z205" s="36">
        <f>IFERROR(IF(Y205=0,"",ROUNDUP(Y205/H205,0)*0.00902),"")</f>
        <v>0.18942000000000001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113.87037037037035</v>
      </c>
      <c r="BN205" s="64">
        <f t="shared" ref="BN205:BN212" si="17">IFERROR(Y205*I205/H205,"0")</f>
        <v>117.39</v>
      </c>
      <c r="BO205" s="64">
        <f t="shared" ref="BO205:BO212" si="18">IFERROR(1/J205*(X205/H205),"0")</f>
        <v>0.15432098765432098</v>
      </c>
      <c r="BP205" s="64">
        <f t="shared" ref="BP205:BP212" si="19">IFERROR(1/J205*(Y205/H205),"0")</f>
        <v>0.15909090909090909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60</v>
      </c>
      <c r="Y206" s="554">
        <f t="shared" si="15"/>
        <v>64.800000000000011</v>
      </c>
      <c r="Z206" s="36">
        <f>IFERROR(IF(Y206=0,"",ROUNDUP(Y206/H206,0)*0.00902),"")</f>
        <v>0.10824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62.1111111111111</v>
      </c>
      <c r="BN206" s="64">
        <f t="shared" si="17"/>
        <v>67.08</v>
      </c>
      <c r="BO206" s="64">
        <f t="shared" si="18"/>
        <v>8.4175084175084181E-2</v>
      </c>
      <c r="BP206" s="64">
        <f t="shared" si="19"/>
        <v>9.0909090909090925E-2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350</v>
      </c>
      <c r="Y207" s="554">
        <f t="shared" si="15"/>
        <v>351</v>
      </c>
      <c r="Z207" s="36">
        <f>IFERROR(IF(Y207=0,"",ROUNDUP(Y207/H207,0)*0.00902),"")</f>
        <v>0.58630000000000004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362.31481481481478</v>
      </c>
      <c r="BN207" s="64">
        <f t="shared" si="17"/>
        <v>363.34999999999997</v>
      </c>
      <c r="BO207" s="64">
        <f t="shared" si="18"/>
        <v>0.49102132435465767</v>
      </c>
      <c r="BP207" s="64">
        <f t="shared" si="19"/>
        <v>0.49242424242424243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60</v>
      </c>
      <c r="Y208" s="554">
        <f t="shared" si="15"/>
        <v>64.800000000000011</v>
      </c>
      <c r="Z208" s="36">
        <f>IFERROR(IF(Y208=0,"",ROUNDUP(Y208/H208,0)*0.00902),"")</f>
        <v>0.10824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62.1111111111111</v>
      </c>
      <c r="BN208" s="64">
        <f t="shared" si="17"/>
        <v>67.08</v>
      </c>
      <c r="BO208" s="64">
        <f t="shared" si="18"/>
        <v>8.4175084175084181E-2</v>
      </c>
      <c r="BP208" s="64">
        <f t="shared" si="19"/>
        <v>9.0909090909090925E-2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45</v>
      </c>
      <c r="Y210" s="554">
        <f t="shared" si="15"/>
        <v>45</v>
      </c>
      <c r="Z210" s="36">
        <f>IFERROR(IF(Y210=0,"",ROUNDUP(Y210/H210,0)*0.00502),"")</f>
        <v>0.1255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47.5</v>
      </c>
      <c r="BN210" s="64">
        <f t="shared" si="17"/>
        <v>47.5</v>
      </c>
      <c r="BO210" s="64">
        <f t="shared" si="18"/>
        <v>0.10683760683760685</v>
      </c>
      <c r="BP210" s="64">
        <f t="shared" si="19"/>
        <v>0.10683760683760685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60</v>
      </c>
      <c r="Y211" s="554">
        <f t="shared" si="15"/>
        <v>61.2</v>
      </c>
      <c r="Z211" s="36">
        <f>IFERROR(IF(Y211=0,"",ROUNDUP(Y211/H211,0)*0.00502),"")</f>
        <v>0.17068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63.333333333333329</v>
      </c>
      <c r="BN211" s="64">
        <f t="shared" si="17"/>
        <v>64.599999999999994</v>
      </c>
      <c r="BO211" s="64">
        <f t="shared" si="18"/>
        <v>0.14245014245014248</v>
      </c>
      <c r="BP211" s="64">
        <f t="shared" si="19"/>
        <v>0.14529914529914531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54</v>
      </c>
      <c r="Y212" s="554">
        <f t="shared" si="15"/>
        <v>54</v>
      </c>
      <c r="Z212" s="36">
        <f>IFERROR(IF(Y212=0,"",ROUNDUP(Y212/H212,0)*0.00502),"")</f>
        <v>0.15060000000000001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56.999999999999993</v>
      </c>
      <c r="BN212" s="64">
        <f t="shared" si="17"/>
        <v>56.999999999999993</v>
      </c>
      <c r="BO212" s="64">
        <f t="shared" si="18"/>
        <v>0.12820512820512822</v>
      </c>
      <c r="BP212" s="64">
        <f t="shared" si="19"/>
        <v>0.12820512820512822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245.74074074074073</v>
      </c>
      <c r="Y213" s="555">
        <f>IFERROR(Y205/H205,"0")+IFERROR(Y206/H206,"0")+IFERROR(Y207/H207,"0")+IFERROR(Y208/H208,"0")+IFERROR(Y209/H209,"0")+IFERROR(Y210/H210,"0")+IFERROR(Y211/H211,"0")+IFERROR(Y212/H212,"0")</f>
        <v>249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1.68998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829</v>
      </c>
      <c r="Y214" s="555">
        <f>IFERROR(SUM(Y205:Y212),"0")</f>
        <v>844.2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50</v>
      </c>
      <c r="Y218" s="554">
        <f t="shared" si="20"/>
        <v>52.199999999999996</v>
      </c>
      <c r="Z218" s="36">
        <f>IFERROR(IF(Y218=0,"",ROUNDUP(Y218/H218,0)*0.01898),"")</f>
        <v>0.11388000000000001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52.839080459770123</v>
      </c>
      <c r="BN218" s="64">
        <f t="shared" si="22"/>
        <v>55.164000000000009</v>
      </c>
      <c r="BO218" s="64">
        <f t="shared" si="23"/>
        <v>8.9798850574712652E-2</v>
      </c>
      <c r="BP218" s="64">
        <f t="shared" si="24"/>
        <v>9.375E-2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200</v>
      </c>
      <c r="Y219" s="554">
        <f t="shared" si="20"/>
        <v>201.6</v>
      </c>
      <c r="Z219" s="36">
        <f t="shared" ref="Z219:Z224" si="25">IFERROR(IF(Y219=0,"",ROUNDUP(Y219/H219,0)*0.00651),"")</f>
        <v>0.54683999999999999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222.5</v>
      </c>
      <c r="BN219" s="64">
        <f t="shared" si="22"/>
        <v>224.27999999999997</v>
      </c>
      <c r="BO219" s="64">
        <f t="shared" si="23"/>
        <v>0.45787545787545797</v>
      </c>
      <c r="BP219" s="64">
        <f t="shared" si="24"/>
        <v>0.46153846153846156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160</v>
      </c>
      <c r="Y221" s="554">
        <f t="shared" si="20"/>
        <v>160.79999999999998</v>
      </c>
      <c r="Z221" s="36">
        <f t="shared" si="25"/>
        <v>0.43617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176.80000000000004</v>
      </c>
      <c r="BN221" s="64">
        <f t="shared" si="22"/>
        <v>177.684</v>
      </c>
      <c r="BO221" s="64">
        <f t="shared" si="23"/>
        <v>0.36630036630036633</v>
      </c>
      <c r="BP221" s="64">
        <f t="shared" si="24"/>
        <v>0.36813186813186816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60</v>
      </c>
      <c r="Y223" s="554">
        <f t="shared" si="20"/>
        <v>60</v>
      </c>
      <c r="Z223" s="36">
        <f t="shared" si="25"/>
        <v>0.16275000000000001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66.300000000000011</v>
      </c>
      <c r="BN223" s="64">
        <f t="shared" si="22"/>
        <v>66.300000000000011</v>
      </c>
      <c r="BO223" s="64">
        <f t="shared" si="23"/>
        <v>0.13736263736263737</v>
      </c>
      <c r="BP223" s="64">
        <f t="shared" si="24"/>
        <v>0.13736263736263737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160</v>
      </c>
      <c r="Y224" s="554">
        <f t="shared" si="20"/>
        <v>160.79999999999998</v>
      </c>
      <c r="Z224" s="36">
        <f t="shared" si="25"/>
        <v>0.43617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177.2</v>
      </c>
      <c r="BN224" s="64">
        <f t="shared" si="22"/>
        <v>178.08599999999998</v>
      </c>
      <c r="BO224" s="64">
        <f t="shared" si="23"/>
        <v>0.36630036630036633</v>
      </c>
      <c r="BP224" s="64">
        <f t="shared" si="24"/>
        <v>0.36813186813186816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247.41379310344831</v>
      </c>
      <c r="Y225" s="555">
        <f>IFERROR(Y216/H216,"0")+IFERROR(Y217/H217,"0")+IFERROR(Y218/H218,"0")+IFERROR(Y219/H219,"0")+IFERROR(Y220/H220,"0")+IFERROR(Y221/H221,"0")+IFERROR(Y222/H222,"0")+IFERROR(Y223/H223,"0")+IFERROR(Y224/H224,"0")</f>
        <v>249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1.6958099999999998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630</v>
      </c>
      <c r="Y226" s="555">
        <f>IFERROR(SUM(Y216:Y224),"0")</f>
        <v>635.4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36</v>
      </c>
      <c r="Y228" s="554">
        <f>IFERROR(IF(X228="",0,CEILING((X228/$H228),1)*$H228),"")</f>
        <v>36</v>
      </c>
      <c r="Z228" s="36">
        <f>IFERROR(IF(Y228=0,"",ROUNDUP(Y228/H228,0)*0.00651),"")</f>
        <v>9.7650000000000001E-2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39.780000000000008</v>
      </c>
      <c r="BN228" s="64">
        <f>IFERROR(Y228*I228/H228,"0")</f>
        <v>39.780000000000008</v>
      </c>
      <c r="BO228" s="64">
        <f>IFERROR(1/J228*(X228/H228),"0")</f>
        <v>8.241758241758243E-2</v>
      </c>
      <c r="BP228" s="64">
        <f>IFERROR(1/J228*(Y228/H228),"0")</f>
        <v>8.241758241758243E-2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36</v>
      </c>
      <c r="Y229" s="554">
        <f>IFERROR(IF(X229="",0,CEILING((X229/$H229),1)*$H229),"")</f>
        <v>36</v>
      </c>
      <c r="Z229" s="36">
        <f>IFERROR(IF(Y229=0,"",ROUNDUP(Y229/H229,0)*0.00651),"")</f>
        <v>9.7650000000000001E-2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39.780000000000008</v>
      </c>
      <c r="BN229" s="64">
        <f>IFERROR(Y229*I229/H229,"0")</f>
        <v>39.780000000000008</v>
      </c>
      <c r="BO229" s="64">
        <f>IFERROR(1/J229*(X229/H229),"0")</f>
        <v>8.241758241758243E-2</v>
      </c>
      <c r="BP229" s="64">
        <f>IFERROR(1/J229*(Y229/H229),"0")</f>
        <v>8.241758241758243E-2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30</v>
      </c>
      <c r="Y230" s="555">
        <f>IFERROR(Y228/H228,"0")+IFERROR(Y229/H229,"0")</f>
        <v>30</v>
      </c>
      <c r="Z230" s="555">
        <f>IFERROR(IF(Z228="",0,Z228),"0")+IFERROR(IF(Z229="",0,Z229),"0")</f>
        <v>0.1953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72</v>
      </c>
      <c r="Y231" s="555">
        <f>IFERROR(SUM(Y228:Y229),"0")</f>
        <v>72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10</v>
      </c>
      <c r="Y234" s="554">
        <f t="shared" ref="Y234:Y242" si="26">IFERROR(IF(X234="",0,CEILING((X234/$H234),1)*$H234),"")</f>
        <v>11.6</v>
      </c>
      <c r="Z234" s="36">
        <f>IFERROR(IF(Y234=0,"",ROUNDUP(Y234/H234,0)*0.01898),"")</f>
        <v>1.898E-2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10.353448275862069</v>
      </c>
      <c r="BN234" s="64">
        <f t="shared" ref="BN234:BN242" si="28">IFERROR(Y234*I234/H234,"0")</f>
        <v>12.01</v>
      </c>
      <c r="BO234" s="64">
        <f t="shared" ref="BO234:BO242" si="29">IFERROR(1/J234*(X234/H234),"0")</f>
        <v>1.3469827586206897E-2</v>
      </c>
      <c r="BP234" s="64">
        <f t="shared" ref="BP234:BP242" si="30">IFERROR(1/J234*(Y234/H234),"0")</f>
        <v>1.5625E-2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50</v>
      </c>
      <c r="Y236" s="554">
        <f t="shared" si="26"/>
        <v>58</v>
      </c>
      <c r="Z236" s="36">
        <f>IFERROR(IF(Y236=0,"",ROUNDUP(Y236/H236,0)*0.01898),"")</f>
        <v>9.4899999999999998E-2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51.767241379310349</v>
      </c>
      <c r="BN236" s="64">
        <f t="shared" si="28"/>
        <v>60.050000000000004</v>
      </c>
      <c r="BO236" s="64">
        <f t="shared" si="29"/>
        <v>6.7349137931034489E-2</v>
      </c>
      <c r="BP236" s="64">
        <f t="shared" si="30"/>
        <v>7.8125E-2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24</v>
      </c>
      <c r="Y237" s="554">
        <f t="shared" si="26"/>
        <v>24</v>
      </c>
      <c r="Z237" s="36">
        <f>IFERROR(IF(Y237=0,"",ROUNDUP(Y237/H237,0)*0.00902),"")</f>
        <v>5.4120000000000001E-2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25.14</v>
      </c>
      <c r="BN237" s="64">
        <f t="shared" si="28"/>
        <v>25.14</v>
      </c>
      <c r="BO237" s="64">
        <f t="shared" si="29"/>
        <v>4.5454545454545456E-2</v>
      </c>
      <c r="BP237" s="64">
        <f t="shared" si="30"/>
        <v>4.5454545454545456E-2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28</v>
      </c>
      <c r="Y241" s="554">
        <f t="shared" si="26"/>
        <v>28</v>
      </c>
      <c r="Z241" s="36">
        <f>IFERROR(IF(Y241=0,"",ROUNDUP(Y241/H241,0)*0.00902),"")</f>
        <v>6.3140000000000002E-2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29.330000000000002</v>
      </c>
      <c r="BN241" s="64">
        <f t="shared" si="28"/>
        <v>29.330000000000002</v>
      </c>
      <c r="BO241" s="64">
        <f t="shared" si="29"/>
        <v>5.3030303030303032E-2</v>
      </c>
      <c r="BP241" s="64">
        <f t="shared" si="30"/>
        <v>5.3030303030303032E-2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18.172413793103448</v>
      </c>
      <c r="Y243" s="555">
        <f>IFERROR(Y234/H234,"0")+IFERROR(Y235/H235,"0")+IFERROR(Y236/H236,"0")+IFERROR(Y237/H237,"0")+IFERROR(Y238/H238,"0")+IFERROR(Y239/H239,"0")+IFERROR(Y240/H240,"0")+IFERROR(Y241/H241,"0")+IFERROR(Y242/H242,"0")</f>
        <v>19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0.23113999999999998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112</v>
      </c>
      <c r="Y244" s="555">
        <f>IFERROR(SUM(Y234:Y242),"0")</f>
        <v>121.6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6</v>
      </c>
      <c r="Y250" s="554">
        <f>IFERROR(IF(X250="",0,CEILING((X250/$H250),1)*$H250),"")</f>
        <v>7.2</v>
      </c>
      <c r="Z250" s="36">
        <f>IFERROR(IF(Y250=0,"",ROUNDUP(Y250/H250,0)*0.0059),"")</f>
        <v>2.3599999999999999E-2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6.5833333333333339</v>
      </c>
      <c r="BN250" s="64">
        <f>IFERROR(Y250*I250/H250,"0")</f>
        <v>7.9</v>
      </c>
      <c r="BO250" s="64">
        <f>IFERROR(1/J250*(X250/H250),"0")</f>
        <v>1.5432098765432096E-2</v>
      </c>
      <c r="BP250" s="64">
        <f>IFERROR(1/J250*(Y250/H250),"0")</f>
        <v>1.8518518518518517E-2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3.333333333333333</v>
      </c>
      <c r="Y251" s="555">
        <f>IFERROR(Y250/H250,"0")</f>
        <v>4</v>
      </c>
      <c r="Z251" s="555">
        <f>IFERROR(IF(Z250="",0,Z250),"0")</f>
        <v>2.3599999999999999E-2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6</v>
      </c>
      <c r="Y252" s="555">
        <f>IFERROR(SUM(Y250:Y250),"0")</f>
        <v>7.2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2.5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3.0277777777777777</v>
      </c>
      <c r="BN256" s="64">
        <f>IFERROR(Y256*I256/H256,"0")</f>
        <v>3.2700000000000005</v>
      </c>
      <c r="BO256" s="64">
        <f>IFERROR(1/J256*(X256/H256),"0")</f>
        <v>1.2860082304526748E-2</v>
      </c>
      <c r="BP256" s="64">
        <f>IFERROR(1/J256*(Y256/H256),"0")</f>
        <v>1.3888888888888888E-2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9.4444444444444429</v>
      </c>
      <c r="Y259" s="555">
        <f>IFERROR(Y254/H254,"0")+IFERROR(Y255/H255,"0")+IFERROR(Y256/H256,"0")+IFERROR(Y257/H257,"0")+IFERROR(Y258/H258,"0")</f>
        <v>10</v>
      </c>
      <c r="Z259" s="555">
        <f>IFERROR(IF(Z254="",0,Z254),"0")+IFERROR(IF(Z255="",0,Z255),"0")+IFERROR(IF(Z256="",0,Z256),"0")+IFERROR(IF(Z257="",0,Z257),"0")+IFERROR(IF(Z258="",0,Z258),"0")</f>
        <v>5.8999999999999997E-2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14.5</v>
      </c>
      <c r="Y260" s="555">
        <f>IFERROR(SUM(Y254:Y258),"0")</f>
        <v>15.3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60</v>
      </c>
      <c r="Y281" s="554">
        <f>IFERROR(IF(X281="",0,CEILING((X281/$H281),1)*$H281),"")</f>
        <v>60</v>
      </c>
      <c r="Z281" s="36">
        <f>IFERROR(IF(Y281=0,"",ROUNDUP(Y281/H281,0)*0.00651),"")</f>
        <v>0.16275000000000001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66.300000000000011</v>
      </c>
      <c r="BN281" s="64">
        <f>IFERROR(Y281*I281/H281,"0")</f>
        <v>66.300000000000011</v>
      </c>
      <c r="BO281" s="64">
        <f>IFERROR(1/J281*(X281/H281),"0")</f>
        <v>0.13736263736263737</v>
      </c>
      <c r="BP281" s="64">
        <f>IFERROR(1/J281*(Y281/H281),"0")</f>
        <v>0.13736263736263737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100</v>
      </c>
      <c r="Y282" s="554">
        <f>IFERROR(IF(X282="",0,CEILING((X282/$H282),1)*$H282),"")</f>
        <v>100.8</v>
      </c>
      <c r="Z282" s="36">
        <f>IFERROR(IF(Y282=0,"",ROUNDUP(Y282/H282,0)*0.00651),"")</f>
        <v>0.27342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107.5</v>
      </c>
      <c r="BN282" s="64">
        <f>IFERROR(Y282*I282/H282,"0")</f>
        <v>108.36000000000001</v>
      </c>
      <c r="BO282" s="64">
        <f>IFERROR(1/J282*(X282/H282),"0")</f>
        <v>0.22893772893772898</v>
      </c>
      <c r="BP282" s="64">
        <f>IFERROR(1/J282*(Y282/H282),"0")</f>
        <v>0.23076923076923078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66.666666666666671</v>
      </c>
      <c r="Y283" s="555">
        <f>IFERROR(Y280/H280,"0")+IFERROR(Y281/H281,"0")+IFERROR(Y282/H282,"0")</f>
        <v>67</v>
      </c>
      <c r="Z283" s="555">
        <f>IFERROR(IF(Z280="",0,Z280),"0")+IFERROR(IF(Z281="",0,Z281),"0")+IFERROR(IF(Z282="",0,Z282),"0")</f>
        <v>0.43617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160</v>
      </c>
      <c r="Y284" s="555">
        <f>IFERROR(SUM(Y280:Y282),"0")</f>
        <v>160.80000000000001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122.5</v>
      </c>
      <c r="Y310" s="554">
        <f t="shared" si="31"/>
        <v>123.9</v>
      </c>
      <c r="Z310" s="36">
        <f>IFERROR(IF(Y310=0,"",ROUNDUP(Y310/H310,0)*0.00502),"")</f>
        <v>0.29618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128.33333333333331</v>
      </c>
      <c r="BN310" s="64">
        <f t="shared" si="33"/>
        <v>129.80000000000001</v>
      </c>
      <c r="BO310" s="64">
        <f t="shared" si="34"/>
        <v>0.2492877492877493</v>
      </c>
      <c r="BP310" s="64">
        <f t="shared" si="35"/>
        <v>0.25213675213675218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18</v>
      </c>
      <c r="Y311" s="554">
        <f t="shared" si="31"/>
        <v>18</v>
      </c>
      <c r="Z311" s="36">
        <f>IFERROR(IF(Y311=0,"",ROUNDUP(Y311/H311,0)*0.00651),"")</f>
        <v>6.5100000000000005E-2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20.279999999999998</v>
      </c>
      <c r="BN311" s="64">
        <f t="shared" si="33"/>
        <v>20.279999999999998</v>
      </c>
      <c r="BO311" s="64">
        <f t="shared" si="34"/>
        <v>5.4945054945054951E-2</v>
      </c>
      <c r="BP311" s="64">
        <f t="shared" si="35"/>
        <v>5.4945054945054951E-2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68.333333333333329</v>
      </c>
      <c r="Y312" s="555">
        <f>IFERROR(Y306/H306,"0")+IFERROR(Y307/H307,"0")+IFERROR(Y308/H308,"0")+IFERROR(Y309/H309,"0")+IFERROR(Y310/H310,"0")+IFERROR(Y311/H311,"0")</f>
        <v>69</v>
      </c>
      <c r="Z312" s="555">
        <f>IFERROR(IF(Z306="",0,Z306),"0")+IFERROR(IF(Z307="",0,Z307),"0")+IFERROR(IF(Z308="",0,Z308),"0")+IFERROR(IF(Z309="",0,Z309),"0")+IFERROR(IF(Z310="",0,Z310),"0")+IFERROR(IF(Z311="",0,Z311),"0")</f>
        <v>0.36127999999999999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140.5</v>
      </c>
      <c r="Y313" s="555">
        <f>IFERROR(SUM(Y306:Y311),"0")</f>
        <v>141.9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10</v>
      </c>
      <c r="Y322" s="554">
        <f>IFERROR(IF(X322="",0,CEILING((X322/$H322),1)*$H322),"")</f>
        <v>16.8</v>
      </c>
      <c r="Z322" s="36">
        <f>IFERROR(IF(Y322=0,"",ROUNDUP(Y322/H322,0)*0.01898),"")</f>
        <v>3.7960000000000001E-2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10.588095238095237</v>
      </c>
      <c r="BN322" s="64">
        <f>IFERROR(Y322*I322/H322,"0")</f>
        <v>17.788</v>
      </c>
      <c r="BO322" s="64">
        <f>IFERROR(1/J322*(X322/H322),"0")</f>
        <v>1.8601190476190476E-2</v>
      </c>
      <c r="BP322" s="64">
        <f>IFERROR(1/J322*(Y322/H322),"0")</f>
        <v>3.125E-2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250</v>
      </c>
      <c r="Y323" s="554">
        <f>IFERROR(IF(X323="",0,CEILING((X323/$H323),1)*$H323),"")</f>
        <v>257.39999999999998</v>
      </c>
      <c r="Z323" s="36">
        <f>IFERROR(IF(Y323=0,"",ROUNDUP(Y323/H323,0)*0.01898),"")</f>
        <v>0.62634000000000001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265.83333333333331</v>
      </c>
      <c r="BN323" s="64">
        <f>IFERROR(Y323*I323/H323,"0")</f>
        <v>273.702</v>
      </c>
      <c r="BO323" s="64">
        <f>IFERROR(1/J323*(X323/H323),"0")</f>
        <v>0.50080128205128205</v>
      </c>
      <c r="BP323" s="64">
        <f>IFERROR(1/J323*(Y323/H323),"0")</f>
        <v>0.515625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150</v>
      </c>
      <c r="Y324" s="554">
        <f>IFERROR(IF(X324="",0,CEILING((X324/$H324),1)*$H324),"")</f>
        <v>151.20000000000002</v>
      </c>
      <c r="Z324" s="36">
        <f>IFERROR(IF(Y324=0,"",ROUNDUP(Y324/H324,0)*0.01898),"")</f>
        <v>0.34164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158.82142857142856</v>
      </c>
      <c r="BN324" s="64">
        <f>IFERROR(Y324*I324/H324,"0")</f>
        <v>160.09200000000001</v>
      </c>
      <c r="BO324" s="64">
        <f>IFERROR(1/J324*(X324/H324),"0")</f>
        <v>0.27901785714285715</v>
      </c>
      <c r="BP324" s="64">
        <f>IFERROR(1/J324*(Y324/H324),"0")</f>
        <v>0.28125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51.098901098901095</v>
      </c>
      <c r="Y325" s="555">
        <f>IFERROR(Y322/H322,"0")+IFERROR(Y323/H323,"0")+IFERROR(Y324/H324,"0")</f>
        <v>53</v>
      </c>
      <c r="Z325" s="555">
        <f>IFERROR(IF(Z322="",0,Z322),"0")+IFERROR(IF(Z323="",0,Z323),"0")+IFERROR(IF(Z324="",0,Z324),"0")</f>
        <v>1.0059400000000001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410</v>
      </c>
      <c r="Y326" s="555">
        <f>IFERROR(SUM(Y322:Y324),"0")</f>
        <v>425.4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17</v>
      </c>
      <c r="Y330" s="554">
        <f>IFERROR(IF(X330="",0,CEILING((X330/$H330),1)*$H330),"")</f>
        <v>17.849999999999998</v>
      </c>
      <c r="Z330" s="36">
        <f>IFERROR(IF(Y330=0,"",ROUNDUP(Y330/H330,0)*0.00651),"")</f>
        <v>4.5569999999999999E-2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19.700000000000003</v>
      </c>
      <c r="BN330" s="64">
        <f>IFERROR(Y330*I330/H330,"0")</f>
        <v>20.684999999999999</v>
      </c>
      <c r="BO330" s="64">
        <f>IFERROR(1/J330*(X330/H330),"0")</f>
        <v>3.6630036630036632E-2</v>
      </c>
      <c r="BP330" s="64">
        <f>IFERROR(1/J330*(Y330/H330),"0")</f>
        <v>3.8461538461538464E-2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51.000000000000007</v>
      </c>
      <c r="Y331" s="554">
        <f>IFERROR(IF(X331="",0,CEILING((X331/$H331),1)*$H331),"")</f>
        <v>51</v>
      </c>
      <c r="Z331" s="36">
        <f>IFERROR(IF(Y331=0,"",ROUNDUP(Y331/H331,0)*0.00651),"")</f>
        <v>0.13020000000000001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57.600000000000016</v>
      </c>
      <c r="BN331" s="64">
        <f>IFERROR(Y331*I331/H331,"0")</f>
        <v>57.6</v>
      </c>
      <c r="BO331" s="64">
        <f>IFERROR(1/J331*(X331/H331),"0")</f>
        <v>0.10989010989010992</v>
      </c>
      <c r="BP331" s="64">
        <f>IFERROR(1/J331*(Y331/H331),"0")</f>
        <v>0.1098901098901099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26.666666666666671</v>
      </c>
      <c r="Y332" s="555">
        <f>IFERROR(Y328/H328,"0")+IFERROR(Y329/H329,"0")+IFERROR(Y330/H330,"0")+IFERROR(Y331/H331,"0")</f>
        <v>27</v>
      </c>
      <c r="Z332" s="555">
        <f>IFERROR(IF(Z328="",0,Z328),"0")+IFERROR(IF(Z329="",0,Z329),"0")+IFERROR(IF(Z330="",0,Z330),"0")+IFERROR(IF(Z331="",0,Z331),"0")</f>
        <v>0.17577000000000001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68</v>
      </c>
      <c r="Y333" s="555">
        <f>IFERROR(SUM(Y328:Y331),"0")</f>
        <v>68.849999999999994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420</v>
      </c>
      <c r="Y343" s="554">
        <f>IFERROR(IF(X343="",0,CEILING((X343/$H343),1)*$H343),"")</f>
        <v>420</v>
      </c>
      <c r="Z343" s="36">
        <f>IFERROR(IF(Y343=0,"",ROUNDUP(Y343/H343,0)*0.00651),"")</f>
        <v>1.302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470.39999999999992</v>
      </c>
      <c r="BN343" s="64">
        <f>IFERROR(Y343*I343/H343,"0")</f>
        <v>470.39999999999992</v>
      </c>
      <c r="BO343" s="64">
        <f>IFERROR(1/J343*(X343/H343),"0")</f>
        <v>1.098901098901099</v>
      </c>
      <c r="BP343" s="64">
        <f>IFERROR(1/J343*(Y343/H343),"0")</f>
        <v>1.098901098901099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350</v>
      </c>
      <c r="Y344" s="554">
        <f>IFERROR(IF(X344="",0,CEILING((X344/$H344),1)*$H344),"")</f>
        <v>350.7</v>
      </c>
      <c r="Z344" s="36">
        <f>IFERROR(IF(Y344=0,"",ROUNDUP(Y344/H344,0)*0.00651),"")</f>
        <v>1.08717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390</v>
      </c>
      <c r="BN344" s="64">
        <f>IFERROR(Y344*I344/H344,"0")</f>
        <v>390.78</v>
      </c>
      <c r="BO344" s="64">
        <f>IFERROR(1/J344*(X344/H344),"0")</f>
        <v>0.91575091575091572</v>
      </c>
      <c r="BP344" s="64">
        <f>IFERROR(1/J344*(Y344/H344),"0")</f>
        <v>0.91758241758241765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366.66666666666663</v>
      </c>
      <c r="Y345" s="555">
        <f>IFERROR(Y342/H342,"0")+IFERROR(Y343/H343,"0")+IFERROR(Y344/H344,"0")</f>
        <v>367</v>
      </c>
      <c r="Z345" s="555">
        <f>IFERROR(IF(Z342="",0,Z342),"0")+IFERROR(IF(Z343="",0,Z343),"0")+IFERROR(IF(Z344="",0,Z344),"0")</f>
        <v>2.38917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770</v>
      </c>
      <c r="Y346" s="555">
        <f>IFERROR(SUM(Y342:Y344),"0")</f>
        <v>770.7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2300</v>
      </c>
      <c r="Y350" s="554">
        <f t="shared" ref="Y350:Y356" si="36">IFERROR(IF(X350="",0,CEILING((X350/$H350),1)*$H350),"")</f>
        <v>2310</v>
      </c>
      <c r="Z350" s="36">
        <f>IFERROR(IF(Y350=0,"",ROUNDUP(Y350/H350,0)*0.02175),"")</f>
        <v>3.3494999999999999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2372.0666666666666</v>
      </c>
      <c r="BN350" s="64">
        <f t="shared" ref="BN350:BN356" si="38">IFERROR(Y350*I350/H350,"0")</f>
        <v>2382.38</v>
      </c>
      <c r="BO350" s="64">
        <f t="shared" ref="BO350:BO356" si="39">IFERROR(1/J350*(X350/H350),"0")</f>
        <v>3.1944444444444446</v>
      </c>
      <c r="BP350" s="64">
        <f t="shared" ref="BP350:BP356" si="40">IFERROR(1/J350*(Y350/H350),"0")</f>
        <v>3.208333333333333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900</v>
      </c>
      <c r="Y351" s="554">
        <f t="shared" si="36"/>
        <v>900</v>
      </c>
      <c r="Z351" s="36">
        <f>IFERROR(IF(Y351=0,"",ROUNDUP(Y351/H351,0)*0.02175),"")</f>
        <v>1.3049999999999999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928.2</v>
      </c>
      <c r="BN351" s="64">
        <f t="shared" si="38"/>
        <v>928.2</v>
      </c>
      <c r="BO351" s="64">
        <f t="shared" si="39"/>
        <v>1.25</v>
      </c>
      <c r="BP351" s="64">
        <f t="shared" si="40"/>
        <v>1.25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2500</v>
      </c>
      <c r="Y352" s="554">
        <f t="shared" si="36"/>
        <v>2505</v>
      </c>
      <c r="Z352" s="36">
        <f>IFERROR(IF(Y352=0,"",ROUNDUP(Y352/H352,0)*0.02175),"")</f>
        <v>3.6322499999999995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2578.3333333333335</v>
      </c>
      <c r="BN352" s="64">
        <f t="shared" si="38"/>
        <v>2583.4899999999998</v>
      </c>
      <c r="BO352" s="64">
        <f t="shared" si="39"/>
        <v>3.4722222222222219</v>
      </c>
      <c r="BP352" s="64">
        <f t="shared" si="40"/>
        <v>3.4791666666666665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650</v>
      </c>
      <c r="Y353" s="554">
        <f t="shared" si="36"/>
        <v>660</v>
      </c>
      <c r="Z353" s="36">
        <f>IFERROR(IF(Y353=0,"",ROUNDUP(Y353/H353,0)*0.02175),"")</f>
        <v>0.95699999999999996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670.36666666666667</v>
      </c>
      <c r="BN353" s="64">
        <f t="shared" si="38"/>
        <v>680.68000000000006</v>
      </c>
      <c r="BO353" s="64">
        <f t="shared" si="39"/>
        <v>0.90277777777777779</v>
      </c>
      <c r="BP353" s="64">
        <f t="shared" si="40"/>
        <v>0.91666666666666663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15</v>
      </c>
      <c r="Y356" s="554">
        <f t="shared" si="36"/>
        <v>15</v>
      </c>
      <c r="Z356" s="36">
        <f>IFERROR(IF(Y356=0,"",ROUNDUP(Y356/H356,0)*0.00902),"")</f>
        <v>2.7060000000000001E-2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15.570000000000002</v>
      </c>
      <c r="BN356" s="64">
        <f t="shared" si="38"/>
        <v>15.570000000000002</v>
      </c>
      <c r="BO356" s="64">
        <f t="shared" si="39"/>
        <v>2.2727272727272728E-2</v>
      </c>
      <c r="BP356" s="64">
        <f t="shared" si="40"/>
        <v>2.2727272727272728E-2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426.33333333333331</v>
      </c>
      <c r="Y357" s="555">
        <f>IFERROR(Y350/H350,"0")+IFERROR(Y351/H351,"0")+IFERROR(Y352/H352,"0")+IFERROR(Y353/H353,"0")+IFERROR(Y354/H354,"0")+IFERROR(Y355/H355,"0")+IFERROR(Y356/H356,"0")</f>
        <v>428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9.2708100000000009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6365</v>
      </c>
      <c r="Y358" s="555">
        <f>IFERROR(SUM(Y350:Y356),"0")</f>
        <v>6390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1500</v>
      </c>
      <c r="Y360" s="554">
        <f>IFERROR(IF(X360="",0,CEILING((X360/$H360),1)*$H360),"")</f>
        <v>1500</v>
      </c>
      <c r="Z360" s="36">
        <f>IFERROR(IF(Y360=0,"",ROUNDUP(Y360/H360,0)*0.02175),"")</f>
        <v>2.1749999999999998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1547</v>
      </c>
      <c r="BN360" s="64">
        <f>IFERROR(Y360*I360/H360,"0")</f>
        <v>1547</v>
      </c>
      <c r="BO360" s="64">
        <f>IFERROR(1/J360*(X360/H360),"0")</f>
        <v>2.083333333333333</v>
      </c>
      <c r="BP360" s="64">
        <f>IFERROR(1/J360*(Y360/H360),"0")</f>
        <v>2.083333333333333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8</v>
      </c>
      <c r="Y361" s="554">
        <f>IFERROR(IF(X361="",0,CEILING((X361/$H361),1)*$H361),"")</f>
        <v>8</v>
      </c>
      <c r="Z361" s="36">
        <f>IFERROR(IF(Y361=0,"",ROUNDUP(Y361/H361,0)*0.00902),"")</f>
        <v>1.804E-2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8.3800000000000008</v>
      </c>
      <c r="BN361" s="64">
        <f>IFERROR(Y361*I361/H361,"0")</f>
        <v>8.3800000000000008</v>
      </c>
      <c r="BO361" s="64">
        <f>IFERROR(1/J361*(X361/H361),"0")</f>
        <v>1.5151515151515152E-2</v>
      </c>
      <c r="BP361" s="64">
        <f>IFERROR(1/J361*(Y361/H361),"0")</f>
        <v>1.5151515151515152E-2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102</v>
      </c>
      <c r="Y362" s="555">
        <f>IFERROR(Y360/H360,"0")+IFERROR(Y361/H361,"0")</f>
        <v>102</v>
      </c>
      <c r="Z362" s="555">
        <f>IFERROR(IF(Z360="",0,Z360),"0")+IFERROR(IF(Z361="",0,Z361),"0")</f>
        <v>2.1930399999999999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1508</v>
      </c>
      <c r="Y363" s="555">
        <f>IFERROR(SUM(Y360:Y361),"0")</f>
        <v>1508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10</v>
      </c>
      <c r="Y366" s="554">
        <f>IFERROR(IF(X366="",0,CEILING((X366/$H366),1)*$H366),"")</f>
        <v>18</v>
      </c>
      <c r="Z366" s="36">
        <f>IFERROR(IF(Y366=0,"",ROUNDUP(Y366/H366,0)*0.01898),"")</f>
        <v>3.7960000000000001E-2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10.548888888888889</v>
      </c>
      <c r="BN366" s="64">
        <f>IFERROR(Y366*I366/H366,"0")</f>
        <v>18.988</v>
      </c>
      <c r="BO366" s="64">
        <f>IFERROR(1/J366*(X366/H366),"0")</f>
        <v>1.7361111111111112E-2</v>
      </c>
      <c r="BP366" s="64">
        <f>IFERROR(1/J366*(Y366/H366),"0")</f>
        <v>3.125E-2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1.1111111111111112</v>
      </c>
      <c r="Y367" s="555">
        <f>IFERROR(Y365/H365,"0")+IFERROR(Y366/H366,"0")</f>
        <v>2</v>
      </c>
      <c r="Z367" s="555">
        <f>IFERROR(IF(Z365="",0,Z365),"0")+IFERROR(IF(Z366="",0,Z366),"0")</f>
        <v>3.7960000000000001E-2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10</v>
      </c>
      <c r="Y368" s="555">
        <f>IFERROR(SUM(Y365:Y366),"0")</f>
        <v>18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30</v>
      </c>
      <c r="Y370" s="554">
        <f>IFERROR(IF(X370="",0,CEILING((X370/$H370),1)*$H370),"")</f>
        <v>36</v>
      </c>
      <c r="Z370" s="36">
        <f>IFERROR(IF(Y370=0,"",ROUNDUP(Y370/H370,0)*0.01898),"")</f>
        <v>7.5920000000000001E-2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31.646666666666665</v>
      </c>
      <c r="BN370" s="64">
        <f>IFERROR(Y370*I370/H370,"0")</f>
        <v>37.975999999999999</v>
      </c>
      <c r="BO370" s="64">
        <f>IFERROR(1/J370*(X370/H370),"0")</f>
        <v>5.2083333333333336E-2</v>
      </c>
      <c r="BP370" s="64">
        <f>IFERROR(1/J370*(Y370/H370),"0")</f>
        <v>6.25E-2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3.3333333333333335</v>
      </c>
      <c r="Y371" s="555">
        <f>IFERROR(Y370/H370,"0")</f>
        <v>4</v>
      </c>
      <c r="Z371" s="555">
        <f>IFERROR(IF(Z370="",0,Z370),"0")</f>
        <v>7.5920000000000001E-2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30</v>
      </c>
      <c r="Y372" s="555">
        <f>IFERROR(SUM(Y370:Y370),"0")</f>
        <v>36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40</v>
      </c>
      <c r="Y375" s="554">
        <f>IFERROR(IF(X375="",0,CEILING((X375/$H375),1)*$H375),"")</f>
        <v>48</v>
      </c>
      <c r="Z375" s="36">
        <f>IFERROR(IF(Y375=0,"",ROUNDUP(Y375/H375,0)*0.01898),"")</f>
        <v>7.5920000000000001E-2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41.366666666666667</v>
      </c>
      <c r="BN375" s="64">
        <f>IFERROR(Y375*I375/H375,"0")</f>
        <v>49.640000000000008</v>
      </c>
      <c r="BO375" s="64">
        <f>IFERROR(1/J375*(X375/H375),"0")</f>
        <v>5.2083333333333336E-2</v>
      </c>
      <c r="BP375" s="64">
        <f>IFERROR(1/J375*(Y375/H375),"0")</f>
        <v>6.25E-2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3.3333333333333335</v>
      </c>
      <c r="Y377" s="555">
        <f>IFERROR(Y375/H375,"0")+IFERROR(Y376/H376,"0")</f>
        <v>4</v>
      </c>
      <c r="Z377" s="555">
        <f>IFERROR(IF(Z375="",0,Z375),"0")+IFERROR(IF(Z376="",0,Z376),"0")</f>
        <v>7.5920000000000001E-2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40</v>
      </c>
      <c r="Y378" s="555">
        <f>IFERROR(SUM(Y375:Y376),"0")</f>
        <v>48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10</v>
      </c>
      <c r="Y385" s="554">
        <f>IFERROR(IF(X385="",0,CEILING((X385/$H385),1)*$H385),"")</f>
        <v>18</v>
      </c>
      <c r="Z385" s="36">
        <f>IFERROR(IF(Y385=0,"",ROUNDUP(Y385/H385,0)*0.01898),"")</f>
        <v>3.7960000000000001E-2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10.548888888888889</v>
      </c>
      <c r="BN385" s="64">
        <f>IFERROR(Y385*I385/H385,"0")</f>
        <v>18.988</v>
      </c>
      <c r="BO385" s="64">
        <f>IFERROR(1/J385*(X385/H385),"0")</f>
        <v>1.7361111111111112E-2</v>
      </c>
      <c r="BP385" s="64">
        <f>IFERROR(1/J385*(Y385/H385),"0")</f>
        <v>3.125E-2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1.1111111111111112</v>
      </c>
      <c r="Y388" s="555">
        <f>IFERROR(Y385/H385,"0")+IFERROR(Y386/H386,"0")+IFERROR(Y387/H387,"0")</f>
        <v>2</v>
      </c>
      <c r="Z388" s="555">
        <f>IFERROR(IF(Z385="",0,Z385),"0")+IFERROR(IF(Z386="",0,Z386),"0")+IFERROR(IF(Z387="",0,Z387),"0")</f>
        <v>3.7960000000000001E-2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10</v>
      </c>
      <c r="Y389" s="555">
        <f>IFERROR(SUM(Y385:Y387),"0")</f>
        <v>18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35</v>
      </c>
      <c r="Y397" s="554">
        <f t="shared" si="41"/>
        <v>35.700000000000003</v>
      </c>
      <c r="Z397" s="36">
        <f t="shared" si="46"/>
        <v>8.5339999999999999E-2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37.166666666666664</v>
      </c>
      <c r="BN397" s="64">
        <f t="shared" si="43"/>
        <v>37.910000000000004</v>
      </c>
      <c r="BO397" s="64">
        <f t="shared" si="44"/>
        <v>7.1225071225071226E-2</v>
      </c>
      <c r="BP397" s="64">
        <f t="shared" si="45"/>
        <v>7.2649572649572655E-2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10.5</v>
      </c>
      <c r="Y398" s="554">
        <f t="shared" si="41"/>
        <v>10.5</v>
      </c>
      <c r="Z398" s="36">
        <f t="shared" si="46"/>
        <v>2.5100000000000001E-2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11.149999999999999</v>
      </c>
      <c r="BN398" s="64">
        <f t="shared" si="43"/>
        <v>11.149999999999999</v>
      </c>
      <c r="BO398" s="64">
        <f t="shared" si="44"/>
        <v>2.1367521367521368E-2</v>
      </c>
      <c r="BP398" s="64">
        <f t="shared" si="45"/>
        <v>2.1367521367521368E-2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52.5</v>
      </c>
      <c r="Y400" s="554">
        <f t="shared" si="41"/>
        <v>52.5</v>
      </c>
      <c r="Z400" s="36">
        <f t="shared" si="46"/>
        <v>0.1255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55.75</v>
      </c>
      <c r="BN400" s="64">
        <f t="shared" si="43"/>
        <v>55.75</v>
      </c>
      <c r="BO400" s="64">
        <f t="shared" si="44"/>
        <v>0.10683760683760685</v>
      </c>
      <c r="BP400" s="64">
        <f t="shared" si="45"/>
        <v>0.10683760683760685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46.666666666666664</v>
      </c>
      <c r="Y402" s="555">
        <f>IFERROR(Y393/H393,"0")+IFERROR(Y394/H394,"0")+IFERROR(Y395/H395,"0")+IFERROR(Y396/H396,"0")+IFERROR(Y397/H397,"0")+IFERROR(Y398/H398,"0")+IFERROR(Y399/H399,"0")+IFERROR(Y400/H400,"0")+IFERROR(Y401/H401,"0")</f>
        <v>47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0.23593999999999998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98</v>
      </c>
      <c r="Y403" s="555">
        <f>IFERROR(SUM(Y393:Y401),"0")</f>
        <v>98.7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10.5</v>
      </c>
      <c r="Y418" s="554">
        <f>IFERROR(IF(X418="",0,CEILING((X418/$H418),1)*$H418),"")</f>
        <v>10.5</v>
      </c>
      <c r="Z418" s="36">
        <f>IFERROR(IF(Y418=0,"",ROUNDUP(Y418/H418,0)*0.00502),"")</f>
        <v>2.5100000000000001E-2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11.149999999999999</v>
      </c>
      <c r="BN418" s="64">
        <f>IFERROR(Y418*I418/H418,"0")</f>
        <v>11.149999999999999</v>
      </c>
      <c r="BO418" s="64">
        <f>IFERROR(1/J418*(X418/H418),"0")</f>
        <v>2.1367521367521368E-2</v>
      </c>
      <c r="BP418" s="64">
        <f>IFERROR(1/J418*(Y418/H418),"0")</f>
        <v>2.1367521367521368E-2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5</v>
      </c>
      <c r="Y419" s="555">
        <f>IFERROR(Y415/H415,"0")+IFERROR(Y416/H416,"0")+IFERROR(Y417/H417,"0")+IFERROR(Y418/H418,"0")</f>
        <v>5</v>
      </c>
      <c r="Z419" s="555">
        <f>IFERROR(IF(Z415="",0,Z415),"0")+IFERROR(IF(Z416="",0,Z416),"0")+IFERROR(IF(Z417="",0,Z417),"0")+IFERROR(IF(Z418="",0,Z418),"0")</f>
        <v>2.5100000000000001E-2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10.5</v>
      </c>
      <c r="Y420" s="555">
        <f>IFERROR(SUM(Y415:Y418),"0")</f>
        <v>10.5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24</v>
      </c>
      <c r="Y423" s="554">
        <f>IFERROR(IF(X423="",0,CEILING((X423/$H423),1)*$H423),"")</f>
        <v>24</v>
      </c>
      <c r="Z423" s="36">
        <f>IFERROR(IF(Y423=0,"",ROUNDUP(Y423/H423,0)*0.00651),"")</f>
        <v>0.13020000000000001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42.000000000000007</v>
      </c>
      <c r="BN423" s="64">
        <f>IFERROR(Y423*I423/H423,"0")</f>
        <v>42.000000000000007</v>
      </c>
      <c r="BO423" s="64">
        <f>IFERROR(1/J423*(X423/H423),"0")</f>
        <v>0.1098901098901099</v>
      </c>
      <c r="BP423" s="64">
        <f>IFERROR(1/J423*(Y423/H423),"0")</f>
        <v>0.1098901098901099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20</v>
      </c>
      <c r="Y424" s="555">
        <f>IFERROR(Y423/H423,"0")</f>
        <v>20</v>
      </c>
      <c r="Z424" s="555">
        <f>IFERROR(IF(Z423="",0,Z423),"0")</f>
        <v>0.13020000000000001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24</v>
      </c>
      <c r="Y425" s="555">
        <f>IFERROR(SUM(Y423:Y423),"0")</f>
        <v>24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70</v>
      </c>
      <c r="Y429" s="554">
        <f t="shared" ref="Y429:Y440" si="47">IFERROR(IF(X429="",0,CEILING((X429/$H429),1)*$H429),"")</f>
        <v>73.92</v>
      </c>
      <c r="Z429" s="36">
        <f t="shared" ref="Z429:Z435" si="48">IFERROR(IF(Y429=0,"",ROUNDUP(Y429/H429,0)*0.01196),"")</f>
        <v>0.16744000000000001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74.640151515151501</v>
      </c>
      <c r="BN429" s="64">
        <f t="shared" ref="BN429:BN440" si="50">IFERROR(Y429*I429/H429,"0")</f>
        <v>78.819999999999993</v>
      </c>
      <c r="BO429" s="64">
        <f t="shared" ref="BO429:BO440" si="51">IFERROR(1/J429*(X429/H429),"0")</f>
        <v>0.12747668997668998</v>
      </c>
      <c r="BP429" s="64">
        <f t="shared" ref="BP429:BP440" si="52">IFERROR(1/J429*(Y429/H429),"0")</f>
        <v>0.13461538461538464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120</v>
      </c>
      <c r="Y433" s="554">
        <f t="shared" si="47"/>
        <v>121.44000000000001</v>
      </c>
      <c r="Z433" s="36">
        <f t="shared" si="48"/>
        <v>0.27507999999999999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127.95454545454545</v>
      </c>
      <c r="BN433" s="64">
        <f t="shared" si="50"/>
        <v>129.49</v>
      </c>
      <c r="BO433" s="64">
        <f t="shared" si="51"/>
        <v>0.21853146853146854</v>
      </c>
      <c r="BP433" s="64">
        <f t="shared" si="52"/>
        <v>0.22115384615384617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120</v>
      </c>
      <c r="Y435" s="554">
        <f t="shared" si="47"/>
        <v>121.44000000000001</v>
      </c>
      <c r="Z435" s="36">
        <f t="shared" si="48"/>
        <v>0.27507999999999999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127.95454545454545</v>
      </c>
      <c r="BN435" s="64">
        <f t="shared" si="50"/>
        <v>129.49</v>
      </c>
      <c r="BO435" s="64">
        <f t="shared" si="51"/>
        <v>0.21853146853146854</v>
      </c>
      <c r="BP435" s="64">
        <f t="shared" si="52"/>
        <v>0.22115384615384617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102</v>
      </c>
      <c r="Y437" s="554">
        <f t="shared" si="47"/>
        <v>105.6</v>
      </c>
      <c r="Z437" s="36">
        <f>IFERROR(IF(Y437=0,"",ROUNDUP(Y437/H437,0)*0.00902),"")</f>
        <v>0.19844000000000001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146.83750000000001</v>
      </c>
      <c r="BN437" s="64">
        <f t="shared" si="50"/>
        <v>152.02000000000001</v>
      </c>
      <c r="BO437" s="64">
        <f t="shared" si="51"/>
        <v>0.16098484848484848</v>
      </c>
      <c r="BP437" s="64">
        <f t="shared" si="52"/>
        <v>0.16666666666666669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108</v>
      </c>
      <c r="Y440" s="554">
        <f t="shared" si="47"/>
        <v>110.39999999999999</v>
      </c>
      <c r="Z440" s="36">
        <f>IFERROR(IF(Y440=0,"",ROUNDUP(Y440/H440,0)*0.00902),"")</f>
        <v>0.20746000000000001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155.47499999999999</v>
      </c>
      <c r="BN440" s="64">
        <f t="shared" si="50"/>
        <v>158.92999999999998</v>
      </c>
      <c r="BO440" s="64">
        <f t="shared" si="51"/>
        <v>0.17045454545454547</v>
      </c>
      <c r="BP440" s="64">
        <f t="shared" si="52"/>
        <v>0.17424242424242425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102.46212121212122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105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1.1234999999999999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520</v>
      </c>
      <c r="Y442" s="555">
        <f>IFERROR(SUM(Y429:Y440),"0")</f>
        <v>532.79999999999995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120</v>
      </c>
      <c r="Y444" s="554">
        <f>IFERROR(IF(X444="",0,CEILING((X444/$H444),1)*$H444),"")</f>
        <v>121.44000000000001</v>
      </c>
      <c r="Z444" s="36">
        <f>IFERROR(IF(Y444=0,"",ROUNDUP(Y444/H444,0)*0.01196),"")</f>
        <v>0.27507999999999999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127.95454545454545</v>
      </c>
      <c r="BN444" s="64">
        <f>IFERROR(Y444*I444/H444,"0")</f>
        <v>129.49</v>
      </c>
      <c r="BO444" s="64">
        <f>IFERROR(1/J444*(X444/H444),"0")</f>
        <v>0.21853146853146854</v>
      </c>
      <c r="BP444" s="64">
        <f>IFERROR(1/J444*(Y444/H444),"0")</f>
        <v>0.22115384615384617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22.727272727272727</v>
      </c>
      <c r="Y447" s="555">
        <f>IFERROR(Y444/H444,"0")+IFERROR(Y445/H445,"0")+IFERROR(Y446/H446,"0")</f>
        <v>23</v>
      </c>
      <c r="Z447" s="555">
        <f>IFERROR(IF(Z444="",0,Z444),"0")+IFERROR(IF(Z445="",0,Z445),"0")+IFERROR(IF(Z446="",0,Z446),"0")</f>
        <v>0.27507999999999999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120</v>
      </c>
      <c r="Y448" s="555">
        <f>IFERROR(SUM(Y444:Y446),"0")</f>
        <v>121.44000000000001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40</v>
      </c>
      <c r="Y450" s="554">
        <f t="shared" ref="Y450:Y455" si="53">IFERROR(IF(X450="",0,CEILING((X450/$H450),1)*$H450),"")</f>
        <v>42.24</v>
      </c>
      <c r="Z450" s="36">
        <f>IFERROR(IF(Y450=0,"",ROUNDUP(Y450/H450,0)*0.01196),"")</f>
        <v>9.5680000000000001E-2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42.651515151515149</v>
      </c>
      <c r="BN450" s="64">
        <f t="shared" ref="BN450:BN455" si="55">IFERROR(Y450*I450/H450,"0")</f>
        <v>45.04</v>
      </c>
      <c r="BO450" s="64">
        <f t="shared" ref="BO450:BO455" si="56">IFERROR(1/J450*(X450/H450),"0")</f>
        <v>7.2843822843822847E-2</v>
      </c>
      <c r="BP450" s="64">
        <f t="shared" ref="BP450:BP455" si="57">IFERROR(1/J450*(Y450/H450),"0")</f>
        <v>7.6923076923076927E-2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60</v>
      </c>
      <c r="Y451" s="554">
        <f t="shared" si="53"/>
        <v>63.36</v>
      </c>
      <c r="Z451" s="36">
        <f>IFERROR(IF(Y451=0,"",ROUNDUP(Y451/H451,0)*0.01196),"")</f>
        <v>0.14352000000000001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63.977272727272727</v>
      </c>
      <c r="BN451" s="64">
        <f t="shared" si="55"/>
        <v>67.559999999999988</v>
      </c>
      <c r="BO451" s="64">
        <f t="shared" si="56"/>
        <v>0.10926573426573427</v>
      </c>
      <c r="BP451" s="64">
        <f t="shared" si="57"/>
        <v>0.11538461538461539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70</v>
      </c>
      <c r="Y452" s="554">
        <f t="shared" si="53"/>
        <v>73.92</v>
      </c>
      <c r="Z452" s="36">
        <f>IFERROR(IF(Y452=0,"",ROUNDUP(Y452/H452,0)*0.01196),"")</f>
        <v>0.16744000000000001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74.640151515151501</v>
      </c>
      <c r="BN452" s="64">
        <f t="shared" si="55"/>
        <v>78.819999999999993</v>
      </c>
      <c r="BO452" s="64">
        <f t="shared" si="56"/>
        <v>0.12747668997668998</v>
      </c>
      <c r="BP452" s="64">
        <f t="shared" si="57"/>
        <v>0.13461538461538464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42</v>
      </c>
      <c r="Y453" s="554">
        <f t="shared" si="53"/>
        <v>43.199999999999996</v>
      </c>
      <c r="Z453" s="36">
        <f>IFERROR(IF(Y453=0,"",ROUNDUP(Y453/H453,0)*0.00902),"")</f>
        <v>8.1180000000000002E-2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60.462500000000006</v>
      </c>
      <c r="BN453" s="64">
        <f t="shared" si="55"/>
        <v>62.190000000000005</v>
      </c>
      <c r="BO453" s="64">
        <f t="shared" si="56"/>
        <v>6.6287878787878785E-2</v>
      </c>
      <c r="BP453" s="64">
        <f t="shared" si="57"/>
        <v>6.8181818181818177E-2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18</v>
      </c>
      <c r="Y454" s="554">
        <f t="shared" si="53"/>
        <v>19.2</v>
      </c>
      <c r="Z454" s="36">
        <f>IFERROR(IF(Y454=0,"",ROUNDUP(Y454/H454,0)*0.00902),"")</f>
        <v>3.6080000000000001E-2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25.012500000000003</v>
      </c>
      <c r="BN454" s="64">
        <f t="shared" si="55"/>
        <v>26.68</v>
      </c>
      <c r="BO454" s="64">
        <f t="shared" si="56"/>
        <v>2.8409090909090912E-2</v>
      </c>
      <c r="BP454" s="64">
        <f t="shared" si="57"/>
        <v>3.0303030303030304E-2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57.196969696969695</v>
      </c>
      <c r="Y456" s="555">
        <f>IFERROR(Y450/H450,"0")+IFERROR(Y451/H451,"0")+IFERROR(Y452/H452,"0")+IFERROR(Y453/H453,"0")+IFERROR(Y454/H454,"0")+IFERROR(Y455/H455,"0")</f>
        <v>60</v>
      </c>
      <c r="Z456" s="555">
        <f>IFERROR(IF(Z450="",0,Z450),"0")+IFERROR(IF(Z451="",0,Z451),"0")+IFERROR(IF(Z452="",0,Z452),"0")+IFERROR(IF(Z453="",0,Z453),"0")+IFERROR(IF(Z454="",0,Z454),"0")+IFERROR(IF(Z455="",0,Z455),"0")</f>
        <v>0.64116000000000006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290</v>
      </c>
      <c r="Y457" s="555">
        <f>IFERROR(SUM(Y450:Y455),"0")</f>
        <v>304.31999999999994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1000</v>
      </c>
      <c r="Y482" s="554">
        <f>IFERROR(IF(X482="",0,CEILING((X482/$H482),1)*$H482),"")</f>
        <v>1008</v>
      </c>
      <c r="Z482" s="36">
        <f>IFERROR(IF(Y482=0,"",ROUNDUP(Y482/H482,0)*0.01898),"")</f>
        <v>2.1257600000000001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1054.8888888888889</v>
      </c>
      <c r="BN482" s="64">
        <f>IFERROR(Y482*I482/H482,"0")</f>
        <v>1063.328</v>
      </c>
      <c r="BO482" s="64">
        <f>IFERROR(1/J482*(X482/H482),"0")</f>
        <v>1.7361111111111112</v>
      </c>
      <c r="BP482" s="64">
        <f>IFERROR(1/J482*(Y482/H482),"0")</f>
        <v>1.75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111.11111111111111</v>
      </c>
      <c r="Y483" s="555">
        <f>IFERROR(Y482/H482,"0")</f>
        <v>112</v>
      </c>
      <c r="Z483" s="555">
        <f>IFERROR(IF(Z482="",0,Z482),"0")</f>
        <v>2.1257600000000001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1000</v>
      </c>
      <c r="Y484" s="555">
        <f>IFERROR(SUM(Y482:Y482),"0")</f>
        <v>1008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17461.900000000001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17660.150000000001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18479.099063321733</v>
      </c>
      <c r="Y496" s="555">
        <f>IFERROR(SUM(BN22:BN492),"0")</f>
        <v>18691.730000000007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30</v>
      </c>
      <c r="Y497" s="38">
        <f>ROUNDUP(SUM(BP22:BP492),0)</f>
        <v>30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19229.099063321733</v>
      </c>
      <c r="Y498" s="555">
        <f>GrossWeightTotalR+PalletQtyTotalR*25</f>
        <v>19441.730000000007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3070.6557207160658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3103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33.812930000000001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371.20000000000005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1029.3000000000002</v>
      </c>
      <c r="E505" s="46">
        <f>IFERROR(Y85*1,"0")+IFERROR(Y86*1,"0")+IFERROR(Y87*1,"0")+IFERROR(Y88*1,"0")+IFERROR(Y92*1,"0")+IFERROR(Y93*1,"0")+IFERROR(Y94*1,"0")+IFERROR(Y95*1,"0")</f>
        <v>1189.8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1071</v>
      </c>
      <c r="G505" s="46">
        <f>IFERROR(Y127*1,"0")+IFERROR(Y128*1,"0")+IFERROR(Y132*1,"0")+IFERROR(Y133*1,"0")+IFERROR(Y137*1,"0")+IFERROR(Y138*1,"0")</f>
        <v>110.80000000000001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506.94000000000005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1551.6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144.09999999999997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160.80000000000001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636.15000000000009</v>
      </c>
      <c r="R505" s="46">
        <f>IFERROR(Y342*1,"0")+IFERROR(Y343*1,"0")+IFERROR(Y344*1,"0")</f>
        <v>770.7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7952</v>
      </c>
      <c r="T505" s="46">
        <f>IFERROR(Y375*1,"0")+IFERROR(Y376*1,"0")+IFERROR(Y380*1,"0")+IFERROR(Y381*1,"0")+IFERROR(Y385*1,"0")+IFERROR(Y386*1,"0")+IFERROR(Y387*1,"0")</f>
        <v>66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98.7</v>
      </c>
      <c r="V505" s="46">
        <f>IFERROR(Y411*1,"0")+IFERROR(Y415*1,"0")+IFERROR(Y416*1,"0")+IFERROR(Y417*1,"0")+IFERROR(Y418*1,"0")</f>
        <v>10.5</v>
      </c>
      <c r="W505" s="46">
        <f>IFERROR(Y423*1,"0")</f>
        <v>24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958.56000000000006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1008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2025-12-26T10:31:55Z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