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Симф КИ\"/>
    </mc:Choice>
  </mc:AlternateContent>
  <xr:revisionPtr revIDLastSave="0" documentId="13_ncr:1_{83E7228C-9C1C-4FAB-87AF-7B1A216177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6" i="1" l="1"/>
  <c r="AJ41" i="1"/>
  <c r="AJ56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7" i="1"/>
  <c r="AH8" i="1"/>
  <c r="AH9" i="1"/>
  <c r="AL9" i="1" s="1"/>
  <c r="AH10" i="1"/>
  <c r="AH11" i="1"/>
  <c r="AH12" i="1"/>
  <c r="AH13" i="1"/>
  <c r="AL13" i="1" s="1"/>
  <c r="AH14" i="1"/>
  <c r="AH15" i="1"/>
  <c r="AL15" i="1" s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6" i="1"/>
  <c r="AH37" i="1"/>
  <c r="AL37" i="1" s="1"/>
  <c r="AH38" i="1"/>
  <c r="AH39" i="1"/>
  <c r="AH40" i="1"/>
  <c r="AH41" i="1"/>
  <c r="AL41" i="1" s="1"/>
  <c r="AH42" i="1"/>
  <c r="AH43" i="1"/>
  <c r="AL43" i="1" s="1"/>
  <c r="AH44" i="1"/>
  <c r="AH45" i="1"/>
  <c r="AL45" i="1" s="1"/>
  <c r="AH46" i="1"/>
  <c r="AH47" i="1"/>
  <c r="AL47" i="1" s="1"/>
  <c r="AH48" i="1"/>
  <c r="AH49" i="1"/>
  <c r="AL49" i="1" s="1"/>
  <c r="AH50" i="1"/>
  <c r="AH51" i="1"/>
  <c r="AL51" i="1" s="1"/>
  <c r="AH52" i="1"/>
  <c r="AH53" i="1"/>
  <c r="AL53" i="1" s="1"/>
  <c r="AH54" i="1"/>
  <c r="AH55" i="1"/>
  <c r="AL55" i="1" s="1"/>
  <c r="AH56" i="1"/>
  <c r="AH57" i="1"/>
  <c r="AL57" i="1" s="1"/>
  <c r="AH58" i="1"/>
  <c r="AH59" i="1"/>
  <c r="AL59" i="1" s="1"/>
  <c r="AH60" i="1"/>
  <c r="AH61" i="1"/>
  <c r="AL61" i="1" s="1"/>
  <c r="AH62" i="1"/>
  <c r="AH63" i="1"/>
  <c r="AL63" i="1" s="1"/>
  <c r="AH64" i="1"/>
  <c r="AH65" i="1"/>
  <c r="AL65" i="1" s="1"/>
  <c r="AH66" i="1"/>
  <c r="AH67" i="1"/>
  <c r="AL67" i="1" s="1"/>
  <c r="AH68" i="1"/>
  <c r="AH69" i="1"/>
  <c r="AL69" i="1" s="1"/>
  <c r="AH70" i="1"/>
  <c r="AH71" i="1"/>
  <c r="AL71" i="1" s="1"/>
  <c r="AH72" i="1"/>
  <c r="AH73" i="1"/>
  <c r="AL73" i="1" s="1"/>
  <c r="AH74" i="1"/>
  <c r="AH75" i="1"/>
  <c r="AL75" i="1" s="1"/>
  <c r="AH76" i="1"/>
  <c r="AH77" i="1"/>
  <c r="AL77" i="1" s="1"/>
  <c r="AH78" i="1"/>
  <c r="AH79" i="1"/>
  <c r="AL79" i="1" s="1"/>
  <c r="AH80" i="1"/>
  <c r="AH81" i="1"/>
  <c r="AL81" i="1" s="1"/>
  <c r="AH82" i="1"/>
  <c r="AH83" i="1"/>
  <c r="AL83" i="1" s="1"/>
  <c r="AH84" i="1"/>
  <c r="AH85" i="1"/>
  <c r="AL85" i="1" s="1"/>
  <c r="AH86" i="1"/>
  <c r="AH87" i="1"/>
  <c r="AL87" i="1" s="1"/>
  <c r="AH88" i="1"/>
  <c r="AH89" i="1"/>
  <c r="AL89" i="1" s="1"/>
  <c r="AH90" i="1"/>
  <c r="AH91" i="1"/>
  <c r="AL91" i="1" s="1"/>
  <c r="AH92" i="1"/>
  <c r="AH93" i="1"/>
  <c r="AL93" i="1" s="1"/>
  <c r="AH94" i="1"/>
  <c r="AH95" i="1"/>
  <c r="AL95" i="1" s="1"/>
  <c r="AH98" i="1"/>
  <c r="AH99" i="1"/>
  <c r="AL99" i="1" s="1"/>
  <c r="AH100" i="1"/>
  <c r="AH101" i="1"/>
  <c r="AL101" i="1" s="1"/>
  <c r="AH103" i="1"/>
  <c r="AH104" i="1"/>
  <c r="AH105" i="1"/>
  <c r="AH106" i="1"/>
  <c r="AH107" i="1"/>
  <c r="AH108" i="1"/>
  <c r="AH109" i="1"/>
  <c r="AH111" i="1"/>
  <c r="AL111" i="1" s="1"/>
  <c r="AH112" i="1"/>
  <c r="AH7" i="1"/>
  <c r="AL7" i="1" s="1"/>
  <c r="AG8" i="1"/>
  <c r="AG9" i="1"/>
  <c r="AG10" i="1"/>
  <c r="AG11" i="1"/>
  <c r="AG12" i="1"/>
  <c r="AG13" i="1"/>
  <c r="AG14" i="1"/>
  <c r="AG15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7" i="1"/>
  <c r="AF8" i="1"/>
  <c r="AF9" i="1"/>
  <c r="AF10" i="1"/>
  <c r="AF11" i="1"/>
  <c r="AF12" i="1"/>
  <c r="AF13" i="1"/>
  <c r="AF14" i="1"/>
  <c r="AF15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7" i="1"/>
  <c r="AE8" i="1"/>
  <c r="AE9" i="1"/>
  <c r="AE10" i="1"/>
  <c r="AE11" i="1"/>
  <c r="AE12" i="1"/>
  <c r="AE13" i="1"/>
  <c r="AE14" i="1"/>
  <c r="AE15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7" i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7" i="1"/>
  <c r="Z15" i="1"/>
  <c r="Z19" i="1"/>
  <c r="Z27" i="1"/>
  <c r="Z31" i="1"/>
  <c r="Z35" i="1"/>
  <c r="Z43" i="1"/>
  <c r="Z47" i="1"/>
  <c r="Z51" i="1"/>
  <c r="Z55" i="1"/>
  <c r="Z59" i="1"/>
  <c r="Z63" i="1"/>
  <c r="Z67" i="1"/>
  <c r="Z71" i="1"/>
  <c r="Z75" i="1"/>
  <c r="Z79" i="1"/>
  <c r="Z83" i="1"/>
  <c r="Z87" i="1"/>
  <c r="Z91" i="1"/>
  <c r="Z95" i="1"/>
  <c r="Z99" i="1"/>
  <c r="Z103" i="1"/>
  <c r="Z107" i="1"/>
  <c r="Z111" i="1"/>
  <c r="Y41" i="1"/>
  <c r="W8" i="1"/>
  <c r="Z8" i="1" s="1"/>
  <c r="W9" i="1"/>
  <c r="Z9" i="1" s="1"/>
  <c r="W13" i="1"/>
  <c r="Z13" i="1" s="1"/>
  <c r="W14" i="1"/>
  <c r="Z14" i="1" s="1"/>
  <c r="W15" i="1"/>
  <c r="W16" i="1"/>
  <c r="W18" i="1"/>
  <c r="Z18" i="1" s="1"/>
  <c r="W19" i="1"/>
  <c r="W20" i="1"/>
  <c r="Z20" i="1" s="1"/>
  <c r="W21" i="1"/>
  <c r="Z21" i="1" s="1"/>
  <c r="W22" i="1"/>
  <c r="Z22" i="1" s="1"/>
  <c r="W24" i="1"/>
  <c r="Z24" i="1" s="1"/>
  <c r="W25" i="1"/>
  <c r="Z25" i="1" s="1"/>
  <c r="W26" i="1"/>
  <c r="Z26" i="1" s="1"/>
  <c r="W27" i="1"/>
  <c r="W28" i="1"/>
  <c r="Z28" i="1" s="1"/>
  <c r="W29" i="1"/>
  <c r="Z29" i="1" s="1"/>
  <c r="W30" i="1"/>
  <c r="Z30" i="1" s="1"/>
  <c r="W31" i="1"/>
  <c r="W32" i="1"/>
  <c r="Z32" i="1" s="1"/>
  <c r="W33" i="1"/>
  <c r="Z33" i="1" s="1"/>
  <c r="W34" i="1"/>
  <c r="Z34" i="1" s="1"/>
  <c r="W35" i="1"/>
  <c r="AL35" i="1" s="1"/>
  <c r="W36" i="1"/>
  <c r="Z36" i="1" s="1"/>
  <c r="W37" i="1"/>
  <c r="Z37" i="1" s="1"/>
  <c r="W38" i="1"/>
  <c r="Z38" i="1" s="1"/>
  <c r="W40" i="1"/>
  <c r="Z40" i="1" s="1"/>
  <c r="W41" i="1"/>
  <c r="Z41" i="1" s="1"/>
  <c r="W42" i="1"/>
  <c r="Z42" i="1" s="1"/>
  <c r="W43" i="1"/>
  <c r="W44" i="1"/>
  <c r="Z44" i="1" s="1"/>
  <c r="W45" i="1"/>
  <c r="Z45" i="1" s="1"/>
  <c r="W46" i="1"/>
  <c r="Z46" i="1" s="1"/>
  <c r="W47" i="1"/>
  <c r="W48" i="1"/>
  <c r="Z48" i="1" s="1"/>
  <c r="W49" i="1"/>
  <c r="Z49" i="1" s="1"/>
  <c r="W50" i="1"/>
  <c r="Z50" i="1" s="1"/>
  <c r="W51" i="1"/>
  <c r="W52" i="1"/>
  <c r="Z52" i="1" s="1"/>
  <c r="W53" i="1"/>
  <c r="Z53" i="1" s="1"/>
  <c r="W54" i="1"/>
  <c r="Z54" i="1" s="1"/>
  <c r="W55" i="1"/>
  <c r="W56" i="1"/>
  <c r="Z56" i="1" s="1"/>
  <c r="W57" i="1"/>
  <c r="Z57" i="1" s="1"/>
  <c r="W58" i="1"/>
  <c r="Z58" i="1" s="1"/>
  <c r="W59" i="1"/>
  <c r="W60" i="1"/>
  <c r="Z60" i="1" s="1"/>
  <c r="W61" i="1"/>
  <c r="Z61" i="1" s="1"/>
  <c r="W62" i="1"/>
  <c r="Z62" i="1" s="1"/>
  <c r="W63" i="1"/>
  <c r="W64" i="1"/>
  <c r="Z64" i="1" s="1"/>
  <c r="W65" i="1"/>
  <c r="Z65" i="1" s="1"/>
  <c r="W67" i="1"/>
  <c r="W68" i="1"/>
  <c r="Z68" i="1" s="1"/>
  <c r="W69" i="1"/>
  <c r="Z69" i="1" s="1"/>
  <c r="W70" i="1"/>
  <c r="Z70" i="1" s="1"/>
  <c r="W71" i="1"/>
  <c r="W72" i="1"/>
  <c r="Z72" i="1" s="1"/>
  <c r="W73" i="1"/>
  <c r="Z73" i="1" s="1"/>
  <c r="W74" i="1"/>
  <c r="Z74" i="1" s="1"/>
  <c r="W75" i="1"/>
  <c r="W76" i="1"/>
  <c r="Z76" i="1" s="1"/>
  <c r="W77" i="1"/>
  <c r="Z77" i="1" s="1"/>
  <c r="W78" i="1"/>
  <c r="Z78" i="1" s="1"/>
  <c r="W79" i="1"/>
  <c r="W80" i="1"/>
  <c r="Z80" i="1" s="1"/>
  <c r="W81" i="1"/>
  <c r="Z81" i="1" s="1"/>
  <c r="W82" i="1"/>
  <c r="Z82" i="1" s="1"/>
  <c r="W83" i="1"/>
  <c r="W84" i="1"/>
  <c r="Z84" i="1" s="1"/>
  <c r="W85" i="1"/>
  <c r="Z85" i="1" s="1"/>
  <c r="W86" i="1"/>
  <c r="Z86" i="1" s="1"/>
  <c r="W87" i="1"/>
  <c r="W88" i="1"/>
  <c r="Z88" i="1" s="1"/>
  <c r="W89" i="1"/>
  <c r="Z89" i="1" s="1"/>
  <c r="W90" i="1"/>
  <c r="Z90" i="1" s="1"/>
  <c r="W91" i="1"/>
  <c r="W92" i="1"/>
  <c r="Z92" i="1" s="1"/>
  <c r="W93" i="1"/>
  <c r="Z93" i="1" s="1"/>
  <c r="W94" i="1"/>
  <c r="Z94" i="1" s="1"/>
  <c r="W95" i="1"/>
  <c r="W97" i="1"/>
  <c r="AL97" i="1" s="1"/>
  <c r="W98" i="1"/>
  <c r="Z98" i="1" s="1"/>
  <c r="W99" i="1"/>
  <c r="W101" i="1"/>
  <c r="Z101" i="1" s="1"/>
  <c r="W102" i="1"/>
  <c r="W103" i="1"/>
  <c r="W104" i="1"/>
  <c r="Z104" i="1" s="1"/>
  <c r="W105" i="1"/>
  <c r="Z105" i="1" s="1"/>
  <c r="W106" i="1"/>
  <c r="Z106" i="1" s="1"/>
  <c r="W107" i="1"/>
  <c r="W108" i="1"/>
  <c r="Z108" i="1" s="1"/>
  <c r="W109" i="1"/>
  <c r="Z109" i="1" s="1"/>
  <c r="W110" i="1"/>
  <c r="W111" i="1"/>
  <c r="W112" i="1"/>
  <c r="Z112" i="1" s="1"/>
  <c r="W7" i="1"/>
  <c r="Z7" i="1" s="1"/>
  <c r="AC10" i="1"/>
  <c r="W10" i="1" s="1"/>
  <c r="Z10" i="1" s="1"/>
  <c r="AC11" i="1"/>
  <c r="W11" i="1" s="1"/>
  <c r="Z11" i="1" s="1"/>
  <c r="AC12" i="1"/>
  <c r="W12" i="1" s="1"/>
  <c r="Z12" i="1" s="1"/>
  <c r="AC17" i="1"/>
  <c r="W17" i="1" s="1"/>
  <c r="Z17" i="1" s="1"/>
  <c r="AC23" i="1"/>
  <c r="W23" i="1" s="1"/>
  <c r="Z23" i="1" s="1"/>
  <c r="AC38" i="1"/>
  <c r="AC39" i="1"/>
  <c r="W39" i="1" s="1"/>
  <c r="Z39" i="1" s="1"/>
  <c r="AC58" i="1"/>
  <c r="AC66" i="1"/>
  <c r="W66" i="1" s="1"/>
  <c r="Z66" i="1" s="1"/>
  <c r="AC82" i="1"/>
  <c r="AC96" i="1"/>
  <c r="W96" i="1" s="1"/>
  <c r="AC98" i="1"/>
  <c r="AC100" i="1"/>
  <c r="W100" i="1" s="1"/>
  <c r="Z100" i="1" s="1"/>
  <c r="AC102" i="1"/>
  <c r="N8" i="1"/>
  <c r="N9" i="1"/>
  <c r="N10" i="1"/>
  <c r="N11" i="1"/>
  <c r="N12" i="1"/>
  <c r="N13" i="1"/>
  <c r="N14" i="1"/>
  <c r="N15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7" i="1"/>
  <c r="M8" i="1"/>
  <c r="M9" i="1"/>
  <c r="Y9" i="1" s="1"/>
  <c r="M10" i="1"/>
  <c r="M11" i="1"/>
  <c r="M12" i="1"/>
  <c r="M13" i="1"/>
  <c r="M14" i="1"/>
  <c r="M15" i="1"/>
  <c r="M17" i="1"/>
  <c r="M18" i="1"/>
  <c r="M19" i="1"/>
  <c r="M20" i="1"/>
  <c r="Y20" i="1" s="1"/>
  <c r="M21" i="1"/>
  <c r="M22" i="1"/>
  <c r="M23" i="1"/>
  <c r="M24" i="1"/>
  <c r="M25" i="1"/>
  <c r="M26" i="1"/>
  <c r="M27" i="1"/>
  <c r="M28" i="1"/>
  <c r="M29" i="1"/>
  <c r="M30" i="1"/>
  <c r="Y30" i="1" s="1"/>
  <c r="M31" i="1"/>
  <c r="M32" i="1"/>
  <c r="M33" i="1"/>
  <c r="M34" i="1"/>
  <c r="M35" i="1"/>
  <c r="M36" i="1"/>
  <c r="Y36" i="1" s="1"/>
  <c r="M37" i="1"/>
  <c r="M38" i="1"/>
  <c r="M39" i="1"/>
  <c r="M40" i="1"/>
  <c r="M42" i="1"/>
  <c r="M43" i="1"/>
  <c r="M44" i="1"/>
  <c r="M45" i="1"/>
  <c r="M46" i="1"/>
  <c r="M47" i="1"/>
  <c r="M48" i="1"/>
  <c r="M49" i="1"/>
  <c r="M50" i="1"/>
  <c r="M51" i="1"/>
  <c r="M52" i="1"/>
  <c r="M53" i="1"/>
  <c r="Y53" i="1" s="1"/>
  <c r="M54" i="1"/>
  <c r="M55" i="1"/>
  <c r="M57" i="1"/>
  <c r="M58" i="1"/>
  <c r="Y58" i="1" s="1"/>
  <c r="M59" i="1"/>
  <c r="M60" i="1"/>
  <c r="M61" i="1"/>
  <c r="M62" i="1"/>
  <c r="M63" i="1"/>
  <c r="M64" i="1"/>
  <c r="Y64" i="1" s="1"/>
  <c r="M65" i="1"/>
  <c r="M66" i="1"/>
  <c r="Y66" i="1" s="1"/>
  <c r="M67" i="1"/>
  <c r="M68" i="1"/>
  <c r="M69" i="1"/>
  <c r="M70" i="1"/>
  <c r="M71" i="1"/>
  <c r="M72" i="1"/>
  <c r="Y72" i="1" s="1"/>
  <c r="M73" i="1"/>
  <c r="M74" i="1"/>
  <c r="Y74" i="1" s="1"/>
  <c r="M75" i="1"/>
  <c r="M76" i="1"/>
  <c r="M77" i="1"/>
  <c r="M78" i="1"/>
  <c r="M79" i="1"/>
  <c r="M80" i="1"/>
  <c r="Y80" i="1" s="1"/>
  <c r="M81" i="1"/>
  <c r="M82" i="1"/>
  <c r="Y82" i="1" s="1"/>
  <c r="M83" i="1"/>
  <c r="M84" i="1"/>
  <c r="M85" i="1"/>
  <c r="M86" i="1"/>
  <c r="M87" i="1"/>
  <c r="M88" i="1"/>
  <c r="Y88" i="1" s="1"/>
  <c r="M89" i="1"/>
  <c r="M90" i="1"/>
  <c r="Y90" i="1" s="1"/>
  <c r="M91" i="1"/>
  <c r="M92" i="1"/>
  <c r="M93" i="1"/>
  <c r="M94" i="1"/>
  <c r="M95" i="1"/>
  <c r="M96" i="1"/>
  <c r="Y96" i="1" s="1"/>
  <c r="M97" i="1"/>
  <c r="M98" i="1"/>
  <c r="Y98" i="1" s="1"/>
  <c r="M99" i="1"/>
  <c r="M100" i="1"/>
  <c r="M101" i="1"/>
  <c r="M102" i="1"/>
  <c r="M103" i="1"/>
  <c r="M104" i="1"/>
  <c r="Y104" i="1" s="1"/>
  <c r="M105" i="1"/>
  <c r="M106" i="1"/>
  <c r="Y106" i="1" s="1"/>
  <c r="M107" i="1"/>
  <c r="M108" i="1"/>
  <c r="M109" i="1"/>
  <c r="M110" i="1"/>
  <c r="M111" i="1"/>
  <c r="M112" i="1"/>
  <c r="Y112" i="1" s="1"/>
  <c r="M7" i="1"/>
  <c r="L8" i="1"/>
  <c r="Y8" i="1" s="1"/>
  <c r="L9" i="1"/>
  <c r="L10" i="1"/>
  <c r="L11" i="1"/>
  <c r="L12" i="1"/>
  <c r="Y12" i="1" s="1"/>
  <c r="L13" i="1"/>
  <c r="L14" i="1"/>
  <c r="Y14" i="1" s="1"/>
  <c r="L15" i="1"/>
  <c r="L17" i="1"/>
  <c r="Y17" i="1" s="1"/>
  <c r="L18" i="1"/>
  <c r="L19" i="1"/>
  <c r="L20" i="1"/>
  <c r="L21" i="1"/>
  <c r="Y21" i="1" s="1"/>
  <c r="L22" i="1"/>
  <c r="Y22" i="1" s="1"/>
  <c r="L23" i="1"/>
  <c r="L24" i="1"/>
  <c r="L25" i="1"/>
  <c r="Y25" i="1" s="1"/>
  <c r="L26" i="1"/>
  <c r="L27" i="1"/>
  <c r="L28" i="1"/>
  <c r="Y28" i="1" s="1"/>
  <c r="L29" i="1"/>
  <c r="Y29" i="1" s="1"/>
  <c r="L30" i="1"/>
  <c r="L31" i="1"/>
  <c r="L32" i="1"/>
  <c r="L33" i="1"/>
  <c r="Y33" i="1" s="1"/>
  <c r="L34" i="1"/>
  <c r="L35" i="1"/>
  <c r="L36" i="1"/>
  <c r="L37" i="1"/>
  <c r="Y37" i="1" s="1"/>
  <c r="L38" i="1"/>
  <c r="Y38" i="1" s="1"/>
  <c r="L39" i="1"/>
  <c r="L40" i="1"/>
  <c r="L42" i="1"/>
  <c r="Y42" i="1" s="1"/>
  <c r="L43" i="1"/>
  <c r="L44" i="1"/>
  <c r="Y44" i="1" s="1"/>
  <c r="L45" i="1"/>
  <c r="L46" i="1"/>
  <c r="Y46" i="1" s="1"/>
  <c r="L47" i="1"/>
  <c r="L48" i="1"/>
  <c r="Y48" i="1" s="1"/>
  <c r="L49" i="1"/>
  <c r="Y49" i="1" s="1"/>
  <c r="L50" i="1"/>
  <c r="Y50" i="1" s="1"/>
  <c r="L51" i="1"/>
  <c r="L52" i="1"/>
  <c r="Y52" i="1" s="1"/>
  <c r="L53" i="1"/>
  <c r="L54" i="1"/>
  <c r="Y54" i="1" s="1"/>
  <c r="L55" i="1"/>
  <c r="L57" i="1"/>
  <c r="Y57" i="1" s="1"/>
  <c r="L58" i="1"/>
  <c r="L59" i="1"/>
  <c r="L60" i="1"/>
  <c r="Y60" i="1" s="1"/>
  <c r="L61" i="1"/>
  <c r="Y61" i="1" s="1"/>
  <c r="L62" i="1"/>
  <c r="Y62" i="1" s="1"/>
  <c r="L63" i="1"/>
  <c r="L64" i="1"/>
  <c r="L65" i="1"/>
  <c r="Y65" i="1" s="1"/>
  <c r="L66" i="1"/>
  <c r="L67" i="1"/>
  <c r="L68" i="1"/>
  <c r="Y68" i="1" s="1"/>
  <c r="L69" i="1"/>
  <c r="Y69" i="1" s="1"/>
  <c r="L70" i="1"/>
  <c r="Y70" i="1" s="1"/>
  <c r="L71" i="1"/>
  <c r="L72" i="1"/>
  <c r="L73" i="1"/>
  <c r="Y73" i="1" s="1"/>
  <c r="L74" i="1"/>
  <c r="L75" i="1"/>
  <c r="L76" i="1"/>
  <c r="Y76" i="1" s="1"/>
  <c r="L77" i="1"/>
  <c r="Y77" i="1" s="1"/>
  <c r="L78" i="1"/>
  <c r="Y78" i="1" s="1"/>
  <c r="L79" i="1"/>
  <c r="L80" i="1"/>
  <c r="L81" i="1"/>
  <c r="Y81" i="1" s="1"/>
  <c r="L82" i="1"/>
  <c r="L83" i="1"/>
  <c r="L84" i="1"/>
  <c r="Y84" i="1" s="1"/>
  <c r="L85" i="1"/>
  <c r="Y85" i="1" s="1"/>
  <c r="L86" i="1"/>
  <c r="Y86" i="1" s="1"/>
  <c r="L87" i="1"/>
  <c r="L88" i="1"/>
  <c r="L89" i="1"/>
  <c r="Y89" i="1" s="1"/>
  <c r="L90" i="1"/>
  <c r="L91" i="1"/>
  <c r="L92" i="1"/>
  <c r="Y92" i="1" s="1"/>
  <c r="L93" i="1"/>
  <c r="Y93" i="1" s="1"/>
  <c r="L94" i="1"/>
  <c r="Y94" i="1" s="1"/>
  <c r="L95" i="1"/>
  <c r="L96" i="1"/>
  <c r="L97" i="1"/>
  <c r="Y97" i="1" s="1"/>
  <c r="L98" i="1"/>
  <c r="L99" i="1"/>
  <c r="L100" i="1"/>
  <c r="L101" i="1"/>
  <c r="Y101" i="1" s="1"/>
  <c r="L102" i="1"/>
  <c r="Y102" i="1" s="1"/>
  <c r="L103" i="1"/>
  <c r="L104" i="1"/>
  <c r="L105" i="1"/>
  <c r="Y105" i="1" s="1"/>
  <c r="L106" i="1"/>
  <c r="L107" i="1"/>
  <c r="L108" i="1"/>
  <c r="Y108" i="1" s="1"/>
  <c r="L109" i="1"/>
  <c r="Y109" i="1" s="1"/>
  <c r="L110" i="1"/>
  <c r="Y110" i="1" s="1"/>
  <c r="L111" i="1"/>
  <c r="L112" i="1"/>
  <c r="L7" i="1"/>
  <c r="Y7" i="1" s="1"/>
  <c r="K16" i="1"/>
  <c r="K17" i="1"/>
  <c r="K19" i="1"/>
  <c r="K21" i="1"/>
  <c r="K23" i="1"/>
  <c r="K25" i="1"/>
  <c r="K27" i="1"/>
  <c r="K29" i="1"/>
  <c r="K31" i="1"/>
  <c r="K33" i="1"/>
  <c r="K35" i="1"/>
  <c r="K37" i="1"/>
  <c r="K39" i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1" i="1"/>
  <c r="K83" i="1"/>
  <c r="K85" i="1"/>
  <c r="K87" i="1"/>
  <c r="K89" i="1"/>
  <c r="K91" i="1"/>
  <c r="K93" i="1"/>
  <c r="K95" i="1"/>
  <c r="K97" i="1"/>
  <c r="K99" i="1"/>
  <c r="K101" i="1"/>
  <c r="K103" i="1"/>
  <c r="K105" i="1"/>
  <c r="K107" i="1"/>
  <c r="K109" i="1"/>
  <c r="K110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7" i="1"/>
  <c r="J18" i="1"/>
  <c r="K18" i="1" s="1"/>
  <c r="J19" i="1"/>
  <c r="J20" i="1"/>
  <c r="K20" i="1" s="1"/>
  <c r="J21" i="1"/>
  <c r="J22" i="1"/>
  <c r="K22" i="1" s="1"/>
  <c r="J23" i="1"/>
  <c r="J24" i="1"/>
  <c r="K24" i="1" s="1"/>
  <c r="J25" i="1"/>
  <c r="J26" i="1"/>
  <c r="K26" i="1" s="1"/>
  <c r="J27" i="1"/>
  <c r="J28" i="1"/>
  <c r="K28" i="1" s="1"/>
  <c r="J29" i="1"/>
  <c r="J30" i="1"/>
  <c r="K30" i="1" s="1"/>
  <c r="J31" i="1"/>
  <c r="J32" i="1"/>
  <c r="K32" i="1" s="1"/>
  <c r="J33" i="1"/>
  <c r="J34" i="1"/>
  <c r="K34" i="1" s="1"/>
  <c r="J35" i="1"/>
  <c r="J36" i="1"/>
  <c r="K36" i="1" s="1"/>
  <c r="J37" i="1"/>
  <c r="J38" i="1"/>
  <c r="K38" i="1" s="1"/>
  <c r="J39" i="1"/>
  <c r="J40" i="1"/>
  <c r="K40" i="1" s="1"/>
  <c r="J41" i="1"/>
  <c r="J42" i="1"/>
  <c r="K42" i="1" s="1"/>
  <c r="J43" i="1"/>
  <c r="J44" i="1"/>
  <c r="K44" i="1" s="1"/>
  <c r="J45" i="1"/>
  <c r="J46" i="1"/>
  <c r="K46" i="1" s="1"/>
  <c r="J47" i="1"/>
  <c r="J48" i="1"/>
  <c r="K48" i="1" s="1"/>
  <c r="J49" i="1"/>
  <c r="J50" i="1"/>
  <c r="K50" i="1" s="1"/>
  <c r="J51" i="1"/>
  <c r="J52" i="1"/>
  <c r="K52" i="1" s="1"/>
  <c r="J53" i="1"/>
  <c r="J54" i="1"/>
  <c r="K54" i="1" s="1"/>
  <c r="J55" i="1"/>
  <c r="J56" i="1"/>
  <c r="K56" i="1" s="1"/>
  <c r="J57" i="1"/>
  <c r="J58" i="1"/>
  <c r="K58" i="1" s="1"/>
  <c r="J59" i="1"/>
  <c r="J60" i="1"/>
  <c r="K60" i="1" s="1"/>
  <c r="J61" i="1"/>
  <c r="J62" i="1"/>
  <c r="K62" i="1" s="1"/>
  <c r="J63" i="1"/>
  <c r="J64" i="1"/>
  <c r="K64" i="1" s="1"/>
  <c r="J65" i="1"/>
  <c r="J66" i="1"/>
  <c r="K66" i="1" s="1"/>
  <c r="J67" i="1"/>
  <c r="J68" i="1"/>
  <c r="K68" i="1" s="1"/>
  <c r="J69" i="1"/>
  <c r="J70" i="1"/>
  <c r="K70" i="1" s="1"/>
  <c r="J71" i="1"/>
  <c r="J72" i="1"/>
  <c r="K72" i="1" s="1"/>
  <c r="J73" i="1"/>
  <c r="J74" i="1"/>
  <c r="K74" i="1" s="1"/>
  <c r="J75" i="1"/>
  <c r="J76" i="1"/>
  <c r="K76" i="1" s="1"/>
  <c r="J77" i="1"/>
  <c r="J78" i="1"/>
  <c r="K78" i="1" s="1"/>
  <c r="J79" i="1"/>
  <c r="J80" i="1"/>
  <c r="K80" i="1" s="1"/>
  <c r="J81" i="1"/>
  <c r="J82" i="1"/>
  <c r="K82" i="1" s="1"/>
  <c r="J83" i="1"/>
  <c r="J84" i="1"/>
  <c r="K84" i="1" s="1"/>
  <c r="J85" i="1"/>
  <c r="J86" i="1"/>
  <c r="K86" i="1" s="1"/>
  <c r="J87" i="1"/>
  <c r="J88" i="1"/>
  <c r="K88" i="1" s="1"/>
  <c r="J89" i="1"/>
  <c r="J90" i="1"/>
  <c r="K90" i="1" s="1"/>
  <c r="J91" i="1"/>
  <c r="J92" i="1"/>
  <c r="K92" i="1" s="1"/>
  <c r="J93" i="1"/>
  <c r="J94" i="1"/>
  <c r="K94" i="1" s="1"/>
  <c r="J95" i="1"/>
  <c r="J96" i="1"/>
  <c r="K96" i="1" s="1"/>
  <c r="J97" i="1"/>
  <c r="J98" i="1"/>
  <c r="K98" i="1" s="1"/>
  <c r="J99" i="1"/>
  <c r="J100" i="1"/>
  <c r="K100" i="1" s="1"/>
  <c r="J101" i="1"/>
  <c r="J102" i="1"/>
  <c r="K102" i="1" s="1"/>
  <c r="J103" i="1"/>
  <c r="J104" i="1"/>
  <c r="K104" i="1" s="1"/>
  <c r="J105" i="1"/>
  <c r="J106" i="1"/>
  <c r="K106" i="1" s="1"/>
  <c r="J107" i="1"/>
  <c r="J108" i="1"/>
  <c r="K108" i="1" s="1"/>
  <c r="J109" i="1"/>
  <c r="J111" i="1"/>
  <c r="K111" i="1" s="1"/>
  <c r="J112" i="1"/>
  <c r="K112" i="1" s="1"/>
  <c r="J7" i="1"/>
  <c r="K7" i="1" s="1"/>
  <c r="AL96" i="1" l="1"/>
  <c r="Z96" i="1"/>
  <c r="Y100" i="1"/>
  <c r="Y10" i="1"/>
  <c r="AL110" i="1"/>
  <c r="Z110" i="1"/>
  <c r="AL102" i="1"/>
  <c r="Z102" i="1"/>
  <c r="AL16" i="1"/>
  <c r="Z16" i="1"/>
  <c r="Y16" i="1"/>
  <c r="Y56" i="1"/>
  <c r="AL108" i="1"/>
  <c r="AL106" i="1"/>
  <c r="AL104" i="1"/>
  <c r="AL39" i="1"/>
  <c r="AL34" i="1"/>
  <c r="AL32" i="1"/>
  <c r="AL30" i="1"/>
  <c r="AL28" i="1"/>
  <c r="AL26" i="1"/>
  <c r="AL24" i="1"/>
  <c r="AL22" i="1"/>
  <c r="AL20" i="1"/>
  <c r="AL18" i="1"/>
  <c r="AL11" i="1"/>
  <c r="Y45" i="1"/>
  <c r="Y40" i="1"/>
  <c r="Y34" i="1"/>
  <c r="Y32" i="1"/>
  <c r="Y26" i="1"/>
  <c r="Y24" i="1"/>
  <c r="Y18" i="1"/>
  <c r="Y13" i="1"/>
  <c r="Z97" i="1"/>
  <c r="AL109" i="1"/>
  <c r="AL107" i="1"/>
  <c r="AL105" i="1"/>
  <c r="AL103" i="1"/>
  <c r="AL33" i="1"/>
  <c r="AL31" i="1"/>
  <c r="AL29" i="1"/>
  <c r="AL27" i="1"/>
  <c r="AL25" i="1"/>
  <c r="AL23" i="1"/>
  <c r="AL21" i="1"/>
  <c r="AL19" i="1"/>
  <c r="AL17" i="1"/>
  <c r="AL112" i="1"/>
  <c r="AL100" i="1"/>
  <c r="AL98" i="1"/>
  <c r="AL94" i="1"/>
  <c r="AL92" i="1"/>
  <c r="AL90" i="1"/>
  <c r="AL88" i="1"/>
  <c r="AL86" i="1"/>
  <c r="AL84" i="1"/>
  <c r="AL82" i="1"/>
  <c r="AL80" i="1"/>
  <c r="AL78" i="1"/>
  <c r="AL76" i="1"/>
  <c r="AL74" i="1"/>
  <c r="AL72" i="1"/>
  <c r="AL70" i="1"/>
  <c r="AL68" i="1"/>
  <c r="AL66" i="1"/>
  <c r="AL64" i="1"/>
  <c r="AL62" i="1"/>
  <c r="AL60" i="1"/>
  <c r="AL58" i="1"/>
  <c r="AL56" i="1"/>
  <c r="AL54" i="1"/>
  <c r="AL52" i="1"/>
  <c r="AL50" i="1"/>
  <c r="AL48" i="1"/>
  <c r="AL46" i="1"/>
  <c r="AL44" i="1"/>
  <c r="AL42" i="1"/>
  <c r="AL40" i="1"/>
  <c r="AL38" i="1"/>
  <c r="AL36" i="1"/>
  <c r="AL14" i="1"/>
  <c r="AL12" i="1"/>
  <c r="AL10" i="1"/>
  <c r="AL8" i="1"/>
  <c r="Y111" i="1"/>
  <c r="Y107" i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AB6" i="1"/>
  <c r="AC6" i="1"/>
  <c r="AD6" i="1"/>
  <c r="AE6" i="1"/>
  <c r="AF6" i="1"/>
  <c r="AG6" i="1"/>
  <c r="AH6" i="1"/>
  <c r="AA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J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7" i="1"/>
  <c r="H8" i="1"/>
  <c r="AJ8" i="1" s="1"/>
  <c r="H9" i="1"/>
  <c r="AJ9" i="1" s="1"/>
  <c r="H10" i="1"/>
  <c r="AJ10" i="1" s="1"/>
  <c r="H11" i="1"/>
  <c r="AJ11" i="1" s="1"/>
  <c r="H12" i="1"/>
  <c r="AJ12" i="1" s="1"/>
  <c r="H13" i="1"/>
  <c r="AJ13" i="1" s="1"/>
  <c r="H14" i="1"/>
  <c r="AJ14" i="1" s="1"/>
  <c r="H15" i="1"/>
  <c r="AJ15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0" i="1"/>
  <c r="AJ30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2" i="1"/>
  <c r="AJ42" i="1" s="1"/>
  <c r="H43" i="1"/>
  <c r="AJ43" i="1" s="1"/>
  <c r="H44" i="1"/>
  <c r="AJ44" i="1" s="1"/>
  <c r="H45" i="1"/>
  <c r="AJ45" i="1" s="1"/>
  <c r="H46" i="1"/>
  <c r="AJ46" i="1" s="1"/>
  <c r="H47" i="1"/>
  <c r="AJ47" i="1" s="1"/>
  <c r="H48" i="1"/>
  <c r="AJ48" i="1" s="1"/>
  <c r="H49" i="1"/>
  <c r="AJ49" i="1" s="1"/>
  <c r="H50" i="1"/>
  <c r="AJ50" i="1" s="1"/>
  <c r="H51" i="1"/>
  <c r="AJ51" i="1" s="1"/>
  <c r="H52" i="1"/>
  <c r="AJ52" i="1" s="1"/>
  <c r="H53" i="1"/>
  <c r="AJ53" i="1" s="1"/>
  <c r="H54" i="1"/>
  <c r="AJ54" i="1" s="1"/>
  <c r="H55" i="1"/>
  <c r="AJ55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AJ62" i="1" s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3" i="1"/>
  <c r="AJ73" i="1" s="1"/>
  <c r="H74" i="1"/>
  <c r="AJ74" i="1" s="1"/>
  <c r="H75" i="1"/>
  <c r="AJ75" i="1" s="1"/>
  <c r="H76" i="1"/>
  <c r="AJ76" i="1" s="1"/>
  <c r="H77" i="1"/>
  <c r="AJ77" i="1" s="1"/>
  <c r="H78" i="1"/>
  <c r="AJ78" i="1" s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AJ94" i="1" s="1"/>
  <c r="H95" i="1"/>
  <c r="AJ95" i="1" s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2" i="1"/>
  <c r="AJ102" i="1" s="1"/>
  <c r="H103" i="1"/>
  <c r="AJ103" i="1" s="1"/>
  <c r="H104" i="1"/>
  <c r="AJ104" i="1" s="1"/>
  <c r="H105" i="1"/>
  <c r="AJ105" i="1" s="1"/>
  <c r="H106" i="1"/>
  <c r="AJ106" i="1" s="1"/>
  <c r="H107" i="1"/>
  <c r="AJ107" i="1" s="1"/>
  <c r="H108" i="1"/>
  <c r="AJ108" i="1" s="1"/>
  <c r="H109" i="1"/>
  <c r="AJ109" i="1" s="1"/>
  <c r="H110" i="1"/>
  <c r="AJ110" i="1" s="1"/>
  <c r="H111" i="1"/>
  <c r="AJ111" i="1" s="1"/>
  <c r="H112" i="1"/>
  <c r="AJ112" i="1" s="1"/>
  <c r="H7" i="1"/>
  <c r="AJ7" i="1" s="1"/>
  <c r="AJ6" i="1" s="1"/>
  <c r="E6" i="1"/>
  <c r="F6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7" i="1"/>
</calcChain>
</file>

<file path=xl/sharedStrings.xml><?xml version="1.0" encoding="utf-8"?>
<sst xmlns="http://schemas.openxmlformats.org/spreadsheetml/2006/main" count="264" uniqueCount="141">
  <si>
    <t>Период: 16.12.2025 - 23.12.2025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</si>
  <si>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</si>
  <si>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</si>
  <si>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</si>
  <si>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</si>
  <si>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</si>
  <si>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</si>
  <si>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</si>
  <si>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</si>
  <si>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</si>
  <si>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</si>
  <si>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</si>
  <si>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</si>
  <si>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</si>
  <si>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</si>
  <si>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</si>
  <si>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</si>
  <si>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</si>
  <si>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</si>
  <si>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</si>
  <si>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</si>
  <si>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</si>
  <si>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</si>
  <si>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</si>
  <si>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</si>
  <si>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</si>
  <si>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</si>
  <si>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</si>
  <si>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</si>
  <si>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</si>
  <si>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</si>
  <si>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</si>
  <si>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</si>
  <si>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</si>
  <si>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</si>
  <si>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</si>
  <si>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</si>
  <si>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</si>
  <si>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</si>
  <si>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</si>
  <si>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</si>
  <si>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</si>
  <si>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</si>
  <si>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</si>
  <si>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</si>
  <si>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</si>
  <si>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</si>
  <si>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</si>
  <si>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</si>
  <si>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</si>
  <si>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</si>
  <si>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</si>
  <si>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</si>
  <si>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</si>
  <si>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</si>
  <si>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</si>
  <si>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</si>
  <si>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</si>
  <si>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</si>
  <si>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</si>
  <si>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</si>
  <si>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</si>
  <si>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</si>
  <si>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</si>
  <si>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</si>
  <si>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</si>
  <si>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</si>
  <si>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</si>
  <si>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</si>
  <si>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</si>
  <si>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</si>
  <si>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</si>
  <si>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</si>
  <si>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</si>
  <si>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</si>
  <si>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</si>
  <si>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</si>
  <si>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</si>
  <si>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</si>
  <si>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</si>
  <si>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</si>
  <si>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</si>
  <si>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</si>
  <si>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</si>
  <si>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</si>
  <si>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</si>
  <si>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</si>
  <si>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</si>
  <si>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</si>
  <si>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</si>
  <si>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</si>
  <si>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</si>
  <si>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</si>
  <si>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</si>
  <si>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</si>
  <si>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</si>
  <si>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</si>
  <si>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</si>
  <si>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</si>
  <si>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</si>
  <si>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</si>
  <si>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</si>
  <si>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</si>
  <si>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</si>
  <si>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</si>
  <si>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</si>
  <si>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</si>
  <si>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</si>
  <si>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</si>
  <si>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</si>
  <si>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</si>
  <si>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</si>
  <si>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</si>
  <si>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</si>
  <si>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</si>
  <si>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</si>
  <si>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</si>
  <si>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</si>
  <si>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</si>
  <si>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</si>
  <si>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</si>
  <si>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</si>
  <si>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</si>
  <si>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</si>
  <si>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</si>
  <si>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</si>
  <si>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</si>
  <si>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</si>
  <si>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</si>
  <si>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</si>
  <si>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</si>
  <si>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хз</t>
  </si>
  <si>
    <t>23,12,</t>
  </si>
  <si>
    <t>24,12,</t>
  </si>
  <si>
    <t>25,12,</t>
  </si>
  <si>
    <t>28,12,</t>
  </si>
  <si>
    <t>28,11,</t>
  </si>
  <si>
    <t>05,12,</t>
  </si>
  <si>
    <t>12,12,</t>
  </si>
  <si>
    <t>19,12,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</si>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</sst>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5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9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7-23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3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8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12.12.2025 - 19.12.2025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19,12,</v>
          </cell>
          <cell r="M5" t="str">
            <v>22,12п</v>
          </cell>
          <cell r="N5" t="str">
            <v>22-2,</v>
          </cell>
          <cell r="O5" t="str">
            <v>23,12,</v>
          </cell>
          <cell r="P5" t="str">
            <v>24,12,</v>
          </cell>
          <cell r="X5" t="str">
            <v>25,12,</v>
          </cell>
          <cell r="AD5" t="str">
            <v>21,11,</v>
          </cell>
          <cell r="AE5" t="str">
            <v>28,11,</v>
          </cell>
          <cell r="AF5" t="str">
            <v>05,12,</v>
          </cell>
          <cell r="AG5" t="str">
            <v>12,12,</v>
          </cell>
          <cell r="AH5" t="str">
            <v>18,12,</v>
          </cell>
        </row>
        <row r="6">
          <cell r="E6">
            <v>144610.64199999996</v>
          </cell>
          <cell r="F6">
            <v>80860.383999999991</v>
          </cell>
          <cell r="J6">
            <v>146185.51999999999</v>
          </cell>
          <cell r="K6">
            <v>-1574.8780000000002</v>
          </cell>
          <cell r="L6">
            <v>28860</v>
          </cell>
          <cell r="M6">
            <v>20050</v>
          </cell>
          <cell r="N6">
            <v>29450</v>
          </cell>
          <cell r="O6">
            <v>29340</v>
          </cell>
          <cell r="P6">
            <v>22490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25407.062799999992</v>
          </cell>
          <cell r="X6">
            <v>27480</v>
          </cell>
          <cell r="AA6">
            <v>0</v>
          </cell>
          <cell r="AB6">
            <v>0</v>
          </cell>
          <cell r="AC6">
            <v>17575.328000000001</v>
          </cell>
          <cell r="AD6">
            <v>24838.159800000001</v>
          </cell>
          <cell r="AE6">
            <v>23613.191399999996</v>
          </cell>
          <cell r="AF6">
            <v>25285.48</v>
          </cell>
          <cell r="AG6">
            <v>24964.202199999992</v>
          </cell>
          <cell r="AH6">
            <v>25735.377999999993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373.91</v>
          </cell>
          <cell r="D7">
            <v>786.18299999999999</v>
          </cell>
          <cell r="E7">
            <v>669.85500000000002</v>
          </cell>
          <cell r="F7">
            <v>483.49099999999999</v>
          </cell>
          <cell r="G7" t="str">
            <v>н</v>
          </cell>
          <cell r="H7">
            <v>1</v>
          </cell>
          <cell r="I7">
            <v>45</v>
          </cell>
          <cell r="J7">
            <v>671.29200000000003</v>
          </cell>
          <cell r="K7">
            <v>-1.4370000000000118</v>
          </cell>
          <cell r="L7">
            <v>200</v>
          </cell>
          <cell r="M7">
            <v>0</v>
          </cell>
          <cell r="N7">
            <v>300</v>
          </cell>
          <cell r="O7">
            <v>200</v>
          </cell>
          <cell r="P7">
            <v>100</v>
          </cell>
          <cell r="W7">
            <v>133.971</v>
          </cell>
          <cell r="X7">
            <v>250</v>
          </cell>
          <cell r="Y7">
            <v>11.446439901172642</v>
          </cell>
          <cell r="Z7">
            <v>3.608922826581872</v>
          </cell>
          <cell r="AC7">
            <v>0</v>
          </cell>
          <cell r="AD7">
            <v>103.88520000000001</v>
          </cell>
          <cell r="AE7">
            <v>113.8214</v>
          </cell>
          <cell r="AF7">
            <v>117.14380000000001</v>
          </cell>
          <cell r="AG7">
            <v>132.06139999999999</v>
          </cell>
          <cell r="AH7">
            <v>169.60599999999999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1009.4059999999999</v>
          </cell>
          <cell r="D8">
            <v>1191.1199999999999</v>
          </cell>
          <cell r="E8">
            <v>1285.684</v>
          </cell>
          <cell r="F8">
            <v>885.05899999999997</v>
          </cell>
          <cell r="G8" t="str">
            <v>ябл</v>
          </cell>
          <cell r="H8">
            <v>1</v>
          </cell>
          <cell r="I8">
            <v>45</v>
          </cell>
          <cell r="J8">
            <v>1307.3820000000001</v>
          </cell>
          <cell r="K8">
            <v>-21.698000000000093</v>
          </cell>
          <cell r="L8">
            <v>300</v>
          </cell>
          <cell r="M8">
            <v>0</v>
          </cell>
          <cell r="N8">
            <v>300</v>
          </cell>
          <cell r="O8">
            <v>350</v>
          </cell>
          <cell r="P8">
            <v>100</v>
          </cell>
          <cell r="W8">
            <v>257.13679999999999</v>
          </cell>
          <cell r="X8">
            <v>100</v>
          </cell>
          <cell r="Y8">
            <v>7.9143047591787719</v>
          </cell>
          <cell r="Z8">
            <v>3.4419771887960029</v>
          </cell>
          <cell r="AC8">
            <v>0</v>
          </cell>
          <cell r="AD8">
            <v>272.6644</v>
          </cell>
          <cell r="AE8">
            <v>267.5326</v>
          </cell>
          <cell r="AF8">
            <v>300.27120000000002</v>
          </cell>
          <cell r="AG8">
            <v>273.18359999999996</v>
          </cell>
          <cell r="AH8">
            <v>247.405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841.93799999999999</v>
          </cell>
          <cell r="D9">
            <v>1919.6849999999999</v>
          </cell>
          <cell r="E9">
            <v>1712.3030000000001</v>
          </cell>
          <cell r="F9">
            <v>979.86400000000003</v>
          </cell>
          <cell r="G9">
            <v>0</v>
          </cell>
          <cell r="H9">
            <v>1</v>
          </cell>
          <cell r="I9">
            <v>45</v>
          </cell>
          <cell r="J9">
            <v>1722.6489999999999</v>
          </cell>
          <cell r="K9">
            <v>-10.345999999999776</v>
          </cell>
          <cell r="L9">
            <v>400</v>
          </cell>
          <cell r="M9">
            <v>300</v>
          </cell>
          <cell r="N9">
            <v>500</v>
          </cell>
          <cell r="O9">
            <v>500</v>
          </cell>
          <cell r="P9">
            <v>0</v>
          </cell>
          <cell r="W9">
            <v>342.4606</v>
          </cell>
          <cell r="Y9">
            <v>7.8253206354249221</v>
          </cell>
          <cell r="Z9">
            <v>2.8612459360288454</v>
          </cell>
          <cell r="AC9">
            <v>0</v>
          </cell>
          <cell r="AD9">
            <v>338.346</v>
          </cell>
          <cell r="AE9">
            <v>356.9418</v>
          </cell>
          <cell r="AF9">
            <v>331.27879999999999</v>
          </cell>
          <cell r="AG9">
            <v>350.58460000000002</v>
          </cell>
          <cell r="AH9">
            <v>324.37599999999998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1112</v>
          </cell>
          <cell r="D10">
            <v>4369</v>
          </cell>
          <cell r="E10">
            <v>3996</v>
          </cell>
          <cell r="F10">
            <v>1459</v>
          </cell>
          <cell r="G10" t="str">
            <v>ябл</v>
          </cell>
          <cell r="H10">
            <v>0.4</v>
          </cell>
          <cell r="I10">
            <v>45</v>
          </cell>
          <cell r="J10">
            <v>4056</v>
          </cell>
          <cell r="K10">
            <v>-60</v>
          </cell>
          <cell r="L10">
            <v>1100</v>
          </cell>
          <cell r="M10">
            <v>500</v>
          </cell>
          <cell r="N10">
            <v>800</v>
          </cell>
          <cell r="O10">
            <v>1000</v>
          </cell>
          <cell r="P10">
            <v>500</v>
          </cell>
          <cell r="W10">
            <v>599.20000000000005</v>
          </cell>
          <cell r="X10">
            <v>1400</v>
          </cell>
          <cell r="Y10">
            <v>11.280040053404539</v>
          </cell>
          <cell r="Z10">
            <v>2.4349132176234978</v>
          </cell>
          <cell r="AC10">
            <v>1000</v>
          </cell>
          <cell r="AD10">
            <v>427.2</v>
          </cell>
          <cell r="AE10">
            <v>381</v>
          </cell>
          <cell r="AF10">
            <v>486.4</v>
          </cell>
          <cell r="AG10">
            <v>572.79999999999995</v>
          </cell>
          <cell r="AH10">
            <v>613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2121</v>
          </cell>
          <cell r="D11">
            <v>5164</v>
          </cell>
          <cell r="E11">
            <v>4830</v>
          </cell>
          <cell r="F11">
            <v>2394</v>
          </cell>
          <cell r="G11">
            <v>0</v>
          </cell>
          <cell r="H11">
            <v>0.45</v>
          </cell>
          <cell r="I11">
            <v>45</v>
          </cell>
          <cell r="J11">
            <v>4924</v>
          </cell>
          <cell r="K11">
            <v>-94</v>
          </cell>
          <cell r="L11">
            <v>900</v>
          </cell>
          <cell r="M11">
            <v>700</v>
          </cell>
          <cell r="N11">
            <v>1300</v>
          </cell>
          <cell r="O11">
            <v>1200</v>
          </cell>
          <cell r="P11">
            <v>300</v>
          </cell>
          <cell r="W11">
            <v>914.4</v>
          </cell>
          <cell r="X11">
            <v>400</v>
          </cell>
          <cell r="Y11">
            <v>7.8674540682414698</v>
          </cell>
          <cell r="Z11">
            <v>2.6181102362204727</v>
          </cell>
          <cell r="AC11">
            <v>258</v>
          </cell>
          <cell r="AD11">
            <v>671.6</v>
          </cell>
          <cell r="AE11">
            <v>679.8</v>
          </cell>
          <cell r="AF11">
            <v>840.6</v>
          </cell>
          <cell r="AG11">
            <v>893.2</v>
          </cell>
          <cell r="AH11">
            <v>984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2126</v>
          </cell>
          <cell r="D12">
            <v>6303</v>
          </cell>
          <cell r="E12">
            <v>6236</v>
          </cell>
          <cell r="F12">
            <v>2133</v>
          </cell>
          <cell r="G12">
            <v>0</v>
          </cell>
          <cell r="H12">
            <v>0.45</v>
          </cell>
          <cell r="I12">
            <v>45</v>
          </cell>
          <cell r="J12">
            <v>6322</v>
          </cell>
          <cell r="K12">
            <v>-86</v>
          </cell>
          <cell r="L12">
            <v>700</v>
          </cell>
          <cell r="M12">
            <v>500</v>
          </cell>
          <cell r="N12">
            <v>600</v>
          </cell>
          <cell r="O12">
            <v>900</v>
          </cell>
          <cell r="P12">
            <v>200</v>
          </cell>
          <cell r="W12">
            <v>647.20000000000005</v>
          </cell>
          <cell r="Y12">
            <v>7.7765760197775027</v>
          </cell>
          <cell r="Z12">
            <v>3.2957354758961679</v>
          </cell>
          <cell r="AC12">
            <v>3000</v>
          </cell>
          <cell r="AD12">
            <v>700.8</v>
          </cell>
          <cell r="AE12">
            <v>725.6</v>
          </cell>
          <cell r="AF12">
            <v>706</v>
          </cell>
          <cell r="AG12">
            <v>680.8</v>
          </cell>
          <cell r="AH12">
            <v>673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55</v>
          </cell>
          <cell r="D13">
            <v>91</v>
          </cell>
          <cell r="E13">
            <v>69</v>
          </cell>
          <cell r="F13">
            <v>76</v>
          </cell>
          <cell r="G13">
            <v>0</v>
          </cell>
          <cell r="H13">
            <v>0.4</v>
          </cell>
          <cell r="I13">
            <v>50</v>
          </cell>
          <cell r="J13">
            <v>71</v>
          </cell>
          <cell r="K13">
            <v>-2</v>
          </cell>
          <cell r="L13">
            <v>0</v>
          </cell>
          <cell r="M13">
            <v>0</v>
          </cell>
          <cell r="N13">
            <v>20</v>
          </cell>
          <cell r="O13">
            <v>0</v>
          </cell>
          <cell r="P13">
            <v>30</v>
          </cell>
          <cell r="W13">
            <v>13.8</v>
          </cell>
          <cell r="X13">
            <v>40</v>
          </cell>
          <cell r="Y13">
            <v>12.028985507246377</v>
          </cell>
          <cell r="Z13">
            <v>5.5072463768115938</v>
          </cell>
          <cell r="AC13">
            <v>0</v>
          </cell>
          <cell r="AD13">
            <v>13.4</v>
          </cell>
          <cell r="AE13">
            <v>14.4</v>
          </cell>
          <cell r="AF13">
            <v>14.8</v>
          </cell>
          <cell r="AG13">
            <v>16</v>
          </cell>
          <cell r="AH13">
            <v>16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1167</v>
          </cell>
          <cell r="D14">
            <v>4</v>
          </cell>
          <cell r="E14">
            <v>514</v>
          </cell>
          <cell r="F14">
            <v>655</v>
          </cell>
          <cell r="G14">
            <v>0</v>
          </cell>
          <cell r="H14">
            <v>0.17</v>
          </cell>
          <cell r="I14">
            <v>180</v>
          </cell>
          <cell r="J14">
            <v>517</v>
          </cell>
          <cell r="K14">
            <v>-3</v>
          </cell>
          <cell r="L14">
            <v>300</v>
          </cell>
          <cell r="M14">
            <v>0</v>
          </cell>
          <cell r="N14">
            <v>500</v>
          </cell>
          <cell r="O14">
            <v>0</v>
          </cell>
          <cell r="P14">
            <v>0</v>
          </cell>
          <cell r="W14">
            <v>102.8</v>
          </cell>
          <cell r="X14">
            <v>200</v>
          </cell>
          <cell r="Y14">
            <v>16.09922178988327</v>
          </cell>
          <cell r="Z14">
            <v>6.3715953307393001</v>
          </cell>
          <cell r="AC14">
            <v>0</v>
          </cell>
          <cell r="AD14">
            <v>65.2</v>
          </cell>
          <cell r="AE14">
            <v>63.2</v>
          </cell>
          <cell r="AF14">
            <v>69</v>
          </cell>
          <cell r="AG14">
            <v>65.2</v>
          </cell>
          <cell r="AH14">
            <v>91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275</v>
          </cell>
          <cell r="D15">
            <v>269</v>
          </cell>
          <cell r="E15">
            <v>340</v>
          </cell>
          <cell r="F15">
            <v>203</v>
          </cell>
          <cell r="G15">
            <v>0</v>
          </cell>
          <cell r="H15">
            <v>0.3</v>
          </cell>
          <cell r="I15">
            <v>40</v>
          </cell>
          <cell r="J15">
            <v>343</v>
          </cell>
          <cell r="K15">
            <v>-3</v>
          </cell>
          <cell r="L15">
            <v>70</v>
          </cell>
          <cell r="M15">
            <v>0</v>
          </cell>
          <cell r="N15">
            <v>140</v>
          </cell>
          <cell r="O15">
            <v>100</v>
          </cell>
          <cell r="P15">
            <v>30</v>
          </cell>
          <cell r="W15">
            <v>68</v>
          </cell>
          <cell r="X15">
            <v>200</v>
          </cell>
          <cell r="Y15">
            <v>10.926470588235293</v>
          </cell>
          <cell r="Z15">
            <v>2.9852941176470589</v>
          </cell>
          <cell r="AC15">
            <v>0</v>
          </cell>
          <cell r="AD15">
            <v>78</v>
          </cell>
          <cell r="AE15">
            <v>61.8</v>
          </cell>
          <cell r="AF15">
            <v>77</v>
          </cell>
          <cell r="AG15">
            <v>68.2</v>
          </cell>
          <cell r="AH15">
            <v>65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4808</v>
          </cell>
          <cell r="D16">
            <v>73</v>
          </cell>
          <cell r="E16">
            <v>1941</v>
          </cell>
          <cell r="F16">
            <v>2921</v>
          </cell>
          <cell r="G16">
            <v>0</v>
          </cell>
          <cell r="H16">
            <v>0.17</v>
          </cell>
          <cell r="I16">
            <v>180</v>
          </cell>
          <cell r="J16">
            <v>1964</v>
          </cell>
          <cell r="K16">
            <v>-23</v>
          </cell>
          <cell r="L16">
            <v>1500</v>
          </cell>
          <cell r="M16">
            <v>0</v>
          </cell>
          <cell r="N16">
            <v>1000</v>
          </cell>
          <cell r="O16">
            <v>0</v>
          </cell>
          <cell r="P16">
            <v>0</v>
          </cell>
          <cell r="W16">
            <v>379.2</v>
          </cell>
          <cell r="X16">
            <v>800</v>
          </cell>
          <cell r="Y16">
            <v>16.405590717299578</v>
          </cell>
          <cell r="Z16">
            <v>7.7030590717299576</v>
          </cell>
          <cell r="AC16">
            <v>45</v>
          </cell>
          <cell r="AD16">
            <v>264.2</v>
          </cell>
          <cell r="AE16">
            <v>253.6</v>
          </cell>
          <cell r="AF16">
            <v>290.60000000000002</v>
          </cell>
          <cell r="AG16">
            <v>285</v>
          </cell>
          <cell r="AH16">
            <v>433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254</v>
          </cell>
          <cell r="D17">
            <v>222</v>
          </cell>
          <cell r="E17">
            <v>345</v>
          </cell>
          <cell r="F17">
            <v>117</v>
          </cell>
          <cell r="G17">
            <v>0</v>
          </cell>
          <cell r="H17">
            <v>0.35</v>
          </cell>
          <cell r="I17">
            <v>45</v>
          </cell>
          <cell r="J17">
            <v>354</v>
          </cell>
          <cell r="K17">
            <v>-9</v>
          </cell>
          <cell r="L17">
            <v>80</v>
          </cell>
          <cell r="M17">
            <v>100</v>
          </cell>
          <cell r="N17">
            <v>150</v>
          </cell>
          <cell r="O17">
            <v>100</v>
          </cell>
          <cell r="P17">
            <v>50</v>
          </cell>
          <cell r="W17">
            <v>69</v>
          </cell>
          <cell r="X17">
            <v>100</v>
          </cell>
          <cell r="Y17">
            <v>10.101449275362318</v>
          </cell>
          <cell r="Z17">
            <v>1.6956521739130435</v>
          </cell>
          <cell r="AC17">
            <v>0</v>
          </cell>
          <cell r="AD17">
            <v>67.599999999999994</v>
          </cell>
          <cell r="AE17">
            <v>54.2</v>
          </cell>
          <cell r="AF17">
            <v>69.400000000000006</v>
          </cell>
          <cell r="AG17">
            <v>58.8</v>
          </cell>
          <cell r="AH17">
            <v>69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74</v>
          </cell>
          <cell r="D18">
            <v>116</v>
          </cell>
          <cell r="E18">
            <v>147</v>
          </cell>
          <cell r="F18">
            <v>41</v>
          </cell>
          <cell r="G18" t="str">
            <v>н</v>
          </cell>
          <cell r="H18">
            <v>0.35</v>
          </cell>
          <cell r="I18">
            <v>45</v>
          </cell>
          <cell r="J18">
            <v>149</v>
          </cell>
          <cell r="K18">
            <v>-2</v>
          </cell>
          <cell r="L18">
            <v>20</v>
          </cell>
          <cell r="M18">
            <v>20</v>
          </cell>
          <cell r="N18">
            <v>30</v>
          </cell>
          <cell r="O18">
            <v>40</v>
          </cell>
          <cell r="P18">
            <v>50</v>
          </cell>
          <cell r="W18">
            <v>29.4</v>
          </cell>
          <cell r="X18">
            <v>90</v>
          </cell>
          <cell r="Y18">
            <v>9.8979591836734695</v>
          </cell>
          <cell r="Z18">
            <v>1.3945578231292517</v>
          </cell>
          <cell r="AC18">
            <v>0</v>
          </cell>
          <cell r="AD18">
            <v>20.2</v>
          </cell>
          <cell r="AE18">
            <v>19.399999999999999</v>
          </cell>
          <cell r="AF18">
            <v>20.8</v>
          </cell>
          <cell r="AG18">
            <v>21.4</v>
          </cell>
          <cell r="AH18">
            <v>34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231</v>
          </cell>
          <cell r="D19">
            <v>27</v>
          </cell>
          <cell r="E19">
            <v>115</v>
          </cell>
          <cell r="F19">
            <v>140</v>
          </cell>
          <cell r="G19">
            <v>0</v>
          </cell>
          <cell r="H19">
            <v>0.35</v>
          </cell>
          <cell r="I19">
            <v>45</v>
          </cell>
          <cell r="J19">
            <v>118</v>
          </cell>
          <cell r="K19">
            <v>-3</v>
          </cell>
          <cell r="L19">
            <v>0</v>
          </cell>
          <cell r="M19">
            <v>0</v>
          </cell>
          <cell r="N19">
            <v>20</v>
          </cell>
          <cell r="O19">
            <v>20</v>
          </cell>
          <cell r="P19">
            <v>30</v>
          </cell>
          <cell r="W19">
            <v>23</v>
          </cell>
          <cell r="X19">
            <v>20</v>
          </cell>
          <cell r="Y19">
            <v>10</v>
          </cell>
          <cell r="Z19">
            <v>6.0869565217391308</v>
          </cell>
          <cell r="AC19">
            <v>0</v>
          </cell>
          <cell r="AD19">
            <v>83</v>
          </cell>
          <cell r="AE19">
            <v>64</v>
          </cell>
          <cell r="AF19">
            <v>42</v>
          </cell>
          <cell r="AG19">
            <v>24.4</v>
          </cell>
          <cell r="AH19">
            <v>13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387</v>
          </cell>
          <cell r="D20">
            <v>580</v>
          </cell>
          <cell r="E20">
            <v>646</v>
          </cell>
          <cell r="F20">
            <v>317</v>
          </cell>
          <cell r="G20">
            <v>0</v>
          </cell>
          <cell r="H20">
            <v>0.35</v>
          </cell>
          <cell r="I20">
            <v>45</v>
          </cell>
          <cell r="J20">
            <v>642</v>
          </cell>
          <cell r="K20">
            <v>4</v>
          </cell>
          <cell r="L20">
            <v>200</v>
          </cell>
          <cell r="M20">
            <v>150</v>
          </cell>
          <cell r="N20">
            <v>150</v>
          </cell>
          <cell r="O20">
            <v>200</v>
          </cell>
          <cell r="P20">
            <v>100</v>
          </cell>
          <cell r="W20">
            <v>129.19999999999999</v>
          </cell>
          <cell r="X20">
            <v>200</v>
          </cell>
          <cell r="Y20">
            <v>10.193498452012385</v>
          </cell>
          <cell r="Z20">
            <v>2.4535603715170282</v>
          </cell>
          <cell r="AC20">
            <v>0</v>
          </cell>
          <cell r="AD20">
            <v>111.2</v>
          </cell>
          <cell r="AE20">
            <v>87.6</v>
          </cell>
          <cell r="AF20">
            <v>122.6</v>
          </cell>
          <cell r="AG20">
            <v>121.2</v>
          </cell>
          <cell r="AH20">
            <v>143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142.768</v>
          </cell>
          <cell r="D21">
            <v>1099.6669999999999</v>
          </cell>
          <cell r="E21">
            <v>653.27700000000004</v>
          </cell>
          <cell r="F21">
            <v>584.82799999999997</v>
          </cell>
          <cell r="G21">
            <v>0</v>
          </cell>
          <cell r="H21">
            <v>1</v>
          </cell>
          <cell r="I21">
            <v>50</v>
          </cell>
          <cell r="J21">
            <v>636.37599999999998</v>
          </cell>
          <cell r="K21">
            <v>16.901000000000067</v>
          </cell>
          <cell r="L21">
            <v>200</v>
          </cell>
          <cell r="M21">
            <v>0</v>
          </cell>
          <cell r="N21">
            <v>150</v>
          </cell>
          <cell r="O21">
            <v>100</v>
          </cell>
          <cell r="P21">
            <v>100</v>
          </cell>
          <cell r="W21">
            <v>130.65540000000001</v>
          </cell>
          <cell r="X21">
            <v>200</v>
          </cell>
          <cell r="Y21">
            <v>10.216401312153955</v>
          </cell>
          <cell r="Z21">
            <v>4.4761104401348888</v>
          </cell>
          <cell r="AC21">
            <v>0</v>
          </cell>
          <cell r="AD21">
            <v>125.3326</v>
          </cell>
          <cell r="AE21">
            <v>114.9126</v>
          </cell>
          <cell r="AF21">
            <v>114.099</v>
          </cell>
          <cell r="AG21">
            <v>150.761</v>
          </cell>
          <cell r="AH21">
            <v>105.60899999999999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2820.8249999999998</v>
          </cell>
          <cell r="D22">
            <v>6934.7190000000001</v>
          </cell>
          <cell r="E22">
            <v>5928.2910000000002</v>
          </cell>
          <cell r="F22">
            <v>3724.3</v>
          </cell>
          <cell r="G22">
            <v>0</v>
          </cell>
          <cell r="H22">
            <v>1</v>
          </cell>
          <cell r="I22">
            <v>50</v>
          </cell>
          <cell r="J22">
            <v>5968.8190000000004</v>
          </cell>
          <cell r="K22">
            <v>-40.528000000000247</v>
          </cell>
          <cell r="L22">
            <v>1100</v>
          </cell>
          <cell r="M22">
            <v>1000</v>
          </cell>
          <cell r="N22">
            <v>1000</v>
          </cell>
          <cell r="O22">
            <v>1400</v>
          </cell>
          <cell r="P22">
            <v>1000</v>
          </cell>
          <cell r="W22">
            <v>1173.5764000000001</v>
          </cell>
          <cell r="X22">
            <v>1400</v>
          </cell>
          <cell r="Y22">
            <v>9.0529257404971659</v>
          </cell>
          <cell r="Z22">
            <v>3.1734619066981917</v>
          </cell>
          <cell r="AC22">
            <v>60.408999999999999</v>
          </cell>
          <cell r="AD22">
            <v>1096.5001999999999</v>
          </cell>
          <cell r="AE22">
            <v>1041.7894000000001</v>
          </cell>
          <cell r="AF22">
            <v>1120.8812</v>
          </cell>
          <cell r="AG22">
            <v>1186.6727999999998</v>
          </cell>
          <cell r="AH22">
            <v>1279.403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0.127</v>
          </cell>
          <cell r="D23">
            <v>989.34900000000005</v>
          </cell>
          <cell r="E23">
            <v>305.81599999999997</v>
          </cell>
          <cell r="F23">
            <v>682.78899999999999</v>
          </cell>
          <cell r="G23">
            <v>0</v>
          </cell>
          <cell r="H23">
            <v>1</v>
          </cell>
          <cell r="I23">
            <v>50</v>
          </cell>
          <cell r="J23">
            <v>302.47399999999999</v>
          </cell>
          <cell r="K23">
            <v>3.3419999999999845</v>
          </cell>
          <cell r="L23">
            <v>150</v>
          </cell>
          <cell r="M23">
            <v>0</v>
          </cell>
          <cell r="N23">
            <v>100</v>
          </cell>
          <cell r="O23">
            <v>100</v>
          </cell>
          <cell r="P23">
            <v>0</v>
          </cell>
          <cell r="W23">
            <v>61.163199999999996</v>
          </cell>
          <cell r="Y23">
            <v>16.885790802312503</v>
          </cell>
          <cell r="Z23">
            <v>11.163395636591938</v>
          </cell>
          <cell r="AC23">
            <v>0</v>
          </cell>
          <cell r="AD23">
            <v>65.862200000000001</v>
          </cell>
          <cell r="AE23">
            <v>73.485199999999992</v>
          </cell>
          <cell r="AF23">
            <v>54.423199999999994</v>
          </cell>
          <cell r="AG23">
            <v>88.0488</v>
          </cell>
          <cell r="AH23">
            <v>57.247</v>
          </cell>
          <cell r="AI23" t="str">
            <v>2дн непр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 t="str">
            <v>кг</v>
          </cell>
          <cell r="C24">
            <v>178.767</v>
          </cell>
          <cell r="D24">
            <v>1112.335</v>
          </cell>
          <cell r="E24">
            <v>684.97900000000004</v>
          </cell>
          <cell r="F24">
            <v>603.46900000000005</v>
          </cell>
          <cell r="G24">
            <v>0</v>
          </cell>
          <cell r="H24">
            <v>1</v>
          </cell>
          <cell r="I24">
            <v>50</v>
          </cell>
          <cell r="J24">
            <v>663.49099999999999</v>
          </cell>
          <cell r="K24">
            <v>21.488000000000056</v>
          </cell>
          <cell r="L24">
            <v>200</v>
          </cell>
          <cell r="M24">
            <v>0</v>
          </cell>
          <cell r="N24">
            <v>100</v>
          </cell>
          <cell r="O24">
            <v>100</v>
          </cell>
          <cell r="P24">
            <v>200</v>
          </cell>
          <cell r="W24">
            <v>136.9958</v>
          </cell>
          <cell r="X24">
            <v>100</v>
          </cell>
          <cell r="Y24">
            <v>9.5146639532014845</v>
          </cell>
          <cell r="Z24">
            <v>4.4050182560341264</v>
          </cell>
          <cell r="AC24">
            <v>0</v>
          </cell>
          <cell r="AD24">
            <v>136.74459999999999</v>
          </cell>
          <cell r="AE24">
            <v>136.41140000000001</v>
          </cell>
          <cell r="AF24">
            <v>128.01519999999999</v>
          </cell>
          <cell r="AG24">
            <v>165.38720000000001</v>
          </cell>
          <cell r="AH24">
            <v>94.453999999999994</v>
          </cell>
          <cell r="AI24">
            <v>0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 t="str">
            <v>кг</v>
          </cell>
          <cell r="C25">
            <v>65.138999999999996</v>
          </cell>
          <cell r="D25">
            <v>366.827</v>
          </cell>
          <cell r="E25">
            <v>179.542</v>
          </cell>
          <cell r="F25">
            <v>251.624</v>
          </cell>
          <cell r="G25">
            <v>0</v>
          </cell>
          <cell r="H25">
            <v>1</v>
          </cell>
          <cell r="I25">
            <v>60</v>
          </cell>
          <cell r="J25">
            <v>170.67</v>
          </cell>
          <cell r="K25">
            <v>8.8720000000000141</v>
          </cell>
          <cell r="L25">
            <v>60</v>
          </cell>
          <cell r="M25">
            <v>0</v>
          </cell>
          <cell r="N25">
            <v>0</v>
          </cell>
          <cell r="O25">
            <v>30</v>
          </cell>
          <cell r="P25">
            <v>40</v>
          </cell>
          <cell r="W25">
            <v>35.9084</v>
          </cell>
          <cell r="Y25">
            <v>10.62770827995678</v>
          </cell>
          <cell r="Z25">
            <v>7.0073854585556585</v>
          </cell>
          <cell r="AC25">
            <v>0</v>
          </cell>
          <cell r="AD25">
            <v>38.412999999999997</v>
          </cell>
          <cell r="AE25">
            <v>35.250799999999998</v>
          </cell>
          <cell r="AF25">
            <v>38.140799999999999</v>
          </cell>
          <cell r="AG25">
            <v>52.771400000000007</v>
          </cell>
          <cell r="AH25">
            <v>14.961</v>
          </cell>
          <cell r="AI25">
            <v>0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 t="str">
            <v>кг</v>
          </cell>
          <cell r="C26">
            <v>233.31</v>
          </cell>
          <cell r="D26">
            <v>475.40699999999998</v>
          </cell>
          <cell r="E26">
            <v>357.315</v>
          </cell>
          <cell r="F26">
            <v>347.88</v>
          </cell>
          <cell r="G26">
            <v>0</v>
          </cell>
          <cell r="H26">
            <v>1</v>
          </cell>
          <cell r="I26">
            <v>60</v>
          </cell>
          <cell r="J26">
            <v>349.28100000000001</v>
          </cell>
          <cell r="K26">
            <v>8.0339999999999918</v>
          </cell>
          <cell r="L26">
            <v>100</v>
          </cell>
          <cell r="M26">
            <v>0</v>
          </cell>
          <cell r="N26">
            <v>100</v>
          </cell>
          <cell r="O26">
            <v>100</v>
          </cell>
          <cell r="P26">
            <v>50</v>
          </cell>
          <cell r="W26">
            <v>71.462999999999994</v>
          </cell>
          <cell r="X26">
            <v>50</v>
          </cell>
          <cell r="Y26">
            <v>10.465275737094721</v>
          </cell>
          <cell r="Z26">
            <v>4.8679736367071076</v>
          </cell>
          <cell r="AC26">
            <v>0</v>
          </cell>
          <cell r="AD26">
            <v>81.166600000000003</v>
          </cell>
          <cell r="AE26">
            <v>66.286000000000001</v>
          </cell>
          <cell r="AF26">
            <v>84.236599999999996</v>
          </cell>
          <cell r="AG26">
            <v>89.378</v>
          </cell>
          <cell r="AH26">
            <v>70.98</v>
          </cell>
          <cell r="AI26" t="str">
            <v>жц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239.26300000000001</v>
          </cell>
          <cell r="D27">
            <v>439.12599999999998</v>
          </cell>
          <cell r="E27">
            <v>404.459</v>
          </cell>
          <cell r="F27">
            <v>266.02</v>
          </cell>
          <cell r="G27">
            <v>0</v>
          </cell>
          <cell r="H27">
            <v>1</v>
          </cell>
          <cell r="I27">
            <v>60</v>
          </cell>
          <cell r="J27">
            <v>401.20699999999999</v>
          </cell>
          <cell r="K27">
            <v>3.2520000000000095</v>
          </cell>
          <cell r="L27">
            <v>100</v>
          </cell>
          <cell r="M27">
            <v>0</v>
          </cell>
          <cell r="N27">
            <v>120</v>
          </cell>
          <cell r="O27">
            <v>100</v>
          </cell>
          <cell r="P27">
            <v>120</v>
          </cell>
          <cell r="W27">
            <v>80.891800000000003</v>
          </cell>
          <cell r="X27">
            <v>100</v>
          </cell>
          <cell r="Y27">
            <v>9.9641743662522035</v>
          </cell>
          <cell r="Z27">
            <v>3.2885904380913762</v>
          </cell>
          <cell r="AC27">
            <v>0</v>
          </cell>
          <cell r="AD27">
            <v>76.597000000000008</v>
          </cell>
          <cell r="AE27">
            <v>72.323400000000007</v>
          </cell>
          <cell r="AF27">
            <v>81.914400000000001</v>
          </cell>
          <cell r="AG27">
            <v>86.447599999999994</v>
          </cell>
          <cell r="AH27">
            <v>70.281999999999996</v>
          </cell>
          <cell r="AI27">
            <v>0</v>
          </cell>
        </row>
        <row r="28">
          <cell r="A28" t="str">
            <v xml:space="preserve"> 247  Сардельки Нежные, ВЕС.  ПОКОМ</v>
          </cell>
          <cell r="B28" t="str">
            <v>кг</v>
          </cell>
          <cell r="C28">
            <v>110.233</v>
          </cell>
          <cell r="D28">
            <v>25.367000000000001</v>
          </cell>
          <cell r="E28">
            <v>109.337</v>
          </cell>
          <cell r="F28">
            <v>24.922999999999998</v>
          </cell>
          <cell r="G28">
            <v>0</v>
          </cell>
          <cell r="H28">
            <v>1</v>
          </cell>
          <cell r="I28">
            <v>30</v>
          </cell>
          <cell r="J28">
            <v>115.051</v>
          </cell>
          <cell r="K28">
            <v>-5.7139999999999986</v>
          </cell>
          <cell r="L28">
            <v>20</v>
          </cell>
          <cell r="M28">
            <v>30</v>
          </cell>
          <cell r="N28">
            <v>30</v>
          </cell>
          <cell r="O28">
            <v>20</v>
          </cell>
          <cell r="P28">
            <v>0</v>
          </cell>
          <cell r="W28">
            <v>21.8674</v>
          </cell>
          <cell r="X28">
            <v>40</v>
          </cell>
          <cell r="Y28">
            <v>7.5419574343543356</v>
          </cell>
          <cell r="Z28">
            <v>1.1397331187063848</v>
          </cell>
          <cell r="AC28">
            <v>0</v>
          </cell>
          <cell r="AD28">
            <v>19.291</v>
          </cell>
          <cell r="AE28">
            <v>23.211000000000002</v>
          </cell>
          <cell r="AF28">
            <v>21.4802</v>
          </cell>
          <cell r="AG28">
            <v>18.440999999999999</v>
          </cell>
          <cell r="AH28">
            <v>21.562999999999999</v>
          </cell>
          <cell r="AI28">
            <v>0</v>
          </cell>
        </row>
        <row r="29">
          <cell r="A29" t="str">
            <v xml:space="preserve"> 248  Сардельки Сочные ТМ Особый рецепт,   ПОКОМ</v>
          </cell>
          <cell r="B29" t="str">
            <v>кг</v>
          </cell>
          <cell r="C29">
            <v>129.26400000000001</v>
          </cell>
          <cell r="D29">
            <v>100.672</v>
          </cell>
          <cell r="E29">
            <v>154.87799999999999</v>
          </cell>
          <cell r="F29">
            <v>68.631</v>
          </cell>
          <cell r="G29" t="str">
            <v>н</v>
          </cell>
          <cell r="H29">
            <v>1</v>
          </cell>
          <cell r="I29">
            <v>30</v>
          </cell>
          <cell r="J29">
            <v>148.21</v>
          </cell>
          <cell r="K29">
            <v>6.6679999999999779</v>
          </cell>
          <cell r="L29">
            <v>30</v>
          </cell>
          <cell r="M29">
            <v>30</v>
          </cell>
          <cell r="N29">
            <v>60</v>
          </cell>
          <cell r="O29">
            <v>40</v>
          </cell>
          <cell r="P29">
            <v>0</v>
          </cell>
          <cell r="W29">
            <v>30.975599999999996</v>
          </cell>
          <cell r="X29">
            <v>20</v>
          </cell>
          <cell r="Y29">
            <v>8.0266726068260184</v>
          </cell>
          <cell r="Z29">
            <v>2.2156471545345373</v>
          </cell>
          <cell r="AC29">
            <v>0</v>
          </cell>
          <cell r="AD29">
            <v>31.0106</v>
          </cell>
          <cell r="AE29">
            <v>28.753399999999999</v>
          </cell>
          <cell r="AF29">
            <v>30.839199999999998</v>
          </cell>
          <cell r="AG29">
            <v>28.170800000000003</v>
          </cell>
          <cell r="AH29">
            <v>22.686</v>
          </cell>
          <cell r="AI29">
            <v>0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1168.472</v>
          </cell>
          <cell r="D30">
            <v>1321.2</v>
          </cell>
          <cell r="E30">
            <v>1633.3030000000001</v>
          </cell>
          <cell r="F30">
            <v>836.17</v>
          </cell>
          <cell r="G30">
            <v>0</v>
          </cell>
          <cell r="H30">
            <v>1</v>
          </cell>
          <cell r="I30">
            <v>30</v>
          </cell>
          <cell r="J30">
            <v>1638.51</v>
          </cell>
          <cell r="K30">
            <v>-5.2069999999998799</v>
          </cell>
          <cell r="L30">
            <v>300</v>
          </cell>
          <cell r="M30">
            <v>100</v>
          </cell>
          <cell r="N30">
            <v>100</v>
          </cell>
          <cell r="O30">
            <v>300</v>
          </cell>
          <cell r="P30">
            <v>300</v>
          </cell>
          <cell r="W30">
            <v>326.66060000000004</v>
          </cell>
          <cell r="X30">
            <v>600</v>
          </cell>
          <cell r="Y30">
            <v>7.763929901555314</v>
          </cell>
          <cell r="Z30">
            <v>2.5597516198770216</v>
          </cell>
          <cell r="AC30">
            <v>0</v>
          </cell>
          <cell r="AD30">
            <v>366.32560000000001</v>
          </cell>
          <cell r="AE30">
            <v>408.3476</v>
          </cell>
          <cell r="AF30">
            <v>364.33580000000001</v>
          </cell>
          <cell r="AG30">
            <v>334.79160000000002</v>
          </cell>
          <cell r="AH30">
            <v>334.12900000000002</v>
          </cell>
          <cell r="AI30" t="str">
            <v>оконч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123.151</v>
          </cell>
          <cell r="D31">
            <v>62.25</v>
          </cell>
          <cell r="E31">
            <v>130.49199999999999</v>
          </cell>
          <cell r="F31">
            <v>36.883000000000003</v>
          </cell>
          <cell r="G31">
            <v>0</v>
          </cell>
          <cell r="H31">
            <v>1</v>
          </cell>
          <cell r="I31">
            <v>40</v>
          </cell>
          <cell r="J31">
            <v>142.65</v>
          </cell>
          <cell r="K31">
            <v>-12.158000000000015</v>
          </cell>
          <cell r="L31">
            <v>20</v>
          </cell>
          <cell r="M31">
            <v>0</v>
          </cell>
          <cell r="N31">
            <v>20</v>
          </cell>
          <cell r="O31">
            <v>0</v>
          </cell>
          <cell r="P31">
            <v>0</v>
          </cell>
          <cell r="W31">
            <v>26.098399999999998</v>
          </cell>
          <cell r="X31">
            <v>120</v>
          </cell>
          <cell r="Y31">
            <v>7.5438724212978583</v>
          </cell>
          <cell r="Z31">
            <v>1.4132283971431201</v>
          </cell>
          <cell r="AC31">
            <v>0</v>
          </cell>
          <cell r="AD31">
            <v>23.022399999999998</v>
          </cell>
          <cell r="AE31">
            <v>25.421600000000002</v>
          </cell>
          <cell r="AF31">
            <v>19.1998</v>
          </cell>
          <cell r="AG31">
            <v>19.645</v>
          </cell>
          <cell r="AH31">
            <v>74.617000000000004</v>
          </cell>
          <cell r="AI31">
            <v>0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127.505</v>
          </cell>
          <cell r="D32">
            <v>17.992000000000001</v>
          </cell>
          <cell r="E32">
            <v>130.88</v>
          </cell>
          <cell r="F32">
            <v>14.617000000000001</v>
          </cell>
          <cell r="G32" t="str">
            <v>н</v>
          </cell>
          <cell r="H32">
            <v>1</v>
          </cell>
          <cell r="I32">
            <v>35</v>
          </cell>
          <cell r="J32">
            <v>136.30000000000001</v>
          </cell>
          <cell r="K32">
            <v>-5.4200000000000159</v>
          </cell>
          <cell r="L32">
            <v>20</v>
          </cell>
          <cell r="M32">
            <v>30</v>
          </cell>
          <cell r="N32">
            <v>90</v>
          </cell>
          <cell r="O32">
            <v>20</v>
          </cell>
          <cell r="P32">
            <v>60</v>
          </cell>
          <cell r="W32">
            <v>26.175999999999998</v>
          </cell>
          <cell r="Y32">
            <v>8.9630577628361863</v>
          </cell>
          <cell r="Z32">
            <v>0.55841228606356974</v>
          </cell>
          <cell r="AC32">
            <v>0</v>
          </cell>
          <cell r="AD32">
            <v>18.755600000000001</v>
          </cell>
          <cell r="AE32">
            <v>24.043399999999998</v>
          </cell>
          <cell r="AF32">
            <v>24.002800000000001</v>
          </cell>
          <cell r="AG32">
            <v>16.987200000000001</v>
          </cell>
          <cell r="AH32">
            <v>8.3379999999999992</v>
          </cell>
          <cell r="AI32">
            <v>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760.95299999999997</v>
          </cell>
          <cell r="D33">
            <v>829.21799999999996</v>
          </cell>
          <cell r="E33">
            <v>992.53800000000001</v>
          </cell>
          <cell r="F33">
            <v>578.46900000000005</v>
          </cell>
          <cell r="G33">
            <v>0</v>
          </cell>
          <cell r="H33">
            <v>1</v>
          </cell>
          <cell r="I33">
            <v>30</v>
          </cell>
          <cell r="J33">
            <v>948.02800000000002</v>
          </cell>
          <cell r="K33">
            <v>44.509999999999991</v>
          </cell>
          <cell r="L33">
            <v>220</v>
          </cell>
          <cell r="M33">
            <v>100</v>
          </cell>
          <cell r="N33">
            <v>100</v>
          </cell>
          <cell r="O33">
            <v>200</v>
          </cell>
          <cell r="P33">
            <v>100</v>
          </cell>
          <cell r="W33">
            <v>198.5076</v>
          </cell>
          <cell r="X33">
            <v>200</v>
          </cell>
          <cell r="Y33">
            <v>7.5486731994140275</v>
          </cell>
          <cell r="Z33">
            <v>2.9140899391257569</v>
          </cell>
          <cell r="AC33">
            <v>0</v>
          </cell>
          <cell r="AD33">
            <v>225.88200000000001</v>
          </cell>
          <cell r="AE33">
            <v>195.91739999999999</v>
          </cell>
          <cell r="AF33">
            <v>239.15120000000002</v>
          </cell>
          <cell r="AG33">
            <v>219.10579999999999</v>
          </cell>
          <cell r="AH33">
            <v>164.09</v>
          </cell>
          <cell r="AI33" t="str">
            <v>жц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26.042000000000002</v>
          </cell>
          <cell r="D34">
            <v>0.92</v>
          </cell>
          <cell r="E34">
            <v>2.7570000000000001</v>
          </cell>
          <cell r="F34">
            <v>22.385000000000002</v>
          </cell>
          <cell r="G34" t="str">
            <v>вв1912</v>
          </cell>
          <cell r="H34">
            <v>0</v>
          </cell>
          <cell r="I34">
            <v>45</v>
          </cell>
          <cell r="J34">
            <v>3.1</v>
          </cell>
          <cell r="K34">
            <v>-0.34299999999999997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W34">
            <v>0.5514</v>
          </cell>
          <cell r="Y34">
            <v>40.596663039535727</v>
          </cell>
          <cell r="Z34">
            <v>40.596663039535727</v>
          </cell>
          <cell r="AC34">
            <v>0</v>
          </cell>
          <cell r="AD34">
            <v>1.089</v>
          </cell>
          <cell r="AE34">
            <v>3.6008000000000004</v>
          </cell>
          <cell r="AF34">
            <v>1.0891999999999999</v>
          </cell>
          <cell r="AG34">
            <v>0.36659999999999998</v>
          </cell>
          <cell r="AH34">
            <v>2.1000000000000001E-2</v>
          </cell>
          <cell r="AI34" t="str">
            <v>увел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 t="str">
            <v>кг</v>
          </cell>
          <cell r="C35">
            <v>20.617999999999999</v>
          </cell>
          <cell r="E35">
            <v>6.3049999999999997</v>
          </cell>
          <cell r="F35">
            <v>11.983000000000001</v>
          </cell>
          <cell r="G35" t="str">
            <v>вв1912</v>
          </cell>
          <cell r="H35">
            <v>0</v>
          </cell>
          <cell r="I35">
            <v>45</v>
          </cell>
          <cell r="J35">
            <v>6.5</v>
          </cell>
          <cell r="K35">
            <v>-0.19500000000000028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W35">
            <v>1.2609999999999999</v>
          </cell>
          <cell r="Y35">
            <v>9.5027755749405252</v>
          </cell>
          <cell r="Z35">
            <v>9.5027755749405252</v>
          </cell>
          <cell r="AC35">
            <v>0</v>
          </cell>
          <cell r="AD35">
            <v>0.89060000000000006</v>
          </cell>
          <cell r="AE35">
            <v>1.0678000000000001</v>
          </cell>
          <cell r="AF35">
            <v>2.4874000000000001</v>
          </cell>
          <cell r="AG35">
            <v>1.0664</v>
          </cell>
          <cell r="AH35">
            <v>0.88300000000000001</v>
          </cell>
          <cell r="AI35" t="str">
            <v>увел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17.036000000000001</v>
          </cell>
          <cell r="E36">
            <v>5.3710000000000004</v>
          </cell>
          <cell r="F36">
            <v>11.664999999999999</v>
          </cell>
          <cell r="G36" t="str">
            <v>вв1912</v>
          </cell>
          <cell r="H36">
            <v>0</v>
          </cell>
          <cell r="I36">
            <v>45</v>
          </cell>
          <cell r="J36">
            <v>4.7</v>
          </cell>
          <cell r="K36">
            <v>0.67100000000000026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W36">
            <v>1.0742</v>
          </cell>
          <cell r="Y36">
            <v>10.859244088624092</v>
          </cell>
          <cell r="Z36">
            <v>10.859244088624092</v>
          </cell>
          <cell r="AC36">
            <v>0</v>
          </cell>
          <cell r="AD36">
            <v>1.2470000000000001</v>
          </cell>
          <cell r="AE36">
            <v>3.4212000000000002</v>
          </cell>
          <cell r="AF36">
            <v>0.90280000000000005</v>
          </cell>
          <cell r="AG36">
            <v>1.254</v>
          </cell>
          <cell r="AH36">
            <v>0.90700000000000003</v>
          </cell>
          <cell r="AI36">
            <v>0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1216</v>
          </cell>
          <cell r="D37">
            <v>3925</v>
          </cell>
          <cell r="E37">
            <v>4363</v>
          </cell>
          <cell r="F37">
            <v>753</v>
          </cell>
          <cell r="G37">
            <v>0</v>
          </cell>
          <cell r="H37">
            <v>0.35</v>
          </cell>
          <cell r="I37">
            <v>40</v>
          </cell>
          <cell r="J37">
            <v>4381</v>
          </cell>
          <cell r="K37">
            <v>-18</v>
          </cell>
          <cell r="L37">
            <v>400</v>
          </cell>
          <cell r="M37">
            <v>300</v>
          </cell>
          <cell r="N37">
            <v>300</v>
          </cell>
          <cell r="O37">
            <v>600</v>
          </cell>
          <cell r="P37">
            <v>700</v>
          </cell>
          <cell r="W37">
            <v>372.2</v>
          </cell>
          <cell r="X37">
            <v>700</v>
          </cell>
          <cell r="Y37">
            <v>10.083288554540569</v>
          </cell>
          <cell r="Z37">
            <v>2.0231058570660934</v>
          </cell>
          <cell r="AC37">
            <v>2502</v>
          </cell>
          <cell r="AD37">
            <v>392.8</v>
          </cell>
          <cell r="AE37">
            <v>390.8</v>
          </cell>
          <cell r="AF37">
            <v>360.6</v>
          </cell>
          <cell r="AG37">
            <v>336.4</v>
          </cell>
          <cell r="AH37">
            <v>460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1977</v>
          </cell>
          <cell r="D38">
            <v>3541</v>
          </cell>
          <cell r="E38">
            <v>3776</v>
          </cell>
          <cell r="F38">
            <v>1711</v>
          </cell>
          <cell r="G38">
            <v>0</v>
          </cell>
          <cell r="H38">
            <v>0.4</v>
          </cell>
          <cell r="I38">
            <v>40</v>
          </cell>
          <cell r="J38">
            <v>3804</v>
          </cell>
          <cell r="K38">
            <v>-28</v>
          </cell>
          <cell r="L38">
            <v>700</v>
          </cell>
          <cell r="M38">
            <v>0</v>
          </cell>
          <cell r="N38">
            <v>800</v>
          </cell>
          <cell r="O38">
            <v>800</v>
          </cell>
          <cell r="P38">
            <v>600</v>
          </cell>
          <cell r="W38">
            <v>605.20000000000005</v>
          </cell>
          <cell r="X38">
            <v>250</v>
          </cell>
          <cell r="Y38">
            <v>8.0320555188367475</v>
          </cell>
          <cell r="Z38">
            <v>2.8271645736946462</v>
          </cell>
          <cell r="AC38">
            <v>750</v>
          </cell>
          <cell r="AD38">
            <v>650</v>
          </cell>
          <cell r="AE38">
            <v>611.6</v>
          </cell>
          <cell r="AF38">
            <v>651.4</v>
          </cell>
          <cell r="AG38">
            <v>616</v>
          </cell>
          <cell r="AH38">
            <v>544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3124</v>
          </cell>
          <cell r="D39">
            <v>1457</v>
          </cell>
          <cell r="E39">
            <v>3082</v>
          </cell>
          <cell r="F39">
            <v>1456</v>
          </cell>
          <cell r="G39">
            <v>0</v>
          </cell>
          <cell r="H39">
            <v>0.45</v>
          </cell>
          <cell r="I39">
            <v>45</v>
          </cell>
          <cell r="J39">
            <v>3154</v>
          </cell>
          <cell r="K39">
            <v>-72</v>
          </cell>
          <cell r="L39">
            <v>700</v>
          </cell>
          <cell r="M39">
            <v>700</v>
          </cell>
          <cell r="N39">
            <v>700</v>
          </cell>
          <cell r="O39">
            <v>1000</v>
          </cell>
          <cell r="P39">
            <v>600</v>
          </cell>
          <cell r="W39">
            <v>616.4</v>
          </cell>
          <cell r="X39">
            <v>1000</v>
          </cell>
          <cell r="Y39">
            <v>9.9870214146658025</v>
          </cell>
          <cell r="Z39">
            <v>2.3621025308241403</v>
          </cell>
          <cell r="AC39">
            <v>0</v>
          </cell>
          <cell r="AD39">
            <v>1071.2</v>
          </cell>
          <cell r="AE39">
            <v>924</v>
          </cell>
          <cell r="AF39">
            <v>774</v>
          </cell>
          <cell r="AG39">
            <v>585.6</v>
          </cell>
          <cell r="AH39">
            <v>602</v>
          </cell>
          <cell r="AI39" t="str">
            <v>оконч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462.49400000000003</v>
          </cell>
          <cell r="D40">
            <v>404.28699999999998</v>
          </cell>
          <cell r="E40">
            <v>491.59399999999999</v>
          </cell>
          <cell r="F40">
            <v>369.48399999999998</v>
          </cell>
          <cell r="G40">
            <v>0</v>
          </cell>
          <cell r="H40">
            <v>1</v>
          </cell>
          <cell r="I40">
            <v>40</v>
          </cell>
          <cell r="J40">
            <v>475.029</v>
          </cell>
          <cell r="K40">
            <v>16.564999999999998</v>
          </cell>
          <cell r="L40">
            <v>120</v>
          </cell>
          <cell r="M40">
            <v>0</v>
          </cell>
          <cell r="N40">
            <v>90</v>
          </cell>
          <cell r="O40">
            <v>50</v>
          </cell>
          <cell r="P40">
            <v>100</v>
          </cell>
          <cell r="W40">
            <v>98.318799999999996</v>
          </cell>
          <cell r="X40">
            <v>60</v>
          </cell>
          <cell r="Y40">
            <v>8.0298376302395873</v>
          </cell>
          <cell r="Z40">
            <v>3.758019829371392</v>
          </cell>
          <cell r="AC40">
            <v>0</v>
          </cell>
          <cell r="AD40">
            <v>109.0758</v>
          </cell>
          <cell r="AE40">
            <v>106.70399999999999</v>
          </cell>
          <cell r="AF40">
            <v>123.4212</v>
          </cell>
          <cell r="AG40">
            <v>107.28279999999999</v>
          </cell>
          <cell r="AH40">
            <v>89.316000000000003</v>
          </cell>
          <cell r="AI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3906</v>
          </cell>
          <cell r="D41">
            <v>1029</v>
          </cell>
          <cell r="E41">
            <v>978</v>
          </cell>
          <cell r="F41">
            <v>3940</v>
          </cell>
          <cell r="G41">
            <v>0</v>
          </cell>
          <cell r="H41">
            <v>0.1</v>
          </cell>
          <cell r="I41">
            <v>730</v>
          </cell>
          <cell r="J41">
            <v>999</v>
          </cell>
          <cell r="K41">
            <v>-21</v>
          </cell>
          <cell r="L41">
            <v>0</v>
          </cell>
          <cell r="M41">
            <v>0</v>
          </cell>
          <cell r="N41">
            <v>1000</v>
          </cell>
          <cell r="O41">
            <v>0</v>
          </cell>
          <cell r="P41">
            <v>0</v>
          </cell>
          <cell r="W41">
            <v>195.6</v>
          </cell>
          <cell r="Y41">
            <v>25.255623721881392</v>
          </cell>
          <cell r="Z41">
            <v>20.143149284253578</v>
          </cell>
          <cell r="AC41">
            <v>0</v>
          </cell>
          <cell r="AD41">
            <v>172.4</v>
          </cell>
          <cell r="AE41">
            <v>165.2</v>
          </cell>
          <cell r="AF41">
            <v>231.2</v>
          </cell>
          <cell r="AG41">
            <v>187.6</v>
          </cell>
          <cell r="AH41">
            <v>155</v>
          </cell>
          <cell r="AI41">
            <v>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868</v>
          </cell>
          <cell r="D42">
            <v>747</v>
          </cell>
          <cell r="E42">
            <v>1060</v>
          </cell>
          <cell r="F42">
            <v>535</v>
          </cell>
          <cell r="G42">
            <v>0</v>
          </cell>
          <cell r="H42">
            <v>0.35</v>
          </cell>
          <cell r="I42">
            <v>40</v>
          </cell>
          <cell r="J42">
            <v>1077</v>
          </cell>
          <cell r="K42">
            <v>-17</v>
          </cell>
          <cell r="L42">
            <v>250</v>
          </cell>
          <cell r="M42">
            <v>100</v>
          </cell>
          <cell r="N42">
            <v>200</v>
          </cell>
          <cell r="O42">
            <v>250</v>
          </cell>
          <cell r="P42">
            <v>400</v>
          </cell>
          <cell r="W42">
            <v>212</v>
          </cell>
          <cell r="X42">
            <v>300</v>
          </cell>
          <cell r="Y42">
            <v>9.5990566037735849</v>
          </cell>
          <cell r="Z42">
            <v>2.5235849056603774</v>
          </cell>
          <cell r="AC42">
            <v>0</v>
          </cell>
          <cell r="AD42">
            <v>202.4</v>
          </cell>
          <cell r="AE42">
            <v>183.2</v>
          </cell>
          <cell r="AF42">
            <v>245.2</v>
          </cell>
          <cell r="AG42">
            <v>206</v>
          </cell>
          <cell r="AH42">
            <v>192</v>
          </cell>
          <cell r="AI42">
            <v>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197.10599999999999</v>
          </cell>
          <cell r="D43">
            <v>151.435</v>
          </cell>
          <cell r="E43">
            <v>228.268</v>
          </cell>
          <cell r="F43">
            <v>114.395</v>
          </cell>
          <cell r="G43">
            <v>0</v>
          </cell>
          <cell r="H43">
            <v>1</v>
          </cell>
          <cell r="I43">
            <v>40</v>
          </cell>
          <cell r="J43">
            <v>235.11</v>
          </cell>
          <cell r="K43">
            <v>-6.842000000000013</v>
          </cell>
          <cell r="L43">
            <v>50</v>
          </cell>
          <cell r="M43">
            <v>50</v>
          </cell>
          <cell r="N43">
            <v>50</v>
          </cell>
          <cell r="O43">
            <v>70</v>
          </cell>
          <cell r="P43">
            <v>50</v>
          </cell>
          <cell r="W43">
            <v>45.653599999999997</v>
          </cell>
          <cell r="X43">
            <v>60</v>
          </cell>
          <cell r="Y43">
            <v>9.7340625930923306</v>
          </cell>
          <cell r="Z43">
            <v>2.5057169642700687</v>
          </cell>
          <cell r="AC43">
            <v>0</v>
          </cell>
          <cell r="AD43">
            <v>48.867599999999996</v>
          </cell>
          <cell r="AE43">
            <v>43.538200000000003</v>
          </cell>
          <cell r="AF43">
            <v>48.555999999999997</v>
          </cell>
          <cell r="AG43">
            <v>41.4724</v>
          </cell>
          <cell r="AH43">
            <v>47.207000000000001</v>
          </cell>
          <cell r="AI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705</v>
          </cell>
          <cell r="D44">
            <v>869</v>
          </cell>
          <cell r="E44">
            <v>944</v>
          </cell>
          <cell r="F44">
            <v>616</v>
          </cell>
          <cell r="G44">
            <v>0</v>
          </cell>
          <cell r="H44">
            <v>0.4</v>
          </cell>
          <cell r="I44">
            <v>35</v>
          </cell>
          <cell r="J44">
            <v>953</v>
          </cell>
          <cell r="K44">
            <v>-9</v>
          </cell>
          <cell r="L44">
            <v>250</v>
          </cell>
          <cell r="M44">
            <v>100</v>
          </cell>
          <cell r="N44">
            <v>100</v>
          </cell>
          <cell r="O44">
            <v>200</v>
          </cell>
          <cell r="P44">
            <v>200</v>
          </cell>
          <cell r="W44">
            <v>188.8</v>
          </cell>
          <cell r="Y44">
            <v>7.7648305084745761</v>
          </cell>
          <cell r="Z44">
            <v>3.2627118644067794</v>
          </cell>
          <cell r="AC44">
            <v>0</v>
          </cell>
          <cell r="AD44">
            <v>155.6</v>
          </cell>
          <cell r="AE44">
            <v>121.4</v>
          </cell>
          <cell r="AF44">
            <v>193.4</v>
          </cell>
          <cell r="AG44">
            <v>204.6</v>
          </cell>
          <cell r="AH44">
            <v>154</v>
          </cell>
          <cell r="AI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793</v>
          </cell>
          <cell r="D45">
            <v>1901</v>
          </cell>
          <cell r="E45">
            <v>1480</v>
          </cell>
          <cell r="F45">
            <v>1188</v>
          </cell>
          <cell r="G45">
            <v>0</v>
          </cell>
          <cell r="H45">
            <v>0.4</v>
          </cell>
          <cell r="I45">
            <v>40</v>
          </cell>
          <cell r="J45">
            <v>1520</v>
          </cell>
          <cell r="K45">
            <v>-40</v>
          </cell>
          <cell r="L45">
            <v>400</v>
          </cell>
          <cell r="M45">
            <v>0</v>
          </cell>
          <cell r="N45">
            <v>300</v>
          </cell>
          <cell r="O45">
            <v>300</v>
          </cell>
          <cell r="P45">
            <v>300</v>
          </cell>
          <cell r="W45">
            <v>296</v>
          </cell>
          <cell r="Y45">
            <v>8.4054054054054053</v>
          </cell>
          <cell r="Z45">
            <v>4.0135135135135132</v>
          </cell>
          <cell r="AC45">
            <v>0</v>
          </cell>
          <cell r="AD45">
            <v>336.8</v>
          </cell>
          <cell r="AE45">
            <v>306.39999999999998</v>
          </cell>
          <cell r="AF45">
            <v>326.2</v>
          </cell>
          <cell r="AG45">
            <v>345.6</v>
          </cell>
          <cell r="AH45">
            <v>293</v>
          </cell>
          <cell r="AI45">
            <v>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136.274</v>
          </cell>
          <cell r="D46">
            <v>113.117</v>
          </cell>
          <cell r="E46">
            <v>172.22200000000001</v>
          </cell>
          <cell r="F46">
            <v>76.45</v>
          </cell>
          <cell r="G46" t="str">
            <v>лид, я</v>
          </cell>
          <cell r="H46">
            <v>1</v>
          </cell>
          <cell r="I46">
            <v>40</v>
          </cell>
          <cell r="J46">
            <v>175.6</v>
          </cell>
          <cell r="K46">
            <v>-3.3779999999999859</v>
          </cell>
          <cell r="L46">
            <v>30</v>
          </cell>
          <cell r="M46">
            <v>50</v>
          </cell>
          <cell r="N46">
            <v>50</v>
          </cell>
          <cell r="O46">
            <v>60</v>
          </cell>
          <cell r="P46">
            <v>20</v>
          </cell>
          <cell r="W46">
            <v>34.444400000000002</v>
          </cell>
          <cell r="X46">
            <v>50</v>
          </cell>
          <cell r="Y46">
            <v>9.7679158295688122</v>
          </cell>
          <cell r="Z46">
            <v>2.2195189929277328</v>
          </cell>
          <cell r="AC46">
            <v>0</v>
          </cell>
          <cell r="AD46">
            <v>33.492200000000004</v>
          </cell>
          <cell r="AE46">
            <v>30.549400000000002</v>
          </cell>
          <cell r="AF46">
            <v>32.434800000000003</v>
          </cell>
          <cell r="AG46">
            <v>29.039200000000001</v>
          </cell>
          <cell r="AH46">
            <v>39.637999999999998</v>
          </cell>
          <cell r="AI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379.25700000000001</v>
          </cell>
          <cell r="D47">
            <v>250.20599999999999</v>
          </cell>
          <cell r="E47">
            <v>416.48599999999999</v>
          </cell>
          <cell r="F47">
            <v>200.70699999999999</v>
          </cell>
          <cell r="G47">
            <v>0</v>
          </cell>
          <cell r="H47">
            <v>1</v>
          </cell>
          <cell r="I47">
            <v>40</v>
          </cell>
          <cell r="J47">
            <v>423.53</v>
          </cell>
          <cell r="K47">
            <v>-7.0439999999999827</v>
          </cell>
          <cell r="L47">
            <v>90</v>
          </cell>
          <cell r="M47">
            <v>100</v>
          </cell>
          <cell r="N47">
            <v>100</v>
          </cell>
          <cell r="O47">
            <v>120</v>
          </cell>
          <cell r="P47">
            <v>100</v>
          </cell>
          <cell r="W47">
            <v>83.297200000000004</v>
          </cell>
          <cell r="X47">
            <v>90</v>
          </cell>
          <cell r="Y47">
            <v>9.6126520459271134</v>
          </cell>
          <cell r="Z47">
            <v>2.4095287716753981</v>
          </cell>
          <cell r="AC47">
            <v>0</v>
          </cell>
          <cell r="AD47">
            <v>107.44159999999999</v>
          </cell>
          <cell r="AE47">
            <v>108.0234</v>
          </cell>
          <cell r="AF47">
            <v>93.0214</v>
          </cell>
          <cell r="AG47">
            <v>76.961399999999998</v>
          </cell>
          <cell r="AH47">
            <v>81.088999999999999</v>
          </cell>
          <cell r="AI47" t="str">
            <v>оконч вип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 t="str">
            <v>шт</v>
          </cell>
          <cell r="C48">
            <v>916</v>
          </cell>
          <cell r="D48">
            <v>1092</v>
          </cell>
          <cell r="E48">
            <v>1362</v>
          </cell>
          <cell r="F48">
            <v>617</v>
          </cell>
          <cell r="G48" t="str">
            <v>лид, я</v>
          </cell>
          <cell r="H48">
            <v>0.35</v>
          </cell>
          <cell r="I48">
            <v>40</v>
          </cell>
          <cell r="J48">
            <v>1387</v>
          </cell>
          <cell r="K48">
            <v>-25</v>
          </cell>
          <cell r="L48">
            <v>280</v>
          </cell>
          <cell r="M48">
            <v>200</v>
          </cell>
          <cell r="N48">
            <v>300</v>
          </cell>
          <cell r="O48">
            <v>400</v>
          </cell>
          <cell r="P48">
            <v>400</v>
          </cell>
          <cell r="W48">
            <v>272.39999999999998</v>
          </cell>
          <cell r="X48">
            <v>400</v>
          </cell>
          <cell r="Y48">
            <v>9.5337738619676955</v>
          </cell>
          <cell r="Z48">
            <v>2.2650513950073425</v>
          </cell>
          <cell r="AC48">
            <v>0</v>
          </cell>
          <cell r="AD48">
            <v>261.8</v>
          </cell>
          <cell r="AE48">
            <v>247.4</v>
          </cell>
          <cell r="AF48">
            <v>284.2</v>
          </cell>
          <cell r="AG48">
            <v>255.8</v>
          </cell>
          <cell r="AH48">
            <v>287</v>
          </cell>
          <cell r="AI48">
            <v>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1590</v>
          </cell>
          <cell r="D49">
            <v>1820</v>
          </cell>
          <cell r="E49">
            <v>2099</v>
          </cell>
          <cell r="F49">
            <v>1269</v>
          </cell>
          <cell r="G49">
            <v>0</v>
          </cell>
          <cell r="H49">
            <v>0.35</v>
          </cell>
          <cell r="I49">
            <v>40</v>
          </cell>
          <cell r="J49">
            <v>2158</v>
          </cell>
          <cell r="K49">
            <v>-59</v>
          </cell>
          <cell r="L49">
            <v>500</v>
          </cell>
          <cell r="M49">
            <v>200</v>
          </cell>
          <cell r="N49">
            <v>400</v>
          </cell>
          <cell r="O49">
            <v>600</v>
          </cell>
          <cell r="P49">
            <v>650</v>
          </cell>
          <cell r="W49">
            <v>419.8</v>
          </cell>
          <cell r="X49">
            <v>400</v>
          </cell>
          <cell r="Y49">
            <v>9.5736064792758455</v>
          </cell>
          <cell r="Z49">
            <v>3.0228680323963792</v>
          </cell>
          <cell r="AC49">
            <v>0</v>
          </cell>
          <cell r="AD49">
            <v>430</v>
          </cell>
          <cell r="AE49">
            <v>398.6</v>
          </cell>
          <cell r="AF49">
            <v>484.6</v>
          </cell>
          <cell r="AG49">
            <v>432.4</v>
          </cell>
          <cell r="AH49">
            <v>437</v>
          </cell>
          <cell r="AI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806</v>
          </cell>
          <cell r="D50">
            <v>946</v>
          </cell>
          <cell r="E50">
            <v>1097</v>
          </cell>
          <cell r="F50">
            <v>643</v>
          </cell>
          <cell r="G50">
            <v>0</v>
          </cell>
          <cell r="H50">
            <v>0.4</v>
          </cell>
          <cell r="I50">
            <v>35</v>
          </cell>
          <cell r="J50">
            <v>1112</v>
          </cell>
          <cell r="K50">
            <v>-15</v>
          </cell>
          <cell r="L50">
            <v>250</v>
          </cell>
          <cell r="M50">
            <v>100</v>
          </cell>
          <cell r="N50">
            <v>100</v>
          </cell>
          <cell r="O50">
            <v>250</v>
          </cell>
          <cell r="P50">
            <v>300</v>
          </cell>
          <cell r="W50">
            <v>219.4</v>
          </cell>
          <cell r="X50">
            <v>100</v>
          </cell>
          <cell r="Y50">
            <v>7.9443938012762079</v>
          </cell>
          <cell r="Z50">
            <v>2.9307201458523244</v>
          </cell>
          <cell r="AC50">
            <v>0</v>
          </cell>
          <cell r="AD50">
            <v>234</v>
          </cell>
          <cell r="AE50">
            <v>213.8</v>
          </cell>
          <cell r="AF50">
            <v>247.6</v>
          </cell>
          <cell r="AG50">
            <v>225.4</v>
          </cell>
          <cell r="AH50">
            <v>196</v>
          </cell>
          <cell r="AI50">
            <v>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495.78</v>
          </cell>
          <cell r="D51">
            <v>1022.204</v>
          </cell>
          <cell r="E51">
            <v>909.69600000000003</v>
          </cell>
          <cell r="F51">
            <v>593.505</v>
          </cell>
          <cell r="G51">
            <v>0</v>
          </cell>
          <cell r="H51">
            <v>1</v>
          </cell>
          <cell r="I51">
            <v>50</v>
          </cell>
          <cell r="J51">
            <v>911.38300000000004</v>
          </cell>
          <cell r="K51">
            <v>-1.6870000000000118</v>
          </cell>
          <cell r="L51">
            <v>200</v>
          </cell>
          <cell r="M51">
            <v>100</v>
          </cell>
          <cell r="N51">
            <v>300</v>
          </cell>
          <cell r="O51">
            <v>300</v>
          </cell>
          <cell r="P51">
            <v>150</v>
          </cell>
          <cell r="W51">
            <v>181.9392</v>
          </cell>
          <cell r="X51">
            <v>200</v>
          </cell>
          <cell r="Y51">
            <v>10.132533285844943</v>
          </cell>
          <cell r="Z51">
            <v>3.262106242085268</v>
          </cell>
          <cell r="AC51">
            <v>0</v>
          </cell>
          <cell r="AD51">
            <v>186.1696</v>
          </cell>
          <cell r="AE51">
            <v>158.2834</v>
          </cell>
          <cell r="AF51">
            <v>177.4718</v>
          </cell>
          <cell r="AG51">
            <v>186.9632</v>
          </cell>
          <cell r="AH51">
            <v>133.434</v>
          </cell>
          <cell r="AI51" t="str">
            <v>жц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510.57600000000002</v>
          </cell>
          <cell r="D52">
            <v>501.45</v>
          </cell>
          <cell r="E52">
            <v>711.29100000000005</v>
          </cell>
          <cell r="F52">
            <v>295.35300000000001</v>
          </cell>
          <cell r="G52" t="str">
            <v>н</v>
          </cell>
          <cell r="H52">
            <v>1</v>
          </cell>
          <cell r="I52">
            <v>50</v>
          </cell>
          <cell r="J52">
            <v>706.51499999999999</v>
          </cell>
          <cell r="K52">
            <v>4.7760000000000673</v>
          </cell>
          <cell r="L52">
            <v>150</v>
          </cell>
          <cell r="M52">
            <v>200</v>
          </cell>
          <cell r="N52">
            <v>200</v>
          </cell>
          <cell r="O52">
            <v>300</v>
          </cell>
          <cell r="P52">
            <v>100</v>
          </cell>
          <cell r="W52">
            <v>142.25820000000002</v>
          </cell>
          <cell r="X52">
            <v>200</v>
          </cell>
          <cell r="Y52">
            <v>10.160068101522443</v>
          </cell>
          <cell r="Z52">
            <v>2.0761755737103376</v>
          </cell>
          <cell r="AC52">
            <v>0</v>
          </cell>
          <cell r="AD52">
            <v>130.65119999999999</v>
          </cell>
          <cell r="AE52">
            <v>114.32539999999999</v>
          </cell>
          <cell r="AF52">
            <v>138.21420000000001</v>
          </cell>
          <cell r="AG52">
            <v>121.88040000000001</v>
          </cell>
          <cell r="AH52">
            <v>154.089</v>
          </cell>
          <cell r="AI52">
            <v>0</v>
          </cell>
        </row>
        <row r="53">
          <cell r="A53" t="str">
            <v xml:space="preserve"> 316  Колбаса Нежная ТМ Зареченские ВЕС  ПОКОМ</v>
          </cell>
          <cell r="B53" t="str">
            <v>кг</v>
          </cell>
          <cell r="C53">
            <v>1150.462</v>
          </cell>
          <cell r="E53">
            <v>132.381</v>
          </cell>
          <cell r="F53">
            <v>1018.081</v>
          </cell>
          <cell r="G53" t="str">
            <v>яблпром</v>
          </cell>
          <cell r="H53">
            <v>1</v>
          </cell>
          <cell r="I53">
            <v>50</v>
          </cell>
          <cell r="J53">
            <v>128.91999999999999</v>
          </cell>
          <cell r="K53">
            <v>3.4610000000000127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W53">
            <v>26.476199999999999</v>
          </cell>
          <cell r="Y53">
            <v>38.452685808386406</v>
          </cell>
          <cell r="Z53">
            <v>38.452685808386406</v>
          </cell>
          <cell r="AC53">
            <v>0</v>
          </cell>
          <cell r="AD53">
            <v>0</v>
          </cell>
          <cell r="AE53">
            <v>0</v>
          </cell>
          <cell r="AF53">
            <v>44.662599999999998</v>
          </cell>
          <cell r="AG53">
            <v>30.8918</v>
          </cell>
          <cell r="AH53">
            <v>79.727999999999994</v>
          </cell>
          <cell r="AI53" t="str">
            <v>Ларин0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C54">
            <v>2580.654</v>
          </cell>
          <cell r="D54">
            <v>5391.7389999999996</v>
          </cell>
          <cell r="E54">
            <v>5534.0510000000004</v>
          </cell>
          <cell r="F54">
            <v>2414.8679999999999</v>
          </cell>
          <cell r="G54">
            <v>0</v>
          </cell>
          <cell r="H54">
            <v>1</v>
          </cell>
          <cell r="I54">
            <v>40</v>
          </cell>
          <cell r="J54">
            <v>5453.7039999999997</v>
          </cell>
          <cell r="K54">
            <v>80.347000000000662</v>
          </cell>
          <cell r="L54">
            <v>1200</v>
          </cell>
          <cell r="M54">
            <v>1000</v>
          </cell>
          <cell r="N54">
            <v>1300</v>
          </cell>
          <cell r="O54">
            <v>1300</v>
          </cell>
          <cell r="P54">
            <v>700</v>
          </cell>
          <cell r="W54">
            <v>1106.8102000000001</v>
          </cell>
          <cell r="X54">
            <v>1000</v>
          </cell>
          <cell r="Y54">
            <v>8.05455894786658</v>
          </cell>
          <cell r="Z54">
            <v>2.1818266582653463</v>
          </cell>
          <cell r="AC54">
            <v>0</v>
          </cell>
          <cell r="AD54">
            <v>975.10239999999999</v>
          </cell>
          <cell r="AE54">
            <v>995.3886</v>
          </cell>
          <cell r="AF54">
            <v>999.38760000000002</v>
          </cell>
          <cell r="AG54">
            <v>1029.8522</v>
          </cell>
          <cell r="AH54">
            <v>1402.886</v>
          </cell>
          <cell r="AI54" t="str">
            <v>проддек-ян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1192</v>
          </cell>
          <cell r="D55">
            <v>7437</v>
          </cell>
          <cell r="E55">
            <v>6967</v>
          </cell>
          <cell r="F55">
            <v>1630</v>
          </cell>
          <cell r="G55">
            <v>0</v>
          </cell>
          <cell r="H55">
            <v>0.45</v>
          </cell>
          <cell r="I55">
            <v>50</v>
          </cell>
          <cell r="J55">
            <v>7069</v>
          </cell>
          <cell r="K55">
            <v>-102</v>
          </cell>
          <cell r="L55">
            <v>800</v>
          </cell>
          <cell r="M55">
            <v>1000</v>
          </cell>
          <cell r="N55">
            <v>1100</v>
          </cell>
          <cell r="O55">
            <v>1000</v>
          </cell>
          <cell r="P55">
            <v>800</v>
          </cell>
          <cell r="W55">
            <v>793.4</v>
          </cell>
          <cell r="X55">
            <v>1200</v>
          </cell>
          <cell r="Y55">
            <v>9.4907990925132353</v>
          </cell>
          <cell r="Z55">
            <v>2.05444920594908</v>
          </cell>
          <cell r="AC55">
            <v>3000</v>
          </cell>
          <cell r="AD55">
            <v>470.8</v>
          </cell>
          <cell r="AE55">
            <v>419.6</v>
          </cell>
          <cell r="AF55">
            <v>604.6</v>
          </cell>
          <cell r="AG55">
            <v>722</v>
          </cell>
          <cell r="AH55">
            <v>896</v>
          </cell>
          <cell r="AI55" t="str">
            <v>ябдек-ян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2641</v>
          </cell>
          <cell r="D56">
            <v>4391</v>
          </cell>
          <cell r="E56">
            <v>5100</v>
          </cell>
          <cell r="F56">
            <v>1856</v>
          </cell>
          <cell r="G56">
            <v>0</v>
          </cell>
          <cell r="H56">
            <v>0.45</v>
          </cell>
          <cell r="I56">
            <v>50</v>
          </cell>
          <cell r="J56">
            <v>5200</v>
          </cell>
          <cell r="K56">
            <v>-100</v>
          </cell>
          <cell r="L56">
            <v>900</v>
          </cell>
          <cell r="M56">
            <v>1200</v>
          </cell>
          <cell r="N56">
            <v>1200</v>
          </cell>
          <cell r="O56">
            <v>1000</v>
          </cell>
          <cell r="P56">
            <v>900</v>
          </cell>
          <cell r="W56">
            <v>860</v>
          </cell>
          <cell r="X56">
            <v>1500</v>
          </cell>
          <cell r="Y56">
            <v>9.9488372093023258</v>
          </cell>
          <cell r="Z56">
            <v>2.1581395348837211</v>
          </cell>
          <cell r="AC56">
            <v>800</v>
          </cell>
          <cell r="AD56">
            <v>862.8</v>
          </cell>
          <cell r="AE56">
            <v>814.2</v>
          </cell>
          <cell r="AF56">
            <v>845.6</v>
          </cell>
          <cell r="AG56">
            <v>790.2</v>
          </cell>
          <cell r="AH56">
            <v>864</v>
          </cell>
          <cell r="AI56" t="str">
            <v>жк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1020</v>
          </cell>
          <cell r="D57">
            <v>1421</v>
          </cell>
          <cell r="E57">
            <v>1457</v>
          </cell>
          <cell r="F57">
            <v>944</v>
          </cell>
          <cell r="G57">
            <v>0</v>
          </cell>
          <cell r="H57">
            <v>0.45</v>
          </cell>
          <cell r="I57">
            <v>50</v>
          </cell>
          <cell r="J57">
            <v>1484</v>
          </cell>
          <cell r="K57">
            <v>-27</v>
          </cell>
          <cell r="L57">
            <v>400</v>
          </cell>
          <cell r="M57">
            <v>100</v>
          </cell>
          <cell r="N57">
            <v>300</v>
          </cell>
          <cell r="O57">
            <v>400</v>
          </cell>
          <cell r="P57">
            <v>300</v>
          </cell>
          <cell r="W57">
            <v>291.39999999999998</v>
          </cell>
          <cell r="X57">
            <v>400</v>
          </cell>
          <cell r="Y57">
            <v>9.759780370624572</v>
          </cell>
          <cell r="Z57">
            <v>3.2395332875772138</v>
          </cell>
          <cell r="AC57">
            <v>0</v>
          </cell>
          <cell r="AD57">
            <v>277.39999999999998</v>
          </cell>
          <cell r="AE57">
            <v>286.39999999999998</v>
          </cell>
          <cell r="AF57">
            <v>326.60000000000002</v>
          </cell>
          <cell r="AG57">
            <v>309</v>
          </cell>
          <cell r="AH57">
            <v>273</v>
          </cell>
          <cell r="AI57" t="str">
            <v>жц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197</v>
          </cell>
          <cell r="D58">
            <v>262</v>
          </cell>
          <cell r="E58">
            <v>430</v>
          </cell>
          <cell r="F58">
            <v>18</v>
          </cell>
          <cell r="G58">
            <v>0</v>
          </cell>
          <cell r="H58">
            <v>0.4</v>
          </cell>
          <cell r="I58">
            <v>40</v>
          </cell>
          <cell r="J58">
            <v>468</v>
          </cell>
          <cell r="K58">
            <v>-38</v>
          </cell>
          <cell r="L58">
            <v>70</v>
          </cell>
          <cell r="M58">
            <v>80</v>
          </cell>
          <cell r="N58">
            <v>110</v>
          </cell>
          <cell r="O58">
            <v>70</v>
          </cell>
          <cell r="P58">
            <v>200</v>
          </cell>
          <cell r="W58">
            <v>86</v>
          </cell>
          <cell r="X58">
            <v>120</v>
          </cell>
          <cell r="Y58">
            <v>7.7674418604651159</v>
          </cell>
          <cell r="Z58">
            <v>0.20930232558139536</v>
          </cell>
          <cell r="AC58">
            <v>0</v>
          </cell>
          <cell r="AD58">
            <v>61.8</v>
          </cell>
          <cell r="AE58">
            <v>58.8</v>
          </cell>
          <cell r="AF58">
            <v>59.4</v>
          </cell>
          <cell r="AG58">
            <v>56.6</v>
          </cell>
          <cell r="AH58">
            <v>68</v>
          </cell>
          <cell r="AI58">
            <v>0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194</v>
          </cell>
          <cell r="D59">
            <v>251</v>
          </cell>
          <cell r="E59">
            <v>392</v>
          </cell>
          <cell r="F59">
            <v>45</v>
          </cell>
          <cell r="G59">
            <v>0</v>
          </cell>
          <cell r="H59">
            <v>0.4</v>
          </cell>
          <cell r="I59">
            <v>40</v>
          </cell>
          <cell r="J59">
            <v>409</v>
          </cell>
          <cell r="K59">
            <v>-17</v>
          </cell>
          <cell r="L59">
            <v>60</v>
          </cell>
          <cell r="M59">
            <v>80</v>
          </cell>
          <cell r="N59">
            <v>100</v>
          </cell>
          <cell r="O59">
            <v>70</v>
          </cell>
          <cell r="P59">
            <v>140</v>
          </cell>
          <cell r="W59">
            <v>78.400000000000006</v>
          </cell>
          <cell r="X59">
            <v>120</v>
          </cell>
          <cell r="Y59">
            <v>7.8443877551020407</v>
          </cell>
          <cell r="Z59">
            <v>0.57397959183673464</v>
          </cell>
          <cell r="AC59">
            <v>0</v>
          </cell>
          <cell r="AD59">
            <v>58.2</v>
          </cell>
          <cell r="AE59">
            <v>50.4</v>
          </cell>
          <cell r="AF59">
            <v>56.2</v>
          </cell>
          <cell r="AG59">
            <v>54</v>
          </cell>
          <cell r="AH59">
            <v>72</v>
          </cell>
          <cell r="AI59">
            <v>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503.053</v>
          </cell>
          <cell r="D60">
            <v>1027.9559999999999</v>
          </cell>
          <cell r="E60">
            <v>1057.2159999999999</v>
          </cell>
          <cell r="F60">
            <v>436.27300000000002</v>
          </cell>
          <cell r="G60">
            <v>0</v>
          </cell>
          <cell r="H60">
            <v>1</v>
          </cell>
          <cell r="I60">
            <v>50</v>
          </cell>
          <cell r="J60">
            <v>1043.566</v>
          </cell>
          <cell r="K60">
            <v>13.649999999999864</v>
          </cell>
          <cell r="L60">
            <v>250</v>
          </cell>
          <cell r="M60">
            <v>300</v>
          </cell>
          <cell r="N60">
            <v>300</v>
          </cell>
          <cell r="O60">
            <v>300</v>
          </cell>
          <cell r="P60">
            <v>200</v>
          </cell>
          <cell r="W60">
            <v>211.44319999999999</v>
          </cell>
          <cell r="X60">
            <v>300</v>
          </cell>
          <cell r="Y60">
            <v>9.8668247548277748</v>
          </cell>
          <cell r="Z60">
            <v>2.0633106195895636</v>
          </cell>
          <cell r="AC60">
            <v>0</v>
          </cell>
          <cell r="AD60">
            <v>191.21520000000001</v>
          </cell>
          <cell r="AE60">
            <v>174.87439999999998</v>
          </cell>
          <cell r="AF60">
            <v>179.63759999999999</v>
          </cell>
          <cell r="AG60">
            <v>190.4136</v>
          </cell>
          <cell r="AH60">
            <v>201.81800000000001</v>
          </cell>
          <cell r="AI60">
            <v>0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2842</v>
          </cell>
          <cell r="D61">
            <v>825</v>
          </cell>
          <cell r="E61">
            <v>641</v>
          </cell>
          <cell r="F61">
            <v>3013</v>
          </cell>
          <cell r="G61">
            <v>0</v>
          </cell>
          <cell r="H61">
            <v>0.1</v>
          </cell>
          <cell r="I61">
            <v>730</v>
          </cell>
          <cell r="J61">
            <v>655</v>
          </cell>
          <cell r="K61">
            <v>-14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W61">
            <v>128.19999999999999</v>
          </cell>
          <cell r="Y61">
            <v>23.502340093603745</v>
          </cell>
          <cell r="Z61">
            <v>23.502340093603745</v>
          </cell>
          <cell r="AC61">
            <v>0</v>
          </cell>
          <cell r="AD61">
            <v>120.8</v>
          </cell>
          <cell r="AE61">
            <v>104.4</v>
          </cell>
          <cell r="AF61">
            <v>157.4</v>
          </cell>
          <cell r="AG61">
            <v>129.4</v>
          </cell>
          <cell r="AH61">
            <v>94</v>
          </cell>
          <cell r="AI61">
            <v>0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164.05699999999999</v>
          </cell>
          <cell r="D62">
            <v>165.09100000000001</v>
          </cell>
          <cell r="E62">
            <v>222.98</v>
          </cell>
          <cell r="F62">
            <v>103.51</v>
          </cell>
          <cell r="G62">
            <v>0</v>
          </cell>
          <cell r="H62">
            <v>1</v>
          </cell>
          <cell r="I62">
            <v>50</v>
          </cell>
          <cell r="J62">
            <v>226.05</v>
          </cell>
          <cell r="K62">
            <v>-3.0700000000000216</v>
          </cell>
          <cell r="L62">
            <v>70</v>
          </cell>
          <cell r="M62">
            <v>0</v>
          </cell>
          <cell r="N62">
            <v>100</v>
          </cell>
          <cell r="O62">
            <v>50</v>
          </cell>
          <cell r="P62">
            <v>50</v>
          </cell>
          <cell r="W62">
            <v>44.595999999999997</v>
          </cell>
          <cell r="X62">
            <v>50</v>
          </cell>
          <cell r="Y62">
            <v>9.4965916225670473</v>
          </cell>
          <cell r="Z62">
            <v>2.321060184769935</v>
          </cell>
          <cell r="AC62">
            <v>0</v>
          </cell>
          <cell r="AD62">
            <v>57.320399999999992</v>
          </cell>
          <cell r="AE62">
            <v>47.227400000000003</v>
          </cell>
          <cell r="AF62">
            <v>47.904199999999996</v>
          </cell>
          <cell r="AG62">
            <v>44.678800000000003</v>
          </cell>
          <cell r="AH62">
            <v>41.505000000000003</v>
          </cell>
          <cell r="AI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1783</v>
          </cell>
          <cell r="D63">
            <v>3256</v>
          </cell>
          <cell r="E63">
            <v>3523</v>
          </cell>
          <cell r="F63">
            <v>1473</v>
          </cell>
          <cell r="G63">
            <v>0</v>
          </cell>
          <cell r="H63">
            <v>0.4</v>
          </cell>
          <cell r="I63">
            <v>40</v>
          </cell>
          <cell r="J63">
            <v>3565</v>
          </cell>
          <cell r="K63">
            <v>-42</v>
          </cell>
          <cell r="L63">
            <v>600</v>
          </cell>
          <cell r="M63">
            <v>600</v>
          </cell>
          <cell r="N63">
            <v>650</v>
          </cell>
          <cell r="O63">
            <v>700</v>
          </cell>
          <cell r="P63">
            <v>500</v>
          </cell>
          <cell r="W63">
            <v>584.6</v>
          </cell>
          <cell r="X63">
            <v>200</v>
          </cell>
          <cell r="Y63">
            <v>8.0790283954840909</v>
          </cell>
          <cell r="Z63">
            <v>2.5196715703044816</v>
          </cell>
          <cell r="AC63">
            <v>600</v>
          </cell>
          <cell r="AD63">
            <v>587.6</v>
          </cell>
          <cell r="AE63">
            <v>523.79999999999995</v>
          </cell>
          <cell r="AF63">
            <v>593.4</v>
          </cell>
          <cell r="AG63">
            <v>567.79999999999995</v>
          </cell>
          <cell r="AH63">
            <v>539</v>
          </cell>
          <cell r="AI63">
            <v>0</v>
          </cell>
        </row>
        <row r="64">
          <cell r="A64" t="str">
            <v xml:space="preserve"> 343 Сосиски Сочинки Сливочные ТМ Стародворье  0,4 кг</v>
          </cell>
          <cell r="B64" t="str">
            <v>шт</v>
          </cell>
          <cell r="C64">
            <v>1477</v>
          </cell>
          <cell r="D64">
            <v>2196</v>
          </cell>
          <cell r="E64">
            <v>2489</v>
          </cell>
          <cell r="F64">
            <v>1152</v>
          </cell>
          <cell r="G64">
            <v>0</v>
          </cell>
          <cell r="H64">
            <v>0.4</v>
          </cell>
          <cell r="I64">
            <v>40</v>
          </cell>
          <cell r="J64">
            <v>2541</v>
          </cell>
          <cell r="K64">
            <v>-52</v>
          </cell>
          <cell r="L64">
            <v>500</v>
          </cell>
          <cell r="M64">
            <v>600</v>
          </cell>
          <cell r="N64">
            <v>550</v>
          </cell>
          <cell r="O64">
            <v>600</v>
          </cell>
          <cell r="P64">
            <v>400</v>
          </cell>
          <cell r="W64">
            <v>497.8</v>
          </cell>
          <cell r="X64">
            <v>200</v>
          </cell>
          <cell r="Y64">
            <v>8.0393732422659703</v>
          </cell>
          <cell r="Z64">
            <v>2.3141824025713138</v>
          </cell>
          <cell r="AC64">
            <v>0</v>
          </cell>
          <cell r="AD64">
            <v>472.8</v>
          </cell>
          <cell r="AE64">
            <v>443</v>
          </cell>
          <cell r="AF64">
            <v>493</v>
          </cell>
          <cell r="AG64">
            <v>469.4</v>
          </cell>
          <cell r="AH64">
            <v>471</v>
          </cell>
          <cell r="AI64">
            <v>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428.79399999999998</v>
          </cell>
          <cell r="D65">
            <v>346.084</v>
          </cell>
          <cell r="E65">
            <v>538.10199999999998</v>
          </cell>
          <cell r="F65">
            <v>221.46299999999999</v>
          </cell>
          <cell r="G65" t="str">
            <v>ябл</v>
          </cell>
          <cell r="H65">
            <v>1</v>
          </cell>
          <cell r="I65">
            <v>40</v>
          </cell>
          <cell r="J65">
            <v>528.36</v>
          </cell>
          <cell r="K65">
            <v>9.7419999999999618</v>
          </cell>
          <cell r="L65">
            <v>100</v>
          </cell>
          <cell r="M65">
            <v>100</v>
          </cell>
          <cell r="N65">
            <v>150</v>
          </cell>
          <cell r="O65">
            <v>130</v>
          </cell>
          <cell r="P65">
            <v>150</v>
          </cell>
          <cell r="W65">
            <v>107.62039999999999</v>
          </cell>
          <cell r="X65">
            <v>200</v>
          </cell>
          <cell r="Y65">
            <v>9.7701086411126514</v>
          </cell>
          <cell r="Z65">
            <v>2.0578161761153093</v>
          </cell>
          <cell r="AC65">
            <v>0</v>
          </cell>
          <cell r="AD65">
            <v>108.0094</v>
          </cell>
          <cell r="AE65">
            <v>98.983199999999997</v>
          </cell>
          <cell r="AF65">
            <v>113.84259999999999</v>
          </cell>
          <cell r="AG65">
            <v>97.102400000000003</v>
          </cell>
          <cell r="AH65">
            <v>121.911</v>
          </cell>
          <cell r="AI65" t="str">
            <v>вип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172.226</v>
          </cell>
          <cell r="D66">
            <v>163.262</v>
          </cell>
          <cell r="E66">
            <v>220.67699999999999</v>
          </cell>
          <cell r="F66">
            <v>113.905</v>
          </cell>
          <cell r="G66">
            <v>0</v>
          </cell>
          <cell r="H66">
            <v>1</v>
          </cell>
          <cell r="I66">
            <v>40</v>
          </cell>
          <cell r="J66">
            <v>211.55</v>
          </cell>
          <cell r="K66">
            <v>9.1269999999999811</v>
          </cell>
          <cell r="L66">
            <v>30</v>
          </cell>
          <cell r="M66">
            <v>50</v>
          </cell>
          <cell r="N66">
            <v>50</v>
          </cell>
          <cell r="O66">
            <v>50</v>
          </cell>
          <cell r="P66">
            <v>90</v>
          </cell>
          <cell r="W66">
            <v>44.135399999999997</v>
          </cell>
          <cell r="X66">
            <v>50</v>
          </cell>
          <cell r="Y66">
            <v>9.8312239154964036</v>
          </cell>
          <cell r="Z66">
            <v>2.5808081494673214</v>
          </cell>
          <cell r="AC66">
            <v>0</v>
          </cell>
          <cell r="AD66">
            <v>51.326199999999993</v>
          </cell>
          <cell r="AE66">
            <v>49.187799999999996</v>
          </cell>
          <cell r="AF66">
            <v>44.610599999999998</v>
          </cell>
          <cell r="AG66">
            <v>39.742200000000004</v>
          </cell>
          <cell r="AH66">
            <v>32.738999999999997</v>
          </cell>
          <cell r="AI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1231.865</v>
          </cell>
          <cell r="D67">
            <v>1767.5609999999999</v>
          </cell>
          <cell r="E67">
            <v>2281.6799999999998</v>
          </cell>
          <cell r="F67">
            <v>695.96699999999998</v>
          </cell>
          <cell r="G67" t="str">
            <v>ябл</v>
          </cell>
          <cell r="H67">
            <v>1</v>
          </cell>
          <cell r="I67">
            <v>40</v>
          </cell>
          <cell r="J67">
            <v>2199.8049999999998</v>
          </cell>
          <cell r="K67">
            <v>81.875</v>
          </cell>
          <cell r="L67">
            <v>430</v>
          </cell>
          <cell r="M67">
            <v>600</v>
          </cell>
          <cell r="N67">
            <v>700</v>
          </cell>
          <cell r="O67">
            <v>400</v>
          </cell>
          <cell r="P67">
            <v>700</v>
          </cell>
          <cell r="W67">
            <v>456.33599999999996</v>
          </cell>
          <cell r="X67">
            <v>800</v>
          </cell>
          <cell r="Y67">
            <v>9.4797846323761465</v>
          </cell>
          <cell r="Z67">
            <v>1.5251196486799201</v>
          </cell>
          <cell r="AC67">
            <v>0</v>
          </cell>
          <cell r="AD67">
            <v>379.24360000000001</v>
          </cell>
          <cell r="AE67">
            <v>360.2724</v>
          </cell>
          <cell r="AF67">
            <v>402.38459999999998</v>
          </cell>
          <cell r="AG67">
            <v>382.58839999999998</v>
          </cell>
          <cell r="AH67">
            <v>417.452</v>
          </cell>
          <cell r="AI67" t="str">
            <v>жц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215.357</v>
          </cell>
          <cell r="D68">
            <v>223.39699999999999</v>
          </cell>
          <cell r="E68">
            <v>326.34300000000002</v>
          </cell>
          <cell r="F68">
            <v>111.503</v>
          </cell>
          <cell r="G68">
            <v>0</v>
          </cell>
          <cell r="H68">
            <v>1</v>
          </cell>
          <cell r="I68">
            <v>40</v>
          </cell>
          <cell r="J68">
            <v>312.16000000000003</v>
          </cell>
          <cell r="K68">
            <v>14.182999999999993</v>
          </cell>
          <cell r="L68">
            <v>70</v>
          </cell>
          <cell r="M68">
            <v>100</v>
          </cell>
          <cell r="N68">
            <v>100</v>
          </cell>
          <cell r="O68">
            <v>80</v>
          </cell>
          <cell r="P68">
            <v>130</v>
          </cell>
          <cell r="W68">
            <v>65.268600000000006</v>
          </cell>
          <cell r="Y68">
            <v>9.0625967157254763</v>
          </cell>
          <cell r="Z68">
            <v>1.7083712535583724</v>
          </cell>
          <cell r="AC68">
            <v>0</v>
          </cell>
          <cell r="AD68">
            <v>61.741200000000006</v>
          </cell>
          <cell r="AE68">
            <v>57.490400000000001</v>
          </cell>
          <cell r="AF68">
            <v>60.1432</v>
          </cell>
          <cell r="AG68">
            <v>55.286000000000001</v>
          </cell>
          <cell r="AH68">
            <v>42.195999999999998</v>
          </cell>
          <cell r="AI68">
            <v>0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 t="str">
            <v>шт</v>
          </cell>
          <cell r="C69">
            <v>99</v>
          </cell>
          <cell r="D69">
            <v>80</v>
          </cell>
          <cell r="E69">
            <v>123</v>
          </cell>
          <cell r="F69">
            <v>56</v>
          </cell>
          <cell r="G69" t="str">
            <v>дк</v>
          </cell>
          <cell r="H69">
            <v>0.6</v>
          </cell>
          <cell r="I69">
            <v>60</v>
          </cell>
          <cell r="J69">
            <v>123</v>
          </cell>
          <cell r="K69">
            <v>0</v>
          </cell>
          <cell r="L69">
            <v>20</v>
          </cell>
          <cell r="M69">
            <v>30</v>
          </cell>
          <cell r="N69">
            <v>30</v>
          </cell>
          <cell r="O69">
            <v>30</v>
          </cell>
          <cell r="P69">
            <v>60</v>
          </cell>
          <cell r="W69">
            <v>24.6</v>
          </cell>
          <cell r="Y69">
            <v>9.1869918699186979</v>
          </cell>
          <cell r="Z69">
            <v>2.2764227642276422</v>
          </cell>
          <cell r="AC69">
            <v>0</v>
          </cell>
          <cell r="AD69">
            <v>20.2</v>
          </cell>
          <cell r="AE69">
            <v>20.6</v>
          </cell>
          <cell r="AF69">
            <v>22.6</v>
          </cell>
          <cell r="AG69">
            <v>19.399999999999999</v>
          </cell>
          <cell r="AH69">
            <v>13</v>
          </cell>
          <cell r="AI69">
            <v>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 t="str">
            <v>шт</v>
          </cell>
          <cell r="C70">
            <v>257</v>
          </cell>
          <cell r="D70">
            <v>280</v>
          </cell>
          <cell r="E70">
            <v>398</v>
          </cell>
          <cell r="F70">
            <v>139</v>
          </cell>
          <cell r="G70" t="str">
            <v>ябл</v>
          </cell>
          <cell r="H70">
            <v>0.6</v>
          </cell>
          <cell r="I70">
            <v>60</v>
          </cell>
          <cell r="J70">
            <v>378</v>
          </cell>
          <cell r="K70">
            <v>20</v>
          </cell>
          <cell r="L70">
            <v>70</v>
          </cell>
          <cell r="M70">
            <v>120</v>
          </cell>
          <cell r="N70">
            <v>120</v>
          </cell>
          <cell r="O70">
            <v>80</v>
          </cell>
          <cell r="P70">
            <v>50</v>
          </cell>
          <cell r="W70">
            <v>79.599999999999994</v>
          </cell>
          <cell r="X70">
            <v>200</v>
          </cell>
          <cell r="Y70">
            <v>9.7864321608040203</v>
          </cell>
          <cell r="Z70">
            <v>1.7462311557788945</v>
          </cell>
          <cell r="AC70">
            <v>0</v>
          </cell>
          <cell r="AD70">
            <v>89.2</v>
          </cell>
          <cell r="AE70">
            <v>64.8</v>
          </cell>
          <cell r="AF70">
            <v>72.400000000000006</v>
          </cell>
          <cell r="AG70">
            <v>66.599999999999994</v>
          </cell>
          <cell r="AH70">
            <v>111</v>
          </cell>
          <cell r="AI70" t="str">
            <v>проддек-ян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231</v>
          </cell>
          <cell r="D71">
            <v>717</v>
          </cell>
          <cell r="E71">
            <v>508</v>
          </cell>
          <cell r="F71">
            <v>437</v>
          </cell>
          <cell r="G71" t="str">
            <v>ябл</v>
          </cell>
          <cell r="H71">
            <v>0.6</v>
          </cell>
          <cell r="I71">
            <v>60</v>
          </cell>
          <cell r="J71">
            <v>501</v>
          </cell>
          <cell r="K71">
            <v>7</v>
          </cell>
          <cell r="L71">
            <v>140</v>
          </cell>
          <cell r="M71">
            <v>50</v>
          </cell>
          <cell r="N71">
            <v>50</v>
          </cell>
          <cell r="O71">
            <v>150</v>
          </cell>
          <cell r="P71">
            <v>100</v>
          </cell>
          <cell r="W71">
            <v>101.6</v>
          </cell>
          <cell r="X71">
            <v>100</v>
          </cell>
          <cell r="Y71">
            <v>10.108267716535433</v>
          </cell>
          <cell r="Z71">
            <v>4.3011811023622046</v>
          </cell>
          <cell r="AC71">
            <v>0</v>
          </cell>
          <cell r="AD71">
            <v>101.2</v>
          </cell>
          <cell r="AE71">
            <v>91</v>
          </cell>
          <cell r="AF71">
            <v>102.2</v>
          </cell>
          <cell r="AG71">
            <v>121.8</v>
          </cell>
          <cell r="AH71">
            <v>115</v>
          </cell>
          <cell r="AI71" t="str">
            <v>проддек-ян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35.857999999999997</v>
          </cell>
          <cell r="D72">
            <v>312.06799999999998</v>
          </cell>
          <cell r="E72">
            <v>193.12899999999999</v>
          </cell>
          <cell r="F72">
            <v>154.797</v>
          </cell>
          <cell r="G72">
            <v>0</v>
          </cell>
          <cell r="H72">
            <v>1</v>
          </cell>
          <cell r="I72">
            <v>30</v>
          </cell>
          <cell r="J72">
            <v>198.90100000000001</v>
          </cell>
          <cell r="K72">
            <v>-5.7720000000000198</v>
          </cell>
          <cell r="L72">
            <v>40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W72">
            <v>38.625799999999998</v>
          </cell>
          <cell r="X72">
            <v>100</v>
          </cell>
          <cell r="Y72">
            <v>7.6321267132331254</v>
          </cell>
          <cell r="Z72">
            <v>4.0076063149501113</v>
          </cell>
          <cell r="AC72">
            <v>0</v>
          </cell>
          <cell r="AD72">
            <v>43.555399999999999</v>
          </cell>
          <cell r="AE72">
            <v>30.5274</v>
          </cell>
          <cell r="AF72">
            <v>31.431400000000004</v>
          </cell>
          <cell r="AG72">
            <v>44.179199999999994</v>
          </cell>
          <cell r="AH72">
            <v>85.364000000000004</v>
          </cell>
          <cell r="AI72" t="str">
            <v>увел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261</v>
          </cell>
          <cell r="D73">
            <v>1166</v>
          </cell>
          <cell r="E73">
            <v>794</v>
          </cell>
          <cell r="F73">
            <v>622</v>
          </cell>
          <cell r="G73" t="str">
            <v>ябл,дк</v>
          </cell>
          <cell r="H73">
            <v>0.6</v>
          </cell>
          <cell r="I73">
            <v>60</v>
          </cell>
          <cell r="J73">
            <v>799</v>
          </cell>
          <cell r="K73">
            <v>-5</v>
          </cell>
          <cell r="L73">
            <v>200</v>
          </cell>
          <cell r="M73">
            <v>100</v>
          </cell>
          <cell r="N73">
            <v>150</v>
          </cell>
          <cell r="O73">
            <v>200</v>
          </cell>
          <cell r="P73">
            <v>120</v>
          </cell>
          <cell r="W73">
            <v>158.80000000000001</v>
          </cell>
          <cell r="X73">
            <v>200</v>
          </cell>
          <cell r="Y73">
            <v>10.025188916876573</v>
          </cell>
          <cell r="Z73">
            <v>3.9168765743073046</v>
          </cell>
          <cell r="AC73">
            <v>0</v>
          </cell>
          <cell r="AD73">
            <v>138.80000000000001</v>
          </cell>
          <cell r="AE73">
            <v>141.19999999999999</v>
          </cell>
          <cell r="AF73">
            <v>145.6</v>
          </cell>
          <cell r="AG73">
            <v>182.6</v>
          </cell>
          <cell r="AH73">
            <v>156</v>
          </cell>
          <cell r="AI73" t="str">
            <v>проддек-ян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613</v>
          </cell>
          <cell r="D74">
            <v>887</v>
          </cell>
          <cell r="E74">
            <v>1058</v>
          </cell>
          <cell r="F74">
            <v>437</v>
          </cell>
          <cell r="G74" t="str">
            <v>ябл,дк</v>
          </cell>
          <cell r="H74">
            <v>0.6</v>
          </cell>
          <cell r="I74">
            <v>60</v>
          </cell>
          <cell r="J74">
            <v>1044</v>
          </cell>
          <cell r="K74">
            <v>14</v>
          </cell>
          <cell r="L74">
            <v>220</v>
          </cell>
          <cell r="M74">
            <v>300</v>
          </cell>
          <cell r="N74">
            <v>300</v>
          </cell>
          <cell r="O74">
            <v>300</v>
          </cell>
          <cell r="P74">
            <v>270</v>
          </cell>
          <cell r="W74">
            <v>211.6</v>
          </cell>
          <cell r="X74">
            <v>200</v>
          </cell>
          <cell r="Y74">
            <v>9.579395085066162</v>
          </cell>
          <cell r="Z74">
            <v>2.0652173913043477</v>
          </cell>
          <cell r="AC74">
            <v>0</v>
          </cell>
          <cell r="AD74">
            <v>208.2</v>
          </cell>
          <cell r="AE74">
            <v>199</v>
          </cell>
          <cell r="AF74">
            <v>199</v>
          </cell>
          <cell r="AG74">
            <v>191.6</v>
          </cell>
          <cell r="AH74">
            <v>208</v>
          </cell>
          <cell r="AI74" t="str">
            <v>оконч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435</v>
          </cell>
          <cell r="D75">
            <v>577</v>
          </cell>
          <cell r="E75">
            <v>783</v>
          </cell>
          <cell r="F75">
            <v>218</v>
          </cell>
          <cell r="G75">
            <v>0</v>
          </cell>
          <cell r="H75">
            <v>0.4</v>
          </cell>
          <cell r="I75" t="e">
            <v>#N/A</v>
          </cell>
          <cell r="J75">
            <v>792</v>
          </cell>
          <cell r="K75">
            <v>-9</v>
          </cell>
          <cell r="L75">
            <v>140</v>
          </cell>
          <cell r="M75">
            <v>100</v>
          </cell>
          <cell r="N75">
            <v>200</v>
          </cell>
          <cell r="O75">
            <v>200</v>
          </cell>
          <cell r="P75">
            <v>250</v>
          </cell>
          <cell r="W75">
            <v>156.6</v>
          </cell>
          <cell r="X75">
            <v>300</v>
          </cell>
          <cell r="Y75">
            <v>8.9910600255427848</v>
          </cell>
          <cell r="Z75">
            <v>1.3920817369093232</v>
          </cell>
          <cell r="AC75">
            <v>0</v>
          </cell>
          <cell r="AD75">
            <v>127</v>
          </cell>
          <cell r="AE75">
            <v>120.8</v>
          </cell>
          <cell r="AF75">
            <v>134.80000000000001</v>
          </cell>
          <cell r="AG75">
            <v>127.6</v>
          </cell>
          <cell r="AH75">
            <v>177</v>
          </cell>
          <cell r="AI75">
            <v>0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412</v>
          </cell>
          <cell r="D76">
            <v>602</v>
          </cell>
          <cell r="E76">
            <v>655</v>
          </cell>
          <cell r="F76">
            <v>357</v>
          </cell>
          <cell r="G76">
            <v>0</v>
          </cell>
          <cell r="H76">
            <v>0.33</v>
          </cell>
          <cell r="I76">
            <v>60</v>
          </cell>
          <cell r="J76">
            <v>664</v>
          </cell>
          <cell r="K76">
            <v>-9</v>
          </cell>
          <cell r="L76">
            <v>160</v>
          </cell>
          <cell r="M76">
            <v>0</v>
          </cell>
          <cell r="N76">
            <v>100</v>
          </cell>
          <cell r="O76">
            <v>150</v>
          </cell>
          <cell r="P76">
            <v>180</v>
          </cell>
          <cell r="W76">
            <v>131</v>
          </cell>
          <cell r="X76">
            <v>100</v>
          </cell>
          <cell r="Y76">
            <v>7.9923664122137401</v>
          </cell>
          <cell r="Z76">
            <v>2.7251908396946565</v>
          </cell>
          <cell r="AC76">
            <v>0</v>
          </cell>
          <cell r="AD76">
            <v>140.19999999999999</v>
          </cell>
          <cell r="AE76">
            <v>140.19999999999999</v>
          </cell>
          <cell r="AF76">
            <v>131</v>
          </cell>
          <cell r="AG76">
            <v>130</v>
          </cell>
          <cell r="AH76">
            <v>141</v>
          </cell>
          <cell r="AI76">
            <v>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372</v>
          </cell>
          <cell r="D77">
            <v>693</v>
          </cell>
          <cell r="E77">
            <v>592</v>
          </cell>
          <cell r="F77">
            <v>469</v>
          </cell>
          <cell r="G77">
            <v>0</v>
          </cell>
          <cell r="H77">
            <v>0.35</v>
          </cell>
          <cell r="I77" t="e">
            <v>#N/A</v>
          </cell>
          <cell r="J77">
            <v>597</v>
          </cell>
          <cell r="K77">
            <v>-5</v>
          </cell>
          <cell r="L77">
            <v>150</v>
          </cell>
          <cell r="M77">
            <v>0</v>
          </cell>
          <cell r="N77">
            <v>100</v>
          </cell>
          <cell r="O77">
            <v>200</v>
          </cell>
          <cell r="P77">
            <v>100</v>
          </cell>
          <cell r="W77">
            <v>118.4</v>
          </cell>
          <cell r="X77">
            <v>100</v>
          </cell>
          <cell r="Y77">
            <v>9.4510135135135123</v>
          </cell>
          <cell r="Z77">
            <v>3.9611486486486482</v>
          </cell>
          <cell r="AC77">
            <v>0</v>
          </cell>
          <cell r="AD77">
            <v>121.2</v>
          </cell>
          <cell r="AE77">
            <v>115.8</v>
          </cell>
          <cell r="AF77">
            <v>138</v>
          </cell>
          <cell r="AG77">
            <v>135.4</v>
          </cell>
          <cell r="AH77">
            <v>120</v>
          </cell>
          <cell r="AI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193</v>
          </cell>
          <cell r="D78">
            <v>439</v>
          </cell>
          <cell r="E78">
            <v>334</v>
          </cell>
          <cell r="F78">
            <v>297</v>
          </cell>
          <cell r="G78" t="str">
            <v>ябл</v>
          </cell>
          <cell r="H78">
            <v>0.33</v>
          </cell>
          <cell r="I78" t="e">
            <v>#N/A</v>
          </cell>
          <cell r="J78">
            <v>336</v>
          </cell>
          <cell r="K78">
            <v>-2</v>
          </cell>
          <cell r="L78">
            <v>100</v>
          </cell>
          <cell r="M78">
            <v>0</v>
          </cell>
          <cell r="N78">
            <v>50</v>
          </cell>
          <cell r="O78">
            <v>50</v>
          </cell>
          <cell r="P78">
            <v>0</v>
          </cell>
          <cell r="W78">
            <v>66.8</v>
          </cell>
          <cell r="X78">
            <v>70</v>
          </cell>
          <cell r="Y78">
            <v>8.4880239520958085</v>
          </cell>
          <cell r="Z78">
            <v>4.4461077844311383</v>
          </cell>
          <cell r="AC78">
            <v>0</v>
          </cell>
          <cell r="AD78">
            <v>65.400000000000006</v>
          </cell>
          <cell r="AE78">
            <v>68.599999999999994</v>
          </cell>
          <cell r="AF78">
            <v>61.2</v>
          </cell>
          <cell r="AG78">
            <v>80.599999999999994</v>
          </cell>
          <cell r="AH78">
            <v>103</v>
          </cell>
          <cell r="AI78" t="str">
            <v>ябдек-ян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1870</v>
          </cell>
          <cell r="D79">
            <v>8824</v>
          </cell>
          <cell r="E79">
            <v>8717</v>
          </cell>
          <cell r="F79">
            <v>1883</v>
          </cell>
          <cell r="G79">
            <v>0</v>
          </cell>
          <cell r="H79">
            <v>0.35</v>
          </cell>
          <cell r="I79">
            <v>40</v>
          </cell>
          <cell r="J79">
            <v>8776</v>
          </cell>
          <cell r="K79">
            <v>-59</v>
          </cell>
          <cell r="L79">
            <v>1500</v>
          </cell>
          <cell r="M79">
            <v>2000</v>
          </cell>
          <cell r="N79">
            <v>2100</v>
          </cell>
          <cell r="O79">
            <v>1900</v>
          </cell>
          <cell r="P79">
            <v>700</v>
          </cell>
          <cell r="W79">
            <v>1263.4000000000001</v>
          </cell>
          <cell r="X79">
            <v>500</v>
          </cell>
          <cell r="Y79">
            <v>8.3766028177932554</v>
          </cell>
          <cell r="Z79">
            <v>1.4904226689884437</v>
          </cell>
          <cell r="AC79">
            <v>2400</v>
          </cell>
          <cell r="AD79">
            <v>800</v>
          </cell>
          <cell r="AE79">
            <v>783.6</v>
          </cell>
          <cell r="AF79">
            <v>905</v>
          </cell>
          <cell r="AG79">
            <v>1216.5999999999999</v>
          </cell>
          <cell r="AH79">
            <v>1397</v>
          </cell>
          <cell r="AI79" t="str">
            <v>жк,ябдек-ян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8171</v>
          </cell>
          <cell r="D80">
            <v>5642</v>
          </cell>
          <cell r="E80">
            <v>8370</v>
          </cell>
          <cell r="F80">
            <v>5253</v>
          </cell>
          <cell r="G80">
            <v>0</v>
          </cell>
          <cell r="H80">
            <v>0.35</v>
          </cell>
          <cell r="I80">
            <v>45</v>
          </cell>
          <cell r="J80">
            <v>8561</v>
          </cell>
          <cell r="K80">
            <v>-191</v>
          </cell>
          <cell r="L80">
            <v>1600</v>
          </cell>
          <cell r="M80">
            <v>500</v>
          </cell>
          <cell r="N80">
            <v>500</v>
          </cell>
          <cell r="O80">
            <v>1900</v>
          </cell>
          <cell r="P80">
            <v>1400</v>
          </cell>
          <cell r="W80">
            <v>1434</v>
          </cell>
          <cell r="X80">
            <v>800</v>
          </cell>
          <cell r="Y80">
            <v>8.3354253835425389</v>
          </cell>
          <cell r="Z80">
            <v>3.6631799163179917</v>
          </cell>
          <cell r="AC80">
            <v>1200</v>
          </cell>
          <cell r="AD80">
            <v>2519.4</v>
          </cell>
          <cell r="AE80">
            <v>2430</v>
          </cell>
          <cell r="AF80">
            <v>1968</v>
          </cell>
          <cell r="AG80">
            <v>1455</v>
          </cell>
          <cell r="AH80">
            <v>1264</v>
          </cell>
          <cell r="AI80" t="str">
            <v>жк, яоконч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438</v>
          </cell>
          <cell r="D81">
            <v>352</v>
          </cell>
          <cell r="E81">
            <v>440</v>
          </cell>
          <cell r="F81">
            <v>335</v>
          </cell>
          <cell r="G81">
            <v>0</v>
          </cell>
          <cell r="H81">
            <v>0.4</v>
          </cell>
          <cell r="I81" t="e">
            <v>#N/A</v>
          </cell>
          <cell r="J81">
            <v>459</v>
          </cell>
          <cell r="K81">
            <v>-19</v>
          </cell>
          <cell r="L81">
            <v>100</v>
          </cell>
          <cell r="M81">
            <v>0</v>
          </cell>
          <cell r="N81">
            <v>150</v>
          </cell>
          <cell r="O81">
            <v>130</v>
          </cell>
          <cell r="P81">
            <v>140</v>
          </cell>
          <cell r="W81">
            <v>88</v>
          </cell>
          <cell r="X81">
            <v>50</v>
          </cell>
          <cell r="Y81">
            <v>10.284090909090908</v>
          </cell>
          <cell r="Z81">
            <v>3.8068181818181817</v>
          </cell>
          <cell r="AC81">
            <v>0</v>
          </cell>
          <cell r="AD81">
            <v>99.8</v>
          </cell>
          <cell r="AE81">
            <v>88.6</v>
          </cell>
          <cell r="AF81">
            <v>119.6</v>
          </cell>
          <cell r="AG81">
            <v>98.8</v>
          </cell>
          <cell r="AH81">
            <v>67</v>
          </cell>
          <cell r="AI81">
            <v>0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 t="str">
            <v>кг</v>
          </cell>
          <cell r="C82">
            <v>212.5</v>
          </cell>
          <cell r="D82">
            <v>225.93600000000001</v>
          </cell>
          <cell r="E82">
            <v>360.75</v>
          </cell>
          <cell r="F82">
            <v>69.117000000000004</v>
          </cell>
          <cell r="G82" t="str">
            <v>н</v>
          </cell>
          <cell r="H82">
            <v>1</v>
          </cell>
          <cell r="I82" t="e">
            <v>#N/A</v>
          </cell>
          <cell r="J82">
            <v>352.733</v>
          </cell>
          <cell r="K82">
            <v>8.0169999999999959</v>
          </cell>
          <cell r="L82">
            <v>50</v>
          </cell>
          <cell r="M82">
            <v>100</v>
          </cell>
          <cell r="N82">
            <v>200</v>
          </cell>
          <cell r="O82">
            <v>60</v>
          </cell>
          <cell r="P82">
            <v>60</v>
          </cell>
          <cell r="W82">
            <v>72.150000000000006</v>
          </cell>
          <cell r="X82">
            <v>120</v>
          </cell>
          <cell r="Y82">
            <v>9.1353707553707544</v>
          </cell>
          <cell r="Z82">
            <v>0.957962577962578</v>
          </cell>
          <cell r="AC82">
            <v>0</v>
          </cell>
          <cell r="AD82">
            <v>35.939</v>
          </cell>
          <cell r="AE82">
            <v>48.589399999999998</v>
          </cell>
          <cell r="AF82">
            <v>51.5182</v>
          </cell>
          <cell r="AG82">
            <v>51.5184</v>
          </cell>
          <cell r="AH82">
            <v>80.680000000000007</v>
          </cell>
          <cell r="AI82">
            <v>0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 t="str">
            <v>шт</v>
          </cell>
          <cell r="C83">
            <v>138</v>
          </cell>
          <cell r="D83">
            <v>382</v>
          </cell>
          <cell r="E83">
            <v>283</v>
          </cell>
          <cell r="F83">
            <v>235</v>
          </cell>
          <cell r="G83">
            <v>0</v>
          </cell>
          <cell r="H83">
            <v>0.4</v>
          </cell>
          <cell r="I83" t="e">
            <v>#N/A</v>
          </cell>
          <cell r="J83">
            <v>286</v>
          </cell>
          <cell r="K83">
            <v>-3</v>
          </cell>
          <cell r="L83">
            <v>90</v>
          </cell>
          <cell r="M83">
            <v>0</v>
          </cell>
          <cell r="N83">
            <v>50</v>
          </cell>
          <cell r="O83">
            <v>80</v>
          </cell>
          <cell r="P83">
            <v>80</v>
          </cell>
          <cell r="W83">
            <v>56.6</v>
          </cell>
          <cell r="Y83">
            <v>9.4522968197879855</v>
          </cell>
          <cell r="Z83">
            <v>4.1519434628975267</v>
          </cell>
          <cell r="AC83">
            <v>0</v>
          </cell>
          <cell r="AD83">
            <v>54</v>
          </cell>
          <cell r="AE83">
            <v>64.8</v>
          </cell>
          <cell r="AF83">
            <v>55</v>
          </cell>
          <cell r="AG83">
            <v>67.2</v>
          </cell>
          <cell r="AH83">
            <v>59</v>
          </cell>
          <cell r="AI83" t="str">
            <v>ябдек-ян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142.64599999999999</v>
          </cell>
          <cell r="D84">
            <v>2.8959999999999999</v>
          </cell>
          <cell r="E84">
            <v>86.456000000000003</v>
          </cell>
          <cell r="F84">
            <v>57.65</v>
          </cell>
          <cell r="G84">
            <v>0</v>
          </cell>
          <cell r="H84">
            <v>1</v>
          </cell>
          <cell r="I84" t="e">
            <v>#N/A</v>
          </cell>
          <cell r="J84">
            <v>82.8</v>
          </cell>
          <cell r="K84">
            <v>3.6560000000000059</v>
          </cell>
          <cell r="L84">
            <v>0</v>
          </cell>
          <cell r="M84">
            <v>0</v>
          </cell>
          <cell r="N84">
            <v>50</v>
          </cell>
          <cell r="O84">
            <v>20</v>
          </cell>
          <cell r="P84">
            <v>0</v>
          </cell>
          <cell r="W84">
            <v>17.2912</v>
          </cell>
          <cell r="X84">
            <v>50</v>
          </cell>
          <cell r="Y84">
            <v>10.274012214305543</v>
          </cell>
          <cell r="Z84">
            <v>3.3340658832238361</v>
          </cell>
          <cell r="AC84">
            <v>0</v>
          </cell>
          <cell r="AD84">
            <v>14.702199999999999</v>
          </cell>
          <cell r="AE84">
            <v>16.763200000000001</v>
          </cell>
          <cell r="AF84">
            <v>23.110199999999999</v>
          </cell>
          <cell r="AG84">
            <v>13.330400000000001</v>
          </cell>
          <cell r="AH84">
            <v>25.831</v>
          </cell>
          <cell r="AI84">
            <v>0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 t="str">
            <v>шт</v>
          </cell>
          <cell r="C85">
            <v>534</v>
          </cell>
          <cell r="D85">
            <v>326</v>
          </cell>
          <cell r="E85">
            <v>666</v>
          </cell>
          <cell r="F85">
            <v>159</v>
          </cell>
          <cell r="G85">
            <v>0</v>
          </cell>
          <cell r="H85">
            <v>0.2</v>
          </cell>
          <cell r="I85" t="e">
            <v>#N/A</v>
          </cell>
          <cell r="J85">
            <v>700</v>
          </cell>
          <cell r="K85">
            <v>-34</v>
          </cell>
          <cell r="L85">
            <v>120</v>
          </cell>
          <cell r="M85">
            <v>100</v>
          </cell>
          <cell r="N85">
            <v>200</v>
          </cell>
          <cell r="O85">
            <v>100</v>
          </cell>
          <cell r="P85">
            <v>200</v>
          </cell>
          <cell r="W85">
            <v>133.19999999999999</v>
          </cell>
          <cell r="X85">
            <v>300</v>
          </cell>
          <cell r="Y85">
            <v>8.8513513513513526</v>
          </cell>
          <cell r="Z85">
            <v>1.1936936936936937</v>
          </cell>
          <cell r="AC85">
            <v>0</v>
          </cell>
          <cell r="AD85">
            <v>114.2</v>
          </cell>
          <cell r="AE85">
            <v>110.2</v>
          </cell>
          <cell r="AF85">
            <v>128</v>
          </cell>
          <cell r="AG85">
            <v>105</v>
          </cell>
          <cell r="AH85">
            <v>203</v>
          </cell>
          <cell r="AI85">
            <v>0</v>
          </cell>
        </row>
        <row r="86">
          <cell r="A86" t="str">
            <v xml:space="preserve"> 448  Сосиски Сливушки по-венски ТМ Вязанка. 0,3 кг ПОКОМ</v>
          </cell>
          <cell r="B86" t="str">
            <v>шт</v>
          </cell>
          <cell r="C86">
            <v>399</v>
          </cell>
          <cell r="D86">
            <v>56</v>
          </cell>
          <cell r="E86">
            <v>304</v>
          </cell>
          <cell r="F86">
            <v>151</v>
          </cell>
          <cell r="G86">
            <v>0</v>
          </cell>
          <cell r="H86">
            <v>0.3</v>
          </cell>
          <cell r="I86" t="e">
            <v>#N/A</v>
          </cell>
          <cell r="J86">
            <v>302</v>
          </cell>
          <cell r="K86">
            <v>2</v>
          </cell>
          <cell r="L86">
            <v>70</v>
          </cell>
          <cell r="M86">
            <v>80</v>
          </cell>
          <cell r="N86">
            <v>100</v>
          </cell>
          <cell r="O86">
            <v>80</v>
          </cell>
          <cell r="P86">
            <v>0</v>
          </cell>
          <cell r="W86">
            <v>60.8</v>
          </cell>
          <cell r="X86">
            <v>50</v>
          </cell>
          <cell r="Y86">
            <v>8.7335526315789469</v>
          </cell>
          <cell r="Z86">
            <v>2.4835526315789473</v>
          </cell>
          <cell r="AC86">
            <v>0</v>
          </cell>
          <cell r="AD86">
            <v>67.599999999999994</v>
          </cell>
          <cell r="AE86">
            <v>65.2</v>
          </cell>
          <cell r="AF86">
            <v>85.8</v>
          </cell>
          <cell r="AG86">
            <v>57.6</v>
          </cell>
          <cell r="AH86">
            <v>66</v>
          </cell>
          <cell r="AI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220.71799999999999</v>
          </cell>
          <cell r="D87">
            <v>574.11599999999999</v>
          </cell>
          <cell r="E87">
            <v>575.29100000000005</v>
          </cell>
          <cell r="F87">
            <v>214.483</v>
          </cell>
          <cell r="G87">
            <v>0</v>
          </cell>
          <cell r="H87">
            <v>1</v>
          </cell>
          <cell r="I87" t="e">
            <v>#N/A</v>
          </cell>
          <cell r="J87">
            <v>575.69799999999998</v>
          </cell>
          <cell r="K87">
            <v>-0.40699999999992542</v>
          </cell>
          <cell r="L87">
            <v>150</v>
          </cell>
          <cell r="M87">
            <v>100</v>
          </cell>
          <cell r="N87">
            <v>200</v>
          </cell>
          <cell r="O87">
            <v>140</v>
          </cell>
          <cell r="P87">
            <v>100</v>
          </cell>
          <cell r="W87">
            <v>115.05820000000001</v>
          </cell>
          <cell r="X87">
            <v>200</v>
          </cell>
          <cell r="Y87">
            <v>9.5993418982740888</v>
          </cell>
          <cell r="Z87">
            <v>1.8641261552848905</v>
          </cell>
          <cell r="AC87">
            <v>0</v>
          </cell>
          <cell r="AD87">
            <v>98.945000000000007</v>
          </cell>
          <cell r="AE87">
            <v>85.503</v>
          </cell>
          <cell r="AF87">
            <v>87.367199999999997</v>
          </cell>
          <cell r="AG87">
            <v>100.2654</v>
          </cell>
          <cell r="AH87">
            <v>132.97399999999999</v>
          </cell>
          <cell r="AI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1649.462</v>
          </cell>
          <cell r="D88">
            <v>6820.8990000000003</v>
          </cell>
          <cell r="E88">
            <v>4114.4359999999997</v>
          </cell>
          <cell r="F88">
            <v>4301.0780000000004</v>
          </cell>
          <cell r="G88">
            <v>0</v>
          </cell>
          <cell r="H88">
            <v>1</v>
          </cell>
          <cell r="I88" t="e">
            <v>#N/A</v>
          </cell>
          <cell r="J88">
            <v>4178.982</v>
          </cell>
          <cell r="K88">
            <v>-64.546000000000276</v>
          </cell>
          <cell r="L88">
            <v>1000</v>
          </cell>
          <cell r="M88">
            <v>500</v>
          </cell>
          <cell r="N88">
            <v>500</v>
          </cell>
          <cell r="O88">
            <v>0</v>
          </cell>
          <cell r="P88">
            <v>500</v>
          </cell>
          <cell r="W88">
            <v>822.88719999999989</v>
          </cell>
          <cell r="X88">
            <v>800</v>
          </cell>
          <cell r="Y88">
            <v>9.2370837704122764</v>
          </cell>
          <cell r="Z88">
            <v>5.2268135900035881</v>
          </cell>
          <cell r="AC88">
            <v>0</v>
          </cell>
          <cell r="AD88">
            <v>842.12599999999998</v>
          </cell>
          <cell r="AE88">
            <v>786.93680000000006</v>
          </cell>
          <cell r="AF88">
            <v>859.18759999999997</v>
          </cell>
          <cell r="AG88">
            <v>1041.681</v>
          </cell>
          <cell r="AH88">
            <v>750.89200000000005</v>
          </cell>
          <cell r="AI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2995.3040000000001</v>
          </cell>
          <cell r="D89">
            <v>8625.223</v>
          </cell>
          <cell r="E89">
            <v>7328.7439999999997</v>
          </cell>
          <cell r="F89">
            <v>4195.7219999999998</v>
          </cell>
          <cell r="G89">
            <v>0</v>
          </cell>
          <cell r="H89">
            <v>1</v>
          </cell>
          <cell r="I89" t="e">
            <v>#N/A</v>
          </cell>
          <cell r="J89">
            <v>7424.3019999999997</v>
          </cell>
          <cell r="K89">
            <v>-95.557999999999993</v>
          </cell>
          <cell r="L89">
            <v>1500</v>
          </cell>
          <cell r="M89">
            <v>1700</v>
          </cell>
          <cell r="N89">
            <v>1800</v>
          </cell>
          <cell r="O89">
            <v>1400</v>
          </cell>
          <cell r="P89">
            <v>1000</v>
          </cell>
          <cell r="W89">
            <v>1456.7872</v>
          </cell>
          <cell r="X89">
            <v>1800</v>
          </cell>
          <cell r="Y89">
            <v>9.1953869446409193</v>
          </cell>
          <cell r="Z89">
            <v>2.8801200340035935</v>
          </cell>
          <cell r="AC89">
            <v>44.808</v>
          </cell>
          <cell r="AD89">
            <v>1312.6374000000001</v>
          </cell>
          <cell r="AE89">
            <v>1293.9486000000002</v>
          </cell>
          <cell r="AF89">
            <v>1302.1748000000002</v>
          </cell>
          <cell r="AG89">
            <v>1449.4908</v>
          </cell>
          <cell r="AH89">
            <v>1365.269</v>
          </cell>
          <cell r="AI89" t="str">
            <v>проддек-ян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3742.759</v>
          </cell>
          <cell r="D90">
            <v>7152.0379999999996</v>
          </cell>
          <cell r="E90">
            <v>6872.308</v>
          </cell>
          <cell r="F90">
            <v>3935.1320000000001</v>
          </cell>
          <cell r="G90">
            <v>0</v>
          </cell>
          <cell r="H90">
            <v>1</v>
          </cell>
          <cell r="I90" t="e">
            <v>#N/A</v>
          </cell>
          <cell r="J90">
            <v>6998.259</v>
          </cell>
          <cell r="K90">
            <v>-125.95100000000002</v>
          </cell>
          <cell r="L90">
            <v>1300</v>
          </cell>
          <cell r="M90">
            <v>1500</v>
          </cell>
          <cell r="N90">
            <v>1100</v>
          </cell>
          <cell r="O90">
            <v>1400</v>
          </cell>
          <cell r="P90">
            <v>1300</v>
          </cell>
          <cell r="W90">
            <v>1359.4394</v>
          </cell>
          <cell r="X90">
            <v>1700</v>
          </cell>
          <cell r="Y90">
            <v>9.000130494967264</v>
          </cell>
          <cell r="Z90">
            <v>2.8946726128432059</v>
          </cell>
          <cell r="AC90">
            <v>75.111000000000004</v>
          </cell>
          <cell r="AD90">
            <v>1221.019</v>
          </cell>
          <cell r="AE90">
            <v>1189.1361999999999</v>
          </cell>
          <cell r="AF90">
            <v>1345.3812</v>
          </cell>
          <cell r="AG90">
            <v>1348.6866</v>
          </cell>
          <cell r="AH90">
            <v>1354.779</v>
          </cell>
          <cell r="AI90" t="str">
            <v>жк,ябдек-ян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 t="str">
            <v>кг</v>
          </cell>
          <cell r="C91">
            <v>155.99799999999999</v>
          </cell>
          <cell r="D91">
            <v>186.00200000000001</v>
          </cell>
          <cell r="E91">
            <v>180.55</v>
          </cell>
          <cell r="F91">
            <v>157.441</v>
          </cell>
          <cell r="G91">
            <v>0</v>
          </cell>
          <cell r="H91">
            <v>1</v>
          </cell>
          <cell r="I91" t="e">
            <v>#N/A</v>
          </cell>
          <cell r="J91">
            <v>188.2</v>
          </cell>
          <cell r="K91">
            <v>-7.6499999999999773</v>
          </cell>
          <cell r="L91">
            <v>40</v>
          </cell>
          <cell r="M91">
            <v>0</v>
          </cell>
          <cell r="N91">
            <v>60</v>
          </cell>
          <cell r="O91">
            <v>0</v>
          </cell>
          <cell r="P91">
            <v>60</v>
          </cell>
          <cell r="W91">
            <v>36.11</v>
          </cell>
          <cell r="X91">
            <v>40</v>
          </cell>
          <cell r="Y91">
            <v>9.898670728330103</v>
          </cell>
          <cell r="Z91">
            <v>4.3600387704237056</v>
          </cell>
          <cell r="AC91">
            <v>0</v>
          </cell>
          <cell r="AD91">
            <v>41.180399999999999</v>
          </cell>
          <cell r="AE91">
            <v>31.252800000000001</v>
          </cell>
          <cell r="AF91">
            <v>38.357399999999998</v>
          </cell>
          <cell r="AG91">
            <v>37.7012</v>
          </cell>
          <cell r="AH91">
            <v>36.892000000000003</v>
          </cell>
          <cell r="AI91">
            <v>0</v>
          </cell>
        </row>
        <row r="92">
          <cell r="A92" t="str">
            <v xml:space="preserve"> 467  Колбаса Филейная 0,5кг ТМ Особый рецепт  ПОКОМ</v>
          </cell>
          <cell r="B92" t="str">
            <v>шт</v>
          </cell>
          <cell r="C92">
            <v>156</v>
          </cell>
          <cell r="D92">
            <v>32</v>
          </cell>
          <cell r="E92">
            <v>133</v>
          </cell>
          <cell r="F92">
            <v>53</v>
          </cell>
          <cell r="G92">
            <v>0</v>
          </cell>
          <cell r="H92">
            <v>0.5</v>
          </cell>
          <cell r="I92" t="e">
            <v>#N/A</v>
          </cell>
          <cell r="J92">
            <v>135</v>
          </cell>
          <cell r="K92">
            <v>-2</v>
          </cell>
          <cell r="L92">
            <v>40</v>
          </cell>
          <cell r="M92">
            <v>0</v>
          </cell>
          <cell r="N92">
            <v>70</v>
          </cell>
          <cell r="O92">
            <v>0</v>
          </cell>
          <cell r="P92">
            <v>80</v>
          </cell>
          <cell r="W92">
            <v>26.6</v>
          </cell>
          <cell r="X92">
            <v>40</v>
          </cell>
          <cell r="Y92">
            <v>10.639097744360901</v>
          </cell>
          <cell r="Z92">
            <v>1.9924812030075187</v>
          </cell>
          <cell r="AC92">
            <v>0</v>
          </cell>
          <cell r="AD92">
            <v>26</v>
          </cell>
          <cell r="AE92">
            <v>39.4</v>
          </cell>
          <cell r="AF92">
            <v>27.6</v>
          </cell>
          <cell r="AG92">
            <v>24.2</v>
          </cell>
          <cell r="AH92">
            <v>26</v>
          </cell>
          <cell r="AI92">
            <v>0</v>
          </cell>
        </row>
        <row r="93">
          <cell r="A93" t="str">
            <v xml:space="preserve"> 474  Колбаса Молочная 0,4кг ТМ Зареченские  ПОКОМ</v>
          </cell>
          <cell r="B93" t="str">
            <v>шт</v>
          </cell>
          <cell r="D93">
            <v>1000</v>
          </cell>
          <cell r="E93">
            <v>1000</v>
          </cell>
          <cell r="G93" t="str">
            <v>пуд</v>
          </cell>
          <cell r="H93">
            <v>0.4</v>
          </cell>
          <cell r="I93" t="e">
            <v>#N/A</v>
          </cell>
          <cell r="J93">
            <v>1000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W93">
            <v>0</v>
          </cell>
          <cell r="Y93" t="e">
            <v>#DIV/0!</v>
          </cell>
          <cell r="Z93" t="e">
            <v>#DIV/0!</v>
          </cell>
          <cell r="AC93">
            <v>1000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e">
            <v>#N/A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-1.97</v>
          </cell>
          <cell r="E94">
            <v>1.5049999999999999</v>
          </cell>
          <cell r="F94">
            <v>-3.4750000000000001</v>
          </cell>
          <cell r="G94" t="str">
            <v>выв2611</v>
          </cell>
          <cell r="H94">
            <v>0</v>
          </cell>
          <cell r="I94" t="e">
            <v>#N/A</v>
          </cell>
          <cell r="J94">
            <v>1.3</v>
          </cell>
          <cell r="K94">
            <v>0.20499999999999985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W94">
            <v>0.30099999999999999</v>
          </cell>
          <cell r="Y94">
            <v>-11.544850498338871</v>
          </cell>
          <cell r="Z94">
            <v>-11.544850498338871</v>
          </cell>
          <cell r="AC94">
            <v>0</v>
          </cell>
          <cell r="AD94">
            <v>6.8586</v>
          </cell>
          <cell r="AE94">
            <v>1.4768000000000001</v>
          </cell>
          <cell r="AF94">
            <v>2.3847999999999998</v>
          </cell>
          <cell r="AG94">
            <v>9.2674000000000003</v>
          </cell>
          <cell r="AH94">
            <v>1.5049999999999999</v>
          </cell>
          <cell r="AI94" t="str">
            <v>выв2611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1138</v>
          </cell>
          <cell r="D95">
            <v>1741</v>
          </cell>
          <cell r="E95">
            <v>2045</v>
          </cell>
          <cell r="F95">
            <v>805</v>
          </cell>
          <cell r="G95">
            <v>0</v>
          </cell>
          <cell r="H95">
            <v>0.3</v>
          </cell>
          <cell r="I95" t="e">
            <v>#N/A</v>
          </cell>
          <cell r="J95">
            <v>2078</v>
          </cell>
          <cell r="K95">
            <v>-33</v>
          </cell>
          <cell r="L95">
            <v>320</v>
          </cell>
          <cell r="M95">
            <v>200</v>
          </cell>
          <cell r="N95">
            <v>200</v>
          </cell>
          <cell r="O95">
            <v>350</v>
          </cell>
          <cell r="P95">
            <v>450</v>
          </cell>
          <cell r="W95">
            <v>289</v>
          </cell>
          <cell r="X95">
            <v>250</v>
          </cell>
          <cell r="Y95">
            <v>8.9100346020761254</v>
          </cell>
          <cell r="Z95">
            <v>2.7854671280276815</v>
          </cell>
          <cell r="AC95">
            <v>600</v>
          </cell>
          <cell r="AD95">
            <v>273</v>
          </cell>
          <cell r="AE95">
            <v>252.8</v>
          </cell>
          <cell r="AF95">
            <v>330.4</v>
          </cell>
          <cell r="AG95">
            <v>290.60000000000002</v>
          </cell>
          <cell r="AH95">
            <v>286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640</v>
          </cell>
          <cell r="D96">
            <v>447</v>
          </cell>
          <cell r="E96">
            <v>737</v>
          </cell>
          <cell r="F96">
            <v>315</v>
          </cell>
          <cell r="G96">
            <v>0</v>
          </cell>
          <cell r="H96">
            <v>0.3</v>
          </cell>
          <cell r="I96" t="e">
            <v>#N/A</v>
          </cell>
          <cell r="J96">
            <v>776</v>
          </cell>
          <cell r="K96">
            <v>-39</v>
          </cell>
          <cell r="L96">
            <v>150</v>
          </cell>
          <cell r="M96">
            <v>100</v>
          </cell>
          <cell r="N96">
            <v>100</v>
          </cell>
          <cell r="O96">
            <v>150</v>
          </cell>
          <cell r="P96">
            <v>300</v>
          </cell>
          <cell r="W96">
            <v>147.4</v>
          </cell>
          <cell r="X96">
            <v>200</v>
          </cell>
          <cell r="Y96">
            <v>8.9213025780189952</v>
          </cell>
          <cell r="Z96">
            <v>2.1370420624151967</v>
          </cell>
          <cell r="AC96">
            <v>0</v>
          </cell>
          <cell r="AD96">
            <v>169.2</v>
          </cell>
          <cell r="AE96">
            <v>148.80000000000001</v>
          </cell>
          <cell r="AF96">
            <v>160.4</v>
          </cell>
          <cell r="AG96">
            <v>133</v>
          </cell>
          <cell r="AH96">
            <v>157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839</v>
          </cell>
          <cell r="D97">
            <v>895</v>
          </cell>
          <cell r="E97">
            <v>1184</v>
          </cell>
          <cell r="F97">
            <v>511</v>
          </cell>
          <cell r="G97">
            <v>0</v>
          </cell>
          <cell r="H97">
            <v>0.3</v>
          </cell>
          <cell r="I97" t="e">
            <v>#N/A</v>
          </cell>
          <cell r="J97">
            <v>1225</v>
          </cell>
          <cell r="K97">
            <v>-41</v>
          </cell>
          <cell r="L97">
            <v>250</v>
          </cell>
          <cell r="M97">
            <v>200</v>
          </cell>
          <cell r="N97">
            <v>200</v>
          </cell>
          <cell r="O97">
            <v>250</v>
          </cell>
          <cell r="P97">
            <v>400</v>
          </cell>
          <cell r="W97">
            <v>218.8</v>
          </cell>
          <cell r="X97">
            <v>150</v>
          </cell>
          <cell r="Y97">
            <v>8.9625228519195606</v>
          </cell>
          <cell r="Z97">
            <v>2.3354661791590492</v>
          </cell>
          <cell r="AC97">
            <v>90</v>
          </cell>
          <cell r="AD97">
            <v>219.4</v>
          </cell>
          <cell r="AE97">
            <v>232</v>
          </cell>
          <cell r="AF97">
            <v>236.6</v>
          </cell>
          <cell r="AG97">
            <v>205.8</v>
          </cell>
          <cell r="AH97">
            <v>187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545</v>
          </cell>
          <cell r="D98">
            <v>682</v>
          </cell>
          <cell r="E98">
            <v>860</v>
          </cell>
          <cell r="F98">
            <v>331</v>
          </cell>
          <cell r="G98">
            <v>0</v>
          </cell>
          <cell r="H98">
            <v>0.3</v>
          </cell>
          <cell r="I98" t="e">
            <v>#N/A</v>
          </cell>
          <cell r="J98">
            <v>879</v>
          </cell>
          <cell r="K98">
            <v>-19</v>
          </cell>
          <cell r="L98">
            <v>180</v>
          </cell>
          <cell r="M98">
            <v>150</v>
          </cell>
          <cell r="N98">
            <v>150</v>
          </cell>
          <cell r="O98">
            <v>200</v>
          </cell>
          <cell r="P98">
            <v>350</v>
          </cell>
          <cell r="W98">
            <v>172</v>
          </cell>
          <cell r="X98">
            <v>180</v>
          </cell>
          <cell r="Y98">
            <v>8.9593023255813957</v>
          </cell>
          <cell r="Z98">
            <v>1.9244186046511629</v>
          </cell>
          <cell r="AC98">
            <v>0</v>
          </cell>
          <cell r="AD98">
            <v>161.4</v>
          </cell>
          <cell r="AE98">
            <v>148.4</v>
          </cell>
          <cell r="AF98">
            <v>166.2</v>
          </cell>
          <cell r="AG98">
            <v>154</v>
          </cell>
          <cell r="AH98">
            <v>164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150</v>
          </cell>
          <cell r="E99">
            <v>150</v>
          </cell>
          <cell r="G99">
            <v>0</v>
          </cell>
          <cell r="H99">
            <v>0.33</v>
          </cell>
          <cell r="I99" t="e">
            <v>#N/A</v>
          </cell>
          <cell r="J99">
            <v>150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150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320</v>
          </cell>
          <cell r="D100">
            <v>98</v>
          </cell>
          <cell r="E100">
            <v>292</v>
          </cell>
          <cell r="F100">
            <v>120</v>
          </cell>
          <cell r="G100">
            <v>0</v>
          </cell>
          <cell r="H100">
            <v>0.12</v>
          </cell>
          <cell r="I100">
            <v>45</v>
          </cell>
          <cell r="J100">
            <v>296</v>
          </cell>
          <cell r="K100">
            <v>-4</v>
          </cell>
          <cell r="L100">
            <v>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W100">
            <v>58.4</v>
          </cell>
          <cell r="X100">
            <v>50</v>
          </cell>
          <cell r="Y100">
            <v>9.7602739726027394</v>
          </cell>
          <cell r="Z100">
            <v>2.0547945205479454</v>
          </cell>
          <cell r="AC100">
            <v>0</v>
          </cell>
          <cell r="AD100">
            <v>51.4</v>
          </cell>
          <cell r="AE100">
            <v>32.4</v>
          </cell>
          <cell r="AF100">
            <v>55.6</v>
          </cell>
          <cell r="AG100">
            <v>39.4</v>
          </cell>
          <cell r="AH100">
            <v>38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493</v>
          </cell>
          <cell r="D101">
            <v>509</v>
          </cell>
          <cell r="E101">
            <v>606</v>
          </cell>
          <cell r="F101">
            <v>383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605</v>
          </cell>
          <cell r="K101">
            <v>1</v>
          </cell>
          <cell r="L101">
            <v>100</v>
          </cell>
          <cell r="M101">
            <v>50</v>
          </cell>
          <cell r="N101">
            <v>100</v>
          </cell>
          <cell r="O101">
            <v>150</v>
          </cell>
          <cell r="P101">
            <v>0</v>
          </cell>
          <cell r="W101">
            <v>121.2</v>
          </cell>
          <cell r="X101">
            <v>400</v>
          </cell>
          <cell r="Y101">
            <v>9.7607260726072607</v>
          </cell>
          <cell r="Z101">
            <v>3.1600660066006601</v>
          </cell>
          <cell r="AC101">
            <v>0</v>
          </cell>
          <cell r="AD101">
            <v>99</v>
          </cell>
          <cell r="AE101">
            <v>77</v>
          </cell>
          <cell r="AF101">
            <v>103.8</v>
          </cell>
          <cell r="AG101">
            <v>93.6</v>
          </cell>
          <cell r="AH101">
            <v>186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247</v>
          </cell>
          <cell r="D102">
            <v>472</v>
          </cell>
          <cell r="E102">
            <v>455</v>
          </cell>
          <cell r="F102">
            <v>258</v>
          </cell>
          <cell r="G102">
            <v>0</v>
          </cell>
          <cell r="H102">
            <v>0.12</v>
          </cell>
          <cell r="I102" t="e">
            <v>#N/A</v>
          </cell>
          <cell r="J102">
            <v>467</v>
          </cell>
          <cell r="K102">
            <v>-12</v>
          </cell>
          <cell r="L102">
            <v>50</v>
          </cell>
          <cell r="M102">
            <v>0</v>
          </cell>
          <cell r="N102">
            <v>100</v>
          </cell>
          <cell r="O102">
            <v>100</v>
          </cell>
          <cell r="P102">
            <v>200</v>
          </cell>
          <cell r="W102">
            <v>91</v>
          </cell>
          <cell r="X102">
            <v>200</v>
          </cell>
          <cell r="Y102">
            <v>9.9780219780219781</v>
          </cell>
          <cell r="Z102">
            <v>2.8351648351648353</v>
          </cell>
          <cell r="AC102">
            <v>0</v>
          </cell>
          <cell r="AD102">
            <v>53.6</v>
          </cell>
          <cell r="AE102">
            <v>41.6</v>
          </cell>
          <cell r="AF102">
            <v>44.6</v>
          </cell>
          <cell r="AG102">
            <v>68.2</v>
          </cell>
          <cell r="AH102">
            <v>93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561</v>
          </cell>
          <cell r="D103">
            <v>501</v>
          </cell>
          <cell r="E103">
            <v>605</v>
          </cell>
          <cell r="F103">
            <v>450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616</v>
          </cell>
          <cell r="K103">
            <v>-11</v>
          </cell>
          <cell r="L103">
            <v>100</v>
          </cell>
          <cell r="M103">
            <v>0</v>
          </cell>
          <cell r="N103">
            <v>100</v>
          </cell>
          <cell r="O103">
            <v>200</v>
          </cell>
          <cell r="P103">
            <v>100</v>
          </cell>
          <cell r="W103">
            <v>121</v>
          </cell>
          <cell r="X103">
            <v>300</v>
          </cell>
          <cell r="Y103">
            <v>10.330578512396695</v>
          </cell>
          <cell r="Z103">
            <v>3.71900826446281</v>
          </cell>
          <cell r="AC103">
            <v>0</v>
          </cell>
          <cell r="AD103">
            <v>104.8</v>
          </cell>
          <cell r="AE103">
            <v>95</v>
          </cell>
          <cell r="AF103">
            <v>115</v>
          </cell>
          <cell r="AG103">
            <v>99.6</v>
          </cell>
          <cell r="AH103">
            <v>134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794</v>
          </cell>
          <cell r="D104">
            <v>433</v>
          </cell>
          <cell r="E104">
            <v>707</v>
          </cell>
          <cell r="F104">
            <v>493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728</v>
          </cell>
          <cell r="K104">
            <v>-21</v>
          </cell>
          <cell r="L104">
            <v>100</v>
          </cell>
          <cell r="M104">
            <v>100</v>
          </cell>
          <cell r="N104">
            <v>250</v>
          </cell>
          <cell r="O104">
            <v>250</v>
          </cell>
          <cell r="P104">
            <v>0</v>
          </cell>
          <cell r="W104">
            <v>141.4</v>
          </cell>
          <cell r="X104">
            <v>300</v>
          </cell>
          <cell r="Y104">
            <v>10.558698727015559</v>
          </cell>
          <cell r="Z104">
            <v>3.4865629420084865</v>
          </cell>
          <cell r="AC104">
            <v>0</v>
          </cell>
          <cell r="AD104">
            <v>137.4</v>
          </cell>
          <cell r="AE104">
            <v>111.4</v>
          </cell>
          <cell r="AF104">
            <v>147.6</v>
          </cell>
          <cell r="AG104">
            <v>113.6</v>
          </cell>
          <cell r="AH104">
            <v>170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510</v>
          </cell>
          <cell r="D105">
            <v>126</v>
          </cell>
          <cell r="E105">
            <v>328</v>
          </cell>
          <cell r="F105">
            <v>295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340</v>
          </cell>
          <cell r="K105">
            <v>-12</v>
          </cell>
          <cell r="L105">
            <v>0</v>
          </cell>
          <cell r="M105">
            <v>0</v>
          </cell>
          <cell r="N105">
            <v>50</v>
          </cell>
          <cell r="O105">
            <v>50</v>
          </cell>
          <cell r="P105">
            <v>100</v>
          </cell>
          <cell r="W105">
            <v>65.599999999999994</v>
          </cell>
          <cell r="X105">
            <v>150</v>
          </cell>
          <cell r="Y105">
            <v>9.8323170731707332</v>
          </cell>
          <cell r="Z105">
            <v>4.4969512195121952</v>
          </cell>
          <cell r="AC105">
            <v>0</v>
          </cell>
          <cell r="AD105">
            <v>74.8</v>
          </cell>
          <cell r="AE105">
            <v>52.8</v>
          </cell>
          <cell r="AF105">
            <v>86.2</v>
          </cell>
          <cell r="AG105">
            <v>59.8</v>
          </cell>
          <cell r="AH105">
            <v>64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354</v>
          </cell>
          <cell r="D106">
            <v>122</v>
          </cell>
          <cell r="E106">
            <v>218</v>
          </cell>
          <cell r="F106">
            <v>253</v>
          </cell>
          <cell r="G106">
            <v>0</v>
          </cell>
          <cell r="H106">
            <v>0.05</v>
          </cell>
          <cell r="I106" t="e">
            <v>#N/A</v>
          </cell>
          <cell r="J106">
            <v>223</v>
          </cell>
          <cell r="K106">
            <v>-5</v>
          </cell>
          <cell r="L106">
            <v>50</v>
          </cell>
          <cell r="M106">
            <v>0</v>
          </cell>
          <cell r="N106">
            <v>0</v>
          </cell>
          <cell r="O106">
            <v>0</v>
          </cell>
          <cell r="P106">
            <v>50</v>
          </cell>
          <cell r="W106">
            <v>43.6</v>
          </cell>
          <cell r="X106">
            <v>100</v>
          </cell>
          <cell r="Y106">
            <v>10.389908256880734</v>
          </cell>
          <cell r="Z106">
            <v>5.8027522935779814</v>
          </cell>
          <cell r="AC106">
            <v>0</v>
          </cell>
          <cell r="AD106">
            <v>52.4</v>
          </cell>
          <cell r="AE106">
            <v>38.799999999999997</v>
          </cell>
          <cell r="AF106">
            <v>58</v>
          </cell>
          <cell r="AG106">
            <v>45.2</v>
          </cell>
          <cell r="AH106">
            <v>34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-13</v>
          </cell>
          <cell r="E107">
            <v>0</v>
          </cell>
          <cell r="F107">
            <v>-13</v>
          </cell>
          <cell r="G107" t="str">
            <v>выв2611</v>
          </cell>
          <cell r="H107">
            <v>0</v>
          </cell>
          <cell r="I107" t="e">
            <v>#N/A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W107">
            <v>0</v>
          </cell>
          <cell r="Y107" t="e">
            <v>#DIV/0!</v>
          </cell>
          <cell r="Z107" t="e">
            <v>#DIV/0!</v>
          </cell>
          <cell r="AC107">
            <v>0</v>
          </cell>
          <cell r="AD107">
            <v>1</v>
          </cell>
          <cell r="AE107">
            <v>5.8</v>
          </cell>
          <cell r="AF107">
            <v>0</v>
          </cell>
          <cell r="AG107">
            <v>0</v>
          </cell>
          <cell r="AH107">
            <v>0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61</v>
          </cell>
          <cell r="D108">
            <v>49</v>
          </cell>
          <cell r="E108">
            <v>63</v>
          </cell>
          <cell r="F108">
            <v>46</v>
          </cell>
          <cell r="G108" t="str">
            <v>вв1912</v>
          </cell>
          <cell r="H108">
            <v>0</v>
          </cell>
          <cell r="I108" t="e">
            <v>#N/A</v>
          </cell>
          <cell r="J108">
            <v>65</v>
          </cell>
          <cell r="K108">
            <v>-2</v>
          </cell>
          <cell r="L108">
            <v>20</v>
          </cell>
          <cell r="M108">
            <v>0</v>
          </cell>
          <cell r="N108">
            <v>40</v>
          </cell>
          <cell r="O108">
            <v>0</v>
          </cell>
          <cell r="P108">
            <v>0</v>
          </cell>
          <cell r="W108">
            <v>12.6</v>
          </cell>
          <cell r="Y108">
            <v>8.412698412698413</v>
          </cell>
          <cell r="Z108">
            <v>3.6507936507936507</v>
          </cell>
          <cell r="AC108">
            <v>0</v>
          </cell>
          <cell r="AD108">
            <v>19</v>
          </cell>
          <cell r="AE108">
            <v>14.8</v>
          </cell>
          <cell r="AF108">
            <v>14</v>
          </cell>
          <cell r="AG108">
            <v>12.6</v>
          </cell>
          <cell r="AH108">
            <v>12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1167.779</v>
          </cell>
          <cell r="D109">
            <v>3287.2130000000002</v>
          </cell>
          <cell r="E109">
            <v>2480.1039999999998</v>
          </cell>
          <cell r="F109">
            <v>1934.925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2519.373</v>
          </cell>
          <cell r="K109">
            <v>-39.269000000000233</v>
          </cell>
          <cell r="L109">
            <v>600</v>
          </cell>
          <cell r="M109">
            <v>300</v>
          </cell>
          <cell r="N109">
            <v>400</v>
          </cell>
          <cell r="O109">
            <v>400</v>
          </cell>
          <cell r="P109">
            <v>300</v>
          </cell>
          <cell r="W109">
            <v>496.02079999999995</v>
          </cell>
          <cell r="X109">
            <v>800</v>
          </cell>
          <cell r="Y109">
            <v>9.5458194495069577</v>
          </cell>
          <cell r="Z109">
            <v>3.9008948818275364</v>
          </cell>
          <cell r="AC109">
            <v>0</v>
          </cell>
          <cell r="AD109">
            <v>328.1148</v>
          </cell>
          <cell r="AE109">
            <v>328.67040000000003</v>
          </cell>
          <cell r="AF109">
            <v>476.98220000000003</v>
          </cell>
          <cell r="AG109">
            <v>522.60220000000004</v>
          </cell>
          <cell r="AH109">
            <v>472.62700000000001</v>
          </cell>
          <cell r="AI10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17.12.2025 - 23.12.2025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</v>
          </cell>
          <cell r="F7">
            <v>753.28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17.649999999999999</v>
          </cell>
          <cell r="F8">
            <v>1338.41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29</v>
          </cell>
          <cell r="F9">
            <v>1802.0219999999999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2230</v>
          </cell>
          <cell r="F10">
            <v>5339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305</v>
          </cell>
          <cell r="F11">
            <v>4806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1046</v>
          </cell>
          <cell r="F12">
            <v>4686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</v>
          </cell>
          <cell r="F13">
            <v>89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25</v>
          </cell>
          <cell r="F14">
            <v>527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414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47</v>
          </cell>
          <cell r="F16">
            <v>2108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</v>
          </cell>
          <cell r="F17">
            <v>347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11</v>
          </cell>
          <cell r="F18">
            <v>144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135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607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129.1</v>
          </cell>
          <cell r="F21">
            <v>864.31500000000005</v>
          </cell>
        </row>
        <row r="22">
          <cell r="A22" t="str">
            <v xml:space="preserve"> 201  Ветчина Нежная ТМ Особый рецепт, (2,5кг), ПОКОМ</v>
          </cell>
          <cell r="D22">
            <v>255.2</v>
          </cell>
          <cell r="F22">
            <v>6579.3389999999999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384.73899999999998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126.68</v>
          </cell>
          <cell r="F24">
            <v>823.19500000000005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0.88</v>
          </cell>
          <cell r="F25">
            <v>181.72800000000001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76.680000000000007</v>
          </cell>
          <cell r="F26">
            <v>467.58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75.8</v>
          </cell>
          <cell r="F27">
            <v>586.57299999999998</v>
          </cell>
        </row>
        <row r="28">
          <cell r="A28" t="str">
            <v xml:space="preserve"> 247  Сардельки Нежные, ВЕС.  ПОКОМ</v>
          </cell>
          <cell r="D28">
            <v>4.0999999999999996</v>
          </cell>
          <cell r="F28">
            <v>117.10299999999999</v>
          </cell>
        </row>
        <row r="29">
          <cell r="A29" t="str">
            <v xml:space="preserve"> 248  Сардельки Сочные ТМ Особый рецепт,   ПОКОМ</v>
          </cell>
          <cell r="F29">
            <v>109.101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49.45</v>
          </cell>
          <cell r="F30">
            <v>1805.203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141.30000000000001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2.6</v>
          </cell>
          <cell r="F32">
            <v>147.80000000000001</v>
          </cell>
        </row>
        <row r="33">
          <cell r="A33" t="str">
            <v xml:space="preserve"> 263  Шпикачки Стародворские, ВЕС.  ПОКОМ</v>
          </cell>
          <cell r="D33">
            <v>6.8</v>
          </cell>
          <cell r="F33">
            <v>898.91700000000003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14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6.6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15.6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637</v>
          </cell>
          <cell r="F37">
            <v>2555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348</v>
          </cell>
          <cell r="F38">
            <v>3283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46</v>
          </cell>
          <cell r="F39">
            <v>3171</v>
          </cell>
        </row>
        <row r="40">
          <cell r="A40" t="str">
            <v xml:space="preserve"> 278  Сосиски Сочинки с сочным окороком, МГС 0.4кг,   ПОКОМ</v>
          </cell>
          <cell r="F40">
            <v>21</v>
          </cell>
        </row>
        <row r="41">
          <cell r="A41" t="str">
            <v xml:space="preserve"> 283  Сосиски Сочинки, ВЕС, ТМ Стародворье ПОКОМ</v>
          </cell>
          <cell r="D41">
            <v>6.8</v>
          </cell>
          <cell r="F41">
            <v>521.21100000000001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19</v>
          </cell>
          <cell r="F42">
            <v>966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12</v>
          </cell>
          <cell r="F43">
            <v>1091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2.1</v>
          </cell>
          <cell r="F44">
            <v>251.61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21</v>
          </cell>
          <cell r="F45">
            <v>1006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27</v>
          </cell>
          <cell r="F46">
            <v>1583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172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17.899999999999999</v>
          </cell>
          <cell r="F48">
            <v>479.05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16</v>
          </cell>
          <cell r="F49">
            <v>1429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32</v>
          </cell>
          <cell r="F50">
            <v>2257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19</v>
          </cell>
          <cell r="F51">
            <v>1079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167.3</v>
          </cell>
          <cell r="F52">
            <v>1100.787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4.0599999999999996</v>
          </cell>
          <cell r="F53">
            <v>697.77700000000004</v>
          </cell>
        </row>
        <row r="54">
          <cell r="A54" t="str">
            <v xml:space="preserve"> 316  Колбаса Нежная ТМ Зареченские ВЕС  ПОКОМ</v>
          </cell>
          <cell r="D54">
            <v>2.2999999999999998</v>
          </cell>
          <cell r="F54">
            <v>277.42</v>
          </cell>
        </row>
        <row r="55">
          <cell r="A55" t="str">
            <v xml:space="preserve"> 317 Колбаса Сервелат Рижский ТМ Зареченские, ВЕС  ПОКОМ</v>
          </cell>
          <cell r="F55">
            <v>0.8</v>
          </cell>
        </row>
        <row r="56">
          <cell r="A56" t="str">
            <v xml:space="preserve"> 318  Сосиски Датские ТМ Зареченские, ВЕС  ПОКОМ</v>
          </cell>
          <cell r="D56">
            <v>68.099999999999994</v>
          </cell>
          <cell r="F56">
            <v>5520.14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1238</v>
          </cell>
          <cell r="F57">
            <v>5669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52</v>
          </cell>
          <cell r="F58">
            <v>4585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18</v>
          </cell>
          <cell r="F59">
            <v>1715</v>
          </cell>
        </row>
        <row r="60">
          <cell r="A60" t="str">
            <v xml:space="preserve"> 328  Сардельки Сочинки Стародворье ТМ  0,4 кг ПОКОМ</v>
          </cell>
          <cell r="D60">
            <v>7</v>
          </cell>
          <cell r="F60">
            <v>588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6</v>
          </cell>
          <cell r="F61">
            <v>406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184.8</v>
          </cell>
          <cell r="F62">
            <v>1245.567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9</v>
          </cell>
          <cell r="F63">
            <v>610</v>
          </cell>
        </row>
        <row r="64">
          <cell r="A64" t="str">
            <v xml:space="preserve"> 335  Колбаса Сливушка ТМ Вязанка. ВЕС.  ПОКОМ </v>
          </cell>
          <cell r="F64">
            <v>216.6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918</v>
          </cell>
          <cell r="F65">
            <v>3875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20</v>
          </cell>
          <cell r="F66">
            <v>2482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13.3</v>
          </cell>
          <cell r="F67">
            <v>587.77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>
            <v>2.6</v>
          </cell>
          <cell r="F68">
            <v>223.15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27.45</v>
          </cell>
          <cell r="F69">
            <v>2184.3989999999999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2.4</v>
          </cell>
          <cell r="F70">
            <v>310.8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D71">
            <v>1</v>
          </cell>
          <cell r="F71">
            <v>112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2</v>
          </cell>
          <cell r="F72">
            <v>421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13</v>
          </cell>
          <cell r="F73">
            <v>579</v>
          </cell>
        </row>
        <row r="74">
          <cell r="A74" t="str">
            <v xml:space="preserve"> 364  Сардельки Филейские Вязанка ВЕС NDX ТМ Вязанка  ПОКОМ</v>
          </cell>
          <cell r="D74">
            <v>2.6</v>
          </cell>
          <cell r="F74">
            <v>283.08100000000002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2</v>
          </cell>
          <cell r="F75">
            <v>877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7</v>
          </cell>
          <cell r="F76">
            <v>997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10</v>
          </cell>
          <cell r="F77">
            <v>803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13</v>
          </cell>
          <cell r="F78">
            <v>680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10</v>
          </cell>
          <cell r="F79">
            <v>594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D80">
            <v>2</v>
          </cell>
          <cell r="F80">
            <v>410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2072</v>
          </cell>
          <cell r="F81">
            <v>8415</v>
          </cell>
        </row>
        <row r="82">
          <cell r="A82" t="str">
            <v xml:space="preserve"> 412  Сосиски Баварские ТМ Стародворье 0,35 кг ПОКОМ</v>
          </cell>
          <cell r="D82">
            <v>91</v>
          </cell>
          <cell r="F82">
            <v>7508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14</v>
          </cell>
          <cell r="F83">
            <v>519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12.35</v>
          </cell>
          <cell r="F84">
            <v>510.98200000000003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7</v>
          </cell>
          <cell r="F85">
            <v>295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D86">
            <v>1.3</v>
          </cell>
          <cell r="F86">
            <v>83.5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6</v>
          </cell>
          <cell r="F87">
            <v>700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3</v>
          </cell>
          <cell r="F88">
            <v>249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7.28</v>
          </cell>
          <cell r="F89">
            <v>611.36199999999997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92.7</v>
          </cell>
          <cell r="F90">
            <v>4201.3140000000003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372.5</v>
          </cell>
          <cell r="F91">
            <v>8308.2950000000001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42.7</v>
          </cell>
          <cell r="F92">
            <v>7850.9219999999996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3.6</v>
          </cell>
          <cell r="F93">
            <v>213.7</v>
          </cell>
        </row>
        <row r="94">
          <cell r="A94" t="str">
            <v xml:space="preserve"> 467  Колбаса Филейная 0,5кг ТМ Особый рецепт  ПОКОМ</v>
          </cell>
          <cell r="D94">
            <v>5</v>
          </cell>
          <cell r="F94">
            <v>175</v>
          </cell>
        </row>
        <row r="95">
          <cell r="A95" t="str">
            <v xml:space="preserve"> 474  Колбаса Молочная 0,4кг ТМ Зареченские  ПОКОМ</v>
          </cell>
          <cell r="D95">
            <v>1200</v>
          </cell>
          <cell r="F95">
            <v>1201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1.3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625</v>
          </cell>
          <cell r="F97">
            <v>2173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11</v>
          </cell>
          <cell r="F98">
            <v>812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532</v>
          </cell>
          <cell r="F99">
            <v>1722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12</v>
          </cell>
          <cell r="F100">
            <v>897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30</v>
          </cell>
          <cell r="F101">
            <v>30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12</v>
          </cell>
          <cell r="F102">
            <v>308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9</v>
          </cell>
          <cell r="F103">
            <v>723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16</v>
          </cell>
          <cell r="F104">
            <v>476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13</v>
          </cell>
          <cell r="F105">
            <v>695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14</v>
          </cell>
          <cell r="F106">
            <v>804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13</v>
          </cell>
          <cell r="F107">
            <v>349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13</v>
          </cell>
          <cell r="F108">
            <v>262</v>
          </cell>
        </row>
        <row r="109">
          <cell r="A109" t="str">
            <v xml:space="preserve"> 527  Окорок Прошутто выдержанный нарезка 0,055кг ТМ Стародворье  ПОКОМ</v>
          </cell>
          <cell r="F109">
            <v>2</v>
          </cell>
        </row>
        <row r="110">
          <cell r="A110" t="str">
            <v xml:space="preserve"> 546  Колбаса Чесночная 0,4 кг срез ТМ Стародворье  ПОКОМ</v>
          </cell>
          <cell r="D110">
            <v>1</v>
          </cell>
          <cell r="F110">
            <v>56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D111">
            <v>12.5</v>
          </cell>
          <cell r="F111">
            <v>2374.6840000000002</v>
          </cell>
        </row>
        <row r="112">
          <cell r="A112" t="str">
            <v>0447 Сыр Голландский 45% Нарезка 125г ТМ Папа может ОСТАНКИНО</v>
          </cell>
          <cell r="D112">
            <v>43</v>
          </cell>
          <cell r="F112">
            <v>43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76</v>
          </cell>
          <cell r="F113">
            <v>76</v>
          </cell>
        </row>
        <row r="114">
          <cell r="A114" t="str">
            <v>1244 Сыр Останкино "Алтайский Gold" 50% вес  ОСТАНКИНО</v>
          </cell>
          <cell r="D114">
            <v>1.2</v>
          </cell>
          <cell r="F114">
            <v>1.2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16</v>
          </cell>
          <cell r="F115">
            <v>16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16</v>
          </cell>
          <cell r="F116">
            <v>16</v>
          </cell>
        </row>
        <row r="117">
          <cell r="A117" t="str">
            <v>2704 Сливочный со вкусом топл. молока 45% тм Папа Может. брус (2шт)  ОСТАНКИНО</v>
          </cell>
          <cell r="D117">
            <v>7.5</v>
          </cell>
          <cell r="F117">
            <v>7.5</v>
          </cell>
        </row>
        <row r="118">
          <cell r="A118" t="str">
            <v>3215 ВЕТЧ.МЯСНАЯ Папа может п/о 0.4кг 8шт.    ОСТАНКИНО</v>
          </cell>
          <cell r="D118">
            <v>776</v>
          </cell>
          <cell r="F118">
            <v>776</v>
          </cell>
        </row>
        <row r="119">
          <cell r="A119" t="str">
            <v>3684 ПРЕСИЖН с/к в/у 1/250 8шт.   ОСТАНКИНО</v>
          </cell>
          <cell r="D119">
            <v>60</v>
          </cell>
          <cell r="F119">
            <v>60</v>
          </cell>
        </row>
        <row r="120">
          <cell r="A120" t="str">
            <v>3811 Сыч/Прод Коровино Российский Оригин 50% ВЕС (5 кг)  ОСТАНКИНО</v>
          </cell>
          <cell r="D120">
            <v>7</v>
          </cell>
          <cell r="F120">
            <v>7</v>
          </cell>
        </row>
        <row r="121">
          <cell r="A121" t="str">
            <v>3828 Сыч/Прод Коровино Тильзитер Оригин 50% ВЕС (5 кг брус) СЗМЖ  ОСТАНКИНО</v>
          </cell>
          <cell r="D121">
            <v>18</v>
          </cell>
          <cell r="F121">
            <v>18</v>
          </cell>
        </row>
        <row r="122">
          <cell r="A122" t="str">
            <v>3986 Ароматная с/к в/у 1/250 ОСТАНКИНО</v>
          </cell>
          <cell r="D122">
            <v>750</v>
          </cell>
          <cell r="F122">
            <v>750</v>
          </cell>
        </row>
        <row r="123">
          <cell r="A123" t="str">
            <v>4063 МЯСНАЯ Папа может вар п/о_Л   ОСТАНКИНО</v>
          </cell>
          <cell r="D123">
            <v>1756.9</v>
          </cell>
          <cell r="F123">
            <v>1756.9</v>
          </cell>
        </row>
        <row r="124">
          <cell r="A124" t="str">
            <v>4117 ЭКСТРА Папа может с/к в/у_Л   ОСТАНКИНО</v>
          </cell>
          <cell r="D124">
            <v>68.2</v>
          </cell>
          <cell r="F124">
            <v>68.2</v>
          </cell>
        </row>
        <row r="125">
          <cell r="A125" t="str">
            <v>4163 Сыр Боккончини копченый 40% 100 гр.  ОСТАНКИНО</v>
          </cell>
          <cell r="D125">
            <v>134</v>
          </cell>
          <cell r="F125">
            <v>134</v>
          </cell>
        </row>
        <row r="126">
          <cell r="A126" t="str">
            <v>4170 Сыр Скаморца свежий 40% 100 гр.  ОСТАНКИНО</v>
          </cell>
          <cell r="D126">
            <v>78</v>
          </cell>
          <cell r="F126">
            <v>78</v>
          </cell>
        </row>
        <row r="127">
          <cell r="A127" t="str">
            <v>4187 Сыр Чечил свежий 45% 100г/6шт ТМ Папа Может  ОСТАНКИНО</v>
          </cell>
          <cell r="D127">
            <v>253</v>
          </cell>
          <cell r="F127">
            <v>253</v>
          </cell>
        </row>
        <row r="128">
          <cell r="A128" t="str">
            <v>4194 Сыр рассольный жирный Чечил копченый 45% 100 гр  ОСТАНКИНО</v>
          </cell>
          <cell r="D128">
            <v>3</v>
          </cell>
          <cell r="F128">
            <v>3</v>
          </cell>
        </row>
        <row r="129">
          <cell r="A129" t="str">
            <v>4194 Сыр Чечил копченый 43% 100г/6шт ТМ Папа Может  ОСТАНКИНО</v>
          </cell>
          <cell r="D129">
            <v>171</v>
          </cell>
          <cell r="F129">
            <v>171</v>
          </cell>
        </row>
        <row r="130">
          <cell r="A130" t="str">
            <v>4574 Колбаса вар Мясная со шпиком 1кг Папа может п/о (код покуп. 24784) Останкино</v>
          </cell>
          <cell r="D130">
            <v>109.2</v>
          </cell>
          <cell r="F130">
            <v>109.2</v>
          </cell>
        </row>
        <row r="131">
          <cell r="A131" t="str">
            <v>4574 Мясная со шпиком Папа может вар п/о ОСТАНКИНО</v>
          </cell>
          <cell r="D131">
            <v>6.1</v>
          </cell>
          <cell r="F131">
            <v>6.1</v>
          </cell>
        </row>
        <row r="132">
          <cell r="A132" t="str">
            <v>4813 ФИЛЕЙНАЯ Папа может вар п/о_Л   ОСТАНКИНО</v>
          </cell>
          <cell r="D132">
            <v>604.70000000000005</v>
          </cell>
          <cell r="F132">
            <v>604.70000000000005</v>
          </cell>
        </row>
        <row r="133">
          <cell r="A133" t="str">
            <v>4819 Сыр "Пармезан" 40% кусок 180 гр  ОСТАНКИНО</v>
          </cell>
          <cell r="D133">
            <v>192</v>
          </cell>
          <cell r="F133">
            <v>192</v>
          </cell>
        </row>
        <row r="134">
          <cell r="A134" t="str">
            <v>4903 Сыр Перлини 40% 100гр (8шт)  ОСТАНКИНО</v>
          </cell>
          <cell r="D134">
            <v>89</v>
          </cell>
          <cell r="F134">
            <v>89</v>
          </cell>
        </row>
        <row r="135">
          <cell r="A135" t="str">
            <v>4910 Сыр Перлини копченый 40% 100гр (8шт)  ОСТАНКИНО</v>
          </cell>
          <cell r="D135">
            <v>44</v>
          </cell>
          <cell r="F135">
            <v>44</v>
          </cell>
        </row>
        <row r="136">
          <cell r="A136" t="str">
            <v>4927 Сыр Перлини со вкусом Васаби 40% 100гр (8шт)  ОСТАНКИНО</v>
          </cell>
          <cell r="D136">
            <v>47</v>
          </cell>
          <cell r="F136">
            <v>47</v>
          </cell>
        </row>
        <row r="137">
          <cell r="A137" t="str">
            <v>4993 САЛЯМИ ИТАЛЬЯНСКАЯ с/к в/у 1/250*8_120c ОСТАНКИНО</v>
          </cell>
          <cell r="D137">
            <v>420</v>
          </cell>
          <cell r="F137">
            <v>420</v>
          </cell>
        </row>
        <row r="138">
          <cell r="A138" t="str">
            <v>5204 Сыр полутвердый "Российский", ВЕС брус, с массовой долей жира 50%  ОСТАНКИНО</v>
          </cell>
          <cell r="D138">
            <v>109</v>
          </cell>
          <cell r="F138">
            <v>109</v>
          </cell>
        </row>
        <row r="139">
          <cell r="A139" t="str">
            <v>5235 Сыр полутвердый "Голландский" 45%, брус ВЕС  ОСТАНКИНО</v>
          </cell>
          <cell r="D139">
            <v>57.3</v>
          </cell>
          <cell r="F139">
            <v>57.3</v>
          </cell>
        </row>
        <row r="140">
          <cell r="A140" t="str">
            <v>5242 Сыр полутвердый "Гауда", 45%, ВЕС брус из блока 1/5  ОСТАНКИНО</v>
          </cell>
          <cell r="D140">
            <v>21.5</v>
          </cell>
          <cell r="F140">
            <v>21.5</v>
          </cell>
        </row>
        <row r="141">
          <cell r="A141" t="str">
            <v>5246 ДОКТОРСКАЯ ПРЕМИУМ вар б/о мгс_30с ОСТАНКИНО</v>
          </cell>
          <cell r="D141">
            <v>101.8</v>
          </cell>
          <cell r="F141">
            <v>101.8</v>
          </cell>
        </row>
        <row r="142">
          <cell r="A142" t="str">
            <v>5247 РУССКАЯ ПРЕМИУМ вар б/о мгс_30с ОСТАНКИНО</v>
          </cell>
          <cell r="D142">
            <v>55.2</v>
          </cell>
          <cell r="F142">
            <v>55.2</v>
          </cell>
        </row>
        <row r="143">
          <cell r="A143" t="str">
            <v>5483 ЭКСТРА Папа может с/к в/у 1/250 8шт.   ОСТАНКИНО</v>
          </cell>
          <cell r="D143">
            <v>991</v>
          </cell>
          <cell r="F143">
            <v>991</v>
          </cell>
        </row>
        <row r="144">
          <cell r="A144" t="str">
            <v>5544 Сервелат Финский в/к в/у_45с НОВАЯ ОСТАНКИНО</v>
          </cell>
          <cell r="D144">
            <v>1172.9480000000001</v>
          </cell>
          <cell r="F144">
            <v>1172.9480000000001</v>
          </cell>
        </row>
        <row r="145">
          <cell r="A145" t="str">
            <v>5579 БЛИНЧ.КРУГЛЫЕ С САД.ЯБЛОК.1/420 зам_ПОСТ  ОСТАНКИНО</v>
          </cell>
          <cell r="D145">
            <v>5</v>
          </cell>
          <cell r="F145">
            <v>5</v>
          </cell>
        </row>
        <row r="146">
          <cell r="A146" t="str">
            <v>5679 САЛЯМИ ИТАЛЬЯНСКАЯ с/к в/у 1/150_60с ОСТАНКИНО</v>
          </cell>
          <cell r="D146">
            <v>307</v>
          </cell>
          <cell r="F146">
            <v>307</v>
          </cell>
        </row>
        <row r="147">
          <cell r="A147" t="str">
            <v>5682 САЛЯМИ МЕЛКОЗЕРНЕНАЯ с/к в/у 1/120_60с   ОСТАНКИНО</v>
          </cell>
          <cell r="D147">
            <v>202</v>
          </cell>
          <cell r="F147">
            <v>202</v>
          </cell>
        </row>
        <row r="148">
          <cell r="A148" t="str">
            <v>5706 АРОМАТНАЯ Папа может с/к в/у 1/250 8шт.  ОСТАНКИНО</v>
          </cell>
          <cell r="D148">
            <v>16</v>
          </cell>
          <cell r="F148">
            <v>16</v>
          </cell>
        </row>
        <row r="149">
          <cell r="A149" t="str">
            <v>5708 ПОСОЛЬСКАЯ Папа может с/к в/у ОСТАНКИНО</v>
          </cell>
          <cell r="D149">
            <v>70.7</v>
          </cell>
          <cell r="F149">
            <v>70.7</v>
          </cell>
        </row>
        <row r="150">
          <cell r="A150" t="str">
            <v>5851 ЭКСТРА Папа может вар п/о   ОСТАНКИНО</v>
          </cell>
          <cell r="D150">
            <v>283.2</v>
          </cell>
          <cell r="F150">
            <v>283.2</v>
          </cell>
        </row>
        <row r="151">
          <cell r="A151" t="str">
            <v>5931 ОХОТНИЧЬЯ Папа может с/к в/у 1/220 8шт.   ОСТАНКИНО</v>
          </cell>
          <cell r="D151">
            <v>1502</v>
          </cell>
          <cell r="F151">
            <v>1502</v>
          </cell>
        </row>
        <row r="152">
          <cell r="A152" t="str">
            <v>5949 Сырный продукт Моцарелла 45% (батоны) 1,0кг ТМ "КОРОВИНО"  ОСТАНКИНО</v>
          </cell>
          <cell r="D152">
            <v>7</v>
          </cell>
          <cell r="F152">
            <v>7</v>
          </cell>
        </row>
        <row r="153">
          <cell r="A153" t="str">
            <v>5992 ВРЕМЯ ОКРОШКИ Папа может вар п/о 0.4кг   ОСТАНКИНО</v>
          </cell>
          <cell r="D153">
            <v>1</v>
          </cell>
          <cell r="F153">
            <v>1</v>
          </cell>
        </row>
        <row r="154">
          <cell r="A154" t="str">
            <v>6004 РАГУ СВИНОЕ 1кг 8шт.зам_120с ОСТАНКИНО</v>
          </cell>
          <cell r="D154">
            <v>112</v>
          </cell>
          <cell r="F154">
            <v>112</v>
          </cell>
        </row>
        <row r="155">
          <cell r="A155" t="str">
            <v>6148 БЛИНЧ.КРУГЛЫЕ С ВЕТЧ.И СЫР.ПМ 1/300 зам.  ОСТАНКИНО</v>
          </cell>
          <cell r="D155">
            <v>42</v>
          </cell>
          <cell r="F155">
            <v>42</v>
          </cell>
        </row>
        <row r="156">
          <cell r="A156" t="str">
            <v>6168 БЛИНЧ.С МЯСОМ пл.1/350 зам  ОСТАНКИНО</v>
          </cell>
          <cell r="D156">
            <v>40</v>
          </cell>
          <cell r="F156">
            <v>40</v>
          </cell>
        </row>
        <row r="157">
          <cell r="A157" t="str">
            <v>6202 БЛИНЧ.КРУГЛЫЕ С ТВОРОГОМ ПМ 1/300 зам.  ОСТАНКИНО</v>
          </cell>
          <cell r="D157">
            <v>34</v>
          </cell>
          <cell r="F157">
            <v>34</v>
          </cell>
        </row>
        <row r="158">
          <cell r="A158" t="str">
            <v>6209 БЛИНЧ.С КУРИНЫМ МЯСОМ пл.1/350 зам.  ОСТАНКИНО</v>
          </cell>
          <cell r="D158">
            <v>46</v>
          </cell>
          <cell r="F158">
            <v>46</v>
          </cell>
        </row>
        <row r="159">
          <cell r="A159" t="str">
            <v>6220 ГОВЯЖЬЯ Папа может вар п/о  ОСТАНКИНО</v>
          </cell>
          <cell r="D159">
            <v>18.2</v>
          </cell>
          <cell r="F159">
            <v>18.2</v>
          </cell>
        </row>
        <row r="160">
          <cell r="A160" t="str">
            <v>6221 НЕАПОЛИТАНСКИЙ ДУЭТ с/к с/н мгс 1/90  ОСТАНКИНО</v>
          </cell>
          <cell r="D160">
            <v>718</v>
          </cell>
          <cell r="F160">
            <v>718</v>
          </cell>
        </row>
        <row r="161">
          <cell r="A161" t="str">
            <v>6228 МЯСНОЕ АССОРТИ к/з с/н мгс 1/90 10шт.  ОСТАНКИНО</v>
          </cell>
          <cell r="D161">
            <v>492</v>
          </cell>
          <cell r="F161">
            <v>492</v>
          </cell>
        </row>
        <row r="162">
          <cell r="A162" t="str">
            <v>6247 ДОМАШНЯЯ Папа может вар п/о 0,4кг 8шт.  ОСТАНКИНО</v>
          </cell>
          <cell r="D162">
            <v>106</v>
          </cell>
          <cell r="F162">
            <v>106</v>
          </cell>
        </row>
        <row r="163">
          <cell r="A163" t="str">
            <v>6268 ГОВЯЖЬЯ Папа может вар п/о 0,4кг 8 шт.  ОСТАНКИНО</v>
          </cell>
          <cell r="D163">
            <v>827</v>
          </cell>
          <cell r="F163">
            <v>827</v>
          </cell>
        </row>
        <row r="164">
          <cell r="A164" t="str">
            <v>6279 КОРЕЙКА ПО-ОСТ.к/в в/с с/н в/у 1/150_45с  ОСТАНКИНО</v>
          </cell>
          <cell r="D164">
            <v>634</v>
          </cell>
          <cell r="F164">
            <v>634</v>
          </cell>
        </row>
        <row r="165">
          <cell r="A165" t="str">
            <v>6303 МЯСНЫЕ Папа может сос п/о мгс 1.5*3  ОСТАНКИНО</v>
          </cell>
          <cell r="D165">
            <v>422.6</v>
          </cell>
          <cell r="F165">
            <v>422.6</v>
          </cell>
        </row>
        <row r="166">
          <cell r="A166" t="str">
            <v>6324 ДОКТОРСКАЯ ГОСТ вар п/о 0.4кг 8шт.  ОСТАНКИНО</v>
          </cell>
          <cell r="D166">
            <v>92</v>
          </cell>
          <cell r="F166">
            <v>92</v>
          </cell>
        </row>
        <row r="167">
          <cell r="A167" t="str">
            <v>6325 ДОКТОРСКАЯ ПРЕМИУМ вар п/о 0.4кг 8шт.  ОСТАНКИНО</v>
          </cell>
          <cell r="D167">
            <v>1641</v>
          </cell>
          <cell r="F167">
            <v>1641</v>
          </cell>
        </row>
        <row r="168">
          <cell r="A168" t="str">
            <v>6333 МЯСНАЯ Папа может вар п/о 0.4кг 8шт.  ОСТАНКИНО</v>
          </cell>
          <cell r="D168">
            <v>4871</v>
          </cell>
          <cell r="F168">
            <v>4872</v>
          </cell>
        </row>
        <row r="169">
          <cell r="A169" t="str">
            <v>6340 ДОМАШНИЙ РЕЦЕПТ Коровино 0.5кг 8шт.  ОСТАНКИНО</v>
          </cell>
          <cell r="D169">
            <v>335</v>
          </cell>
          <cell r="F169">
            <v>335</v>
          </cell>
        </row>
        <row r="170">
          <cell r="A170" t="str">
            <v>6353 ЭКСТРА Папа может вар п/о 0.4кг 8шт.  ОСТАНКИНО</v>
          </cell>
          <cell r="D170">
            <v>1690</v>
          </cell>
          <cell r="F170">
            <v>1690</v>
          </cell>
        </row>
        <row r="171">
          <cell r="A171" t="str">
            <v>6392 ФИЛЕЙНАЯ Папа может вар п/о 0.4кг. ОСТАНКИНО</v>
          </cell>
          <cell r="D171">
            <v>3245</v>
          </cell>
          <cell r="F171">
            <v>3245</v>
          </cell>
        </row>
        <row r="172">
          <cell r="A172" t="str">
            <v>6448 СВИНИНА МАДЕРА с/к с/н в/у 1/100 10шт.   ОСТАНКИНО</v>
          </cell>
          <cell r="D172">
            <v>140</v>
          </cell>
          <cell r="F172">
            <v>140</v>
          </cell>
        </row>
        <row r="173">
          <cell r="A173" t="str">
            <v>6453 ЭКСТРА Папа может с/к с/н в/у 1/100 14шт.   ОСТАНКИНО</v>
          </cell>
          <cell r="D173">
            <v>1941</v>
          </cell>
          <cell r="F173">
            <v>1941</v>
          </cell>
        </row>
        <row r="174">
          <cell r="A174" t="str">
            <v>6454 АРОМАТНАЯ с/к с/н в/у 1/100 10шт.  ОСТАНКИНО</v>
          </cell>
          <cell r="D174">
            <v>1816</v>
          </cell>
          <cell r="F174">
            <v>1816</v>
          </cell>
        </row>
        <row r="175">
          <cell r="A175" t="str">
            <v>6459 СЕРВЕЛАТ ШВЕЙЦАРСК. в/к с/н в/у 1/100*10  ОСТАНКИНО</v>
          </cell>
          <cell r="D175">
            <v>1383</v>
          </cell>
          <cell r="F175">
            <v>1383</v>
          </cell>
        </row>
        <row r="176">
          <cell r="A176" t="str">
            <v>6470 ВЕТЧ.МРАМОРНАЯ в/у_45с  ОСТАНКИНО</v>
          </cell>
          <cell r="D176">
            <v>27.9</v>
          </cell>
          <cell r="F176">
            <v>27.9</v>
          </cell>
        </row>
        <row r="177">
          <cell r="A177" t="str">
            <v>6495 ВЕТЧ.МРАМОРНАЯ в/у срез 0.3кг 6шт_45с  ОСТАНКИНО</v>
          </cell>
          <cell r="D177">
            <v>386</v>
          </cell>
          <cell r="F177">
            <v>386</v>
          </cell>
        </row>
        <row r="178">
          <cell r="A178" t="str">
            <v>6527 ШПИКАЧКИ СОЧНЫЕ ПМ сар б/о мгс 1*3 45с ОСТАНКИНО</v>
          </cell>
          <cell r="D178">
            <v>322.73</v>
          </cell>
          <cell r="F178">
            <v>322.73</v>
          </cell>
        </row>
        <row r="179">
          <cell r="A179" t="str">
            <v>6528 ШПИКАЧКИ СОЧНЫЕ ПМ сар б/о мгс 0.4кг 45с  ОСТАНКИНО</v>
          </cell>
          <cell r="D179">
            <v>8</v>
          </cell>
          <cell r="F179">
            <v>8</v>
          </cell>
        </row>
        <row r="180">
          <cell r="A180" t="str">
            <v>6586 МРАМОРНАЯ И БАЛЫКОВАЯ в/к с/н мгс 1/90 ОСТАНКИНО</v>
          </cell>
          <cell r="D180">
            <v>30</v>
          </cell>
          <cell r="F180">
            <v>30</v>
          </cell>
        </row>
        <row r="181">
          <cell r="A181" t="str">
            <v>6609 С ГОВЯДИНОЙ ПМ сар б/о мгс 0.4кг_45с ОСТАНКИНО</v>
          </cell>
          <cell r="D181">
            <v>31</v>
          </cell>
          <cell r="F181">
            <v>31</v>
          </cell>
        </row>
        <row r="182">
          <cell r="A182" t="str">
            <v>6616 МОЛОЧНЫЕ КЛАССИЧЕСКИЕ сос п/о в/у 0.3кг  ОСТАНКИНО</v>
          </cell>
          <cell r="D182">
            <v>2003</v>
          </cell>
          <cell r="F182">
            <v>2003</v>
          </cell>
        </row>
        <row r="183">
          <cell r="A183" t="str">
            <v>6697 СЕРВЕЛАТ ФИНСКИЙ ПМ в/к в/у 0,35кг 8шт.  ОСТАНКИНО</v>
          </cell>
          <cell r="D183">
            <v>4473</v>
          </cell>
          <cell r="F183">
            <v>4473</v>
          </cell>
        </row>
        <row r="184">
          <cell r="A184" t="str">
            <v>6713 СОЧНЫЙ ГРИЛЬ ПМ сос п/о мгс 0.41кг 8шт.  ОСТАНКИНО</v>
          </cell>
          <cell r="D184">
            <v>1880</v>
          </cell>
          <cell r="F184">
            <v>1880</v>
          </cell>
        </row>
        <row r="185">
          <cell r="A185" t="str">
            <v>6724 МОЛОЧНЫЕ ПМ сос п/о мгс 0.41кг 10шт.  ОСТАНКИНО</v>
          </cell>
          <cell r="D185">
            <v>598</v>
          </cell>
          <cell r="F185">
            <v>598</v>
          </cell>
        </row>
        <row r="186">
          <cell r="A186" t="str">
            <v>6765 РУБЛЕНЫЕ сос ц/о мгс 0.36кг 6шт.  ОСТАНКИНО</v>
          </cell>
          <cell r="D186">
            <v>467</v>
          </cell>
          <cell r="F186">
            <v>467</v>
          </cell>
        </row>
        <row r="187">
          <cell r="A187" t="str">
            <v>6785 ВЕНСКАЯ САЛЯМИ п/к в/у 0.33кг 8шт.  ОСТАНКИНО</v>
          </cell>
          <cell r="D187">
            <v>170</v>
          </cell>
          <cell r="F187">
            <v>170</v>
          </cell>
        </row>
        <row r="188">
          <cell r="A188" t="str">
            <v>6787 СЕРВЕЛАТ КРЕМЛЕВСКИЙ в/к в/у 0,33кг 8шт.  ОСТАНКИНО</v>
          </cell>
          <cell r="D188">
            <v>182</v>
          </cell>
          <cell r="F188">
            <v>182</v>
          </cell>
        </row>
        <row r="189">
          <cell r="A189" t="str">
            <v>6793 БАЛЫКОВАЯ в/к в/у 0,33кг 8шт.  ОСТАНКИНО</v>
          </cell>
          <cell r="D189">
            <v>336</v>
          </cell>
          <cell r="F189">
            <v>336</v>
          </cell>
        </row>
        <row r="190">
          <cell r="A190" t="str">
            <v>6797 С ИНДЕЙКОЙ Папа может вар п/о 0,4кг 8шт.  ОСТАНКИНО</v>
          </cell>
          <cell r="D190">
            <v>77</v>
          </cell>
          <cell r="F190">
            <v>77</v>
          </cell>
        </row>
        <row r="191">
          <cell r="A191" t="str">
            <v>6819 БЛИНЧ.КРУГЛЫЕ С САД.ЯБЛОК. пл.1/300 зам.  ОСТАНКИНО</v>
          </cell>
          <cell r="D191">
            <v>11</v>
          </cell>
          <cell r="F191">
            <v>11</v>
          </cell>
        </row>
        <row r="192">
          <cell r="A192" t="str">
            <v>6829 МОЛОЧНЫЕ КЛАССИЧЕСКИЕ сос п/о мгс 2*4_С  ОСТАНКИНО</v>
          </cell>
          <cell r="D192">
            <v>693.6</v>
          </cell>
          <cell r="F192">
            <v>693.6</v>
          </cell>
        </row>
        <row r="193">
          <cell r="A193" t="str">
            <v>6832 АССОРТИ СЫРОКОПЧЕНЫХ КОЛБАС Коровино в/у  ОСТАНКИНО</v>
          </cell>
          <cell r="D193">
            <v>7.5</v>
          </cell>
          <cell r="F193">
            <v>7.5</v>
          </cell>
        </row>
        <row r="194">
          <cell r="A194" t="str">
            <v>6837 ФИЛЕЙНЫЕ Папа Может сос ц/о мгс 0.4кг  ОСТАНКИНО</v>
          </cell>
          <cell r="D194">
            <v>1081</v>
          </cell>
          <cell r="F194">
            <v>1081</v>
          </cell>
        </row>
        <row r="195">
          <cell r="A195" t="str">
            <v>6842 ДЫМОВИЦА ИЗ ОКОРОКА к/в мл/к в/у 0,3кг  ОСТАНКИНО</v>
          </cell>
          <cell r="D195">
            <v>249</v>
          </cell>
          <cell r="F195">
            <v>249</v>
          </cell>
        </row>
        <row r="196">
          <cell r="A196" t="str">
            <v>6861 ДОМАШНИЙ РЕЦЕПТ Коровино вар п/о  ОСТАНКИНО</v>
          </cell>
          <cell r="D196">
            <v>980.2</v>
          </cell>
          <cell r="F196">
            <v>980.2</v>
          </cell>
        </row>
        <row r="197">
          <cell r="A197" t="str">
            <v>6866 ВЕТЧ.НЕЖНАЯ Коровино п/о_Маяк  ОСТАНКИНО</v>
          </cell>
          <cell r="D197">
            <v>155.9</v>
          </cell>
          <cell r="F197">
            <v>155.9</v>
          </cell>
        </row>
        <row r="198">
          <cell r="A198" t="str">
            <v>6909 ДЛЯ ДЕТЕЙ сос п/о мгс 0.33кг 8шт.  ОСТАНКИНО</v>
          </cell>
          <cell r="D198">
            <v>60</v>
          </cell>
          <cell r="F198">
            <v>60</v>
          </cell>
        </row>
        <row r="199">
          <cell r="A199" t="str">
            <v>6928 Сыр твердый "Пармезан", с массовой долей жира 35%, цилиндр 1/4  ОСТАНКИНО</v>
          </cell>
          <cell r="D199">
            <v>4.5</v>
          </cell>
          <cell r="F199">
            <v>4.5</v>
          </cell>
        </row>
        <row r="200">
          <cell r="A200" t="str">
            <v>7001 КЛАССИЧЕСКИЕ Папа может сар б/о мгс 1*3  ОСТАНКИНО</v>
          </cell>
          <cell r="D200">
            <v>169.4</v>
          </cell>
          <cell r="F200">
            <v>169.4</v>
          </cell>
        </row>
        <row r="201">
          <cell r="A201" t="str">
            <v>7040 С ИНДЕЙКОЙ ПМ сос ц/о в/у 1/270 8шт.  ОСТАНКИНО</v>
          </cell>
          <cell r="D201">
            <v>224</v>
          </cell>
          <cell r="F201">
            <v>224</v>
          </cell>
        </row>
        <row r="202">
          <cell r="A202" t="str">
            <v>7059 ШПИКАЧКИ СОЧНЫЕ С БЕК. п/о мгс 0.3кг_60с  ОСТАНКИНО</v>
          </cell>
          <cell r="D202">
            <v>371</v>
          </cell>
          <cell r="F202">
            <v>371</v>
          </cell>
        </row>
        <row r="203">
          <cell r="A203" t="str">
            <v>7066 СОЧНЫЕ ПМ сос п/о мгс 0.41кг 10шт_50с  ОСТАНКИНО</v>
          </cell>
          <cell r="D203">
            <v>5872</v>
          </cell>
          <cell r="F203">
            <v>5872</v>
          </cell>
        </row>
        <row r="204">
          <cell r="A204" t="str">
            <v>7070 СОЧНЫЕ ПМ сос п/о мгс 1.5*4_А_50с  ОСТАНКИНО</v>
          </cell>
          <cell r="D204">
            <v>2809.8</v>
          </cell>
          <cell r="F204">
            <v>2809.8</v>
          </cell>
        </row>
        <row r="205">
          <cell r="A205" t="str">
            <v>7073 МОЛОЧ.ПРЕМИУМ ПМ сос п/о в/у 1/350_50с  ОСТАНКИНО</v>
          </cell>
          <cell r="D205">
            <v>1595</v>
          </cell>
          <cell r="F205">
            <v>1595</v>
          </cell>
        </row>
        <row r="206">
          <cell r="A206" t="str">
            <v>7075 МОЛОЧ.ПРЕМИУМ ПМ сос п/о мгс 1.5*4_О_50с  ОСТАНКИНО</v>
          </cell>
          <cell r="D206">
            <v>81.400000000000006</v>
          </cell>
          <cell r="F206">
            <v>81.400000000000006</v>
          </cell>
        </row>
        <row r="207">
          <cell r="A207" t="str">
            <v>7077 МЯСНЫЕ С ГОВЯД.ПМ сос п/о мгс 0.4кг_50с  ОСТАНКИНО</v>
          </cell>
          <cell r="D207">
            <v>720</v>
          </cell>
          <cell r="F207">
            <v>720</v>
          </cell>
        </row>
        <row r="208">
          <cell r="A208" t="str">
            <v>7080 СЛИВОЧНЫЕ ПМ сос п/о мгс 0.41кг 10шт. 50с  ОСТАНКИНО</v>
          </cell>
          <cell r="D208">
            <v>3010</v>
          </cell>
          <cell r="F208">
            <v>3010</v>
          </cell>
        </row>
        <row r="209">
          <cell r="A209" t="str">
            <v>7082 СЛИВОЧНЫЕ ПМ сос п/о мгс 1.5*4_50с  ОСТАНКИНО</v>
          </cell>
          <cell r="D209">
            <v>129.6</v>
          </cell>
          <cell r="F209">
            <v>129.6</v>
          </cell>
        </row>
        <row r="210">
          <cell r="A210" t="str">
            <v>7087 ШПИК С ЧЕСНОК.И ПЕРЦЕМ к/в в/у 0.3кг_50с  ОСТАНКИНО</v>
          </cell>
          <cell r="D210">
            <v>301</v>
          </cell>
          <cell r="F210">
            <v>301</v>
          </cell>
        </row>
        <row r="211">
          <cell r="A211" t="str">
            <v>7090 СВИНИНА ПО-ДОМ. к/в мл/к в/у 0.3кг_50с  ОСТАНКИНО</v>
          </cell>
          <cell r="D211">
            <v>806</v>
          </cell>
          <cell r="F211">
            <v>806</v>
          </cell>
        </row>
        <row r="212">
          <cell r="A212" t="str">
            <v>7092 БЕКОН Папа может с/к с/н в/у 1/140_50с  ОСТАНКИНО</v>
          </cell>
          <cell r="D212">
            <v>1117</v>
          </cell>
          <cell r="F212">
            <v>1117</v>
          </cell>
        </row>
        <row r="213">
          <cell r="A213" t="str">
            <v>7106 ТОСКАНО с/к с/н мгс 1/90 12шт.  ОСТАНКИНО</v>
          </cell>
          <cell r="D213">
            <v>3</v>
          </cell>
          <cell r="F213">
            <v>3</v>
          </cell>
        </row>
        <row r="214">
          <cell r="A214" t="str">
            <v>7147 САЛЬЧИЧОН Останкино с/к в/у 1/220 8шт.  ОСТАНКИНО</v>
          </cell>
          <cell r="D214">
            <v>50</v>
          </cell>
          <cell r="F214">
            <v>50</v>
          </cell>
        </row>
        <row r="215">
          <cell r="A215" t="str">
            <v>7149 БАЛЫКОВАЯ Коровино п/к в/у 0.84кг_50с  ОСТАНКИНО</v>
          </cell>
          <cell r="D215">
            <v>32</v>
          </cell>
          <cell r="F215">
            <v>32</v>
          </cell>
        </row>
        <row r="216">
          <cell r="A216" t="str">
            <v>7154 СЕРВЕЛАТ ЗЕРНИСТЫЙ ПМ в/к в/у 0.35кг_50с  ОСТАНКИНО</v>
          </cell>
          <cell r="D216">
            <v>2994</v>
          </cell>
          <cell r="F216">
            <v>2994</v>
          </cell>
        </row>
        <row r="217">
          <cell r="A217" t="str">
            <v>7157 СЕРВЕЛАТ ЗЕРНИСНЫЙ ПМ в/к в/у_50с  ОСТАНКИНО</v>
          </cell>
          <cell r="D217">
            <v>228.2</v>
          </cell>
          <cell r="F217">
            <v>228.2</v>
          </cell>
        </row>
        <row r="218">
          <cell r="A218" t="str">
            <v>7166 СЕРВЕЛТ ОХОТНИЧИЙ ПМ в/к в/у_50с  ОСТАНКИНО</v>
          </cell>
          <cell r="D218">
            <v>570.92999999999995</v>
          </cell>
          <cell r="F218">
            <v>570.92999999999995</v>
          </cell>
        </row>
        <row r="219">
          <cell r="A219" t="str">
            <v>7169 СЕРВЕЛАТ ОХОТНИЧИЙ ПМ в/к в/у 0.35кг_50с  ОСТАНКИНО</v>
          </cell>
          <cell r="D219">
            <v>4041</v>
          </cell>
          <cell r="F219">
            <v>4041</v>
          </cell>
        </row>
        <row r="220">
          <cell r="A220" t="str">
            <v>7187 ГРУДИНКА ПРЕМИУМ к/в мл/к в/у 0,3кг_50с ОСТАНКИНО</v>
          </cell>
          <cell r="D220">
            <v>1075</v>
          </cell>
          <cell r="F220">
            <v>1075</v>
          </cell>
        </row>
        <row r="221">
          <cell r="A221" t="str">
            <v>7225 ТОСКАНО ПРЕМИУМ Останкино с/к в/у 1/180  ОСТАНКИНО</v>
          </cell>
          <cell r="D221">
            <v>5</v>
          </cell>
          <cell r="F221">
            <v>5</v>
          </cell>
        </row>
        <row r="222">
          <cell r="A222" t="str">
            <v>7226 ЧОРИЗО ПРЕМИУМ Останкино с/к в/у 1/180  ОСТАНКИНО</v>
          </cell>
          <cell r="D222">
            <v>1</v>
          </cell>
          <cell r="F222">
            <v>1</v>
          </cell>
        </row>
        <row r="223">
          <cell r="A223" t="str">
            <v>7227 САЛЯМИ ФИНСКАЯ Папа может с/к в/у 1/180  ОСТАНКИНО</v>
          </cell>
          <cell r="D223">
            <v>121</v>
          </cell>
          <cell r="F223">
            <v>121</v>
          </cell>
        </row>
        <row r="224">
          <cell r="A224" t="str">
            <v>7231 КЛАССИЧЕСКАЯ ПМ вар п/о 0,3кг 8шт_209к ОСТАНКИНО</v>
          </cell>
          <cell r="D224">
            <v>1518</v>
          </cell>
          <cell r="F224">
            <v>1518</v>
          </cell>
        </row>
        <row r="225">
          <cell r="A225" t="str">
            <v>7232 БОЯNСКАЯ ПМ п/к в/у 0,28кг 8шт_209к ОСТАНКИНО</v>
          </cell>
          <cell r="D225">
            <v>1708</v>
          </cell>
          <cell r="F225">
            <v>1708</v>
          </cell>
        </row>
        <row r="226">
          <cell r="A226" t="str">
            <v>7235 ВЕТЧ.КЛАССИЧЕСКАЯ ПМ п/о 0,35кг 8шт_209к ОСТАНКИНО</v>
          </cell>
          <cell r="D226">
            <v>17</v>
          </cell>
          <cell r="F226">
            <v>17</v>
          </cell>
        </row>
        <row r="227">
          <cell r="A227" t="str">
            <v>7236 СЕРВЕЛАТ КАРЕЛЬСКИЙ в/к в/у 0,28кг_209к ОСТАНКИНО</v>
          </cell>
          <cell r="D227">
            <v>3675</v>
          </cell>
          <cell r="F227">
            <v>3675</v>
          </cell>
        </row>
        <row r="228">
          <cell r="A228" t="str">
            <v>7241 САЛЯМИ Папа может п/к в/у 0,28кг_209к ОСТАНКИНО</v>
          </cell>
          <cell r="D228">
            <v>1269</v>
          </cell>
          <cell r="F228">
            <v>1269</v>
          </cell>
        </row>
        <row r="229">
          <cell r="A229" t="str">
            <v>7245 ВЕТЧ.ФИЛЕЙНАЯ ПМ п/о 0,4кг 8шт ОСТАНКИНО</v>
          </cell>
          <cell r="D229">
            <v>78</v>
          </cell>
          <cell r="F229">
            <v>78</v>
          </cell>
        </row>
        <row r="230">
          <cell r="A230" t="str">
            <v>7255 МЯСНЫЕ С ГОВЯД. ПМ сос п/о мгс 0,4кг 6шт.  ОСТАНКИНО</v>
          </cell>
          <cell r="D230">
            <v>1096</v>
          </cell>
          <cell r="F230">
            <v>1096</v>
          </cell>
        </row>
        <row r="231">
          <cell r="A231" t="str">
            <v>7271 МЯСНЫЕ С ГОВЯДИНОЙ ПМ сос п/о мгс 1.5*4 ВЕС  ОСТАНКИНО</v>
          </cell>
          <cell r="D231">
            <v>113.3</v>
          </cell>
          <cell r="F231">
            <v>114.833</v>
          </cell>
        </row>
        <row r="232">
          <cell r="A232" t="str">
            <v>7284 ДЛЯ ДЕТЕЙ сос п/о мгс 0,33кг 6шт  ОСТАНКИНО</v>
          </cell>
          <cell r="D232">
            <v>169</v>
          </cell>
          <cell r="F232">
            <v>169</v>
          </cell>
        </row>
        <row r="233">
          <cell r="A233" t="str">
            <v>7299 НАБОР ДЛЯ ПИЦЦЫ Папа может с/к в/у  ОСТАНКИНО</v>
          </cell>
          <cell r="D233">
            <v>7</v>
          </cell>
          <cell r="F233">
            <v>7</v>
          </cell>
        </row>
        <row r="234">
          <cell r="A234" t="str">
            <v>7317 ПРЕСИЖН с/к дек.спец. мгс 0,54кг  ОСТАНКИНО</v>
          </cell>
          <cell r="D234">
            <v>23</v>
          </cell>
          <cell r="F234">
            <v>23</v>
          </cell>
        </row>
        <row r="235">
          <cell r="A235" t="str">
            <v>7332 БОЯРСКАЯ ПМ п/к в/у 0.28кг_СНГ  ОСТАНКИНО</v>
          </cell>
          <cell r="D235">
            <v>85</v>
          </cell>
          <cell r="F235">
            <v>85</v>
          </cell>
        </row>
        <row r="236">
          <cell r="A236" t="str">
            <v>7333 СЕРВЕЛАТ ОХОТНИЧИЙ ПМ в/к в/у 0.28кг_СНГ  ОСТАНКИНО</v>
          </cell>
          <cell r="D236">
            <v>84</v>
          </cell>
          <cell r="F236">
            <v>84</v>
          </cell>
        </row>
        <row r="237">
          <cell r="A237" t="str">
            <v>7343 СЕЙЧАС СЕЗОН ПМ вар п/о 0,4кг  ОСТАНКИНО</v>
          </cell>
          <cell r="D237">
            <v>1928</v>
          </cell>
          <cell r="F237">
            <v>1928</v>
          </cell>
        </row>
        <row r="238">
          <cell r="A238" t="str">
            <v>7364 ЧОРИЗО Останкино с/к в/у 1/220 8шт.  ОСТАНКИНО</v>
          </cell>
          <cell r="D238">
            <v>30</v>
          </cell>
          <cell r="F238">
            <v>30</v>
          </cell>
        </row>
        <row r="239">
          <cell r="A239" t="str">
            <v>7377 ВЕТЧ.С ИНДЕЙКОЙ ПМ в/у срез 0,3кг 6шт.  ОСТАНКИНО</v>
          </cell>
          <cell r="D239">
            <v>140</v>
          </cell>
          <cell r="F239">
            <v>140</v>
          </cell>
        </row>
        <row r="240">
          <cell r="A240" t="str">
            <v>7382 САЛЯМИ МЕЛКОЗЕРНЕНАЯ с/к в/у 1/120 8шт.  ОСТАНКИНО</v>
          </cell>
          <cell r="D240">
            <v>2102</v>
          </cell>
          <cell r="F240">
            <v>2102</v>
          </cell>
        </row>
        <row r="241">
          <cell r="A241" t="str">
            <v>7383 САН-РЕМО Останкино с/в в/у 1/220 8шт.  ОСТАНКИНО</v>
          </cell>
          <cell r="D241">
            <v>49</v>
          </cell>
          <cell r="F241">
            <v>49</v>
          </cell>
        </row>
        <row r="242">
          <cell r="A242" t="str">
            <v>8249 Майонезный соус провансаль деликатесный с мас. долей жира 25%ТМ «Коровино» 824,5г  ОСТАНКИНО</v>
          </cell>
          <cell r="D242">
            <v>35</v>
          </cell>
          <cell r="F242">
            <v>35</v>
          </cell>
        </row>
        <row r="243">
          <cell r="A243" t="str">
            <v>8256 Майонез провансаль классический оливковый с мас. долей жира 67%ТМ «ПАПА МОЖЕТ» 372г  ОСТАНКИНО</v>
          </cell>
          <cell r="D243">
            <v>205</v>
          </cell>
          <cell r="F243">
            <v>205</v>
          </cell>
        </row>
        <row r="244">
          <cell r="A244" t="str">
            <v>8263 Майонез провансаль классический оливковый с мас. долей жира 67%ТМ «ПАПА МОЖЕТ» 744г  ОСТАНКИНО</v>
          </cell>
          <cell r="D244">
            <v>108</v>
          </cell>
          <cell r="F244">
            <v>108</v>
          </cell>
        </row>
        <row r="245">
          <cell r="A245" t="str">
            <v>8270 Майонез провансаль классический с массовой долей жира 67% ТМ «ПАПА МОЖЕТ» 372г  ОСТАНКИНО</v>
          </cell>
          <cell r="D245">
            <v>304</v>
          </cell>
          <cell r="F245">
            <v>304</v>
          </cell>
        </row>
        <row r="246">
          <cell r="A246" t="str">
            <v>8287 Майонез провансаль классический с массовой долей жира 67% ТМ "ПАПА МОЖЕТ" 744 г  ОСТАНКИНО</v>
          </cell>
          <cell r="D246">
            <v>202</v>
          </cell>
          <cell r="F246">
            <v>202</v>
          </cell>
        </row>
        <row r="247">
          <cell r="A247" t="str">
            <v>8377 Творожный Сыр 60% Сливочный  СТМ "ПапаМожет" - 140гр  ОСТАНКИНО</v>
          </cell>
          <cell r="D247">
            <v>454</v>
          </cell>
          <cell r="F247">
            <v>454</v>
          </cell>
        </row>
        <row r="248">
          <cell r="A248" t="str">
            <v>8391 Сыр творожный с зеленью 60% Папа может 140 гр.  ОСТАНКИНО</v>
          </cell>
          <cell r="D248">
            <v>130</v>
          </cell>
          <cell r="F248">
            <v>130</v>
          </cell>
        </row>
        <row r="249">
          <cell r="A249" t="str">
            <v>8398 Сыр ПАПА МОЖЕТ "Тильзитер" 45% 180 г  ОСТАНКИНО</v>
          </cell>
          <cell r="D249">
            <v>471</v>
          </cell>
          <cell r="F249">
            <v>471</v>
          </cell>
        </row>
        <row r="250">
          <cell r="A250" t="str">
            <v>8411 Сыр ПАПА МОЖЕТ "Гауда Голд" 45% 180 г  ОСТАНКИНО</v>
          </cell>
          <cell r="D250">
            <v>431</v>
          </cell>
          <cell r="F250">
            <v>431</v>
          </cell>
        </row>
        <row r="251">
          <cell r="A251" t="str">
            <v>8421 Творожный Сыр 60% С маринованными огурчиками и укропом 140 гр  ОСТАНКИНО</v>
          </cell>
          <cell r="D251">
            <v>27</v>
          </cell>
          <cell r="F251">
            <v>27</v>
          </cell>
        </row>
        <row r="252">
          <cell r="A252" t="str">
            <v>8435 Сыр ПАПА МОЖЕТ "Российский традиционный" 45% 180 г  ОСТАНКИНО</v>
          </cell>
          <cell r="D252">
            <v>1269</v>
          </cell>
          <cell r="F252">
            <v>1269</v>
          </cell>
        </row>
        <row r="253">
          <cell r="A253" t="str">
            <v>8438 Плавленый Сыр 45% "С ветчиной" СТМ "ПапаМожет" 180гр  ОСТАНКИНО</v>
          </cell>
          <cell r="D253">
            <v>72</v>
          </cell>
          <cell r="F253">
            <v>72</v>
          </cell>
        </row>
        <row r="254">
          <cell r="A254" t="str">
            <v>8445 Плавленый Сыр 45% "С грибами" СТМ "ПапаМожет 180гр  ОСТАНКИНО</v>
          </cell>
          <cell r="D254">
            <v>52</v>
          </cell>
          <cell r="F254">
            <v>52</v>
          </cell>
        </row>
        <row r="255">
          <cell r="A255" t="str">
            <v>8452 Сыр колбасный копченый Папа Может 400 гр  ОСТАНКИНО</v>
          </cell>
          <cell r="D255">
            <v>9</v>
          </cell>
          <cell r="F255">
            <v>9</v>
          </cell>
        </row>
        <row r="256">
          <cell r="A256" t="str">
            <v>8459 Сыр ПАПА МОЖЕТ "Голландский традиционный" 45% 180 г  ОСТАНКИНО</v>
          </cell>
          <cell r="D256">
            <v>1253</v>
          </cell>
          <cell r="F256">
            <v>1253</v>
          </cell>
        </row>
        <row r="257">
          <cell r="A257" t="str">
            <v>8476 Продукт колбасный с сыром копченый Коровино 400 гр  ОСТАНКИНО</v>
          </cell>
          <cell r="D257">
            <v>13</v>
          </cell>
          <cell r="F257">
            <v>13</v>
          </cell>
        </row>
        <row r="258">
          <cell r="A258" t="str">
            <v>8674 Плавленый сыр "Шоколадный" 30% 180 гр ТМ "ПАПА МОЖЕТ"  ОСТАНКИНО</v>
          </cell>
          <cell r="D258">
            <v>57</v>
          </cell>
          <cell r="F258">
            <v>57</v>
          </cell>
        </row>
        <row r="259">
          <cell r="A259" t="str">
            <v>8681 Сыр плавленый Сливочный ж 45 % 180г ТМ Папа Может (16шт) ОСТАНКИНО</v>
          </cell>
          <cell r="D259">
            <v>145</v>
          </cell>
          <cell r="F259">
            <v>145</v>
          </cell>
        </row>
        <row r="260">
          <cell r="A260" t="str">
            <v>8831 Сыр ПАПА МОЖЕТ "Министерский" 180гр, 45 %  ОСТАНКИНО</v>
          </cell>
          <cell r="D260">
            <v>73</v>
          </cell>
          <cell r="F260">
            <v>73</v>
          </cell>
        </row>
        <row r="261">
          <cell r="A261" t="str">
            <v>8855 Сыр ПАПА МОЖЕТ "Папин завтрак" 180гр, 45 %  ОСТАНКИНО</v>
          </cell>
          <cell r="D261">
            <v>50</v>
          </cell>
          <cell r="F261">
            <v>50</v>
          </cell>
        </row>
        <row r="262">
          <cell r="A262" t="str">
            <v>8950 Масло сливочное ПАПА МОЖЕТ 72,5%, фас. в фольгу, 180гр  ОСТАНКИНО</v>
          </cell>
          <cell r="D262">
            <v>146</v>
          </cell>
          <cell r="F262">
            <v>146</v>
          </cell>
        </row>
        <row r="263">
          <cell r="A263" t="str">
            <v>8967 Масло "Папа может" 82,5% 180гр  ОСТАНКИНО</v>
          </cell>
          <cell r="D263">
            <v>87</v>
          </cell>
          <cell r="F263">
            <v>87</v>
          </cell>
        </row>
        <row r="264">
          <cell r="A264" t="str">
            <v>Балык говяжий с/к "Эликатессе" 0,10 кг.шт. нарезка (лоток с ср.защ.атм.)  СПК</v>
          </cell>
          <cell r="D264">
            <v>195</v>
          </cell>
          <cell r="F264">
            <v>195</v>
          </cell>
        </row>
        <row r="265">
          <cell r="A265" t="str">
            <v>Балык свиной с/к "Эликатессе" 0,10 кг.шт. нарезка (лоток с ср.защ.атм.)  СПК</v>
          </cell>
          <cell r="D265">
            <v>191</v>
          </cell>
          <cell r="F265">
            <v>191</v>
          </cell>
        </row>
        <row r="266">
          <cell r="A266" t="str">
            <v>Балыковая с/к 200 гр. срез "Эликатессе" термоформ.пак.  СПК</v>
          </cell>
          <cell r="D266">
            <v>112</v>
          </cell>
          <cell r="F266">
            <v>112</v>
          </cell>
        </row>
        <row r="267">
          <cell r="A267" t="str">
            <v>БЛИНЧ.КРУГЛЫЕ С ГРУШЕЙ пл.1/420 зам.   ОСТАНКИНО</v>
          </cell>
          <cell r="D267">
            <v>16</v>
          </cell>
          <cell r="F267">
            <v>16</v>
          </cell>
        </row>
        <row r="268">
          <cell r="A268" t="str">
            <v>БОНУС МОЛОЧНЫЕ КЛАССИЧЕСКИЕ сос п/о в/у 0.3кг (6084)  ОСТАНКИНО</v>
          </cell>
          <cell r="D268">
            <v>41</v>
          </cell>
          <cell r="F268">
            <v>41</v>
          </cell>
        </row>
        <row r="269">
          <cell r="A269" t="str">
            <v>БОНУС МОЛОЧНЫЕ КЛАССИЧЕСКИЕ сос п/о мгс 2*4_С (4980)  ОСТАНКИНО</v>
          </cell>
          <cell r="D269">
            <v>16</v>
          </cell>
          <cell r="F269">
            <v>16</v>
          </cell>
        </row>
        <row r="270">
          <cell r="A270" t="str">
            <v>БОНУС СОЧНЫЕ Папа может сос п/о мгс 1.5*4 (6954)  ОСТАНКИНО</v>
          </cell>
          <cell r="D270">
            <v>270</v>
          </cell>
          <cell r="F270">
            <v>270</v>
          </cell>
        </row>
        <row r="271">
          <cell r="A271" t="str">
            <v>БОНУС СОЧНЫЕ сос п/о мгс 0.41кг_UZ (6087)  ОСТАНКИНО</v>
          </cell>
          <cell r="D271">
            <v>177</v>
          </cell>
          <cell r="F271">
            <v>177</v>
          </cell>
        </row>
        <row r="272">
          <cell r="A272" t="str">
            <v>БОНУС_Пельмени Бульмени с говядиной и свининой Наваристые 2,7кг Горячая штучка ВЕС  ПОКОМ</v>
          </cell>
          <cell r="F272">
            <v>5</v>
          </cell>
        </row>
        <row r="273">
          <cell r="A273" t="str">
            <v>Бутербродная вареная 0,47 кг шт.  СПК</v>
          </cell>
          <cell r="D273">
            <v>32</v>
          </cell>
          <cell r="F273">
            <v>32</v>
          </cell>
        </row>
        <row r="274">
          <cell r="A274" t="str">
            <v>Вацлавская п/к (черева) 390 гр.шт. термоус.пак  СПК</v>
          </cell>
          <cell r="D274">
            <v>34</v>
          </cell>
          <cell r="F274">
            <v>34</v>
          </cell>
        </row>
        <row r="275">
          <cell r="A275" t="str">
            <v>Ветчина Альтаирская Столовая (для ХОРЕКА)  СПК</v>
          </cell>
          <cell r="D275">
            <v>5</v>
          </cell>
          <cell r="F275">
            <v>5</v>
          </cell>
        </row>
        <row r="276">
          <cell r="A276" t="str">
            <v>Готовые бельмеши сочные с мясом ТМ Горячая штучка 0,3кг зам  ПОКОМ</v>
          </cell>
          <cell r="D276">
            <v>18</v>
          </cell>
          <cell r="F276">
            <v>285</v>
          </cell>
        </row>
        <row r="277">
          <cell r="A277" t="str">
            <v>Готовые чебупели острые с мясом 0,24кг ТМ Горячая штучка  ПОКОМ</v>
          </cell>
          <cell r="D277">
            <v>12</v>
          </cell>
          <cell r="F277">
            <v>463</v>
          </cell>
        </row>
        <row r="278">
          <cell r="A278" t="str">
            <v>Готовые чебупели с ветчиной и сыром ТМ Горячая штучка флоу-пак 0,24 кг.  ПОКОМ</v>
          </cell>
          <cell r="D278">
            <v>2437</v>
          </cell>
          <cell r="F278">
            <v>4095</v>
          </cell>
        </row>
        <row r="279">
          <cell r="A279" t="str">
            <v>Готовые чебупели сочные с мясом ТМ Горячая штучка  0,3кг зам  ПОКОМ</v>
          </cell>
          <cell r="F279">
            <v>1</v>
          </cell>
        </row>
        <row r="280">
          <cell r="A280" t="str">
            <v>Готовые чебупели сочные с мясом ТМ Горячая штучка флоу-пак 0,24 кг  ПОКОМ</v>
          </cell>
          <cell r="D280">
            <v>1234</v>
          </cell>
          <cell r="F280">
            <v>2789</v>
          </cell>
        </row>
        <row r="281">
          <cell r="A281" t="str">
            <v>Готовые чебуреки с мясом ТМ Горячая штучка 0,09 кг флоу-пак ПОКОМ</v>
          </cell>
          <cell r="D281">
            <v>7</v>
          </cell>
          <cell r="F281">
            <v>414</v>
          </cell>
        </row>
        <row r="282">
          <cell r="A282" t="str">
            <v>Грудинка Деревенская в аджике к/в 150 гр.шт. нарезка (лоток с ср.защ.атм.)  СПК</v>
          </cell>
          <cell r="D282">
            <v>20</v>
          </cell>
          <cell r="F282">
            <v>20</v>
          </cell>
        </row>
        <row r="283">
          <cell r="A283" t="str">
            <v>Гуцульская с/к "КолбасГрад" 160 гр.шт. термоус. пак  СПК</v>
          </cell>
          <cell r="D283">
            <v>136</v>
          </cell>
          <cell r="F283">
            <v>136</v>
          </cell>
        </row>
        <row r="284">
          <cell r="A284" t="str">
            <v>Дельгаро с/в "Эликатессе" 140 гр.шт.  СПК</v>
          </cell>
          <cell r="D284">
            <v>174</v>
          </cell>
          <cell r="F284">
            <v>174</v>
          </cell>
        </row>
        <row r="285">
          <cell r="A285" t="str">
            <v>Деревенская с чесночком и сальцем п/к (черева) 390 гр.шт. термоус. пак.  СПК</v>
          </cell>
          <cell r="D285">
            <v>129</v>
          </cell>
          <cell r="F285">
            <v>131</v>
          </cell>
        </row>
        <row r="286">
          <cell r="A286" t="str">
            <v>Докторская вареная в/с 0,47 кг шт.  СПК</v>
          </cell>
          <cell r="D286">
            <v>20</v>
          </cell>
          <cell r="F286">
            <v>20</v>
          </cell>
        </row>
        <row r="287">
          <cell r="A287" t="str">
            <v>Докторская вареная вес. (белк.об.) термоус.пак.  СПК</v>
          </cell>
          <cell r="D287">
            <v>11.5</v>
          </cell>
          <cell r="F287">
            <v>11.5</v>
          </cell>
        </row>
        <row r="288">
          <cell r="A288" t="str">
            <v>Докторская вареная термоус.пак. "Высокий вкус"  СПК</v>
          </cell>
          <cell r="D288">
            <v>12</v>
          </cell>
          <cell r="F288">
            <v>12</v>
          </cell>
        </row>
        <row r="289">
          <cell r="A289" t="str">
            <v>ЖАР-ладушки с мясом 0,2кг ТМ Стародворье  ПОКОМ</v>
          </cell>
          <cell r="D289">
            <v>7</v>
          </cell>
          <cell r="F289">
            <v>355</v>
          </cell>
        </row>
        <row r="290">
          <cell r="A290" t="str">
            <v>Жареные вареники с картофелем и беконом Добросельские 0,2 кг. ТМ Стародворье  ПОКОМ</v>
          </cell>
          <cell r="F290">
            <v>12</v>
          </cell>
        </row>
        <row r="291">
          <cell r="A291" t="str">
            <v>Жареные вареники с картофелем и беконом ТМ Стародворье 0,2 кг  ПОКОМ</v>
          </cell>
          <cell r="D291">
            <v>3</v>
          </cell>
          <cell r="F291">
            <v>132</v>
          </cell>
        </row>
        <row r="292">
          <cell r="A292" t="str">
            <v>К798 Сыч/Прод Коровино Российский 50% 200г НОВАЯ СЗМЖ  ОСТАНКИНО</v>
          </cell>
          <cell r="D292">
            <v>3932</v>
          </cell>
          <cell r="F292">
            <v>3932</v>
          </cell>
        </row>
        <row r="293">
          <cell r="A293" t="str">
            <v>К801 Сыч/Прод Коровино Тильзитер 50% 200г НОВАЯ СЗМЖ  ОСТАНКИНО</v>
          </cell>
          <cell r="D293">
            <v>3787</v>
          </cell>
          <cell r="F293">
            <v>3787</v>
          </cell>
        </row>
        <row r="294">
          <cell r="A294" t="str">
            <v>К811 Сыч/Прод Коровино Российский Оригин 50% ВЕС НОВАЯ (5 кг)  ОСТАНКИНО</v>
          </cell>
          <cell r="D294">
            <v>164.5</v>
          </cell>
          <cell r="F294">
            <v>164.5</v>
          </cell>
        </row>
        <row r="295">
          <cell r="A295" t="str">
            <v>К825 Сыч/Прод Коровино Тильзитер Оригин 50% ВЕС НОВАЯ (5 кг брус) СЗМЖ  ОСТАНКИНО</v>
          </cell>
          <cell r="D295">
            <v>42</v>
          </cell>
          <cell r="F295">
            <v>42</v>
          </cell>
        </row>
        <row r="296">
          <cell r="A296" t="str">
            <v>Карбонад Юбилейный термоус.пак.  СПК</v>
          </cell>
          <cell r="D296">
            <v>18.181999999999999</v>
          </cell>
          <cell r="F296">
            <v>28.08</v>
          </cell>
        </row>
        <row r="297">
          <cell r="A297" t="str">
            <v>Классическая вареная 400 гр.шт.  СПК</v>
          </cell>
          <cell r="D297">
            <v>12</v>
          </cell>
          <cell r="F297">
            <v>12</v>
          </cell>
        </row>
        <row r="298">
          <cell r="A298" t="str">
            <v>Классическая с/к 80 гр.шт.нар. (лоток с ср.защ.атм.)  СПК</v>
          </cell>
          <cell r="D298">
            <v>219</v>
          </cell>
          <cell r="F298">
            <v>219</v>
          </cell>
        </row>
        <row r="299">
          <cell r="A299" t="str">
            <v>Колбаски ПодПивасики оригинальные с/к 0,10 кг.шт. термофор.пак.  СПК</v>
          </cell>
          <cell r="D299">
            <v>370</v>
          </cell>
          <cell r="F299">
            <v>370</v>
          </cell>
        </row>
        <row r="300">
          <cell r="A300" t="str">
            <v>Колбаски ПодПивасики острые с/к 0,10 кг.шт. термофор.пак.  СПК</v>
          </cell>
          <cell r="D300">
            <v>290</v>
          </cell>
          <cell r="F300">
            <v>290</v>
          </cell>
        </row>
        <row r="301">
          <cell r="A301" t="str">
            <v>Колбаски ПодПивасики с сыром с/к 100 гр.шт. (в ср.защ.атм.)  СПК</v>
          </cell>
          <cell r="D301">
            <v>36</v>
          </cell>
          <cell r="F301">
            <v>36</v>
          </cell>
        </row>
        <row r="302">
          <cell r="A302" t="str">
            <v>Круггетсы с сырным соусом ТМ Горячая штучка ТС Круггетсы флоу-пак 0,2 кг  ПОКОМ</v>
          </cell>
          <cell r="D302">
            <v>31</v>
          </cell>
          <cell r="F302">
            <v>652</v>
          </cell>
        </row>
        <row r="303">
          <cell r="A303" t="str">
            <v>Круггетсы сочные ТМ Горячая штучка ТС Круггетсы флоу-пак 0,2 кг.  ПОКОМ</v>
          </cell>
          <cell r="D303">
            <v>870</v>
          </cell>
          <cell r="F303">
            <v>1698</v>
          </cell>
        </row>
        <row r="304">
          <cell r="A304" t="str">
            <v>Ла Фаворте с/в "Эликатессе" 140 гр.шт.  СПК</v>
          </cell>
          <cell r="D304">
            <v>205</v>
          </cell>
          <cell r="F304">
            <v>205</v>
          </cell>
        </row>
        <row r="305">
          <cell r="A305" t="str">
            <v>Ливерная Печеночная 250 гр.шт.  СПК</v>
          </cell>
          <cell r="D305">
            <v>41</v>
          </cell>
          <cell r="F305">
            <v>41</v>
          </cell>
        </row>
        <row r="306">
          <cell r="A306" t="str">
            <v>Любительская вареная термоус.пак. "Высокий вкус"  СПК</v>
          </cell>
          <cell r="D306">
            <v>50.2</v>
          </cell>
          <cell r="F306">
            <v>50.2</v>
          </cell>
        </row>
        <row r="307">
          <cell r="A307" t="str">
            <v>Мини-пицца с ветчиной и сыром ТМ Зареченские ВЕС,  ПОКОМ</v>
          </cell>
          <cell r="F307">
            <v>34.402000000000001</v>
          </cell>
        </row>
        <row r="308">
          <cell r="A308" t="str">
            <v>Мини-сосиски в тесте 3,7кг ВЕС заморож. ТМ Зареченские  ПОКОМ</v>
          </cell>
          <cell r="F308">
            <v>949.7</v>
          </cell>
        </row>
        <row r="309">
          <cell r="A309" t="str">
            <v>Мини-чебуречки с мясом ВЕС 5,5кг ТМ Зареченские  ПОКОМ</v>
          </cell>
          <cell r="F309">
            <v>44</v>
          </cell>
        </row>
        <row r="310">
          <cell r="A310" t="str">
            <v>Мини-шарики с курочкой и сыром ТМ Зареченские ВЕС  ПОКОМ</v>
          </cell>
          <cell r="D310">
            <v>6</v>
          </cell>
          <cell r="F310">
            <v>1321.7</v>
          </cell>
        </row>
        <row r="311">
          <cell r="A311" t="str">
            <v>Наггетсы из печи 0,25кг ТМ Вязанка ТС Няняггетсы Сливушки замор.  ПОКОМ</v>
          </cell>
          <cell r="D311">
            <v>1827</v>
          </cell>
          <cell r="F311">
            <v>3765</v>
          </cell>
        </row>
        <row r="312">
          <cell r="A312" t="str">
            <v>Наггетсы Нагетосы Сочная курочка ТМ Горячая штучка 0,25 кг зам  ПОКОМ</v>
          </cell>
          <cell r="D312">
            <v>508</v>
          </cell>
          <cell r="F312">
            <v>2013</v>
          </cell>
        </row>
        <row r="313">
          <cell r="A313" t="str">
            <v>Наггетсы с индейкой 0,25кг ТМ Вязанка ТС Няняггетсы Сливушки НД2 замор.  ПОКОМ</v>
          </cell>
          <cell r="D313">
            <v>1230</v>
          </cell>
          <cell r="F313">
            <v>2776</v>
          </cell>
        </row>
        <row r="314">
          <cell r="A314" t="str">
            <v>Наггетсы с куриным филе и сыром ТМ Вязанка 0,25 кг ПОКОМ</v>
          </cell>
          <cell r="D314">
            <v>2447</v>
          </cell>
          <cell r="F314">
            <v>4022</v>
          </cell>
        </row>
        <row r="315">
          <cell r="A315" t="str">
            <v>Наггетсы Хрустящие ТМ Зареченские. ВЕС ПОКОМ</v>
          </cell>
          <cell r="D315">
            <v>12</v>
          </cell>
          <cell r="F315">
            <v>1482</v>
          </cell>
        </row>
        <row r="316">
          <cell r="A316" t="str">
            <v>Наггетсы Хрустящие ТМ Стародворье с сочной курочкой 0,23 кг  ПОКОМ</v>
          </cell>
          <cell r="D316">
            <v>26</v>
          </cell>
          <cell r="F316">
            <v>282</v>
          </cell>
        </row>
        <row r="317">
          <cell r="A317" t="str">
            <v>Оригинальная с перцем с/к  СПК</v>
          </cell>
          <cell r="D317">
            <v>162.15</v>
          </cell>
          <cell r="F317">
            <v>162.15</v>
          </cell>
        </row>
        <row r="318">
          <cell r="A318" t="str">
            <v>Паштет печеночный 140 гр.шт.  СПК</v>
          </cell>
          <cell r="D318">
            <v>42</v>
          </cell>
          <cell r="F318">
            <v>42</v>
          </cell>
        </row>
        <row r="319">
          <cell r="A319" t="str">
            <v>Пекерсы с индейкой в сливочном соусе ТМ Горячая штучка 0,25 кг зам  ПОКОМ</v>
          </cell>
          <cell r="D319">
            <v>16</v>
          </cell>
          <cell r="F319">
            <v>376</v>
          </cell>
        </row>
        <row r="320">
          <cell r="A320" t="str">
            <v>Пельмени Grandmeni с говядиной и свининой 0,7кг ТМ Горячая штучка  ПОКОМ</v>
          </cell>
          <cell r="D320">
            <v>2</v>
          </cell>
          <cell r="F320">
            <v>241</v>
          </cell>
        </row>
        <row r="321">
          <cell r="A321" t="str">
            <v>Пельмени Бигбули #МЕГАВКУСИЩЕ с сочной грудинкой ТМ Горячая штучка 0,7 кг. ПОКОМ</v>
          </cell>
          <cell r="D321">
            <v>12</v>
          </cell>
          <cell r="F321">
            <v>843</v>
          </cell>
        </row>
        <row r="322">
          <cell r="A322" t="str">
            <v>Пельмени Бигбули с мясом ТМ Горячая штучка. флоу-пак сфера 0,4 кг. ПОКОМ</v>
          </cell>
          <cell r="D322">
            <v>4</v>
          </cell>
          <cell r="F322">
            <v>173</v>
          </cell>
        </row>
        <row r="323">
          <cell r="A323" t="str">
            <v>Пельмени Бигбули с мясом ТМ Горячая штучка. флоу-пак сфера 0,7 кг ПОКОМ</v>
          </cell>
          <cell r="D323">
            <v>1121</v>
          </cell>
          <cell r="F323">
            <v>2193</v>
          </cell>
        </row>
        <row r="324">
          <cell r="A324" t="str">
            <v>Пельмени Бигбули со сливочным маслом ТМ Горячая штучка, флоу-пак сфера 0,4. ПОКОМ</v>
          </cell>
          <cell r="D324">
            <v>16</v>
          </cell>
          <cell r="F324">
            <v>16</v>
          </cell>
        </row>
        <row r="325">
          <cell r="A325" t="str">
            <v>Пельмени Бигбули со сливочным маслом ТМ Горячая штучка, флоу-пак сфера 0,7. ПОКОМ</v>
          </cell>
          <cell r="D325">
            <v>24</v>
          </cell>
          <cell r="F325">
            <v>1555</v>
          </cell>
        </row>
        <row r="326">
          <cell r="A326" t="str">
            <v>Пельмени Бульмени мини с мясом и cыром ТМ Горячая штучка ТС Бульмени ГШ флоу-пак сфера 0,4 кг  ПОКОМ</v>
          </cell>
          <cell r="D326">
            <v>5</v>
          </cell>
          <cell r="F326">
            <v>182</v>
          </cell>
        </row>
        <row r="327">
          <cell r="A327" t="str">
            <v>Пельмени Бульмени мини с мясом и оливковым маслом 0,7 кг ТМ Горячая штучка  ПОКОМ</v>
          </cell>
          <cell r="D327">
            <v>19</v>
          </cell>
          <cell r="F327">
            <v>1292</v>
          </cell>
        </row>
        <row r="328">
          <cell r="A328" t="str">
            <v>Пельмени Бульмени Нейробуст с мясом ТМ Горячая штучка ТС Бульмени ГШ сфера флоу-пак 0,6 кг.  ПОКОМ</v>
          </cell>
          <cell r="D328">
            <v>3</v>
          </cell>
          <cell r="F328">
            <v>134</v>
          </cell>
        </row>
        <row r="329">
          <cell r="A329" t="str">
            <v>Пельмени Бульмени с говядиной и свининой Наваристые 5кг Горячая штучка ВЕС  ПОКОМ</v>
          </cell>
          <cell r="D329">
            <v>15</v>
          </cell>
          <cell r="F329">
            <v>1795</v>
          </cell>
        </row>
        <row r="330">
          <cell r="A330" t="str">
            <v>Пельмени Бульмени с говядиной и свининой СЕВЕРНАЯ КОЛЛЕКЦИЯ 0,7кг ТМ Горячая штучка сфера  ПОКОМ</v>
          </cell>
          <cell r="D330">
            <v>4</v>
          </cell>
          <cell r="F330">
            <v>798</v>
          </cell>
        </row>
        <row r="331">
          <cell r="A331" t="str">
            <v>Пельмени Бульмени с говядиной и свининой ТМ Горячая штучка. флоу-пак сфера 0,4 кг ПОКОМ</v>
          </cell>
          <cell r="D331">
            <v>22</v>
          </cell>
          <cell r="F331">
            <v>1105</v>
          </cell>
        </row>
        <row r="332">
          <cell r="A332" t="str">
            <v>Пельмени Бульмени с говядиной и свининой ТМ Горячая штучка. флоу-пак сфера 0,7 кг ПОКОМ</v>
          </cell>
          <cell r="D332">
            <v>1539</v>
          </cell>
          <cell r="F332">
            <v>4190</v>
          </cell>
        </row>
        <row r="333">
          <cell r="A333" t="str">
            <v>Пельмени Бульмени со сливочным маслом ТМ Горячая шт. 0,43 кг  ПОКОМ</v>
          </cell>
          <cell r="F333">
            <v>1</v>
          </cell>
        </row>
        <row r="334">
          <cell r="A334" t="str">
            <v>Пельмени Бульмени со сливочным маслом ТМ Горячая штучка. флоу-пак сфера 0,4 кг. ПОКОМ</v>
          </cell>
          <cell r="D334">
            <v>50</v>
          </cell>
          <cell r="F334">
            <v>1365</v>
          </cell>
        </row>
        <row r="335">
          <cell r="A335" t="str">
            <v>Пельмени Бульмени со сливочным маслом ТМ Горячая штучка.флоу-пак сфера 0,7 кг. ПОКОМ</v>
          </cell>
          <cell r="D335">
            <v>2542</v>
          </cell>
          <cell r="F335">
            <v>5654</v>
          </cell>
        </row>
        <row r="336">
          <cell r="A336" t="str">
            <v>Пельмени Бульмени хрустящие с мясом 0,22 кг ТМ Горячая штучка  ПОКОМ</v>
          </cell>
          <cell r="D336">
            <v>9</v>
          </cell>
          <cell r="F336">
            <v>152</v>
          </cell>
        </row>
        <row r="337">
          <cell r="A337" t="str">
            <v>Пельмени Добросельские со свининой и говядиной ТМ Стародворье флоу-пак клас. форма 0,65 кг.  ПОКОМ</v>
          </cell>
          <cell r="D337">
            <v>1</v>
          </cell>
          <cell r="F337">
            <v>63</v>
          </cell>
        </row>
        <row r="338">
          <cell r="A338" t="str">
            <v>Пельмени Мясные с говядиной ТМ Стародворье сфера флоу-пак 1 кг  ПОКОМ</v>
          </cell>
          <cell r="D338">
            <v>14</v>
          </cell>
          <cell r="F338">
            <v>474</v>
          </cell>
        </row>
        <row r="339">
          <cell r="A339" t="str">
            <v>Пельмени Отборные из свинины и говядины 0,9 кг ТМ Стародворье ТС Медвежье ушко  ПОКОМ</v>
          </cell>
          <cell r="D339">
            <v>16</v>
          </cell>
          <cell r="F339">
            <v>706</v>
          </cell>
        </row>
        <row r="340">
          <cell r="A340" t="str">
            <v>Пельмени С говядиной и свининой, ВЕС, сфера пуговки Мясная Галерея  ПОКОМ</v>
          </cell>
          <cell r="D340">
            <v>5</v>
          </cell>
          <cell r="F340">
            <v>630</v>
          </cell>
        </row>
        <row r="341">
          <cell r="A341" t="str">
            <v>Пельмени Со свининой и говядиной ТМ Особый рецепт Любимая ложка 1,0 кг  ПОКОМ</v>
          </cell>
          <cell r="D341">
            <v>9</v>
          </cell>
          <cell r="F341">
            <v>812</v>
          </cell>
        </row>
        <row r="342">
          <cell r="A342" t="str">
            <v>Пельмени Сочные сфера 0,8 кг ТМ Стародворье  ПОКОМ</v>
          </cell>
          <cell r="D342">
            <v>1</v>
          </cell>
          <cell r="F342">
            <v>47</v>
          </cell>
        </row>
        <row r="343">
          <cell r="A343" t="str">
            <v>Пирожки с мясом 3,7кг ВЕС ТМ Зареченские  ПОКОМ</v>
          </cell>
          <cell r="F343">
            <v>88.813999999999993</v>
          </cell>
        </row>
        <row r="344">
          <cell r="A344" t="str">
            <v>Ричеза с/к 230 гр.шт.  СПК</v>
          </cell>
          <cell r="D344">
            <v>109</v>
          </cell>
          <cell r="F344">
            <v>109</v>
          </cell>
        </row>
        <row r="345">
          <cell r="A345" t="str">
            <v>Сальчетти с/к 230 гр.шт.  СПК</v>
          </cell>
          <cell r="D345">
            <v>197</v>
          </cell>
          <cell r="F345">
            <v>197</v>
          </cell>
        </row>
        <row r="346">
          <cell r="A346" t="str">
            <v>Салями с перчиком с/к "КолбасГрад" 160 гр.шт. термоус. пак.  СПК</v>
          </cell>
          <cell r="D346">
            <v>152</v>
          </cell>
          <cell r="F346">
            <v>152</v>
          </cell>
        </row>
        <row r="347">
          <cell r="A347" t="str">
            <v>Салями с/к 100 гр.шт.нар. (лоток с ср.защ.атм.)  СПК</v>
          </cell>
          <cell r="D347">
            <v>189</v>
          </cell>
          <cell r="F347">
            <v>189</v>
          </cell>
        </row>
        <row r="348">
          <cell r="A348" t="str">
            <v>Салями Трюфель с/в "Эликатессе" 0,16 кг.шт.  СПК</v>
          </cell>
          <cell r="D348">
            <v>174</v>
          </cell>
          <cell r="F348">
            <v>174</v>
          </cell>
        </row>
        <row r="349">
          <cell r="A349" t="str">
            <v>Сардельки "Докторские" (черева) ( в ср.защ.атм.) 1.0 кг. "Высокий вкус"  СПК</v>
          </cell>
          <cell r="D349">
            <v>39.9</v>
          </cell>
          <cell r="F349">
            <v>39.9</v>
          </cell>
        </row>
        <row r="350">
          <cell r="A350" t="str">
            <v>Сардельки из говядины (черева) (в ср.защ.атм.) "Высокий вкус"  СПК</v>
          </cell>
          <cell r="D350">
            <v>28</v>
          </cell>
          <cell r="F350">
            <v>28</v>
          </cell>
        </row>
        <row r="351">
          <cell r="A351" t="str">
            <v>Сардельки Необыкновенные (черева) 400 гр.шт. (лоток с ср.защ.атм.)  СПК</v>
          </cell>
          <cell r="D351">
            <v>20</v>
          </cell>
          <cell r="F351">
            <v>20</v>
          </cell>
        </row>
        <row r="352">
          <cell r="A352" t="str">
            <v>Семейная с чесночком Экстра вареная  СПК</v>
          </cell>
          <cell r="D352">
            <v>6</v>
          </cell>
          <cell r="F352">
            <v>6</v>
          </cell>
        </row>
        <row r="353">
          <cell r="A353" t="str">
            <v>Сервелат Европейский в/к, в/с 0,38 кг.шт.термофор.пак  СПК</v>
          </cell>
          <cell r="D353">
            <v>34</v>
          </cell>
          <cell r="F353">
            <v>34</v>
          </cell>
        </row>
        <row r="354">
          <cell r="A354" t="str">
            <v>Сервелат мелкозернистый в/к 0,5 кг.шт. термоус.пак. "Высокий вкус"  СПК</v>
          </cell>
          <cell r="D354">
            <v>23</v>
          </cell>
          <cell r="F354">
            <v>23</v>
          </cell>
        </row>
        <row r="355">
          <cell r="A355" t="str">
            <v>Сервелат Финский в/к 0,38 кг.шт. термофор.пак.  СПК</v>
          </cell>
          <cell r="D355">
            <v>24</v>
          </cell>
          <cell r="F355">
            <v>24</v>
          </cell>
        </row>
        <row r="356">
          <cell r="A356" t="str">
            <v>Сервелат Фирменный в/к 0,10 кг.шт. нарезка (лоток с ср.защ.атм.)  СПК</v>
          </cell>
          <cell r="D356">
            <v>189</v>
          </cell>
          <cell r="F356">
            <v>189</v>
          </cell>
        </row>
        <row r="357">
          <cell r="A357" t="str">
            <v>Сибирская особая с/к 0,10 кг.шт. нарезка (лоток с ср.защ.атм.)  СПК</v>
          </cell>
          <cell r="D357">
            <v>133</v>
          </cell>
          <cell r="F357">
            <v>133</v>
          </cell>
        </row>
        <row r="358">
          <cell r="A358" t="str">
            <v>Сибирская особая с/к 0,235 кг шт.  СПК</v>
          </cell>
          <cell r="D358">
            <v>174</v>
          </cell>
          <cell r="F358">
            <v>174</v>
          </cell>
        </row>
        <row r="359">
          <cell r="A359" t="str">
            <v>Сосиски "Баварские" 0,36 кг.шт. вак.упак.  СПК</v>
          </cell>
          <cell r="D359">
            <v>5</v>
          </cell>
          <cell r="F359">
            <v>5</v>
          </cell>
        </row>
        <row r="360">
          <cell r="A360" t="str">
            <v>Сосиски "Молочные" 0,36 кг.шт. вак.упак.  СПК</v>
          </cell>
          <cell r="D360">
            <v>7</v>
          </cell>
          <cell r="F360">
            <v>7</v>
          </cell>
        </row>
        <row r="361">
          <cell r="A361" t="str">
            <v>Сосиски Классические (в ср.защ.атм.) СПК</v>
          </cell>
          <cell r="D361">
            <v>14</v>
          </cell>
          <cell r="F361">
            <v>14</v>
          </cell>
        </row>
        <row r="362">
          <cell r="A362" t="str">
            <v>Сосиски Мусульманские "Просто выгодно" (в ср.защ.атм.)  СПК</v>
          </cell>
          <cell r="D362">
            <v>9</v>
          </cell>
          <cell r="F362">
            <v>9</v>
          </cell>
        </row>
        <row r="363">
          <cell r="A363" t="str">
            <v>Сосиски Хот-дог подкопченные (лоток с ср.защ.атм.)  СПК</v>
          </cell>
          <cell r="D363">
            <v>8</v>
          </cell>
          <cell r="F363">
            <v>8</v>
          </cell>
        </row>
        <row r="364">
          <cell r="A364" t="str">
            <v>Сочный мегачебурек ТМ Зареченские ВЕС ПОКОМ</v>
          </cell>
          <cell r="F364">
            <v>138.9</v>
          </cell>
        </row>
        <row r="365">
          <cell r="A365" t="str">
            <v>Торо Неро с/в "Эликатессе" 140 гр.шт.  СПК</v>
          </cell>
          <cell r="D365">
            <v>143</v>
          </cell>
          <cell r="F365">
            <v>143</v>
          </cell>
        </row>
        <row r="366">
          <cell r="A366" t="str">
            <v>Утренняя вареная ВЕС СПК</v>
          </cell>
          <cell r="D366">
            <v>10</v>
          </cell>
          <cell r="F366">
            <v>10</v>
          </cell>
        </row>
        <row r="367">
          <cell r="A367" t="str">
            <v>Уши свиные копченые к пиву 0,15кг нар. д/ф шт.  СПК</v>
          </cell>
          <cell r="D367">
            <v>23</v>
          </cell>
          <cell r="F367">
            <v>23</v>
          </cell>
        </row>
        <row r="368">
          <cell r="A368" t="str">
            <v>Фестивальная пора с/к 100 гр.шт.нар. (лоток с ср.защ.атм.)  СПК</v>
          </cell>
          <cell r="D368">
            <v>102</v>
          </cell>
          <cell r="F368">
            <v>102</v>
          </cell>
        </row>
        <row r="369">
          <cell r="A369" t="str">
            <v>Фестивальная пора с/к 235 гр.шт.  СПК</v>
          </cell>
          <cell r="D369">
            <v>392</v>
          </cell>
          <cell r="F369">
            <v>392</v>
          </cell>
        </row>
        <row r="370">
          <cell r="A370" t="str">
            <v>Фестивальная пора с/к термоус.пак  СПК</v>
          </cell>
          <cell r="D370">
            <v>27.8</v>
          </cell>
          <cell r="F370">
            <v>27.8</v>
          </cell>
        </row>
        <row r="371">
          <cell r="A371" t="str">
            <v>Фирменная с/к 200 гр. срез "Эликатессе" термоформ.пак.  СПК</v>
          </cell>
          <cell r="D371">
            <v>113</v>
          </cell>
          <cell r="F371">
            <v>113</v>
          </cell>
        </row>
        <row r="372">
          <cell r="A372" t="str">
            <v>Фуэт с/в "Эликатессе" 160 гр.шт.  СПК</v>
          </cell>
          <cell r="D372">
            <v>264</v>
          </cell>
          <cell r="F372">
            <v>264</v>
          </cell>
        </row>
        <row r="373">
          <cell r="A373" t="str">
            <v>Хот-догстер ТМ Горячая штучка ТС Хот-Догстер флоу-пак 0,09 кг. ПОКОМ</v>
          </cell>
          <cell r="D373">
            <v>6</v>
          </cell>
          <cell r="F373">
            <v>227</v>
          </cell>
        </row>
        <row r="374">
          <cell r="A374" t="str">
            <v>Хотстеры с сыром 0,25кг ТМ Горячая штучка  ПОКОМ</v>
          </cell>
          <cell r="D374">
            <v>20</v>
          </cell>
          <cell r="F374">
            <v>619</v>
          </cell>
        </row>
        <row r="375">
          <cell r="A375" t="str">
            <v>Хотстеры ТМ Горячая штучка ТС Хотстеры 0,25 кг зам  ПОКОМ</v>
          </cell>
          <cell r="D375">
            <v>1846</v>
          </cell>
          <cell r="F375">
            <v>3644</v>
          </cell>
        </row>
        <row r="376">
          <cell r="A376" t="str">
            <v>Хрустящие крылышки острые к пиву ТМ Горячая штучка 0,3кг зам  ПОКОМ</v>
          </cell>
          <cell r="D376">
            <v>25</v>
          </cell>
          <cell r="F376">
            <v>631</v>
          </cell>
        </row>
        <row r="377">
          <cell r="A377" t="str">
            <v>Хрустящие крылышки ТМ Горячая штучка 0,3 кг зам  ПОКОМ</v>
          </cell>
          <cell r="D377">
            <v>28</v>
          </cell>
          <cell r="F377">
            <v>701</v>
          </cell>
        </row>
        <row r="378">
          <cell r="A378" t="str">
            <v>Чебупели Курочка гриль ТМ Горячая штучка, 0,3 кг зам  ПОКОМ</v>
          </cell>
          <cell r="D378">
            <v>3</v>
          </cell>
          <cell r="F378">
            <v>275</v>
          </cell>
        </row>
        <row r="379">
          <cell r="A379" t="str">
            <v>Чебупицца курочка по-итальянски Горячая штучка 0,25 кг зам  ПОКОМ</v>
          </cell>
          <cell r="D379">
            <v>2456</v>
          </cell>
          <cell r="F379">
            <v>4506</v>
          </cell>
        </row>
        <row r="380">
          <cell r="A380" t="str">
            <v>Чебупицца Маргарита 0,2кг ТМ Горячая штучка ТС Foodgital  ПОКОМ</v>
          </cell>
          <cell r="D380">
            <v>8</v>
          </cell>
          <cell r="F380">
            <v>280</v>
          </cell>
        </row>
        <row r="381">
          <cell r="A381" t="str">
            <v>Чебупицца Пепперони ТМ Горячая штучка ТС Чебупицца 0.25кг зам  ПОКОМ</v>
          </cell>
          <cell r="D381">
            <v>2956</v>
          </cell>
          <cell r="F381">
            <v>6390</v>
          </cell>
        </row>
        <row r="382">
          <cell r="A382" t="str">
            <v>Чебупицца со вкусом 4 сыра 0,2кг ТМ Горячая штучка ТС Foodgital  ПОКОМ</v>
          </cell>
          <cell r="D382">
            <v>12</v>
          </cell>
          <cell r="F382">
            <v>244</v>
          </cell>
        </row>
        <row r="383">
          <cell r="A383" t="str">
            <v>Чебуреки сочные ВЕС ТМ Зареченские  ПОКОМ</v>
          </cell>
          <cell r="D383">
            <v>5</v>
          </cell>
          <cell r="F383">
            <v>1786.3</v>
          </cell>
        </row>
        <row r="384">
          <cell r="A384" t="str">
            <v>Шпикачки Русские (черева) (в ср.защ.атм.) "Высокий вкус"  СПК</v>
          </cell>
          <cell r="D384">
            <v>33.5</v>
          </cell>
          <cell r="F384">
            <v>33.5</v>
          </cell>
        </row>
        <row r="385">
          <cell r="A385" t="str">
            <v>Эликапреза с/в "Эликатессе" 85 гр.шт. нарезка (лоток с ср.защ.атм.)  СПК</v>
          </cell>
          <cell r="D385">
            <v>41</v>
          </cell>
          <cell r="F385">
            <v>41</v>
          </cell>
        </row>
        <row r="386">
          <cell r="A386" t="str">
            <v>Юбилейная с/к 0,235 кг.шт.  СПК</v>
          </cell>
          <cell r="D386">
            <v>569</v>
          </cell>
          <cell r="F386">
            <v>569</v>
          </cell>
        </row>
        <row r="387">
          <cell r="A387" t="str">
            <v>Итого</v>
          </cell>
          <cell r="D387">
            <v>142950.51999999999</v>
          </cell>
          <cell r="F387">
            <v>324372.21299999999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Номенклатура</v>
          </cell>
          <cell r="B5" t="str">
            <v>кол-во</v>
          </cell>
        </row>
        <row r="6">
          <cell r="B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B7">
            <v>231.63499999999999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B8">
            <v>283.036</v>
          </cell>
        </row>
        <row r="9">
          <cell r="A9" t="str">
            <v xml:space="preserve"> 017  Сосиски Вязанка Сливочные, Вязанка амицел ВЕС.ПОКОМ</v>
          </cell>
          <cell r="B9">
            <v>504.66199999999998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B10">
            <v>815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>
            <v>1032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>
            <v>1046</v>
          </cell>
        </row>
        <row r="13">
          <cell r="A13" t="str">
            <v xml:space="preserve"> 043  Ветчина Нежная ТМ Особый рецепт, п/а, 0,4кг    ПОКОМ</v>
          </cell>
          <cell r="B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>
            <v>99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>
            <v>57</v>
          </cell>
        </row>
        <row r="16">
          <cell r="A16" t="str">
            <v xml:space="preserve"> 083  Колбаса Швейцарская 0,17 кг., ШТ., сырокопченая   ПОКОМ</v>
          </cell>
          <cell r="B16">
            <v>459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>
            <v>80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>
            <v>11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>
            <v>33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>
            <v>210</v>
          </cell>
        </row>
        <row r="21">
          <cell r="A21" t="str">
            <v xml:space="preserve"> 200  Ветчина Дугушка ТМ Стародворье, вектор в/у    ПОКОМ</v>
          </cell>
          <cell r="B21">
            <v>320.654</v>
          </cell>
        </row>
        <row r="22">
          <cell r="A22" t="str">
            <v xml:space="preserve"> 201  Ветчина Нежная ТМ Особый рецепт, (2,5кг), ПОКОМ</v>
          </cell>
          <cell r="B22">
            <v>2158.0859999999998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>
            <v>107.322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>
            <v>156.899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>
            <v>58.052999999999997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>
            <v>128.679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>
            <v>185.589</v>
          </cell>
        </row>
        <row r="28">
          <cell r="A28" t="str">
            <v xml:space="preserve"> 247  Сардельки Нежные, ВЕС.  ПОКОМ</v>
          </cell>
          <cell r="B28">
            <v>28.431000000000001</v>
          </cell>
        </row>
        <row r="29">
          <cell r="A29" t="str">
            <v xml:space="preserve"> 248  Сардельки Сочные ТМ Особый рецепт,   ПОКОМ</v>
          </cell>
          <cell r="B29">
            <v>24.28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>
            <v>492.16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>
            <v>25.106999999999999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>
            <v>37.595999999999997</v>
          </cell>
        </row>
        <row r="33">
          <cell r="A33" t="str">
            <v xml:space="preserve"> 263  Шпикачки Стародворские, ВЕС.  ПОКОМ</v>
          </cell>
          <cell r="B33">
            <v>164.232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B34">
            <v>1.8009999999999999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B35">
            <v>0.90700000000000003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B36">
            <v>442</v>
          </cell>
        </row>
        <row r="37">
          <cell r="A37" t="str">
            <v xml:space="preserve"> 273  Сосиски Сочинки с сочной грудинкой, МГС 0.4кг,   ПОКОМ</v>
          </cell>
          <cell r="B37">
            <v>602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>
            <v>859</v>
          </cell>
        </row>
        <row r="39">
          <cell r="A39" t="str">
            <v xml:space="preserve"> 278  Сосиски Сочинки с сочным окороком, МГС 0.4кг,   ПОКОМ</v>
          </cell>
          <cell r="B39">
            <v>9</v>
          </cell>
        </row>
        <row r="40">
          <cell r="A40" t="str">
            <v xml:space="preserve"> 283  Сосиски Сочинки, ВЕС, ТМ Стародворье ПОКОМ</v>
          </cell>
          <cell r="B40">
            <v>144.202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>
            <v>148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>
            <v>240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>
            <v>75.826999999999998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>
            <v>274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>
            <v>457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>
            <v>48.485999999999997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>
            <v>118.901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>
            <v>356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>
            <v>498</v>
          </cell>
        </row>
        <row r="50">
          <cell r="A50" t="str">
            <v xml:space="preserve"> 309  Сосиски Сочинки с сыром 0,4 кг ТМ Стародворье  ПОКОМ</v>
          </cell>
          <cell r="B50">
            <v>203</v>
          </cell>
        </row>
        <row r="51">
          <cell r="A51" t="str">
            <v xml:space="preserve"> 312  Ветчина Филейская ВЕС ТМ  Вязанка ТС Столичная  ПОКОМ</v>
          </cell>
          <cell r="B51">
            <v>218.86600000000001</v>
          </cell>
        </row>
        <row r="52">
          <cell r="A52" t="str">
            <v xml:space="preserve"> 315  Колбаса вареная Молокуша ТМ Вязанка ВЕС, ПОКОМ</v>
          </cell>
          <cell r="B52">
            <v>225.25800000000001</v>
          </cell>
        </row>
        <row r="53">
          <cell r="A53" t="str">
            <v xml:space="preserve"> 316  Колбаса Нежная ТМ Зареченские ВЕС  ПОКОМ</v>
          </cell>
          <cell r="B53">
            <v>104.98099999999999</v>
          </cell>
        </row>
        <row r="54">
          <cell r="A54" t="str">
            <v xml:space="preserve"> 317 Колбаса Сервелат Рижский ТМ Зареченские, ВЕС  ПОКОМ</v>
          </cell>
          <cell r="B54">
            <v>0.71399999999999997</v>
          </cell>
        </row>
        <row r="55">
          <cell r="A55" t="str">
            <v xml:space="preserve"> 318  Сосиски Датские ТМ Зареченские, ВЕС  ПОКОМ</v>
          </cell>
          <cell r="B55">
            <v>1849.761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>
            <v>1392</v>
          </cell>
        </row>
        <row r="57">
          <cell r="A57" t="str">
            <v xml:space="preserve"> 322  Колбаса вареная Молокуша 0,45кг ТМ Вязанка  ПОКОМ</v>
          </cell>
          <cell r="B57">
            <v>1144</v>
          </cell>
        </row>
        <row r="58">
          <cell r="A58" t="str">
            <v xml:space="preserve"> 324  Ветчина Филейская ТМ Вязанка Столичная 0,45 кг ПОКОМ</v>
          </cell>
          <cell r="B58">
            <v>504</v>
          </cell>
        </row>
        <row r="59">
          <cell r="A59" t="str">
            <v xml:space="preserve"> 328  Сардельки Сочинки Стародворье ТМ  0,4 кг ПОКОМ</v>
          </cell>
          <cell r="B59">
            <v>109</v>
          </cell>
        </row>
        <row r="60">
          <cell r="A60" t="str">
            <v xml:space="preserve"> 329  Сардельки Сочинки с сыром Стародворье ТМ, 0,4 кг. ПОКОМ</v>
          </cell>
          <cell r="B60">
            <v>78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>
            <v>330.91300000000001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>
            <v>85</v>
          </cell>
        </row>
        <row r="63">
          <cell r="A63" t="str">
            <v xml:space="preserve"> 335  Колбаса Сливушка ТМ Вязанка. ВЕС.  ПОКОМ </v>
          </cell>
          <cell r="B63">
            <v>58.811</v>
          </cell>
        </row>
        <row r="64">
          <cell r="A64" t="str">
            <v xml:space="preserve"> 342 Сосиски Сочинки Молочные ТМ Стародворье 0,4 кг ПОКОМ</v>
          </cell>
          <cell r="B64">
            <v>674</v>
          </cell>
        </row>
        <row r="65">
          <cell r="A65" t="str">
            <v xml:space="preserve"> 343 Сосиски Сочинки Сливочные ТМ Стародворье  0,4 кг</v>
          </cell>
          <cell r="B65">
            <v>562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>
            <v>195.19499999999999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>
            <v>73.975999999999999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>
            <v>561.69000000000005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>
            <v>104.83799999999999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>
            <v>17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>
            <v>144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>
            <v>183</v>
          </cell>
        </row>
        <row r="73">
          <cell r="A73" t="str">
            <v xml:space="preserve"> 364  Сардельки Филейские Вязанка ВЕС NDX ТМ Вязанка  ПОКОМ</v>
          </cell>
          <cell r="B73">
            <v>17.173999999999999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>
            <v>240</v>
          </cell>
        </row>
        <row r="75">
          <cell r="A75" t="str">
            <v xml:space="preserve"> 377  Колбаса Молочная Дугушка 0,6кг ТМ Стародворье  ПОКОМ</v>
          </cell>
          <cell r="B75">
            <v>260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>
            <v>146</v>
          </cell>
        </row>
        <row r="77">
          <cell r="A77" t="str">
            <v xml:space="preserve"> 388  Сосиски Восточные Халяль ТМ Вязанка 0,33 кг АК. ПОКОМ</v>
          </cell>
          <cell r="B77">
            <v>129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>
            <v>93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>
            <v>171</v>
          </cell>
        </row>
        <row r="80">
          <cell r="A80" t="str">
            <v xml:space="preserve"> 410  Сосиски Баварские с сыром ТМ Стародворье 0,35 кг. ПОКОМ</v>
          </cell>
          <cell r="B80">
            <v>1695</v>
          </cell>
        </row>
        <row r="81">
          <cell r="A81" t="str">
            <v xml:space="preserve"> 412  Сосиски Баварские ТМ Стародворье 0,35 кг ПОКОМ</v>
          </cell>
          <cell r="B81">
            <v>1556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>
            <v>108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>
            <v>142.56200000000001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>
            <v>64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>
            <v>23.085999999999999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>
            <v>111</v>
          </cell>
        </row>
        <row r="87">
          <cell r="A87" t="str">
            <v xml:space="preserve"> 448  Сосиски Сливушки по-венски ТМ Вязанка. 0,3 кг ПОКОМ</v>
          </cell>
          <cell r="B87">
            <v>55</v>
          </cell>
        </row>
        <row r="88">
          <cell r="A88" t="str">
            <v xml:space="preserve"> 449  Колбаса Дугушка Стародворская ВЕС ТС Дугушка ПОКОМ</v>
          </cell>
          <cell r="B88">
            <v>208.30699999999999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>
            <v>1093.0429999999999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>
            <v>2465.268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>
            <v>2258.5630000000001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>
            <v>39.366</v>
          </cell>
        </row>
        <row r="93">
          <cell r="A93" t="str">
            <v xml:space="preserve"> 467  Колбаса Филейная 0,5кг ТМ Особый рецепт  ПОКОМ</v>
          </cell>
          <cell r="B93">
            <v>52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B94">
            <v>361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B95">
            <v>166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B96">
            <v>246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B97">
            <v>188</v>
          </cell>
        </row>
        <row r="98">
          <cell r="A98" t="str">
            <v xml:space="preserve"> 519  Грудинка 0,12 кг нарезка ТМ Стародворье  ПОКОМ</v>
          </cell>
          <cell r="B98">
            <v>74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B99">
            <v>157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B100">
            <v>84</v>
          </cell>
        </row>
        <row r="101">
          <cell r="A101" t="str">
            <v xml:space="preserve"> 523  Колбаса Сальчичон нарезка 0,07кг ТМ Стародворье  ПОКОМ </v>
          </cell>
          <cell r="B101">
            <v>163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B102">
            <v>213</v>
          </cell>
        </row>
        <row r="103">
          <cell r="A103" t="str">
            <v xml:space="preserve"> 525  Колбаса Фуэт нарезка 0,07кг ТМ Стародворье  ПОКОМ</v>
          </cell>
          <cell r="B103">
            <v>58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B104">
            <v>74</v>
          </cell>
        </row>
        <row r="105">
          <cell r="A105" t="str">
            <v xml:space="preserve"> 546  Колбаса Чесночная 0,4 кг срез ТМ Стародворье  ПОКОМ</v>
          </cell>
          <cell r="B105">
            <v>9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B106">
            <v>581.322</v>
          </cell>
        </row>
        <row r="107">
          <cell r="A107" t="str">
            <v>3215 ВЕТЧ.МЯСНАЯ Папа может п/о 0.4кг 8шт.    ОСТАНКИНО</v>
          </cell>
          <cell r="B107">
            <v>168</v>
          </cell>
        </row>
        <row r="108">
          <cell r="A108" t="str">
            <v>3684 ПРЕСИЖН с/к в/у 1/250 8шт.   ОСТАНКИНО</v>
          </cell>
          <cell r="B108">
            <v>12</v>
          </cell>
        </row>
        <row r="109">
          <cell r="A109" t="str">
            <v>3986 Ароматная с/к в/у 1/250 ОСТАНКИНО</v>
          </cell>
          <cell r="B109">
            <v>192</v>
          </cell>
        </row>
        <row r="110">
          <cell r="A110" t="str">
            <v>4063 МЯСНАЯ Папа может вар п/о_Л   ОСТАНКИНО</v>
          </cell>
          <cell r="B110">
            <v>461.09800000000001</v>
          </cell>
        </row>
        <row r="111">
          <cell r="A111" t="str">
            <v>4117 ЭКСТРА Папа может с/к в/у_Л   ОСТАНКИНО</v>
          </cell>
          <cell r="B111">
            <v>12.76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B112">
            <v>24.181999999999999</v>
          </cell>
        </row>
        <row r="113">
          <cell r="A113" t="str">
            <v>4813 ФИЛЕЙНАЯ Папа может вар п/о_Л   ОСТАНКИНО</v>
          </cell>
          <cell r="B113">
            <v>217.15</v>
          </cell>
        </row>
        <row r="114">
          <cell r="A114" t="str">
            <v>4993 САЛЯМИ ИТАЛЬЯНСКАЯ с/к в/у 1/250*8_120c ОСТАНКИНО</v>
          </cell>
          <cell r="B114">
            <v>144</v>
          </cell>
        </row>
        <row r="115">
          <cell r="A115" t="str">
            <v>5246 ДОКТОРСКАЯ ПРЕМИУМ вар б/о мгс_30с ОСТАНКИНО</v>
          </cell>
          <cell r="B115">
            <v>68.551000000000002</v>
          </cell>
        </row>
        <row r="116">
          <cell r="A116" t="str">
            <v>5247 РУССКАЯ ПРЕМИУМ вар б/о мгс_30с ОСТАНКИНО</v>
          </cell>
          <cell r="B116">
            <v>37.463999999999999</v>
          </cell>
        </row>
        <row r="117">
          <cell r="A117" t="str">
            <v>5483 ЭКСТРА Папа может с/к в/у 1/250 8шт.   ОСТАНКИНО</v>
          </cell>
          <cell r="B117">
            <v>261</v>
          </cell>
        </row>
        <row r="118">
          <cell r="A118" t="str">
            <v>5544 Сервелат Финский в/к в/у_45с НОВАЯ ОСТАНКИНО</v>
          </cell>
          <cell r="B118">
            <v>550.31799999999998</v>
          </cell>
        </row>
        <row r="119">
          <cell r="A119" t="str">
            <v>5679 САЛЯМИ ИТАЛЬЯНСКАЯ с/к в/у 1/150_60с ОСТАНКИНО</v>
          </cell>
          <cell r="B119">
            <v>64</v>
          </cell>
        </row>
        <row r="120">
          <cell r="A120" t="str">
            <v>5682 САЛЯМИ МЕЛКОЗЕРНЕНАЯ с/к в/у 1/120_60с   ОСТАНКИНО</v>
          </cell>
          <cell r="B120">
            <v>1</v>
          </cell>
        </row>
        <row r="121">
          <cell r="A121" t="str">
            <v>5708 ПОСОЛЬСКАЯ Папа может с/к в/у ОСТАНКИНО</v>
          </cell>
          <cell r="B121">
            <v>22.672000000000001</v>
          </cell>
        </row>
        <row r="122">
          <cell r="A122" t="str">
            <v>5851 ЭКСТРА Папа может вар п/о   ОСТАНКИНО</v>
          </cell>
          <cell r="B122">
            <v>89.744</v>
          </cell>
        </row>
        <row r="123">
          <cell r="A123" t="str">
            <v>5931 ОХОТНИЧЬЯ Папа может с/к в/у 1/220 8шт.   ОСТАНКИНО</v>
          </cell>
          <cell r="B123">
            <v>451</v>
          </cell>
        </row>
        <row r="124">
          <cell r="A124" t="str">
            <v>6004 РАГУ СВИНОЕ 1кг 8шт.зам_120с ОСТАНКИНО</v>
          </cell>
          <cell r="B124">
            <v>8</v>
          </cell>
        </row>
        <row r="125">
          <cell r="A125" t="str">
            <v>6220 ГОВЯЖЬЯ Папа может вар п/о  ОСТАНКИНО</v>
          </cell>
          <cell r="B125">
            <v>9.5020000000000007</v>
          </cell>
        </row>
        <row r="126">
          <cell r="A126" t="str">
            <v>6221 НЕАПОЛИТАНСКИЙ ДУЭТ с/к с/н мгс 1/90  ОСТАНКИНО</v>
          </cell>
          <cell r="B126">
            <v>288</v>
          </cell>
        </row>
        <row r="127">
          <cell r="A127" t="str">
            <v>6228 МЯСНОЕ АССОРТИ к/з с/н мгс 1/90 10шт.  ОСТАНКИНО</v>
          </cell>
          <cell r="B127">
            <v>152</v>
          </cell>
        </row>
        <row r="128">
          <cell r="A128" t="str">
            <v>6247 ДОМАШНЯЯ Папа может вар п/о 0,4кг 8шт.  ОСТАНКИНО</v>
          </cell>
          <cell r="B128">
            <v>26</v>
          </cell>
        </row>
        <row r="129">
          <cell r="A129" t="str">
            <v>6268 ГОВЯЖЬЯ Папа может вар п/о 0,4кг 8 шт.  ОСТАНКИНО</v>
          </cell>
          <cell r="B129">
            <v>304</v>
          </cell>
        </row>
        <row r="130">
          <cell r="A130" t="str">
            <v>6279 КОРЕЙКА ПО-ОСТ.к/в в/с с/н в/у 1/150_45с  ОСТАНКИНО</v>
          </cell>
          <cell r="B130">
            <v>245</v>
          </cell>
        </row>
        <row r="131">
          <cell r="A131" t="str">
            <v>6303 МЯСНЫЕ Папа может сос п/о мгс 1.5*3  ОСТАНКИНО</v>
          </cell>
          <cell r="B131">
            <v>81.466999999999999</v>
          </cell>
        </row>
        <row r="132">
          <cell r="A132" t="str">
            <v>6324 ДОКТОРСКАЯ ГОСТ вар п/о 0.4кг 8шт.  ОСТАНКИНО</v>
          </cell>
          <cell r="B132">
            <v>8</v>
          </cell>
        </row>
        <row r="133">
          <cell r="A133" t="str">
            <v>6325 ДОКТОРСКАЯ ПРЕМИУМ вар п/о 0.4кг 8шт.  ОСТАНКИНО</v>
          </cell>
          <cell r="B133">
            <v>420</v>
          </cell>
        </row>
        <row r="134">
          <cell r="A134" t="str">
            <v>6333 МЯСНАЯ Папа может вар п/о 0.4кг 8шт.  ОСТАНКИНО</v>
          </cell>
          <cell r="B134">
            <v>1592</v>
          </cell>
        </row>
        <row r="135">
          <cell r="A135" t="str">
            <v>6340 ДОМАШНИЙ РЕЦЕПТ Коровино 0.5кг 8шт.  ОСТАНКИНО</v>
          </cell>
          <cell r="B135">
            <v>61</v>
          </cell>
        </row>
        <row r="136">
          <cell r="A136" t="str">
            <v>6353 ЭКСТРА Папа может вар п/о 0.4кг 8шт.  ОСТАНКИНО</v>
          </cell>
          <cell r="B136">
            <v>447</v>
          </cell>
        </row>
        <row r="137">
          <cell r="A137" t="str">
            <v>6392 ФИЛЕЙНАЯ Папа может вар п/о 0.4кг. ОСТАНКИНО</v>
          </cell>
          <cell r="B137">
            <v>893</v>
          </cell>
        </row>
        <row r="138">
          <cell r="A138" t="str">
            <v>6448 СВИНИНА МАДЕРА с/к с/н в/у 1/100 10шт.   ОСТАНКИНО</v>
          </cell>
          <cell r="B138">
            <v>21</v>
          </cell>
        </row>
        <row r="139">
          <cell r="A139" t="str">
            <v>6453 ЭКСТРА Папа может с/к с/н в/у 1/100 14шт.   ОСТАНКИНО</v>
          </cell>
          <cell r="B139">
            <v>527</v>
          </cell>
        </row>
        <row r="140">
          <cell r="A140" t="str">
            <v>6454 АРОМАТНАЯ с/к с/н в/у 1/100 10шт.  ОСТАНКИНО</v>
          </cell>
          <cell r="B140">
            <v>540</v>
          </cell>
        </row>
        <row r="141">
          <cell r="A141" t="str">
            <v>6459 СЕРВЕЛАТ ШВЕЙЦАРСК. в/к с/н в/у 1/100*10  ОСТАНКИНО</v>
          </cell>
          <cell r="B141">
            <v>465</v>
          </cell>
        </row>
        <row r="142">
          <cell r="A142" t="str">
            <v>6470 ВЕТЧ.МРАМОРНАЯ в/у_45с  ОСТАНКИНО</v>
          </cell>
          <cell r="B142">
            <v>1.26</v>
          </cell>
        </row>
        <row r="143">
          <cell r="A143" t="str">
            <v>6495 ВЕТЧ.МРАМОРНАЯ в/у срез 0.3кг 6шт_45с  ОСТАНКИНО</v>
          </cell>
          <cell r="B143">
            <v>131</v>
          </cell>
        </row>
        <row r="144">
          <cell r="A144" t="str">
            <v>6527 ШПИКАЧКИ СОЧНЫЕ ПМ сар б/о мгс 1*3 45с ОСТАНКИНО</v>
          </cell>
          <cell r="B144">
            <v>75.328999999999994</v>
          </cell>
        </row>
        <row r="145">
          <cell r="A145" t="str">
            <v>6609 С ГОВЯДИНОЙ ПМ сар б/о мгс 0.4кг_45с ОСТАНКИНО</v>
          </cell>
          <cell r="B145">
            <v>6</v>
          </cell>
        </row>
        <row r="146">
          <cell r="A146" t="str">
            <v>6616 МОЛОЧНЫЕ КЛАССИЧЕСКИЕ сос п/о в/у 0.3кг  ОСТАНКИНО</v>
          </cell>
          <cell r="B146">
            <v>522</v>
          </cell>
        </row>
        <row r="147">
          <cell r="A147" t="str">
            <v>6697 СЕРВЕЛАТ ФИНСКИЙ ПМ в/к в/у 0,35кг 8шт.  ОСТАНКИНО</v>
          </cell>
          <cell r="B147">
            <v>1164</v>
          </cell>
        </row>
        <row r="148">
          <cell r="A148" t="str">
            <v>6713 СОЧНЫЙ ГРИЛЬ ПМ сос п/о мгс 0.41кг 8шт.  ОСТАНКИНО</v>
          </cell>
          <cell r="B148">
            <v>553</v>
          </cell>
        </row>
        <row r="149">
          <cell r="A149" t="str">
            <v>6724 МОЛОЧНЫЕ ПМ сос п/о мгс 0.41кг 10шт.  ОСТАНКИНО</v>
          </cell>
          <cell r="B149">
            <v>122</v>
          </cell>
        </row>
        <row r="150">
          <cell r="A150" t="str">
            <v>6765 РУБЛЕНЫЕ сос ц/о мгс 0.36кг 6шт.  ОСТАНКИНО</v>
          </cell>
          <cell r="B150">
            <v>115</v>
          </cell>
        </row>
        <row r="151">
          <cell r="A151" t="str">
            <v>6785 ВЕНСКАЯ САЛЯМИ п/к в/у 0.33кг 8шт.  ОСТАНКИНО</v>
          </cell>
          <cell r="B151">
            <v>39</v>
          </cell>
        </row>
        <row r="152">
          <cell r="A152" t="str">
            <v>6787 СЕРВЕЛАТ КРЕМЛЕВСКИЙ в/к в/у 0,33кг 8шт.  ОСТАНКИНО</v>
          </cell>
          <cell r="B152">
            <v>65</v>
          </cell>
        </row>
        <row r="153">
          <cell r="A153" t="str">
            <v>6793 БАЛЫКОВАЯ в/к в/у 0,33кг 8шт.  ОСТАНКИНО</v>
          </cell>
          <cell r="B153">
            <v>96</v>
          </cell>
        </row>
        <row r="154">
          <cell r="A154" t="str">
            <v>6797 С ИНДЕЙКОЙ Папа может вар п/о 0,4кг 8шт.  ОСТАНКИНО</v>
          </cell>
          <cell r="B154">
            <v>77</v>
          </cell>
        </row>
        <row r="155">
          <cell r="A155" t="str">
            <v>6829 МОЛОЧНЫЕ КЛАССИЧЕСКИЕ сос п/о мгс 2*4_С  ОСТАНКИНО</v>
          </cell>
          <cell r="B155">
            <v>177.39</v>
          </cell>
        </row>
        <row r="156">
          <cell r="A156" t="str">
            <v>6837 ФИЛЕЙНЫЕ Папа Может сос ц/о мгс 0.4кг  ОСТАНКИНО</v>
          </cell>
          <cell r="B156">
            <v>266</v>
          </cell>
        </row>
        <row r="157">
          <cell r="A157" t="str">
            <v>6842 ДЫМОВИЦА ИЗ ОКОРОКА к/в мл/к в/у 0,3кг  ОСТАНКИНО</v>
          </cell>
          <cell r="B157">
            <v>139</v>
          </cell>
        </row>
        <row r="158">
          <cell r="A158" t="str">
            <v>6861 ДОМАШНИЙ РЕЦЕПТ Коровино вар п/о  ОСТАНКИНО</v>
          </cell>
          <cell r="B158">
            <v>354.64299999999997</v>
          </cell>
        </row>
        <row r="159">
          <cell r="A159" t="str">
            <v>6866 ВЕТЧ.НЕЖНАЯ Коровино п/о_Маяк  ОСТАНКИНО</v>
          </cell>
          <cell r="B159">
            <v>64.765000000000001</v>
          </cell>
        </row>
        <row r="160">
          <cell r="A160" t="str">
            <v>7001 КЛАССИЧЕСКИЕ Папа может сар б/о мгс 1*3  ОСТАНКИНО</v>
          </cell>
          <cell r="B160">
            <v>39.694000000000003</v>
          </cell>
        </row>
        <row r="161">
          <cell r="A161" t="str">
            <v>7040 С ИНДЕЙКОЙ ПМ сос ц/о в/у 1/270 8шт.  ОСТАНКИНО</v>
          </cell>
          <cell r="B161">
            <v>30</v>
          </cell>
        </row>
        <row r="162">
          <cell r="A162" t="str">
            <v>7059 ШПИКАЧКИ СОЧНЫЕ С БЕК. п/о мгс 0.3кг_60с  ОСТАНКИНО</v>
          </cell>
          <cell r="B162">
            <v>100</v>
          </cell>
        </row>
        <row r="163">
          <cell r="A163" t="str">
            <v>7066 СОЧНЫЕ ПМ сос п/о мгс 0.41кг 10шт_50с  ОСТАНКИНО</v>
          </cell>
          <cell r="B163">
            <v>1611</v>
          </cell>
        </row>
        <row r="164">
          <cell r="A164" t="str">
            <v>7070 СОЧНЫЕ ПМ сос п/о мгс 1.5*4_А_50с  ОСТАНКИНО</v>
          </cell>
          <cell r="B164">
            <v>980.90700000000004</v>
          </cell>
        </row>
        <row r="165">
          <cell r="A165" t="str">
            <v>7073 МОЛОЧ.ПРЕМИУМ ПМ сос п/о в/у 1/350_50с  ОСТАНКИНО</v>
          </cell>
          <cell r="B165">
            <v>464</v>
          </cell>
        </row>
        <row r="166">
          <cell r="A166" t="str">
            <v>7075 МОЛОЧ.ПРЕМИУМ ПМ сос п/о мгс 1.5*4_О_50с  ОСТАНКИНО</v>
          </cell>
          <cell r="B166">
            <v>23.178999999999998</v>
          </cell>
        </row>
        <row r="167">
          <cell r="A167" t="str">
            <v>7080 СЛИВОЧНЫЕ ПМ сос п/о мгс 0.41кг 10шт. 50с  ОСТАНКИНО</v>
          </cell>
          <cell r="B167">
            <v>720</v>
          </cell>
        </row>
        <row r="168">
          <cell r="A168" t="str">
            <v>7082 СЛИВОЧНЫЕ ПМ сос п/о мгс 1.5*4_50с  ОСТАНКИНО</v>
          </cell>
          <cell r="B168">
            <v>23.158999999999999</v>
          </cell>
        </row>
        <row r="169">
          <cell r="A169" t="str">
            <v>7087 ШПИК С ЧЕСНОК.И ПЕРЦЕМ к/в в/у 0.3кг_50с  ОСТАНКИНО</v>
          </cell>
          <cell r="B169">
            <v>128</v>
          </cell>
        </row>
        <row r="170">
          <cell r="A170" t="str">
            <v>7090 СВИНИНА ПО-ДОМ. к/в мл/к в/у 0.3кг_50с  ОСТАНКИНО</v>
          </cell>
          <cell r="B170">
            <v>293</v>
          </cell>
        </row>
        <row r="171">
          <cell r="A171" t="str">
            <v>7092 БЕКОН Папа может с/к с/н в/у 1/140_50с  ОСТАНКИНО</v>
          </cell>
          <cell r="B171">
            <v>301</v>
          </cell>
        </row>
        <row r="172">
          <cell r="A172" t="str">
            <v>7147 САЛЬЧИЧОН Останкино с/к в/у 1/220 8шт.  ОСТАНКИНО</v>
          </cell>
          <cell r="B172">
            <v>24</v>
          </cell>
        </row>
        <row r="173">
          <cell r="A173" t="str">
            <v>7149 БАЛЫКОВАЯ Коровино п/к в/у 0.84кг_50с  ОСТАНКИНО</v>
          </cell>
          <cell r="B173">
            <v>2</v>
          </cell>
        </row>
        <row r="174">
          <cell r="A174" t="str">
            <v>7154 СЕРВЕЛАТ ЗЕРНИСТЫЙ ПМ в/к в/у 0.35кг_50с  ОСТАНКИНО</v>
          </cell>
          <cell r="B174">
            <v>827</v>
          </cell>
        </row>
        <row r="175">
          <cell r="A175" t="str">
            <v>7157 СЕРВЕЛАТ ЗЕРНИСНЫЙ ПМ в/к в/у_50с  ОСТАНКИНО</v>
          </cell>
          <cell r="B175">
            <v>102.956</v>
          </cell>
        </row>
        <row r="176">
          <cell r="A176" t="str">
            <v>7166 СЕРВЕЛТ ОХОТНИЧИЙ ПМ в/к в/у_50с  ОСТАНКИНО</v>
          </cell>
          <cell r="B176">
            <v>219.905</v>
          </cell>
        </row>
        <row r="177">
          <cell r="A177" t="str">
            <v>7169 СЕРВЕЛАТ ОХОТНИЧИЙ ПМ в/к в/у 0.35кг_50с  ОСТАНКИНО</v>
          </cell>
          <cell r="B177">
            <v>1092</v>
          </cell>
        </row>
        <row r="178">
          <cell r="A178" t="str">
            <v>7187 ГРУДИНКА ПРЕМИУМ к/в мл/к в/у 0,3кг_50с ОСТАНКИНО</v>
          </cell>
          <cell r="B178">
            <v>343</v>
          </cell>
        </row>
        <row r="179">
          <cell r="A179" t="str">
            <v>7227 САЛЯМИ ФИНСКАЯ Папа может с/к в/у 1/180  ОСТАНКИНО</v>
          </cell>
          <cell r="B179">
            <v>12</v>
          </cell>
        </row>
        <row r="180">
          <cell r="A180" t="str">
            <v>7231 КЛАССИЧЕСКАЯ ПМ вар п/о 0,3кг 8шт_209к ОСТАНКИНО</v>
          </cell>
          <cell r="B180">
            <v>442</v>
          </cell>
        </row>
        <row r="181">
          <cell r="A181" t="str">
            <v>7232 БОЯNСКАЯ ПМ п/к в/у 0,28кг 8шт_209к ОСТАНКИНО</v>
          </cell>
          <cell r="B181">
            <v>478</v>
          </cell>
        </row>
        <row r="182">
          <cell r="A182" t="str">
            <v>7236 СЕРВЕЛАТ КАРЕЛЬСКИЙ в/к в/у 0,28кг_209к ОСТАНКИНО</v>
          </cell>
          <cell r="B182">
            <v>1039</v>
          </cell>
        </row>
        <row r="183">
          <cell r="A183" t="str">
            <v>7241 САЛЯМИ Папа может п/к в/у 0,28кг_209к ОСТАНКИНО</v>
          </cell>
          <cell r="B183">
            <v>331</v>
          </cell>
        </row>
        <row r="184">
          <cell r="A184" t="str">
            <v>7245 ВЕТЧ.ФИЛЕЙНАЯ ПМ п/о 0,4кг 8шт ОСТАНКИНО</v>
          </cell>
          <cell r="B184">
            <v>26</v>
          </cell>
        </row>
        <row r="185">
          <cell r="A185" t="str">
            <v>7255 МЯСНЫЕ С ГОВЯД. ПМ сос п/о мгс 0,4кг 6шт.  ОСТАНКИНО</v>
          </cell>
          <cell r="B185">
            <v>360</v>
          </cell>
        </row>
        <row r="186">
          <cell r="A186" t="str">
            <v>7271 МЯСНЫЕ С ГОВЯДИНОЙ ПМ сос п/о мгс 1.5*4 ВЕС  ОСТАНКИНО</v>
          </cell>
          <cell r="B186">
            <v>23.209</v>
          </cell>
        </row>
        <row r="187">
          <cell r="A187" t="str">
            <v>7284 ДЛЯ ДЕТЕЙ сос п/о мгс 0,33кг 6шт  ОСТАНКИНО</v>
          </cell>
          <cell r="B187">
            <v>11</v>
          </cell>
        </row>
        <row r="188">
          <cell r="A188" t="str">
            <v>7299 НАБОР ДЛЯ ПИЦЦЫ Папа может с/к в/у  ОСТАНКИНО</v>
          </cell>
          <cell r="B188">
            <v>4.4359999999999999</v>
          </cell>
        </row>
        <row r="189">
          <cell r="A189" t="str">
            <v>7317 ПРЕСИЖН с/к дек.спец. мгс 0,54кг  ОСТАНКИНО</v>
          </cell>
          <cell r="B189">
            <v>2</v>
          </cell>
        </row>
        <row r="190">
          <cell r="A190" t="str">
            <v>7332 БОЯРСКАЯ ПМ п/к в/у 0.28кг_СНГ  ОСТАНКИНО</v>
          </cell>
          <cell r="B190">
            <v>35</v>
          </cell>
        </row>
        <row r="191">
          <cell r="A191" t="str">
            <v>7333 СЕРВЕЛАТ ОХОТНИЧИЙ ПМ в/к в/у 0.28кг_СНГ  ОСТАНКИНО</v>
          </cell>
          <cell r="B191">
            <v>15</v>
          </cell>
        </row>
        <row r="192">
          <cell r="A192" t="str">
            <v>7343 СЕЙЧАС СЕЗОН ПМ вар п/о 0,4кг  ОСТАНКИНО</v>
          </cell>
          <cell r="B192">
            <v>629</v>
          </cell>
        </row>
        <row r="193">
          <cell r="A193" t="str">
            <v>7364 ЧОРИЗО Останкино с/к в/у 1/220 8шт.  ОСТАНКИНО</v>
          </cell>
          <cell r="B193">
            <v>8</v>
          </cell>
        </row>
        <row r="194">
          <cell r="A194" t="str">
            <v>7377 ВЕТЧ.С ИНДЕЙКОЙ ПМ в/у срез 0,3кг 6шт.  ОСТАНКИНО</v>
          </cell>
          <cell r="B194">
            <v>24</v>
          </cell>
        </row>
        <row r="195">
          <cell r="A195" t="str">
            <v>7382 САЛЯМИ МЕЛКОЗЕРНЕНАЯ с/к в/у 1/120 8шт.  ОСТАНКИНО</v>
          </cell>
          <cell r="B195">
            <v>642</v>
          </cell>
        </row>
        <row r="196">
          <cell r="A196" t="str">
            <v>7383 САН-РЕМО Останкино с/в в/у 1/220 8шт.  ОСТАНКИНО</v>
          </cell>
          <cell r="B196">
            <v>23</v>
          </cell>
        </row>
        <row r="197">
          <cell r="A197" t="str">
            <v>8950 Масло сливочное ПАПА МОЖЕТ 72,5%, фас. в фольгу, 180гр  ОСТАНКИНО</v>
          </cell>
          <cell r="B197">
            <v>81</v>
          </cell>
        </row>
        <row r="198">
          <cell r="A198" t="str">
            <v>8967 Масло "Папа может" 82,5% 180гр  ОСТАНКИНО</v>
          </cell>
          <cell r="B198">
            <v>18</v>
          </cell>
        </row>
        <row r="199">
          <cell r="A199" t="str">
            <v>Балык говяжий с/к "Эликатессе" 0,10 кг.шт. нарезка (лоток с ср.защ.атм.)  СПК</v>
          </cell>
          <cell r="B199">
            <v>3</v>
          </cell>
        </row>
        <row r="200">
          <cell r="A200" t="str">
            <v>Балыковая с/к 200 гр. срез "Эликатессе" термоформ.пак.  СПК</v>
          </cell>
          <cell r="B200">
            <v>31</v>
          </cell>
        </row>
        <row r="201">
          <cell r="A201" t="str">
            <v>БОНУС МОЛОЧНЫЕ КЛАССИЧЕСКИЕ сос п/о в/у 0.3кг (6084)  ОСТАНКИНО</v>
          </cell>
          <cell r="B201">
            <v>8</v>
          </cell>
        </row>
        <row r="202">
          <cell r="A202" t="str">
            <v>БОНУС МОЛОЧНЫЕ КЛАССИЧЕСКИЕ сос п/о мгс 2*4_С (4980)  ОСТАНКИНО</v>
          </cell>
          <cell r="B202">
            <v>6.2969999999999997</v>
          </cell>
        </row>
        <row r="203">
          <cell r="A203" t="str">
            <v>БОНУС СОЧНЫЕ Папа может сос п/о мгс 1.5*4 (6954)  ОСТАНКИНО</v>
          </cell>
          <cell r="B203">
            <v>148.38800000000001</v>
          </cell>
        </row>
        <row r="204">
          <cell r="A204" t="str">
            <v>БОНУС СОЧНЫЕ сос п/о мгс 0.41кг_UZ (6087)  ОСТАНКИНО</v>
          </cell>
          <cell r="B204">
            <v>33</v>
          </cell>
        </row>
        <row r="205">
          <cell r="A205" t="str">
            <v>Бутербродная вареная 0,47 кг шт.  СПК</v>
          </cell>
          <cell r="B205">
            <v>3</v>
          </cell>
        </row>
        <row r="206">
          <cell r="A206" t="str">
            <v>Ветчина Альтаирская Столовая (для ХОРЕКА)  СПК</v>
          </cell>
          <cell r="B206">
            <v>1.2190000000000001</v>
          </cell>
        </row>
        <row r="207">
          <cell r="A207" t="str">
            <v>Готовые бельмеши сочные с мясом ТМ Горячая штучка 0,3кг зам  ПОКОМ</v>
          </cell>
          <cell r="B207">
            <v>51</v>
          </cell>
        </row>
        <row r="208">
          <cell r="A208" t="str">
            <v>Готовые чебупели острые с мясом 0,24кг ТМ Горячая штучка  ПОКОМ</v>
          </cell>
          <cell r="B208">
            <v>117</v>
          </cell>
        </row>
        <row r="209">
          <cell r="A209" t="str">
            <v>Готовые чебупели с ветчиной и сыром ТМ Горячая штучка флоу-пак 0,24 кг.  ПОКОМ</v>
          </cell>
          <cell r="B209">
            <v>397</v>
          </cell>
        </row>
        <row r="210">
          <cell r="A210" t="str">
            <v>Готовые чебупели сочные с мясом ТМ Горячая штучка флоу-пак 0,24 кг  ПОКОМ</v>
          </cell>
          <cell r="B210">
            <v>307</v>
          </cell>
        </row>
        <row r="211">
          <cell r="A211" t="str">
            <v>Готовые чебуреки с мясом ТМ Горячая штучка 0,09 кг флоу-пак ПОКОМ</v>
          </cell>
          <cell r="B211">
            <v>16</v>
          </cell>
        </row>
        <row r="212">
          <cell r="A212" t="str">
            <v>Грудинка Деревенская в аджике к/в 150 гр.шт. нарезка (лоток с ср.защ.атм.)  СПК</v>
          </cell>
          <cell r="B212">
            <v>3</v>
          </cell>
        </row>
        <row r="213">
          <cell r="A213" t="str">
            <v>Гуцульская с/к "КолбасГрад" 160 гр.шт. термоус. пак  СПК</v>
          </cell>
          <cell r="B213">
            <v>64</v>
          </cell>
        </row>
        <row r="214">
          <cell r="A214" t="str">
            <v>Дельгаро с/в "Эликатессе" 140 гр.шт.  СПК</v>
          </cell>
          <cell r="B214">
            <v>80</v>
          </cell>
        </row>
        <row r="215">
          <cell r="A215" t="str">
            <v>Деревенская с чесночком и сальцем п/к (черева) 390 гр.шт. термоус. пак.  СПК</v>
          </cell>
          <cell r="B215">
            <v>50</v>
          </cell>
        </row>
        <row r="216">
          <cell r="A216" t="str">
            <v>Докторская вареная в/с 0,47 кг шт.  СПК</v>
          </cell>
          <cell r="B216">
            <v>3</v>
          </cell>
        </row>
        <row r="217">
          <cell r="A217" t="str">
            <v>Докторская вареная термоус.пак. "Высокий вкус"  СПК</v>
          </cell>
          <cell r="B217">
            <v>8.1039999999999992</v>
          </cell>
        </row>
        <row r="218">
          <cell r="A218" t="str">
            <v>ЖАР-ладушки с мясом 0,2кг ТМ Стародворье  ПОКОМ</v>
          </cell>
          <cell r="B218">
            <v>56</v>
          </cell>
        </row>
        <row r="219">
          <cell r="A219" t="str">
            <v>Жареные вареники с картофелем и беконом ТМ Стародворье 0,2 кг  ПОКОМ</v>
          </cell>
          <cell r="B219">
            <v>21</v>
          </cell>
        </row>
        <row r="220">
          <cell r="A220" t="str">
            <v>Карбонад Юбилейный термоус.пак.  СПК</v>
          </cell>
          <cell r="B220">
            <v>1.3660000000000001</v>
          </cell>
        </row>
        <row r="221">
          <cell r="A221" t="str">
            <v>Классическая с/к 80 гр.шт.нар. (лоток с ср.защ.атм.)  СПК</v>
          </cell>
          <cell r="B221">
            <v>107</v>
          </cell>
        </row>
        <row r="222">
          <cell r="A222" t="str">
            <v>Колбаски ПодПивасики оригинальные с/к 0,10 кг.шт. термофор.пак.  СПК</v>
          </cell>
          <cell r="B222">
            <v>119</v>
          </cell>
        </row>
        <row r="223">
          <cell r="A223" t="str">
            <v>Колбаски ПодПивасики острые с/к 0,10 кг.шт. термофор.пак.  СПК</v>
          </cell>
          <cell r="B223">
            <v>99</v>
          </cell>
        </row>
        <row r="224">
          <cell r="A224" t="str">
            <v>Колбаски ПодПивасики с сыром с/к 100 гр.шт. (в ср.защ.атм.)  СПК</v>
          </cell>
          <cell r="B224">
            <v>14</v>
          </cell>
        </row>
        <row r="225">
          <cell r="A225" t="str">
            <v>Круггетсы с сырным соусом ТМ Горячая штучка ТС Круггетсы флоу-пак 0,2 кг  ПОКОМ</v>
          </cell>
          <cell r="B225">
            <v>161</v>
          </cell>
        </row>
        <row r="226">
          <cell r="A226" t="str">
            <v>Круггетсы сочные ТМ Горячая штучка ТС Круггетсы флоу-пак 0,2 кг.  ПОКОМ</v>
          </cell>
          <cell r="B226">
            <v>230</v>
          </cell>
        </row>
        <row r="227">
          <cell r="A227" t="str">
            <v>Ливерная Печеночная 250 гр.шт.  СПК</v>
          </cell>
          <cell r="B227">
            <v>6</v>
          </cell>
        </row>
        <row r="228">
          <cell r="A228" t="str">
            <v>Мини-сосиски в тесте 3,7кг ВЕС заморож. ТМ Зареченские  ПОКОМ</v>
          </cell>
          <cell r="B228">
            <v>325.60000000000002</v>
          </cell>
        </row>
        <row r="229">
          <cell r="A229" t="str">
            <v>Мини-чебуречки с мясом ВЕС 5,5кг ТМ Зареченские  ПОКОМ</v>
          </cell>
          <cell r="B229">
            <v>16.5</v>
          </cell>
        </row>
        <row r="230">
          <cell r="A230" t="str">
            <v>Мини-шарики с курочкой и сыром ТМ Зареченские ВЕС  ПОКОМ</v>
          </cell>
          <cell r="B230">
            <v>252</v>
          </cell>
        </row>
        <row r="231">
          <cell r="A231" t="str">
            <v>Наггетсы из печи 0,25кг ТМ Вязанка ТС Няняггетсы Сливушки замор.  ПОКОМ</v>
          </cell>
          <cell r="B231">
            <v>413</v>
          </cell>
        </row>
        <row r="232">
          <cell r="A232" t="str">
            <v>Наггетсы Нагетосы Сочная курочка ТМ Горячая штучка 0,25 кг зам  ПОКОМ</v>
          </cell>
          <cell r="B232">
            <v>374</v>
          </cell>
        </row>
        <row r="233">
          <cell r="A233" t="str">
            <v>Наггетсы с индейкой 0,25кг ТМ Вязанка ТС Няняггетсы Сливушки НД2 замор.  ПОКОМ</v>
          </cell>
          <cell r="B233">
            <v>450</v>
          </cell>
        </row>
        <row r="234">
          <cell r="A234" t="str">
            <v>Наггетсы с куриным филе и сыром ТМ Вязанка 0,25 кг ПОКОМ</v>
          </cell>
          <cell r="B234">
            <v>432</v>
          </cell>
        </row>
        <row r="235">
          <cell r="A235" t="str">
            <v>Наггетсы Хрустящие ТМ Зареченские. ВЕС ПОКОМ</v>
          </cell>
          <cell r="B235">
            <v>378</v>
          </cell>
        </row>
        <row r="236">
          <cell r="A236" t="str">
            <v>Наггетсы Хрустящие ТМ Стародворье с сочной курочкой 0,23 кг  ПОКОМ</v>
          </cell>
          <cell r="B236">
            <v>73</v>
          </cell>
        </row>
        <row r="237">
          <cell r="A237" t="str">
            <v>Оригинальная с перцем с/к  СПК</v>
          </cell>
          <cell r="B237">
            <v>59.570999999999998</v>
          </cell>
        </row>
        <row r="238">
          <cell r="A238" t="str">
            <v>Паштет печеночный 140 гр.шт.  СПК</v>
          </cell>
          <cell r="B238">
            <v>16</v>
          </cell>
        </row>
        <row r="239">
          <cell r="A239" t="str">
            <v>Пекерсы с индейкой в сливочном соусе ТМ Горячая штучка 0,25 кг зам  ПОКОМ</v>
          </cell>
          <cell r="B239">
            <v>73</v>
          </cell>
        </row>
        <row r="240">
          <cell r="A240" t="str">
            <v>Пельмени Grandmeni с говядиной и свининой 0,7кг ТМ Горячая штучка  ПОКОМ</v>
          </cell>
          <cell r="B240">
            <v>54</v>
          </cell>
        </row>
        <row r="241">
          <cell r="A241" t="str">
            <v>Пельмени Бигбули #МЕГАВКУСИЩЕ с сочной грудинкой ТМ Горячая штучка 0,7 кг. ПОКОМ</v>
          </cell>
          <cell r="B241">
            <v>253</v>
          </cell>
        </row>
        <row r="242">
          <cell r="A242" t="str">
            <v>Пельмени Бигбули с мясом ТМ Горячая штучка. флоу-пак сфера 0,4 кг. ПОКОМ</v>
          </cell>
          <cell r="B242">
            <v>20</v>
          </cell>
        </row>
        <row r="243">
          <cell r="A243" t="str">
            <v>Пельмени Бигбули с мясом ТМ Горячая штучка. флоу-пак сфера 0,7 кг ПОКОМ</v>
          </cell>
          <cell r="B243">
            <v>293</v>
          </cell>
        </row>
        <row r="244">
          <cell r="A244" t="str">
            <v>Пельмени Бигбули со сливочным маслом ТМ Горячая штучка, флоу-пак сфера 0,7. ПОКОМ</v>
          </cell>
          <cell r="B244">
            <v>349</v>
          </cell>
        </row>
        <row r="245">
          <cell r="A245" t="str">
            <v>Пельмени Бульмени мини с мясом и cыром ТМ Горячая штучка ТС Бульмени ГШ флоу-пак сфера 0,4 кг  ПОКОМ</v>
          </cell>
          <cell r="B245">
            <v>14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B246">
            <v>291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B247">
            <v>10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B248">
            <v>320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B249">
            <v>261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B250">
            <v>187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B251">
            <v>696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B252">
            <v>274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B253">
            <v>842</v>
          </cell>
        </row>
        <row r="254">
          <cell r="A254" t="str">
            <v>Пельмени Бульмени хрустящие с мясом 0,22 кг ТМ Горячая штучка  ПОКОМ</v>
          </cell>
          <cell r="B254">
            <v>29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B255">
            <v>4</v>
          </cell>
        </row>
        <row r="256">
          <cell r="A256" t="str">
            <v>Пельмени Мясные с говядиной ТМ Стародворье сфера флоу-пак 1 кг  ПОКОМ</v>
          </cell>
          <cell r="B256">
            <v>75</v>
          </cell>
        </row>
        <row r="257">
          <cell r="A257" t="str">
            <v>Пельмени Отборные из свинины и говядины 0,9 кг ТМ Стародворье ТС Медвежье ушко  ПОКОМ</v>
          </cell>
          <cell r="B257">
            <v>114</v>
          </cell>
        </row>
        <row r="258">
          <cell r="A258" t="str">
            <v>Пельмени С говядиной и свининой, ВЕС, сфера пуговки Мясная Галерея  ПОКОМ</v>
          </cell>
          <cell r="B258">
            <v>120</v>
          </cell>
        </row>
        <row r="259">
          <cell r="A259" t="str">
            <v>Пельмени Со свининой и говядиной ТМ Особый рецепт Любимая ложка 1,0 кг  ПОКОМ</v>
          </cell>
          <cell r="B259">
            <v>208</v>
          </cell>
        </row>
        <row r="260">
          <cell r="A260" t="str">
            <v>Пельмени Сочные сфера 0,8 кг ТМ Стародворье  ПОКОМ</v>
          </cell>
          <cell r="B260">
            <v>5</v>
          </cell>
        </row>
        <row r="261">
          <cell r="A261" t="str">
            <v>Пирожки с мясом 3,7кг ВЕС ТМ Зареченские  ПОКОМ</v>
          </cell>
          <cell r="B261">
            <v>33.304000000000002</v>
          </cell>
        </row>
        <row r="262">
          <cell r="A262" t="str">
            <v>Ричеза с/к 230 гр.шт.  СПК</v>
          </cell>
          <cell r="B262">
            <v>37</v>
          </cell>
        </row>
        <row r="263">
          <cell r="A263" t="str">
            <v>Сальчетти с/к 230 гр.шт.  СПК</v>
          </cell>
          <cell r="B263">
            <v>86</v>
          </cell>
        </row>
        <row r="264">
          <cell r="A264" t="str">
            <v>Салями с перчиком с/к "КолбасГрад" 160 гр.шт. термоус. пак.  СПК</v>
          </cell>
          <cell r="B264">
            <v>77</v>
          </cell>
        </row>
        <row r="265">
          <cell r="A265" t="str">
            <v>Салями с/к 100 гр.шт.нар. (лоток с ср.защ.атм.)  СПК</v>
          </cell>
          <cell r="B265">
            <v>72</v>
          </cell>
        </row>
        <row r="266">
          <cell r="A266" t="str">
            <v>Салями Трюфель с/в "Эликатессе" 0,16 кг.шт.  СПК</v>
          </cell>
          <cell r="B266">
            <v>86</v>
          </cell>
        </row>
        <row r="267">
          <cell r="A267" t="str">
            <v>Сардельки "Докторские" (черева) ( в ср.защ.атм.) 1.0 кг. "Высокий вкус"  СПК</v>
          </cell>
          <cell r="B267">
            <v>10.362</v>
          </cell>
        </row>
        <row r="268">
          <cell r="A268" t="str">
            <v>Сардельки из говядины (черева) (в ср.защ.атм.) "Высокий вкус"  СПК</v>
          </cell>
          <cell r="B268">
            <v>3.8740000000000001</v>
          </cell>
        </row>
        <row r="269">
          <cell r="A269" t="str">
            <v>Сардельки Необыкновенные (черева) 400 гр.шт. (лоток с ср.защ.атм.)  СПК</v>
          </cell>
          <cell r="B269">
            <v>9</v>
          </cell>
        </row>
        <row r="270">
          <cell r="A270" t="str">
            <v>Семейная с чесночком Экстра вареная  СПК</v>
          </cell>
          <cell r="B270">
            <v>2.39</v>
          </cell>
        </row>
        <row r="271">
          <cell r="A271" t="str">
            <v>Сервелат Европейский в/к, в/с 0,38 кг.шт.термофор.пак  СПК</v>
          </cell>
          <cell r="B271">
            <v>4</v>
          </cell>
        </row>
        <row r="272">
          <cell r="A272" t="str">
            <v>Сервелат Фирменный в/к 0,10 кг.шт. нарезка (лоток с ср.защ.атм.)  СПК</v>
          </cell>
          <cell r="B272">
            <v>67</v>
          </cell>
        </row>
        <row r="273">
          <cell r="A273" t="str">
            <v>Сибирская особая с/к 0,10 кг.шт. нарезка (лоток с ср.защ.атм.)  СПК</v>
          </cell>
          <cell r="B273">
            <v>58</v>
          </cell>
        </row>
        <row r="274">
          <cell r="A274" t="str">
            <v>Сибирская особая с/к 0,235 кг шт.  СПК</v>
          </cell>
          <cell r="B274">
            <v>63</v>
          </cell>
        </row>
        <row r="275">
          <cell r="A275" t="str">
            <v>Сосиски "Молочные" 0,36 кг.шт. вак.упак.  СПК</v>
          </cell>
          <cell r="B275">
            <v>4</v>
          </cell>
        </row>
        <row r="276">
          <cell r="A276" t="str">
            <v>Сосиски Классические (в ср.защ.атм.) СПК</v>
          </cell>
          <cell r="B276">
            <v>2.4910000000000001</v>
          </cell>
        </row>
        <row r="277">
          <cell r="A277" t="str">
            <v>Сосиски Мусульманские "Просто выгодно" (в ср.защ.атм.)  СПК</v>
          </cell>
          <cell r="B277">
            <v>6.07</v>
          </cell>
        </row>
        <row r="278">
          <cell r="A278" t="str">
            <v>Сочный мегачебурек ТМ Зареченские ВЕС ПОКОМ</v>
          </cell>
          <cell r="B278">
            <v>20.16</v>
          </cell>
        </row>
        <row r="279">
          <cell r="A279" t="str">
            <v>Торо Неро с/в "Эликатессе" 140 гр.шт.  СПК</v>
          </cell>
          <cell r="B279">
            <v>2</v>
          </cell>
        </row>
        <row r="280">
          <cell r="A280" t="str">
            <v>Утренняя вареная ВЕС СПК</v>
          </cell>
          <cell r="B280">
            <v>4.8940000000000001</v>
          </cell>
        </row>
        <row r="281">
          <cell r="A281" t="str">
            <v>Уши свиные копченые к пиву 0,15кг нар. д/ф шт.  СПК</v>
          </cell>
          <cell r="B281">
            <v>6</v>
          </cell>
        </row>
        <row r="282">
          <cell r="A282" t="str">
            <v>Фестивальная пора с/к 100 гр.шт.нар. (лоток с ср.защ.атм.)  СПК</v>
          </cell>
          <cell r="B282">
            <v>42</v>
          </cell>
        </row>
        <row r="283">
          <cell r="A283" t="str">
            <v>Фестивальная пора с/к термоус.пак  СПК</v>
          </cell>
          <cell r="B283">
            <v>21.21</v>
          </cell>
        </row>
        <row r="284">
          <cell r="A284" t="str">
            <v>Фуэт с/в "Эликатессе" 160 гр.шт.  СПК</v>
          </cell>
          <cell r="B284">
            <v>26</v>
          </cell>
        </row>
        <row r="285">
          <cell r="A285" t="str">
            <v>Хот-догстер ТМ Горячая штучка ТС Хот-Догстер флоу-пак 0,09 кг. ПОКОМ</v>
          </cell>
          <cell r="B285">
            <v>51</v>
          </cell>
        </row>
        <row r="286">
          <cell r="A286" t="str">
            <v>Хотстеры с сыром 0,25кг ТМ Горячая штучка  ПОКОМ</v>
          </cell>
          <cell r="B286">
            <v>151</v>
          </cell>
        </row>
        <row r="287">
          <cell r="A287" t="str">
            <v>Хотстеры ТМ Горячая штучка ТС Хотстеры 0,25 кг зам  ПОКОМ</v>
          </cell>
          <cell r="B287">
            <v>398</v>
          </cell>
        </row>
        <row r="288">
          <cell r="A288" t="str">
            <v>Хрустящие крылышки острые к пиву ТМ Горячая штучка 0,3кг зам  ПОКОМ</v>
          </cell>
          <cell r="B288">
            <v>224</v>
          </cell>
        </row>
        <row r="289">
          <cell r="A289" t="str">
            <v>Хрустящие крылышки ТМ Горячая штучка 0,3 кг зам  ПОКОМ</v>
          </cell>
          <cell r="B289">
            <v>180</v>
          </cell>
        </row>
        <row r="290">
          <cell r="A290" t="str">
            <v>Чебупели Курочка гриль ТМ Горячая штучка, 0,3 кг зам  ПОКОМ</v>
          </cell>
          <cell r="B290">
            <v>77</v>
          </cell>
        </row>
        <row r="291">
          <cell r="A291" t="str">
            <v>Чебупицца курочка по-итальянски Горячая штучка 0,25 кг зам  ПОКОМ</v>
          </cell>
          <cell r="B291">
            <v>490</v>
          </cell>
        </row>
        <row r="292">
          <cell r="A292" t="str">
            <v>Чебупицца Маргарита 0,2кг ТМ Горячая штучка ТС Foodgital  ПОКОМ</v>
          </cell>
          <cell r="B292">
            <v>51</v>
          </cell>
        </row>
        <row r="293">
          <cell r="A293" t="str">
            <v>Чебупицца Пепперони ТМ Горячая штучка ТС Чебупицца 0.25кг зам  ПОКОМ</v>
          </cell>
          <cell r="B293">
            <v>935</v>
          </cell>
        </row>
        <row r="294">
          <cell r="A294" t="str">
            <v>Чебупицца со вкусом 4 сыра 0,2кг ТМ Горячая штучка ТС Foodgital  ПОКОМ</v>
          </cell>
          <cell r="B294">
            <v>35</v>
          </cell>
        </row>
        <row r="295">
          <cell r="A295" t="str">
            <v>Чебуреки сочные ВЕС ТМ Зареченские  ПОКОМ</v>
          </cell>
          <cell r="B295">
            <v>265</v>
          </cell>
        </row>
        <row r="296">
          <cell r="A296" t="str">
            <v>Шпикачки Русские (черева) (в ср.защ.атм.) "Высокий вкус"  СПК</v>
          </cell>
          <cell r="B296">
            <v>7.7939999999999996</v>
          </cell>
        </row>
        <row r="297">
          <cell r="A297" t="str">
            <v>Эликапреза с/в "Эликатессе" 85 гр.шт. нарезка (лоток с ср.защ.атм.)  СПК</v>
          </cell>
          <cell r="B297">
            <v>17</v>
          </cell>
        </row>
        <row r="298">
          <cell r="A298" t="str">
            <v>Юбилейная с/к 0,235 кг.шт.  СПК</v>
          </cell>
          <cell r="B298">
            <v>60</v>
          </cell>
        </row>
        <row r="299">
          <cell r="A299" t="str">
            <v>Итого</v>
          </cell>
          <cell r="B299">
            <v>72635.573000000004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17.12.2025 - 23.12.2025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2200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240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1002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15</v>
          </cell>
        </row>
        <row r="11">
          <cell r="A11" t="str">
            <v xml:space="preserve"> 201  Ветчина Нежная ТМ Особый рецепт, (2,5кг), ПОКОМ</v>
          </cell>
          <cell r="D11">
            <v>119.94</v>
          </cell>
        </row>
        <row r="12">
          <cell r="A12" t="str">
            <v xml:space="preserve"> 272  Колбаса Сервелат Филедворский, фиброуз, в/у 0,35 кг срез,  ПОКОМ</v>
          </cell>
          <cell r="D12">
            <v>600</v>
          </cell>
        </row>
        <row r="13">
          <cell r="A13" t="str">
            <v xml:space="preserve"> 273  Сосиски Сочинки с сочной грудинкой, МГС 0.4кг,   ПОКОМ</v>
          </cell>
          <cell r="D13">
            <v>300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1200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900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2004</v>
          </cell>
        </row>
        <row r="17">
          <cell r="A17" t="str">
            <v xml:space="preserve"> 474  Колбаса Молочная 0,4кг ТМ Зареченские  ПОКОМ</v>
          </cell>
          <cell r="D17">
            <v>1200</v>
          </cell>
        </row>
        <row r="18">
          <cell r="A18" t="str">
            <v xml:space="preserve"> 495  Колбаса Сочинка по-европейски с сочной грудинкой 0,3кг ТМ Стародворье  ПОКОМ</v>
          </cell>
          <cell r="D18">
            <v>600</v>
          </cell>
        </row>
        <row r="19">
          <cell r="A19" t="str">
            <v xml:space="preserve"> 497  Колбаса Сочинка зернистая с сочной грудинкой 0,3кг ТМ Стародворье  ПОКОМ</v>
          </cell>
          <cell r="D19">
            <v>504</v>
          </cell>
        </row>
        <row r="20">
          <cell r="A20" t="str">
            <v xml:space="preserve"> 505  Ветчина Стародворская ТМ Стародворье брикет 0,33 кг.  ПОКОМ</v>
          </cell>
          <cell r="D20">
            <v>30</v>
          </cell>
        </row>
        <row r="21">
          <cell r="A21" t="str">
            <v>Готовые чебупели с ветчиной и сыром ТМ Горячая штучка флоу-пак 0,24 кг.  ПОКОМ</v>
          </cell>
          <cell r="D21">
            <v>2400</v>
          </cell>
        </row>
        <row r="22">
          <cell r="A22" t="str">
            <v>Готовые чебупели сочные с мясом ТМ Горячая штучка флоу-пак 0,24 кг  ПОКОМ</v>
          </cell>
          <cell r="D22">
            <v>1200</v>
          </cell>
        </row>
        <row r="23">
          <cell r="A23" t="str">
            <v>Круггетсы сочные ТМ Горячая штучка ТС Круггетсы флоу-пак 0,2 кг.  ПОКОМ</v>
          </cell>
          <cell r="D23">
            <v>840</v>
          </cell>
        </row>
        <row r="24">
          <cell r="A24" t="str">
            <v>Наггетсы из печи 0,25кг ТМ Вязанка ТС Няняггетсы Сливушки замор.  ПОКОМ</v>
          </cell>
          <cell r="D24">
            <v>1800</v>
          </cell>
        </row>
        <row r="25">
          <cell r="A25" t="str">
            <v>Наггетсы Нагетосы Сочная курочка ТМ Горячая штучка 0,25 кг зам  ПОКОМ</v>
          </cell>
          <cell r="D25">
            <v>480</v>
          </cell>
        </row>
        <row r="26">
          <cell r="A26" t="str">
            <v>Наггетсы с индейкой 0,25кг ТМ Вязанка ТС Няняггетсы Сливушки НД2 замор.  ПОКОМ</v>
          </cell>
          <cell r="D26">
            <v>1200</v>
          </cell>
        </row>
        <row r="27">
          <cell r="A27" t="str">
            <v>Наггетсы с куриным филе и сыром ТМ Вязанка 0,25 кг ПОКОМ</v>
          </cell>
          <cell r="D27">
            <v>2400</v>
          </cell>
        </row>
        <row r="28">
          <cell r="A28" t="str">
            <v>Пельмени Бигбули с мясом ТМ Горячая штучка. флоу-пак сфера 0,7 кг ПОКОМ</v>
          </cell>
          <cell r="D28">
            <v>1100</v>
          </cell>
        </row>
        <row r="29">
          <cell r="A29" t="str">
            <v>Пельмени Бульмени с говядиной и свининой ТМ Горячая штучка. флоу-пак сфера 0,7 кг ПОКОМ</v>
          </cell>
          <cell r="D29">
            <v>1500</v>
          </cell>
        </row>
        <row r="30">
          <cell r="A30" t="str">
            <v>Пельмени Бульмени со сливочным маслом ТМ Горячая штучка.флоу-пак сфера 0,7 кг. ПОКОМ</v>
          </cell>
          <cell r="D30">
            <v>2500</v>
          </cell>
        </row>
        <row r="31">
          <cell r="A31" t="str">
            <v>Хотстеры ТМ Горячая штучка ТС Хотстеры 0,25 кг зам  ПОКОМ</v>
          </cell>
          <cell r="D31">
            <v>1800</v>
          </cell>
        </row>
        <row r="32">
          <cell r="A32" t="str">
            <v>Чебупицца курочка по-итальянски Горячая штучка 0,25 кг зам  ПОКОМ</v>
          </cell>
          <cell r="D32">
            <v>2400</v>
          </cell>
        </row>
        <row r="33">
          <cell r="A33" t="str">
            <v>Чебупицца Пепперони ТМ Горячая штучка ТС Чебупицца 0.25кг зам  ПОКОМ</v>
          </cell>
          <cell r="D33">
            <v>2880</v>
          </cell>
        </row>
        <row r="34">
          <cell r="A34" t="str">
            <v>Итого</v>
          </cell>
          <cell r="D34">
            <v>33414.94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1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N1" sqref="AN1"/>
    </sheetView>
  </sheetViews>
  <sheetFormatPr defaultColWidth="10.5" defaultRowHeight="11.45" customHeight="1" outlineLevelRow="1" x14ac:dyDescent="0.2"/>
  <cols>
    <col min="1" max="1" width="56.6640625" style="1" customWidth="1"/>
    <col min="2" max="2" width="4.5" style="1" customWidth="1"/>
    <col min="3" max="6" width="8.3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4" width="6.5" style="5" bestFit="1" customWidth="1"/>
    <col min="15" max="22" width="1.6640625" style="5" customWidth="1"/>
    <col min="23" max="23" width="6.6640625" style="5" bestFit="1" customWidth="1"/>
    <col min="24" max="24" width="6.5" style="5" bestFit="1" customWidth="1"/>
    <col min="25" max="25" width="6.33203125" style="5" customWidth="1"/>
    <col min="26" max="26" width="5.6640625" style="5" bestFit="1" customWidth="1"/>
    <col min="27" max="28" width="1.33203125" style="5" customWidth="1"/>
    <col min="29" max="34" width="6.6640625" style="5" bestFit="1" customWidth="1"/>
    <col min="35" max="35" width="8.83203125" style="5" customWidth="1"/>
    <col min="36" max="36" width="7.5" style="5" customWidth="1"/>
    <col min="37" max="37" width="1.5" style="5" customWidth="1"/>
    <col min="38" max="38" width="6.83203125" style="5" customWidth="1"/>
    <col min="39" max="39" width="3.5" style="5" customWidth="1"/>
    <col min="40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</row>
    <row r="3" spans="1:40" s="1" customFormat="1" ht="9.9499999999999993" customHeight="1" x14ac:dyDescent="0.2"/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116</v>
      </c>
      <c r="H4" s="10" t="s">
        <v>117</v>
      </c>
      <c r="I4" s="9" t="s">
        <v>118</v>
      </c>
      <c r="J4" s="9" t="s">
        <v>119</v>
      </c>
      <c r="K4" s="9" t="s">
        <v>120</v>
      </c>
      <c r="L4" s="9" t="s">
        <v>121</v>
      </c>
      <c r="M4" s="9" t="s">
        <v>121</v>
      </c>
      <c r="N4" s="9" t="s">
        <v>121</v>
      </c>
      <c r="O4" s="9" t="s">
        <v>121</v>
      </c>
      <c r="P4" s="9" t="s">
        <v>121</v>
      </c>
      <c r="Q4" s="9" t="s">
        <v>121</v>
      </c>
      <c r="R4" s="9" t="s">
        <v>121</v>
      </c>
      <c r="S4" s="11" t="s">
        <v>121</v>
      </c>
      <c r="T4" s="9" t="s">
        <v>122</v>
      </c>
      <c r="U4" s="11" t="s">
        <v>121</v>
      </c>
      <c r="V4" s="11" t="s">
        <v>121</v>
      </c>
      <c r="W4" s="9" t="s">
        <v>118</v>
      </c>
      <c r="X4" s="11" t="s">
        <v>121</v>
      </c>
      <c r="Y4" s="9" t="s">
        <v>123</v>
      </c>
      <c r="Z4" s="11" t="s">
        <v>124</v>
      </c>
      <c r="AA4" s="9" t="s">
        <v>125</v>
      </c>
      <c r="AB4" s="9" t="s">
        <v>126</v>
      </c>
      <c r="AC4" s="9" t="s">
        <v>127</v>
      </c>
      <c r="AD4" s="9" t="s">
        <v>118</v>
      </c>
      <c r="AE4" s="9" t="s">
        <v>118</v>
      </c>
      <c r="AF4" s="9" t="s">
        <v>118</v>
      </c>
      <c r="AG4" s="9" t="s">
        <v>118</v>
      </c>
      <c r="AH4" s="9" t="s">
        <v>128</v>
      </c>
      <c r="AI4" s="9" t="s">
        <v>129</v>
      </c>
      <c r="AJ4" s="11" t="s">
        <v>130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132</v>
      </c>
      <c r="M5" s="15" t="s">
        <v>133</v>
      </c>
      <c r="N5" s="15" t="s">
        <v>134</v>
      </c>
      <c r="X5" s="15" t="s">
        <v>135</v>
      </c>
      <c r="AD5" s="5" t="s">
        <v>136</v>
      </c>
      <c r="AE5" s="5" t="s">
        <v>137</v>
      </c>
      <c r="AF5" s="5" t="s">
        <v>138</v>
      </c>
      <c r="AG5" s="15" t="s">
        <v>139</v>
      </c>
      <c r="AH5" s="15" t="s">
        <v>132</v>
      </c>
      <c r="AJ5" s="15" t="s">
        <v>135</v>
      </c>
    </row>
    <row r="6" spans="1:40" ht="11.1" customHeight="1" x14ac:dyDescent="0.2">
      <c r="A6" s="6"/>
      <c r="B6" s="6"/>
      <c r="C6" s="3"/>
      <c r="D6" s="3"/>
      <c r="E6" s="13">
        <f>SUM(E7:E156)</f>
        <v>144574.05100000001</v>
      </c>
      <c r="F6" s="13">
        <f>SUM(F7:F156)</f>
        <v>104275.94199999998</v>
      </c>
      <c r="J6" s="13">
        <f>SUM(J7:J156)</f>
        <v>146680.02600000001</v>
      </c>
      <c r="K6" s="13">
        <f t="shared" ref="K6:X6" si="0">SUM(K7:K156)</f>
        <v>-2105.9749999999999</v>
      </c>
      <c r="L6" s="13">
        <f t="shared" si="0"/>
        <v>29340</v>
      </c>
      <c r="M6" s="13">
        <f t="shared" si="0"/>
        <v>22490</v>
      </c>
      <c r="N6" s="13">
        <f t="shared" si="0"/>
        <v>27480</v>
      </c>
      <c r="O6" s="13">
        <f t="shared" si="0"/>
        <v>0</v>
      </c>
      <c r="P6" s="13">
        <f t="shared" si="0"/>
        <v>0</v>
      </c>
      <c r="Q6" s="13">
        <f t="shared" si="0"/>
        <v>0</v>
      </c>
      <c r="R6" s="13">
        <f t="shared" si="0"/>
        <v>0</v>
      </c>
      <c r="S6" s="13">
        <f t="shared" si="0"/>
        <v>0</v>
      </c>
      <c r="T6" s="13">
        <f t="shared" si="0"/>
        <v>0</v>
      </c>
      <c r="U6" s="13">
        <f t="shared" si="0"/>
        <v>0</v>
      </c>
      <c r="V6" s="13">
        <f t="shared" si="0"/>
        <v>0</v>
      </c>
      <c r="W6" s="13">
        <f t="shared" si="0"/>
        <v>26731.822200000002</v>
      </c>
      <c r="X6" s="13">
        <f t="shared" si="0"/>
        <v>24260</v>
      </c>
      <c r="AA6" s="13">
        <f t="shared" ref="AA6" si="1">SUM(AA7:AA156)</f>
        <v>0</v>
      </c>
      <c r="AB6" s="13">
        <f t="shared" ref="AB6" si="2">SUM(AB7:AB156)</f>
        <v>0</v>
      </c>
      <c r="AC6" s="13">
        <f t="shared" ref="AC6" si="3">SUM(AC7:AC156)</f>
        <v>10914.94</v>
      </c>
      <c r="AD6" s="13">
        <f t="shared" ref="AD6" si="4">SUM(AD7:AD156)</f>
        <v>23613.191399999996</v>
      </c>
      <c r="AE6" s="13">
        <f t="shared" ref="AE6" si="5">SUM(AE7:AE156)</f>
        <v>25285.48</v>
      </c>
      <c r="AF6" s="13">
        <f t="shared" ref="AF6" si="6">SUM(AF7:AF156)</f>
        <v>24964.202199999992</v>
      </c>
      <c r="AG6" s="13">
        <f t="shared" ref="AG6" si="7">SUM(AG7:AG156)</f>
        <v>25407.062799999992</v>
      </c>
      <c r="AH6" s="13">
        <f t="shared" ref="AH6" si="8">SUM(AH7:AH156)</f>
        <v>35162.239000000001</v>
      </c>
      <c r="AI6" s="13"/>
      <c r="AJ6" s="13">
        <f t="shared" ref="AJ6" si="9">SUM(AJ7:AJ156)</f>
        <v>17585.099999999999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364.55599999999998</v>
      </c>
      <c r="D7" s="8">
        <v>1052.0920000000001</v>
      </c>
      <c r="E7" s="8">
        <v>746.88900000000001</v>
      </c>
      <c r="F7" s="8">
        <v>657.572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753.28</v>
      </c>
      <c r="K7" s="14">
        <f>E7-J7</f>
        <v>-6.3909999999999627</v>
      </c>
      <c r="L7" s="14">
        <f>VLOOKUP(A:A,[1]TDSheet!$A:$O,15,0)</f>
        <v>200</v>
      </c>
      <c r="M7" s="14">
        <f>VLOOKUP(A:A,[1]TDSheet!$A:$P,16,0)</f>
        <v>100</v>
      </c>
      <c r="N7" s="14">
        <f>VLOOKUP(A:A,[1]TDSheet!$A:$X,24,0)</f>
        <v>250</v>
      </c>
      <c r="O7" s="14"/>
      <c r="P7" s="14"/>
      <c r="Q7" s="14"/>
      <c r="R7" s="14"/>
      <c r="S7" s="14"/>
      <c r="T7" s="14"/>
      <c r="U7" s="14"/>
      <c r="V7" s="14"/>
      <c r="W7" s="14">
        <f>(E7-AC7)/5</f>
        <v>149.37780000000001</v>
      </c>
      <c r="X7" s="16"/>
      <c r="Y7" s="17">
        <f>(F7+L7+M7+N7+X7)/W7</f>
        <v>8.0840124837827307</v>
      </c>
      <c r="Z7" s="14">
        <f>F7/W7</f>
        <v>4.4020731326877218</v>
      </c>
      <c r="AA7" s="14"/>
      <c r="AB7" s="14"/>
      <c r="AC7" s="14">
        <v>0</v>
      </c>
      <c r="AD7" s="14">
        <f>VLOOKUP(A:A,[1]TDSheet!$A:$AE,31,0)</f>
        <v>113.8214</v>
      </c>
      <c r="AE7" s="14">
        <f>VLOOKUP(A:A,[1]TDSheet!$A:$AF,32,0)</f>
        <v>117.14380000000001</v>
      </c>
      <c r="AF7" s="14">
        <f>VLOOKUP(A:A,[1]TDSheet!$A:$AG,33,0)</f>
        <v>132.06139999999999</v>
      </c>
      <c r="AG7" s="14">
        <f>VLOOKUP(A:A,[1]TDSheet!$A:$W,23,0)</f>
        <v>133.971</v>
      </c>
      <c r="AH7" s="14">
        <f>VLOOKUP(A:A,[3]TDSheet!$A:$B,2,0)</f>
        <v>231.63499999999999</v>
      </c>
      <c r="AI7" s="14" t="str">
        <f>VLOOKUP(A:A,[1]TDSheet!$A:$AI,35,0)</f>
        <v>проддек-ян</v>
      </c>
      <c r="AJ7" s="14">
        <f>X7*H7</f>
        <v>0</v>
      </c>
      <c r="AK7" s="14"/>
      <c r="AL7" s="18">
        <f>AH7/W7-1</f>
        <v>0.55066549380162222</v>
      </c>
      <c r="AM7" s="14"/>
      <c r="AN7" s="14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845.43600000000004</v>
      </c>
      <c r="D8" s="8">
        <v>1674.5309999999999</v>
      </c>
      <c r="E8" s="8">
        <v>1283.492</v>
      </c>
      <c r="F8" s="8">
        <v>1171.913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1338.41</v>
      </c>
      <c r="K8" s="14">
        <f t="shared" ref="K8:K71" si="10">E8-J8</f>
        <v>-54.91800000000012</v>
      </c>
      <c r="L8" s="14">
        <f>VLOOKUP(A:A,[1]TDSheet!$A:$O,15,0)</f>
        <v>350</v>
      </c>
      <c r="M8" s="14">
        <f>VLOOKUP(A:A,[1]TDSheet!$A:$P,16,0)</f>
        <v>100</v>
      </c>
      <c r="N8" s="14">
        <f>VLOOKUP(A:A,[1]TDSheet!$A:$X,24,0)</f>
        <v>100</v>
      </c>
      <c r="O8" s="14"/>
      <c r="P8" s="14"/>
      <c r="Q8" s="14"/>
      <c r="R8" s="14"/>
      <c r="S8" s="14"/>
      <c r="T8" s="14"/>
      <c r="U8" s="14"/>
      <c r="V8" s="14"/>
      <c r="W8" s="14">
        <f t="shared" ref="W8:W71" si="11">(E8-AC8)/5</f>
        <v>256.69839999999999</v>
      </c>
      <c r="X8" s="16">
        <v>100</v>
      </c>
      <c r="Y8" s="17">
        <f t="shared" ref="Y8:Y71" si="12">(F8+L8+M8+N8+X8)/W8</f>
        <v>7.0974848304469376</v>
      </c>
      <c r="Z8" s="14">
        <f t="shared" ref="Z8:Z71" si="13">F8/W8</f>
        <v>4.5653303643497587</v>
      </c>
      <c r="AA8" s="14"/>
      <c r="AB8" s="14"/>
      <c r="AC8" s="14">
        <v>0</v>
      </c>
      <c r="AD8" s="14">
        <f>VLOOKUP(A:A,[1]TDSheet!$A:$AE,31,0)</f>
        <v>267.5326</v>
      </c>
      <c r="AE8" s="14">
        <f>VLOOKUP(A:A,[1]TDSheet!$A:$AF,32,0)</f>
        <v>300.27120000000002</v>
      </c>
      <c r="AF8" s="14">
        <f>VLOOKUP(A:A,[1]TDSheet!$A:$AG,33,0)</f>
        <v>273.18359999999996</v>
      </c>
      <c r="AG8" s="14">
        <f>VLOOKUP(A:A,[1]TDSheet!$A:$W,23,0)</f>
        <v>257.13679999999999</v>
      </c>
      <c r="AH8" s="14">
        <f>VLOOKUP(A:A,[3]TDSheet!$A:$B,2,0)</f>
        <v>283.036</v>
      </c>
      <c r="AI8" s="14" t="str">
        <f>VLOOKUP(A:A,[1]TDSheet!$A:$AI,35,0)</f>
        <v>жц</v>
      </c>
      <c r="AJ8" s="14">
        <f t="shared" ref="AJ8:AJ71" si="14">X8*H8</f>
        <v>100</v>
      </c>
      <c r="AK8" s="14"/>
      <c r="AL8" s="18">
        <f t="shared" ref="AL8:AL71" si="15">AH8/W8-1</f>
        <v>0.1026013407173556</v>
      </c>
      <c r="AM8" s="14"/>
      <c r="AN8" s="14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880.97199999999998</v>
      </c>
      <c r="D9" s="8">
        <v>2251.0500000000002</v>
      </c>
      <c r="E9" s="8">
        <v>1777.9559999999999</v>
      </c>
      <c r="F9" s="8">
        <v>1336.461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1802.0219999999999</v>
      </c>
      <c r="K9" s="14">
        <f t="shared" si="10"/>
        <v>-24.066000000000031</v>
      </c>
      <c r="L9" s="14">
        <f>VLOOKUP(A:A,[1]TDSheet!$A:$O,15,0)</f>
        <v>500</v>
      </c>
      <c r="M9" s="14">
        <f>VLOOKUP(A:A,[1]TDSheet!$A:$P,16,0)</f>
        <v>0</v>
      </c>
      <c r="N9" s="14">
        <f>VLOOKUP(A:A,[1]TDSheet!$A:$X,24,0)</f>
        <v>0</v>
      </c>
      <c r="O9" s="14"/>
      <c r="P9" s="14"/>
      <c r="Q9" s="14"/>
      <c r="R9" s="14"/>
      <c r="S9" s="14"/>
      <c r="T9" s="14"/>
      <c r="U9" s="14"/>
      <c r="V9" s="14"/>
      <c r="W9" s="14">
        <f t="shared" si="11"/>
        <v>355.59119999999996</v>
      </c>
      <c r="X9" s="16">
        <v>500</v>
      </c>
      <c r="Y9" s="17">
        <f t="shared" si="12"/>
        <v>6.5706378560549323</v>
      </c>
      <c r="Z9" s="14">
        <f t="shared" si="13"/>
        <v>3.7584197809169635</v>
      </c>
      <c r="AA9" s="14"/>
      <c r="AB9" s="14"/>
      <c r="AC9" s="14">
        <v>0</v>
      </c>
      <c r="AD9" s="14">
        <f>VLOOKUP(A:A,[1]TDSheet!$A:$AE,31,0)</f>
        <v>356.9418</v>
      </c>
      <c r="AE9" s="14">
        <f>VLOOKUP(A:A,[1]TDSheet!$A:$AF,32,0)</f>
        <v>331.27879999999999</v>
      </c>
      <c r="AF9" s="14">
        <f>VLOOKUP(A:A,[1]TDSheet!$A:$AG,33,0)</f>
        <v>350.58460000000002</v>
      </c>
      <c r="AG9" s="14">
        <f>VLOOKUP(A:A,[1]TDSheet!$A:$W,23,0)</f>
        <v>342.4606</v>
      </c>
      <c r="AH9" s="14">
        <f>VLOOKUP(A:A,[3]TDSheet!$A:$B,2,0)</f>
        <v>504.66199999999998</v>
      </c>
      <c r="AI9" s="14">
        <f>VLOOKUP(A:A,[1]TDSheet!$A:$AI,35,0)</f>
        <v>0</v>
      </c>
      <c r="AJ9" s="14">
        <f t="shared" si="14"/>
        <v>500</v>
      </c>
      <c r="AK9" s="14"/>
      <c r="AL9" s="18">
        <f t="shared" si="15"/>
        <v>0.4192195982352771</v>
      </c>
      <c r="AM9" s="14"/>
      <c r="AN9" s="14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1157</v>
      </c>
      <c r="D10" s="8">
        <v>6730</v>
      </c>
      <c r="E10" s="8">
        <v>5266</v>
      </c>
      <c r="F10" s="8">
        <v>2594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5339</v>
      </c>
      <c r="K10" s="14">
        <f t="shared" si="10"/>
        <v>-73</v>
      </c>
      <c r="L10" s="14">
        <f>VLOOKUP(A:A,[1]TDSheet!$A:$O,15,0)</f>
        <v>1000</v>
      </c>
      <c r="M10" s="14">
        <f>VLOOKUP(A:A,[1]TDSheet!$A:$P,16,0)</f>
        <v>500</v>
      </c>
      <c r="N10" s="14">
        <f>VLOOKUP(A:A,[1]TDSheet!$A:$X,24,0)</f>
        <v>1400</v>
      </c>
      <c r="O10" s="14"/>
      <c r="P10" s="14"/>
      <c r="Q10" s="14"/>
      <c r="R10" s="14"/>
      <c r="S10" s="14"/>
      <c r="T10" s="14"/>
      <c r="U10" s="14"/>
      <c r="V10" s="14"/>
      <c r="W10" s="14">
        <f t="shared" si="11"/>
        <v>613.20000000000005</v>
      </c>
      <c r="X10" s="16"/>
      <c r="Y10" s="17">
        <f t="shared" si="12"/>
        <v>8.9595564253098487</v>
      </c>
      <c r="Z10" s="14">
        <f t="shared" si="13"/>
        <v>4.230267449445531</v>
      </c>
      <c r="AA10" s="14"/>
      <c r="AB10" s="14"/>
      <c r="AC10" s="14">
        <f>VLOOKUP(A:A,[4]TDSheet!$A:$D,4,0)</f>
        <v>2200</v>
      </c>
      <c r="AD10" s="14">
        <f>VLOOKUP(A:A,[1]TDSheet!$A:$AE,31,0)</f>
        <v>381</v>
      </c>
      <c r="AE10" s="14">
        <f>VLOOKUP(A:A,[1]TDSheet!$A:$AF,32,0)</f>
        <v>486.4</v>
      </c>
      <c r="AF10" s="14">
        <f>VLOOKUP(A:A,[1]TDSheet!$A:$AG,33,0)</f>
        <v>572.79999999999995</v>
      </c>
      <c r="AG10" s="14">
        <f>VLOOKUP(A:A,[1]TDSheet!$A:$W,23,0)</f>
        <v>599.20000000000005</v>
      </c>
      <c r="AH10" s="14">
        <f>VLOOKUP(A:A,[3]TDSheet!$A:$B,2,0)</f>
        <v>815</v>
      </c>
      <c r="AI10" s="14" t="str">
        <f>VLOOKUP(A:A,[1]TDSheet!$A:$AI,35,0)</f>
        <v>ябдек-ян</v>
      </c>
      <c r="AJ10" s="14">
        <f t="shared" si="14"/>
        <v>0</v>
      </c>
      <c r="AK10" s="14"/>
      <c r="AL10" s="18">
        <f t="shared" si="15"/>
        <v>0.32909328114807557</v>
      </c>
      <c r="AM10" s="14"/>
      <c r="AN10" s="14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1925</v>
      </c>
      <c r="D11" s="8">
        <v>6344</v>
      </c>
      <c r="E11" s="8">
        <v>4674</v>
      </c>
      <c r="F11" s="8">
        <v>3513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4806</v>
      </c>
      <c r="K11" s="14">
        <f t="shared" si="10"/>
        <v>-132</v>
      </c>
      <c r="L11" s="14">
        <f>VLOOKUP(A:A,[1]TDSheet!$A:$O,15,0)</f>
        <v>1200</v>
      </c>
      <c r="M11" s="14">
        <f>VLOOKUP(A:A,[1]TDSheet!$A:$P,16,0)</f>
        <v>300</v>
      </c>
      <c r="N11" s="14">
        <f>VLOOKUP(A:A,[1]TDSheet!$A:$X,24,0)</f>
        <v>400</v>
      </c>
      <c r="O11" s="14"/>
      <c r="P11" s="14"/>
      <c r="Q11" s="14"/>
      <c r="R11" s="14"/>
      <c r="S11" s="14"/>
      <c r="T11" s="14"/>
      <c r="U11" s="14"/>
      <c r="V11" s="14"/>
      <c r="W11" s="14">
        <f t="shared" si="11"/>
        <v>886.8</v>
      </c>
      <c r="X11" s="16">
        <v>700</v>
      </c>
      <c r="Y11" s="17">
        <f t="shared" si="12"/>
        <v>6.8933243121335144</v>
      </c>
      <c r="Z11" s="14">
        <f t="shared" si="13"/>
        <v>3.9614343707713129</v>
      </c>
      <c r="AA11" s="14"/>
      <c r="AB11" s="14"/>
      <c r="AC11" s="14">
        <f>VLOOKUP(A:A,[4]TDSheet!$A:$D,4,0)</f>
        <v>240</v>
      </c>
      <c r="AD11" s="14">
        <f>VLOOKUP(A:A,[1]TDSheet!$A:$AE,31,0)</f>
        <v>679.8</v>
      </c>
      <c r="AE11" s="14">
        <f>VLOOKUP(A:A,[1]TDSheet!$A:$AF,32,0)</f>
        <v>840.6</v>
      </c>
      <c r="AF11" s="14">
        <f>VLOOKUP(A:A,[1]TDSheet!$A:$AG,33,0)</f>
        <v>893.2</v>
      </c>
      <c r="AG11" s="14">
        <f>VLOOKUP(A:A,[1]TDSheet!$A:$W,23,0)</f>
        <v>914.4</v>
      </c>
      <c r="AH11" s="14">
        <f>VLOOKUP(A:A,[3]TDSheet!$A:$B,2,0)</f>
        <v>1032</v>
      </c>
      <c r="AI11" s="14" t="str">
        <f>VLOOKUP(A:A,[1]TDSheet!$A:$AI,35,0)</f>
        <v>проддек-ян</v>
      </c>
      <c r="AJ11" s="14">
        <f t="shared" si="14"/>
        <v>315</v>
      </c>
      <c r="AK11" s="14"/>
      <c r="AL11" s="18">
        <f t="shared" si="15"/>
        <v>0.16373477672530456</v>
      </c>
      <c r="AM11" s="14"/>
      <c r="AN11" s="14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1552</v>
      </c>
      <c r="D12" s="8">
        <v>5434</v>
      </c>
      <c r="E12" s="8">
        <v>4588</v>
      </c>
      <c r="F12" s="8">
        <v>2340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4">
        <f>VLOOKUP(A:A,[2]TDSheet!$A:$F,6,0)</f>
        <v>4686</v>
      </c>
      <c r="K12" s="14">
        <f t="shared" si="10"/>
        <v>-98</v>
      </c>
      <c r="L12" s="14">
        <f>VLOOKUP(A:A,[1]TDSheet!$A:$O,15,0)</f>
        <v>900</v>
      </c>
      <c r="M12" s="14">
        <f>VLOOKUP(A:A,[1]TDSheet!$A:$P,16,0)</f>
        <v>200</v>
      </c>
      <c r="N12" s="14">
        <f>VLOOKUP(A:A,[1]TDSheet!$A:$X,24,0)</f>
        <v>0</v>
      </c>
      <c r="O12" s="14"/>
      <c r="P12" s="14"/>
      <c r="Q12" s="14"/>
      <c r="R12" s="14"/>
      <c r="S12" s="14"/>
      <c r="T12" s="14"/>
      <c r="U12" s="14"/>
      <c r="V12" s="14"/>
      <c r="W12" s="14">
        <f t="shared" si="11"/>
        <v>717.2</v>
      </c>
      <c r="X12" s="16">
        <v>1100</v>
      </c>
      <c r="Y12" s="17">
        <f t="shared" si="12"/>
        <v>6.3301728945900724</v>
      </c>
      <c r="Z12" s="14">
        <f t="shared" si="13"/>
        <v>3.2626882320133852</v>
      </c>
      <c r="AA12" s="14"/>
      <c r="AB12" s="14"/>
      <c r="AC12" s="14">
        <f>VLOOKUP(A:A,[4]TDSheet!$A:$D,4,0)</f>
        <v>1002</v>
      </c>
      <c r="AD12" s="14">
        <f>VLOOKUP(A:A,[1]TDSheet!$A:$AE,31,0)</f>
        <v>725.6</v>
      </c>
      <c r="AE12" s="14">
        <f>VLOOKUP(A:A,[1]TDSheet!$A:$AF,32,0)</f>
        <v>706</v>
      </c>
      <c r="AF12" s="14">
        <f>VLOOKUP(A:A,[1]TDSheet!$A:$AG,33,0)</f>
        <v>680.8</v>
      </c>
      <c r="AG12" s="14">
        <f>VLOOKUP(A:A,[1]TDSheet!$A:$W,23,0)</f>
        <v>647.20000000000005</v>
      </c>
      <c r="AH12" s="14">
        <f>VLOOKUP(A:A,[3]TDSheet!$A:$B,2,0)</f>
        <v>1046</v>
      </c>
      <c r="AI12" s="14" t="str">
        <f>VLOOKUP(A:A,[1]TDSheet!$A:$AI,35,0)</f>
        <v>проддек-ян</v>
      </c>
      <c r="AJ12" s="14">
        <f t="shared" si="14"/>
        <v>495</v>
      </c>
      <c r="AK12" s="14"/>
      <c r="AL12" s="18">
        <f t="shared" si="15"/>
        <v>0.45844952593418853</v>
      </c>
      <c r="AM12" s="14"/>
      <c r="AN12" s="14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39</v>
      </c>
      <c r="D13" s="8">
        <v>112</v>
      </c>
      <c r="E13" s="8">
        <v>87</v>
      </c>
      <c r="F13" s="8">
        <v>63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4">
        <f>VLOOKUP(A:A,[2]TDSheet!$A:$F,6,0)</f>
        <v>89</v>
      </c>
      <c r="K13" s="14">
        <f t="shared" si="10"/>
        <v>-2</v>
      </c>
      <c r="L13" s="14">
        <f>VLOOKUP(A:A,[1]TDSheet!$A:$O,15,0)</f>
        <v>0</v>
      </c>
      <c r="M13" s="14">
        <f>VLOOKUP(A:A,[1]TDSheet!$A:$P,16,0)</f>
        <v>30</v>
      </c>
      <c r="N13" s="14">
        <f>VLOOKUP(A:A,[1]TDSheet!$A:$X,24,0)</f>
        <v>40</v>
      </c>
      <c r="O13" s="14"/>
      <c r="P13" s="14"/>
      <c r="Q13" s="14"/>
      <c r="R13" s="14"/>
      <c r="S13" s="14"/>
      <c r="T13" s="14"/>
      <c r="U13" s="14"/>
      <c r="V13" s="14"/>
      <c r="W13" s="14">
        <f t="shared" si="11"/>
        <v>17.399999999999999</v>
      </c>
      <c r="X13" s="16">
        <v>30</v>
      </c>
      <c r="Y13" s="17">
        <f t="shared" si="12"/>
        <v>9.3678160919540243</v>
      </c>
      <c r="Z13" s="14">
        <f t="shared" si="13"/>
        <v>3.6206896551724141</v>
      </c>
      <c r="AA13" s="14"/>
      <c r="AB13" s="14"/>
      <c r="AC13" s="14">
        <v>0</v>
      </c>
      <c r="AD13" s="14">
        <f>VLOOKUP(A:A,[1]TDSheet!$A:$AE,31,0)</f>
        <v>14.4</v>
      </c>
      <c r="AE13" s="14">
        <f>VLOOKUP(A:A,[1]TDSheet!$A:$AF,32,0)</f>
        <v>14.8</v>
      </c>
      <c r="AF13" s="14">
        <f>VLOOKUP(A:A,[1]TDSheet!$A:$AG,33,0)</f>
        <v>16</v>
      </c>
      <c r="AG13" s="14">
        <f>VLOOKUP(A:A,[1]TDSheet!$A:$W,23,0)</f>
        <v>13.8</v>
      </c>
      <c r="AH13" s="14">
        <f>VLOOKUP(A:A,[3]TDSheet!$A:$B,2,0)</f>
        <v>17</v>
      </c>
      <c r="AI13" s="14">
        <f>VLOOKUP(A:A,[1]TDSheet!$A:$AI,35,0)</f>
        <v>0</v>
      </c>
      <c r="AJ13" s="14">
        <f t="shared" si="14"/>
        <v>12</v>
      </c>
      <c r="AK13" s="14"/>
      <c r="AL13" s="18">
        <f t="shared" si="15"/>
        <v>-2.2988505747126409E-2</v>
      </c>
      <c r="AM13" s="14"/>
      <c r="AN13" s="14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1010</v>
      </c>
      <c r="D14" s="8">
        <v>814</v>
      </c>
      <c r="E14" s="8">
        <v>522</v>
      </c>
      <c r="F14" s="8">
        <v>1298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4">
        <f>VLOOKUP(A:A,[2]TDSheet!$A:$F,6,0)</f>
        <v>527</v>
      </c>
      <c r="K14" s="14">
        <f t="shared" si="10"/>
        <v>-5</v>
      </c>
      <c r="L14" s="14">
        <f>VLOOKUP(A:A,[1]TDSheet!$A:$O,15,0)</f>
        <v>0</v>
      </c>
      <c r="M14" s="14">
        <f>VLOOKUP(A:A,[1]TDSheet!$A:$P,16,0)</f>
        <v>0</v>
      </c>
      <c r="N14" s="14">
        <f>VLOOKUP(A:A,[1]TDSheet!$A:$X,24,0)</f>
        <v>200</v>
      </c>
      <c r="O14" s="14"/>
      <c r="P14" s="14"/>
      <c r="Q14" s="14"/>
      <c r="R14" s="14"/>
      <c r="S14" s="14"/>
      <c r="T14" s="14"/>
      <c r="U14" s="14"/>
      <c r="V14" s="14"/>
      <c r="W14" s="14">
        <f t="shared" si="11"/>
        <v>104.4</v>
      </c>
      <c r="X14" s="16"/>
      <c r="Y14" s="17">
        <f t="shared" si="12"/>
        <v>14.348659003831417</v>
      </c>
      <c r="Z14" s="14">
        <f t="shared" si="13"/>
        <v>12.43295019157088</v>
      </c>
      <c r="AA14" s="14"/>
      <c r="AB14" s="14"/>
      <c r="AC14" s="14">
        <v>0</v>
      </c>
      <c r="AD14" s="14">
        <f>VLOOKUP(A:A,[1]TDSheet!$A:$AE,31,0)</f>
        <v>63.2</v>
      </c>
      <c r="AE14" s="14">
        <f>VLOOKUP(A:A,[1]TDSheet!$A:$AF,32,0)</f>
        <v>69</v>
      </c>
      <c r="AF14" s="14">
        <f>VLOOKUP(A:A,[1]TDSheet!$A:$AG,33,0)</f>
        <v>65.2</v>
      </c>
      <c r="AG14" s="14">
        <f>VLOOKUP(A:A,[1]TDSheet!$A:$W,23,0)</f>
        <v>102.8</v>
      </c>
      <c r="AH14" s="14">
        <f>VLOOKUP(A:A,[3]TDSheet!$A:$B,2,0)</f>
        <v>99</v>
      </c>
      <c r="AI14" s="14">
        <f>VLOOKUP(A:A,[1]TDSheet!$A:$AI,35,0)</f>
        <v>0</v>
      </c>
      <c r="AJ14" s="14">
        <f t="shared" si="14"/>
        <v>0</v>
      </c>
      <c r="AK14" s="14"/>
      <c r="AL14" s="18">
        <f t="shared" si="15"/>
        <v>-5.1724137931034586E-2</v>
      </c>
      <c r="AM14" s="14"/>
      <c r="AN14" s="14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166</v>
      </c>
      <c r="D15" s="8">
        <v>450</v>
      </c>
      <c r="E15" s="8">
        <v>413</v>
      </c>
      <c r="F15" s="8">
        <v>203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4">
        <f>VLOOKUP(A:A,[2]TDSheet!$A:$F,6,0)</f>
        <v>414</v>
      </c>
      <c r="K15" s="14">
        <f t="shared" si="10"/>
        <v>-1</v>
      </c>
      <c r="L15" s="14">
        <f>VLOOKUP(A:A,[1]TDSheet!$A:$O,15,0)</f>
        <v>100</v>
      </c>
      <c r="M15" s="14">
        <f>VLOOKUP(A:A,[1]TDSheet!$A:$P,16,0)</f>
        <v>30</v>
      </c>
      <c r="N15" s="14">
        <f>VLOOKUP(A:A,[1]TDSheet!$A:$X,24,0)</f>
        <v>200</v>
      </c>
      <c r="O15" s="14"/>
      <c r="P15" s="14"/>
      <c r="Q15" s="14"/>
      <c r="R15" s="14"/>
      <c r="S15" s="14"/>
      <c r="T15" s="14"/>
      <c r="U15" s="14"/>
      <c r="V15" s="14"/>
      <c r="W15" s="14">
        <f t="shared" si="11"/>
        <v>82.6</v>
      </c>
      <c r="X15" s="16">
        <v>80</v>
      </c>
      <c r="Y15" s="17">
        <f t="shared" si="12"/>
        <v>7.4213075060532692</v>
      </c>
      <c r="Z15" s="14">
        <f t="shared" si="13"/>
        <v>2.4576271186440679</v>
      </c>
      <c r="AA15" s="14"/>
      <c r="AB15" s="14"/>
      <c r="AC15" s="14">
        <v>0</v>
      </c>
      <c r="AD15" s="14">
        <f>VLOOKUP(A:A,[1]TDSheet!$A:$AE,31,0)</f>
        <v>61.8</v>
      </c>
      <c r="AE15" s="14">
        <f>VLOOKUP(A:A,[1]TDSheet!$A:$AF,32,0)</f>
        <v>77</v>
      </c>
      <c r="AF15" s="14">
        <f>VLOOKUP(A:A,[1]TDSheet!$A:$AG,33,0)</f>
        <v>68.2</v>
      </c>
      <c r="AG15" s="14">
        <f>VLOOKUP(A:A,[1]TDSheet!$A:$W,23,0)</f>
        <v>68</v>
      </c>
      <c r="AH15" s="14">
        <f>VLOOKUP(A:A,[3]TDSheet!$A:$B,2,0)</f>
        <v>57</v>
      </c>
      <c r="AI15" s="14">
        <f>VLOOKUP(A:A,[1]TDSheet!$A:$AI,35,0)</f>
        <v>0</v>
      </c>
      <c r="AJ15" s="14">
        <f t="shared" si="14"/>
        <v>24</v>
      </c>
      <c r="AK15" s="14"/>
      <c r="AL15" s="18">
        <f t="shared" si="15"/>
        <v>-0.30992736077481831</v>
      </c>
      <c r="AM15" s="14"/>
      <c r="AN15" s="14"/>
    </row>
    <row r="16" spans="1:40" s="1" customFormat="1" ht="11.1" customHeight="1" outlineLevel="1" x14ac:dyDescent="0.2">
      <c r="A16" s="7" t="s">
        <v>19</v>
      </c>
      <c r="B16" s="7" t="s">
        <v>12</v>
      </c>
      <c r="C16" s="8"/>
      <c r="D16" s="8">
        <v>18</v>
      </c>
      <c r="E16" s="8">
        <v>0</v>
      </c>
      <c r="F16" s="8">
        <v>18</v>
      </c>
      <c r="G16" s="12" t="s">
        <v>131</v>
      </c>
      <c r="H16" s="1">
        <v>0</v>
      </c>
      <c r="I16" s="1" t="e">
        <f>VLOOKUP(A:A,[1]TDSheet!$A:$I,9,0)</f>
        <v>#N/A</v>
      </c>
      <c r="J16" s="14">
        <v>0</v>
      </c>
      <c r="K16" s="14">
        <f t="shared" si="10"/>
        <v>0</v>
      </c>
      <c r="L16" s="14">
        <v>0</v>
      </c>
      <c r="M16" s="14">
        <v>0</v>
      </c>
      <c r="N16" s="14">
        <v>0</v>
      </c>
      <c r="O16" s="14"/>
      <c r="P16" s="14"/>
      <c r="Q16" s="14"/>
      <c r="R16" s="14"/>
      <c r="S16" s="14"/>
      <c r="T16" s="14"/>
      <c r="U16" s="14"/>
      <c r="V16" s="14"/>
      <c r="W16" s="14">
        <f t="shared" si="11"/>
        <v>0</v>
      </c>
      <c r="X16" s="16"/>
      <c r="Y16" s="17" t="e">
        <f t="shared" si="12"/>
        <v>#DIV/0!</v>
      </c>
      <c r="Z16" s="14" t="e">
        <f t="shared" si="13"/>
        <v>#DIV/0!</v>
      </c>
      <c r="AA16" s="14"/>
      <c r="AB16" s="14"/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 t="e">
        <f>VLOOKUP(A:A,[1]TDSheet!$A:$AI,35,0)</f>
        <v>#N/A</v>
      </c>
      <c r="AJ16" s="14">
        <f t="shared" si="14"/>
        <v>0</v>
      </c>
      <c r="AK16" s="14"/>
      <c r="AL16" s="18" t="e">
        <f t="shared" si="15"/>
        <v>#DIV/0!</v>
      </c>
      <c r="AM16" s="14"/>
      <c r="AN16" s="14"/>
    </row>
    <row r="17" spans="1:40" s="1" customFormat="1" ht="11.1" customHeight="1" outlineLevel="1" x14ac:dyDescent="0.2">
      <c r="A17" s="7" t="s">
        <v>20</v>
      </c>
      <c r="B17" s="7" t="s">
        <v>12</v>
      </c>
      <c r="C17" s="8">
        <v>4176</v>
      </c>
      <c r="D17" s="8">
        <v>1520</v>
      </c>
      <c r="E17" s="8">
        <v>2082</v>
      </c>
      <c r="F17" s="8">
        <v>3592</v>
      </c>
      <c r="G17" s="1">
        <f>VLOOKUP(A:A,[1]TDSheet!$A:$G,7,0)</f>
        <v>0</v>
      </c>
      <c r="H17" s="1">
        <f>VLOOKUP(A:A,[1]TDSheet!$A:$H,8,0)</f>
        <v>0.17</v>
      </c>
      <c r="I17" s="1">
        <f>VLOOKUP(A:A,[1]TDSheet!$A:$I,9,0)</f>
        <v>180</v>
      </c>
      <c r="J17" s="14">
        <f>VLOOKUP(A:A,[2]TDSheet!$A:$F,6,0)</f>
        <v>2108</v>
      </c>
      <c r="K17" s="14">
        <f t="shared" si="10"/>
        <v>-26</v>
      </c>
      <c r="L17" s="14">
        <f>VLOOKUP(A:A,[1]TDSheet!$A:$O,15,0)</f>
        <v>0</v>
      </c>
      <c r="M17" s="14">
        <f>VLOOKUP(A:A,[1]TDSheet!$A:$P,16,0)</f>
        <v>0</v>
      </c>
      <c r="N17" s="14">
        <f>VLOOKUP(A:A,[1]TDSheet!$A:$X,24,0)</f>
        <v>800</v>
      </c>
      <c r="O17" s="14"/>
      <c r="P17" s="14"/>
      <c r="Q17" s="14"/>
      <c r="R17" s="14"/>
      <c r="S17" s="14"/>
      <c r="T17" s="14"/>
      <c r="U17" s="14"/>
      <c r="V17" s="14"/>
      <c r="W17" s="14">
        <f t="shared" si="11"/>
        <v>413.4</v>
      </c>
      <c r="X17" s="16"/>
      <c r="Y17" s="17">
        <f t="shared" si="12"/>
        <v>10.624092888243831</v>
      </c>
      <c r="Z17" s="14">
        <f t="shared" si="13"/>
        <v>8.6889211417513312</v>
      </c>
      <c r="AA17" s="14"/>
      <c r="AB17" s="14"/>
      <c r="AC17" s="14">
        <f>VLOOKUP(A:A,[4]TDSheet!$A:$D,4,0)</f>
        <v>15</v>
      </c>
      <c r="AD17" s="14">
        <f>VLOOKUP(A:A,[1]TDSheet!$A:$AE,31,0)</f>
        <v>253.6</v>
      </c>
      <c r="AE17" s="14">
        <f>VLOOKUP(A:A,[1]TDSheet!$A:$AF,32,0)</f>
        <v>290.60000000000002</v>
      </c>
      <c r="AF17" s="14">
        <f>VLOOKUP(A:A,[1]TDSheet!$A:$AG,33,0)</f>
        <v>285</v>
      </c>
      <c r="AG17" s="14">
        <f>VLOOKUP(A:A,[1]TDSheet!$A:$W,23,0)</f>
        <v>379.2</v>
      </c>
      <c r="AH17" s="14">
        <f>VLOOKUP(A:A,[3]TDSheet!$A:$B,2,0)</f>
        <v>459</v>
      </c>
      <c r="AI17" s="14">
        <f>VLOOKUP(A:A,[1]TDSheet!$A:$AI,35,0)</f>
        <v>0</v>
      </c>
      <c r="AJ17" s="14">
        <f t="shared" si="14"/>
        <v>0</v>
      </c>
      <c r="AK17" s="14"/>
      <c r="AL17" s="18">
        <f t="shared" si="15"/>
        <v>0.11030478955007261</v>
      </c>
      <c r="AM17" s="14"/>
      <c r="AN17" s="14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149</v>
      </c>
      <c r="D18" s="8">
        <v>528</v>
      </c>
      <c r="E18" s="8">
        <v>335</v>
      </c>
      <c r="F18" s="8">
        <v>325</v>
      </c>
      <c r="G18" s="1">
        <f>VLOOKUP(A:A,[1]TDSheet!$A:$G,7,0)</f>
        <v>0</v>
      </c>
      <c r="H18" s="1">
        <f>VLOOKUP(A:A,[1]TDSheet!$A:$H,8,0)</f>
        <v>0.35</v>
      </c>
      <c r="I18" s="1">
        <f>VLOOKUP(A:A,[1]TDSheet!$A:$I,9,0)</f>
        <v>45</v>
      </c>
      <c r="J18" s="14">
        <f>VLOOKUP(A:A,[2]TDSheet!$A:$F,6,0)</f>
        <v>347</v>
      </c>
      <c r="K18" s="14">
        <f t="shared" si="10"/>
        <v>-12</v>
      </c>
      <c r="L18" s="14">
        <f>VLOOKUP(A:A,[1]TDSheet!$A:$O,15,0)</f>
        <v>100</v>
      </c>
      <c r="M18" s="14">
        <f>VLOOKUP(A:A,[1]TDSheet!$A:$P,16,0)</f>
        <v>50</v>
      </c>
      <c r="N18" s="14">
        <f>VLOOKUP(A:A,[1]TDSheet!$A:$X,24,0)</f>
        <v>100</v>
      </c>
      <c r="O18" s="14"/>
      <c r="P18" s="14"/>
      <c r="Q18" s="14"/>
      <c r="R18" s="14"/>
      <c r="S18" s="14"/>
      <c r="T18" s="14"/>
      <c r="U18" s="14"/>
      <c r="V18" s="14"/>
      <c r="W18" s="14">
        <f t="shared" si="11"/>
        <v>67</v>
      </c>
      <c r="X18" s="16"/>
      <c r="Y18" s="17">
        <f t="shared" si="12"/>
        <v>8.5820895522388057</v>
      </c>
      <c r="Z18" s="14">
        <f t="shared" si="13"/>
        <v>4.8507462686567164</v>
      </c>
      <c r="AA18" s="14"/>
      <c r="AB18" s="14"/>
      <c r="AC18" s="14">
        <v>0</v>
      </c>
      <c r="AD18" s="14">
        <f>VLOOKUP(A:A,[1]TDSheet!$A:$AE,31,0)</f>
        <v>54.2</v>
      </c>
      <c r="AE18" s="14">
        <f>VLOOKUP(A:A,[1]TDSheet!$A:$AF,32,0)</f>
        <v>69.400000000000006</v>
      </c>
      <c r="AF18" s="14">
        <f>VLOOKUP(A:A,[1]TDSheet!$A:$AG,33,0)</f>
        <v>58.8</v>
      </c>
      <c r="AG18" s="14">
        <f>VLOOKUP(A:A,[1]TDSheet!$A:$W,23,0)</f>
        <v>69</v>
      </c>
      <c r="AH18" s="14">
        <f>VLOOKUP(A:A,[3]TDSheet!$A:$B,2,0)</f>
        <v>80</v>
      </c>
      <c r="AI18" s="14" t="str">
        <f>VLOOKUP(A:A,[1]TDSheet!$A:$AI,35,0)</f>
        <v>окнч</v>
      </c>
      <c r="AJ18" s="14">
        <f t="shared" si="14"/>
        <v>0</v>
      </c>
      <c r="AK18" s="14"/>
      <c r="AL18" s="18">
        <f t="shared" si="15"/>
        <v>0.19402985074626855</v>
      </c>
      <c r="AM18" s="14"/>
      <c r="AN18" s="14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85</v>
      </c>
      <c r="D19" s="8">
        <v>151</v>
      </c>
      <c r="E19" s="8">
        <v>142</v>
      </c>
      <c r="F19" s="8">
        <v>93</v>
      </c>
      <c r="G19" s="1" t="str">
        <f>VLOOKUP(A:A,[1]TDSheet!$A:$G,7,0)</f>
        <v>н</v>
      </c>
      <c r="H19" s="1">
        <f>VLOOKUP(A:A,[1]TDSheet!$A:$H,8,0)</f>
        <v>0.35</v>
      </c>
      <c r="I19" s="1">
        <f>VLOOKUP(A:A,[1]TDSheet!$A:$I,9,0)</f>
        <v>45</v>
      </c>
      <c r="J19" s="14">
        <f>VLOOKUP(A:A,[2]TDSheet!$A:$F,6,0)</f>
        <v>144</v>
      </c>
      <c r="K19" s="14">
        <f t="shared" si="10"/>
        <v>-2</v>
      </c>
      <c r="L19" s="14">
        <f>VLOOKUP(A:A,[1]TDSheet!$A:$O,15,0)</f>
        <v>40</v>
      </c>
      <c r="M19" s="14">
        <f>VLOOKUP(A:A,[1]TDSheet!$A:$P,16,0)</f>
        <v>50</v>
      </c>
      <c r="N19" s="14">
        <f>VLOOKUP(A:A,[1]TDSheet!$A:$X,24,0)</f>
        <v>90</v>
      </c>
      <c r="O19" s="14"/>
      <c r="P19" s="14"/>
      <c r="Q19" s="14"/>
      <c r="R19" s="14"/>
      <c r="S19" s="14"/>
      <c r="T19" s="14"/>
      <c r="U19" s="14"/>
      <c r="V19" s="14"/>
      <c r="W19" s="14">
        <f t="shared" si="11"/>
        <v>28.4</v>
      </c>
      <c r="X19" s="16"/>
      <c r="Y19" s="17">
        <f t="shared" si="12"/>
        <v>9.612676056338028</v>
      </c>
      <c r="Z19" s="14">
        <f t="shared" si="13"/>
        <v>3.274647887323944</v>
      </c>
      <c r="AA19" s="14"/>
      <c r="AB19" s="14"/>
      <c r="AC19" s="14">
        <v>0</v>
      </c>
      <c r="AD19" s="14">
        <f>VLOOKUP(A:A,[1]TDSheet!$A:$AE,31,0)</f>
        <v>19.399999999999999</v>
      </c>
      <c r="AE19" s="14">
        <f>VLOOKUP(A:A,[1]TDSheet!$A:$AF,32,0)</f>
        <v>20.8</v>
      </c>
      <c r="AF19" s="14">
        <f>VLOOKUP(A:A,[1]TDSheet!$A:$AG,33,0)</f>
        <v>21.4</v>
      </c>
      <c r="AG19" s="14">
        <f>VLOOKUP(A:A,[1]TDSheet!$A:$W,23,0)</f>
        <v>29.4</v>
      </c>
      <c r="AH19" s="14">
        <f>VLOOKUP(A:A,[3]TDSheet!$A:$B,2,0)</f>
        <v>11</v>
      </c>
      <c r="AI19" s="14">
        <f>VLOOKUP(A:A,[1]TDSheet!$A:$AI,35,0)</f>
        <v>0</v>
      </c>
      <c r="AJ19" s="14">
        <f t="shared" si="14"/>
        <v>0</v>
      </c>
      <c r="AK19" s="14"/>
      <c r="AL19" s="18">
        <f t="shared" si="15"/>
        <v>-0.61267605633802813</v>
      </c>
      <c r="AM19" s="14"/>
      <c r="AN19" s="14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185</v>
      </c>
      <c r="D20" s="8">
        <v>57</v>
      </c>
      <c r="E20" s="8">
        <v>127</v>
      </c>
      <c r="F20" s="8">
        <v>107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135</v>
      </c>
      <c r="K20" s="14">
        <f t="shared" si="10"/>
        <v>-8</v>
      </c>
      <c r="L20" s="14">
        <f>VLOOKUP(A:A,[1]TDSheet!$A:$O,15,0)</f>
        <v>20</v>
      </c>
      <c r="M20" s="14">
        <f>VLOOKUP(A:A,[1]TDSheet!$A:$P,16,0)</f>
        <v>30</v>
      </c>
      <c r="N20" s="14">
        <f>VLOOKUP(A:A,[1]TDSheet!$A:$X,24,0)</f>
        <v>20</v>
      </c>
      <c r="O20" s="14"/>
      <c r="P20" s="14"/>
      <c r="Q20" s="14"/>
      <c r="R20" s="14"/>
      <c r="S20" s="14"/>
      <c r="T20" s="14"/>
      <c r="U20" s="14"/>
      <c r="V20" s="14"/>
      <c r="W20" s="14">
        <f t="shared" si="11"/>
        <v>25.4</v>
      </c>
      <c r="X20" s="16">
        <v>40</v>
      </c>
      <c r="Y20" s="17">
        <f t="shared" si="12"/>
        <v>8.543307086614174</v>
      </c>
      <c r="Z20" s="14">
        <f t="shared" si="13"/>
        <v>4.2125984251968509</v>
      </c>
      <c r="AA20" s="14"/>
      <c r="AB20" s="14"/>
      <c r="AC20" s="14">
        <v>0</v>
      </c>
      <c r="AD20" s="14">
        <f>VLOOKUP(A:A,[1]TDSheet!$A:$AE,31,0)</f>
        <v>64</v>
      </c>
      <c r="AE20" s="14">
        <f>VLOOKUP(A:A,[1]TDSheet!$A:$AF,32,0)</f>
        <v>42</v>
      </c>
      <c r="AF20" s="14">
        <f>VLOOKUP(A:A,[1]TDSheet!$A:$AG,33,0)</f>
        <v>24.4</v>
      </c>
      <c r="AG20" s="14">
        <f>VLOOKUP(A:A,[1]TDSheet!$A:$W,23,0)</f>
        <v>23</v>
      </c>
      <c r="AH20" s="14">
        <f>VLOOKUP(A:A,[3]TDSheet!$A:$B,2,0)</f>
        <v>33</v>
      </c>
      <c r="AI20" s="14" t="str">
        <f>VLOOKUP(A:A,[1]TDSheet!$A:$AI,35,0)</f>
        <v>оконч</v>
      </c>
      <c r="AJ20" s="14">
        <f t="shared" si="14"/>
        <v>14</v>
      </c>
      <c r="AK20" s="14"/>
      <c r="AL20" s="18">
        <f t="shared" si="15"/>
        <v>0.29921259842519699</v>
      </c>
      <c r="AM20" s="14"/>
      <c r="AN20" s="14"/>
    </row>
    <row r="21" spans="1:40" s="1" customFormat="1" ht="21.95" customHeight="1" outlineLevel="1" x14ac:dyDescent="0.2">
      <c r="A21" s="7" t="s">
        <v>24</v>
      </c>
      <c r="B21" s="7" t="s">
        <v>12</v>
      </c>
      <c r="C21" s="8">
        <v>274</v>
      </c>
      <c r="D21" s="8">
        <v>881</v>
      </c>
      <c r="E21" s="8">
        <v>613</v>
      </c>
      <c r="F21" s="8">
        <v>536</v>
      </c>
      <c r="G21" s="1">
        <f>VLOOKUP(A:A,[1]TDSheet!$A:$G,7,0)</f>
        <v>0</v>
      </c>
      <c r="H21" s="1">
        <f>VLOOKUP(A:A,[1]TDSheet!$A:$H,8,0)</f>
        <v>0.35</v>
      </c>
      <c r="I21" s="1">
        <f>VLOOKUP(A:A,[1]TDSheet!$A:$I,9,0)</f>
        <v>45</v>
      </c>
      <c r="J21" s="14">
        <f>VLOOKUP(A:A,[2]TDSheet!$A:$F,6,0)</f>
        <v>607</v>
      </c>
      <c r="K21" s="14">
        <f t="shared" si="10"/>
        <v>6</v>
      </c>
      <c r="L21" s="14">
        <f>VLOOKUP(A:A,[1]TDSheet!$A:$O,15,0)</f>
        <v>200</v>
      </c>
      <c r="M21" s="14">
        <f>VLOOKUP(A:A,[1]TDSheet!$A:$P,16,0)</f>
        <v>100</v>
      </c>
      <c r="N21" s="14">
        <f>VLOOKUP(A:A,[1]TDSheet!$A:$X,24,0)</f>
        <v>200</v>
      </c>
      <c r="O21" s="14"/>
      <c r="P21" s="14"/>
      <c r="Q21" s="14"/>
      <c r="R21" s="14"/>
      <c r="S21" s="14"/>
      <c r="T21" s="14"/>
      <c r="U21" s="14"/>
      <c r="V21" s="14"/>
      <c r="W21" s="14">
        <f t="shared" si="11"/>
        <v>122.6</v>
      </c>
      <c r="X21" s="16">
        <v>100</v>
      </c>
      <c r="Y21" s="17">
        <f t="shared" si="12"/>
        <v>9.2659053833605221</v>
      </c>
      <c r="Z21" s="14">
        <f t="shared" si="13"/>
        <v>4.3719412724306688</v>
      </c>
      <c r="AA21" s="14"/>
      <c r="AB21" s="14"/>
      <c r="AC21" s="14">
        <v>0</v>
      </c>
      <c r="AD21" s="14">
        <f>VLOOKUP(A:A,[1]TDSheet!$A:$AE,31,0)</f>
        <v>87.6</v>
      </c>
      <c r="AE21" s="14">
        <f>VLOOKUP(A:A,[1]TDSheet!$A:$AF,32,0)</f>
        <v>122.6</v>
      </c>
      <c r="AF21" s="14">
        <f>VLOOKUP(A:A,[1]TDSheet!$A:$AG,33,0)</f>
        <v>121.2</v>
      </c>
      <c r="AG21" s="14">
        <f>VLOOKUP(A:A,[1]TDSheet!$A:$W,23,0)</f>
        <v>129.19999999999999</v>
      </c>
      <c r="AH21" s="14">
        <f>VLOOKUP(A:A,[3]TDSheet!$A:$B,2,0)</f>
        <v>210</v>
      </c>
      <c r="AI21" s="14" t="str">
        <f>VLOOKUP(A:A,[1]TDSheet!$A:$AI,35,0)</f>
        <v>проддек-ян</v>
      </c>
      <c r="AJ21" s="14">
        <f t="shared" si="14"/>
        <v>35</v>
      </c>
      <c r="AK21" s="14"/>
      <c r="AL21" s="18">
        <f t="shared" si="15"/>
        <v>0.71288743882544869</v>
      </c>
      <c r="AM21" s="14"/>
      <c r="AN21" s="14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481.553</v>
      </c>
      <c r="D22" s="8">
        <v>782.67200000000003</v>
      </c>
      <c r="E22" s="8">
        <v>891.26099999999997</v>
      </c>
      <c r="F22" s="8">
        <v>370.399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4">
        <f>VLOOKUP(A:A,[2]TDSheet!$A:$F,6,0)</f>
        <v>864.31500000000005</v>
      </c>
      <c r="K22" s="14">
        <f t="shared" si="10"/>
        <v>26.945999999999913</v>
      </c>
      <c r="L22" s="14">
        <f>VLOOKUP(A:A,[1]TDSheet!$A:$O,15,0)</f>
        <v>100</v>
      </c>
      <c r="M22" s="14">
        <f>VLOOKUP(A:A,[1]TDSheet!$A:$P,16,0)</f>
        <v>100</v>
      </c>
      <c r="N22" s="14">
        <f>VLOOKUP(A:A,[1]TDSheet!$A:$X,24,0)</f>
        <v>200</v>
      </c>
      <c r="O22" s="14"/>
      <c r="P22" s="14"/>
      <c r="Q22" s="14"/>
      <c r="R22" s="14"/>
      <c r="S22" s="14"/>
      <c r="T22" s="14"/>
      <c r="U22" s="14"/>
      <c r="V22" s="14"/>
      <c r="W22" s="14">
        <f t="shared" si="11"/>
        <v>178.25219999999999</v>
      </c>
      <c r="X22" s="16">
        <v>400</v>
      </c>
      <c r="Y22" s="17">
        <f t="shared" si="12"/>
        <v>6.5659722572849031</v>
      </c>
      <c r="Z22" s="14">
        <f t="shared" si="13"/>
        <v>2.0779491080614996</v>
      </c>
      <c r="AA22" s="14"/>
      <c r="AB22" s="14"/>
      <c r="AC22" s="14">
        <v>0</v>
      </c>
      <c r="AD22" s="14">
        <f>VLOOKUP(A:A,[1]TDSheet!$A:$AE,31,0)</f>
        <v>114.9126</v>
      </c>
      <c r="AE22" s="14">
        <f>VLOOKUP(A:A,[1]TDSheet!$A:$AF,32,0)</f>
        <v>114.099</v>
      </c>
      <c r="AF22" s="14">
        <f>VLOOKUP(A:A,[1]TDSheet!$A:$AG,33,0)</f>
        <v>150.761</v>
      </c>
      <c r="AG22" s="14">
        <f>VLOOKUP(A:A,[1]TDSheet!$A:$W,23,0)</f>
        <v>130.65540000000001</v>
      </c>
      <c r="AH22" s="14">
        <f>VLOOKUP(A:A,[3]TDSheet!$A:$B,2,0)</f>
        <v>320.654</v>
      </c>
      <c r="AI22" s="14">
        <f>VLOOKUP(A:A,[1]TDSheet!$A:$AI,35,0)</f>
        <v>0</v>
      </c>
      <c r="AJ22" s="14">
        <f t="shared" si="14"/>
        <v>400</v>
      </c>
      <c r="AK22" s="14"/>
      <c r="AL22" s="18">
        <f t="shared" si="15"/>
        <v>0.79887821861385166</v>
      </c>
      <c r="AM22" s="14"/>
      <c r="AN22" s="14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3129.38</v>
      </c>
      <c r="D23" s="8">
        <v>7247.1869999999999</v>
      </c>
      <c r="E23" s="8">
        <v>6465.9949999999999</v>
      </c>
      <c r="F23" s="8">
        <v>3845.3870000000002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4">
        <f>VLOOKUP(A:A,[2]TDSheet!$A:$F,6,0)</f>
        <v>6579.3389999999999</v>
      </c>
      <c r="K23" s="14">
        <f t="shared" si="10"/>
        <v>-113.34400000000005</v>
      </c>
      <c r="L23" s="14">
        <f>VLOOKUP(A:A,[1]TDSheet!$A:$O,15,0)</f>
        <v>1400</v>
      </c>
      <c r="M23" s="14">
        <f>VLOOKUP(A:A,[1]TDSheet!$A:$P,16,0)</f>
        <v>1000</v>
      </c>
      <c r="N23" s="14">
        <f>VLOOKUP(A:A,[1]TDSheet!$A:$X,24,0)</f>
        <v>1400</v>
      </c>
      <c r="O23" s="14"/>
      <c r="P23" s="14"/>
      <c r="Q23" s="14"/>
      <c r="R23" s="14"/>
      <c r="S23" s="14"/>
      <c r="T23" s="14"/>
      <c r="U23" s="14"/>
      <c r="V23" s="14"/>
      <c r="W23" s="14">
        <f t="shared" si="11"/>
        <v>1269.211</v>
      </c>
      <c r="X23" s="16">
        <v>2000</v>
      </c>
      <c r="Y23" s="17">
        <f t="shared" si="12"/>
        <v>7.5995141863724793</v>
      </c>
      <c r="Z23" s="14">
        <f t="shared" si="13"/>
        <v>3.0297460390746691</v>
      </c>
      <c r="AA23" s="14"/>
      <c r="AB23" s="14"/>
      <c r="AC23" s="14">
        <f>VLOOKUP(A:A,[4]TDSheet!$A:$D,4,0)</f>
        <v>119.94</v>
      </c>
      <c r="AD23" s="14">
        <f>VLOOKUP(A:A,[1]TDSheet!$A:$AE,31,0)</f>
        <v>1041.7894000000001</v>
      </c>
      <c r="AE23" s="14">
        <f>VLOOKUP(A:A,[1]TDSheet!$A:$AF,32,0)</f>
        <v>1120.8812</v>
      </c>
      <c r="AF23" s="14">
        <f>VLOOKUP(A:A,[1]TDSheet!$A:$AG,33,0)</f>
        <v>1186.6727999999998</v>
      </c>
      <c r="AG23" s="14">
        <f>VLOOKUP(A:A,[1]TDSheet!$A:$W,23,0)</f>
        <v>1173.5764000000001</v>
      </c>
      <c r="AH23" s="14">
        <f>VLOOKUP(A:A,[3]TDSheet!$A:$B,2,0)</f>
        <v>2158.0859999999998</v>
      </c>
      <c r="AI23" s="14" t="str">
        <f>VLOOKUP(A:A,[1]TDSheet!$A:$AI,35,0)</f>
        <v>проддек-ян</v>
      </c>
      <c r="AJ23" s="14">
        <f t="shared" si="14"/>
        <v>2000</v>
      </c>
      <c r="AK23" s="14"/>
      <c r="AL23" s="18">
        <f t="shared" si="15"/>
        <v>0.70033666584988619</v>
      </c>
      <c r="AM23" s="14"/>
      <c r="AN23" s="14"/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485.74099999999999</v>
      </c>
      <c r="D24" s="8">
        <v>688.45399999999995</v>
      </c>
      <c r="E24" s="8">
        <v>392.721</v>
      </c>
      <c r="F24" s="8">
        <v>775.37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4">
        <f>VLOOKUP(A:A,[2]TDSheet!$A:$F,6,0)</f>
        <v>384.73899999999998</v>
      </c>
      <c r="K24" s="14">
        <f t="shared" si="10"/>
        <v>7.9820000000000277</v>
      </c>
      <c r="L24" s="14">
        <f>VLOOKUP(A:A,[1]TDSheet!$A:$O,15,0)</f>
        <v>100</v>
      </c>
      <c r="M24" s="14">
        <f>VLOOKUP(A:A,[1]TDSheet!$A:$P,16,0)</f>
        <v>0</v>
      </c>
      <c r="N24" s="14">
        <f>VLOOKUP(A:A,[1]TDSheet!$A:$X,24,0)</f>
        <v>0</v>
      </c>
      <c r="O24" s="14"/>
      <c r="P24" s="14"/>
      <c r="Q24" s="14"/>
      <c r="R24" s="14"/>
      <c r="S24" s="14"/>
      <c r="T24" s="14"/>
      <c r="U24" s="14"/>
      <c r="V24" s="14"/>
      <c r="W24" s="14">
        <f t="shared" si="11"/>
        <v>78.544200000000004</v>
      </c>
      <c r="X24" s="16"/>
      <c r="Y24" s="17">
        <f t="shared" si="12"/>
        <v>11.144934953822178</v>
      </c>
      <c r="Z24" s="14">
        <f t="shared" si="13"/>
        <v>9.8717664703440864</v>
      </c>
      <c r="AA24" s="14"/>
      <c r="AB24" s="14"/>
      <c r="AC24" s="14">
        <v>0</v>
      </c>
      <c r="AD24" s="14">
        <f>VLOOKUP(A:A,[1]TDSheet!$A:$AE,31,0)</f>
        <v>73.485199999999992</v>
      </c>
      <c r="AE24" s="14">
        <f>VLOOKUP(A:A,[1]TDSheet!$A:$AF,32,0)</f>
        <v>54.423199999999994</v>
      </c>
      <c r="AF24" s="14">
        <f>VLOOKUP(A:A,[1]TDSheet!$A:$AG,33,0)</f>
        <v>88.0488</v>
      </c>
      <c r="AG24" s="14">
        <f>VLOOKUP(A:A,[1]TDSheet!$A:$W,23,0)</f>
        <v>61.163199999999996</v>
      </c>
      <c r="AH24" s="14">
        <f>VLOOKUP(A:A,[3]TDSheet!$A:$B,2,0)</f>
        <v>107.322</v>
      </c>
      <c r="AI24" s="19" t="str">
        <f>VLOOKUP(A:A,[1]TDSheet!$A:$AI,35,0)</f>
        <v>2дн непр</v>
      </c>
      <c r="AJ24" s="14">
        <f t="shared" si="14"/>
        <v>0</v>
      </c>
      <c r="AK24" s="14"/>
      <c r="AL24" s="18">
        <f t="shared" si="15"/>
        <v>0.36638987983835847</v>
      </c>
      <c r="AM24" s="14"/>
      <c r="AN24" s="14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501.95</v>
      </c>
      <c r="D25" s="8">
        <v>810.76700000000005</v>
      </c>
      <c r="E25" s="8">
        <v>841.59699999999998</v>
      </c>
      <c r="F25" s="8">
        <v>465.81599999999997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4">
        <f>VLOOKUP(A:A,[2]TDSheet!$A:$F,6,0)</f>
        <v>823.19500000000005</v>
      </c>
      <c r="K25" s="14">
        <f t="shared" si="10"/>
        <v>18.40199999999993</v>
      </c>
      <c r="L25" s="14">
        <f>VLOOKUP(A:A,[1]TDSheet!$A:$O,15,0)</f>
        <v>100</v>
      </c>
      <c r="M25" s="14">
        <f>VLOOKUP(A:A,[1]TDSheet!$A:$P,16,0)</f>
        <v>200</v>
      </c>
      <c r="N25" s="14">
        <f>VLOOKUP(A:A,[1]TDSheet!$A:$X,24,0)</f>
        <v>100</v>
      </c>
      <c r="O25" s="14"/>
      <c r="P25" s="14"/>
      <c r="Q25" s="14"/>
      <c r="R25" s="14"/>
      <c r="S25" s="14"/>
      <c r="T25" s="14"/>
      <c r="U25" s="14"/>
      <c r="V25" s="14"/>
      <c r="W25" s="14">
        <f t="shared" si="11"/>
        <v>168.3194</v>
      </c>
      <c r="X25" s="16">
        <v>250</v>
      </c>
      <c r="Y25" s="17">
        <f t="shared" si="12"/>
        <v>6.6291586115444803</v>
      </c>
      <c r="Z25" s="14">
        <f t="shared" si="13"/>
        <v>2.7674528307491588</v>
      </c>
      <c r="AA25" s="14"/>
      <c r="AB25" s="14"/>
      <c r="AC25" s="14">
        <v>0</v>
      </c>
      <c r="AD25" s="14">
        <f>VLOOKUP(A:A,[1]TDSheet!$A:$AE,31,0)</f>
        <v>136.41140000000001</v>
      </c>
      <c r="AE25" s="14">
        <f>VLOOKUP(A:A,[1]TDSheet!$A:$AF,32,0)</f>
        <v>128.01519999999999</v>
      </c>
      <c r="AF25" s="14">
        <f>VLOOKUP(A:A,[1]TDSheet!$A:$AG,33,0)</f>
        <v>165.38720000000001</v>
      </c>
      <c r="AG25" s="14">
        <f>VLOOKUP(A:A,[1]TDSheet!$A:$W,23,0)</f>
        <v>136.9958</v>
      </c>
      <c r="AH25" s="14">
        <f>VLOOKUP(A:A,[3]TDSheet!$A:$B,2,0)</f>
        <v>156.899</v>
      </c>
      <c r="AI25" s="14">
        <f>VLOOKUP(A:A,[1]TDSheet!$A:$AI,35,0)</f>
        <v>0</v>
      </c>
      <c r="AJ25" s="14">
        <f t="shared" si="14"/>
        <v>250</v>
      </c>
      <c r="AK25" s="14"/>
      <c r="AL25" s="18">
        <f t="shared" si="15"/>
        <v>-6.7849576459992123E-2</v>
      </c>
      <c r="AM25" s="14"/>
      <c r="AN25" s="14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164.405</v>
      </c>
      <c r="D26" s="8">
        <v>244.67500000000001</v>
      </c>
      <c r="E26" s="8">
        <v>188.29</v>
      </c>
      <c r="F26" s="8">
        <v>219.11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4">
        <f>VLOOKUP(A:A,[2]TDSheet!$A:$F,6,0)</f>
        <v>181.72800000000001</v>
      </c>
      <c r="K26" s="14">
        <f t="shared" si="10"/>
        <v>6.5619999999999834</v>
      </c>
      <c r="L26" s="14">
        <f>VLOOKUP(A:A,[1]TDSheet!$A:$O,15,0)</f>
        <v>30</v>
      </c>
      <c r="M26" s="14">
        <f>VLOOKUP(A:A,[1]TDSheet!$A:$P,16,0)</f>
        <v>40</v>
      </c>
      <c r="N26" s="14">
        <f>VLOOKUP(A:A,[1]TDSheet!$A:$X,24,0)</f>
        <v>0</v>
      </c>
      <c r="O26" s="14"/>
      <c r="P26" s="14"/>
      <c r="Q26" s="14"/>
      <c r="R26" s="14"/>
      <c r="S26" s="14"/>
      <c r="T26" s="14"/>
      <c r="U26" s="14"/>
      <c r="V26" s="14"/>
      <c r="W26" s="14">
        <f t="shared" si="11"/>
        <v>37.658000000000001</v>
      </c>
      <c r="X26" s="16">
        <v>50</v>
      </c>
      <c r="Y26" s="17">
        <f t="shared" si="12"/>
        <v>9.00499229911307</v>
      </c>
      <c r="Z26" s="14">
        <f t="shared" si="13"/>
        <v>5.8184183971533274</v>
      </c>
      <c r="AA26" s="14"/>
      <c r="AB26" s="14"/>
      <c r="AC26" s="14">
        <v>0</v>
      </c>
      <c r="AD26" s="14">
        <f>VLOOKUP(A:A,[1]TDSheet!$A:$AE,31,0)</f>
        <v>35.250799999999998</v>
      </c>
      <c r="AE26" s="14">
        <f>VLOOKUP(A:A,[1]TDSheet!$A:$AF,32,0)</f>
        <v>38.140799999999999</v>
      </c>
      <c r="AF26" s="14">
        <f>VLOOKUP(A:A,[1]TDSheet!$A:$AG,33,0)</f>
        <v>52.771400000000007</v>
      </c>
      <c r="AG26" s="14">
        <f>VLOOKUP(A:A,[1]TDSheet!$A:$W,23,0)</f>
        <v>35.9084</v>
      </c>
      <c r="AH26" s="14">
        <f>VLOOKUP(A:A,[3]TDSheet!$A:$B,2,0)</f>
        <v>58.052999999999997</v>
      </c>
      <c r="AI26" s="14">
        <f>VLOOKUP(A:A,[1]TDSheet!$A:$AI,35,0)</f>
        <v>0</v>
      </c>
      <c r="AJ26" s="14">
        <f t="shared" si="14"/>
        <v>50</v>
      </c>
      <c r="AK26" s="14"/>
      <c r="AL26" s="18">
        <f t="shared" si="15"/>
        <v>0.54158478942057453</v>
      </c>
      <c r="AM26" s="14"/>
      <c r="AN26" s="14"/>
    </row>
    <row r="27" spans="1:40" s="1" customFormat="1" ht="21.95" customHeight="1" outlineLevel="1" x14ac:dyDescent="0.2">
      <c r="A27" s="7" t="s">
        <v>30</v>
      </c>
      <c r="B27" s="7" t="s">
        <v>8</v>
      </c>
      <c r="C27" s="8">
        <v>221.96100000000001</v>
      </c>
      <c r="D27" s="8">
        <v>560.61599999999999</v>
      </c>
      <c r="E27" s="8">
        <v>476.64800000000002</v>
      </c>
      <c r="F27" s="8">
        <v>300.67200000000003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4">
        <f>VLOOKUP(A:A,[2]TDSheet!$A:$F,6,0)</f>
        <v>467.58</v>
      </c>
      <c r="K27" s="14">
        <f t="shared" si="10"/>
        <v>9.0680000000000405</v>
      </c>
      <c r="L27" s="14">
        <f>VLOOKUP(A:A,[1]TDSheet!$A:$O,15,0)</f>
        <v>100</v>
      </c>
      <c r="M27" s="14">
        <f>VLOOKUP(A:A,[1]TDSheet!$A:$P,16,0)</f>
        <v>50</v>
      </c>
      <c r="N27" s="14">
        <f>VLOOKUP(A:A,[1]TDSheet!$A:$X,24,0)</f>
        <v>50</v>
      </c>
      <c r="O27" s="14"/>
      <c r="P27" s="14"/>
      <c r="Q27" s="14"/>
      <c r="R27" s="14"/>
      <c r="S27" s="14"/>
      <c r="T27" s="14"/>
      <c r="U27" s="14"/>
      <c r="V27" s="14"/>
      <c r="W27" s="14">
        <f t="shared" si="11"/>
        <v>95.329599999999999</v>
      </c>
      <c r="X27" s="16">
        <v>180</v>
      </c>
      <c r="Y27" s="17">
        <f t="shared" si="12"/>
        <v>7.1401956999714677</v>
      </c>
      <c r="Z27" s="14">
        <f t="shared" si="13"/>
        <v>3.1540256121918064</v>
      </c>
      <c r="AA27" s="14"/>
      <c r="AB27" s="14"/>
      <c r="AC27" s="14">
        <v>0</v>
      </c>
      <c r="AD27" s="14">
        <f>VLOOKUP(A:A,[1]TDSheet!$A:$AE,31,0)</f>
        <v>66.286000000000001</v>
      </c>
      <c r="AE27" s="14">
        <f>VLOOKUP(A:A,[1]TDSheet!$A:$AF,32,0)</f>
        <v>84.236599999999996</v>
      </c>
      <c r="AF27" s="14">
        <f>VLOOKUP(A:A,[1]TDSheet!$A:$AG,33,0)</f>
        <v>89.378</v>
      </c>
      <c r="AG27" s="14">
        <f>VLOOKUP(A:A,[1]TDSheet!$A:$W,23,0)</f>
        <v>71.462999999999994</v>
      </c>
      <c r="AH27" s="14">
        <f>VLOOKUP(A:A,[3]TDSheet!$A:$B,2,0)</f>
        <v>128.679</v>
      </c>
      <c r="AI27" s="14" t="str">
        <f>VLOOKUP(A:A,[1]TDSheet!$A:$AI,35,0)</f>
        <v>жц</v>
      </c>
      <c r="AJ27" s="14">
        <f t="shared" si="14"/>
        <v>180</v>
      </c>
      <c r="AK27" s="14"/>
      <c r="AL27" s="18">
        <f t="shared" si="15"/>
        <v>0.34983258085631319</v>
      </c>
      <c r="AM27" s="14"/>
      <c r="AN27" s="14"/>
    </row>
    <row r="28" spans="1:40" s="1" customFormat="1" ht="11.1" customHeight="1" outlineLevel="1" x14ac:dyDescent="0.2">
      <c r="A28" s="7" t="s">
        <v>31</v>
      </c>
      <c r="B28" s="7" t="s">
        <v>8</v>
      </c>
      <c r="C28" s="8">
        <v>172.691</v>
      </c>
      <c r="D28" s="8">
        <v>569.548</v>
      </c>
      <c r="E28" s="8">
        <v>598.10199999999998</v>
      </c>
      <c r="F28" s="8">
        <v>129.19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4">
        <f>VLOOKUP(A:A,[2]TDSheet!$A:$F,6,0)</f>
        <v>586.57299999999998</v>
      </c>
      <c r="K28" s="14">
        <f t="shared" si="10"/>
        <v>11.528999999999996</v>
      </c>
      <c r="L28" s="14">
        <f>VLOOKUP(A:A,[1]TDSheet!$A:$O,15,0)</f>
        <v>100</v>
      </c>
      <c r="M28" s="14">
        <f>VLOOKUP(A:A,[1]TDSheet!$A:$P,16,0)</f>
        <v>120</v>
      </c>
      <c r="N28" s="14">
        <f>VLOOKUP(A:A,[1]TDSheet!$A:$X,24,0)</f>
        <v>100</v>
      </c>
      <c r="O28" s="14"/>
      <c r="P28" s="14"/>
      <c r="Q28" s="14"/>
      <c r="R28" s="14"/>
      <c r="S28" s="14"/>
      <c r="T28" s="14"/>
      <c r="U28" s="14"/>
      <c r="V28" s="14"/>
      <c r="W28" s="14">
        <f t="shared" si="11"/>
        <v>119.62039999999999</v>
      </c>
      <c r="X28" s="16">
        <v>280</v>
      </c>
      <c r="Y28" s="17">
        <f t="shared" si="12"/>
        <v>6.0958665913172014</v>
      </c>
      <c r="Z28" s="14">
        <f t="shared" si="13"/>
        <v>1.0799997324871009</v>
      </c>
      <c r="AA28" s="14"/>
      <c r="AB28" s="14"/>
      <c r="AC28" s="14">
        <v>0</v>
      </c>
      <c r="AD28" s="14">
        <f>VLOOKUP(A:A,[1]TDSheet!$A:$AE,31,0)</f>
        <v>72.323400000000007</v>
      </c>
      <c r="AE28" s="14">
        <f>VLOOKUP(A:A,[1]TDSheet!$A:$AF,32,0)</f>
        <v>81.914400000000001</v>
      </c>
      <c r="AF28" s="14">
        <f>VLOOKUP(A:A,[1]TDSheet!$A:$AG,33,0)</f>
        <v>86.447599999999994</v>
      </c>
      <c r="AG28" s="14">
        <f>VLOOKUP(A:A,[1]TDSheet!$A:$W,23,0)</f>
        <v>80.891800000000003</v>
      </c>
      <c r="AH28" s="14">
        <f>VLOOKUP(A:A,[3]TDSheet!$A:$B,2,0)</f>
        <v>185.589</v>
      </c>
      <c r="AI28" s="14">
        <f>VLOOKUP(A:A,[1]TDSheet!$A:$AI,35,0)</f>
        <v>0</v>
      </c>
      <c r="AJ28" s="14">
        <f t="shared" si="14"/>
        <v>280</v>
      </c>
      <c r="AK28" s="14"/>
      <c r="AL28" s="18">
        <f t="shared" si="15"/>
        <v>0.55148285743903225</v>
      </c>
      <c r="AM28" s="14"/>
      <c r="AN28" s="14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64.933000000000007</v>
      </c>
      <c r="D29" s="8">
        <v>117.72199999999999</v>
      </c>
      <c r="E29" s="8">
        <v>109.946</v>
      </c>
      <c r="F29" s="8">
        <v>70.075000000000003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4">
        <f>VLOOKUP(A:A,[2]TDSheet!$A:$F,6,0)</f>
        <v>117.10299999999999</v>
      </c>
      <c r="K29" s="14">
        <f t="shared" si="10"/>
        <v>-7.1569999999999965</v>
      </c>
      <c r="L29" s="14">
        <f>VLOOKUP(A:A,[1]TDSheet!$A:$O,15,0)</f>
        <v>20</v>
      </c>
      <c r="M29" s="14">
        <f>VLOOKUP(A:A,[1]TDSheet!$A:$P,16,0)</f>
        <v>0</v>
      </c>
      <c r="N29" s="14">
        <f>VLOOKUP(A:A,[1]TDSheet!$A:$X,24,0)</f>
        <v>40</v>
      </c>
      <c r="O29" s="14"/>
      <c r="P29" s="14"/>
      <c r="Q29" s="14"/>
      <c r="R29" s="14"/>
      <c r="S29" s="14"/>
      <c r="T29" s="14"/>
      <c r="U29" s="14"/>
      <c r="V29" s="14"/>
      <c r="W29" s="14">
        <f t="shared" si="11"/>
        <v>21.9892</v>
      </c>
      <c r="X29" s="16">
        <v>20</v>
      </c>
      <c r="Y29" s="17">
        <f t="shared" si="12"/>
        <v>6.8249413348371011</v>
      </c>
      <c r="Z29" s="14">
        <f t="shared" si="13"/>
        <v>3.1867916977425281</v>
      </c>
      <c r="AA29" s="14"/>
      <c r="AB29" s="14"/>
      <c r="AC29" s="14">
        <v>0</v>
      </c>
      <c r="AD29" s="14">
        <f>VLOOKUP(A:A,[1]TDSheet!$A:$AE,31,0)</f>
        <v>23.211000000000002</v>
      </c>
      <c r="AE29" s="14">
        <f>VLOOKUP(A:A,[1]TDSheet!$A:$AF,32,0)</f>
        <v>21.4802</v>
      </c>
      <c r="AF29" s="14">
        <f>VLOOKUP(A:A,[1]TDSheet!$A:$AG,33,0)</f>
        <v>18.440999999999999</v>
      </c>
      <c r="AG29" s="14">
        <f>VLOOKUP(A:A,[1]TDSheet!$A:$W,23,0)</f>
        <v>21.8674</v>
      </c>
      <c r="AH29" s="14">
        <f>VLOOKUP(A:A,[3]TDSheet!$A:$B,2,0)</f>
        <v>28.431000000000001</v>
      </c>
      <c r="AI29" s="14">
        <f>VLOOKUP(A:A,[1]TDSheet!$A:$AI,35,0)</f>
        <v>0</v>
      </c>
      <c r="AJ29" s="14">
        <f t="shared" si="14"/>
        <v>20</v>
      </c>
      <c r="AK29" s="14"/>
      <c r="AL29" s="18">
        <f t="shared" si="15"/>
        <v>0.29295290415294795</v>
      </c>
      <c r="AM29" s="14"/>
      <c r="AN29" s="14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24.053000000000001</v>
      </c>
      <c r="D30" s="8">
        <v>234.57300000000001</v>
      </c>
      <c r="E30" s="8">
        <v>114.504</v>
      </c>
      <c r="F30" s="8">
        <v>140.99199999999999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4">
        <f>VLOOKUP(A:A,[2]TDSheet!$A:$F,6,0)</f>
        <v>109.101</v>
      </c>
      <c r="K30" s="14">
        <f t="shared" si="10"/>
        <v>5.4030000000000058</v>
      </c>
      <c r="L30" s="14">
        <f>VLOOKUP(A:A,[1]TDSheet!$A:$O,15,0)</f>
        <v>40</v>
      </c>
      <c r="M30" s="14">
        <f>VLOOKUP(A:A,[1]TDSheet!$A:$P,16,0)</f>
        <v>0</v>
      </c>
      <c r="N30" s="14">
        <f>VLOOKUP(A:A,[1]TDSheet!$A:$X,24,0)</f>
        <v>20</v>
      </c>
      <c r="O30" s="14"/>
      <c r="P30" s="14"/>
      <c r="Q30" s="14"/>
      <c r="R30" s="14"/>
      <c r="S30" s="14"/>
      <c r="T30" s="14"/>
      <c r="U30" s="14"/>
      <c r="V30" s="14"/>
      <c r="W30" s="14">
        <f t="shared" si="11"/>
        <v>22.9008</v>
      </c>
      <c r="X30" s="16"/>
      <c r="Y30" s="17">
        <f t="shared" si="12"/>
        <v>8.7766366240480682</v>
      </c>
      <c r="Z30" s="14">
        <f t="shared" si="13"/>
        <v>6.1566408160413602</v>
      </c>
      <c r="AA30" s="14"/>
      <c r="AB30" s="14"/>
      <c r="AC30" s="14">
        <v>0</v>
      </c>
      <c r="AD30" s="14">
        <f>VLOOKUP(A:A,[1]TDSheet!$A:$AE,31,0)</f>
        <v>28.753399999999999</v>
      </c>
      <c r="AE30" s="14">
        <f>VLOOKUP(A:A,[1]TDSheet!$A:$AF,32,0)</f>
        <v>30.839199999999998</v>
      </c>
      <c r="AF30" s="14">
        <f>VLOOKUP(A:A,[1]TDSheet!$A:$AG,33,0)</f>
        <v>28.170800000000003</v>
      </c>
      <c r="AG30" s="14">
        <f>VLOOKUP(A:A,[1]TDSheet!$A:$W,23,0)</f>
        <v>30.975599999999996</v>
      </c>
      <c r="AH30" s="14">
        <f>VLOOKUP(A:A,[3]TDSheet!$A:$B,2,0)</f>
        <v>24.28</v>
      </c>
      <c r="AI30" s="19" t="s">
        <v>140</v>
      </c>
      <c r="AJ30" s="14">
        <f t="shared" si="14"/>
        <v>0</v>
      </c>
      <c r="AK30" s="14"/>
      <c r="AL30" s="18">
        <f t="shared" si="15"/>
        <v>6.0224970306714143E-2</v>
      </c>
      <c r="AM30" s="14"/>
      <c r="AN30" s="14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947.351</v>
      </c>
      <c r="D31" s="8">
        <v>1409.577</v>
      </c>
      <c r="E31" s="8">
        <v>1796.0219999999999</v>
      </c>
      <c r="F31" s="8">
        <v>534.21400000000006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4">
        <f>VLOOKUP(A:A,[2]TDSheet!$A:$F,6,0)</f>
        <v>1805.203</v>
      </c>
      <c r="K31" s="14">
        <f t="shared" si="10"/>
        <v>-9.18100000000004</v>
      </c>
      <c r="L31" s="14">
        <f>VLOOKUP(A:A,[1]TDSheet!$A:$O,15,0)</f>
        <v>300</v>
      </c>
      <c r="M31" s="14">
        <f>VLOOKUP(A:A,[1]TDSheet!$A:$P,16,0)</f>
        <v>300</v>
      </c>
      <c r="N31" s="14">
        <f>VLOOKUP(A:A,[1]TDSheet!$A:$X,24,0)</f>
        <v>600</v>
      </c>
      <c r="O31" s="14"/>
      <c r="P31" s="14"/>
      <c r="Q31" s="14"/>
      <c r="R31" s="14"/>
      <c r="S31" s="14"/>
      <c r="T31" s="14"/>
      <c r="U31" s="14"/>
      <c r="V31" s="14"/>
      <c r="W31" s="14">
        <f t="shared" si="11"/>
        <v>359.20439999999996</v>
      </c>
      <c r="X31" s="16">
        <v>500</v>
      </c>
      <c r="Y31" s="17">
        <f t="shared" si="12"/>
        <v>6.2198959700939076</v>
      </c>
      <c r="Z31" s="14">
        <f t="shared" si="13"/>
        <v>1.4872145218711132</v>
      </c>
      <c r="AA31" s="14"/>
      <c r="AB31" s="14"/>
      <c r="AC31" s="14">
        <v>0</v>
      </c>
      <c r="AD31" s="14">
        <f>VLOOKUP(A:A,[1]TDSheet!$A:$AE,31,0)</f>
        <v>408.3476</v>
      </c>
      <c r="AE31" s="14">
        <f>VLOOKUP(A:A,[1]TDSheet!$A:$AF,32,0)</f>
        <v>364.33580000000001</v>
      </c>
      <c r="AF31" s="14">
        <f>VLOOKUP(A:A,[1]TDSheet!$A:$AG,33,0)</f>
        <v>334.79160000000002</v>
      </c>
      <c r="AG31" s="14">
        <f>VLOOKUP(A:A,[1]TDSheet!$A:$W,23,0)</f>
        <v>326.66060000000004</v>
      </c>
      <c r="AH31" s="14">
        <f>VLOOKUP(A:A,[3]TDSheet!$A:$B,2,0)</f>
        <v>492.16</v>
      </c>
      <c r="AI31" s="14" t="str">
        <f>VLOOKUP(A:A,[1]TDSheet!$A:$AI,35,0)</f>
        <v>оконч</v>
      </c>
      <c r="AJ31" s="14">
        <f t="shared" si="14"/>
        <v>500</v>
      </c>
      <c r="AK31" s="14"/>
      <c r="AL31" s="18">
        <f t="shared" si="15"/>
        <v>0.37013911856313575</v>
      </c>
      <c r="AM31" s="14"/>
      <c r="AN31" s="14"/>
    </row>
    <row r="32" spans="1:40" s="1" customFormat="1" ht="21.95" customHeight="1" outlineLevel="1" x14ac:dyDescent="0.2">
      <c r="A32" s="7" t="s">
        <v>35</v>
      </c>
      <c r="B32" s="7" t="s">
        <v>8</v>
      </c>
      <c r="C32" s="8">
        <v>77.28</v>
      </c>
      <c r="D32" s="8">
        <v>122.384</v>
      </c>
      <c r="E32" s="8">
        <v>146.08500000000001</v>
      </c>
      <c r="F32" s="8">
        <v>50.689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4">
        <f>VLOOKUP(A:A,[2]TDSheet!$A:$F,6,0)</f>
        <v>141.30000000000001</v>
      </c>
      <c r="K32" s="14">
        <f t="shared" si="10"/>
        <v>4.7849999999999966</v>
      </c>
      <c r="L32" s="14">
        <f>VLOOKUP(A:A,[1]TDSheet!$A:$O,15,0)</f>
        <v>0</v>
      </c>
      <c r="M32" s="14">
        <f>VLOOKUP(A:A,[1]TDSheet!$A:$P,16,0)</f>
        <v>0</v>
      </c>
      <c r="N32" s="14">
        <f>VLOOKUP(A:A,[1]TDSheet!$A:$X,24,0)</f>
        <v>120</v>
      </c>
      <c r="O32" s="14"/>
      <c r="P32" s="14"/>
      <c r="Q32" s="14"/>
      <c r="R32" s="14"/>
      <c r="S32" s="14"/>
      <c r="T32" s="14"/>
      <c r="U32" s="14"/>
      <c r="V32" s="14"/>
      <c r="W32" s="14">
        <f t="shared" si="11"/>
        <v>29.217000000000002</v>
      </c>
      <c r="X32" s="16">
        <v>40</v>
      </c>
      <c r="Y32" s="17">
        <f t="shared" si="12"/>
        <v>7.2111784235205523</v>
      </c>
      <c r="Z32" s="14">
        <f t="shared" si="13"/>
        <v>1.7349146045110722</v>
      </c>
      <c r="AA32" s="14"/>
      <c r="AB32" s="14"/>
      <c r="AC32" s="14">
        <v>0</v>
      </c>
      <c r="AD32" s="14">
        <f>VLOOKUP(A:A,[1]TDSheet!$A:$AE,31,0)</f>
        <v>25.421600000000002</v>
      </c>
      <c r="AE32" s="14">
        <f>VLOOKUP(A:A,[1]TDSheet!$A:$AF,32,0)</f>
        <v>19.1998</v>
      </c>
      <c r="AF32" s="14">
        <f>VLOOKUP(A:A,[1]TDSheet!$A:$AG,33,0)</f>
        <v>19.645</v>
      </c>
      <c r="AG32" s="14">
        <f>VLOOKUP(A:A,[1]TDSheet!$A:$W,23,0)</f>
        <v>26.098399999999998</v>
      </c>
      <c r="AH32" s="14">
        <f>VLOOKUP(A:A,[3]TDSheet!$A:$B,2,0)</f>
        <v>25.106999999999999</v>
      </c>
      <c r="AI32" s="14">
        <f>VLOOKUP(A:A,[1]TDSheet!$A:$AI,35,0)</f>
        <v>0</v>
      </c>
      <c r="AJ32" s="14">
        <f t="shared" si="14"/>
        <v>40</v>
      </c>
      <c r="AK32" s="14"/>
      <c r="AL32" s="18">
        <f t="shared" si="15"/>
        <v>-0.14067152685080608</v>
      </c>
      <c r="AM32" s="14"/>
      <c r="AN32" s="14"/>
    </row>
    <row r="33" spans="1:40" s="1" customFormat="1" ht="11.1" customHeight="1" outlineLevel="1" x14ac:dyDescent="0.2">
      <c r="A33" s="7" t="s">
        <v>36</v>
      </c>
      <c r="B33" s="7" t="s">
        <v>8</v>
      </c>
      <c r="C33" s="8">
        <v>92.682000000000002</v>
      </c>
      <c r="D33" s="8">
        <v>176.114</v>
      </c>
      <c r="E33" s="8">
        <v>142.64500000000001</v>
      </c>
      <c r="F33" s="8">
        <v>126.151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4">
        <f>VLOOKUP(A:A,[2]TDSheet!$A:$F,6,0)</f>
        <v>147.80000000000001</v>
      </c>
      <c r="K33" s="14">
        <f t="shared" si="10"/>
        <v>-5.1550000000000011</v>
      </c>
      <c r="L33" s="14">
        <f>VLOOKUP(A:A,[1]TDSheet!$A:$O,15,0)</f>
        <v>20</v>
      </c>
      <c r="M33" s="14">
        <f>VLOOKUP(A:A,[1]TDSheet!$A:$P,16,0)</f>
        <v>60</v>
      </c>
      <c r="N33" s="14">
        <f>VLOOKUP(A:A,[1]TDSheet!$A:$X,24,0)</f>
        <v>0</v>
      </c>
      <c r="O33" s="14"/>
      <c r="P33" s="14"/>
      <c r="Q33" s="14"/>
      <c r="R33" s="14"/>
      <c r="S33" s="14"/>
      <c r="T33" s="14"/>
      <c r="U33" s="14"/>
      <c r="V33" s="14"/>
      <c r="W33" s="14">
        <f t="shared" si="11"/>
        <v>28.529000000000003</v>
      </c>
      <c r="X33" s="16">
        <v>20</v>
      </c>
      <c r="Y33" s="17">
        <f t="shared" si="12"/>
        <v>7.9270566791685644</v>
      </c>
      <c r="Z33" s="14">
        <f t="shared" si="13"/>
        <v>4.4218514494023617</v>
      </c>
      <c r="AA33" s="14"/>
      <c r="AB33" s="14"/>
      <c r="AC33" s="14">
        <v>0</v>
      </c>
      <c r="AD33" s="14">
        <f>VLOOKUP(A:A,[1]TDSheet!$A:$AE,31,0)</f>
        <v>24.043399999999998</v>
      </c>
      <c r="AE33" s="14">
        <f>VLOOKUP(A:A,[1]TDSheet!$A:$AF,32,0)</f>
        <v>24.002800000000001</v>
      </c>
      <c r="AF33" s="14">
        <f>VLOOKUP(A:A,[1]TDSheet!$A:$AG,33,0)</f>
        <v>16.987200000000001</v>
      </c>
      <c r="AG33" s="14">
        <f>VLOOKUP(A:A,[1]TDSheet!$A:$W,23,0)</f>
        <v>26.175999999999998</v>
      </c>
      <c r="AH33" s="14">
        <f>VLOOKUP(A:A,[3]TDSheet!$A:$B,2,0)</f>
        <v>37.595999999999997</v>
      </c>
      <c r="AI33" s="14">
        <f>VLOOKUP(A:A,[1]TDSheet!$A:$AI,35,0)</f>
        <v>0</v>
      </c>
      <c r="AJ33" s="14">
        <f t="shared" si="14"/>
        <v>20</v>
      </c>
      <c r="AK33" s="14"/>
      <c r="AL33" s="18">
        <f t="shared" si="15"/>
        <v>0.31781695818290134</v>
      </c>
      <c r="AM33" s="14"/>
      <c r="AN33" s="14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694.06700000000001</v>
      </c>
      <c r="D34" s="8">
        <v>946.73</v>
      </c>
      <c r="E34" s="8">
        <v>933.17700000000002</v>
      </c>
      <c r="F34" s="8">
        <v>690.178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4">
        <f>VLOOKUP(A:A,[2]TDSheet!$A:$F,6,0)</f>
        <v>898.91700000000003</v>
      </c>
      <c r="K34" s="14">
        <f t="shared" si="10"/>
        <v>34.259999999999991</v>
      </c>
      <c r="L34" s="14">
        <f>VLOOKUP(A:A,[1]TDSheet!$A:$O,15,0)</f>
        <v>200</v>
      </c>
      <c r="M34" s="14">
        <f>VLOOKUP(A:A,[1]TDSheet!$A:$P,16,0)</f>
        <v>100</v>
      </c>
      <c r="N34" s="14">
        <f>VLOOKUP(A:A,[1]TDSheet!$A:$X,24,0)</f>
        <v>200</v>
      </c>
      <c r="O34" s="14"/>
      <c r="P34" s="14"/>
      <c r="Q34" s="14"/>
      <c r="R34" s="14"/>
      <c r="S34" s="14"/>
      <c r="T34" s="14"/>
      <c r="U34" s="14"/>
      <c r="V34" s="14"/>
      <c r="W34" s="14">
        <f t="shared" si="11"/>
        <v>186.6354</v>
      </c>
      <c r="X34" s="16">
        <v>120</v>
      </c>
      <c r="Y34" s="17">
        <f t="shared" si="12"/>
        <v>7.0199865620348545</v>
      </c>
      <c r="Z34" s="14">
        <f t="shared" si="13"/>
        <v>3.6980015581181274</v>
      </c>
      <c r="AA34" s="14"/>
      <c r="AB34" s="14"/>
      <c r="AC34" s="14">
        <v>0</v>
      </c>
      <c r="AD34" s="14">
        <f>VLOOKUP(A:A,[1]TDSheet!$A:$AE,31,0)</f>
        <v>195.91739999999999</v>
      </c>
      <c r="AE34" s="14">
        <f>VLOOKUP(A:A,[1]TDSheet!$A:$AF,32,0)</f>
        <v>239.15120000000002</v>
      </c>
      <c r="AF34" s="14">
        <f>VLOOKUP(A:A,[1]TDSheet!$A:$AG,33,0)</f>
        <v>219.10579999999999</v>
      </c>
      <c r="AG34" s="14">
        <f>VLOOKUP(A:A,[1]TDSheet!$A:$W,23,0)</f>
        <v>198.5076</v>
      </c>
      <c r="AH34" s="14">
        <f>VLOOKUP(A:A,[3]TDSheet!$A:$B,2,0)</f>
        <v>164.232</v>
      </c>
      <c r="AI34" s="14" t="str">
        <f>VLOOKUP(A:A,[1]TDSheet!$A:$AI,35,0)</f>
        <v>жц</v>
      </c>
      <c r="AJ34" s="14">
        <f t="shared" si="14"/>
        <v>120</v>
      </c>
      <c r="AK34" s="14"/>
      <c r="AL34" s="18">
        <f t="shared" si="15"/>
        <v>-0.12003832070443232</v>
      </c>
      <c r="AM34" s="14"/>
      <c r="AN34" s="14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25.111999999999998</v>
      </c>
      <c r="D35" s="8">
        <v>0.92</v>
      </c>
      <c r="E35" s="8">
        <v>12.557</v>
      </c>
      <c r="F35" s="8">
        <v>11.654999999999999</v>
      </c>
      <c r="G35" s="1" t="str">
        <f>VLOOKUP(A:A,[1]TDSheet!$A:$G,7,0)</f>
        <v>вв1912</v>
      </c>
      <c r="H35" s="1">
        <f>VLOOKUP(A:A,[1]TDSheet!$A:$H,8,0)</f>
        <v>0</v>
      </c>
      <c r="I35" s="1">
        <f>VLOOKUP(A:A,[1]TDSheet!$A:$I,9,0)</f>
        <v>45</v>
      </c>
      <c r="J35" s="14">
        <f>VLOOKUP(A:A,[2]TDSheet!$A:$F,6,0)</f>
        <v>14</v>
      </c>
      <c r="K35" s="14">
        <f t="shared" si="10"/>
        <v>-1.4429999999999996</v>
      </c>
      <c r="L35" s="14">
        <f>VLOOKUP(A:A,[1]TDSheet!$A:$O,15,0)</f>
        <v>0</v>
      </c>
      <c r="M35" s="14">
        <f>VLOOKUP(A:A,[1]TDSheet!$A:$P,16,0)</f>
        <v>0</v>
      </c>
      <c r="N35" s="14">
        <f>VLOOKUP(A:A,[1]TDSheet!$A:$X,24,0)</f>
        <v>0</v>
      </c>
      <c r="O35" s="14"/>
      <c r="P35" s="14"/>
      <c r="Q35" s="14"/>
      <c r="R35" s="14"/>
      <c r="S35" s="14"/>
      <c r="T35" s="14"/>
      <c r="U35" s="14"/>
      <c r="V35" s="14"/>
      <c r="W35" s="14">
        <f t="shared" si="11"/>
        <v>2.5114000000000001</v>
      </c>
      <c r="X35" s="16"/>
      <c r="Y35" s="17">
        <f t="shared" si="12"/>
        <v>4.640837779724456</v>
      </c>
      <c r="Z35" s="14">
        <f t="shared" si="13"/>
        <v>4.640837779724456</v>
      </c>
      <c r="AA35" s="14"/>
      <c r="AB35" s="14"/>
      <c r="AC35" s="14">
        <v>0</v>
      </c>
      <c r="AD35" s="14">
        <f>VLOOKUP(A:A,[1]TDSheet!$A:$AE,31,0)</f>
        <v>3.6008000000000004</v>
      </c>
      <c r="AE35" s="14">
        <f>VLOOKUP(A:A,[1]TDSheet!$A:$AF,32,0)</f>
        <v>1.0891999999999999</v>
      </c>
      <c r="AF35" s="14">
        <f>VLOOKUP(A:A,[1]TDSheet!$A:$AG,33,0)</f>
        <v>0.36659999999999998</v>
      </c>
      <c r="AG35" s="14">
        <f>VLOOKUP(A:A,[1]TDSheet!$A:$W,23,0)</f>
        <v>0.5514</v>
      </c>
      <c r="AH35" s="14">
        <v>0</v>
      </c>
      <c r="AI35" s="14" t="str">
        <f>VLOOKUP(A:A,[1]TDSheet!$A:$AI,35,0)</f>
        <v>увел</v>
      </c>
      <c r="AJ35" s="14">
        <f t="shared" si="14"/>
        <v>0</v>
      </c>
      <c r="AK35" s="14"/>
      <c r="AL35" s="18">
        <f t="shared" si="15"/>
        <v>-1</v>
      </c>
      <c r="AM35" s="14"/>
      <c r="AN35" s="14"/>
    </row>
    <row r="36" spans="1:40" s="1" customFormat="1" ht="11.1" customHeight="1" outlineLevel="1" x14ac:dyDescent="0.2">
      <c r="A36" s="7" t="s">
        <v>39</v>
      </c>
      <c r="B36" s="7" t="s">
        <v>8</v>
      </c>
      <c r="C36" s="8">
        <v>17.896999999999998</v>
      </c>
      <c r="D36" s="8"/>
      <c r="E36" s="8">
        <v>5.3849999999999998</v>
      </c>
      <c r="F36" s="8">
        <v>10.182</v>
      </c>
      <c r="G36" s="1" t="str">
        <f>VLOOKUP(A:A,[1]TDSheet!$A:$G,7,0)</f>
        <v>вв1912</v>
      </c>
      <c r="H36" s="1">
        <f>VLOOKUP(A:A,[1]TDSheet!$A:$H,8,0)</f>
        <v>0</v>
      </c>
      <c r="I36" s="1">
        <f>VLOOKUP(A:A,[1]TDSheet!$A:$I,9,0)</f>
        <v>45</v>
      </c>
      <c r="J36" s="14">
        <f>VLOOKUP(A:A,[2]TDSheet!$A:$F,6,0)</f>
        <v>6.6</v>
      </c>
      <c r="K36" s="14">
        <f t="shared" si="10"/>
        <v>-1.2149999999999999</v>
      </c>
      <c r="L36" s="14">
        <f>VLOOKUP(A:A,[1]TDSheet!$A:$O,15,0)</f>
        <v>0</v>
      </c>
      <c r="M36" s="14">
        <f>VLOOKUP(A:A,[1]TDSheet!$A:$P,16,0)</f>
        <v>0</v>
      </c>
      <c r="N36" s="14">
        <f>VLOOKUP(A:A,[1]TDSheet!$A:$X,24,0)</f>
        <v>0</v>
      </c>
      <c r="O36" s="14"/>
      <c r="P36" s="14"/>
      <c r="Q36" s="14"/>
      <c r="R36" s="14"/>
      <c r="S36" s="14"/>
      <c r="T36" s="14"/>
      <c r="U36" s="14"/>
      <c r="V36" s="14"/>
      <c r="W36" s="14">
        <f t="shared" si="11"/>
        <v>1.077</v>
      </c>
      <c r="X36" s="16"/>
      <c r="Y36" s="17">
        <f t="shared" si="12"/>
        <v>9.4540389972144858</v>
      </c>
      <c r="Z36" s="14">
        <f t="shared" si="13"/>
        <v>9.4540389972144858</v>
      </c>
      <c r="AA36" s="14"/>
      <c r="AB36" s="14"/>
      <c r="AC36" s="14">
        <v>0</v>
      </c>
      <c r="AD36" s="14">
        <f>VLOOKUP(A:A,[1]TDSheet!$A:$AE,31,0)</f>
        <v>1.0678000000000001</v>
      </c>
      <c r="AE36" s="14">
        <f>VLOOKUP(A:A,[1]TDSheet!$A:$AF,32,0)</f>
        <v>2.4874000000000001</v>
      </c>
      <c r="AF36" s="14">
        <f>VLOOKUP(A:A,[1]TDSheet!$A:$AG,33,0)</f>
        <v>1.0664</v>
      </c>
      <c r="AG36" s="14">
        <f>VLOOKUP(A:A,[1]TDSheet!$A:$W,23,0)</f>
        <v>1.2609999999999999</v>
      </c>
      <c r="AH36" s="14">
        <f>VLOOKUP(A:A,[3]TDSheet!$A:$B,2,0)</f>
        <v>1.8009999999999999</v>
      </c>
      <c r="AI36" s="14" t="str">
        <f>VLOOKUP(A:A,[1]TDSheet!$A:$AI,35,0)</f>
        <v>увел</v>
      </c>
      <c r="AJ36" s="14">
        <f t="shared" si="14"/>
        <v>0</v>
      </c>
      <c r="AK36" s="14"/>
      <c r="AL36" s="18">
        <f t="shared" si="15"/>
        <v>0.67223769730733518</v>
      </c>
      <c r="AM36" s="14"/>
      <c r="AN36" s="14"/>
    </row>
    <row r="37" spans="1:40" s="1" customFormat="1" ht="21.95" customHeight="1" outlineLevel="1" x14ac:dyDescent="0.2">
      <c r="A37" s="7" t="s">
        <v>40</v>
      </c>
      <c r="B37" s="7" t="s">
        <v>8</v>
      </c>
      <c r="C37" s="8">
        <v>14.35</v>
      </c>
      <c r="D37" s="8"/>
      <c r="E37" s="8">
        <v>14.365</v>
      </c>
      <c r="F37" s="8">
        <v>-1.4999999999999999E-2</v>
      </c>
      <c r="G37" s="1" t="str">
        <f>VLOOKUP(A:A,[1]TDSheet!$A:$G,7,0)</f>
        <v>вв1912</v>
      </c>
      <c r="H37" s="1">
        <f>VLOOKUP(A:A,[1]TDSheet!$A:$H,8,0)</f>
        <v>0</v>
      </c>
      <c r="I37" s="1">
        <f>VLOOKUP(A:A,[1]TDSheet!$A:$I,9,0)</f>
        <v>45</v>
      </c>
      <c r="J37" s="14">
        <f>VLOOKUP(A:A,[2]TDSheet!$A:$F,6,0)</f>
        <v>15.6</v>
      </c>
      <c r="K37" s="14">
        <f t="shared" si="10"/>
        <v>-1.2349999999999994</v>
      </c>
      <c r="L37" s="14">
        <f>VLOOKUP(A:A,[1]TDSheet!$A:$O,15,0)</f>
        <v>0</v>
      </c>
      <c r="M37" s="14">
        <f>VLOOKUP(A:A,[1]TDSheet!$A:$P,16,0)</f>
        <v>0</v>
      </c>
      <c r="N37" s="14">
        <f>VLOOKUP(A:A,[1]TDSheet!$A:$X,24,0)</f>
        <v>0</v>
      </c>
      <c r="O37" s="14"/>
      <c r="P37" s="14"/>
      <c r="Q37" s="14"/>
      <c r="R37" s="14"/>
      <c r="S37" s="14"/>
      <c r="T37" s="14"/>
      <c r="U37" s="14"/>
      <c r="V37" s="14"/>
      <c r="W37" s="14">
        <f t="shared" si="11"/>
        <v>2.8730000000000002</v>
      </c>
      <c r="X37" s="16"/>
      <c r="Y37" s="17">
        <f t="shared" si="12"/>
        <v>-5.2210233205708311E-3</v>
      </c>
      <c r="Z37" s="14">
        <f t="shared" si="13"/>
        <v>-5.2210233205708311E-3</v>
      </c>
      <c r="AA37" s="14"/>
      <c r="AB37" s="14"/>
      <c r="AC37" s="14">
        <v>0</v>
      </c>
      <c r="AD37" s="14">
        <f>VLOOKUP(A:A,[1]TDSheet!$A:$AE,31,0)</f>
        <v>3.4212000000000002</v>
      </c>
      <c r="AE37" s="14">
        <f>VLOOKUP(A:A,[1]TDSheet!$A:$AF,32,0)</f>
        <v>0.90280000000000005</v>
      </c>
      <c r="AF37" s="14">
        <f>VLOOKUP(A:A,[1]TDSheet!$A:$AG,33,0)</f>
        <v>1.254</v>
      </c>
      <c r="AG37" s="14">
        <f>VLOOKUP(A:A,[1]TDSheet!$A:$W,23,0)</f>
        <v>1.0742</v>
      </c>
      <c r="AH37" s="14">
        <f>VLOOKUP(A:A,[3]TDSheet!$A:$B,2,0)</f>
        <v>0.90700000000000003</v>
      </c>
      <c r="AI37" s="14">
        <f>VLOOKUP(A:A,[1]TDSheet!$A:$AI,35,0)</f>
        <v>0</v>
      </c>
      <c r="AJ37" s="14">
        <f t="shared" si="14"/>
        <v>0</v>
      </c>
      <c r="AK37" s="14"/>
      <c r="AL37" s="18">
        <f t="shared" si="15"/>
        <v>-0.68430212321615036</v>
      </c>
      <c r="AM37" s="14"/>
      <c r="AN37" s="14"/>
    </row>
    <row r="38" spans="1:40" s="1" customFormat="1" ht="11.1" customHeight="1" outlineLevel="1" x14ac:dyDescent="0.2">
      <c r="A38" s="7" t="s">
        <v>41</v>
      </c>
      <c r="B38" s="7" t="s">
        <v>12</v>
      </c>
      <c r="C38" s="8">
        <v>688</v>
      </c>
      <c r="D38" s="8">
        <v>2935</v>
      </c>
      <c r="E38" s="8">
        <v>2526</v>
      </c>
      <c r="F38" s="8">
        <v>1059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4">
        <f>VLOOKUP(A:A,[2]TDSheet!$A:$F,6,0)</f>
        <v>2555</v>
      </c>
      <c r="K38" s="14">
        <f t="shared" si="10"/>
        <v>-29</v>
      </c>
      <c r="L38" s="14">
        <f>VLOOKUP(A:A,[1]TDSheet!$A:$O,15,0)</f>
        <v>600</v>
      </c>
      <c r="M38" s="14">
        <f>VLOOKUP(A:A,[1]TDSheet!$A:$P,16,0)</f>
        <v>700</v>
      </c>
      <c r="N38" s="14">
        <f>VLOOKUP(A:A,[1]TDSheet!$A:$X,24,0)</f>
        <v>700</v>
      </c>
      <c r="O38" s="14"/>
      <c r="P38" s="14"/>
      <c r="Q38" s="14"/>
      <c r="R38" s="14"/>
      <c r="S38" s="14"/>
      <c r="T38" s="14"/>
      <c r="U38" s="14"/>
      <c r="V38" s="14"/>
      <c r="W38" s="14">
        <f t="shared" si="11"/>
        <v>385.2</v>
      </c>
      <c r="X38" s="16"/>
      <c r="Y38" s="17">
        <f t="shared" si="12"/>
        <v>7.941329179646937</v>
      </c>
      <c r="Z38" s="14">
        <f t="shared" si="13"/>
        <v>2.7492211838006231</v>
      </c>
      <c r="AA38" s="14"/>
      <c r="AB38" s="14"/>
      <c r="AC38" s="14">
        <f>VLOOKUP(A:A,[4]TDSheet!$A:$D,4,0)</f>
        <v>600</v>
      </c>
      <c r="AD38" s="14">
        <f>VLOOKUP(A:A,[1]TDSheet!$A:$AE,31,0)</f>
        <v>390.8</v>
      </c>
      <c r="AE38" s="14">
        <f>VLOOKUP(A:A,[1]TDSheet!$A:$AF,32,0)</f>
        <v>360.6</v>
      </c>
      <c r="AF38" s="14">
        <f>VLOOKUP(A:A,[1]TDSheet!$A:$AG,33,0)</f>
        <v>336.4</v>
      </c>
      <c r="AG38" s="14">
        <f>VLOOKUP(A:A,[1]TDSheet!$A:$W,23,0)</f>
        <v>372.2</v>
      </c>
      <c r="AH38" s="14">
        <f>VLOOKUP(A:A,[3]TDSheet!$A:$B,2,0)</f>
        <v>442</v>
      </c>
      <c r="AI38" s="14" t="str">
        <f>VLOOKUP(A:A,[1]TDSheet!$A:$AI,35,0)</f>
        <v>оконч</v>
      </c>
      <c r="AJ38" s="14">
        <f t="shared" si="14"/>
        <v>0</v>
      </c>
      <c r="AK38" s="14"/>
      <c r="AL38" s="18">
        <f t="shared" si="15"/>
        <v>0.1474558670820354</v>
      </c>
      <c r="AM38" s="14"/>
      <c r="AN38" s="14"/>
    </row>
    <row r="39" spans="1:40" s="1" customFormat="1" ht="11.1" customHeight="1" outlineLevel="1" x14ac:dyDescent="0.2">
      <c r="A39" s="7" t="s">
        <v>42</v>
      </c>
      <c r="B39" s="7" t="s">
        <v>12</v>
      </c>
      <c r="C39" s="8">
        <v>1549</v>
      </c>
      <c r="D39" s="8">
        <v>4126</v>
      </c>
      <c r="E39" s="8">
        <v>3219</v>
      </c>
      <c r="F39" s="8">
        <v>2396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4">
        <f>VLOOKUP(A:A,[2]TDSheet!$A:$F,6,0)</f>
        <v>3283</v>
      </c>
      <c r="K39" s="14">
        <f t="shared" si="10"/>
        <v>-64</v>
      </c>
      <c r="L39" s="14">
        <f>VLOOKUP(A:A,[1]TDSheet!$A:$O,15,0)</f>
        <v>800</v>
      </c>
      <c r="M39" s="14">
        <f>VLOOKUP(A:A,[1]TDSheet!$A:$P,16,0)</f>
        <v>600</v>
      </c>
      <c r="N39" s="14">
        <f>VLOOKUP(A:A,[1]TDSheet!$A:$X,24,0)</f>
        <v>250</v>
      </c>
      <c r="O39" s="14"/>
      <c r="P39" s="14"/>
      <c r="Q39" s="14"/>
      <c r="R39" s="14"/>
      <c r="S39" s="14"/>
      <c r="T39" s="14"/>
      <c r="U39" s="14"/>
      <c r="V39" s="14"/>
      <c r="W39" s="14">
        <f t="shared" si="11"/>
        <v>583.79999999999995</v>
      </c>
      <c r="X39" s="16">
        <v>100</v>
      </c>
      <c r="Y39" s="17">
        <f t="shared" si="12"/>
        <v>7.1017471736896205</v>
      </c>
      <c r="Z39" s="14">
        <f t="shared" si="13"/>
        <v>4.1041452552243927</v>
      </c>
      <c r="AA39" s="14"/>
      <c r="AB39" s="14"/>
      <c r="AC39" s="14">
        <f>VLOOKUP(A:A,[4]TDSheet!$A:$D,4,0)</f>
        <v>300</v>
      </c>
      <c r="AD39" s="14">
        <f>VLOOKUP(A:A,[1]TDSheet!$A:$AE,31,0)</f>
        <v>611.6</v>
      </c>
      <c r="AE39" s="14">
        <f>VLOOKUP(A:A,[1]TDSheet!$A:$AF,32,0)</f>
        <v>651.4</v>
      </c>
      <c r="AF39" s="14">
        <f>VLOOKUP(A:A,[1]TDSheet!$A:$AG,33,0)</f>
        <v>616</v>
      </c>
      <c r="AG39" s="14">
        <f>VLOOKUP(A:A,[1]TDSheet!$A:$W,23,0)</f>
        <v>605.20000000000005</v>
      </c>
      <c r="AH39" s="14">
        <f>VLOOKUP(A:A,[3]TDSheet!$A:$B,2,0)</f>
        <v>602</v>
      </c>
      <c r="AI39" s="14">
        <f>VLOOKUP(A:A,[1]TDSheet!$A:$AI,35,0)</f>
        <v>0</v>
      </c>
      <c r="AJ39" s="14">
        <f t="shared" si="14"/>
        <v>40</v>
      </c>
      <c r="AK39" s="14"/>
      <c r="AL39" s="18">
        <f t="shared" si="15"/>
        <v>3.1175059952038398E-2</v>
      </c>
      <c r="AM39" s="14"/>
      <c r="AN39" s="14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1869</v>
      </c>
      <c r="D40" s="8">
        <v>3758</v>
      </c>
      <c r="E40" s="8">
        <v>3080</v>
      </c>
      <c r="F40" s="8">
        <v>2500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4">
        <f>VLOOKUP(A:A,[2]TDSheet!$A:$F,6,0)</f>
        <v>3171</v>
      </c>
      <c r="K40" s="14">
        <f t="shared" si="10"/>
        <v>-91</v>
      </c>
      <c r="L40" s="14">
        <f>VLOOKUP(A:A,[1]TDSheet!$A:$O,15,0)</f>
        <v>1000</v>
      </c>
      <c r="M40" s="14">
        <f>VLOOKUP(A:A,[1]TDSheet!$A:$P,16,0)</f>
        <v>600</v>
      </c>
      <c r="N40" s="14">
        <f>VLOOKUP(A:A,[1]TDSheet!$A:$X,24,0)</f>
        <v>1000</v>
      </c>
      <c r="O40" s="14"/>
      <c r="P40" s="14"/>
      <c r="Q40" s="14"/>
      <c r="R40" s="14"/>
      <c r="S40" s="14"/>
      <c r="T40" s="14"/>
      <c r="U40" s="14"/>
      <c r="V40" s="14"/>
      <c r="W40" s="14">
        <f t="shared" si="11"/>
        <v>616</v>
      </c>
      <c r="X40" s="16">
        <v>200</v>
      </c>
      <c r="Y40" s="17">
        <f t="shared" si="12"/>
        <v>8.603896103896103</v>
      </c>
      <c r="Z40" s="14">
        <f t="shared" si="13"/>
        <v>4.0584415584415581</v>
      </c>
      <c r="AA40" s="14"/>
      <c r="AB40" s="14"/>
      <c r="AC40" s="14">
        <v>0</v>
      </c>
      <c r="AD40" s="14">
        <f>VLOOKUP(A:A,[1]TDSheet!$A:$AE,31,0)</f>
        <v>924</v>
      </c>
      <c r="AE40" s="14">
        <f>VLOOKUP(A:A,[1]TDSheet!$A:$AF,32,0)</f>
        <v>774</v>
      </c>
      <c r="AF40" s="14">
        <f>VLOOKUP(A:A,[1]TDSheet!$A:$AG,33,0)</f>
        <v>585.6</v>
      </c>
      <c r="AG40" s="14">
        <f>VLOOKUP(A:A,[1]TDSheet!$A:$W,23,0)</f>
        <v>616.4</v>
      </c>
      <c r="AH40" s="14">
        <f>VLOOKUP(A:A,[3]TDSheet!$A:$B,2,0)</f>
        <v>859</v>
      </c>
      <c r="AI40" s="14" t="str">
        <f>VLOOKUP(A:A,[1]TDSheet!$A:$AI,35,0)</f>
        <v>оконч</v>
      </c>
      <c r="AJ40" s="14">
        <f t="shared" si="14"/>
        <v>90</v>
      </c>
      <c r="AK40" s="14"/>
      <c r="AL40" s="18">
        <f t="shared" si="15"/>
        <v>0.39448051948051943</v>
      </c>
      <c r="AM40" s="14"/>
      <c r="AN40" s="14"/>
    </row>
    <row r="41" spans="1:40" s="1" customFormat="1" ht="11.1" customHeight="1" outlineLevel="1" x14ac:dyDescent="0.2">
      <c r="A41" s="7" t="s">
        <v>44</v>
      </c>
      <c r="B41" s="7" t="s">
        <v>12</v>
      </c>
      <c r="C41" s="8"/>
      <c r="D41" s="8">
        <v>108</v>
      </c>
      <c r="E41" s="8">
        <v>18</v>
      </c>
      <c r="F41" s="8">
        <v>90</v>
      </c>
      <c r="G41" s="12" t="s">
        <v>131</v>
      </c>
      <c r="H41" s="1">
        <v>0</v>
      </c>
      <c r="I41" s="1" t="e">
        <f>VLOOKUP(A:A,[1]TDSheet!$A:$I,9,0)</f>
        <v>#N/A</v>
      </c>
      <c r="J41" s="14">
        <f>VLOOKUP(A:A,[2]TDSheet!$A:$F,6,0)</f>
        <v>21</v>
      </c>
      <c r="K41" s="14">
        <f t="shared" si="10"/>
        <v>-3</v>
      </c>
      <c r="L41" s="14">
        <v>0</v>
      </c>
      <c r="M41" s="14">
        <v>0</v>
      </c>
      <c r="N41" s="14">
        <v>0</v>
      </c>
      <c r="O41" s="14"/>
      <c r="P41" s="14"/>
      <c r="Q41" s="14"/>
      <c r="R41" s="14"/>
      <c r="S41" s="14"/>
      <c r="T41" s="14"/>
      <c r="U41" s="14"/>
      <c r="V41" s="14"/>
      <c r="W41" s="14">
        <f t="shared" si="11"/>
        <v>3.6</v>
      </c>
      <c r="X41" s="16"/>
      <c r="Y41" s="17">
        <f t="shared" si="12"/>
        <v>25</v>
      </c>
      <c r="Z41" s="14">
        <f t="shared" si="13"/>
        <v>25</v>
      </c>
      <c r="AA41" s="14"/>
      <c r="AB41" s="14"/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f>VLOOKUP(A:A,[3]TDSheet!$A:$B,2,0)</f>
        <v>9</v>
      </c>
      <c r="AI41" s="14" t="e">
        <f>VLOOKUP(A:A,[1]TDSheet!$A:$AI,35,0)</f>
        <v>#N/A</v>
      </c>
      <c r="AJ41" s="14">
        <f t="shared" si="14"/>
        <v>0</v>
      </c>
      <c r="AK41" s="14"/>
      <c r="AL41" s="18">
        <f t="shared" si="15"/>
        <v>1.5</v>
      </c>
      <c r="AM41" s="14"/>
      <c r="AN41" s="14"/>
    </row>
    <row r="42" spans="1:40" s="1" customFormat="1" ht="11.1" customHeight="1" outlineLevel="1" x14ac:dyDescent="0.2">
      <c r="A42" s="7" t="s">
        <v>45</v>
      </c>
      <c r="B42" s="7" t="s">
        <v>8</v>
      </c>
      <c r="C42" s="8">
        <v>329.57400000000001</v>
      </c>
      <c r="D42" s="8">
        <v>573.80499999999995</v>
      </c>
      <c r="E42" s="8">
        <v>536.38800000000003</v>
      </c>
      <c r="F42" s="8">
        <v>362.726</v>
      </c>
      <c r="G42" s="1">
        <f>VLOOKUP(A:A,[1]TDSheet!$A:$G,7,0)</f>
        <v>0</v>
      </c>
      <c r="H42" s="1">
        <f>VLOOKUP(A:A,[1]TDSheet!$A:$H,8,0)</f>
        <v>1</v>
      </c>
      <c r="I42" s="1">
        <f>VLOOKUP(A:A,[1]TDSheet!$A:$I,9,0)</f>
        <v>40</v>
      </c>
      <c r="J42" s="14">
        <f>VLOOKUP(A:A,[2]TDSheet!$A:$F,6,0)</f>
        <v>521.21100000000001</v>
      </c>
      <c r="K42" s="14">
        <f t="shared" si="10"/>
        <v>15.177000000000021</v>
      </c>
      <c r="L42" s="14">
        <f>VLOOKUP(A:A,[1]TDSheet!$A:$O,15,0)</f>
        <v>50</v>
      </c>
      <c r="M42" s="14">
        <f>VLOOKUP(A:A,[1]TDSheet!$A:$P,16,0)</f>
        <v>100</v>
      </c>
      <c r="N42" s="14">
        <f>VLOOKUP(A:A,[1]TDSheet!$A:$X,24,0)</f>
        <v>60</v>
      </c>
      <c r="O42" s="14"/>
      <c r="P42" s="14"/>
      <c r="Q42" s="14"/>
      <c r="R42" s="14"/>
      <c r="S42" s="14"/>
      <c r="T42" s="14"/>
      <c r="U42" s="14"/>
      <c r="V42" s="14"/>
      <c r="W42" s="14">
        <f t="shared" si="11"/>
        <v>107.27760000000001</v>
      </c>
      <c r="X42" s="16">
        <v>150</v>
      </c>
      <c r="Y42" s="17">
        <f t="shared" si="12"/>
        <v>6.7369702528766489</v>
      </c>
      <c r="Z42" s="14">
        <f t="shared" si="13"/>
        <v>3.3811904815171103</v>
      </c>
      <c r="AA42" s="14"/>
      <c r="AB42" s="14"/>
      <c r="AC42" s="14">
        <v>0</v>
      </c>
      <c r="AD42" s="14">
        <f>VLOOKUP(A:A,[1]TDSheet!$A:$AE,31,0)</f>
        <v>106.70399999999999</v>
      </c>
      <c r="AE42" s="14">
        <f>VLOOKUP(A:A,[1]TDSheet!$A:$AF,32,0)</f>
        <v>123.4212</v>
      </c>
      <c r="AF42" s="14">
        <f>VLOOKUP(A:A,[1]TDSheet!$A:$AG,33,0)</f>
        <v>107.28279999999999</v>
      </c>
      <c r="AG42" s="14">
        <f>VLOOKUP(A:A,[1]TDSheet!$A:$W,23,0)</f>
        <v>98.318799999999996</v>
      </c>
      <c r="AH42" s="14">
        <f>VLOOKUP(A:A,[3]TDSheet!$A:$B,2,0)</f>
        <v>144.202</v>
      </c>
      <c r="AI42" s="14">
        <f>VLOOKUP(A:A,[1]TDSheet!$A:$AI,35,0)</f>
        <v>0</v>
      </c>
      <c r="AJ42" s="14">
        <f t="shared" si="14"/>
        <v>150</v>
      </c>
      <c r="AK42" s="14"/>
      <c r="AL42" s="18">
        <f t="shared" si="15"/>
        <v>0.34419487385996694</v>
      </c>
      <c r="AM42" s="14"/>
      <c r="AN42" s="14"/>
    </row>
    <row r="43" spans="1:40" s="1" customFormat="1" ht="11.1" customHeight="1" outlineLevel="1" x14ac:dyDescent="0.2">
      <c r="A43" s="7" t="s">
        <v>46</v>
      </c>
      <c r="B43" s="7" t="s">
        <v>12</v>
      </c>
      <c r="C43" s="8">
        <v>3553</v>
      </c>
      <c r="D43" s="8">
        <v>2017</v>
      </c>
      <c r="E43" s="8">
        <v>947</v>
      </c>
      <c r="F43" s="8">
        <v>4606</v>
      </c>
      <c r="G43" s="1">
        <f>VLOOKUP(A:A,[1]TDSheet!$A:$G,7,0)</f>
        <v>0</v>
      </c>
      <c r="H43" s="1">
        <f>VLOOKUP(A:A,[1]TDSheet!$A:$H,8,0)</f>
        <v>0.1</v>
      </c>
      <c r="I43" s="1">
        <f>VLOOKUP(A:A,[1]TDSheet!$A:$I,9,0)</f>
        <v>730</v>
      </c>
      <c r="J43" s="14">
        <f>VLOOKUP(A:A,[2]TDSheet!$A:$F,6,0)</f>
        <v>966</v>
      </c>
      <c r="K43" s="14">
        <f t="shared" si="10"/>
        <v>-19</v>
      </c>
      <c r="L43" s="14">
        <f>VLOOKUP(A:A,[1]TDSheet!$A:$O,15,0)</f>
        <v>0</v>
      </c>
      <c r="M43" s="14">
        <f>VLOOKUP(A:A,[1]TDSheet!$A:$P,16,0)</f>
        <v>0</v>
      </c>
      <c r="N43" s="14">
        <f>VLOOKUP(A:A,[1]TDSheet!$A:$X,24,0)</f>
        <v>0</v>
      </c>
      <c r="O43" s="14"/>
      <c r="P43" s="14"/>
      <c r="Q43" s="14"/>
      <c r="R43" s="14"/>
      <c r="S43" s="14"/>
      <c r="T43" s="14"/>
      <c r="U43" s="14"/>
      <c r="V43" s="14"/>
      <c r="W43" s="14">
        <f t="shared" si="11"/>
        <v>189.4</v>
      </c>
      <c r="X43" s="16"/>
      <c r="Y43" s="17">
        <f t="shared" si="12"/>
        <v>24.318901795142555</v>
      </c>
      <c r="Z43" s="14">
        <f t="shared" si="13"/>
        <v>24.318901795142555</v>
      </c>
      <c r="AA43" s="14"/>
      <c r="AB43" s="14"/>
      <c r="AC43" s="14">
        <v>0</v>
      </c>
      <c r="AD43" s="14">
        <f>VLOOKUP(A:A,[1]TDSheet!$A:$AE,31,0)</f>
        <v>165.2</v>
      </c>
      <c r="AE43" s="14">
        <f>VLOOKUP(A:A,[1]TDSheet!$A:$AF,32,0)</f>
        <v>231.2</v>
      </c>
      <c r="AF43" s="14">
        <f>VLOOKUP(A:A,[1]TDSheet!$A:$AG,33,0)</f>
        <v>187.6</v>
      </c>
      <c r="AG43" s="14">
        <f>VLOOKUP(A:A,[1]TDSheet!$A:$W,23,0)</f>
        <v>195.6</v>
      </c>
      <c r="AH43" s="14">
        <f>VLOOKUP(A:A,[3]TDSheet!$A:$B,2,0)</f>
        <v>148</v>
      </c>
      <c r="AI43" s="14">
        <f>VLOOKUP(A:A,[1]TDSheet!$A:$AI,35,0)</f>
        <v>0</v>
      </c>
      <c r="AJ43" s="14">
        <f t="shared" si="14"/>
        <v>0</v>
      </c>
      <c r="AK43" s="14"/>
      <c r="AL43" s="18">
        <f t="shared" si="15"/>
        <v>-0.21858500527983105</v>
      </c>
      <c r="AM43" s="14"/>
      <c r="AN43" s="14"/>
    </row>
    <row r="44" spans="1:40" s="1" customFormat="1" ht="21.95" customHeight="1" outlineLevel="1" x14ac:dyDescent="0.2">
      <c r="A44" s="7" t="s">
        <v>47</v>
      </c>
      <c r="B44" s="7" t="s">
        <v>12</v>
      </c>
      <c r="C44" s="8">
        <v>629</v>
      </c>
      <c r="D44" s="8">
        <v>1180</v>
      </c>
      <c r="E44" s="8">
        <v>1075</v>
      </c>
      <c r="F44" s="8">
        <v>715</v>
      </c>
      <c r="G44" s="1">
        <f>VLOOKUP(A:A,[1]TDSheet!$A:$G,7,0)</f>
        <v>0</v>
      </c>
      <c r="H44" s="1">
        <f>VLOOKUP(A:A,[1]TDSheet!$A:$H,8,0)</f>
        <v>0.35</v>
      </c>
      <c r="I44" s="1">
        <f>VLOOKUP(A:A,[1]TDSheet!$A:$I,9,0)</f>
        <v>40</v>
      </c>
      <c r="J44" s="14">
        <f>VLOOKUP(A:A,[2]TDSheet!$A:$F,6,0)</f>
        <v>1091</v>
      </c>
      <c r="K44" s="14">
        <f t="shared" si="10"/>
        <v>-16</v>
      </c>
      <c r="L44" s="14">
        <f>VLOOKUP(A:A,[1]TDSheet!$A:$O,15,0)</f>
        <v>250</v>
      </c>
      <c r="M44" s="14">
        <f>VLOOKUP(A:A,[1]TDSheet!$A:$P,16,0)</f>
        <v>400</v>
      </c>
      <c r="N44" s="14">
        <f>VLOOKUP(A:A,[1]TDSheet!$A:$X,24,0)</f>
        <v>300</v>
      </c>
      <c r="O44" s="14"/>
      <c r="P44" s="14"/>
      <c r="Q44" s="14"/>
      <c r="R44" s="14"/>
      <c r="S44" s="14"/>
      <c r="T44" s="14"/>
      <c r="U44" s="14"/>
      <c r="V44" s="14"/>
      <c r="W44" s="14">
        <f t="shared" si="11"/>
        <v>215</v>
      </c>
      <c r="X44" s="16">
        <v>100</v>
      </c>
      <c r="Y44" s="17">
        <f t="shared" si="12"/>
        <v>8.2093023255813957</v>
      </c>
      <c r="Z44" s="14">
        <f t="shared" si="13"/>
        <v>3.3255813953488373</v>
      </c>
      <c r="AA44" s="14"/>
      <c r="AB44" s="14"/>
      <c r="AC44" s="14">
        <v>0</v>
      </c>
      <c r="AD44" s="14">
        <f>VLOOKUP(A:A,[1]TDSheet!$A:$AE,31,0)</f>
        <v>183.2</v>
      </c>
      <c r="AE44" s="14">
        <f>VLOOKUP(A:A,[1]TDSheet!$A:$AF,32,0)</f>
        <v>245.2</v>
      </c>
      <c r="AF44" s="14">
        <f>VLOOKUP(A:A,[1]TDSheet!$A:$AG,33,0)</f>
        <v>206</v>
      </c>
      <c r="AG44" s="14">
        <f>VLOOKUP(A:A,[1]TDSheet!$A:$W,23,0)</f>
        <v>212</v>
      </c>
      <c r="AH44" s="14">
        <f>VLOOKUP(A:A,[3]TDSheet!$A:$B,2,0)</f>
        <v>240</v>
      </c>
      <c r="AI44" s="14">
        <f>VLOOKUP(A:A,[1]TDSheet!$A:$AI,35,0)</f>
        <v>0</v>
      </c>
      <c r="AJ44" s="14">
        <f t="shared" si="14"/>
        <v>35</v>
      </c>
      <c r="AK44" s="14"/>
      <c r="AL44" s="18">
        <f t="shared" si="15"/>
        <v>0.11627906976744184</v>
      </c>
      <c r="AM44" s="14"/>
      <c r="AN44" s="14"/>
    </row>
    <row r="45" spans="1:40" s="1" customFormat="1" ht="11.1" customHeight="1" outlineLevel="1" x14ac:dyDescent="0.2">
      <c r="A45" s="7" t="s">
        <v>48</v>
      </c>
      <c r="B45" s="7" t="s">
        <v>8</v>
      </c>
      <c r="C45" s="8">
        <v>94.081000000000003</v>
      </c>
      <c r="D45" s="8">
        <v>315.48</v>
      </c>
      <c r="E45" s="8">
        <v>241.119</v>
      </c>
      <c r="F45" s="8">
        <v>158.82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4">
        <f>VLOOKUP(A:A,[2]TDSheet!$A:$F,6,0)</f>
        <v>251.61</v>
      </c>
      <c r="K45" s="14">
        <f t="shared" si="10"/>
        <v>-10.491000000000014</v>
      </c>
      <c r="L45" s="14">
        <f>VLOOKUP(A:A,[1]TDSheet!$A:$O,15,0)</f>
        <v>70</v>
      </c>
      <c r="M45" s="14">
        <f>VLOOKUP(A:A,[1]TDSheet!$A:$P,16,0)</f>
        <v>50</v>
      </c>
      <c r="N45" s="14">
        <f>VLOOKUP(A:A,[1]TDSheet!$A:$X,24,0)</f>
        <v>60</v>
      </c>
      <c r="O45" s="14"/>
      <c r="P45" s="14"/>
      <c r="Q45" s="14"/>
      <c r="R45" s="14"/>
      <c r="S45" s="14"/>
      <c r="T45" s="14"/>
      <c r="U45" s="14"/>
      <c r="V45" s="14"/>
      <c r="W45" s="14">
        <f t="shared" si="11"/>
        <v>48.223799999999997</v>
      </c>
      <c r="X45" s="16">
        <v>60</v>
      </c>
      <c r="Y45" s="17">
        <f t="shared" si="12"/>
        <v>8.270190238015255</v>
      </c>
      <c r="Z45" s="14">
        <f t="shared" si="13"/>
        <v>3.2933945479203217</v>
      </c>
      <c r="AA45" s="14"/>
      <c r="AB45" s="14"/>
      <c r="AC45" s="14">
        <v>0</v>
      </c>
      <c r="AD45" s="14">
        <f>VLOOKUP(A:A,[1]TDSheet!$A:$AE,31,0)</f>
        <v>43.538200000000003</v>
      </c>
      <c r="AE45" s="14">
        <f>VLOOKUP(A:A,[1]TDSheet!$A:$AF,32,0)</f>
        <v>48.555999999999997</v>
      </c>
      <c r="AF45" s="14">
        <f>VLOOKUP(A:A,[1]TDSheet!$A:$AG,33,0)</f>
        <v>41.4724</v>
      </c>
      <c r="AG45" s="14">
        <f>VLOOKUP(A:A,[1]TDSheet!$A:$W,23,0)</f>
        <v>45.653599999999997</v>
      </c>
      <c r="AH45" s="14">
        <f>VLOOKUP(A:A,[3]TDSheet!$A:$B,2,0)</f>
        <v>75.826999999999998</v>
      </c>
      <c r="AI45" s="14">
        <f>VLOOKUP(A:A,[1]TDSheet!$A:$AI,35,0)</f>
        <v>0</v>
      </c>
      <c r="AJ45" s="14">
        <f t="shared" si="14"/>
        <v>60</v>
      </c>
      <c r="AK45" s="14"/>
      <c r="AL45" s="18">
        <f t="shared" si="15"/>
        <v>0.5723978616367853</v>
      </c>
      <c r="AM45" s="14"/>
      <c r="AN45" s="14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414</v>
      </c>
      <c r="D46" s="8">
        <v>1360</v>
      </c>
      <c r="E46" s="8">
        <v>999</v>
      </c>
      <c r="F46" s="8">
        <v>768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35</v>
      </c>
      <c r="J46" s="14">
        <f>VLOOKUP(A:A,[2]TDSheet!$A:$F,6,0)</f>
        <v>1006</v>
      </c>
      <c r="K46" s="14">
        <f t="shared" si="10"/>
        <v>-7</v>
      </c>
      <c r="L46" s="14">
        <f>VLOOKUP(A:A,[1]TDSheet!$A:$O,15,0)</f>
        <v>200</v>
      </c>
      <c r="M46" s="14">
        <f>VLOOKUP(A:A,[1]TDSheet!$A:$P,16,0)</f>
        <v>200</v>
      </c>
      <c r="N46" s="14">
        <f>VLOOKUP(A:A,[1]TDSheet!$A:$X,24,0)</f>
        <v>0</v>
      </c>
      <c r="O46" s="14"/>
      <c r="P46" s="14"/>
      <c r="Q46" s="14"/>
      <c r="R46" s="14"/>
      <c r="S46" s="14"/>
      <c r="T46" s="14"/>
      <c r="U46" s="14"/>
      <c r="V46" s="14"/>
      <c r="W46" s="14">
        <f t="shared" si="11"/>
        <v>199.8</v>
      </c>
      <c r="X46" s="16">
        <v>200</v>
      </c>
      <c r="Y46" s="17">
        <f t="shared" si="12"/>
        <v>6.8468468468468462</v>
      </c>
      <c r="Z46" s="14">
        <f t="shared" si="13"/>
        <v>3.8438438438438438</v>
      </c>
      <c r="AA46" s="14"/>
      <c r="AB46" s="14"/>
      <c r="AC46" s="14">
        <v>0</v>
      </c>
      <c r="AD46" s="14">
        <f>VLOOKUP(A:A,[1]TDSheet!$A:$AE,31,0)</f>
        <v>121.4</v>
      </c>
      <c r="AE46" s="14">
        <f>VLOOKUP(A:A,[1]TDSheet!$A:$AF,32,0)</f>
        <v>193.4</v>
      </c>
      <c r="AF46" s="14">
        <f>VLOOKUP(A:A,[1]TDSheet!$A:$AG,33,0)</f>
        <v>204.6</v>
      </c>
      <c r="AG46" s="14">
        <f>VLOOKUP(A:A,[1]TDSheet!$A:$W,23,0)</f>
        <v>188.8</v>
      </c>
      <c r="AH46" s="14">
        <f>VLOOKUP(A:A,[3]TDSheet!$A:$B,2,0)</f>
        <v>274</v>
      </c>
      <c r="AI46" s="14">
        <f>VLOOKUP(A:A,[1]TDSheet!$A:$AI,35,0)</f>
        <v>0</v>
      </c>
      <c r="AJ46" s="14">
        <f t="shared" si="14"/>
        <v>80</v>
      </c>
      <c r="AK46" s="14"/>
      <c r="AL46" s="18">
        <f t="shared" si="15"/>
        <v>0.37137137137137133</v>
      </c>
      <c r="AM46" s="14"/>
      <c r="AN46" s="14"/>
    </row>
    <row r="47" spans="1:40" s="1" customFormat="1" ht="11.1" customHeight="1" outlineLevel="1" x14ac:dyDescent="0.2">
      <c r="A47" s="7" t="s">
        <v>50</v>
      </c>
      <c r="B47" s="7" t="s">
        <v>12</v>
      </c>
      <c r="C47" s="8">
        <v>748</v>
      </c>
      <c r="D47" s="8">
        <v>2047</v>
      </c>
      <c r="E47" s="8">
        <v>1538</v>
      </c>
      <c r="F47" s="8">
        <v>1229</v>
      </c>
      <c r="G47" s="1">
        <f>VLOOKUP(A:A,[1]TDSheet!$A:$G,7,0)</f>
        <v>0</v>
      </c>
      <c r="H47" s="1">
        <f>VLOOKUP(A:A,[1]TDSheet!$A:$H,8,0)</f>
        <v>0.4</v>
      </c>
      <c r="I47" s="1">
        <f>VLOOKUP(A:A,[1]TDSheet!$A:$I,9,0)</f>
        <v>40</v>
      </c>
      <c r="J47" s="14">
        <f>VLOOKUP(A:A,[2]TDSheet!$A:$F,6,0)</f>
        <v>1583</v>
      </c>
      <c r="K47" s="14">
        <f t="shared" si="10"/>
        <v>-45</v>
      </c>
      <c r="L47" s="14">
        <f>VLOOKUP(A:A,[1]TDSheet!$A:$O,15,0)</f>
        <v>300</v>
      </c>
      <c r="M47" s="14">
        <f>VLOOKUP(A:A,[1]TDSheet!$A:$P,16,0)</f>
        <v>300</v>
      </c>
      <c r="N47" s="14">
        <f>VLOOKUP(A:A,[1]TDSheet!$A:$X,24,0)</f>
        <v>0</v>
      </c>
      <c r="O47" s="14"/>
      <c r="P47" s="14"/>
      <c r="Q47" s="14"/>
      <c r="R47" s="14"/>
      <c r="S47" s="14"/>
      <c r="T47" s="14"/>
      <c r="U47" s="14"/>
      <c r="V47" s="14"/>
      <c r="W47" s="14">
        <f t="shared" si="11"/>
        <v>307.60000000000002</v>
      </c>
      <c r="X47" s="16">
        <v>300</v>
      </c>
      <c r="Y47" s="17">
        <f t="shared" si="12"/>
        <v>6.9213263979193753</v>
      </c>
      <c r="Z47" s="14">
        <f t="shared" si="13"/>
        <v>3.9954486345903768</v>
      </c>
      <c r="AA47" s="14"/>
      <c r="AB47" s="14"/>
      <c r="AC47" s="14">
        <v>0</v>
      </c>
      <c r="AD47" s="14">
        <f>VLOOKUP(A:A,[1]TDSheet!$A:$AE,31,0)</f>
        <v>306.39999999999998</v>
      </c>
      <c r="AE47" s="14">
        <f>VLOOKUP(A:A,[1]TDSheet!$A:$AF,32,0)</f>
        <v>326.2</v>
      </c>
      <c r="AF47" s="14">
        <f>VLOOKUP(A:A,[1]TDSheet!$A:$AG,33,0)</f>
        <v>345.6</v>
      </c>
      <c r="AG47" s="14">
        <f>VLOOKUP(A:A,[1]TDSheet!$A:$W,23,0)</f>
        <v>296</v>
      </c>
      <c r="AH47" s="14">
        <f>VLOOKUP(A:A,[3]TDSheet!$A:$B,2,0)</f>
        <v>457</v>
      </c>
      <c r="AI47" s="14">
        <f>VLOOKUP(A:A,[1]TDSheet!$A:$AI,35,0)</f>
        <v>0</v>
      </c>
      <c r="AJ47" s="14">
        <f t="shared" si="14"/>
        <v>120</v>
      </c>
      <c r="AK47" s="14"/>
      <c r="AL47" s="18">
        <f t="shared" si="15"/>
        <v>0.48569570871261369</v>
      </c>
      <c r="AM47" s="14"/>
      <c r="AN47" s="14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55.534999999999997</v>
      </c>
      <c r="D48" s="8">
        <v>252.953</v>
      </c>
      <c r="E48" s="8">
        <v>165.98</v>
      </c>
      <c r="F48" s="8">
        <v>141.07499999999999</v>
      </c>
      <c r="G48" s="1" t="str">
        <f>VLOOKUP(A:A,[1]TDSheet!$A:$G,7,0)</f>
        <v>лид, я</v>
      </c>
      <c r="H48" s="1">
        <f>VLOOKUP(A:A,[1]TDSheet!$A:$H,8,0)</f>
        <v>1</v>
      </c>
      <c r="I48" s="1">
        <f>VLOOKUP(A:A,[1]TDSheet!$A:$I,9,0)</f>
        <v>40</v>
      </c>
      <c r="J48" s="14">
        <f>VLOOKUP(A:A,[2]TDSheet!$A:$F,6,0)</f>
        <v>172</v>
      </c>
      <c r="K48" s="14">
        <f t="shared" si="10"/>
        <v>-6.0200000000000102</v>
      </c>
      <c r="L48" s="14">
        <f>VLOOKUP(A:A,[1]TDSheet!$A:$O,15,0)</f>
        <v>60</v>
      </c>
      <c r="M48" s="14">
        <f>VLOOKUP(A:A,[1]TDSheet!$A:$P,16,0)</f>
        <v>20</v>
      </c>
      <c r="N48" s="14">
        <f>VLOOKUP(A:A,[1]TDSheet!$A:$X,24,0)</f>
        <v>50</v>
      </c>
      <c r="O48" s="14"/>
      <c r="P48" s="14"/>
      <c r="Q48" s="14"/>
      <c r="R48" s="14"/>
      <c r="S48" s="14"/>
      <c r="T48" s="14"/>
      <c r="U48" s="14"/>
      <c r="V48" s="14"/>
      <c r="W48" s="14">
        <f t="shared" si="11"/>
        <v>33.195999999999998</v>
      </c>
      <c r="X48" s="16">
        <v>20</v>
      </c>
      <c r="Y48" s="17">
        <f t="shared" si="12"/>
        <v>8.7683757079166167</v>
      </c>
      <c r="Z48" s="14">
        <f t="shared" si="13"/>
        <v>4.2497590071092901</v>
      </c>
      <c r="AA48" s="14"/>
      <c r="AB48" s="14"/>
      <c r="AC48" s="14">
        <v>0</v>
      </c>
      <c r="AD48" s="14">
        <f>VLOOKUP(A:A,[1]TDSheet!$A:$AE,31,0)</f>
        <v>30.549400000000002</v>
      </c>
      <c r="AE48" s="14">
        <f>VLOOKUP(A:A,[1]TDSheet!$A:$AF,32,0)</f>
        <v>32.434800000000003</v>
      </c>
      <c r="AF48" s="14">
        <f>VLOOKUP(A:A,[1]TDSheet!$A:$AG,33,0)</f>
        <v>29.039200000000001</v>
      </c>
      <c r="AG48" s="14">
        <f>VLOOKUP(A:A,[1]TDSheet!$A:$W,23,0)</f>
        <v>34.444400000000002</v>
      </c>
      <c r="AH48" s="14">
        <f>VLOOKUP(A:A,[3]TDSheet!$A:$B,2,0)</f>
        <v>48.485999999999997</v>
      </c>
      <c r="AI48" s="14">
        <f>VLOOKUP(A:A,[1]TDSheet!$A:$AI,35,0)</f>
        <v>0</v>
      </c>
      <c r="AJ48" s="14">
        <f t="shared" si="14"/>
        <v>20</v>
      </c>
      <c r="AK48" s="14"/>
      <c r="AL48" s="18">
        <f t="shared" si="15"/>
        <v>0.46059766236896005</v>
      </c>
      <c r="AM48" s="14"/>
      <c r="AN48" s="14"/>
    </row>
    <row r="49" spans="1:40" s="1" customFormat="1" ht="21.95" customHeight="1" outlineLevel="1" x14ac:dyDescent="0.2">
      <c r="A49" s="7" t="s">
        <v>52</v>
      </c>
      <c r="B49" s="7" t="s">
        <v>8</v>
      </c>
      <c r="C49" s="8">
        <v>230.06100000000001</v>
      </c>
      <c r="D49" s="8">
        <v>545.50300000000004</v>
      </c>
      <c r="E49" s="8">
        <v>472.4</v>
      </c>
      <c r="F49" s="8">
        <v>293.81700000000001</v>
      </c>
      <c r="G49" s="1">
        <f>VLOOKUP(A:A,[1]TDSheet!$A:$G,7,0)</f>
        <v>0</v>
      </c>
      <c r="H49" s="1">
        <f>VLOOKUP(A:A,[1]TDSheet!$A:$H,8,0)</f>
        <v>1</v>
      </c>
      <c r="I49" s="1">
        <f>VLOOKUP(A:A,[1]TDSheet!$A:$I,9,0)</f>
        <v>40</v>
      </c>
      <c r="J49" s="14">
        <f>VLOOKUP(A:A,[2]TDSheet!$A:$F,6,0)</f>
        <v>479.05</v>
      </c>
      <c r="K49" s="14">
        <f t="shared" si="10"/>
        <v>-6.6500000000000341</v>
      </c>
      <c r="L49" s="14">
        <f>VLOOKUP(A:A,[1]TDSheet!$A:$O,15,0)</f>
        <v>120</v>
      </c>
      <c r="M49" s="14">
        <f>VLOOKUP(A:A,[1]TDSheet!$A:$P,16,0)</f>
        <v>100</v>
      </c>
      <c r="N49" s="14">
        <f>VLOOKUP(A:A,[1]TDSheet!$A:$X,24,0)</f>
        <v>90</v>
      </c>
      <c r="O49" s="14"/>
      <c r="P49" s="14"/>
      <c r="Q49" s="14"/>
      <c r="R49" s="14"/>
      <c r="S49" s="14"/>
      <c r="T49" s="14"/>
      <c r="U49" s="14"/>
      <c r="V49" s="14"/>
      <c r="W49" s="14">
        <f t="shared" si="11"/>
        <v>94.47999999999999</v>
      </c>
      <c r="X49" s="16">
        <v>150</v>
      </c>
      <c r="Y49" s="17">
        <f t="shared" si="12"/>
        <v>7.9785880609652846</v>
      </c>
      <c r="Z49" s="14">
        <f t="shared" si="13"/>
        <v>3.1098327688399667</v>
      </c>
      <c r="AA49" s="14"/>
      <c r="AB49" s="14"/>
      <c r="AC49" s="14">
        <v>0</v>
      </c>
      <c r="AD49" s="14">
        <f>VLOOKUP(A:A,[1]TDSheet!$A:$AE,31,0)</f>
        <v>108.0234</v>
      </c>
      <c r="AE49" s="14">
        <f>VLOOKUP(A:A,[1]TDSheet!$A:$AF,32,0)</f>
        <v>93.0214</v>
      </c>
      <c r="AF49" s="14">
        <f>VLOOKUP(A:A,[1]TDSheet!$A:$AG,33,0)</f>
        <v>76.961399999999998</v>
      </c>
      <c r="AG49" s="14">
        <f>VLOOKUP(A:A,[1]TDSheet!$A:$W,23,0)</f>
        <v>83.297200000000004</v>
      </c>
      <c r="AH49" s="14">
        <f>VLOOKUP(A:A,[3]TDSheet!$A:$B,2,0)</f>
        <v>118.901</v>
      </c>
      <c r="AI49" s="14" t="str">
        <f>VLOOKUP(A:A,[1]TDSheet!$A:$AI,35,0)</f>
        <v>оконч вип</v>
      </c>
      <c r="AJ49" s="14">
        <f t="shared" si="14"/>
        <v>150</v>
      </c>
      <c r="AK49" s="14"/>
      <c r="AL49" s="18">
        <f t="shared" si="15"/>
        <v>0.25847798475867911</v>
      </c>
      <c r="AM49" s="14"/>
      <c r="AN49" s="14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655</v>
      </c>
      <c r="D50" s="8">
        <v>1655</v>
      </c>
      <c r="E50" s="8">
        <v>1400</v>
      </c>
      <c r="F50" s="8">
        <v>875</v>
      </c>
      <c r="G50" s="1" t="str">
        <f>VLOOKUP(A:A,[1]TDSheet!$A:$G,7,0)</f>
        <v>лид, я</v>
      </c>
      <c r="H50" s="1">
        <f>VLOOKUP(A:A,[1]TDSheet!$A:$H,8,0)</f>
        <v>0.35</v>
      </c>
      <c r="I50" s="1">
        <f>VLOOKUP(A:A,[1]TDSheet!$A:$I,9,0)</f>
        <v>40</v>
      </c>
      <c r="J50" s="14">
        <f>VLOOKUP(A:A,[2]TDSheet!$A:$F,6,0)</f>
        <v>1429</v>
      </c>
      <c r="K50" s="14">
        <f t="shared" si="10"/>
        <v>-29</v>
      </c>
      <c r="L50" s="14">
        <f>VLOOKUP(A:A,[1]TDSheet!$A:$O,15,0)</f>
        <v>400</v>
      </c>
      <c r="M50" s="14">
        <f>VLOOKUP(A:A,[1]TDSheet!$A:$P,16,0)</f>
        <v>400</v>
      </c>
      <c r="N50" s="14">
        <f>VLOOKUP(A:A,[1]TDSheet!$A:$X,24,0)</f>
        <v>400</v>
      </c>
      <c r="O50" s="14"/>
      <c r="P50" s="14"/>
      <c r="Q50" s="14"/>
      <c r="R50" s="14"/>
      <c r="S50" s="14"/>
      <c r="T50" s="14"/>
      <c r="U50" s="14"/>
      <c r="V50" s="14"/>
      <c r="W50" s="14">
        <f t="shared" si="11"/>
        <v>280</v>
      </c>
      <c r="X50" s="16">
        <v>150</v>
      </c>
      <c r="Y50" s="17">
        <f t="shared" si="12"/>
        <v>7.9464285714285712</v>
      </c>
      <c r="Z50" s="14">
        <f t="shared" si="13"/>
        <v>3.125</v>
      </c>
      <c r="AA50" s="14"/>
      <c r="AB50" s="14"/>
      <c r="AC50" s="14">
        <v>0</v>
      </c>
      <c r="AD50" s="14">
        <f>VLOOKUP(A:A,[1]TDSheet!$A:$AE,31,0)</f>
        <v>247.4</v>
      </c>
      <c r="AE50" s="14">
        <f>VLOOKUP(A:A,[1]TDSheet!$A:$AF,32,0)</f>
        <v>284.2</v>
      </c>
      <c r="AF50" s="14">
        <f>VLOOKUP(A:A,[1]TDSheet!$A:$AG,33,0)</f>
        <v>255.8</v>
      </c>
      <c r="AG50" s="14">
        <f>VLOOKUP(A:A,[1]TDSheet!$A:$W,23,0)</f>
        <v>272.39999999999998</v>
      </c>
      <c r="AH50" s="14">
        <f>VLOOKUP(A:A,[3]TDSheet!$A:$B,2,0)</f>
        <v>356</v>
      </c>
      <c r="AI50" s="14">
        <f>VLOOKUP(A:A,[1]TDSheet!$A:$AI,35,0)</f>
        <v>0</v>
      </c>
      <c r="AJ50" s="14">
        <f t="shared" si="14"/>
        <v>52.5</v>
      </c>
      <c r="AK50" s="14"/>
      <c r="AL50" s="18">
        <f t="shared" si="15"/>
        <v>0.27142857142857135</v>
      </c>
      <c r="AM50" s="14"/>
      <c r="AN50" s="14"/>
    </row>
    <row r="51" spans="1:40" s="1" customFormat="1" ht="21.95" customHeight="1" outlineLevel="1" x14ac:dyDescent="0.2">
      <c r="A51" s="7" t="s">
        <v>54</v>
      </c>
      <c r="B51" s="7" t="s">
        <v>12</v>
      </c>
      <c r="C51" s="8">
        <v>1130</v>
      </c>
      <c r="D51" s="8">
        <v>2664</v>
      </c>
      <c r="E51" s="8">
        <v>2205</v>
      </c>
      <c r="F51" s="8">
        <v>1549</v>
      </c>
      <c r="G51" s="1">
        <f>VLOOKUP(A:A,[1]TDSheet!$A:$G,7,0)</f>
        <v>0</v>
      </c>
      <c r="H51" s="1">
        <f>VLOOKUP(A:A,[1]TDSheet!$A:$H,8,0)</f>
        <v>0.35</v>
      </c>
      <c r="I51" s="1">
        <f>VLOOKUP(A:A,[1]TDSheet!$A:$I,9,0)</f>
        <v>40</v>
      </c>
      <c r="J51" s="14">
        <f>VLOOKUP(A:A,[2]TDSheet!$A:$F,6,0)</f>
        <v>2257</v>
      </c>
      <c r="K51" s="14">
        <f t="shared" si="10"/>
        <v>-52</v>
      </c>
      <c r="L51" s="14">
        <f>VLOOKUP(A:A,[1]TDSheet!$A:$O,15,0)</f>
        <v>600</v>
      </c>
      <c r="M51" s="14">
        <f>VLOOKUP(A:A,[1]TDSheet!$A:$P,16,0)</f>
        <v>650</v>
      </c>
      <c r="N51" s="14">
        <f>VLOOKUP(A:A,[1]TDSheet!$A:$X,24,0)</f>
        <v>400</v>
      </c>
      <c r="O51" s="14"/>
      <c r="P51" s="14"/>
      <c r="Q51" s="14"/>
      <c r="R51" s="14"/>
      <c r="S51" s="14"/>
      <c r="T51" s="14"/>
      <c r="U51" s="14"/>
      <c r="V51" s="14"/>
      <c r="W51" s="14">
        <f t="shared" si="11"/>
        <v>441</v>
      </c>
      <c r="X51" s="16">
        <v>300</v>
      </c>
      <c r="Y51" s="17">
        <f t="shared" si="12"/>
        <v>7.9342403628117912</v>
      </c>
      <c r="Z51" s="14">
        <f t="shared" si="13"/>
        <v>3.512471655328798</v>
      </c>
      <c r="AA51" s="14"/>
      <c r="AB51" s="14"/>
      <c r="AC51" s="14">
        <v>0</v>
      </c>
      <c r="AD51" s="14">
        <f>VLOOKUP(A:A,[1]TDSheet!$A:$AE,31,0)</f>
        <v>398.6</v>
      </c>
      <c r="AE51" s="14">
        <f>VLOOKUP(A:A,[1]TDSheet!$A:$AF,32,0)</f>
        <v>484.6</v>
      </c>
      <c r="AF51" s="14">
        <f>VLOOKUP(A:A,[1]TDSheet!$A:$AG,33,0)</f>
        <v>432.4</v>
      </c>
      <c r="AG51" s="14">
        <f>VLOOKUP(A:A,[1]TDSheet!$A:$W,23,0)</f>
        <v>419.8</v>
      </c>
      <c r="AH51" s="14">
        <f>VLOOKUP(A:A,[3]TDSheet!$A:$B,2,0)</f>
        <v>498</v>
      </c>
      <c r="AI51" s="14">
        <f>VLOOKUP(A:A,[1]TDSheet!$A:$AI,35,0)</f>
        <v>0</v>
      </c>
      <c r="AJ51" s="14">
        <f t="shared" si="14"/>
        <v>105</v>
      </c>
      <c r="AK51" s="14"/>
      <c r="AL51" s="18">
        <f t="shared" si="15"/>
        <v>0.12925170068027203</v>
      </c>
      <c r="AM51" s="14"/>
      <c r="AN51" s="14"/>
    </row>
    <row r="52" spans="1:40" s="1" customFormat="1" ht="11.1" customHeight="1" outlineLevel="1" x14ac:dyDescent="0.2">
      <c r="A52" s="7" t="s">
        <v>55</v>
      </c>
      <c r="B52" s="7" t="s">
        <v>12</v>
      </c>
      <c r="C52" s="8">
        <v>581</v>
      </c>
      <c r="D52" s="8">
        <v>1265</v>
      </c>
      <c r="E52" s="8">
        <v>1057</v>
      </c>
      <c r="F52" s="8">
        <v>774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35</v>
      </c>
      <c r="J52" s="14">
        <f>VLOOKUP(A:A,[2]TDSheet!$A:$F,6,0)</f>
        <v>1079</v>
      </c>
      <c r="K52" s="14">
        <f t="shared" si="10"/>
        <v>-22</v>
      </c>
      <c r="L52" s="14">
        <f>VLOOKUP(A:A,[1]TDSheet!$A:$O,15,0)</f>
        <v>250</v>
      </c>
      <c r="M52" s="14">
        <f>VLOOKUP(A:A,[1]TDSheet!$A:$P,16,0)</f>
        <v>300</v>
      </c>
      <c r="N52" s="14">
        <f>VLOOKUP(A:A,[1]TDSheet!$A:$X,24,0)</f>
        <v>100</v>
      </c>
      <c r="O52" s="14"/>
      <c r="P52" s="14"/>
      <c r="Q52" s="14"/>
      <c r="R52" s="14"/>
      <c r="S52" s="14"/>
      <c r="T52" s="14"/>
      <c r="U52" s="14"/>
      <c r="V52" s="14"/>
      <c r="W52" s="14">
        <f t="shared" si="11"/>
        <v>211.4</v>
      </c>
      <c r="X52" s="16">
        <v>100</v>
      </c>
      <c r="Y52" s="17">
        <f t="shared" si="12"/>
        <v>7.2090823084200562</v>
      </c>
      <c r="Z52" s="14">
        <f t="shared" si="13"/>
        <v>3.661305581835383</v>
      </c>
      <c r="AA52" s="14"/>
      <c r="AB52" s="14"/>
      <c r="AC52" s="14">
        <v>0</v>
      </c>
      <c r="AD52" s="14">
        <f>VLOOKUP(A:A,[1]TDSheet!$A:$AE,31,0)</f>
        <v>213.8</v>
      </c>
      <c r="AE52" s="14">
        <f>VLOOKUP(A:A,[1]TDSheet!$A:$AF,32,0)</f>
        <v>247.6</v>
      </c>
      <c r="AF52" s="14">
        <f>VLOOKUP(A:A,[1]TDSheet!$A:$AG,33,0)</f>
        <v>225.4</v>
      </c>
      <c r="AG52" s="14">
        <f>VLOOKUP(A:A,[1]TDSheet!$A:$W,23,0)</f>
        <v>219.4</v>
      </c>
      <c r="AH52" s="14">
        <f>VLOOKUP(A:A,[3]TDSheet!$A:$B,2,0)</f>
        <v>203</v>
      </c>
      <c r="AI52" s="14">
        <f>VLOOKUP(A:A,[1]TDSheet!$A:$AI,35,0)</f>
        <v>0</v>
      </c>
      <c r="AJ52" s="14">
        <f t="shared" si="14"/>
        <v>40</v>
      </c>
      <c r="AK52" s="14"/>
      <c r="AL52" s="18">
        <f t="shared" si="15"/>
        <v>-3.9735099337748325E-2</v>
      </c>
      <c r="AM52" s="14"/>
      <c r="AN52" s="14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517.99699999999996</v>
      </c>
      <c r="D53" s="8">
        <v>1257.2339999999999</v>
      </c>
      <c r="E53" s="8">
        <v>1088.4880000000001</v>
      </c>
      <c r="F53" s="8">
        <v>665.16300000000001</v>
      </c>
      <c r="G53" s="1">
        <f>VLOOKUP(A:A,[1]TDSheet!$A:$G,7,0)</f>
        <v>0</v>
      </c>
      <c r="H53" s="1">
        <f>VLOOKUP(A:A,[1]TDSheet!$A:$H,8,0)</f>
        <v>1</v>
      </c>
      <c r="I53" s="1">
        <f>VLOOKUP(A:A,[1]TDSheet!$A:$I,9,0)</f>
        <v>50</v>
      </c>
      <c r="J53" s="14">
        <f>VLOOKUP(A:A,[2]TDSheet!$A:$F,6,0)</f>
        <v>1100.787</v>
      </c>
      <c r="K53" s="14">
        <f t="shared" si="10"/>
        <v>-12.298999999999978</v>
      </c>
      <c r="L53" s="14">
        <f>VLOOKUP(A:A,[1]TDSheet!$A:$O,15,0)</f>
        <v>300</v>
      </c>
      <c r="M53" s="14">
        <f>VLOOKUP(A:A,[1]TDSheet!$A:$P,16,0)</f>
        <v>150</v>
      </c>
      <c r="N53" s="14">
        <f>VLOOKUP(A:A,[1]TDSheet!$A:$X,24,0)</f>
        <v>200</v>
      </c>
      <c r="O53" s="14"/>
      <c r="P53" s="14"/>
      <c r="Q53" s="14"/>
      <c r="R53" s="14"/>
      <c r="S53" s="14"/>
      <c r="T53" s="14"/>
      <c r="U53" s="14"/>
      <c r="V53" s="14"/>
      <c r="W53" s="14">
        <f t="shared" si="11"/>
        <v>217.69760000000002</v>
      </c>
      <c r="X53" s="16">
        <v>350</v>
      </c>
      <c r="Y53" s="17">
        <f t="shared" si="12"/>
        <v>7.6489727034197887</v>
      </c>
      <c r="Z53" s="14">
        <f t="shared" si="13"/>
        <v>3.0554448004938957</v>
      </c>
      <c r="AA53" s="14"/>
      <c r="AB53" s="14"/>
      <c r="AC53" s="14">
        <v>0</v>
      </c>
      <c r="AD53" s="14">
        <f>VLOOKUP(A:A,[1]TDSheet!$A:$AE,31,0)</f>
        <v>158.2834</v>
      </c>
      <c r="AE53" s="14">
        <f>VLOOKUP(A:A,[1]TDSheet!$A:$AF,32,0)</f>
        <v>177.4718</v>
      </c>
      <c r="AF53" s="14">
        <f>VLOOKUP(A:A,[1]TDSheet!$A:$AG,33,0)</f>
        <v>186.9632</v>
      </c>
      <c r="AG53" s="14">
        <f>VLOOKUP(A:A,[1]TDSheet!$A:$W,23,0)</f>
        <v>181.9392</v>
      </c>
      <c r="AH53" s="14">
        <f>VLOOKUP(A:A,[3]TDSheet!$A:$B,2,0)</f>
        <v>218.86600000000001</v>
      </c>
      <c r="AI53" s="14" t="str">
        <f>VLOOKUP(A:A,[1]TDSheet!$A:$AI,35,0)</f>
        <v>жц</v>
      </c>
      <c r="AJ53" s="14">
        <f t="shared" si="14"/>
        <v>350</v>
      </c>
      <c r="AK53" s="14"/>
      <c r="AL53" s="18">
        <f t="shared" si="15"/>
        <v>5.3670780017784914E-3</v>
      </c>
      <c r="AM53" s="14"/>
      <c r="AN53" s="14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280.46800000000002</v>
      </c>
      <c r="D54" s="8">
        <v>982.29499999999996</v>
      </c>
      <c r="E54" s="8">
        <v>688.62900000000002</v>
      </c>
      <c r="F54" s="8">
        <v>543.27300000000002</v>
      </c>
      <c r="G54" s="1" t="str">
        <f>VLOOKUP(A:A,[1]TDSheet!$A:$G,7,0)</f>
        <v>н</v>
      </c>
      <c r="H54" s="1">
        <f>VLOOKUP(A:A,[1]TDSheet!$A:$H,8,0)</f>
        <v>1</v>
      </c>
      <c r="I54" s="1">
        <f>VLOOKUP(A:A,[1]TDSheet!$A:$I,9,0)</f>
        <v>50</v>
      </c>
      <c r="J54" s="14">
        <f>VLOOKUP(A:A,[2]TDSheet!$A:$F,6,0)</f>
        <v>697.77700000000004</v>
      </c>
      <c r="K54" s="14">
        <f t="shared" si="10"/>
        <v>-9.1480000000000246</v>
      </c>
      <c r="L54" s="14">
        <f>VLOOKUP(A:A,[1]TDSheet!$A:$O,15,0)</f>
        <v>300</v>
      </c>
      <c r="M54" s="14">
        <f>VLOOKUP(A:A,[1]TDSheet!$A:$P,16,0)</f>
        <v>100</v>
      </c>
      <c r="N54" s="14">
        <f>VLOOKUP(A:A,[1]TDSheet!$A:$X,24,0)</f>
        <v>200</v>
      </c>
      <c r="O54" s="14"/>
      <c r="P54" s="14"/>
      <c r="Q54" s="14"/>
      <c r="R54" s="14"/>
      <c r="S54" s="14"/>
      <c r="T54" s="14"/>
      <c r="U54" s="14"/>
      <c r="V54" s="14"/>
      <c r="W54" s="14">
        <f t="shared" si="11"/>
        <v>137.72579999999999</v>
      </c>
      <c r="X54" s="16"/>
      <c r="Y54" s="17">
        <f t="shared" si="12"/>
        <v>8.3010808432407011</v>
      </c>
      <c r="Z54" s="14">
        <f t="shared" si="13"/>
        <v>3.9445986155099484</v>
      </c>
      <c r="AA54" s="14"/>
      <c r="AB54" s="14"/>
      <c r="AC54" s="14">
        <v>0</v>
      </c>
      <c r="AD54" s="14">
        <f>VLOOKUP(A:A,[1]TDSheet!$A:$AE,31,0)</f>
        <v>114.32539999999999</v>
      </c>
      <c r="AE54" s="14">
        <f>VLOOKUP(A:A,[1]TDSheet!$A:$AF,32,0)</f>
        <v>138.21420000000001</v>
      </c>
      <c r="AF54" s="14">
        <f>VLOOKUP(A:A,[1]TDSheet!$A:$AG,33,0)</f>
        <v>121.88040000000001</v>
      </c>
      <c r="AG54" s="14">
        <f>VLOOKUP(A:A,[1]TDSheet!$A:$W,23,0)</f>
        <v>142.25820000000002</v>
      </c>
      <c r="AH54" s="14">
        <f>VLOOKUP(A:A,[3]TDSheet!$A:$B,2,0)</f>
        <v>225.25800000000001</v>
      </c>
      <c r="AI54" s="14">
        <f>VLOOKUP(A:A,[1]TDSheet!$A:$AI,35,0)</f>
        <v>0</v>
      </c>
      <c r="AJ54" s="14">
        <f t="shared" si="14"/>
        <v>0</v>
      </c>
      <c r="AK54" s="14"/>
      <c r="AL54" s="18">
        <f t="shared" si="15"/>
        <v>0.63555412275695633</v>
      </c>
      <c r="AM54" s="14"/>
      <c r="AN54" s="14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1114.298</v>
      </c>
      <c r="D55" s="8">
        <v>81.447000000000003</v>
      </c>
      <c r="E55" s="8">
        <v>255.10499999999999</v>
      </c>
      <c r="F55" s="8">
        <v>907.52300000000002</v>
      </c>
      <c r="G55" s="1" t="str">
        <f>VLOOKUP(A:A,[1]TDSheet!$A:$G,7,0)</f>
        <v>яблпром</v>
      </c>
      <c r="H55" s="1">
        <f>VLOOKUP(A:A,[1]TDSheet!$A:$H,8,0)</f>
        <v>1</v>
      </c>
      <c r="I55" s="1">
        <f>VLOOKUP(A:A,[1]TDSheet!$A:$I,9,0)</f>
        <v>50</v>
      </c>
      <c r="J55" s="14">
        <f>VLOOKUP(A:A,[2]TDSheet!$A:$F,6,0)</f>
        <v>277.42</v>
      </c>
      <c r="K55" s="14">
        <f t="shared" si="10"/>
        <v>-22.315000000000026</v>
      </c>
      <c r="L55" s="14">
        <f>VLOOKUP(A:A,[1]TDSheet!$A:$O,15,0)</f>
        <v>0</v>
      </c>
      <c r="M55" s="14">
        <f>VLOOKUP(A:A,[1]TDSheet!$A:$P,16,0)</f>
        <v>0</v>
      </c>
      <c r="N55" s="14">
        <f>VLOOKUP(A:A,[1]TDSheet!$A:$X,24,0)</f>
        <v>0</v>
      </c>
      <c r="O55" s="14"/>
      <c r="P55" s="14"/>
      <c r="Q55" s="14"/>
      <c r="R55" s="14"/>
      <c r="S55" s="14"/>
      <c r="T55" s="14"/>
      <c r="U55" s="14"/>
      <c r="V55" s="14"/>
      <c r="W55" s="14">
        <f t="shared" si="11"/>
        <v>51.021000000000001</v>
      </c>
      <c r="X55" s="16"/>
      <c r="Y55" s="17">
        <f t="shared" si="12"/>
        <v>17.787244467964172</v>
      </c>
      <c r="Z55" s="14">
        <f t="shared" si="13"/>
        <v>17.787244467964172</v>
      </c>
      <c r="AA55" s="14"/>
      <c r="AB55" s="14"/>
      <c r="AC55" s="14">
        <v>0</v>
      </c>
      <c r="AD55" s="14">
        <f>VLOOKUP(A:A,[1]TDSheet!$A:$AE,31,0)</f>
        <v>0</v>
      </c>
      <c r="AE55" s="14">
        <f>VLOOKUP(A:A,[1]TDSheet!$A:$AF,32,0)</f>
        <v>44.662599999999998</v>
      </c>
      <c r="AF55" s="14">
        <f>VLOOKUP(A:A,[1]TDSheet!$A:$AG,33,0)</f>
        <v>30.8918</v>
      </c>
      <c r="AG55" s="14">
        <f>VLOOKUP(A:A,[1]TDSheet!$A:$W,23,0)</f>
        <v>26.476199999999999</v>
      </c>
      <c r="AH55" s="14">
        <f>VLOOKUP(A:A,[3]TDSheet!$A:$B,2,0)</f>
        <v>104.98099999999999</v>
      </c>
      <c r="AI55" s="19" t="str">
        <f>VLOOKUP(A:A,[1]TDSheet!$A:$AI,35,0)</f>
        <v>Ларин0</v>
      </c>
      <c r="AJ55" s="14">
        <f t="shared" si="14"/>
        <v>0</v>
      </c>
      <c r="AK55" s="14"/>
      <c r="AL55" s="18">
        <f t="shared" si="15"/>
        <v>1.0576037317967111</v>
      </c>
      <c r="AM55" s="14"/>
      <c r="AN55" s="14"/>
    </row>
    <row r="56" spans="1:40" s="1" customFormat="1" ht="11.1" customHeight="1" outlineLevel="1" x14ac:dyDescent="0.2">
      <c r="A56" s="7" t="s">
        <v>59</v>
      </c>
      <c r="B56" s="7" t="s">
        <v>8</v>
      </c>
      <c r="C56" s="8"/>
      <c r="D56" s="8">
        <v>47.631</v>
      </c>
      <c r="E56" s="8">
        <v>0.71399999999999997</v>
      </c>
      <c r="F56" s="8">
        <v>46.917000000000002</v>
      </c>
      <c r="G56" s="12" t="s">
        <v>131</v>
      </c>
      <c r="H56" s="1">
        <v>0</v>
      </c>
      <c r="I56" s="1" t="e">
        <f>VLOOKUP(A:A,[1]TDSheet!$A:$I,9,0)</f>
        <v>#N/A</v>
      </c>
      <c r="J56" s="14">
        <f>VLOOKUP(A:A,[2]TDSheet!$A:$F,6,0)</f>
        <v>0.8</v>
      </c>
      <c r="K56" s="14">
        <f t="shared" si="10"/>
        <v>-8.6000000000000076E-2</v>
      </c>
      <c r="L56" s="14">
        <v>0</v>
      </c>
      <c r="M56" s="14">
        <v>0</v>
      </c>
      <c r="N56" s="14">
        <v>0</v>
      </c>
      <c r="O56" s="14"/>
      <c r="P56" s="14"/>
      <c r="Q56" s="14"/>
      <c r="R56" s="14"/>
      <c r="S56" s="14"/>
      <c r="T56" s="14"/>
      <c r="U56" s="14"/>
      <c r="V56" s="14"/>
      <c r="W56" s="14">
        <f t="shared" si="11"/>
        <v>0.14279999999999998</v>
      </c>
      <c r="X56" s="16"/>
      <c r="Y56" s="17">
        <f t="shared" si="12"/>
        <v>328.55042016806726</v>
      </c>
      <c r="Z56" s="14">
        <f t="shared" si="13"/>
        <v>328.55042016806726</v>
      </c>
      <c r="AA56" s="14"/>
      <c r="AB56" s="14"/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f>VLOOKUP(A:A,[3]TDSheet!$A:$B,2,0)</f>
        <v>0.71399999999999997</v>
      </c>
      <c r="AI56" s="14" t="e">
        <f>VLOOKUP(A:A,[1]TDSheet!$A:$AI,35,0)</f>
        <v>#N/A</v>
      </c>
      <c r="AJ56" s="14">
        <f t="shared" si="14"/>
        <v>0</v>
      </c>
      <c r="AK56" s="14"/>
      <c r="AL56" s="18">
        <f t="shared" si="15"/>
        <v>4</v>
      </c>
      <c r="AM56" s="14"/>
      <c r="AN56" s="14"/>
    </row>
    <row r="57" spans="1:40" s="1" customFormat="1" ht="11.1" customHeight="1" outlineLevel="1" x14ac:dyDescent="0.2">
      <c r="A57" s="7" t="s">
        <v>60</v>
      </c>
      <c r="B57" s="7" t="s">
        <v>8</v>
      </c>
      <c r="C57" s="8">
        <v>2133.114</v>
      </c>
      <c r="D57" s="8">
        <v>6874.0330000000004</v>
      </c>
      <c r="E57" s="8">
        <v>5554.3370000000004</v>
      </c>
      <c r="F57" s="8">
        <v>3427.8670000000002</v>
      </c>
      <c r="G57" s="1">
        <f>VLOOKUP(A:A,[1]TDSheet!$A:$G,7,0)</f>
        <v>0</v>
      </c>
      <c r="H57" s="1">
        <f>VLOOKUP(A:A,[1]TDSheet!$A:$H,8,0)</f>
        <v>1</v>
      </c>
      <c r="I57" s="1">
        <f>VLOOKUP(A:A,[1]TDSheet!$A:$I,9,0)</f>
        <v>40</v>
      </c>
      <c r="J57" s="14">
        <f>VLOOKUP(A:A,[2]TDSheet!$A:$F,6,0)</f>
        <v>5520.14</v>
      </c>
      <c r="K57" s="14">
        <f t="shared" si="10"/>
        <v>34.197000000000116</v>
      </c>
      <c r="L57" s="14">
        <f>VLOOKUP(A:A,[1]TDSheet!$A:$O,15,0)</f>
        <v>1300</v>
      </c>
      <c r="M57" s="14">
        <f>VLOOKUP(A:A,[1]TDSheet!$A:$P,16,0)</f>
        <v>700</v>
      </c>
      <c r="N57" s="14">
        <f>VLOOKUP(A:A,[1]TDSheet!$A:$X,24,0)</f>
        <v>1000</v>
      </c>
      <c r="O57" s="14"/>
      <c r="P57" s="14"/>
      <c r="Q57" s="14"/>
      <c r="R57" s="14"/>
      <c r="S57" s="14"/>
      <c r="T57" s="14"/>
      <c r="U57" s="14"/>
      <c r="V57" s="14"/>
      <c r="W57" s="14">
        <f t="shared" si="11"/>
        <v>1110.8674000000001</v>
      </c>
      <c r="X57" s="16">
        <v>1500</v>
      </c>
      <c r="Y57" s="17">
        <f t="shared" si="12"/>
        <v>7.1366456518572781</v>
      </c>
      <c r="Z57" s="14">
        <f t="shared" si="13"/>
        <v>3.0857571299688873</v>
      </c>
      <c r="AA57" s="14"/>
      <c r="AB57" s="14"/>
      <c r="AC57" s="14">
        <v>0</v>
      </c>
      <c r="AD57" s="14">
        <f>VLOOKUP(A:A,[1]TDSheet!$A:$AE,31,0)</f>
        <v>995.3886</v>
      </c>
      <c r="AE57" s="14">
        <f>VLOOKUP(A:A,[1]TDSheet!$A:$AF,32,0)</f>
        <v>999.38760000000002</v>
      </c>
      <c r="AF57" s="14">
        <f>VLOOKUP(A:A,[1]TDSheet!$A:$AG,33,0)</f>
        <v>1029.8522</v>
      </c>
      <c r="AG57" s="14">
        <f>VLOOKUP(A:A,[1]TDSheet!$A:$W,23,0)</f>
        <v>1106.8102000000001</v>
      </c>
      <c r="AH57" s="14">
        <f>VLOOKUP(A:A,[3]TDSheet!$A:$B,2,0)</f>
        <v>1849.761</v>
      </c>
      <c r="AI57" s="14" t="str">
        <f>VLOOKUP(A:A,[1]TDSheet!$A:$AI,35,0)</f>
        <v>проддек-ян</v>
      </c>
      <c r="AJ57" s="14">
        <f t="shared" si="14"/>
        <v>1500</v>
      </c>
      <c r="AK57" s="14"/>
      <c r="AL57" s="18">
        <f t="shared" si="15"/>
        <v>0.66515013403039802</v>
      </c>
      <c r="AM57" s="14"/>
      <c r="AN57" s="14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1412</v>
      </c>
      <c r="D58" s="8">
        <v>6797</v>
      </c>
      <c r="E58" s="8">
        <v>5554</v>
      </c>
      <c r="F58" s="8">
        <v>2608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4">
        <f>VLOOKUP(A:A,[2]TDSheet!$A:$F,6,0)</f>
        <v>5669</v>
      </c>
      <c r="K58" s="14">
        <f t="shared" si="10"/>
        <v>-115</v>
      </c>
      <c r="L58" s="14">
        <f>VLOOKUP(A:A,[1]TDSheet!$A:$O,15,0)</f>
        <v>1000</v>
      </c>
      <c r="M58" s="14">
        <f>VLOOKUP(A:A,[1]TDSheet!$A:$P,16,0)</f>
        <v>800</v>
      </c>
      <c r="N58" s="14">
        <f>VLOOKUP(A:A,[1]TDSheet!$A:$X,24,0)</f>
        <v>1200</v>
      </c>
      <c r="O58" s="14"/>
      <c r="P58" s="14"/>
      <c r="Q58" s="14"/>
      <c r="R58" s="14"/>
      <c r="S58" s="14"/>
      <c r="T58" s="14"/>
      <c r="U58" s="14"/>
      <c r="V58" s="14"/>
      <c r="W58" s="14">
        <f t="shared" si="11"/>
        <v>870.8</v>
      </c>
      <c r="X58" s="16">
        <v>1200</v>
      </c>
      <c r="Y58" s="17">
        <f t="shared" si="12"/>
        <v>7.8180983004134132</v>
      </c>
      <c r="Z58" s="14">
        <f t="shared" si="13"/>
        <v>2.9949471750114838</v>
      </c>
      <c r="AA58" s="14"/>
      <c r="AB58" s="14"/>
      <c r="AC58" s="14">
        <f>VLOOKUP(A:A,[4]TDSheet!$A:$D,4,0)</f>
        <v>1200</v>
      </c>
      <c r="AD58" s="14">
        <f>VLOOKUP(A:A,[1]TDSheet!$A:$AE,31,0)</f>
        <v>419.6</v>
      </c>
      <c r="AE58" s="14">
        <f>VLOOKUP(A:A,[1]TDSheet!$A:$AF,32,0)</f>
        <v>604.6</v>
      </c>
      <c r="AF58" s="14">
        <f>VLOOKUP(A:A,[1]TDSheet!$A:$AG,33,0)</f>
        <v>722</v>
      </c>
      <c r="AG58" s="14">
        <f>VLOOKUP(A:A,[1]TDSheet!$A:$W,23,0)</f>
        <v>793.4</v>
      </c>
      <c r="AH58" s="14">
        <f>VLOOKUP(A:A,[3]TDSheet!$A:$B,2,0)</f>
        <v>1392</v>
      </c>
      <c r="AI58" s="14" t="str">
        <f>VLOOKUP(A:A,[1]TDSheet!$A:$AI,35,0)</f>
        <v>ябдек-ян</v>
      </c>
      <c r="AJ58" s="14">
        <f t="shared" si="14"/>
        <v>540</v>
      </c>
      <c r="AK58" s="14"/>
      <c r="AL58" s="18">
        <f t="shared" si="15"/>
        <v>0.59853008727606816</v>
      </c>
      <c r="AM58" s="14"/>
      <c r="AN58" s="14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1885</v>
      </c>
      <c r="D59" s="8">
        <v>5998</v>
      </c>
      <c r="E59" s="8">
        <v>4452</v>
      </c>
      <c r="F59" s="8">
        <v>3342</v>
      </c>
      <c r="G59" s="1">
        <f>VLOOKUP(A:A,[1]TDSheet!$A:$G,7,0)</f>
        <v>0</v>
      </c>
      <c r="H59" s="1">
        <f>VLOOKUP(A:A,[1]TDSheet!$A:$H,8,0)</f>
        <v>0.45</v>
      </c>
      <c r="I59" s="1">
        <f>VLOOKUP(A:A,[1]TDSheet!$A:$I,9,0)</f>
        <v>50</v>
      </c>
      <c r="J59" s="14">
        <f>VLOOKUP(A:A,[2]TDSheet!$A:$F,6,0)</f>
        <v>4585</v>
      </c>
      <c r="K59" s="14">
        <f t="shared" si="10"/>
        <v>-133</v>
      </c>
      <c r="L59" s="14">
        <f>VLOOKUP(A:A,[1]TDSheet!$A:$O,15,0)</f>
        <v>1000</v>
      </c>
      <c r="M59" s="14">
        <f>VLOOKUP(A:A,[1]TDSheet!$A:$P,16,0)</f>
        <v>900</v>
      </c>
      <c r="N59" s="14">
        <f>VLOOKUP(A:A,[1]TDSheet!$A:$X,24,0)</f>
        <v>1500</v>
      </c>
      <c r="O59" s="14"/>
      <c r="P59" s="14"/>
      <c r="Q59" s="14"/>
      <c r="R59" s="14"/>
      <c r="S59" s="14"/>
      <c r="T59" s="14"/>
      <c r="U59" s="14"/>
      <c r="V59" s="14"/>
      <c r="W59" s="14">
        <f t="shared" si="11"/>
        <v>890.4</v>
      </c>
      <c r="X59" s="16">
        <v>400</v>
      </c>
      <c r="Y59" s="17">
        <f t="shared" si="12"/>
        <v>8.0211141060197662</v>
      </c>
      <c r="Z59" s="14">
        <f t="shared" si="13"/>
        <v>3.753369272237197</v>
      </c>
      <c r="AA59" s="14"/>
      <c r="AB59" s="14"/>
      <c r="AC59" s="14">
        <v>0</v>
      </c>
      <c r="AD59" s="14">
        <f>VLOOKUP(A:A,[1]TDSheet!$A:$AE,31,0)</f>
        <v>814.2</v>
      </c>
      <c r="AE59" s="14">
        <f>VLOOKUP(A:A,[1]TDSheet!$A:$AF,32,0)</f>
        <v>845.6</v>
      </c>
      <c r="AF59" s="14">
        <f>VLOOKUP(A:A,[1]TDSheet!$A:$AG,33,0)</f>
        <v>790.2</v>
      </c>
      <c r="AG59" s="14">
        <f>VLOOKUP(A:A,[1]TDSheet!$A:$W,23,0)</f>
        <v>860</v>
      </c>
      <c r="AH59" s="14">
        <f>VLOOKUP(A:A,[3]TDSheet!$A:$B,2,0)</f>
        <v>1144</v>
      </c>
      <c r="AI59" s="14" t="str">
        <f>VLOOKUP(A:A,[1]TDSheet!$A:$AI,35,0)</f>
        <v>жк</v>
      </c>
      <c r="AJ59" s="14">
        <f t="shared" si="14"/>
        <v>180</v>
      </c>
      <c r="AK59" s="14"/>
      <c r="AL59" s="18">
        <f t="shared" si="15"/>
        <v>0.28481581311769988</v>
      </c>
      <c r="AM59" s="14"/>
      <c r="AN59" s="14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928</v>
      </c>
      <c r="D60" s="8">
        <v>1760</v>
      </c>
      <c r="E60" s="8">
        <v>1682</v>
      </c>
      <c r="F60" s="8">
        <v>972</v>
      </c>
      <c r="G60" s="1">
        <f>VLOOKUP(A:A,[1]TDSheet!$A:$G,7,0)</f>
        <v>0</v>
      </c>
      <c r="H60" s="1">
        <f>VLOOKUP(A:A,[1]TDSheet!$A:$H,8,0)</f>
        <v>0.45</v>
      </c>
      <c r="I60" s="1">
        <f>VLOOKUP(A:A,[1]TDSheet!$A:$I,9,0)</f>
        <v>50</v>
      </c>
      <c r="J60" s="14">
        <f>VLOOKUP(A:A,[2]TDSheet!$A:$F,6,0)</f>
        <v>1715</v>
      </c>
      <c r="K60" s="14">
        <f t="shared" si="10"/>
        <v>-33</v>
      </c>
      <c r="L60" s="14">
        <f>VLOOKUP(A:A,[1]TDSheet!$A:$O,15,0)</f>
        <v>400</v>
      </c>
      <c r="M60" s="14">
        <f>VLOOKUP(A:A,[1]TDSheet!$A:$P,16,0)</f>
        <v>300</v>
      </c>
      <c r="N60" s="14">
        <f>VLOOKUP(A:A,[1]TDSheet!$A:$X,24,0)</f>
        <v>400</v>
      </c>
      <c r="O60" s="14"/>
      <c r="P60" s="14"/>
      <c r="Q60" s="14"/>
      <c r="R60" s="14"/>
      <c r="S60" s="14"/>
      <c r="T60" s="14"/>
      <c r="U60" s="14"/>
      <c r="V60" s="14"/>
      <c r="W60" s="14">
        <f t="shared" si="11"/>
        <v>336.4</v>
      </c>
      <c r="X60" s="16">
        <v>500</v>
      </c>
      <c r="Y60" s="17">
        <f t="shared" si="12"/>
        <v>7.6456599286563618</v>
      </c>
      <c r="Z60" s="14">
        <f t="shared" si="13"/>
        <v>2.8894173602853748</v>
      </c>
      <c r="AA60" s="14"/>
      <c r="AB60" s="14"/>
      <c r="AC60" s="14">
        <v>0</v>
      </c>
      <c r="AD60" s="14">
        <f>VLOOKUP(A:A,[1]TDSheet!$A:$AE,31,0)</f>
        <v>286.39999999999998</v>
      </c>
      <c r="AE60" s="14">
        <f>VLOOKUP(A:A,[1]TDSheet!$A:$AF,32,0)</f>
        <v>326.60000000000002</v>
      </c>
      <c r="AF60" s="14">
        <f>VLOOKUP(A:A,[1]TDSheet!$A:$AG,33,0)</f>
        <v>309</v>
      </c>
      <c r="AG60" s="14">
        <f>VLOOKUP(A:A,[1]TDSheet!$A:$W,23,0)</f>
        <v>291.39999999999998</v>
      </c>
      <c r="AH60" s="14">
        <f>VLOOKUP(A:A,[3]TDSheet!$A:$B,2,0)</f>
        <v>504</v>
      </c>
      <c r="AI60" s="14" t="str">
        <f>VLOOKUP(A:A,[1]TDSheet!$A:$AI,35,0)</f>
        <v>жц</v>
      </c>
      <c r="AJ60" s="14">
        <f t="shared" si="14"/>
        <v>225</v>
      </c>
      <c r="AK60" s="14"/>
      <c r="AL60" s="18">
        <f t="shared" si="15"/>
        <v>0.49821640903686104</v>
      </c>
      <c r="AM60" s="14"/>
      <c r="AN60" s="14"/>
    </row>
    <row r="61" spans="1:40" s="1" customFormat="1" ht="11.1" customHeight="1" outlineLevel="1" x14ac:dyDescent="0.2">
      <c r="A61" s="7" t="s">
        <v>64</v>
      </c>
      <c r="B61" s="7" t="s">
        <v>12</v>
      </c>
      <c r="C61" s="8">
        <v>123</v>
      </c>
      <c r="D61" s="8">
        <v>522</v>
      </c>
      <c r="E61" s="8">
        <v>510</v>
      </c>
      <c r="F61" s="8">
        <v>127</v>
      </c>
      <c r="G61" s="1">
        <f>VLOOKUP(A:A,[1]TDSheet!$A:$G,7,0)</f>
        <v>0</v>
      </c>
      <c r="H61" s="1">
        <f>VLOOKUP(A:A,[1]TDSheet!$A:$H,8,0)</f>
        <v>0.4</v>
      </c>
      <c r="I61" s="1">
        <f>VLOOKUP(A:A,[1]TDSheet!$A:$I,9,0)</f>
        <v>40</v>
      </c>
      <c r="J61" s="14">
        <f>VLOOKUP(A:A,[2]TDSheet!$A:$F,6,0)</f>
        <v>588</v>
      </c>
      <c r="K61" s="14">
        <f t="shared" si="10"/>
        <v>-78</v>
      </c>
      <c r="L61" s="14">
        <f>VLOOKUP(A:A,[1]TDSheet!$A:$O,15,0)</f>
        <v>70</v>
      </c>
      <c r="M61" s="14">
        <f>VLOOKUP(A:A,[1]TDSheet!$A:$P,16,0)</f>
        <v>200</v>
      </c>
      <c r="N61" s="14">
        <f>VLOOKUP(A:A,[1]TDSheet!$A:$X,24,0)</f>
        <v>120</v>
      </c>
      <c r="O61" s="14"/>
      <c r="P61" s="14"/>
      <c r="Q61" s="14"/>
      <c r="R61" s="14"/>
      <c r="S61" s="14"/>
      <c r="T61" s="14"/>
      <c r="U61" s="14"/>
      <c r="V61" s="14"/>
      <c r="W61" s="14">
        <f t="shared" si="11"/>
        <v>102</v>
      </c>
      <c r="X61" s="16">
        <v>150</v>
      </c>
      <c r="Y61" s="17">
        <f t="shared" si="12"/>
        <v>6.5392156862745097</v>
      </c>
      <c r="Z61" s="14">
        <f t="shared" si="13"/>
        <v>1.2450980392156863</v>
      </c>
      <c r="AA61" s="14"/>
      <c r="AB61" s="14"/>
      <c r="AC61" s="14">
        <v>0</v>
      </c>
      <c r="AD61" s="14">
        <f>VLOOKUP(A:A,[1]TDSheet!$A:$AE,31,0)</f>
        <v>58.8</v>
      </c>
      <c r="AE61" s="14">
        <f>VLOOKUP(A:A,[1]TDSheet!$A:$AF,32,0)</f>
        <v>59.4</v>
      </c>
      <c r="AF61" s="14">
        <f>VLOOKUP(A:A,[1]TDSheet!$A:$AG,33,0)</f>
        <v>56.6</v>
      </c>
      <c r="AG61" s="14">
        <f>VLOOKUP(A:A,[1]TDSheet!$A:$W,23,0)</f>
        <v>86</v>
      </c>
      <c r="AH61" s="14">
        <f>VLOOKUP(A:A,[3]TDSheet!$A:$B,2,0)</f>
        <v>109</v>
      </c>
      <c r="AI61" s="14">
        <f>VLOOKUP(A:A,[1]TDSheet!$A:$AI,35,0)</f>
        <v>0</v>
      </c>
      <c r="AJ61" s="14">
        <f t="shared" si="14"/>
        <v>60</v>
      </c>
      <c r="AK61" s="14"/>
      <c r="AL61" s="18">
        <f t="shared" si="15"/>
        <v>6.8627450980392135E-2</v>
      </c>
      <c r="AM61" s="14"/>
      <c r="AN61" s="14"/>
    </row>
    <row r="62" spans="1:40" s="1" customFormat="1" ht="11.1" customHeight="1" outlineLevel="1" x14ac:dyDescent="0.2">
      <c r="A62" s="7" t="s">
        <v>65</v>
      </c>
      <c r="B62" s="7" t="s">
        <v>12</v>
      </c>
      <c r="C62" s="8">
        <v>115</v>
      </c>
      <c r="D62" s="8">
        <v>450</v>
      </c>
      <c r="E62" s="8">
        <v>385</v>
      </c>
      <c r="F62" s="8">
        <v>174</v>
      </c>
      <c r="G62" s="1">
        <f>VLOOKUP(A:A,[1]TDSheet!$A:$G,7,0)</f>
        <v>0</v>
      </c>
      <c r="H62" s="1">
        <f>VLOOKUP(A:A,[1]TDSheet!$A:$H,8,0)</f>
        <v>0.4</v>
      </c>
      <c r="I62" s="1">
        <f>VLOOKUP(A:A,[1]TDSheet!$A:$I,9,0)</f>
        <v>40</v>
      </c>
      <c r="J62" s="14">
        <f>VLOOKUP(A:A,[2]TDSheet!$A:$F,6,0)</f>
        <v>406</v>
      </c>
      <c r="K62" s="14">
        <f t="shared" si="10"/>
        <v>-21</v>
      </c>
      <c r="L62" s="14">
        <f>VLOOKUP(A:A,[1]TDSheet!$A:$O,15,0)</f>
        <v>70</v>
      </c>
      <c r="M62" s="14">
        <f>VLOOKUP(A:A,[1]TDSheet!$A:$P,16,0)</f>
        <v>140</v>
      </c>
      <c r="N62" s="14">
        <f>VLOOKUP(A:A,[1]TDSheet!$A:$X,24,0)</f>
        <v>120</v>
      </c>
      <c r="O62" s="14"/>
      <c r="P62" s="14"/>
      <c r="Q62" s="14"/>
      <c r="R62" s="14"/>
      <c r="S62" s="14"/>
      <c r="T62" s="14"/>
      <c r="U62" s="14"/>
      <c r="V62" s="14"/>
      <c r="W62" s="14">
        <f t="shared" si="11"/>
        <v>77</v>
      </c>
      <c r="X62" s="16">
        <v>50</v>
      </c>
      <c r="Y62" s="17">
        <f t="shared" si="12"/>
        <v>7.1948051948051948</v>
      </c>
      <c r="Z62" s="14">
        <f t="shared" si="13"/>
        <v>2.2597402597402598</v>
      </c>
      <c r="AA62" s="14"/>
      <c r="AB62" s="14"/>
      <c r="AC62" s="14">
        <v>0</v>
      </c>
      <c r="AD62" s="14">
        <f>VLOOKUP(A:A,[1]TDSheet!$A:$AE,31,0)</f>
        <v>50.4</v>
      </c>
      <c r="AE62" s="14">
        <f>VLOOKUP(A:A,[1]TDSheet!$A:$AF,32,0)</f>
        <v>56.2</v>
      </c>
      <c r="AF62" s="14">
        <f>VLOOKUP(A:A,[1]TDSheet!$A:$AG,33,0)</f>
        <v>54</v>
      </c>
      <c r="AG62" s="14">
        <f>VLOOKUP(A:A,[1]TDSheet!$A:$W,23,0)</f>
        <v>78.400000000000006</v>
      </c>
      <c r="AH62" s="14">
        <f>VLOOKUP(A:A,[3]TDSheet!$A:$B,2,0)</f>
        <v>78</v>
      </c>
      <c r="AI62" s="14">
        <f>VLOOKUP(A:A,[1]TDSheet!$A:$AI,35,0)</f>
        <v>0</v>
      </c>
      <c r="AJ62" s="14">
        <f t="shared" si="14"/>
        <v>20</v>
      </c>
      <c r="AK62" s="14"/>
      <c r="AL62" s="18">
        <f t="shared" si="15"/>
        <v>1.298701298701288E-2</v>
      </c>
      <c r="AM62" s="14"/>
      <c r="AN62" s="14"/>
    </row>
    <row r="63" spans="1:40" s="1" customFormat="1" ht="11.1" customHeight="1" outlineLevel="1" x14ac:dyDescent="0.2">
      <c r="A63" s="7" t="s">
        <v>66</v>
      </c>
      <c r="B63" s="7" t="s">
        <v>8</v>
      </c>
      <c r="C63" s="8">
        <v>346.97899999999998</v>
      </c>
      <c r="D63" s="8">
        <v>1530.6410000000001</v>
      </c>
      <c r="E63" s="8">
        <v>1255.3910000000001</v>
      </c>
      <c r="F63" s="8">
        <v>615.529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4">
        <f>VLOOKUP(A:A,[2]TDSheet!$A:$F,6,0)</f>
        <v>1245.567</v>
      </c>
      <c r="K63" s="14">
        <f t="shared" si="10"/>
        <v>9.8240000000000691</v>
      </c>
      <c r="L63" s="14">
        <f>VLOOKUP(A:A,[1]TDSheet!$A:$O,15,0)</f>
        <v>300</v>
      </c>
      <c r="M63" s="14">
        <f>VLOOKUP(A:A,[1]TDSheet!$A:$P,16,0)</f>
        <v>200</v>
      </c>
      <c r="N63" s="14">
        <f>VLOOKUP(A:A,[1]TDSheet!$A:$X,24,0)</f>
        <v>300</v>
      </c>
      <c r="O63" s="14"/>
      <c r="P63" s="14"/>
      <c r="Q63" s="14"/>
      <c r="R63" s="14"/>
      <c r="S63" s="14"/>
      <c r="T63" s="14"/>
      <c r="U63" s="14"/>
      <c r="V63" s="14"/>
      <c r="W63" s="14">
        <f t="shared" si="11"/>
        <v>251.07820000000001</v>
      </c>
      <c r="X63" s="16">
        <v>400</v>
      </c>
      <c r="Y63" s="17">
        <f t="shared" si="12"/>
        <v>7.2309304431846328</v>
      </c>
      <c r="Z63" s="14">
        <f t="shared" si="13"/>
        <v>2.4515429854125128</v>
      </c>
      <c r="AA63" s="14"/>
      <c r="AB63" s="14"/>
      <c r="AC63" s="14">
        <v>0</v>
      </c>
      <c r="AD63" s="14">
        <f>VLOOKUP(A:A,[1]TDSheet!$A:$AE,31,0)</f>
        <v>174.87439999999998</v>
      </c>
      <c r="AE63" s="14">
        <f>VLOOKUP(A:A,[1]TDSheet!$A:$AF,32,0)</f>
        <v>179.63759999999999</v>
      </c>
      <c r="AF63" s="14">
        <f>VLOOKUP(A:A,[1]TDSheet!$A:$AG,33,0)</f>
        <v>190.4136</v>
      </c>
      <c r="AG63" s="14">
        <f>VLOOKUP(A:A,[1]TDSheet!$A:$W,23,0)</f>
        <v>211.44319999999999</v>
      </c>
      <c r="AH63" s="14">
        <f>VLOOKUP(A:A,[3]TDSheet!$A:$B,2,0)</f>
        <v>330.91300000000001</v>
      </c>
      <c r="AI63" s="14">
        <f>VLOOKUP(A:A,[1]TDSheet!$A:$AI,35,0)</f>
        <v>0</v>
      </c>
      <c r="AJ63" s="14">
        <f t="shared" si="14"/>
        <v>400</v>
      </c>
      <c r="AK63" s="14"/>
      <c r="AL63" s="18">
        <f t="shared" si="15"/>
        <v>0.31796786817812128</v>
      </c>
      <c r="AM63" s="14"/>
      <c r="AN63" s="14"/>
    </row>
    <row r="64" spans="1:40" s="1" customFormat="1" ht="11.1" customHeight="1" outlineLevel="1" x14ac:dyDescent="0.2">
      <c r="A64" s="7" t="s">
        <v>67</v>
      </c>
      <c r="B64" s="7" t="s">
        <v>12</v>
      </c>
      <c r="C64" s="8">
        <v>2628</v>
      </c>
      <c r="D64" s="8">
        <v>813</v>
      </c>
      <c r="E64" s="8">
        <v>595</v>
      </c>
      <c r="F64" s="8">
        <v>2833</v>
      </c>
      <c r="G64" s="1">
        <f>VLOOKUP(A:A,[1]TDSheet!$A:$G,7,0)</f>
        <v>0</v>
      </c>
      <c r="H64" s="1">
        <f>VLOOKUP(A:A,[1]TDSheet!$A:$H,8,0)</f>
        <v>0.1</v>
      </c>
      <c r="I64" s="1">
        <f>VLOOKUP(A:A,[1]TDSheet!$A:$I,9,0)</f>
        <v>730</v>
      </c>
      <c r="J64" s="14">
        <f>VLOOKUP(A:A,[2]TDSheet!$A:$F,6,0)</f>
        <v>610</v>
      </c>
      <c r="K64" s="14">
        <f t="shared" si="10"/>
        <v>-15</v>
      </c>
      <c r="L64" s="14">
        <f>VLOOKUP(A:A,[1]TDSheet!$A:$O,15,0)</f>
        <v>0</v>
      </c>
      <c r="M64" s="14">
        <f>VLOOKUP(A:A,[1]TDSheet!$A:$P,16,0)</f>
        <v>0</v>
      </c>
      <c r="N64" s="14">
        <f>VLOOKUP(A:A,[1]TDSheet!$A:$X,24,0)</f>
        <v>0</v>
      </c>
      <c r="O64" s="14"/>
      <c r="P64" s="14"/>
      <c r="Q64" s="14"/>
      <c r="R64" s="14"/>
      <c r="S64" s="14"/>
      <c r="T64" s="14"/>
      <c r="U64" s="14"/>
      <c r="V64" s="14"/>
      <c r="W64" s="14">
        <f t="shared" si="11"/>
        <v>119</v>
      </c>
      <c r="X64" s="16"/>
      <c r="Y64" s="17">
        <f t="shared" si="12"/>
        <v>23.806722689075631</v>
      </c>
      <c r="Z64" s="14">
        <f t="shared" si="13"/>
        <v>23.806722689075631</v>
      </c>
      <c r="AA64" s="14"/>
      <c r="AB64" s="14"/>
      <c r="AC64" s="14">
        <v>0</v>
      </c>
      <c r="AD64" s="14">
        <f>VLOOKUP(A:A,[1]TDSheet!$A:$AE,31,0)</f>
        <v>104.4</v>
      </c>
      <c r="AE64" s="14">
        <f>VLOOKUP(A:A,[1]TDSheet!$A:$AF,32,0)</f>
        <v>157.4</v>
      </c>
      <c r="AF64" s="14">
        <f>VLOOKUP(A:A,[1]TDSheet!$A:$AG,33,0)</f>
        <v>129.4</v>
      </c>
      <c r="AG64" s="14">
        <f>VLOOKUP(A:A,[1]TDSheet!$A:$W,23,0)</f>
        <v>128.19999999999999</v>
      </c>
      <c r="AH64" s="14">
        <f>VLOOKUP(A:A,[3]TDSheet!$A:$B,2,0)</f>
        <v>85</v>
      </c>
      <c r="AI64" s="14">
        <f>VLOOKUP(A:A,[1]TDSheet!$A:$AI,35,0)</f>
        <v>0</v>
      </c>
      <c r="AJ64" s="14">
        <f t="shared" si="14"/>
        <v>0</v>
      </c>
      <c r="AK64" s="14"/>
      <c r="AL64" s="18">
        <f t="shared" si="15"/>
        <v>-0.2857142857142857</v>
      </c>
      <c r="AM64" s="14"/>
      <c r="AN64" s="14"/>
    </row>
    <row r="65" spans="1:40" s="1" customFormat="1" ht="11.1" customHeight="1" outlineLevel="1" x14ac:dyDescent="0.2">
      <c r="A65" s="7" t="s">
        <v>68</v>
      </c>
      <c r="B65" s="7" t="s">
        <v>8</v>
      </c>
      <c r="C65" s="8">
        <v>103.087</v>
      </c>
      <c r="D65" s="8">
        <v>314.25700000000001</v>
      </c>
      <c r="E65" s="8">
        <v>212.54</v>
      </c>
      <c r="F65" s="8">
        <v>203.46100000000001</v>
      </c>
      <c r="G65" s="1">
        <f>VLOOKUP(A:A,[1]TDSheet!$A:$G,7,0)</f>
        <v>0</v>
      </c>
      <c r="H65" s="1">
        <f>VLOOKUP(A:A,[1]TDSheet!$A:$H,8,0)</f>
        <v>1</v>
      </c>
      <c r="I65" s="1">
        <f>VLOOKUP(A:A,[1]TDSheet!$A:$I,9,0)</f>
        <v>50</v>
      </c>
      <c r="J65" s="14">
        <f>VLOOKUP(A:A,[2]TDSheet!$A:$F,6,0)</f>
        <v>216.6</v>
      </c>
      <c r="K65" s="14">
        <f t="shared" si="10"/>
        <v>-4.0600000000000023</v>
      </c>
      <c r="L65" s="14">
        <f>VLOOKUP(A:A,[1]TDSheet!$A:$O,15,0)</f>
        <v>50</v>
      </c>
      <c r="M65" s="14">
        <f>VLOOKUP(A:A,[1]TDSheet!$A:$P,16,0)</f>
        <v>50</v>
      </c>
      <c r="N65" s="14">
        <f>VLOOKUP(A:A,[1]TDSheet!$A:$X,24,0)</f>
        <v>50</v>
      </c>
      <c r="O65" s="14"/>
      <c r="P65" s="14"/>
      <c r="Q65" s="14"/>
      <c r="R65" s="14"/>
      <c r="S65" s="14"/>
      <c r="T65" s="14"/>
      <c r="U65" s="14"/>
      <c r="V65" s="14"/>
      <c r="W65" s="14">
        <f t="shared" si="11"/>
        <v>42.507999999999996</v>
      </c>
      <c r="X65" s="16"/>
      <c r="Y65" s="17">
        <f t="shared" si="12"/>
        <v>8.3151642043850575</v>
      </c>
      <c r="Z65" s="14">
        <f t="shared" si="13"/>
        <v>4.7864166745083283</v>
      </c>
      <c r="AA65" s="14"/>
      <c r="AB65" s="14"/>
      <c r="AC65" s="14">
        <v>0</v>
      </c>
      <c r="AD65" s="14">
        <f>VLOOKUP(A:A,[1]TDSheet!$A:$AE,31,0)</f>
        <v>47.227400000000003</v>
      </c>
      <c r="AE65" s="14">
        <f>VLOOKUP(A:A,[1]TDSheet!$A:$AF,32,0)</f>
        <v>47.904199999999996</v>
      </c>
      <c r="AF65" s="14">
        <f>VLOOKUP(A:A,[1]TDSheet!$A:$AG,33,0)</f>
        <v>44.678800000000003</v>
      </c>
      <c r="AG65" s="14">
        <f>VLOOKUP(A:A,[1]TDSheet!$A:$W,23,0)</f>
        <v>44.595999999999997</v>
      </c>
      <c r="AH65" s="14">
        <f>VLOOKUP(A:A,[3]TDSheet!$A:$B,2,0)</f>
        <v>58.811</v>
      </c>
      <c r="AI65" s="14">
        <f>VLOOKUP(A:A,[1]TDSheet!$A:$AI,35,0)</f>
        <v>0</v>
      </c>
      <c r="AJ65" s="14">
        <f t="shared" si="14"/>
        <v>0</v>
      </c>
      <c r="AK65" s="14"/>
      <c r="AL65" s="18">
        <f t="shared" si="15"/>
        <v>0.38352780653053564</v>
      </c>
      <c r="AM65" s="14"/>
      <c r="AN65" s="14"/>
    </row>
    <row r="66" spans="1:40" s="1" customFormat="1" ht="11.1" customHeight="1" outlineLevel="1" x14ac:dyDescent="0.2">
      <c r="A66" s="7" t="s">
        <v>69</v>
      </c>
      <c r="B66" s="7" t="s">
        <v>12</v>
      </c>
      <c r="C66" s="8">
        <v>1315</v>
      </c>
      <c r="D66" s="8">
        <v>4744</v>
      </c>
      <c r="E66" s="8">
        <v>3826</v>
      </c>
      <c r="F66" s="8">
        <v>2197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4">
        <f>VLOOKUP(A:A,[2]TDSheet!$A:$F,6,0)</f>
        <v>3875</v>
      </c>
      <c r="K66" s="14">
        <f t="shared" si="10"/>
        <v>-49</v>
      </c>
      <c r="L66" s="14">
        <f>VLOOKUP(A:A,[1]TDSheet!$A:$O,15,0)</f>
        <v>700</v>
      </c>
      <c r="M66" s="14">
        <f>VLOOKUP(A:A,[1]TDSheet!$A:$P,16,0)</f>
        <v>500</v>
      </c>
      <c r="N66" s="14">
        <f>VLOOKUP(A:A,[1]TDSheet!$A:$X,24,0)</f>
        <v>200</v>
      </c>
      <c r="O66" s="14"/>
      <c r="P66" s="14"/>
      <c r="Q66" s="14"/>
      <c r="R66" s="14"/>
      <c r="S66" s="14"/>
      <c r="T66" s="14"/>
      <c r="U66" s="14"/>
      <c r="V66" s="14"/>
      <c r="W66" s="14">
        <f t="shared" si="11"/>
        <v>585.20000000000005</v>
      </c>
      <c r="X66" s="16">
        <v>400</v>
      </c>
      <c r="Y66" s="17">
        <f t="shared" si="12"/>
        <v>6.8301435406698561</v>
      </c>
      <c r="Z66" s="14">
        <f t="shared" si="13"/>
        <v>3.7542720437457278</v>
      </c>
      <c r="AA66" s="14"/>
      <c r="AB66" s="14"/>
      <c r="AC66" s="14">
        <f>VLOOKUP(A:A,[4]TDSheet!$A:$D,4,0)</f>
        <v>900</v>
      </c>
      <c r="AD66" s="14">
        <f>VLOOKUP(A:A,[1]TDSheet!$A:$AE,31,0)</f>
        <v>523.79999999999995</v>
      </c>
      <c r="AE66" s="14">
        <f>VLOOKUP(A:A,[1]TDSheet!$A:$AF,32,0)</f>
        <v>593.4</v>
      </c>
      <c r="AF66" s="14">
        <f>VLOOKUP(A:A,[1]TDSheet!$A:$AG,33,0)</f>
        <v>567.79999999999995</v>
      </c>
      <c r="AG66" s="14">
        <f>VLOOKUP(A:A,[1]TDSheet!$A:$W,23,0)</f>
        <v>584.6</v>
      </c>
      <c r="AH66" s="14">
        <f>VLOOKUP(A:A,[3]TDSheet!$A:$B,2,0)</f>
        <v>674</v>
      </c>
      <c r="AI66" s="14">
        <f>VLOOKUP(A:A,[1]TDSheet!$A:$AI,35,0)</f>
        <v>0</v>
      </c>
      <c r="AJ66" s="14">
        <f t="shared" si="14"/>
        <v>160</v>
      </c>
      <c r="AK66" s="14"/>
      <c r="AL66" s="18">
        <f t="shared" si="15"/>
        <v>0.15174299384825685</v>
      </c>
      <c r="AM66" s="14"/>
      <c r="AN66" s="14"/>
    </row>
    <row r="67" spans="1:40" s="1" customFormat="1" ht="11.1" customHeight="1" outlineLevel="1" x14ac:dyDescent="0.2">
      <c r="A67" s="7" t="s">
        <v>70</v>
      </c>
      <c r="B67" s="7" t="s">
        <v>12</v>
      </c>
      <c r="C67" s="8">
        <v>976</v>
      </c>
      <c r="D67" s="8">
        <v>3383</v>
      </c>
      <c r="E67" s="8">
        <v>2430</v>
      </c>
      <c r="F67" s="8">
        <v>1897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4">
        <f>VLOOKUP(A:A,[2]TDSheet!$A:$F,6,0)</f>
        <v>2482</v>
      </c>
      <c r="K67" s="14">
        <f t="shared" si="10"/>
        <v>-52</v>
      </c>
      <c r="L67" s="14">
        <f>VLOOKUP(A:A,[1]TDSheet!$A:$O,15,0)</f>
        <v>600</v>
      </c>
      <c r="M67" s="14">
        <f>VLOOKUP(A:A,[1]TDSheet!$A:$P,16,0)</f>
        <v>400</v>
      </c>
      <c r="N67" s="14">
        <f>VLOOKUP(A:A,[1]TDSheet!$A:$X,24,0)</f>
        <v>200</v>
      </c>
      <c r="O67" s="14"/>
      <c r="P67" s="14"/>
      <c r="Q67" s="14"/>
      <c r="R67" s="14"/>
      <c r="S67" s="14"/>
      <c r="T67" s="14"/>
      <c r="U67" s="14"/>
      <c r="V67" s="14"/>
      <c r="W67" s="14">
        <f t="shared" si="11"/>
        <v>486</v>
      </c>
      <c r="X67" s="16">
        <v>250</v>
      </c>
      <c r="Y67" s="17">
        <f t="shared" si="12"/>
        <v>6.8868312757201648</v>
      </c>
      <c r="Z67" s="14">
        <f t="shared" si="13"/>
        <v>3.903292181069959</v>
      </c>
      <c r="AA67" s="14"/>
      <c r="AB67" s="14"/>
      <c r="AC67" s="14">
        <v>0</v>
      </c>
      <c r="AD67" s="14">
        <f>VLOOKUP(A:A,[1]TDSheet!$A:$AE,31,0)</f>
        <v>443</v>
      </c>
      <c r="AE67" s="14">
        <f>VLOOKUP(A:A,[1]TDSheet!$A:$AF,32,0)</f>
        <v>493</v>
      </c>
      <c r="AF67" s="14">
        <f>VLOOKUP(A:A,[1]TDSheet!$A:$AG,33,0)</f>
        <v>469.4</v>
      </c>
      <c r="AG67" s="14">
        <f>VLOOKUP(A:A,[1]TDSheet!$A:$W,23,0)</f>
        <v>497.8</v>
      </c>
      <c r="AH67" s="14">
        <f>VLOOKUP(A:A,[3]TDSheet!$A:$B,2,0)</f>
        <v>562</v>
      </c>
      <c r="AI67" s="14">
        <f>VLOOKUP(A:A,[1]TDSheet!$A:$AI,35,0)</f>
        <v>0</v>
      </c>
      <c r="AJ67" s="14">
        <f t="shared" si="14"/>
        <v>100</v>
      </c>
      <c r="AK67" s="14"/>
      <c r="AL67" s="18">
        <f t="shared" si="15"/>
        <v>0.15637860082304522</v>
      </c>
      <c r="AM67" s="14"/>
      <c r="AN67" s="14"/>
    </row>
    <row r="68" spans="1:40" s="1" customFormat="1" ht="21.95" customHeight="1" outlineLevel="1" x14ac:dyDescent="0.2">
      <c r="A68" s="7" t="s">
        <v>71</v>
      </c>
      <c r="B68" s="7" t="s">
        <v>8</v>
      </c>
      <c r="C68" s="8">
        <v>209.51300000000001</v>
      </c>
      <c r="D68" s="8">
        <v>700.80499999999995</v>
      </c>
      <c r="E68" s="8">
        <v>611.06799999999998</v>
      </c>
      <c r="F68" s="8">
        <v>293.83100000000002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4">
        <f>VLOOKUP(A:A,[2]TDSheet!$A:$F,6,0)</f>
        <v>587.77</v>
      </c>
      <c r="K68" s="14">
        <f t="shared" si="10"/>
        <v>23.298000000000002</v>
      </c>
      <c r="L68" s="14">
        <f>VLOOKUP(A:A,[1]TDSheet!$A:$O,15,0)</f>
        <v>130</v>
      </c>
      <c r="M68" s="14">
        <f>VLOOKUP(A:A,[1]TDSheet!$A:$P,16,0)</f>
        <v>150</v>
      </c>
      <c r="N68" s="14">
        <f>VLOOKUP(A:A,[1]TDSheet!$A:$X,24,0)</f>
        <v>200</v>
      </c>
      <c r="O68" s="14"/>
      <c r="P68" s="14"/>
      <c r="Q68" s="14"/>
      <c r="R68" s="14"/>
      <c r="S68" s="14"/>
      <c r="T68" s="14"/>
      <c r="U68" s="14"/>
      <c r="V68" s="14"/>
      <c r="W68" s="14">
        <f t="shared" si="11"/>
        <v>122.2136</v>
      </c>
      <c r="X68" s="16">
        <v>200</v>
      </c>
      <c r="Y68" s="17">
        <f t="shared" si="12"/>
        <v>7.9682703070689351</v>
      </c>
      <c r="Z68" s="14">
        <f t="shared" si="13"/>
        <v>2.4042414264860867</v>
      </c>
      <c r="AA68" s="14"/>
      <c r="AB68" s="14"/>
      <c r="AC68" s="14">
        <v>0</v>
      </c>
      <c r="AD68" s="14">
        <f>VLOOKUP(A:A,[1]TDSheet!$A:$AE,31,0)</f>
        <v>98.983199999999997</v>
      </c>
      <c r="AE68" s="14">
        <f>VLOOKUP(A:A,[1]TDSheet!$A:$AF,32,0)</f>
        <v>113.84259999999999</v>
      </c>
      <c r="AF68" s="14">
        <f>VLOOKUP(A:A,[1]TDSheet!$A:$AG,33,0)</f>
        <v>97.102400000000003</v>
      </c>
      <c r="AG68" s="14">
        <f>VLOOKUP(A:A,[1]TDSheet!$A:$W,23,0)</f>
        <v>107.62039999999999</v>
      </c>
      <c r="AH68" s="14">
        <f>VLOOKUP(A:A,[3]TDSheet!$A:$B,2,0)</f>
        <v>195.19499999999999</v>
      </c>
      <c r="AI68" s="14" t="str">
        <f>VLOOKUP(A:A,[1]TDSheet!$A:$AI,35,0)</f>
        <v>вип</v>
      </c>
      <c r="AJ68" s="14">
        <f t="shared" si="14"/>
        <v>200</v>
      </c>
      <c r="AK68" s="14"/>
      <c r="AL68" s="18">
        <f t="shared" si="15"/>
        <v>0.59716267256671918</v>
      </c>
      <c r="AM68" s="14"/>
      <c r="AN68" s="14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95.617999999999995</v>
      </c>
      <c r="D69" s="8">
        <v>283.30500000000001</v>
      </c>
      <c r="E69" s="8">
        <v>230.667</v>
      </c>
      <c r="F69" s="8">
        <v>146.43799999999999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4">
        <f>VLOOKUP(A:A,[2]TDSheet!$A:$F,6,0)</f>
        <v>223.15</v>
      </c>
      <c r="K69" s="14">
        <f t="shared" si="10"/>
        <v>7.5169999999999959</v>
      </c>
      <c r="L69" s="14">
        <f>VLOOKUP(A:A,[1]TDSheet!$A:$O,15,0)</f>
        <v>50</v>
      </c>
      <c r="M69" s="14">
        <f>VLOOKUP(A:A,[1]TDSheet!$A:$P,16,0)</f>
        <v>90</v>
      </c>
      <c r="N69" s="14">
        <f>VLOOKUP(A:A,[1]TDSheet!$A:$X,24,0)</f>
        <v>50</v>
      </c>
      <c r="O69" s="14"/>
      <c r="P69" s="14"/>
      <c r="Q69" s="14"/>
      <c r="R69" s="14"/>
      <c r="S69" s="14"/>
      <c r="T69" s="14"/>
      <c r="U69" s="14"/>
      <c r="V69" s="14"/>
      <c r="W69" s="14">
        <f t="shared" si="11"/>
        <v>46.133400000000002</v>
      </c>
      <c r="X69" s="16">
        <v>50</v>
      </c>
      <c r="Y69" s="17">
        <f t="shared" si="12"/>
        <v>8.3765341379564475</v>
      </c>
      <c r="Z69" s="14">
        <f t="shared" si="13"/>
        <v>3.1742295170093682</v>
      </c>
      <c r="AA69" s="14"/>
      <c r="AB69" s="14"/>
      <c r="AC69" s="14">
        <v>0</v>
      </c>
      <c r="AD69" s="14">
        <f>VLOOKUP(A:A,[1]TDSheet!$A:$AE,31,0)</f>
        <v>49.187799999999996</v>
      </c>
      <c r="AE69" s="14">
        <f>VLOOKUP(A:A,[1]TDSheet!$A:$AF,32,0)</f>
        <v>44.610599999999998</v>
      </c>
      <c r="AF69" s="14">
        <f>VLOOKUP(A:A,[1]TDSheet!$A:$AG,33,0)</f>
        <v>39.742200000000004</v>
      </c>
      <c r="AG69" s="14">
        <f>VLOOKUP(A:A,[1]TDSheet!$A:$W,23,0)</f>
        <v>44.135399999999997</v>
      </c>
      <c r="AH69" s="14">
        <f>VLOOKUP(A:A,[3]TDSheet!$A:$B,2,0)</f>
        <v>73.975999999999999</v>
      </c>
      <c r="AI69" s="14">
        <f>VLOOKUP(A:A,[1]TDSheet!$A:$AI,35,0)</f>
        <v>0</v>
      </c>
      <c r="AJ69" s="14">
        <f t="shared" si="14"/>
        <v>50</v>
      </c>
      <c r="AK69" s="14"/>
      <c r="AL69" s="18">
        <f t="shared" si="15"/>
        <v>0.60352369432992137</v>
      </c>
      <c r="AM69" s="14"/>
      <c r="AN69" s="14"/>
    </row>
    <row r="70" spans="1:40" s="1" customFormat="1" ht="11.1" customHeight="1" outlineLevel="1" x14ac:dyDescent="0.2">
      <c r="A70" s="7" t="s">
        <v>73</v>
      </c>
      <c r="B70" s="7" t="s">
        <v>8</v>
      </c>
      <c r="C70" s="8">
        <v>719.53800000000001</v>
      </c>
      <c r="D70" s="8">
        <v>3184.3890000000001</v>
      </c>
      <c r="E70" s="8">
        <v>2264.502</v>
      </c>
      <c r="F70" s="8">
        <v>1617.598</v>
      </c>
      <c r="G70" s="1" t="str">
        <f>VLOOKUP(A:A,[1]TDSheet!$A:$G,7,0)</f>
        <v>ябл</v>
      </c>
      <c r="H70" s="1">
        <f>VLOOKUP(A:A,[1]TDSheet!$A:$H,8,0)</f>
        <v>1</v>
      </c>
      <c r="I70" s="1">
        <f>VLOOKUP(A:A,[1]TDSheet!$A:$I,9,0)</f>
        <v>40</v>
      </c>
      <c r="J70" s="14">
        <f>VLOOKUP(A:A,[2]TDSheet!$A:$F,6,0)</f>
        <v>2184.3989999999999</v>
      </c>
      <c r="K70" s="14">
        <f t="shared" si="10"/>
        <v>80.103000000000065</v>
      </c>
      <c r="L70" s="14">
        <f>VLOOKUP(A:A,[1]TDSheet!$A:$O,15,0)</f>
        <v>400</v>
      </c>
      <c r="M70" s="14">
        <f>VLOOKUP(A:A,[1]TDSheet!$A:$P,16,0)</f>
        <v>700</v>
      </c>
      <c r="N70" s="14">
        <f>VLOOKUP(A:A,[1]TDSheet!$A:$X,24,0)</f>
        <v>800</v>
      </c>
      <c r="O70" s="14"/>
      <c r="P70" s="14"/>
      <c r="Q70" s="14"/>
      <c r="R70" s="14"/>
      <c r="S70" s="14"/>
      <c r="T70" s="14"/>
      <c r="U70" s="14"/>
      <c r="V70" s="14"/>
      <c r="W70" s="14">
        <f t="shared" si="11"/>
        <v>452.90039999999999</v>
      </c>
      <c r="X70" s="16">
        <v>100</v>
      </c>
      <c r="Y70" s="17">
        <f t="shared" si="12"/>
        <v>7.9876237689346263</v>
      </c>
      <c r="Z70" s="14">
        <f t="shared" si="13"/>
        <v>3.571641800272201</v>
      </c>
      <c r="AA70" s="14"/>
      <c r="AB70" s="14"/>
      <c r="AC70" s="14">
        <v>0</v>
      </c>
      <c r="AD70" s="14">
        <f>VLOOKUP(A:A,[1]TDSheet!$A:$AE,31,0)</f>
        <v>360.2724</v>
      </c>
      <c r="AE70" s="14">
        <f>VLOOKUP(A:A,[1]TDSheet!$A:$AF,32,0)</f>
        <v>402.38459999999998</v>
      </c>
      <c r="AF70" s="14">
        <f>VLOOKUP(A:A,[1]TDSheet!$A:$AG,33,0)</f>
        <v>382.58839999999998</v>
      </c>
      <c r="AG70" s="14">
        <f>VLOOKUP(A:A,[1]TDSheet!$A:$W,23,0)</f>
        <v>456.33599999999996</v>
      </c>
      <c r="AH70" s="14">
        <f>VLOOKUP(A:A,[3]TDSheet!$A:$B,2,0)</f>
        <v>561.69000000000005</v>
      </c>
      <c r="AI70" s="14" t="str">
        <f>VLOOKUP(A:A,[1]TDSheet!$A:$AI,35,0)</f>
        <v>жц</v>
      </c>
      <c r="AJ70" s="14">
        <f t="shared" si="14"/>
        <v>100</v>
      </c>
      <c r="AK70" s="14"/>
      <c r="AL70" s="18">
        <f t="shared" si="15"/>
        <v>0.24020645598899915</v>
      </c>
      <c r="AM70" s="14"/>
      <c r="AN70" s="14"/>
    </row>
    <row r="71" spans="1:40" s="1" customFormat="1" ht="11.1" customHeight="1" outlineLevel="1" x14ac:dyDescent="0.2">
      <c r="A71" s="7" t="s">
        <v>74</v>
      </c>
      <c r="B71" s="7" t="s">
        <v>8</v>
      </c>
      <c r="C71" s="8">
        <v>73.200999999999993</v>
      </c>
      <c r="D71" s="8">
        <v>500.06</v>
      </c>
      <c r="E71" s="8">
        <v>327.11500000000001</v>
      </c>
      <c r="F71" s="8">
        <v>244.328</v>
      </c>
      <c r="G71" s="1">
        <f>VLOOKUP(A:A,[1]TDSheet!$A:$G,7,0)</f>
        <v>0</v>
      </c>
      <c r="H71" s="1">
        <f>VLOOKUP(A:A,[1]TDSheet!$A:$H,8,0)</f>
        <v>1</v>
      </c>
      <c r="I71" s="1">
        <f>VLOOKUP(A:A,[1]TDSheet!$A:$I,9,0)</f>
        <v>40</v>
      </c>
      <c r="J71" s="14">
        <f>VLOOKUP(A:A,[2]TDSheet!$A:$F,6,0)</f>
        <v>310.8</v>
      </c>
      <c r="K71" s="14">
        <f t="shared" si="10"/>
        <v>16.314999999999998</v>
      </c>
      <c r="L71" s="14">
        <f>VLOOKUP(A:A,[1]TDSheet!$A:$O,15,0)</f>
        <v>80</v>
      </c>
      <c r="M71" s="14">
        <f>VLOOKUP(A:A,[1]TDSheet!$A:$P,16,0)</f>
        <v>130</v>
      </c>
      <c r="N71" s="14">
        <f>VLOOKUP(A:A,[1]TDSheet!$A:$X,24,0)</f>
        <v>0</v>
      </c>
      <c r="O71" s="14"/>
      <c r="P71" s="14"/>
      <c r="Q71" s="14"/>
      <c r="R71" s="14"/>
      <c r="S71" s="14"/>
      <c r="T71" s="14"/>
      <c r="U71" s="14"/>
      <c r="V71" s="14"/>
      <c r="W71" s="14">
        <f t="shared" si="11"/>
        <v>65.423000000000002</v>
      </c>
      <c r="X71" s="16">
        <v>80</v>
      </c>
      <c r="Y71" s="17">
        <f t="shared" si="12"/>
        <v>8.1672806199654548</v>
      </c>
      <c r="Z71" s="14">
        <f t="shared" si="13"/>
        <v>3.7345887531907738</v>
      </c>
      <c r="AA71" s="14"/>
      <c r="AB71" s="14"/>
      <c r="AC71" s="14">
        <v>0</v>
      </c>
      <c r="AD71" s="14">
        <f>VLOOKUP(A:A,[1]TDSheet!$A:$AE,31,0)</f>
        <v>57.490400000000001</v>
      </c>
      <c r="AE71" s="14">
        <f>VLOOKUP(A:A,[1]TDSheet!$A:$AF,32,0)</f>
        <v>60.1432</v>
      </c>
      <c r="AF71" s="14">
        <f>VLOOKUP(A:A,[1]TDSheet!$A:$AG,33,0)</f>
        <v>55.286000000000001</v>
      </c>
      <c r="AG71" s="14">
        <f>VLOOKUP(A:A,[1]TDSheet!$A:$W,23,0)</f>
        <v>65.268600000000006</v>
      </c>
      <c r="AH71" s="14">
        <f>VLOOKUP(A:A,[3]TDSheet!$A:$B,2,0)</f>
        <v>104.83799999999999</v>
      </c>
      <c r="AI71" s="14">
        <f>VLOOKUP(A:A,[1]TDSheet!$A:$AI,35,0)</f>
        <v>0</v>
      </c>
      <c r="AJ71" s="14">
        <f t="shared" si="14"/>
        <v>80</v>
      </c>
      <c r="AK71" s="14"/>
      <c r="AL71" s="18">
        <f t="shared" si="15"/>
        <v>0.60246396527215196</v>
      </c>
      <c r="AM71" s="14"/>
      <c r="AN71" s="14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86</v>
      </c>
      <c r="D72" s="8">
        <v>137</v>
      </c>
      <c r="E72" s="8">
        <v>111</v>
      </c>
      <c r="F72" s="8">
        <v>111</v>
      </c>
      <c r="G72" s="1" t="str">
        <f>VLOOKUP(A:A,[1]TDSheet!$A:$G,7,0)</f>
        <v>дк</v>
      </c>
      <c r="H72" s="1">
        <f>VLOOKUP(A:A,[1]TDSheet!$A:$H,8,0)</f>
        <v>0.6</v>
      </c>
      <c r="I72" s="1">
        <f>VLOOKUP(A:A,[1]TDSheet!$A:$I,9,0)</f>
        <v>60</v>
      </c>
      <c r="J72" s="14">
        <f>VLOOKUP(A:A,[2]TDSheet!$A:$F,6,0)</f>
        <v>112</v>
      </c>
      <c r="K72" s="14">
        <f t="shared" ref="K72:K112" si="16">E72-J72</f>
        <v>-1</v>
      </c>
      <c r="L72" s="14">
        <f>VLOOKUP(A:A,[1]TDSheet!$A:$O,15,0)</f>
        <v>30</v>
      </c>
      <c r="M72" s="14">
        <f>VLOOKUP(A:A,[1]TDSheet!$A:$P,16,0)</f>
        <v>60</v>
      </c>
      <c r="N72" s="14">
        <f>VLOOKUP(A:A,[1]TDSheet!$A:$X,24,0)</f>
        <v>0</v>
      </c>
      <c r="O72" s="14"/>
      <c r="P72" s="14"/>
      <c r="Q72" s="14"/>
      <c r="R72" s="14"/>
      <c r="S72" s="14"/>
      <c r="T72" s="14"/>
      <c r="U72" s="14"/>
      <c r="V72" s="14"/>
      <c r="W72" s="14">
        <f t="shared" ref="W72:W112" si="17">(E72-AC72)/5</f>
        <v>22.2</v>
      </c>
      <c r="X72" s="16"/>
      <c r="Y72" s="17">
        <f t="shared" ref="Y72:Y112" si="18">(F72+L72+M72+N72+X72)/W72</f>
        <v>9.0540540540540544</v>
      </c>
      <c r="Z72" s="14">
        <f t="shared" ref="Z72:Z112" si="19">F72/W72</f>
        <v>5</v>
      </c>
      <c r="AA72" s="14"/>
      <c r="AB72" s="14"/>
      <c r="AC72" s="14">
        <v>0</v>
      </c>
      <c r="AD72" s="14">
        <f>VLOOKUP(A:A,[1]TDSheet!$A:$AE,31,0)</f>
        <v>20.6</v>
      </c>
      <c r="AE72" s="14">
        <f>VLOOKUP(A:A,[1]TDSheet!$A:$AF,32,0)</f>
        <v>22.6</v>
      </c>
      <c r="AF72" s="14">
        <f>VLOOKUP(A:A,[1]TDSheet!$A:$AG,33,0)</f>
        <v>19.399999999999999</v>
      </c>
      <c r="AG72" s="14">
        <f>VLOOKUP(A:A,[1]TDSheet!$A:$W,23,0)</f>
        <v>24.6</v>
      </c>
      <c r="AH72" s="14">
        <f>VLOOKUP(A:A,[3]TDSheet!$A:$B,2,0)</f>
        <v>17</v>
      </c>
      <c r="AI72" s="14">
        <f>VLOOKUP(A:A,[1]TDSheet!$A:$AI,35,0)</f>
        <v>0</v>
      </c>
      <c r="AJ72" s="14">
        <f t="shared" ref="AJ72:AJ112" si="20">X72*H72</f>
        <v>0</v>
      </c>
      <c r="AK72" s="14"/>
      <c r="AL72" s="18">
        <f t="shared" ref="AL72:AL112" si="21">AH72/W72-1</f>
        <v>-0.23423423423423417</v>
      </c>
      <c r="AM72" s="14"/>
      <c r="AN72" s="14"/>
    </row>
    <row r="73" spans="1:40" s="1" customFormat="1" ht="11.1" customHeight="1" outlineLevel="1" x14ac:dyDescent="0.2">
      <c r="A73" s="7" t="s">
        <v>76</v>
      </c>
      <c r="B73" s="7" t="s">
        <v>12</v>
      </c>
      <c r="C73" s="8">
        <v>169</v>
      </c>
      <c r="D73" s="8">
        <v>523</v>
      </c>
      <c r="E73" s="8">
        <v>431</v>
      </c>
      <c r="F73" s="8">
        <v>258</v>
      </c>
      <c r="G73" s="1" t="str">
        <f>VLOOKUP(A:A,[1]TDSheet!$A:$G,7,0)</f>
        <v>ябл</v>
      </c>
      <c r="H73" s="1">
        <f>VLOOKUP(A:A,[1]TDSheet!$A:$H,8,0)</f>
        <v>0.6</v>
      </c>
      <c r="I73" s="1">
        <f>VLOOKUP(A:A,[1]TDSheet!$A:$I,9,0)</f>
        <v>60</v>
      </c>
      <c r="J73" s="14">
        <f>VLOOKUP(A:A,[2]TDSheet!$A:$F,6,0)</f>
        <v>421</v>
      </c>
      <c r="K73" s="14">
        <f t="shared" si="16"/>
        <v>10</v>
      </c>
      <c r="L73" s="14">
        <f>VLOOKUP(A:A,[1]TDSheet!$A:$O,15,0)</f>
        <v>80</v>
      </c>
      <c r="M73" s="14">
        <f>VLOOKUP(A:A,[1]TDSheet!$A:$P,16,0)</f>
        <v>50</v>
      </c>
      <c r="N73" s="14">
        <f>VLOOKUP(A:A,[1]TDSheet!$A:$X,24,0)</f>
        <v>200</v>
      </c>
      <c r="O73" s="14"/>
      <c r="P73" s="14"/>
      <c r="Q73" s="14"/>
      <c r="R73" s="14"/>
      <c r="S73" s="14"/>
      <c r="T73" s="14"/>
      <c r="U73" s="14"/>
      <c r="V73" s="14"/>
      <c r="W73" s="14">
        <f t="shared" si="17"/>
        <v>86.2</v>
      </c>
      <c r="X73" s="16">
        <v>100</v>
      </c>
      <c r="Y73" s="17">
        <f t="shared" si="18"/>
        <v>7.9814385150812059</v>
      </c>
      <c r="Z73" s="14">
        <f t="shared" si="19"/>
        <v>2.9930394431554523</v>
      </c>
      <c r="AA73" s="14"/>
      <c r="AB73" s="14"/>
      <c r="AC73" s="14">
        <v>0</v>
      </c>
      <c r="AD73" s="14">
        <f>VLOOKUP(A:A,[1]TDSheet!$A:$AE,31,0)</f>
        <v>64.8</v>
      </c>
      <c r="AE73" s="14">
        <f>VLOOKUP(A:A,[1]TDSheet!$A:$AF,32,0)</f>
        <v>72.400000000000006</v>
      </c>
      <c r="AF73" s="14">
        <f>VLOOKUP(A:A,[1]TDSheet!$A:$AG,33,0)</f>
        <v>66.599999999999994</v>
      </c>
      <c r="AG73" s="14">
        <f>VLOOKUP(A:A,[1]TDSheet!$A:$W,23,0)</f>
        <v>79.599999999999994</v>
      </c>
      <c r="AH73" s="14">
        <f>VLOOKUP(A:A,[3]TDSheet!$A:$B,2,0)</f>
        <v>144</v>
      </c>
      <c r="AI73" s="14" t="str">
        <f>VLOOKUP(A:A,[1]TDSheet!$A:$AI,35,0)</f>
        <v>проддек-ян</v>
      </c>
      <c r="AJ73" s="14">
        <f t="shared" si="20"/>
        <v>60</v>
      </c>
      <c r="AK73" s="14"/>
      <c r="AL73" s="18">
        <f t="shared" si="21"/>
        <v>0.67053364269141524</v>
      </c>
      <c r="AM73" s="14"/>
      <c r="AN73" s="14"/>
    </row>
    <row r="74" spans="1:40" s="1" customFormat="1" ht="11.1" customHeight="1" outlineLevel="1" x14ac:dyDescent="0.2">
      <c r="A74" s="7" t="s">
        <v>77</v>
      </c>
      <c r="B74" s="7" t="s">
        <v>12</v>
      </c>
      <c r="C74" s="8">
        <v>224</v>
      </c>
      <c r="D74" s="8">
        <v>771</v>
      </c>
      <c r="E74" s="8">
        <v>579</v>
      </c>
      <c r="F74" s="8">
        <v>414</v>
      </c>
      <c r="G74" s="1" t="str">
        <f>VLOOKUP(A:A,[1]TDSheet!$A:$G,7,0)</f>
        <v>ябл</v>
      </c>
      <c r="H74" s="1">
        <f>VLOOKUP(A:A,[1]TDSheet!$A:$H,8,0)</f>
        <v>0.6</v>
      </c>
      <c r="I74" s="1">
        <f>VLOOKUP(A:A,[1]TDSheet!$A:$I,9,0)</f>
        <v>60</v>
      </c>
      <c r="J74" s="14">
        <f>VLOOKUP(A:A,[2]TDSheet!$A:$F,6,0)</f>
        <v>579</v>
      </c>
      <c r="K74" s="14">
        <f t="shared" si="16"/>
        <v>0</v>
      </c>
      <c r="L74" s="14">
        <f>VLOOKUP(A:A,[1]TDSheet!$A:$O,15,0)</f>
        <v>150</v>
      </c>
      <c r="M74" s="14">
        <f>VLOOKUP(A:A,[1]TDSheet!$A:$P,16,0)</f>
        <v>100</v>
      </c>
      <c r="N74" s="14">
        <f>VLOOKUP(A:A,[1]TDSheet!$A:$X,24,0)</f>
        <v>100</v>
      </c>
      <c r="O74" s="14"/>
      <c r="P74" s="14"/>
      <c r="Q74" s="14"/>
      <c r="R74" s="14"/>
      <c r="S74" s="14"/>
      <c r="T74" s="14"/>
      <c r="U74" s="14"/>
      <c r="V74" s="14"/>
      <c r="W74" s="14">
        <f t="shared" si="17"/>
        <v>115.8</v>
      </c>
      <c r="X74" s="16">
        <v>160</v>
      </c>
      <c r="Y74" s="17">
        <f t="shared" si="18"/>
        <v>7.9792746113989637</v>
      </c>
      <c r="Z74" s="14">
        <f t="shared" si="19"/>
        <v>3.5751295336787567</v>
      </c>
      <c r="AA74" s="14"/>
      <c r="AB74" s="14"/>
      <c r="AC74" s="14">
        <v>0</v>
      </c>
      <c r="AD74" s="14">
        <f>VLOOKUP(A:A,[1]TDSheet!$A:$AE,31,0)</f>
        <v>91</v>
      </c>
      <c r="AE74" s="14">
        <f>VLOOKUP(A:A,[1]TDSheet!$A:$AF,32,0)</f>
        <v>102.2</v>
      </c>
      <c r="AF74" s="14">
        <f>VLOOKUP(A:A,[1]TDSheet!$A:$AG,33,0)</f>
        <v>121.8</v>
      </c>
      <c r="AG74" s="14">
        <f>VLOOKUP(A:A,[1]TDSheet!$A:$W,23,0)</f>
        <v>101.6</v>
      </c>
      <c r="AH74" s="14">
        <f>VLOOKUP(A:A,[3]TDSheet!$A:$B,2,0)</f>
        <v>183</v>
      </c>
      <c r="AI74" s="14" t="str">
        <f>VLOOKUP(A:A,[1]TDSheet!$A:$AI,35,0)</f>
        <v>проддек-ян</v>
      </c>
      <c r="AJ74" s="14">
        <f t="shared" si="20"/>
        <v>96</v>
      </c>
      <c r="AK74" s="14"/>
      <c r="AL74" s="18">
        <f t="shared" si="21"/>
        <v>0.58031088082901561</v>
      </c>
      <c r="AM74" s="14"/>
      <c r="AN74" s="14"/>
    </row>
    <row r="75" spans="1:40" s="1" customFormat="1" ht="11.1" customHeight="1" outlineLevel="1" x14ac:dyDescent="0.2">
      <c r="A75" s="7" t="s">
        <v>78</v>
      </c>
      <c r="B75" s="7" t="s">
        <v>8</v>
      </c>
      <c r="C75" s="8">
        <v>98.489000000000004</v>
      </c>
      <c r="D75" s="8">
        <v>247.36199999999999</v>
      </c>
      <c r="E75" s="8">
        <v>277.86</v>
      </c>
      <c r="F75" s="8">
        <v>66.734999999999999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30</v>
      </c>
      <c r="J75" s="14">
        <f>VLOOKUP(A:A,[2]TDSheet!$A:$F,6,0)</f>
        <v>283.08100000000002</v>
      </c>
      <c r="K75" s="14">
        <f t="shared" si="16"/>
        <v>-5.2210000000000036</v>
      </c>
      <c r="L75" s="14">
        <f>VLOOKUP(A:A,[1]TDSheet!$A:$O,15,0)</f>
        <v>0</v>
      </c>
      <c r="M75" s="14">
        <f>VLOOKUP(A:A,[1]TDSheet!$A:$P,16,0)</f>
        <v>0</v>
      </c>
      <c r="N75" s="14">
        <f>VLOOKUP(A:A,[1]TDSheet!$A:$X,24,0)</f>
        <v>100</v>
      </c>
      <c r="O75" s="14"/>
      <c r="P75" s="14"/>
      <c r="Q75" s="14"/>
      <c r="R75" s="14"/>
      <c r="S75" s="14"/>
      <c r="T75" s="14"/>
      <c r="U75" s="14"/>
      <c r="V75" s="14"/>
      <c r="W75" s="14">
        <f t="shared" si="17"/>
        <v>55.572000000000003</v>
      </c>
      <c r="X75" s="16">
        <v>110</v>
      </c>
      <c r="Y75" s="17">
        <f t="shared" si="18"/>
        <v>4.9797559922263011</v>
      </c>
      <c r="Z75" s="14">
        <f t="shared" si="19"/>
        <v>1.2008745411358237</v>
      </c>
      <c r="AA75" s="14"/>
      <c r="AB75" s="14"/>
      <c r="AC75" s="14">
        <v>0</v>
      </c>
      <c r="AD75" s="14">
        <f>VLOOKUP(A:A,[1]TDSheet!$A:$AE,31,0)</f>
        <v>30.5274</v>
      </c>
      <c r="AE75" s="14">
        <f>VLOOKUP(A:A,[1]TDSheet!$A:$AF,32,0)</f>
        <v>31.431400000000004</v>
      </c>
      <c r="AF75" s="14">
        <f>VLOOKUP(A:A,[1]TDSheet!$A:$AG,33,0)</f>
        <v>44.179199999999994</v>
      </c>
      <c r="AG75" s="14">
        <f>VLOOKUP(A:A,[1]TDSheet!$A:$W,23,0)</f>
        <v>38.625799999999998</v>
      </c>
      <c r="AH75" s="14">
        <f>VLOOKUP(A:A,[3]TDSheet!$A:$B,2,0)</f>
        <v>17.173999999999999</v>
      </c>
      <c r="AI75" s="14" t="str">
        <f>VLOOKUP(A:A,[1]TDSheet!$A:$AI,35,0)</f>
        <v>увел</v>
      </c>
      <c r="AJ75" s="14">
        <f t="shared" si="20"/>
        <v>110</v>
      </c>
      <c r="AK75" s="14"/>
      <c r="AL75" s="18">
        <f t="shared" si="21"/>
        <v>-0.69095947599510543</v>
      </c>
      <c r="AM75" s="14"/>
      <c r="AN75" s="14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466</v>
      </c>
      <c r="D76" s="8">
        <v>1062</v>
      </c>
      <c r="E76" s="8">
        <v>877</v>
      </c>
      <c r="F76" s="8">
        <v>647</v>
      </c>
      <c r="G76" s="1" t="str">
        <f>VLOOKUP(A:A,[1]TDSheet!$A:$G,7,0)</f>
        <v>ябл,дк</v>
      </c>
      <c r="H76" s="1">
        <f>VLOOKUP(A:A,[1]TDSheet!$A:$H,8,0)</f>
        <v>0.6</v>
      </c>
      <c r="I76" s="1">
        <f>VLOOKUP(A:A,[1]TDSheet!$A:$I,9,0)</f>
        <v>60</v>
      </c>
      <c r="J76" s="14">
        <f>VLOOKUP(A:A,[2]TDSheet!$A:$F,6,0)</f>
        <v>877</v>
      </c>
      <c r="K76" s="14">
        <f t="shared" si="16"/>
        <v>0</v>
      </c>
      <c r="L76" s="14">
        <f>VLOOKUP(A:A,[1]TDSheet!$A:$O,15,0)</f>
        <v>200</v>
      </c>
      <c r="M76" s="14">
        <f>VLOOKUP(A:A,[1]TDSheet!$A:$P,16,0)</f>
        <v>120</v>
      </c>
      <c r="N76" s="14">
        <f>VLOOKUP(A:A,[1]TDSheet!$A:$X,24,0)</f>
        <v>200</v>
      </c>
      <c r="O76" s="14"/>
      <c r="P76" s="14"/>
      <c r="Q76" s="14"/>
      <c r="R76" s="14"/>
      <c r="S76" s="14"/>
      <c r="T76" s="14"/>
      <c r="U76" s="14"/>
      <c r="V76" s="14"/>
      <c r="W76" s="14">
        <f t="shared" si="17"/>
        <v>175.4</v>
      </c>
      <c r="X76" s="16">
        <v>200</v>
      </c>
      <c r="Y76" s="17">
        <f t="shared" si="18"/>
        <v>7.7936145952109461</v>
      </c>
      <c r="Z76" s="14">
        <f t="shared" si="19"/>
        <v>3.6887115165336373</v>
      </c>
      <c r="AA76" s="14"/>
      <c r="AB76" s="14"/>
      <c r="AC76" s="14">
        <v>0</v>
      </c>
      <c r="AD76" s="14">
        <f>VLOOKUP(A:A,[1]TDSheet!$A:$AE,31,0)</f>
        <v>141.19999999999999</v>
      </c>
      <c r="AE76" s="14">
        <f>VLOOKUP(A:A,[1]TDSheet!$A:$AF,32,0)</f>
        <v>145.6</v>
      </c>
      <c r="AF76" s="14">
        <f>VLOOKUP(A:A,[1]TDSheet!$A:$AG,33,0)</f>
        <v>182.6</v>
      </c>
      <c r="AG76" s="14">
        <f>VLOOKUP(A:A,[1]TDSheet!$A:$W,23,0)</f>
        <v>158.80000000000001</v>
      </c>
      <c r="AH76" s="14">
        <f>VLOOKUP(A:A,[3]TDSheet!$A:$B,2,0)</f>
        <v>240</v>
      </c>
      <c r="AI76" s="14" t="str">
        <f>VLOOKUP(A:A,[1]TDSheet!$A:$AI,35,0)</f>
        <v>проддек-ян</v>
      </c>
      <c r="AJ76" s="14">
        <f t="shared" si="20"/>
        <v>120</v>
      </c>
      <c r="AK76" s="14"/>
      <c r="AL76" s="18">
        <f t="shared" si="21"/>
        <v>0.36830102622576955</v>
      </c>
      <c r="AM76" s="14"/>
      <c r="AN76" s="14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277</v>
      </c>
      <c r="D77" s="8">
        <v>1558</v>
      </c>
      <c r="E77" s="8">
        <v>999</v>
      </c>
      <c r="F77" s="8">
        <v>833</v>
      </c>
      <c r="G77" s="1" t="str">
        <f>VLOOKUP(A:A,[1]TDSheet!$A:$G,7,0)</f>
        <v>ябл,дк</v>
      </c>
      <c r="H77" s="1">
        <f>VLOOKUP(A:A,[1]TDSheet!$A:$H,8,0)</f>
        <v>0.6</v>
      </c>
      <c r="I77" s="1">
        <f>VLOOKUP(A:A,[1]TDSheet!$A:$I,9,0)</f>
        <v>60</v>
      </c>
      <c r="J77" s="14">
        <f>VLOOKUP(A:A,[2]TDSheet!$A:$F,6,0)</f>
        <v>997</v>
      </c>
      <c r="K77" s="14">
        <f t="shared" si="16"/>
        <v>2</v>
      </c>
      <c r="L77" s="14">
        <f>VLOOKUP(A:A,[1]TDSheet!$A:$O,15,0)</f>
        <v>300</v>
      </c>
      <c r="M77" s="14">
        <f>VLOOKUP(A:A,[1]TDSheet!$A:$P,16,0)</f>
        <v>270</v>
      </c>
      <c r="N77" s="14">
        <f>VLOOKUP(A:A,[1]TDSheet!$A:$X,24,0)</f>
        <v>200</v>
      </c>
      <c r="O77" s="14"/>
      <c r="P77" s="14"/>
      <c r="Q77" s="14"/>
      <c r="R77" s="14"/>
      <c r="S77" s="14"/>
      <c r="T77" s="14"/>
      <c r="U77" s="14"/>
      <c r="V77" s="14"/>
      <c r="W77" s="14">
        <f t="shared" si="17"/>
        <v>199.8</v>
      </c>
      <c r="X77" s="16"/>
      <c r="Y77" s="17">
        <f t="shared" si="18"/>
        <v>8.0230230230230219</v>
      </c>
      <c r="Z77" s="14">
        <f t="shared" si="19"/>
        <v>4.1691691691691686</v>
      </c>
      <c r="AA77" s="14"/>
      <c r="AB77" s="14"/>
      <c r="AC77" s="14">
        <v>0</v>
      </c>
      <c r="AD77" s="14">
        <f>VLOOKUP(A:A,[1]TDSheet!$A:$AE,31,0)</f>
        <v>199</v>
      </c>
      <c r="AE77" s="14">
        <f>VLOOKUP(A:A,[1]TDSheet!$A:$AF,32,0)</f>
        <v>199</v>
      </c>
      <c r="AF77" s="14">
        <f>VLOOKUP(A:A,[1]TDSheet!$A:$AG,33,0)</f>
        <v>191.6</v>
      </c>
      <c r="AG77" s="14">
        <f>VLOOKUP(A:A,[1]TDSheet!$A:$W,23,0)</f>
        <v>211.6</v>
      </c>
      <c r="AH77" s="14">
        <f>VLOOKUP(A:A,[3]TDSheet!$A:$B,2,0)</f>
        <v>260</v>
      </c>
      <c r="AI77" s="14" t="str">
        <f>VLOOKUP(A:A,[1]TDSheet!$A:$AI,35,0)</f>
        <v>оконч</v>
      </c>
      <c r="AJ77" s="14">
        <f t="shared" si="20"/>
        <v>0</v>
      </c>
      <c r="AK77" s="14"/>
      <c r="AL77" s="18">
        <f t="shared" si="21"/>
        <v>0.30130130130130128</v>
      </c>
      <c r="AM77" s="14"/>
      <c r="AN77" s="14"/>
    </row>
    <row r="78" spans="1:40" s="1" customFormat="1" ht="11.1" customHeight="1" outlineLevel="1" x14ac:dyDescent="0.2">
      <c r="A78" s="7" t="s">
        <v>81</v>
      </c>
      <c r="B78" s="7" t="s">
        <v>12</v>
      </c>
      <c r="C78" s="8">
        <v>323</v>
      </c>
      <c r="D78" s="8">
        <v>900</v>
      </c>
      <c r="E78" s="8">
        <v>796</v>
      </c>
      <c r="F78" s="8">
        <v>415</v>
      </c>
      <c r="G78" s="1">
        <f>VLOOKUP(A:A,[1]TDSheet!$A:$G,7,0)</f>
        <v>0</v>
      </c>
      <c r="H78" s="1">
        <f>VLOOKUP(A:A,[1]TDSheet!$A:$H,8,0)</f>
        <v>0.4</v>
      </c>
      <c r="I78" s="1" t="e">
        <f>VLOOKUP(A:A,[1]TDSheet!$A:$I,9,0)</f>
        <v>#N/A</v>
      </c>
      <c r="J78" s="14">
        <f>VLOOKUP(A:A,[2]TDSheet!$A:$F,6,0)</f>
        <v>803</v>
      </c>
      <c r="K78" s="14">
        <f t="shared" si="16"/>
        <v>-7</v>
      </c>
      <c r="L78" s="14">
        <f>VLOOKUP(A:A,[1]TDSheet!$A:$O,15,0)</f>
        <v>200</v>
      </c>
      <c r="M78" s="14">
        <f>VLOOKUP(A:A,[1]TDSheet!$A:$P,16,0)</f>
        <v>250</v>
      </c>
      <c r="N78" s="14">
        <f>VLOOKUP(A:A,[1]TDSheet!$A:$X,24,0)</f>
        <v>300</v>
      </c>
      <c r="O78" s="14"/>
      <c r="P78" s="14"/>
      <c r="Q78" s="14"/>
      <c r="R78" s="14"/>
      <c r="S78" s="14"/>
      <c r="T78" s="14"/>
      <c r="U78" s="14"/>
      <c r="V78" s="14"/>
      <c r="W78" s="14">
        <f t="shared" si="17"/>
        <v>159.19999999999999</v>
      </c>
      <c r="X78" s="16">
        <v>100</v>
      </c>
      <c r="Y78" s="17">
        <f t="shared" si="18"/>
        <v>7.9459798994974884</v>
      </c>
      <c r="Z78" s="14">
        <f t="shared" si="19"/>
        <v>2.6067839195979903</v>
      </c>
      <c r="AA78" s="14"/>
      <c r="AB78" s="14"/>
      <c r="AC78" s="14">
        <v>0</v>
      </c>
      <c r="AD78" s="14">
        <f>VLOOKUP(A:A,[1]TDSheet!$A:$AE,31,0)</f>
        <v>120.8</v>
      </c>
      <c r="AE78" s="14">
        <f>VLOOKUP(A:A,[1]TDSheet!$A:$AF,32,0)</f>
        <v>134.80000000000001</v>
      </c>
      <c r="AF78" s="14">
        <f>VLOOKUP(A:A,[1]TDSheet!$A:$AG,33,0)</f>
        <v>127.6</v>
      </c>
      <c r="AG78" s="14">
        <f>VLOOKUP(A:A,[1]TDSheet!$A:$W,23,0)</f>
        <v>156.6</v>
      </c>
      <c r="AH78" s="14">
        <f>VLOOKUP(A:A,[3]TDSheet!$A:$B,2,0)</f>
        <v>146</v>
      </c>
      <c r="AI78" s="14">
        <f>VLOOKUP(A:A,[1]TDSheet!$A:$AI,35,0)</f>
        <v>0</v>
      </c>
      <c r="AJ78" s="14">
        <f t="shared" si="20"/>
        <v>40</v>
      </c>
      <c r="AK78" s="14"/>
      <c r="AL78" s="18">
        <f t="shared" si="21"/>
        <v>-8.2914572864321578E-2</v>
      </c>
      <c r="AM78" s="14"/>
      <c r="AN78" s="14"/>
    </row>
    <row r="79" spans="1:40" s="1" customFormat="1" ht="11.1" customHeight="1" outlineLevel="1" x14ac:dyDescent="0.2">
      <c r="A79" s="7" t="s">
        <v>82</v>
      </c>
      <c r="B79" s="7" t="s">
        <v>12</v>
      </c>
      <c r="C79" s="8">
        <v>268</v>
      </c>
      <c r="D79" s="8">
        <v>798</v>
      </c>
      <c r="E79" s="8">
        <v>677</v>
      </c>
      <c r="F79" s="8">
        <v>385</v>
      </c>
      <c r="G79" s="1">
        <f>VLOOKUP(A:A,[1]TDSheet!$A:$G,7,0)</f>
        <v>0</v>
      </c>
      <c r="H79" s="1">
        <f>VLOOKUP(A:A,[1]TDSheet!$A:$H,8,0)</f>
        <v>0.33</v>
      </c>
      <c r="I79" s="1">
        <f>VLOOKUP(A:A,[1]TDSheet!$A:$I,9,0)</f>
        <v>60</v>
      </c>
      <c r="J79" s="14">
        <f>VLOOKUP(A:A,[2]TDSheet!$A:$F,6,0)</f>
        <v>680</v>
      </c>
      <c r="K79" s="14">
        <f t="shared" si="16"/>
        <v>-3</v>
      </c>
      <c r="L79" s="14">
        <f>VLOOKUP(A:A,[1]TDSheet!$A:$O,15,0)</f>
        <v>150</v>
      </c>
      <c r="M79" s="14">
        <f>VLOOKUP(A:A,[1]TDSheet!$A:$P,16,0)</f>
        <v>180</v>
      </c>
      <c r="N79" s="14">
        <f>VLOOKUP(A:A,[1]TDSheet!$A:$X,24,0)</f>
        <v>100</v>
      </c>
      <c r="O79" s="14"/>
      <c r="P79" s="14"/>
      <c r="Q79" s="14"/>
      <c r="R79" s="14"/>
      <c r="S79" s="14"/>
      <c r="T79" s="14"/>
      <c r="U79" s="14"/>
      <c r="V79" s="14"/>
      <c r="W79" s="14">
        <f t="shared" si="17"/>
        <v>135.4</v>
      </c>
      <c r="X79" s="16">
        <v>150</v>
      </c>
      <c r="Y79" s="17">
        <f t="shared" si="18"/>
        <v>7.1270310192023629</v>
      </c>
      <c r="Z79" s="14">
        <f t="shared" si="19"/>
        <v>2.8434268833087146</v>
      </c>
      <c r="AA79" s="14"/>
      <c r="AB79" s="14"/>
      <c r="AC79" s="14">
        <v>0</v>
      </c>
      <c r="AD79" s="14">
        <f>VLOOKUP(A:A,[1]TDSheet!$A:$AE,31,0)</f>
        <v>140.19999999999999</v>
      </c>
      <c r="AE79" s="14">
        <f>VLOOKUP(A:A,[1]TDSheet!$A:$AF,32,0)</f>
        <v>131</v>
      </c>
      <c r="AF79" s="14">
        <f>VLOOKUP(A:A,[1]TDSheet!$A:$AG,33,0)</f>
        <v>130</v>
      </c>
      <c r="AG79" s="14">
        <f>VLOOKUP(A:A,[1]TDSheet!$A:$W,23,0)</f>
        <v>131</v>
      </c>
      <c r="AH79" s="14">
        <f>VLOOKUP(A:A,[3]TDSheet!$A:$B,2,0)</f>
        <v>129</v>
      </c>
      <c r="AI79" s="14">
        <f>VLOOKUP(A:A,[1]TDSheet!$A:$AI,35,0)</f>
        <v>0</v>
      </c>
      <c r="AJ79" s="14">
        <f t="shared" si="20"/>
        <v>49.5</v>
      </c>
      <c r="AK79" s="14"/>
      <c r="AL79" s="18">
        <f t="shared" si="21"/>
        <v>-4.7267355982274828E-2</v>
      </c>
      <c r="AM79" s="14"/>
      <c r="AN79" s="14"/>
    </row>
    <row r="80" spans="1:40" s="1" customFormat="1" ht="21.95" customHeight="1" outlineLevel="1" x14ac:dyDescent="0.2">
      <c r="A80" s="7" t="s">
        <v>83</v>
      </c>
      <c r="B80" s="7" t="s">
        <v>12</v>
      </c>
      <c r="C80" s="8">
        <v>238</v>
      </c>
      <c r="D80" s="8">
        <v>893</v>
      </c>
      <c r="E80" s="8">
        <v>576</v>
      </c>
      <c r="F80" s="8">
        <v>547</v>
      </c>
      <c r="G80" s="1">
        <f>VLOOKUP(A:A,[1]TDSheet!$A:$G,7,0)</f>
        <v>0</v>
      </c>
      <c r="H80" s="1">
        <f>VLOOKUP(A:A,[1]TDSheet!$A:$H,8,0)</f>
        <v>0.35</v>
      </c>
      <c r="I80" s="1" t="e">
        <f>VLOOKUP(A:A,[1]TDSheet!$A:$I,9,0)</f>
        <v>#N/A</v>
      </c>
      <c r="J80" s="14">
        <f>VLOOKUP(A:A,[2]TDSheet!$A:$F,6,0)</f>
        <v>594</v>
      </c>
      <c r="K80" s="14">
        <f t="shared" si="16"/>
        <v>-18</v>
      </c>
      <c r="L80" s="14">
        <f>VLOOKUP(A:A,[1]TDSheet!$A:$O,15,0)</f>
        <v>200</v>
      </c>
      <c r="M80" s="14">
        <f>VLOOKUP(A:A,[1]TDSheet!$A:$P,16,0)</f>
        <v>100</v>
      </c>
      <c r="N80" s="14">
        <f>VLOOKUP(A:A,[1]TDSheet!$A:$X,24,0)</f>
        <v>100</v>
      </c>
      <c r="O80" s="14"/>
      <c r="P80" s="14"/>
      <c r="Q80" s="14"/>
      <c r="R80" s="14"/>
      <c r="S80" s="14"/>
      <c r="T80" s="14"/>
      <c r="U80" s="14"/>
      <c r="V80" s="14"/>
      <c r="W80" s="14">
        <f t="shared" si="17"/>
        <v>115.2</v>
      </c>
      <c r="X80" s="16"/>
      <c r="Y80" s="17">
        <f t="shared" si="18"/>
        <v>8.2204861111111107</v>
      </c>
      <c r="Z80" s="14">
        <f t="shared" si="19"/>
        <v>4.7482638888888884</v>
      </c>
      <c r="AA80" s="14"/>
      <c r="AB80" s="14"/>
      <c r="AC80" s="14">
        <v>0</v>
      </c>
      <c r="AD80" s="14">
        <f>VLOOKUP(A:A,[1]TDSheet!$A:$AE,31,0)</f>
        <v>115.8</v>
      </c>
      <c r="AE80" s="14">
        <f>VLOOKUP(A:A,[1]TDSheet!$A:$AF,32,0)</f>
        <v>138</v>
      </c>
      <c r="AF80" s="14">
        <f>VLOOKUP(A:A,[1]TDSheet!$A:$AG,33,0)</f>
        <v>135.4</v>
      </c>
      <c r="AG80" s="14">
        <f>VLOOKUP(A:A,[1]TDSheet!$A:$W,23,0)</f>
        <v>118.4</v>
      </c>
      <c r="AH80" s="14">
        <f>VLOOKUP(A:A,[3]TDSheet!$A:$B,2,0)</f>
        <v>93</v>
      </c>
      <c r="AI80" s="14">
        <f>VLOOKUP(A:A,[1]TDSheet!$A:$AI,35,0)</f>
        <v>0</v>
      </c>
      <c r="AJ80" s="14">
        <f t="shared" si="20"/>
        <v>0</v>
      </c>
      <c r="AK80" s="14"/>
      <c r="AL80" s="18">
        <f t="shared" si="21"/>
        <v>-0.19270833333333337</v>
      </c>
      <c r="AM80" s="14"/>
      <c r="AN80" s="14"/>
    </row>
    <row r="81" spans="1:40" s="1" customFormat="1" ht="11.1" customHeight="1" outlineLevel="1" x14ac:dyDescent="0.2">
      <c r="A81" s="7" t="s">
        <v>84</v>
      </c>
      <c r="B81" s="7" t="s">
        <v>12</v>
      </c>
      <c r="C81" s="8">
        <v>157</v>
      </c>
      <c r="D81" s="8">
        <v>486</v>
      </c>
      <c r="E81" s="8">
        <v>406</v>
      </c>
      <c r="F81" s="8">
        <v>237</v>
      </c>
      <c r="G81" s="1" t="str">
        <f>VLOOKUP(A:A,[1]TDSheet!$A:$G,7,0)</f>
        <v>ябл</v>
      </c>
      <c r="H81" s="1">
        <f>VLOOKUP(A:A,[1]TDSheet!$A:$H,8,0)</f>
        <v>0.33</v>
      </c>
      <c r="I81" s="1" t="e">
        <f>VLOOKUP(A:A,[1]TDSheet!$A:$I,9,0)</f>
        <v>#N/A</v>
      </c>
      <c r="J81" s="14">
        <f>VLOOKUP(A:A,[2]TDSheet!$A:$F,6,0)</f>
        <v>410</v>
      </c>
      <c r="K81" s="14">
        <f t="shared" si="16"/>
        <v>-4</v>
      </c>
      <c r="L81" s="14">
        <f>VLOOKUP(A:A,[1]TDSheet!$A:$O,15,0)</f>
        <v>50</v>
      </c>
      <c r="M81" s="14">
        <f>VLOOKUP(A:A,[1]TDSheet!$A:$P,16,0)</f>
        <v>0</v>
      </c>
      <c r="N81" s="14">
        <f>VLOOKUP(A:A,[1]TDSheet!$A:$X,24,0)</f>
        <v>70</v>
      </c>
      <c r="O81" s="14"/>
      <c r="P81" s="14"/>
      <c r="Q81" s="14"/>
      <c r="R81" s="14"/>
      <c r="S81" s="14"/>
      <c r="T81" s="14"/>
      <c r="U81" s="14"/>
      <c r="V81" s="14"/>
      <c r="W81" s="14">
        <f t="shared" si="17"/>
        <v>81.2</v>
      </c>
      <c r="X81" s="16">
        <v>120</v>
      </c>
      <c r="Y81" s="17">
        <f t="shared" si="18"/>
        <v>5.874384236453202</v>
      </c>
      <c r="Z81" s="14">
        <f t="shared" si="19"/>
        <v>2.9187192118226601</v>
      </c>
      <c r="AA81" s="14"/>
      <c r="AB81" s="14"/>
      <c r="AC81" s="14">
        <v>0</v>
      </c>
      <c r="AD81" s="14">
        <f>VLOOKUP(A:A,[1]TDSheet!$A:$AE,31,0)</f>
        <v>68.599999999999994</v>
      </c>
      <c r="AE81" s="14">
        <f>VLOOKUP(A:A,[1]TDSheet!$A:$AF,32,0)</f>
        <v>61.2</v>
      </c>
      <c r="AF81" s="14">
        <f>VLOOKUP(A:A,[1]TDSheet!$A:$AG,33,0)</f>
        <v>80.599999999999994</v>
      </c>
      <c r="AG81" s="14">
        <f>VLOOKUP(A:A,[1]TDSheet!$A:$W,23,0)</f>
        <v>66.8</v>
      </c>
      <c r="AH81" s="14">
        <f>VLOOKUP(A:A,[3]TDSheet!$A:$B,2,0)</f>
        <v>171</v>
      </c>
      <c r="AI81" s="14" t="str">
        <f>VLOOKUP(A:A,[1]TDSheet!$A:$AI,35,0)</f>
        <v>ябдек-ян</v>
      </c>
      <c r="AJ81" s="14">
        <f t="shared" si="20"/>
        <v>39.6</v>
      </c>
      <c r="AK81" s="14"/>
      <c r="AL81" s="18">
        <f t="shared" si="21"/>
        <v>1.1059113300492611</v>
      </c>
      <c r="AM81" s="14"/>
      <c r="AN81" s="14"/>
    </row>
    <row r="82" spans="1:40" s="1" customFormat="1" ht="11.1" customHeight="1" outlineLevel="1" x14ac:dyDescent="0.2">
      <c r="A82" s="7" t="s">
        <v>85</v>
      </c>
      <c r="B82" s="7" t="s">
        <v>12</v>
      </c>
      <c r="C82" s="8">
        <v>499</v>
      </c>
      <c r="D82" s="8">
        <v>12715</v>
      </c>
      <c r="E82" s="8">
        <v>8350</v>
      </c>
      <c r="F82" s="8">
        <v>4778</v>
      </c>
      <c r="G82" s="1">
        <f>VLOOKUP(A:A,[1]TDSheet!$A:$G,7,0)</f>
        <v>0</v>
      </c>
      <c r="H82" s="1">
        <f>VLOOKUP(A:A,[1]TDSheet!$A:$H,8,0)</f>
        <v>0.35</v>
      </c>
      <c r="I82" s="1">
        <f>VLOOKUP(A:A,[1]TDSheet!$A:$I,9,0)</f>
        <v>40</v>
      </c>
      <c r="J82" s="14">
        <f>VLOOKUP(A:A,[2]TDSheet!$A:$F,6,0)</f>
        <v>8415</v>
      </c>
      <c r="K82" s="14">
        <f t="shared" si="16"/>
        <v>-65</v>
      </c>
      <c r="L82" s="14">
        <f>VLOOKUP(A:A,[1]TDSheet!$A:$O,15,0)</f>
        <v>1900</v>
      </c>
      <c r="M82" s="14">
        <f>VLOOKUP(A:A,[1]TDSheet!$A:$P,16,0)</f>
        <v>700</v>
      </c>
      <c r="N82" s="14">
        <f>VLOOKUP(A:A,[1]TDSheet!$A:$X,24,0)</f>
        <v>500</v>
      </c>
      <c r="O82" s="14"/>
      <c r="P82" s="14"/>
      <c r="Q82" s="14"/>
      <c r="R82" s="14"/>
      <c r="S82" s="14"/>
      <c r="T82" s="14"/>
      <c r="U82" s="14"/>
      <c r="V82" s="14"/>
      <c r="W82" s="14">
        <f t="shared" si="17"/>
        <v>1269.2</v>
      </c>
      <c r="X82" s="16">
        <v>1100</v>
      </c>
      <c r="Y82" s="17">
        <f t="shared" si="18"/>
        <v>7.0737472423573902</v>
      </c>
      <c r="Z82" s="14">
        <f t="shared" si="19"/>
        <v>3.7645761109360225</v>
      </c>
      <c r="AA82" s="14"/>
      <c r="AB82" s="14"/>
      <c r="AC82" s="14">
        <f>VLOOKUP(A:A,[4]TDSheet!$A:$D,4,0)</f>
        <v>2004</v>
      </c>
      <c r="AD82" s="14">
        <f>VLOOKUP(A:A,[1]TDSheet!$A:$AE,31,0)</f>
        <v>783.6</v>
      </c>
      <c r="AE82" s="14">
        <f>VLOOKUP(A:A,[1]TDSheet!$A:$AF,32,0)</f>
        <v>905</v>
      </c>
      <c r="AF82" s="14">
        <f>VLOOKUP(A:A,[1]TDSheet!$A:$AG,33,0)</f>
        <v>1216.5999999999999</v>
      </c>
      <c r="AG82" s="14">
        <f>VLOOKUP(A:A,[1]TDSheet!$A:$W,23,0)</f>
        <v>1263.4000000000001</v>
      </c>
      <c r="AH82" s="14">
        <f>VLOOKUP(A:A,[3]TDSheet!$A:$B,2,0)</f>
        <v>1695</v>
      </c>
      <c r="AI82" s="14" t="str">
        <f>VLOOKUP(A:A,[1]TDSheet!$A:$AI,35,0)</f>
        <v>жк,ябдек-ян</v>
      </c>
      <c r="AJ82" s="14">
        <f t="shared" si="20"/>
        <v>385</v>
      </c>
      <c r="AK82" s="14"/>
      <c r="AL82" s="18">
        <f t="shared" si="21"/>
        <v>0.33548692089505194</v>
      </c>
      <c r="AM82" s="14"/>
      <c r="AN82" s="14"/>
    </row>
    <row r="83" spans="1:40" s="1" customFormat="1" ht="11.1" customHeight="1" outlineLevel="1" x14ac:dyDescent="0.2">
      <c r="A83" s="7" t="s">
        <v>86</v>
      </c>
      <c r="B83" s="7" t="s">
        <v>12</v>
      </c>
      <c r="C83" s="8">
        <v>7733</v>
      </c>
      <c r="D83" s="8">
        <v>5418</v>
      </c>
      <c r="E83" s="8">
        <v>7313</v>
      </c>
      <c r="F83" s="8">
        <v>5661</v>
      </c>
      <c r="G83" s="1">
        <f>VLOOKUP(A:A,[1]TDSheet!$A:$G,7,0)</f>
        <v>0</v>
      </c>
      <c r="H83" s="1">
        <f>VLOOKUP(A:A,[1]TDSheet!$A:$H,8,0)</f>
        <v>0.35</v>
      </c>
      <c r="I83" s="1">
        <f>VLOOKUP(A:A,[1]TDSheet!$A:$I,9,0)</f>
        <v>45</v>
      </c>
      <c r="J83" s="14">
        <f>VLOOKUP(A:A,[2]TDSheet!$A:$F,6,0)</f>
        <v>7508</v>
      </c>
      <c r="K83" s="14">
        <f t="shared" si="16"/>
        <v>-195</v>
      </c>
      <c r="L83" s="14">
        <f>VLOOKUP(A:A,[1]TDSheet!$A:$O,15,0)</f>
        <v>1900</v>
      </c>
      <c r="M83" s="14">
        <f>VLOOKUP(A:A,[1]TDSheet!$A:$P,16,0)</f>
        <v>1400</v>
      </c>
      <c r="N83" s="14">
        <f>VLOOKUP(A:A,[1]TDSheet!$A:$X,24,0)</f>
        <v>800</v>
      </c>
      <c r="O83" s="14"/>
      <c r="P83" s="14"/>
      <c r="Q83" s="14"/>
      <c r="R83" s="14"/>
      <c r="S83" s="14"/>
      <c r="T83" s="14"/>
      <c r="U83" s="14"/>
      <c r="V83" s="14"/>
      <c r="W83" s="14">
        <f t="shared" si="17"/>
        <v>1462.6</v>
      </c>
      <c r="X83" s="16">
        <v>700</v>
      </c>
      <c r="Y83" s="17">
        <f t="shared" si="18"/>
        <v>7.1523314645152469</v>
      </c>
      <c r="Z83" s="14">
        <f t="shared" si="19"/>
        <v>3.8705045808833587</v>
      </c>
      <c r="AA83" s="14"/>
      <c r="AB83" s="14"/>
      <c r="AC83" s="14">
        <v>0</v>
      </c>
      <c r="AD83" s="14">
        <f>VLOOKUP(A:A,[1]TDSheet!$A:$AE,31,0)</f>
        <v>2430</v>
      </c>
      <c r="AE83" s="14">
        <f>VLOOKUP(A:A,[1]TDSheet!$A:$AF,32,0)</f>
        <v>1968</v>
      </c>
      <c r="AF83" s="14">
        <f>VLOOKUP(A:A,[1]TDSheet!$A:$AG,33,0)</f>
        <v>1455</v>
      </c>
      <c r="AG83" s="14">
        <f>VLOOKUP(A:A,[1]TDSheet!$A:$W,23,0)</f>
        <v>1434</v>
      </c>
      <c r="AH83" s="14">
        <f>VLOOKUP(A:A,[3]TDSheet!$A:$B,2,0)</f>
        <v>1556</v>
      </c>
      <c r="AI83" s="14" t="str">
        <f>VLOOKUP(A:A,[1]TDSheet!$A:$AI,35,0)</f>
        <v>жк, яоконч</v>
      </c>
      <c r="AJ83" s="14">
        <f t="shared" si="20"/>
        <v>244.99999999999997</v>
      </c>
      <c r="AK83" s="14"/>
      <c r="AL83" s="18">
        <f t="shared" si="21"/>
        <v>6.3858881444003979E-2</v>
      </c>
      <c r="AM83" s="14"/>
      <c r="AN83" s="14"/>
    </row>
    <row r="84" spans="1:40" s="1" customFormat="1" ht="21.95" customHeight="1" outlineLevel="1" x14ac:dyDescent="0.2">
      <c r="A84" s="7" t="s">
        <v>87</v>
      </c>
      <c r="B84" s="7" t="s">
        <v>12</v>
      </c>
      <c r="C84" s="8">
        <v>349</v>
      </c>
      <c r="D84" s="8">
        <v>538</v>
      </c>
      <c r="E84" s="8">
        <v>510</v>
      </c>
      <c r="F84" s="8">
        <v>369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4">
        <f>VLOOKUP(A:A,[2]TDSheet!$A:$F,6,0)</f>
        <v>519</v>
      </c>
      <c r="K84" s="14">
        <f t="shared" si="16"/>
        <v>-9</v>
      </c>
      <c r="L84" s="14">
        <f>VLOOKUP(A:A,[1]TDSheet!$A:$O,15,0)</f>
        <v>130</v>
      </c>
      <c r="M84" s="14">
        <f>VLOOKUP(A:A,[1]TDSheet!$A:$P,16,0)</f>
        <v>140</v>
      </c>
      <c r="N84" s="14">
        <f>VLOOKUP(A:A,[1]TDSheet!$A:$X,24,0)</f>
        <v>50</v>
      </c>
      <c r="O84" s="14"/>
      <c r="P84" s="14"/>
      <c r="Q84" s="14"/>
      <c r="R84" s="14"/>
      <c r="S84" s="14"/>
      <c r="T84" s="14"/>
      <c r="U84" s="14"/>
      <c r="V84" s="14"/>
      <c r="W84" s="14">
        <f t="shared" si="17"/>
        <v>102</v>
      </c>
      <c r="X84" s="16">
        <v>100</v>
      </c>
      <c r="Y84" s="17">
        <f t="shared" si="18"/>
        <v>7.7352941176470589</v>
      </c>
      <c r="Z84" s="14">
        <f t="shared" si="19"/>
        <v>3.6176470588235294</v>
      </c>
      <c r="AA84" s="14"/>
      <c r="AB84" s="14"/>
      <c r="AC84" s="14">
        <v>0</v>
      </c>
      <c r="AD84" s="14">
        <f>VLOOKUP(A:A,[1]TDSheet!$A:$AE,31,0)</f>
        <v>88.6</v>
      </c>
      <c r="AE84" s="14">
        <f>VLOOKUP(A:A,[1]TDSheet!$A:$AF,32,0)</f>
        <v>119.6</v>
      </c>
      <c r="AF84" s="14">
        <f>VLOOKUP(A:A,[1]TDSheet!$A:$AG,33,0)</f>
        <v>98.8</v>
      </c>
      <c r="AG84" s="14">
        <f>VLOOKUP(A:A,[1]TDSheet!$A:$W,23,0)</f>
        <v>88</v>
      </c>
      <c r="AH84" s="14">
        <f>VLOOKUP(A:A,[3]TDSheet!$A:$B,2,0)</f>
        <v>108</v>
      </c>
      <c r="AI84" s="14">
        <f>VLOOKUP(A:A,[1]TDSheet!$A:$AI,35,0)</f>
        <v>0</v>
      </c>
      <c r="AJ84" s="14">
        <f t="shared" si="20"/>
        <v>40</v>
      </c>
      <c r="AK84" s="14"/>
      <c r="AL84" s="18">
        <f t="shared" si="21"/>
        <v>5.8823529411764719E-2</v>
      </c>
      <c r="AM84" s="14"/>
      <c r="AN84" s="14"/>
    </row>
    <row r="85" spans="1:40" s="1" customFormat="1" ht="21.95" customHeight="1" outlineLevel="1" x14ac:dyDescent="0.2">
      <c r="A85" s="7" t="s">
        <v>88</v>
      </c>
      <c r="B85" s="7" t="s">
        <v>8</v>
      </c>
      <c r="C85" s="8">
        <v>126.273</v>
      </c>
      <c r="D85" s="8">
        <v>570.81100000000004</v>
      </c>
      <c r="E85" s="8">
        <v>509.637</v>
      </c>
      <c r="F85" s="8">
        <v>181.72800000000001</v>
      </c>
      <c r="G85" s="1" t="str">
        <f>VLOOKUP(A:A,[1]TDSheet!$A:$G,7,0)</f>
        <v>н</v>
      </c>
      <c r="H85" s="1">
        <f>VLOOKUP(A:A,[1]TDSheet!$A:$H,8,0)</f>
        <v>1</v>
      </c>
      <c r="I85" s="1" t="e">
        <f>VLOOKUP(A:A,[1]TDSheet!$A:$I,9,0)</f>
        <v>#N/A</v>
      </c>
      <c r="J85" s="14">
        <f>VLOOKUP(A:A,[2]TDSheet!$A:$F,6,0)</f>
        <v>510.98200000000003</v>
      </c>
      <c r="K85" s="14">
        <f t="shared" si="16"/>
        <v>-1.3450000000000273</v>
      </c>
      <c r="L85" s="14">
        <f>VLOOKUP(A:A,[1]TDSheet!$A:$O,15,0)</f>
        <v>60</v>
      </c>
      <c r="M85" s="14">
        <f>VLOOKUP(A:A,[1]TDSheet!$A:$P,16,0)</f>
        <v>60</v>
      </c>
      <c r="N85" s="14">
        <f>VLOOKUP(A:A,[1]TDSheet!$A:$X,24,0)</f>
        <v>120</v>
      </c>
      <c r="O85" s="14"/>
      <c r="P85" s="14"/>
      <c r="Q85" s="14"/>
      <c r="R85" s="14"/>
      <c r="S85" s="14"/>
      <c r="T85" s="14"/>
      <c r="U85" s="14"/>
      <c r="V85" s="14"/>
      <c r="W85" s="14">
        <f t="shared" si="17"/>
        <v>101.92740000000001</v>
      </c>
      <c r="X85" s="16">
        <v>150</v>
      </c>
      <c r="Y85" s="17">
        <f t="shared" si="18"/>
        <v>5.6091688790256597</v>
      </c>
      <c r="Z85" s="14">
        <f t="shared" si="19"/>
        <v>1.7829160755596631</v>
      </c>
      <c r="AA85" s="14"/>
      <c r="AB85" s="14"/>
      <c r="AC85" s="14">
        <v>0</v>
      </c>
      <c r="AD85" s="14">
        <f>VLOOKUP(A:A,[1]TDSheet!$A:$AE,31,0)</f>
        <v>48.589399999999998</v>
      </c>
      <c r="AE85" s="14">
        <f>VLOOKUP(A:A,[1]TDSheet!$A:$AF,32,0)</f>
        <v>51.5182</v>
      </c>
      <c r="AF85" s="14">
        <f>VLOOKUP(A:A,[1]TDSheet!$A:$AG,33,0)</f>
        <v>51.5184</v>
      </c>
      <c r="AG85" s="14">
        <f>VLOOKUP(A:A,[1]TDSheet!$A:$W,23,0)</f>
        <v>72.150000000000006</v>
      </c>
      <c r="AH85" s="14">
        <f>VLOOKUP(A:A,[3]TDSheet!$A:$B,2,0)</f>
        <v>142.56200000000001</v>
      </c>
      <c r="AI85" s="14">
        <f>VLOOKUP(A:A,[1]TDSheet!$A:$AI,35,0)</f>
        <v>0</v>
      </c>
      <c r="AJ85" s="14">
        <f t="shared" si="20"/>
        <v>150</v>
      </c>
      <c r="AK85" s="14"/>
      <c r="AL85" s="18">
        <f t="shared" si="21"/>
        <v>0.39866218504543438</v>
      </c>
      <c r="AM85" s="14"/>
      <c r="AN85" s="14"/>
    </row>
    <row r="86" spans="1:40" s="1" customFormat="1" ht="21.95" customHeight="1" outlineLevel="1" x14ac:dyDescent="0.2">
      <c r="A86" s="7" t="s">
        <v>89</v>
      </c>
      <c r="B86" s="7" t="s">
        <v>12</v>
      </c>
      <c r="C86" s="8">
        <v>179</v>
      </c>
      <c r="D86" s="8">
        <v>354</v>
      </c>
      <c r="E86" s="8">
        <v>271</v>
      </c>
      <c r="F86" s="8">
        <v>238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4">
        <f>VLOOKUP(A:A,[2]TDSheet!$A:$F,6,0)</f>
        <v>295</v>
      </c>
      <c r="K86" s="14">
        <f t="shared" si="16"/>
        <v>-24</v>
      </c>
      <c r="L86" s="14">
        <f>VLOOKUP(A:A,[1]TDSheet!$A:$O,15,0)</f>
        <v>80</v>
      </c>
      <c r="M86" s="14">
        <f>VLOOKUP(A:A,[1]TDSheet!$A:$P,16,0)</f>
        <v>80</v>
      </c>
      <c r="N86" s="14">
        <f>VLOOKUP(A:A,[1]TDSheet!$A:$X,24,0)</f>
        <v>0</v>
      </c>
      <c r="O86" s="14"/>
      <c r="P86" s="14"/>
      <c r="Q86" s="14"/>
      <c r="R86" s="14"/>
      <c r="S86" s="14"/>
      <c r="T86" s="14"/>
      <c r="U86" s="14"/>
      <c r="V86" s="14"/>
      <c r="W86" s="14">
        <f t="shared" si="17"/>
        <v>54.2</v>
      </c>
      <c r="X86" s="16">
        <v>30</v>
      </c>
      <c r="Y86" s="17">
        <f t="shared" si="18"/>
        <v>7.8966789667896675</v>
      </c>
      <c r="Z86" s="14">
        <f t="shared" si="19"/>
        <v>4.391143911439114</v>
      </c>
      <c r="AA86" s="14"/>
      <c r="AB86" s="14"/>
      <c r="AC86" s="14">
        <v>0</v>
      </c>
      <c r="AD86" s="14">
        <f>VLOOKUP(A:A,[1]TDSheet!$A:$AE,31,0)</f>
        <v>64.8</v>
      </c>
      <c r="AE86" s="14">
        <f>VLOOKUP(A:A,[1]TDSheet!$A:$AF,32,0)</f>
        <v>55</v>
      </c>
      <c r="AF86" s="14">
        <f>VLOOKUP(A:A,[1]TDSheet!$A:$AG,33,0)</f>
        <v>67.2</v>
      </c>
      <c r="AG86" s="14">
        <f>VLOOKUP(A:A,[1]TDSheet!$A:$W,23,0)</f>
        <v>56.6</v>
      </c>
      <c r="AH86" s="14">
        <f>VLOOKUP(A:A,[3]TDSheet!$A:$B,2,0)</f>
        <v>64</v>
      </c>
      <c r="AI86" s="14" t="str">
        <f>VLOOKUP(A:A,[1]TDSheet!$A:$AI,35,0)</f>
        <v>ябдек-ян</v>
      </c>
      <c r="AJ86" s="14">
        <f t="shared" si="20"/>
        <v>12</v>
      </c>
      <c r="AK86" s="14"/>
      <c r="AL86" s="18">
        <f t="shared" si="21"/>
        <v>0.18081180811808117</v>
      </c>
      <c r="AM86" s="14"/>
      <c r="AN86" s="14"/>
    </row>
    <row r="87" spans="1:40" s="1" customFormat="1" ht="11.1" customHeight="1" outlineLevel="1" x14ac:dyDescent="0.2">
      <c r="A87" s="7" t="s">
        <v>90</v>
      </c>
      <c r="B87" s="7" t="s">
        <v>8</v>
      </c>
      <c r="C87" s="8">
        <v>102.252</v>
      </c>
      <c r="D87" s="8">
        <v>58.8</v>
      </c>
      <c r="E87" s="8">
        <v>86.394000000000005</v>
      </c>
      <c r="F87" s="8">
        <v>73.221999999999994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4">
        <f>VLOOKUP(A:A,[2]TDSheet!$A:$F,6,0)</f>
        <v>83.5</v>
      </c>
      <c r="K87" s="14">
        <f t="shared" si="16"/>
        <v>2.8940000000000055</v>
      </c>
      <c r="L87" s="14">
        <f>VLOOKUP(A:A,[1]TDSheet!$A:$O,15,0)</f>
        <v>20</v>
      </c>
      <c r="M87" s="14">
        <f>VLOOKUP(A:A,[1]TDSheet!$A:$P,16,0)</f>
        <v>0</v>
      </c>
      <c r="N87" s="14">
        <f>VLOOKUP(A:A,[1]TDSheet!$A:$X,24,0)</f>
        <v>50</v>
      </c>
      <c r="O87" s="14"/>
      <c r="P87" s="14"/>
      <c r="Q87" s="14"/>
      <c r="R87" s="14"/>
      <c r="S87" s="14"/>
      <c r="T87" s="14"/>
      <c r="U87" s="14"/>
      <c r="V87" s="14"/>
      <c r="W87" s="14">
        <f t="shared" si="17"/>
        <v>17.2788</v>
      </c>
      <c r="X87" s="16"/>
      <c r="Y87" s="17">
        <f t="shared" si="18"/>
        <v>8.288885802254784</v>
      </c>
      <c r="Z87" s="14">
        <f t="shared" si="19"/>
        <v>4.2376785424913761</v>
      </c>
      <c r="AA87" s="14"/>
      <c r="AB87" s="14"/>
      <c r="AC87" s="14">
        <v>0</v>
      </c>
      <c r="AD87" s="14">
        <f>VLOOKUP(A:A,[1]TDSheet!$A:$AE,31,0)</f>
        <v>16.763200000000001</v>
      </c>
      <c r="AE87" s="14">
        <f>VLOOKUP(A:A,[1]TDSheet!$A:$AF,32,0)</f>
        <v>23.110199999999999</v>
      </c>
      <c r="AF87" s="14">
        <f>VLOOKUP(A:A,[1]TDSheet!$A:$AG,33,0)</f>
        <v>13.330400000000001</v>
      </c>
      <c r="AG87" s="14">
        <f>VLOOKUP(A:A,[1]TDSheet!$A:$W,23,0)</f>
        <v>17.2912</v>
      </c>
      <c r="AH87" s="14">
        <f>VLOOKUP(A:A,[3]TDSheet!$A:$B,2,0)</f>
        <v>23.085999999999999</v>
      </c>
      <c r="AI87" s="14">
        <f>VLOOKUP(A:A,[1]TDSheet!$A:$AI,35,0)</f>
        <v>0</v>
      </c>
      <c r="AJ87" s="14">
        <f t="shared" si="20"/>
        <v>0</v>
      </c>
      <c r="AK87" s="14"/>
      <c r="AL87" s="18">
        <f t="shared" si="21"/>
        <v>0.33608815426997229</v>
      </c>
      <c r="AM87" s="14"/>
      <c r="AN87" s="14"/>
    </row>
    <row r="88" spans="1:40" s="1" customFormat="1" ht="21.95" customHeight="1" outlineLevel="1" x14ac:dyDescent="0.2">
      <c r="A88" s="7" t="s">
        <v>91</v>
      </c>
      <c r="B88" s="7" t="s">
        <v>12</v>
      </c>
      <c r="C88" s="8">
        <v>431</v>
      </c>
      <c r="D88" s="8">
        <v>638</v>
      </c>
      <c r="E88" s="8">
        <v>675</v>
      </c>
      <c r="F88" s="8">
        <v>368</v>
      </c>
      <c r="G88" s="1">
        <f>VLOOKUP(A:A,[1]TDSheet!$A:$G,7,0)</f>
        <v>0</v>
      </c>
      <c r="H88" s="1">
        <f>VLOOKUP(A:A,[1]TDSheet!$A:$H,8,0)</f>
        <v>0.2</v>
      </c>
      <c r="I88" s="1" t="e">
        <f>VLOOKUP(A:A,[1]TDSheet!$A:$I,9,0)</f>
        <v>#N/A</v>
      </c>
      <c r="J88" s="14">
        <f>VLOOKUP(A:A,[2]TDSheet!$A:$F,6,0)</f>
        <v>700</v>
      </c>
      <c r="K88" s="14">
        <f t="shared" si="16"/>
        <v>-25</v>
      </c>
      <c r="L88" s="14">
        <f>VLOOKUP(A:A,[1]TDSheet!$A:$O,15,0)</f>
        <v>100</v>
      </c>
      <c r="M88" s="14">
        <f>VLOOKUP(A:A,[1]TDSheet!$A:$P,16,0)</f>
        <v>200</v>
      </c>
      <c r="N88" s="14">
        <f>VLOOKUP(A:A,[1]TDSheet!$A:$X,24,0)</f>
        <v>300</v>
      </c>
      <c r="O88" s="14"/>
      <c r="P88" s="14"/>
      <c r="Q88" s="14"/>
      <c r="R88" s="14"/>
      <c r="S88" s="14"/>
      <c r="T88" s="14"/>
      <c r="U88" s="14"/>
      <c r="V88" s="14"/>
      <c r="W88" s="14">
        <f t="shared" si="17"/>
        <v>135</v>
      </c>
      <c r="X88" s="16">
        <v>100</v>
      </c>
      <c r="Y88" s="17">
        <f t="shared" si="18"/>
        <v>7.9111111111111114</v>
      </c>
      <c r="Z88" s="14">
        <f t="shared" si="19"/>
        <v>2.7259259259259259</v>
      </c>
      <c r="AA88" s="14"/>
      <c r="AB88" s="14"/>
      <c r="AC88" s="14">
        <v>0</v>
      </c>
      <c r="AD88" s="14">
        <f>VLOOKUP(A:A,[1]TDSheet!$A:$AE,31,0)</f>
        <v>110.2</v>
      </c>
      <c r="AE88" s="14">
        <f>VLOOKUP(A:A,[1]TDSheet!$A:$AF,32,0)</f>
        <v>128</v>
      </c>
      <c r="AF88" s="14">
        <f>VLOOKUP(A:A,[1]TDSheet!$A:$AG,33,0)</f>
        <v>105</v>
      </c>
      <c r="AG88" s="14">
        <f>VLOOKUP(A:A,[1]TDSheet!$A:$W,23,0)</f>
        <v>133.19999999999999</v>
      </c>
      <c r="AH88" s="14">
        <f>VLOOKUP(A:A,[3]TDSheet!$A:$B,2,0)</f>
        <v>111</v>
      </c>
      <c r="AI88" s="14">
        <f>VLOOKUP(A:A,[1]TDSheet!$A:$AI,35,0)</f>
        <v>0</v>
      </c>
      <c r="AJ88" s="14">
        <f t="shared" si="20"/>
        <v>20</v>
      </c>
      <c r="AK88" s="14"/>
      <c r="AL88" s="18">
        <f t="shared" si="21"/>
        <v>-0.17777777777777781</v>
      </c>
      <c r="AM88" s="14"/>
      <c r="AN88" s="14"/>
    </row>
    <row r="89" spans="1:40" s="1" customFormat="1" ht="11.1" customHeight="1" outlineLevel="1" x14ac:dyDescent="0.2">
      <c r="A89" s="7" t="s">
        <v>92</v>
      </c>
      <c r="B89" s="7" t="s">
        <v>12</v>
      </c>
      <c r="C89" s="8">
        <v>250</v>
      </c>
      <c r="D89" s="8">
        <v>312</v>
      </c>
      <c r="E89" s="8">
        <v>248</v>
      </c>
      <c r="F89" s="8">
        <v>314</v>
      </c>
      <c r="G89" s="1">
        <f>VLOOKUP(A:A,[1]TDSheet!$A:$G,7,0)</f>
        <v>0</v>
      </c>
      <c r="H89" s="1">
        <f>VLOOKUP(A:A,[1]TDSheet!$A:$H,8,0)</f>
        <v>0.3</v>
      </c>
      <c r="I89" s="1" t="e">
        <f>VLOOKUP(A:A,[1]TDSheet!$A:$I,9,0)</f>
        <v>#N/A</v>
      </c>
      <c r="J89" s="14">
        <f>VLOOKUP(A:A,[2]TDSheet!$A:$F,6,0)</f>
        <v>249</v>
      </c>
      <c r="K89" s="14">
        <f t="shared" si="16"/>
        <v>-1</v>
      </c>
      <c r="L89" s="14">
        <f>VLOOKUP(A:A,[1]TDSheet!$A:$O,15,0)</f>
        <v>80</v>
      </c>
      <c r="M89" s="14">
        <f>VLOOKUP(A:A,[1]TDSheet!$A:$P,16,0)</f>
        <v>0</v>
      </c>
      <c r="N89" s="14">
        <f>VLOOKUP(A:A,[1]TDSheet!$A:$X,24,0)</f>
        <v>50</v>
      </c>
      <c r="O89" s="14"/>
      <c r="P89" s="14"/>
      <c r="Q89" s="14"/>
      <c r="R89" s="14"/>
      <c r="S89" s="14"/>
      <c r="T89" s="14"/>
      <c r="U89" s="14"/>
      <c r="V89" s="14"/>
      <c r="W89" s="14">
        <f t="shared" si="17"/>
        <v>49.6</v>
      </c>
      <c r="X89" s="16"/>
      <c r="Y89" s="17">
        <f t="shared" si="18"/>
        <v>8.9516129032258061</v>
      </c>
      <c r="Z89" s="14">
        <f t="shared" si="19"/>
        <v>6.3306451612903221</v>
      </c>
      <c r="AA89" s="14"/>
      <c r="AB89" s="14"/>
      <c r="AC89" s="14">
        <v>0</v>
      </c>
      <c r="AD89" s="14">
        <f>VLOOKUP(A:A,[1]TDSheet!$A:$AE,31,0)</f>
        <v>65.2</v>
      </c>
      <c r="AE89" s="14">
        <f>VLOOKUP(A:A,[1]TDSheet!$A:$AF,32,0)</f>
        <v>85.8</v>
      </c>
      <c r="AF89" s="14">
        <f>VLOOKUP(A:A,[1]TDSheet!$A:$AG,33,0)</f>
        <v>57.6</v>
      </c>
      <c r="AG89" s="14">
        <f>VLOOKUP(A:A,[1]TDSheet!$A:$W,23,0)</f>
        <v>60.8</v>
      </c>
      <c r="AH89" s="14">
        <f>VLOOKUP(A:A,[3]TDSheet!$A:$B,2,0)</f>
        <v>55</v>
      </c>
      <c r="AI89" s="14">
        <f>VLOOKUP(A:A,[1]TDSheet!$A:$AI,35,0)</f>
        <v>0</v>
      </c>
      <c r="AJ89" s="14">
        <f t="shared" si="20"/>
        <v>0</v>
      </c>
      <c r="AK89" s="14"/>
      <c r="AL89" s="18">
        <f t="shared" si="21"/>
        <v>0.1088709677419355</v>
      </c>
      <c r="AM89" s="14"/>
      <c r="AN89" s="14"/>
    </row>
    <row r="90" spans="1:40" s="1" customFormat="1" ht="11.1" customHeight="1" outlineLevel="1" x14ac:dyDescent="0.2">
      <c r="A90" s="7" t="s">
        <v>93</v>
      </c>
      <c r="B90" s="7" t="s">
        <v>8</v>
      </c>
      <c r="C90" s="8">
        <v>158.47800000000001</v>
      </c>
      <c r="D90" s="8">
        <v>828.42200000000003</v>
      </c>
      <c r="E90" s="8">
        <v>607.60599999999999</v>
      </c>
      <c r="F90" s="8">
        <v>373.38799999999998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4">
        <f>VLOOKUP(A:A,[2]TDSheet!$A:$F,6,0)</f>
        <v>611.36199999999997</v>
      </c>
      <c r="K90" s="14">
        <f t="shared" si="16"/>
        <v>-3.7559999999999718</v>
      </c>
      <c r="L90" s="14">
        <f>VLOOKUP(A:A,[1]TDSheet!$A:$O,15,0)</f>
        <v>140</v>
      </c>
      <c r="M90" s="14">
        <f>VLOOKUP(A:A,[1]TDSheet!$A:$P,16,0)</f>
        <v>100</v>
      </c>
      <c r="N90" s="14">
        <f>VLOOKUP(A:A,[1]TDSheet!$A:$X,24,0)</f>
        <v>200</v>
      </c>
      <c r="O90" s="14"/>
      <c r="P90" s="14"/>
      <c r="Q90" s="14"/>
      <c r="R90" s="14"/>
      <c r="S90" s="14"/>
      <c r="T90" s="14"/>
      <c r="U90" s="14"/>
      <c r="V90" s="14"/>
      <c r="W90" s="14">
        <f t="shared" si="17"/>
        <v>121.52119999999999</v>
      </c>
      <c r="X90" s="16">
        <v>150</v>
      </c>
      <c r="Y90" s="17">
        <f t="shared" si="18"/>
        <v>7.9277360658058011</v>
      </c>
      <c r="Z90" s="14">
        <f t="shared" si="19"/>
        <v>3.0726161361145214</v>
      </c>
      <c r="AA90" s="14"/>
      <c r="AB90" s="14"/>
      <c r="AC90" s="14">
        <v>0</v>
      </c>
      <c r="AD90" s="14">
        <f>VLOOKUP(A:A,[1]TDSheet!$A:$AE,31,0)</f>
        <v>85.503</v>
      </c>
      <c r="AE90" s="14">
        <f>VLOOKUP(A:A,[1]TDSheet!$A:$AF,32,0)</f>
        <v>87.367199999999997</v>
      </c>
      <c r="AF90" s="14">
        <f>VLOOKUP(A:A,[1]TDSheet!$A:$AG,33,0)</f>
        <v>100.2654</v>
      </c>
      <c r="AG90" s="14">
        <f>VLOOKUP(A:A,[1]TDSheet!$A:$W,23,0)</f>
        <v>115.05820000000001</v>
      </c>
      <c r="AH90" s="14">
        <f>VLOOKUP(A:A,[3]TDSheet!$A:$B,2,0)</f>
        <v>208.30699999999999</v>
      </c>
      <c r="AI90" s="14">
        <f>VLOOKUP(A:A,[1]TDSheet!$A:$AI,35,0)</f>
        <v>0</v>
      </c>
      <c r="AJ90" s="14">
        <f t="shared" si="20"/>
        <v>150</v>
      </c>
      <c r="AK90" s="14"/>
      <c r="AL90" s="18">
        <f t="shared" si="21"/>
        <v>0.71416180880373137</v>
      </c>
      <c r="AM90" s="14"/>
      <c r="AN90" s="14"/>
    </row>
    <row r="91" spans="1:40" s="1" customFormat="1" ht="11.1" customHeight="1" outlineLevel="1" x14ac:dyDescent="0.2">
      <c r="A91" s="7" t="s">
        <v>94</v>
      </c>
      <c r="B91" s="7" t="s">
        <v>8</v>
      </c>
      <c r="C91" s="8">
        <v>3059.6170000000002</v>
      </c>
      <c r="D91" s="8">
        <v>5629.4040000000005</v>
      </c>
      <c r="E91" s="8">
        <v>4133.4070000000002</v>
      </c>
      <c r="F91" s="8">
        <v>4493.2730000000001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4">
        <f>VLOOKUP(A:A,[2]TDSheet!$A:$F,6,0)</f>
        <v>4201.3140000000003</v>
      </c>
      <c r="K91" s="14">
        <f t="shared" si="16"/>
        <v>-67.907000000000153</v>
      </c>
      <c r="L91" s="14">
        <f>VLOOKUP(A:A,[1]TDSheet!$A:$O,15,0)</f>
        <v>0</v>
      </c>
      <c r="M91" s="14">
        <f>VLOOKUP(A:A,[1]TDSheet!$A:$P,16,0)</f>
        <v>500</v>
      </c>
      <c r="N91" s="14">
        <f>VLOOKUP(A:A,[1]TDSheet!$A:$X,24,0)</f>
        <v>800</v>
      </c>
      <c r="O91" s="14"/>
      <c r="P91" s="14"/>
      <c r="Q91" s="14"/>
      <c r="R91" s="14"/>
      <c r="S91" s="14"/>
      <c r="T91" s="14"/>
      <c r="U91" s="14"/>
      <c r="V91" s="14"/>
      <c r="W91" s="14">
        <f t="shared" si="17"/>
        <v>826.68140000000005</v>
      </c>
      <c r="X91" s="16">
        <v>500</v>
      </c>
      <c r="Y91" s="17">
        <f t="shared" si="18"/>
        <v>7.6126945640726884</v>
      </c>
      <c r="Z91" s="14">
        <f t="shared" si="19"/>
        <v>5.435314015774396</v>
      </c>
      <c r="AA91" s="14"/>
      <c r="AB91" s="14"/>
      <c r="AC91" s="14">
        <v>0</v>
      </c>
      <c r="AD91" s="14">
        <f>VLOOKUP(A:A,[1]TDSheet!$A:$AE,31,0)</f>
        <v>786.93680000000006</v>
      </c>
      <c r="AE91" s="14">
        <f>VLOOKUP(A:A,[1]TDSheet!$A:$AF,32,0)</f>
        <v>859.18759999999997</v>
      </c>
      <c r="AF91" s="14">
        <f>VLOOKUP(A:A,[1]TDSheet!$A:$AG,33,0)</f>
        <v>1041.681</v>
      </c>
      <c r="AG91" s="14">
        <f>VLOOKUP(A:A,[1]TDSheet!$A:$W,23,0)</f>
        <v>822.88719999999989</v>
      </c>
      <c r="AH91" s="14">
        <f>VLOOKUP(A:A,[3]TDSheet!$A:$B,2,0)</f>
        <v>1093.0429999999999</v>
      </c>
      <c r="AI91" s="14">
        <f>VLOOKUP(A:A,[1]TDSheet!$A:$AI,35,0)</f>
        <v>0</v>
      </c>
      <c r="AJ91" s="14">
        <f t="shared" si="20"/>
        <v>500</v>
      </c>
      <c r="AK91" s="14"/>
      <c r="AL91" s="18">
        <f t="shared" si="21"/>
        <v>0.32220587036311676</v>
      </c>
      <c r="AM91" s="14"/>
      <c r="AN91" s="14"/>
    </row>
    <row r="92" spans="1:40" s="1" customFormat="1" ht="11.1" customHeight="1" outlineLevel="1" x14ac:dyDescent="0.2">
      <c r="A92" s="7" t="s">
        <v>95</v>
      </c>
      <c r="B92" s="7" t="s">
        <v>8</v>
      </c>
      <c r="C92" s="8">
        <v>3027.2950000000001</v>
      </c>
      <c r="D92" s="8">
        <v>11035.031999999999</v>
      </c>
      <c r="E92" s="8">
        <v>8191.5060000000003</v>
      </c>
      <c r="F92" s="8">
        <v>5782.3379999999997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4">
        <f>VLOOKUP(A:A,[2]TDSheet!$A:$F,6,0)</f>
        <v>8308.2950000000001</v>
      </c>
      <c r="K92" s="14">
        <f t="shared" si="16"/>
        <v>-116.78899999999976</v>
      </c>
      <c r="L92" s="14">
        <f>VLOOKUP(A:A,[1]TDSheet!$A:$O,15,0)</f>
        <v>1400</v>
      </c>
      <c r="M92" s="14">
        <f>VLOOKUP(A:A,[1]TDSheet!$A:$P,16,0)</f>
        <v>1000</v>
      </c>
      <c r="N92" s="14">
        <f>VLOOKUP(A:A,[1]TDSheet!$A:$X,24,0)</f>
        <v>1800</v>
      </c>
      <c r="O92" s="14"/>
      <c r="P92" s="14"/>
      <c r="Q92" s="14"/>
      <c r="R92" s="14"/>
      <c r="S92" s="14"/>
      <c r="T92" s="14"/>
      <c r="U92" s="14"/>
      <c r="V92" s="14"/>
      <c r="W92" s="14">
        <f t="shared" si="17"/>
        <v>1638.3012000000001</v>
      </c>
      <c r="X92" s="16">
        <v>2400</v>
      </c>
      <c r="Y92" s="17">
        <f t="shared" si="18"/>
        <v>7.5580351158871144</v>
      </c>
      <c r="Z92" s="14">
        <f t="shared" si="19"/>
        <v>3.5294718700077858</v>
      </c>
      <c r="AA92" s="14"/>
      <c r="AB92" s="14"/>
      <c r="AC92" s="14">
        <v>0</v>
      </c>
      <c r="AD92" s="14">
        <f>VLOOKUP(A:A,[1]TDSheet!$A:$AE,31,0)</f>
        <v>1293.9486000000002</v>
      </c>
      <c r="AE92" s="14">
        <f>VLOOKUP(A:A,[1]TDSheet!$A:$AF,32,0)</f>
        <v>1302.1748000000002</v>
      </c>
      <c r="AF92" s="14">
        <f>VLOOKUP(A:A,[1]TDSheet!$A:$AG,33,0)</f>
        <v>1449.4908</v>
      </c>
      <c r="AG92" s="14">
        <f>VLOOKUP(A:A,[1]TDSheet!$A:$W,23,0)</f>
        <v>1456.7872</v>
      </c>
      <c r="AH92" s="14">
        <f>VLOOKUP(A:A,[3]TDSheet!$A:$B,2,0)</f>
        <v>2465.268</v>
      </c>
      <c r="AI92" s="14" t="str">
        <f>VLOOKUP(A:A,[1]TDSheet!$A:$AI,35,0)</f>
        <v>проддек-ян</v>
      </c>
      <c r="AJ92" s="14">
        <f t="shared" si="20"/>
        <v>2400</v>
      </c>
      <c r="AK92" s="14"/>
      <c r="AL92" s="18">
        <f t="shared" si="21"/>
        <v>0.50477091758218817</v>
      </c>
      <c r="AM92" s="14"/>
      <c r="AN92" s="14"/>
    </row>
    <row r="93" spans="1:40" s="1" customFormat="1" ht="11.1" customHeight="1" outlineLevel="1" x14ac:dyDescent="0.2">
      <c r="A93" s="7" t="s">
        <v>96</v>
      </c>
      <c r="B93" s="7" t="s">
        <v>8</v>
      </c>
      <c r="C93" s="8">
        <v>3603.855</v>
      </c>
      <c r="D93" s="8">
        <v>8671.634</v>
      </c>
      <c r="E93" s="8">
        <v>7729.6229999999996</v>
      </c>
      <c r="F93" s="8">
        <v>4458.2529999999997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4">
        <f>VLOOKUP(A:A,[2]TDSheet!$A:$F,6,0)</f>
        <v>7850.9219999999996</v>
      </c>
      <c r="K93" s="14">
        <f t="shared" si="16"/>
        <v>-121.29899999999998</v>
      </c>
      <c r="L93" s="14">
        <f>VLOOKUP(A:A,[1]TDSheet!$A:$O,15,0)</f>
        <v>1400</v>
      </c>
      <c r="M93" s="14">
        <f>VLOOKUP(A:A,[1]TDSheet!$A:$P,16,0)</f>
        <v>1300</v>
      </c>
      <c r="N93" s="14">
        <f>VLOOKUP(A:A,[1]TDSheet!$A:$X,24,0)</f>
        <v>1700</v>
      </c>
      <c r="O93" s="14"/>
      <c r="P93" s="14"/>
      <c r="Q93" s="14"/>
      <c r="R93" s="14"/>
      <c r="S93" s="14"/>
      <c r="T93" s="14"/>
      <c r="U93" s="14"/>
      <c r="V93" s="14"/>
      <c r="W93" s="14">
        <f t="shared" si="17"/>
        <v>1545.9245999999998</v>
      </c>
      <c r="X93" s="16">
        <v>2400</v>
      </c>
      <c r="Y93" s="17">
        <f t="shared" si="18"/>
        <v>7.2825369361481158</v>
      </c>
      <c r="Z93" s="14">
        <f t="shared" si="19"/>
        <v>2.8838748021734051</v>
      </c>
      <c r="AA93" s="14"/>
      <c r="AB93" s="14"/>
      <c r="AC93" s="14">
        <v>0</v>
      </c>
      <c r="AD93" s="14">
        <f>VLOOKUP(A:A,[1]TDSheet!$A:$AE,31,0)</f>
        <v>1189.1361999999999</v>
      </c>
      <c r="AE93" s="14">
        <f>VLOOKUP(A:A,[1]TDSheet!$A:$AF,32,0)</f>
        <v>1345.3812</v>
      </c>
      <c r="AF93" s="14">
        <f>VLOOKUP(A:A,[1]TDSheet!$A:$AG,33,0)</f>
        <v>1348.6866</v>
      </c>
      <c r="AG93" s="14">
        <f>VLOOKUP(A:A,[1]TDSheet!$A:$W,23,0)</f>
        <v>1359.4394</v>
      </c>
      <c r="AH93" s="14">
        <f>VLOOKUP(A:A,[3]TDSheet!$A:$B,2,0)</f>
        <v>2258.5630000000001</v>
      </c>
      <c r="AI93" s="14" t="str">
        <f>VLOOKUP(A:A,[1]TDSheet!$A:$AI,35,0)</f>
        <v>жк,ябдек-ян</v>
      </c>
      <c r="AJ93" s="14">
        <f t="shared" si="20"/>
        <v>2400</v>
      </c>
      <c r="AK93" s="14"/>
      <c r="AL93" s="18">
        <f t="shared" si="21"/>
        <v>0.46097875666122423</v>
      </c>
      <c r="AM93" s="14"/>
      <c r="AN93" s="14"/>
    </row>
    <row r="94" spans="1:40" s="1" customFormat="1" ht="21.95" customHeight="1" outlineLevel="1" x14ac:dyDescent="0.2">
      <c r="A94" s="7" t="s">
        <v>97</v>
      </c>
      <c r="B94" s="7" t="s">
        <v>8</v>
      </c>
      <c r="C94" s="8">
        <v>144.09700000000001</v>
      </c>
      <c r="D94" s="8">
        <v>255.66300000000001</v>
      </c>
      <c r="E94" s="8">
        <v>207.59899999999999</v>
      </c>
      <c r="F94" s="8">
        <v>189.76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4">
        <f>VLOOKUP(A:A,[2]TDSheet!$A:$F,6,0)</f>
        <v>213.7</v>
      </c>
      <c r="K94" s="14">
        <f t="shared" si="16"/>
        <v>-6.1009999999999991</v>
      </c>
      <c r="L94" s="14">
        <f>VLOOKUP(A:A,[1]TDSheet!$A:$O,15,0)</f>
        <v>0</v>
      </c>
      <c r="M94" s="14">
        <f>VLOOKUP(A:A,[1]TDSheet!$A:$P,16,0)</f>
        <v>60</v>
      </c>
      <c r="N94" s="14">
        <f>VLOOKUP(A:A,[1]TDSheet!$A:$X,24,0)</f>
        <v>40</v>
      </c>
      <c r="O94" s="14"/>
      <c r="P94" s="14"/>
      <c r="Q94" s="14"/>
      <c r="R94" s="14"/>
      <c r="S94" s="14"/>
      <c r="T94" s="14"/>
      <c r="U94" s="14"/>
      <c r="V94" s="14"/>
      <c r="W94" s="14">
        <f t="shared" si="17"/>
        <v>41.519799999999996</v>
      </c>
      <c r="X94" s="16">
        <v>50</v>
      </c>
      <c r="Y94" s="17">
        <f t="shared" si="18"/>
        <v>8.183083733543997</v>
      </c>
      <c r="Z94" s="14">
        <f t="shared" si="19"/>
        <v>4.5703495681578428</v>
      </c>
      <c r="AA94" s="14"/>
      <c r="AB94" s="14"/>
      <c r="AC94" s="14">
        <v>0</v>
      </c>
      <c r="AD94" s="14">
        <f>VLOOKUP(A:A,[1]TDSheet!$A:$AE,31,0)</f>
        <v>31.252800000000001</v>
      </c>
      <c r="AE94" s="14">
        <f>VLOOKUP(A:A,[1]TDSheet!$A:$AF,32,0)</f>
        <v>38.357399999999998</v>
      </c>
      <c r="AF94" s="14">
        <f>VLOOKUP(A:A,[1]TDSheet!$A:$AG,33,0)</f>
        <v>37.7012</v>
      </c>
      <c r="AG94" s="14">
        <f>VLOOKUP(A:A,[1]TDSheet!$A:$W,23,0)</f>
        <v>36.11</v>
      </c>
      <c r="AH94" s="14">
        <f>VLOOKUP(A:A,[3]TDSheet!$A:$B,2,0)</f>
        <v>39.366</v>
      </c>
      <c r="AI94" s="14">
        <f>VLOOKUP(A:A,[1]TDSheet!$A:$AI,35,0)</f>
        <v>0</v>
      </c>
      <c r="AJ94" s="14">
        <f t="shared" si="20"/>
        <v>50</v>
      </c>
      <c r="AK94" s="14"/>
      <c r="AL94" s="18">
        <f t="shared" si="21"/>
        <v>-5.1874045636057908E-2</v>
      </c>
      <c r="AM94" s="14"/>
      <c r="AN94" s="14"/>
    </row>
    <row r="95" spans="1:40" s="1" customFormat="1" ht="11.1" customHeight="1" outlineLevel="1" x14ac:dyDescent="0.2">
      <c r="A95" s="7" t="s">
        <v>98</v>
      </c>
      <c r="B95" s="7" t="s">
        <v>12</v>
      </c>
      <c r="C95" s="8">
        <v>126</v>
      </c>
      <c r="D95" s="8">
        <v>143</v>
      </c>
      <c r="E95" s="8">
        <v>174</v>
      </c>
      <c r="F95" s="8">
        <v>94</v>
      </c>
      <c r="G95" s="1">
        <f>VLOOKUP(A:A,[1]TDSheet!$A:$G,7,0)</f>
        <v>0</v>
      </c>
      <c r="H95" s="1">
        <f>VLOOKUP(A:A,[1]TDSheet!$A:$H,8,0)</f>
        <v>0.5</v>
      </c>
      <c r="I95" s="1" t="e">
        <f>VLOOKUP(A:A,[1]TDSheet!$A:$I,9,0)</f>
        <v>#N/A</v>
      </c>
      <c r="J95" s="14">
        <f>VLOOKUP(A:A,[2]TDSheet!$A:$F,6,0)</f>
        <v>175</v>
      </c>
      <c r="K95" s="14">
        <f t="shared" si="16"/>
        <v>-1</v>
      </c>
      <c r="L95" s="14">
        <f>VLOOKUP(A:A,[1]TDSheet!$A:$O,15,0)</f>
        <v>0</v>
      </c>
      <c r="M95" s="14">
        <f>VLOOKUP(A:A,[1]TDSheet!$A:$P,16,0)</f>
        <v>80</v>
      </c>
      <c r="N95" s="14">
        <f>VLOOKUP(A:A,[1]TDSheet!$A:$X,24,0)</f>
        <v>40</v>
      </c>
      <c r="O95" s="14"/>
      <c r="P95" s="14"/>
      <c r="Q95" s="14"/>
      <c r="R95" s="14"/>
      <c r="S95" s="14"/>
      <c r="T95" s="14"/>
      <c r="U95" s="14"/>
      <c r="V95" s="14"/>
      <c r="W95" s="14">
        <f t="shared" si="17"/>
        <v>34.799999999999997</v>
      </c>
      <c r="X95" s="16">
        <v>60</v>
      </c>
      <c r="Y95" s="17">
        <f t="shared" si="18"/>
        <v>7.8735632183908049</v>
      </c>
      <c r="Z95" s="14">
        <f t="shared" si="19"/>
        <v>2.7011494252873565</v>
      </c>
      <c r="AA95" s="14"/>
      <c r="AB95" s="14"/>
      <c r="AC95" s="14">
        <v>0</v>
      </c>
      <c r="AD95" s="14">
        <f>VLOOKUP(A:A,[1]TDSheet!$A:$AE,31,0)</f>
        <v>39.4</v>
      </c>
      <c r="AE95" s="14">
        <f>VLOOKUP(A:A,[1]TDSheet!$A:$AF,32,0)</f>
        <v>27.6</v>
      </c>
      <c r="AF95" s="14">
        <f>VLOOKUP(A:A,[1]TDSheet!$A:$AG,33,0)</f>
        <v>24.2</v>
      </c>
      <c r="AG95" s="14">
        <f>VLOOKUP(A:A,[1]TDSheet!$A:$W,23,0)</f>
        <v>26.6</v>
      </c>
      <c r="AH95" s="14">
        <f>VLOOKUP(A:A,[3]TDSheet!$A:$B,2,0)</f>
        <v>52</v>
      </c>
      <c r="AI95" s="14">
        <f>VLOOKUP(A:A,[1]TDSheet!$A:$AI,35,0)</f>
        <v>0</v>
      </c>
      <c r="AJ95" s="14">
        <f t="shared" si="20"/>
        <v>30</v>
      </c>
      <c r="AK95" s="14"/>
      <c r="AL95" s="18">
        <f t="shared" si="21"/>
        <v>0.49425287356321856</v>
      </c>
      <c r="AM95" s="14"/>
      <c r="AN95" s="14"/>
    </row>
    <row r="96" spans="1:40" s="1" customFormat="1" ht="11.1" customHeight="1" outlineLevel="1" x14ac:dyDescent="0.2">
      <c r="A96" s="7" t="s">
        <v>99</v>
      </c>
      <c r="B96" s="7" t="s">
        <v>12</v>
      </c>
      <c r="C96" s="8"/>
      <c r="D96" s="8">
        <v>1200</v>
      </c>
      <c r="E96" s="8">
        <v>1200</v>
      </c>
      <c r="F96" s="8"/>
      <c r="G96" s="1" t="str">
        <f>VLOOKUP(A:A,[1]TDSheet!$A:$G,7,0)</f>
        <v>пуд</v>
      </c>
      <c r="H96" s="1">
        <f>VLOOKUP(A:A,[1]TDSheet!$A:$H,8,0)</f>
        <v>0.4</v>
      </c>
      <c r="I96" s="1" t="e">
        <f>VLOOKUP(A:A,[1]TDSheet!$A:$I,9,0)</f>
        <v>#N/A</v>
      </c>
      <c r="J96" s="14">
        <f>VLOOKUP(A:A,[2]TDSheet!$A:$F,6,0)</f>
        <v>1201</v>
      </c>
      <c r="K96" s="14">
        <f t="shared" si="16"/>
        <v>-1</v>
      </c>
      <c r="L96" s="14">
        <f>VLOOKUP(A:A,[1]TDSheet!$A:$O,15,0)</f>
        <v>0</v>
      </c>
      <c r="M96" s="14">
        <f>VLOOKUP(A:A,[1]TDSheet!$A:$P,16,0)</f>
        <v>0</v>
      </c>
      <c r="N96" s="14">
        <f>VLOOKUP(A:A,[1]TDSheet!$A:$X,24,0)</f>
        <v>0</v>
      </c>
      <c r="O96" s="14"/>
      <c r="P96" s="14"/>
      <c r="Q96" s="14"/>
      <c r="R96" s="14"/>
      <c r="S96" s="14"/>
      <c r="T96" s="14"/>
      <c r="U96" s="14"/>
      <c r="V96" s="14"/>
      <c r="W96" s="14">
        <f t="shared" si="17"/>
        <v>0</v>
      </c>
      <c r="X96" s="16"/>
      <c r="Y96" s="17" t="e">
        <f t="shared" si="18"/>
        <v>#DIV/0!</v>
      </c>
      <c r="Z96" s="14" t="e">
        <f t="shared" si="19"/>
        <v>#DIV/0!</v>
      </c>
      <c r="AA96" s="14"/>
      <c r="AB96" s="14"/>
      <c r="AC96" s="14">
        <f>VLOOKUP(A:A,[4]TDSheet!$A:$D,4,0)</f>
        <v>1200</v>
      </c>
      <c r="AD96" s="14">
        <f>VLOOKUP(A:A,[1]TDSheet!$A:$AE,31,0)</f>
        <v>0</v>
      </c>
      <c r="AE96" s="14">
        <f>VLOOKUP(A:A,[1]TDSheet!$A:$AF,32,0)</f>
        <v>0</v>
      </c>
      <c r="AF96" s="14">
        <f>VLOOKUP(A:A,[1]TDSheet!$A:$AG,33,0)</f>
        <v>0</v>
      </c>
      <c r="AG96" s="14">
        <f>VLOOKUP(A:A,[1]TDSheet!$A:$W,23,0)</f>
        <v>0</v>
      </c>
      <c r="AH96" s="14">
        <v>0</v>
      </c>
      <c r="AI96" s="14" t="e">
        <f>VLOOKUP(A:A,[1]TDSheet!$A:$AI,35,0)</f>
        <v>#N/A</v>
      </c>
      <c r="AJ96" s="14">
        <f t="shared" si="20"/>
        <v>0</v>
      </c>
      <c r="AK96" s="14"/>
      <c r="AL96" s="18" t="e">
        <f t="shared" si="21"/>
        <v>#DIV/0!</v>
      </c>
      <c r="AM96" s="14"/>
      <c r="AN96" s="14"/>
    </row>
    <row r="97" spans="1:40" s="1" customFormat="1" ht="11.1" customHeight="1" outlineLevel="1" x14ac:dyDescent="0.2">
      <c r="A97" s="7" t="s">
        <v>100</v>
      </c>
      <c r="B97" s="7" t="s">
        <v>8</v>
      </c>
      <c r="C97" s="8">
        <v>-1.97</v>
      </c>
      <c r="D97" s="8"/>
      <c r="E97" s="8">
        <v>1.5049999999999999</v>
      </c>
      <c r="F97" s="8">
        <v>-3.4750000000000001</v>
      </c>
      <c r="G97" s="1" t="str">
        <f>VLOOKUP(A:A,[1]TDSheet!$A:$G,7,0)</f>
        <v>выв2611</v>
      </c>
      <c r="H97" s="1">
        <f>VLOOKUP(A:A,[1]TDSheet!$A:$H,8,0)</f>
        <v>0</v>
      </c>
      <c r="I97" s="1" t="e">
        <f>VLOOKUP(A:A,[1]TDSheet!$A:$I,9,0)</f>
        <v>#N/A</v>
      </c>
      <c r="J97" s="14">
        <f>VLOOKUP(A:A,[2]TDSheet!$A:$F,6,0)</f>
        <v>1.3</v>
      </c>
      <c r="K97" s="14">
        <f t="shared" si="16"/>
        <v>0.20499999999999985</v>
      </c>
      <c r="L97" s="14">
        <f>VLOOKUP(A:A,[1]TDSheet!$A:$O,15,0)</f>
        <v>0</v>
      </c>
      <c r="M97" s="14">
        <f>VLOOKUP(A:A,[1]TDSheet!$A:$P,16,0)</f>
        <v>0</v>
      </c>
      <c r="N97" s="14">
        <f>VLOOKUP(A:A,[1]TDSheet!$A:$X,24,0)</f>
        <v>0</v>
      </c>
      <c r="O97" s="14"/>
      <c r="P97" s="14"/>
      <c r="Q97" s="14"/>
      <c r="R97" s="14"/>
      <c r="S97" s="14"/>
      <c r="T97" s="14"/>
      <c r="U97" s="14"/>
      <c r="V97" s="14"/>
      <c r="W97" s="14">
        <f t="shared" si="17"/>
        <v>0.30099999999999999</v>
      </c>
      <c r="X97" s="16"/>
      <c r="Y97" s="17">
        <f t="shared" si="18"/>
        <v>-11.544850498338871</v>
      </c>
      <c r="Z97" s="14">
        <f t="shared" si="19"/>
        <v>-11.544850498338871</v>
      </c>
      <c r="AA97" s="14"/>
      <c r="AB97" s="14"/>
      <c r="AC97" s="14">
        <v>0</v>
      </c>
      <c r="AD97" s="14">
        <f>VLOOKUP(A:A,[1]TDSheet!$A:$AE,31,0)</f>
        <v>1.4768000000000001</v>
      </c>
      <c r="AE97" s="14">
        <f>VLOOKUP(A:A,[1]TDSheet!$A:$AF,32,0)</f>
        <v>2.3847999999999998</v>
      </c>
      <c r="AF97" s="14">
        <f>VLOOKUP(A:A,[1]TDSheet!$A:$AG,33,0)</f>
        <v>9.2674000000000003</v>
      </c>
      <c r="AG97" s="14">
        <f>VLOOKUP(A:A,[1]TDSheet!$A:$W,23,0)</f>
        <v>0.30099999999999999</v>
      </c>
      <c r="AH97" s="14">
        <v>0</v>
      </c>
      <c r="AI97" s="14" t="str">
        <f>VLOOKUP(A:A,[1]TDSheet!$A:$AI,35,0)</f>
        <v>выв2611</v>
      </c>
      <c r="AJ97" s="14">
        <f t="shared" si="20"/>
        <v>0</v>
      </c>
      <c r="AK97" s="14"/>
      <c r="AL97" s="18">
        <f t="shared" si="21"/>
        <v>-1</v>
      </c>
      <c r="AM97" s="14"/>
      <c r="AN97" s="14"/>
    </row>
    <row r="98" spans="1:40" s="1" customFormat="1" ht="21.95" customHeight="1" outlineLevel="1" x14ac:dyDescent="0.2">
      <c r="A98" s="7" t="s">
        <v>101</v>
      </c>
      <c r="B98" s="7" t="s">
        <v>12</v>
      </c>
      <c r="C98" s="8">
        <v>845</v>
      </c>
      <c r="D98" s="8">
        <v>2270</v>
      </c>
      <c r="E98" s="8">
        <v>2132</v>
      </c>
      <c r="F98" s="8">
        <v>950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4">
        <f>VLOOKUP(A:A,[2]TDSheet!$A:$F,6,0)</f>
        <v>2173</v>
      </c>
      <c r="K98" s="14">
        <f t="shared" si="16"/>
        <v>-41</v>
      </c>
      <c r="L98" s="14">
        <f>VLOOKUP(A:A,[1]TDSheet!$A:$O,15,0)</f>
        <v>350</v>
      </c>
      <c r="M98" s="14">
        <f>VLOOKUP(A:A,[1]TDSheet!$A:$P,16,0)</f>
        <v>450</v>
      </c>
      <c r="N98" s="14">
        <f>VLOOKUP(A:A,[1]TDSheet!$A:$X,24,0)</f>
        <v>250</v>
      </c>
      <c r="O98" s="14"/>
      <c r="P98" s="14"/>
      <c r="Q98" s="14"/>
      <c r="R98" s="14"/>
      <c r="S98" s="14"/>
      <c r="T98" s="14"/>
      <c r="U98" s="14"/>
      <c r="V98" s="14"/>
      <c r="W98" s="14">
        <f t="shared" si="17"/>
        <v>306.39999999999998</v>
      </c>
      <c r="X98" s="16">
        <v>350</v>
      </c>
      <c r="Y98" s="17">
        <f t="shared" si="18"/>
        <v>7.669712793733682</v>
      </c>
      <c r="Z98" s="14">
        <f t="shared" si="19"/>
        <v>3.1005221932114884</v>
      </c>
      <c r="AA98" s="14"/>
      <c r="AB98" s="14"/>
      <c r="AC98" s="14">
        <f>VLOOKUP(A:A,[4]TDSheet!$A:$D,4,0)</f>
        <v>600</v>
      </c>
      <c r="AD98" s="14">
        <f>VLOOKUP(A:A,[1]TDSheet!$A:$AE,31,0)</f>
        <v>252.8</v>
      </c>
      <c r="AE98" s="14">
        <f>VLOOKUP(A:A,[1]TDSheet!$A:$AF,32,0)</f>
        <v>330.4</v>
      </c>
      <c r="AF98" s="14">
        <f>VLOOKUP(A:A,[1]TDSheet!$A:$AG,33,0)</f>
        <v>290.60000000000002</v>
      </c>
      <c r="AG98" s="14">
        <f>VLOOKUP(A:A,[1]TDSheet!$A:$W,23,0)</f>
        <v>289</v>
      </c>
      <c r="AH98" s="14">
        <f>VLOOKUP(A:A,[3]TDSheet!$A:$B,2,0)</f>
        <v>361</v>
      </c>
      <c r="AI98" s="14">
        <f>VLOOKUP(A:A,[1]TDSheet!$A:$AI,35,0)</f>
        <v>0</v>
      </c>
      <c r="AJ98" s="14">
        <f t="shared" si="20"/>
        <v>105</v>
      </c>
      <c r="AK98" s="14"/>
      <c r="AL98" s="18">
        <f t="shared" si="21"/>
        <v>0.17819843342036568</v>
      </c>
      <c r="AM98" s="14"/>
      <c r="AN98" s="14"/>
    </row>
    <row r="99" spans="1:40" s="1" customFormat="1" ht="11.1" customHeight="1" outlineLevel="1" x14ac:dyDescent="0.2">
      <c r="A99" s="7" t="s">
        <v>102</v>
      </c>
      <c r="B99" s="7" t="s">
        <v>12</v>
      </c>
      <c r="C99" s="8">
        <v>464</v>
      </c>
      <c r="D99" s="8">
        <v>745</v>
      </c>
      <c r="E99" s="8">
        <v>774</v>
      </c>
      <c r="F99" s="8">
        <v>404</v>
      </c>
      <c r="G99" s="1">
        <f>VLOOKUP(A:A,[1]TDSheet!$A:$G,7,0)</f>
        <v>0</v>
      </c>
      <c r="H99" s="1">
        <f>VLOOKUP(A:A,[1]TDSheet!$A:$H,8,0)</f>
        <v>0.3</v>
      </c>
      <c r="I99" s="1" t="e">
        <f>VLOOKUP(A:A,[1]TDSheet!$A:$I,9,0)</f>
        <v>#N/A</v>
      </c>
      <c r="J99" s="14">
        <f>VLOOKUP(A:A,[2]TDSheet!$A:$F,6,0)</f>
        <v>812</v>
      </c>
      <c r="K99" s="14">
        <f t="shared" si="16"/>
        <v>-38</v>
      </c>
      <c r="L99" s="14">
        <f>VLOOKUP(A:A,[1]TDSheet!$A:$O,15,0)</f>
        <v>150</v>
      </c>
      <c r="M99" s="14">
        <f>VLOOKUP(A:A,[1]TDSheet!$A:$P,16,0)</f>
        <v>300</v>
      </c>
      <c r="N99" s="14">
        <f>VLOOKUP(A:A,[1]TDSheet!$A:$X,24,0)</f>
        <v>200</v>
      </c>
      <c r="O99" s="14"/>
      <c r="P99" s="14"/>
      <c r="Q99" s="14"/>
      <c r="R99" s="14"/>
      <c r="S99" s="14"/>
      <c r="T99" s="14"/>
      <c r="U99" s="14"/>
      <c r="V99" s="14"/>
      <c r="W99" s="14">
        <f t="shared" si="17"/>
        <v>154.80000000000001</v>
      </c>
      <c r="X99" s="16">
        <v>180</v>
      </c>
      <c r="Y99" s="17">
        <f t="shared" si="18"/>
        <v>7.9715762273901802</v>
      </c>
      <c r="Z99" s="14">
        <f t="shared" si="19"/>
        <v>2.6098191214470283</v>
      </c>
      <c r="AA99" s="14"/>
      <c r="AB99" s="14"/>
      <c r="AC99" s="14">
        <v>0</v>
      </c>
      <c r="AD99" s="14">
        <f>VLOOKUP(A:A,[1]TDSheet!$A:$AE,31,0)</f>
        <v>148.80000000000001</v>
      </c>
      <c r="AE99" s="14">
        <f>VLOOKUP(A:A,[1]TDSheet!$A:$AF,32,0)</f>
        <v>160.4</v>
      </c>
      <c r="AF99" s="14">
        <f>VLOOKUP(A:A,[1]TDSheet!$A:$AG,33,0)</f>
        <v>133</v>
      </c>
      <c r="AG99" s="14">
        <f>VLOOKUP(A:A,[1]TDSheet!$A:$W,23,0)</f>
        <v>147.4</v>
      </c>
      <c r="AH99" s="14">
        <f>VLOOKUP(A:A,[3]TDSheet!$A:$B,2,0)</f>
        <v>166</v>
      </c>
      <c r="AI99" s="14">
        <f>VLOOKUP(A:A,[1]TDSheet!$A:$AI,35,0)</f>
        <v>0</v>
      </c>
      <c r="AJ99" s="14">
        <f t="shared" si="20"/>
        <v>54</v>
      </c>
      <c r="AK99" s="14"/>
      <c r="AL99" s="18">
        <f t="shared" si="21"/>
        <v>7.2351421188630471E-2</v>
      </c>
      <c r="AM99" s="14"/>
      <c r="AN99" s="14"/>
    </row>
    <row r="100" spans="1:40" s="1" customFormat="1" ht="11.1" customHeight="1" outlineLevel="1" x14ac:dyDescent="0.2">
      <c r="A100" s="7" t="s">
        <v>103</v>
      </c>
      <c r="B100" s="7" t="s">
        <v>12</v>
      </c>
      <c r="C100" s="8">
        <v>536</v>
      </c>
      <c r="D100" s="8">
        <v>1903</v>
      </c>
      <c r="E100" s="8">
        <v>1676</v>
      </c>
      <c r="F100" s="8">
        <v>725</v>
      </c>
      <c r="G100" s="1">
        <f>VLOOKUP(A:A,[1]TDSheet!$A:$G,7,0)</f>
        <v>0</v>
      </c>
      <c r="H100" s="1">
        <f>VLOOKUP(A:A,[1]TDSheet!$A:$H,8,0)</f>
        <v>0.3</v>
      </c>
      <c r="I100" s="1" t="e">
        <f>VLOOKUP(A:A,[1]TDSheet!$A:$I,9,0)</f>
        <v>#N/A</v>
      </c>
      <c r="J100" s="14">
        <f>VLOOKUP(A:A,[2]TDSheet!$A:$F,6,0)</f>
        <v>1722</v>
      </c>
      <c r="K100" s="14">
        <f t="shared" si="16"/>
        <v>-46</v>
      </c>
      <c r="L100" s="14">
        <f>VLOOKUP(A:A,[1]TDSheet!$A:$O,15,0)</f>
        <v>250</v>
      </c>
      <c r="M100" s="14">
        <f>VLOOKUP(A:A,[1]TDSheet!$A:$P,16,0)</f>
        <v>400</v>
      </c>
      <c r="N100" s="14">
        <f>VLOOKUP(A:A,[1]TDSheet!$A:$X,24,0)</f>
        <v>150</v>
      </c>
      <c r="O100" s="14"/>
      <c r="P100" s="14"/>
      <c r="Q100" s="14"/>
      <c r="R100" s="14"/>
      <c r="S100" s="14"/>
      <c r="T100" s="14"/>
      <c r="U100" s="14"/>
      <c r="V100" s="14"/>
      <c r="W100" s="14">
        <f t="shared" si="17"/>
        <v>234.4</v>
      </c>
      <c r="X100" s="16">
        <v>250</v>
      </c>
      <c r="Y100" s="17">
        <f t="shared" si="18"/>
        <v>7.5725255972696246</v>
      </c>
      <c r="Z100" s="14">
        <f t="shared" si="19"/>
        <v>3.0930034129692832</v>
      </c>
      <c r="AA100" s="14"/>
      <c r="AB100" s="14"/>
      <c r="AC100" s="14">
        <f>VLOOKUP(A:A,[4]TDSheet!$A:$D,4,0)</f>
        <v>504</v>
      </c>
      <c r="AD100" s="14">
        <f>VLOOKUP(A:A,[1]TDSheet!$A:$AE,31,0)</f>
        <v>232</v>
      </c>
      <c r="AE100" s="14">
        <f>VLOOKUP(A:A,[1]TDSheet!$A:$AF,32,0)</f>
        <v>236.6</v>
      </c>
      <c r="AF100" s="14">
        <f>VLOOKUP(A:A,[1]TDSheet!$A:$AG,33,0)</f>
        <v>205.8</v>
      </c>
      <c r="AG100" s="14">
        <f>VLOOKUP(A:A,[1]TDSheet!$A:$W,23,0)</f>
        <v>218.8</v>
      </c>
      <c r="AH100" s="14">
        <f>VLOOKUP(A:A,[3]TDSheet!$A:$B,2,0)</f>
        <v>246</v>
      </c>
      <c r="AI100" s="14">
        <f>VLOOKUP(A:A,[1]TDSheet!$A:$AI,35,0)</f>
        <v>0</v>
      </c>
      <c r="AJ100" s="14">
        <f t="shared" si="20"/>
        <v>75</v>
      </c>
      <c r="AK100" s="14"/>
      <c r="AL100" s="18">
        <f t="shared" si="21"/>
        <v>4.9488054607508492E-2</v>
      </c>
      <c r="AM100" s="14"/>
      <c r="AN100" s="14"/>
    </row>
    <row r="101" spans="1:40" s="1" customFormat="1" ht="11.1" customHeight="1" outlineLevel="1" x14ac:dyDescent="0.2">
      <c r="A101" s="7" t="s">
        <v>104</v>
      </c>
      <c r="B101" s="7" t="s">
        <v>12</v>
      </c>
      <c r="C101" s="8">
        <v>415</v>
      </c>
      <c r="D101" s="8">
        <v>1000</v>
      </c>
      <c r="E101" s="8">
        <v>879</v>
      </c>
      <c r="F101" s="8">
        <v>503</v>
      </c>
      <c r="G101" s="1">
        <f>VLOOKUP(A:A,[1]TDSheet!$A:$G,7,0)</f>
        <v>0</v>
      </c>
      <c r="H101" s="1">
        <f>VLOOKUP(A:A,[1]TDSheet!$A:$H,8,0)</f>
        <v>0.3</v>
      </c>
      <c r="I101" s="1" t="e">
        <f>VLOOKUP(A:A,[1]TDSheet!$A:$I,9,0)</f>
        <v>#N/A</v>
      </c>
      <c r="J101" s="14">
        <f>VLOOKUP(A:A,[2]TDSheet!$A:$F,6,0)</f>
        <v>897</v>
      </c>
      <c r="K101" s="14">
        <f t="shared" si="16"/>
        <v>-18</v>
      </c>
      <c r="L101" s="14">
        <f>VLOOKUP(A:A,[1]TDSheet!$A:$O,15,0)</f>
        <v>200</v>
      </c>
      <c r="M101" s="14">
        <f>VLOOKUP(A:A,[1]TDSheet!$A:$P,16,0)</f>
        <v>350</v>
      </c>
      <c r="N101" s="14">
        <f>VLOOKUP(A:A,[1]TDSheet!$A:$X,24,0)</f>
        <v>180</v>
      </c>
      <c r="O101" s="14"/>
      <c r="P101" s="14"/>
      <c r="Q101" s="14"/>
      <c r="R101" s="14"/>
      <c r="S101" s="14"/>
      <c r="T101" s="14"/>
      <c r="U101" s="14"/>
      <c r="V101" s="14"/>
      <c r="W101" s="14">
        <f t="shared" si="17"/>
        <v>175.8</v>
      </c>
      <c r="X101" s="16">
        <v>180</v>
      </c>
      <c r="Y101" s="17">
        <f t="shared" si="18"/>
        <v>8.0375426621160404</v>
      </c>
      <c r="Z101" s="14">
        <f t="shared" si="19"/>
        <v>2.8612059158134242</v>
      </c>
      <c r="AA101" s="14"/>
      <c r="AB101" s="14"/>
      <c r="AC101" s="14">
        <v>0</v>
      </c>
      <c r="AD101" s="14">
        <f>VLOOKUP(A:A,[1]TDSheet!$A:$AE,31,0)</f>
        <v>148.4</v>
      </c>
      <c r="AE101" s="14">
        <f>VLOOKUP(A:A,[1]TDSheet!$A:$AF,32,0)</f>
        <v>166.2</v>
      </c>
      <c r="AF101" s="14">
        <f>VLOOKUP(A:A,[1]TDSheet!$A:$AG,33,0)</f>
        <v>154</v>
      </c>
      <c r="AG101" s="14">
        <f>VLOOKUP(A:A,[1]TDSheet!$A:$W,23,0)</f>
        <v>172</v>
      </c>
      <c r="AH101" s="14">
        <f>VLOOKUP(A:A,[3]TDSheet!$A:$B,2,0)</f>
        <v>188</v>
      </c>
      <c r="AI101" s="14">
        <f>VLOOKUP(A:A,[1]TDSheet!$A:$AI,35,0)</f>
        <v>0</v>
      </c>
      <c r="AJ101" s="14">
        <f t="shared" si="20"/>
        <v>54</v>
      </c>
      <c r="AK101" s="14"/>
      <c r="AL101" s="18">
        <f t="shared" si="21"/>
        <v>6.9397042093287675E-2</v>
      </c>
      <c r="AM101" s="14"/>
      <c r="AN101" s="14"/>
    </row>
    <row r="102" spans="1:40" s="1" customFormat="1" ht="11.1" customHeight="1" outlineLevel="1" x14ac:dyDescent="0.2">
      <c r="A102" s="7" t="s">
        <v>115</v>
      </c>
      <c r="B102" s="7" t="s">
        <v>12</v>
      </c>
      <c r="C102" s="8"/>
      <c r="D102" s="8">
        <v>30</v>
      </c>
      <c r="E102" s="8">
        <v>30</v>
      </c>
      <c r="F102" s="8"/>
      <c r="G102" s="1">
        <f>VLOOKUP(A:A,[1]TDSheet!$A:$G,7,0)</f>
        <v>0</v>
      </c>
      <c r="H102" s="1">
        <f>VLOOKUP(A:A,[1]TDSheet!$A:$H,8,0)</f>
        <v>0.33</v>
      </c>
      <c r="I102" s="1" t="e">
        <f>VLOOKUP(A:A,[1]TDSheet!$A:$I,9,0)</f>
        <v>#N/A</v>
      </c>
      <c r="J102" s="14">
        <f>VLOOKUP(A:A,[2]TDSheet!$A:$F,6,0)</f>
        <v>30</v>
      </c>
      <c r="K102" s="14">
        <f t="shared" si="16"/>
        <v>0</v>
      </c>
      <c r="L102" s="14">
        <f>VLOOKUP(A:A,[1]TDSheet!$A:$O,15,0)</f>
        <v>0</v>
      </c>
      <c r="M102" s="14">
        <f>VLOOKUP(A:A,[1]TDSheet!$A:$P,16,0)</f>
        <v>0</v>
      </c>
      <c r="N102" s="14">
        <f>VLOOKUP(A:A,[1]TDSheet!$A:$X,24,0)</f>
        <v>0</v>
      </c>
      <c r="O102" s="14"/>
      <c r="P102" s="14"/>
      <c r="Q102" s="14"/>
      <c r="R102" s="14"/>
      <c r="S102" s="14"/>
      <c r="T102" s="14"/>
      <c r="U102" s="14"/>
      <c r="V102" s="14"/>
      <c r="W102" s="14">
        <f t="shared" si="17"/>
        <v>0</v>
      </c>
      <c r="X102" s="16"/>
      <c r="Y102" s="17" t="e">
        <f t="shared" si="18"/>
        <v>#DIV/0!</v>
      </c>
      <c r="Z102" s="14" t="e">
        <f t="shared" si="19"/>
        <v>#DIV/0!</v>
      </c>
      <c r="AA102" s="14"/>
      <c r="AB102" s="14"/>
      <c r="AC102" s="14">
        <f>VLOOKUP(A:A,[4]TDSheet!$A:$D,4,0)</f>
        <v>30</v>
      </c>
      <c r="AD102" s="14">
        <f>VLOOKUP(A:A,[1]TDSheet!$A:$AE,31,0)</f>
        <v>0</v>
      </c>
      <c r="AE102" s="14">
        <f>VLOOKUP(A:A,[1]TDSheet!$A:$AF,32,0)</f>
        <v>0</v>
      </c>
      <c r="AF102" s="14">
        <f>VLOOKUP(A:A,[1]TDSheet!$A:$AG,33,0)</f>
        <v>0</v>
      </c>
      <c r="AG102" s="14">
        <f>VLOOKUP(A:A,[1]TDSheet!$A:$W,23,0)</f>
        <v>0</v>
      </c>
      <c r="AH102" s="14">
        <v>0</v>
      </c>
      <c r="AI102" s="14">
        <f>VLOOKUP(A:A,[1]TDSheet!$A:$AI,35,0)</f>
        <v>0</v>
      </c>
      <c r="AJ102" s="14">
        <f t="shared" si="20"/>
        <v>0</v>
      </c>
      <c r="AK102" s="14"/>
      <c r="AL102" s="18" t="e">
        <f t="shared" si="21"/>
        <v>#DIV/0!</v>
      </c>
      <c r="AM102" s="14"/>
      <c r="AN102" s="14"/>
    </row>
    <row r="103" spans="1:40" s="1" customFormat="1" ht="11.1" customHeight="1" outlineLevel="1" x14ac:dyDescent="0.2">
      <c r="A103" s="7" t="s">
        <v>105</v>
      </c>
      <c r="B103" s="7" t="s">
        <v>12</v>
      </c>
      <c r="C103" s="8">
        <v>299</v>
      </c>
      <c r="D103" s="8">
        <v>290</v>
      </c>
      <c r="E103" s="8">
        <v>304</v>
      </c>
      <c r="F103" s="8">
        <v>279</v>
      </c>
      <c r="G103" s="1">
        <f>VLOOKUP(A:A,[1]TDSheet!$A:$G,7,0)</f>
        <v>0</v>
      </c>
      <c r="H103" s="1">
        <f>VLOOKUP(A:A,[1]TDSheet!$A:$H,8,0)</f>
        <v>0.12</v>
      </c>
      <c r="I103" s="1">
        <f>VLOOKUP(A:A,[1]TDSheet!$A:$I,9,0)</f>
        <v>45</v>
      </c>
      <c r="J103" s="14">
        <f>VLOOKUP(A:A,[2]TDSheet!$A:$F,6,0)</f>
        <v>308</v>
      </c>
      <c r="K103" s="14">
        <f t="shared" si="16"/>
        <v>-4</v>
      </c>
      <c r="L103" s="14">
        <f>VLOOKUP(A:A,[1]TDSheet!$A:$O,15,0)</f>
        <v>100</v>
      </c>
      <c r="M103" s="14">
        <f>VLOOKUP(A:A,[1]TDSheet!$A:$P,16,0)</f>
        <v>100</v>
      </c>
      <c r="N103" s="14">
        <f>VLOOKUP(A:A,[1]TDSheet!$A:$X,24,0)</f>
        <v>50</v>
      </c>
      <c r="O103" s="14"/>
      <c r="P103" s="14"/>
      <c r="Q103" s="14"/>
      <c r="R103" s="14"/>
      <c r="S103" s="14"/>
      <c r="T103" s="14"/>
      <c r="U103" s="14"/>
      <c r="V103" s="14"/>
      <c r="W103" s="14">
        <f t="shared" si="17"/>
        <v>60.8</v>
      </c>
      <c r="X103" s="16"/>
      <c r="Y103" s="17">
        <f t="shared" si="18"/>
        <v>8.7006578947368425</v>
      </c>
      <c r="Z103" s="14">
        <f t="shared" si="19"/>
        <v>4.5888157894736841</v>
      </c>
      <c r="AA103" s="14"/>
      <c r="AB103" s="14"/>
      <c r="AC103" s="14">
        <v>0</v>
      </c>
      <c r="AD103" s="14">
        <f>VLOOKUP(A:A,[1]TDSheet!$A:$AE,31,0)</f>
        <v>32.4</v>
      </c>
      <c r="AE103" s="14">
        <f>VLOOKUP(A:A,[1]TDSheet!$A:$AF,32,0)</f>
        <v>55.6</v>
      </c>
      <c r="AF103" s="14">
        <f>VLOOKUP(A:A,[1]TDSheet!$A:$AG,33,0)</f>
        <v>39.4</v>
      </c>
      <c r="AG103" s="14">
        <f>VLOOKUP(A:A,[1]TDSheet!$A:$W,23,0)</f>
        <v>58.4</v>
      </c>
      <c r="AH103" s="14">
        <f>VLOOKUP(A:A,[3]TDSheet!$A:$B,2,0)</f>
        <v>74</v>
      </c>
      <c r="AI103" s="14">
        <f>VLOOKUP(A:A,[1]TDSheet!$A:$AI,35,0)</f>
        <v>0</v>
      </c>
      <c r="AJ103" s="14">
        <f t="shared" si="20"/>
        <v>0</v>
      </c>
      <c r="AK103" s="14"/>
      <c r="AL103" s="18">
        <f t="shared" si="21"/>
        <v>0.21710526315789469</v>
      </c>
      <c r="AM103" s="14"/>
      <c r="AN103" s="14"/>
    </row>
    <row r="104" spans="1:40" s="1" customFormat="1" ht="21.95" customHeight="1" outlineLevel="1" x14ac:dyDescent="0.2">
      <c r="A104" s="7" t="s">
        <v>106</v>
      </c>
      <c r="B104" s="7" t="s">
        <v>12</v>
      </c>
      <c r="C104" s="8">
        <v>332</v>
      </c>
      <c r="D104" s="8">
        <v>823</v>
      </c>
      <c r="E104" s="8">
        <v>731</v>
      </c>
      <c r="F104" s="8">
        <v>416</v>
      </c>
      <c r="G104" s="1">
        <f>VLOOKUP(A:A,[1]TDSheet!$A:$G,7,0)</f>
        <v>0</v>
      </c>
      <c r="H104" s="1">
        <f>VLOOKUP(A:A,[1]TDSheet!$A:$H,8,0)</f>
        <v>7.0000000000000007E-2</v>
      </c>
      <c r="I104" s="1" t="e">
        <f>VLOOKUP(A:A,[1]TDSheet!$A:$I,9,0)</f>
        <v>#N/A</v>
      </c>
      <c r="J104" s="14">
        <f>VLOOKUP(A:A,[2]TDSheet!$A:$F,6,0)</f>
        <v>723</v>
      </c>
      <c r="K104" s="14">
        <f t="shared" si="16"/>
        <v>8</v>
      </c>
      <c r="L104" s="14">
        <f>VLOOKUP(A:A,[1]TDSheet!$A:$O,15,0)</f>
        <v>150</v>
      </c>
      <c r="M104" s="14">
        <f>VLOOKUP(A:A,[1]TDSheet!$A:$P,16,0)</f>
        <v>0</v>
      </c>
      <c r="N104" s="14">
        <f>VLOOKUP(A:A,[1]TDSheet!$A:$X,24,0)</f>
        <v>400</v>
      </c>
      <c r="O104" s="14"/>
      <c r="P104" s="14"/>
      <c r="Q104" s="14"/>
      <c r="R104" s="14"/>
      <c r="S104" s="14"/>
      <c r="T104" s="14"/>
      <c r="U104" s="14"/>
      <c r="V104" s="14"/>
      <c r="W104" s="14">
        <f t="shared" si="17"/>
        <v>146.19999999999999</v>
      </c>
      <c r="X104" s="16">
        <v>150</v>
      </c>
      <c r="Y104" s="17">
        <f t="shared" si="18"/>
        <v>7.6333789329685366</v>
      </c>
      <c r="Z104" s="14">
        <f t="shared" si="19"/>
        <v>2.8454172366621071</v>
      </c>
      <c r="AA104" s="14"/>
      <c r="AB104" s="14"/>
      <c r="AC104" s="14">
        <v>0</v>
      </c>
      <c r="AD104" s="14">
        <f>VLOOKUP(A:A,[1]TDSheet!$A:$AE,31,0)</f>
        <v>77</v>
      </c>
      <c r="AE104" s="14">
        <f>VLOOKUP(A:A,[1]TDSheet!$A:$AF,32,0)</f>
        <v>103.8</v>
      </c>
      <c r="AF104" s="14">
        <f>VLOOKUP(A:A,[1]TDSheet!$A:$AG,33,0)</f>
        <v>93.6</v>
      </c>
      <c r="AG104" s="14">
        <f>VLOOKUP(A:A,[1]TDSheet!$A:$W,23,0)</f>
        <v>121.2</v>
      </c>
      <c r="AH104" s="14">
        <f>VLOOKUP(A:A,[3]TDSheet!$A:$B,2,0)</f>
        <v>157</v>
      </c>
      <c r="AI104" s="14" t="str">
        <f>VLOOKUP(A:A,[1]TDSheet!$A:$AI,35,0)</f>
        <v>Ларин</v>
      </c>
      <c r="AJ104" s="14">
        <f t="shared" si="20"/>
        <v>10.500000000000002</v>
      </c>
      <c r="AK104" s="14"/>
      <c r="AL104" s="18">
        <f t="shared" si="21"/>
        <v>7.3871409028727797E-2</v>
      </c>
      <c r="AM104" s="14"/>
      <c r="AN104" s="14"/>
    </row>
    <row r="105" spans="1:40" s="1" customFormat="1" ht="11.1" customHeight="1" outlineLevel="1" x14ac:dyDescent="0.2">
      <c r="A105" s="7" t="s">
        <v>107</v>
      </c>
      <c r="B105" s="7" t="s">
        <v>12</v>
      </c>
      <c r="C105" s="8">
        <v>281</v>
      </c>
      <c r="D105" s="8">
        <v>486</v>
      </c>
      <c r="E105" s="8">
        <v>467</v>
      </c>
      <c r="F105" s="8">
        <v>295</v>
      </c>
      <c r="G105" s="1">
        <f>VLOOKUP(A:A,[1]TDSheet!$A:$G,7,0)</f>
        <v>0</v>
      </c>
      <c r="H105" s="1">
        <f>VLOOKUP(A:A,[1]TDSheet!$A:$H,8,0)</f>
        <v>0.12</v>
      </c>
      <c r="I105" s="1" t="e">
        <f>VLOOKUP(A:A,[1]TDSheet!$A:$I,9,0)</f>
        <v>#N/A</v>
      </c>
      <c r="J105" s="14">
        <f>VLOOKUP(A:A,[2]TDSheet!$A:$F,6,0)</f>
        <v>476</v>
      </c>
      <c r="K105" s="14">
        <f t="shared" si="16"/>
        <v>-9</v>
      </c>
      <c r="L105" s="14">
        <f>VLOOKUP(A:A,[1]TDSheet!$A:$O,15,0)</f>
        <v>100</v>
      </c>
      <c r="M105" s="14">
        <f>VLOOKUP(A:A,[1]TDSheet!$A:$P,16,0)</f>
        <v>200</v>
      </c>
      <c r="N105" s="14">
        <f>VLOOKUP(A:A,[1]TDSheet!$A:$X,24,0)</f>
        <v>200</v>
      </c>
      <c r="O105" s="14"/>
      <c r="P105" s="14"/>
      <c r="Q105" s="14"/>
      <c r="R105" s="14"/>
      <c r="S105" s="14"/>
      <c r="T105" s="14"/>
      <c r="U105" s="14"/>
      <c r="V105" s="14"/>
      <c r="W105" s="14">
        <f t="shared" si="17"/>
        <v>93.4</v>
      </c>
      <c r="X105" s="16"/>
      <c r="Y105" s="17">
        <f t="shared" si="18"/>
        <v>8.5117773019271947</v>
      </c>
      <c r="Z105" s="14">
        <f t="shared" si="19"/>
        <v>3.1584582441113489</v>
      </c>
      <c r="AA105" s="14"/>
      <c r="AB105" s="14"/>
      <c r="AC105" s="14">
        <v>0</v>
      </c>
      <c r="AD105" s="14">
        <f>VLOOKUP(A:A,[1]TDSheet!$A:$AE,31,0)</f>
        <v>41.6</v>
      </c>
      <c r="AE105" s="14">
        <f>VLOOKUP(A:A,[1]TDSheet!$A:$AF,32,0)</f>
        <v>44.6</v>
      </c>
      <c r="AF105" s="14">
        <f>VLOOKUP(A:A,[1]TDSheet!$A:$AG,33,0)</f>
        <v>68.2</v>
      </c>
      <c r="AG105" s="14">
        <f>VLOOKUP(A:A,[1]TDSheet!$A:$W,23,0)</f>
        <v>91</v>
      </c>
      <c r="AH105" s="14">
        <f>VLOOKUP(A:A,[3]TDSheet!$A:$B,2,0)</f>
        <v>84</v>
      </c>
      <c r="AI105" s="14">
        <f>VLOOKUP(A:A,[1]TDSheet!$A:$AI,35,0)</f>
        <v>0</v>
      </c>
      <c r="AJ105" s="14">
        <f t="shared" si="20"/>
        <v>0</v>
      </c>
      <c r="AK105" s="14"/>
      <c r="AL105" s="18">
        <f t="shared" si="21"/>
        <v>-0.100642398286938</v>
      </c>
      <c r="AM105" s="14"/>
      <c r="AN105" s="14"/>
    </row>
    <row r="106" spans="1:40" s="1" customFormat="1" ht="11.1" customHeight="1" outlineLevel="1" x14ac:dyDescent="0.2">
      <c r="A106" s="7" t="s">
        <v>108</v>
      </c>
      <c r="B106" s="7" t="s">
        <v>12</v>
      </c>
      <c r="C106" s="8">
        <v>582</v>
      </c>
      <c r="D106" s="8">
        <v>493</v>
      </c>
      <c r="E106" s="8">
        <v>683</v>
      </c>
      <c r="F106" s="8">
        <v>385</v>
      </c>
      <c r="G106" s="1">
        <f>VLOOKUP(A:A,[1]TDSheet!$A:$G,7,0)</f>
        <v>0</v>
      </c>
      <c r="H106" s="1">
        <f>VLOOKUP(A:A,[1]TDSheet!$A:$H,8,0)</f>
        <v>7.0000000000000007E-2</v>
      </c>
      <c r="I106" s="1" t="e">
        <f>VLOOKUP(A:A,[1]TDSheet!$A:$I,9,0)</f>
        <v>#N/A</v>
      </c>
      <c r="J106" s="14">
        <f>VLOOKUP(A:A,[2]TDSheet!$A:$F,6,0)</f>
        <v>695</v>
      </c>
      <c r="K106" s="14">
        <f t="shared" si="16"/>
        <v>-12</v>
      </c>
      <c r="L106" s="14">
        <f>VLOOKUP(A:A,[1]TDSheet!$A:$O,15,0)</f>
        <v>200</v>
      </c>
      <c r="M106" s="14">
        <f>VLOOKUP(A:A,[1]TDSheet!$A:$P,16,0)</f>
        <v>100</v>
      </c>
      <c r="N106" s="14">
        <f>VLOOKUP(A:A,[1]TDSheet!$A:$X,24,0)</f>
        <v>300</v>
      </c>
      <c r="O106" s="14"/>
      <c r="P106" s="14"/>
      <c r="Q106" s="14"/>
      <c r="R106" s="14"/>
      <c r="S106" s="14"/>
      <c r="T106" s="14"/>
      <c r="U106" s="14"/>
      <c r="V106" s="14"/>
      <c r="W106" s="14">
        <f t="shared" si="17"/>
        <v>136.6</v>
      </c>
      <c r="X106" s="16">
        <v>100</v>
      </c>
      <c r="Y106" s="17">
        <f t="shared" si="18"/>
        <v>7.9428989751098102</v>
      </c>
      <c r="Z106" s="14">
        <f t="shared" si="19"/>
        <v>2.8184480234260616</v>
      </c>
      <c r="AA106" s="14"/>
      <c r="AB106" s="14"/>
      <c r="AC106" s="14">
        <v>0</v>
      </c>
      <c r="AD106" s="14">
        <f>VLOOKUP(A:A,[1]TDSheet!$A:$AE,31,0)</f>
        <v>95</v>
      </c>
      <c r="AE106" s="14">
        <f>VLOOKUP(A:A,[1]TDSheet!$A:$AF,32,0)</f>
        <v>115</v>
      </c>
      <c r="AF106" s="14">
        <f>VLOOKUP(A:A,[1]TDSheet!$A:$AG,33,0)</f>
        <v>99.6</v>
      </c>
      <c r="AG106" s="14">
        <f>VLOOKUP(A:A,[1]TDSheet!$A:$W,23,0)</f>
        <v>121</v>
      </c>
      <c r="AH106" s="14">
        <f>VLOOKUP(A:A,[3]TDSheet!$A:$B,2,0)</f>
        <v>163</v>
      </c>
      <c r="AI106" s="14" t="str">
        <f>VLOOKUP(A:A,[1]TDSheet!$A:$AI,35,0)</f>
        <v>Ларин</v>
      </c>
      <c r="AJ106" s="14">
        <f t="shared" si="20"/>
        <v>7.0000000000000009</v>
      </c>
      <c r="AK106" s="14"/>
      <c r="AL106" s="18">
        <f t="shared" si="21"/>
        <v>0.19326500732064433</v>
      </c>
      <c r="AM106" s="14"/>
      <c r="AN106" s="14"/>
    </row>
    <row r="107" spans="1:40" s="1" customFormat="1" ht="11.1" customHeight="1" outlineLevel="1" x14ac:dyDescent="0.2">
      <c r="A107" s="7" t="s">
        <v>109</v>
      </c>
      <c r="B107" s="7" t="s">
        <v>12</v>
      </c>
      <c r="C107" s="8">
        <v>639</v>
      </c>
      <c r="D107" s="8">
        <v>533</v>
      </c>
      <c r="E107" s="8">
        <v>780</v>
      </c>
      <c r="F107" s="8">
        <v>365</v>
      </c>
      <c r="G107" s="1">
        <f>VLOOKUP(A:A,[1]TDSheet!$A:$G,7,0)</f>
        <v>0</v>
      </c>
      <c r="H107" s="1">
        <f>VLOOKUP(A:A,[1]TDSheet!$A:$H,8,0)</f>
        <v>7.0000000000000007E-2</v>
      </c>
      <c r="I107" s="1">
        <f>VLOOKUP(A:A,[1]TDSheet!$A:$I,9,0)</f>
        <v>90</v>
      </c>
      <c r="J107" s="14">
        <f>VLOOKUP(A:A,[2]TDSheet!$A:$F,6,0)</f>
        <v>804</v>
      </c>
      <c r="K107" s="14">
        <f t="shared" si="16"/>
        <v>-24</v>
      </c>
      <c r="L107" s="14">
        <f>VLOOKUP(A:A,[1]TDSheet!$A:$O,15,0)</f>
        <v>250</v>
      </c>
      <c r="M107" s="14">
        <f>VLOOKUP(A:A,[1]TDSheet!$A:$P,16,0)</f>
        <v>0</v>
      </c>
      <c r="N107" s="14">
        <f>VLOOKUP(A:A,[1]TDSheet!$A:$X,24,0)</f>
        <v>300</v>
      </c>
      <c r="O107" s="14"/>
      <c r="P107" s="14"/>
      <c r="Q107" s="14"/>
      <c r="R107" s="14"/>
      <c r="S107" s="14"/>
      <c r="T107" s="14"/>
      <c r="U107" s="14"/>
      <c r="V107" s="14"/>
      <c r="W107" s="14">
        <f t="shared" si="17"/>
        <v>156</v>
      </c>
      <c r="X107" s="16">
        <v>250</v>
      </c>
      <c r="Y107" s="17">
        <f t="shared" si="18"/>
        <v>7.4679487179487181</v>
      </c>
      <c r="Z107" s="14">
        <f t="shared" si="19"/>
        <v>2.3397435897435899</v>
      </c>
      <c r="AA107" s="14"/>
      <c r="AB107" s="14"/>
      <c r="AC107" s="14">
        <v>0</v>
      </c>
      <c r="AD107" s="14">
        <f>VLOOKUP(A:A,[1]TDSheet!$A:$AE,31,0)</f>
        <v>111.4</v>
      </c>
      <c r="AE107" s="14">
        <f>VLOOKUP(A:A,[1]TDSheet!$A:$AF,32,0)</f>
        <v>147.6</v>
      </c>
      <c r="AF107" s="14">
        <f>VLOOKUP(A:A,[1]TDSheet!$A:$AG,33,0)</f>
        <v>113.6</v>
      </c>
      <c r="AG107" s="14">
        <f>VLOOKUP(A:A,[1]TDSheet!$A:$W,23,0)</f>
        <v>141.4</v>
      </c>
      <c r="AH107" s="14">
        <f>VLOOKUP(A:A,[3]TDSheet!$A:$B,2,0)</f>
        <v>213</v>
      </c>
      <c r="AI107" s="14" t="str">
        <f>VLOOKUP(A:A,[1]TDSheet!$A:$AI,35,0)</f>
        <v>Ларин</v>
      </c>
      <c r="AJ107" s="14">
        <f t="shared" si="20"/>
        <v>17.5</v>
      </c>
      <c r="AK107" s="14"/>
      <c r="AL107" s="18">
        <f t="shared" si="21"/>
        <v>0.36538461538461542</v>
      </c>
      <c r="AM107" s="14"/>
      <c r="AN107" s="14"/>
    </row>
    <row r="108" spans="1:40" s="1" customFormat="1" ht="11.1" customHeight="1" outlineLevel="1" x14ac:dyDescent="0.2">
      <c r="A108" s="7" t="s">
        <v>110</v>
      </c>
      <c r="B108" s="7" t="s">
        <v>12</v>
      </c>
      <c r="C108" s="8">
        <v>521</v>
      </c>
      <c r="D108" s="8">
        <v>73</v>
      </c>
      <c r="E108" s="8">
        <v>329</v>
      </c>
      <c r="F108" s="8">
        <v>246</v>
      </c>
      <c r="G108" s="1">
        <f>VLOOKUP(A:A,[1]TDSheet!$A:$G,7,0)</f>
        <v>0</v>
      </c>
      <c r="H108" s="1">
        <f>VLOOKUP(A:A,[1]TDSheet!$A:$H,8,0)</f>
        <v>7.0000000000000007E-2</v>
      </c>
      <c r="I108" s="1" t="e">
        <f>VLOOKUP(A:A,[1]TDSheet!$A:$I,9,0)</f>
        <v>#N/A</v>
      </c>
      <c r="J108" s="14">
        <f>VLOOKUP(A:A,[2]TDSheet!$A:$F,6,0)</f>
        <v>349</v>
      </c>
      <c r="K108" s="14">
        <f t="shared" si="16"/>
        <v>-20</v>
      </c>
      <c r="L108" s="14">
        <f>VLOOKUP(A:A,[1]TDSheet!$A:$O,15,0)</f>
        <v>50</v>
      </c>
      <c r="M108" s="14">
        <f>VLOOKUP(A:A,[1]TDSheet!$A:$P,16,0)</f>
        <v>100</v>
      </c>
      <c r="N108" s="14">
        <f>VLOOKUP(A:A,[1]TDSheet!$A:$X,24,0)</f>
        <v>150</v>
      </c>
      <c r="O108" s="14"/>
      <c r="P108" s="14"/>
      <c r="Q108" s="14"/>
      <c r="R108" s="14"/>
      <c r="S108" s="14"/>
      <c r="T108" s="14"/>
      <c r="U108" s="14"/>
      <c r="V108" s="14"/>
      <c r="W108" s="14">
        <f t="shared" si="17"/>
        <v>65.8</v>
      </c>
      <c r="X108" s="16"/>
      <c r="Y108" s="17">
        <f t="shared" si="18"/>
        <v>8.297872340425533</v>
      </c>
      <c r="Z108" s="14">
        <f t="shared" si="19"/>
        <v>3.738601823708207</v>
      </c>
      <c r="AA108" s="14"/>
      <c r="AB108" s="14"/>
      <c r="AC108" s="14">
        <v>0</v>
      </c>
      <c r="AD108" s="14">
        <f>VLOOKUP(A:A,[1]TDSheet!$A:$AE,31,0)</f>
        <v>52.8</v>
      </c>
      <c r="AE108" s="14">
        <f>VLOOKUP(A:A,[1]TDSheet!$A:$AF,32,0)</f>
        <v>86.2</v>
      </c>
      <c r="AF108" s="14">
        <f>VLOOKUP(A:A,[1]TDSheet!$A:$AG,33,0)</f>
        <v>59.8</v>
      </c>
      <c r="AG108" s="14">
        <f>VLOOKUP(A:A,[1]TDSheet!$A:$W,23,0)</f>
        <v>65.599999999999994</v>
      </c>
      <c r="AH108" s="14">
        <f>VLOOKUP(A:A,[3]TDSheet!$A:$B,2,0)</f>
        <v>58</v>
      </c>
      <c r="AI108" s="14">
        <f>VLOOKUP(A:A,[1]TDSheet!$A:$AI,35,0)</f>
        <v>0</v>
      </c>
      <c r="AJ108" s="14">
        <f t="shared" si="20"/>
        <v>0</v>
      </c>
      <c r="AK108" s="14"/>
      <c r="AL108" s="18">
        <f t="shared" si="21"/>
        <v>-0.11854103343465039</v>
      </c>
      <c r="AM108" s="14"/>
      <c r="AN108" s="14"/>
    </row>
    <row r="109" spans="1:40" s="1" customFormat="1" ht="11.1" customHeight="1" outlineLevel="1" x14ac:dyDescent="0.2">
      <c r="A109" s="7" t="s">
        <v>111</v>
      </c>
      <c r="B109" s="7" t="s">
        <v>12</v>
      </c>
      <c r="C109" s="8">
        <v>352</v>
      </c>
      <c r="D109" s="8">
        <v>112</v>
      </c>
      <c r="E109" s="8">
        <v>257</v>
      </c>
      <c r="F109" s="8">
        <v>202</v>
      </c>
      <c r="G109" s="1">
        <f>VLOOKUP(A:A,[1]TDSheet!$A:$G,7,0)</f>
        <v>0</v>
      </c>
      <c r="H109" s="1">
        <f>VLOOKUP(A:A,[1]TDSheet!$A:$H,8,0)</f>
        <v>0.05</v>
      </c>
      <c r="I109" s="1" t="e">
        <f>VLOOKUP(A:A,[1]TDSheet!$A:$I,9,0)</f>
        <v>#N/A</v>
      </c>
      <c r="J109" s="14">
        <f>VLOOKUP(A:A,[2]TDSheet!$A:$F,6,0)</f>
        <v>262</v>
      </c>
      <c r="K109" s="14">
        <f t="shared" si="16"/>
        <v>-5</v>
      </c>
      <c r="L109" s="14">
        <f>VLOOKUP(A:A,[1]TDSheet!$A:$O,15,0)</f>
        <v>0</v>
      </c>
      <c r="M109" s="14">
        <f>VLOOKUP(A:A,[1]TDSheet!$A:$P,16,0)</f>
        <v>50</v>
      </c>
      <c r="N109" s="14">
        <f>VLOOKUP(A:A,[1]TDSheet!$A:$X,24,0)</f>
        <v>100</v>
      </c>
      <c r="O109" s="14"/>
      <c r="P109" s="14"/>
      <c r="Q109" s="14"/>
      <c r="R109" s="14"/>
      <c r="S109" s="14"/>
      <c r="T109" s="14"/>
      <c r="U109" s="14"/>
      <c r="V109" s="14"/>
      <c r="W109" s="14">
        <f t="shared" si="17"/>
        <v>51.4</v>
      </c>
      <c r="X109" s="16">
        <v>50</v>
      </c>
      <c r="Y109" s="17">
        <f t="shared" si="18"/>
        <v>7.8210116731517516</v>
      </c>
      <c r="Z109" s="14">
        <f t="shared" si="19"/>
        <v>3.9299610894941637</v>
      </c>
      <c r="AA109" s="14"/>
      <c r="AB109" s="14"/>
      <c r="AC109" s="14">
        <v>0</v>
      </c>
      <c r="AD109" s="14">
        <f>VLOOKUP(A:A,[1]TDSheet!$A:$AE,31,0)</f>
        <v>38.799999999999997</v>
      </c>
      <c r="AE109" s="14">
        <f>VLOOKUP(A:A,[1]TDSheet!$A:$AF,32,0)</f>
        <v>58</v>
      </c>
      <c r="AF109" s="14">
        <f>VLOOKUP(A:A,[1]TDSheet!$A:$AG,33,0)</f>
        <v>45.2</v>
      </c>
      <c r="AG109" s="14">
        <f>VLOOKUP(A:A,[1]TDSheet!$A:$W,23,0)</f>
        <v>43.6</v>
      </c>
      <c r="AH109" s="14">
        <f>VLOOKUP(A:A,[3]TDSheet!$A:$B,2,0)</f>
        <v>74</v>
      </c>
      <c r="AI109" s="14">
        <f>VLOOKUP(A:A,[1]TDSheet!$A:$AI,35,0)</f>
        <v>0</v>
      </c>
      <c r="AJ109" s="14">
        <f t="shared" si="20"/>
        <v>2.5</v>
      </c>
      <c r="AK109" s="14"/>
      <c r="AL109" s="18">
        <f t="shared" si="21"/>
        <v>0.43968871595330739</v>
      </c>
      <c r="AM109" s="14"/>
      <c r="AN109" s="14"/>
    </row>
    <row r="110" spans="1:40" s="1" customFormat="1" ht="11.1" customHeight="1" outlineLevel="1" x14ac:dyDescent="0.2">
      <c r="A110" s="7" t="s">
        <v>112</v>
      </c>
      <c r="B110" s="7" t="s">
        <v>12</v>
      </c>
      <c r="C110" s="8">
        <v>-13</v>
      </c>
      <c r="D110" s="8"/>
      <c r="E110" s="8">
        <v>0</v>
      </c>
      <c r="F110" s="8">
        <v>-13</v>
      </c>
      <c r="G110" s="1" t="str">
        <f>VLOOKUP(A:A,[1]TDSheet!$A:$G,7,0)</f>
        <v>выв2611</v>
      </c>
      <c r="H110" s="1">
        <f>VLOOKUP(A:A,[1]TDSheet!$A:$H,8,0)</f>
        <v>0</v>
      </c>
      <c r="I110" s="1" t="e">
        <f>VLOOKUP(A:A,[1]TDSheet!$A:$I,9,0)</f>
        <v>#N/A</v>
      </c>
      <c r="J110" s="14">
        <v>0</v>
      </c>
      <c r="K110" s="14">
        <f t="shared" si="16"/>
        <v>0</v>
      </c>
      <c r="L110" s="14">
        <f>VLOOKUP(A:A,[1]TDSheet!$A:$O,15,0)</f>
        <v>0</v>
      </c>
      <c r="M110" s="14">
        <f>VLOOKUP(A:A,[1]TDSheet!$A:$P,16,0)</f>
        <v>0</v>
      </c>
      <c r="N110" s="14">
        <f>VLOOKUP(A:A,[1]TDSheet!$A:$X,24,0)</f>
        <v>0</v>
      </c>
      <c r="O110" s="14"/>
      <c r="P110" s="14"/>
      <c r="Q110" s="14"/>
      <c r="R110" s="14"/>
      <c r="S110" s="14"/>
      <c r="T110" s="14"/>
      <c r="U110" s="14"/>
      <c r="V110" s="14"/>
      <c r="W110" s="14">
        <f t="shared" si="17"/>
        <v>0</v>
      </c>
      <c r="X110" s="16"/>
      <c r="Y110" s="17" t="e">
        <f t="shared" si="18"/>
        <v>#DIV/0!</v>
      </c>
      <c r="Z110" s="14" t="e">
        <f t="shared" si="19"/>
        <v>#DIV/0!</v>
      </c>
      <c r="AA110" s="14"/>
      <c r="AB110" s="14"/>
      <c r="AC110" s="14">
        <v>0</v>
      </c>
      <c r="AD110" s="14">
        <f>VLOOKUP(A:A,[1]TDSheet!$A:$AE,31,0)</f>
        <v>5.8</v>
      </c>
      <c r="AE110" s="14">
        <f>VLOOKUP(A:A,[1]TDSheet!$A:$AF,32,0)</f>
        <v>0</v>
      </c>
      <c r="AF110" s="14">
        <f>VLOOKUP(A:A,[1]TDSheet!$A:$AG,33,0)</f>
        <v>0</v>
      </c>
      <c r="AG110" s="14">
        <f>VLOOKUP(A:A,[1]TDSheet!$A:$W,23,0)</f>
        <v>0</v>
      </c>
      <c r="AH110" s="14">
        <v>0</v>
      </c>
      <c r="AI110" s="14" t="str">
        <f>VLOOKUP(A:A,[1]TDSheet!$A:$AI,35,0)</f>
        <v>увел</v>
      </c>
      <c r="AJ110" s="14">
        <f t="shared" si="20"/>
        <v>0</v>
      </c>
      <c r="AK110" s="14"/>
      <c r="AL110" s="18" t="e">
        <f t="shared" si="21"/>
        <v>#DIV/0!</v>
      </c>
      <c r="AM110" s="14"/>
      <c r="AN110" s="14"/>
    </row>
    <row r="111" spans="1:40" s="1" customFormat="1" ht="11.1" customHeight="1" outlineLevel="1" x14ac:dyDescent="0.2">
      <c r="A111" s="7" t="s">
        <v>113</v>
      </c>
      <c r="B111" s="7" t="s">
        <v>12</v>
      </c>
      <c r="C111" s="8">
        <v>37</v>
      </c>
      <c r="D111" s="8">
        <v>114</v>
      </c>
      <c r="E111" s="8">
        <v>54</v>
      </c>
      <c r="F111" s="8">
        <v>96</v>
      </c>
      <c r="G111" s="1" t="str">
        <f>VLOOKUP(A:A,[1]TDSheet!$A:$G,7,0)</f>
        <v>вв1912</v>
      </c>
      <c r="H111" s="1">
        <f>VLOOKUP(A:A,[1]TDSheet!$A:$H,8,0)</f>
        <v>0</v>
      </c>
      <c r="I111" s="1" t="e">
        <f>VLOOKUP(A:A,[1]TDSheet!$A:$I,9,0)</f>
        <v>#N/A</v>
      </c>
      <c r="J111" s="14">
        <f>VLOOKUP(A:A,[2]TDSheet!$A:$F,6,0)</f>
        <v>56</v>
      </c>
      <c r="K111" s="14">
        <f t="shared" si="16"/>
        <v>-2</v>
      </c>
      <c r="L111" s="14">
        <f>VLOOKUP(A:A,[1]TDSheet!$A:$O,15,0)</f>
        <v>0</v>
      </c>
      <c r="M111" s="14">
        <f>VLOOKUP(A:A,[1]TDSheet!$A:$P,16,0)</f>
        <v>0</v>
      </c>
      <c r="N111" s="14">
        <f>VLOOKUP(A:A,[1]TDSheet!$A:$X,24,0)</f>
        <v>0</v>
      </c>
      <c r="O111" s="14"/>
      <c r="P111" s="14"/>
      <c r="Q111" s="14"/>
      <c r="R111" s="14"/>
      <c r="S111" s="14"/>
      <c r="T111" s="14"/>
      <c r="U111" s="14"/>
      <c r="V111" s="14"/>
      <c r="W111" s="14">
        <f t="shared" si="17"/>
        <v>10.8</v>
      </c>
      <c r="X111" s="16"/>
      <c r="Y111" s="17">
        <f t="shared" si="18"/>
        <v>8.8888888888888875</v>
      </c>
      <c r="Z111" s="14">
        <f t="shared" si="19"/>
        <v>8.8888888888888875</v>
      </c>
      <c r="AA111" s="14"/>
      <c r="AB111" s="14"/>
      <c r="AC111" s="14">
        <v>0</v>
      </c>
      <c r="AD111" s="14">
        <f>VLOOKUP(A:A,[1]TDSheet!$A:$AE,31,0)</f>
        <v>14.8</v>
      </c>
      <c r="AE111" s="14">
        <f>VLOOKUP(A:A,[1]TDSheet!$A:$AF,32,0)</f>
        <v>14</v>
      </c>
      <c r="AF111" s="14">
        <f>VLOOKUP(A:A,[1]TDSheet!$A:$AG,33,0)</f>
        <v>12.6</v>
      </c>
      <c r="AG111" s="14">
        <f>VLOOKUP(A:A,[1]TDSheet!$A:$W,23,0)</f>
        <v>12.6</v>
      </c>
      <c r="AH111" s="14">
        <f>VLOOKUP(A:A,[3]TDSheet!$A:$B,2,0)</f>
        <v>9</v>
      </c>
      <c r="AI111" s="14" t="str">
        <f>VLOOKUP(A:A,[1]TDSheet!$A:$AI,35,0)</f>
        <v>увел</v>
      </c>
      <c r="AJ111" s="14">
        <f t="shared" si="20"/>
        <v>0</v>
      </c>
      <c r="AK111" s="14"/>
      <c r="AL111" s="18">
        <f t="shared" si="21"/>
        <v>-0.16666666666666674</v>
      </c>
      <c r="AM111" s="14"/>
      <c r="AN111" s="14"/>
    </row>
    <row r="112" spans="1:40" s="1" customFormat="1" ht="11.1" customHeight="1" outlineLevel="1" x14ac:dyDescent="0.2">
      <c r="A112" s="7" t="s">
        <v>114</v>
      </c>
      <c r="B112" s="7" t="s">
        <v>8</v>
      </c>
      <c r="C112" s="8">
        <v>1566.7280000000001</v>
      </c>
      <c r="D112" s="8">
        <v>2985.5129999999999</v>
      </c>
      <c r="E112" s="8">
        <v>2350.8339999999998</v>
      </c>
      <c r="F112" s="8">
        <v>2171.3429999999998</v>
      </c>
      <c r="G112" s="1" t="str">
        <f>VLOOKUP(A:A,[1]TDSheet!$A:$G,7,0)</f>
        <v>рот11,11,</v>
      </c>
      <c r="H112" s="1">
        <f>VLOOKUP(A:A,[1]TDSheet!$A:$H,8,0)</f>
        <v>1</v>
      </c>
      <c r="I112" s="1" t="e">
        <f>VLOOKUP(A:A,[1]TDSheet!$A:$I,9,0)</f>
        <v>#N/A</v>
      </c>
      <c r="J112" s="14">
        <f>VLOOKUP(A:A,[2]TDSheet!$A:$F,6,0)</f>
        <v>2374.6840000000002</v>
      </c>
      <c r="K112" s="14">
        <f t="shared" si="16"/>
        <v>-23.850000000000364</v>
      </c>
      <c r="L112" s="14">
        <f>VLOOKUP(A:A,[1]TDSheet!$A:$O,15,0)</f>
        <v>400</v>
      </c>
      <c r="M112" s="14">
        <f>VLOOKUP(A:A,[1]TDSheet!$A:$P,16,0)</f>
        <v>300</v>
      </c>
      <c r="N112" s="14">
        <f>VLOOKUP(A:A,[1]TDSheet!$A:$X,24,0)</f>
        <v>800</v>
      </c>
      <c r="O112" s="14"/>
      <c r="P112" s="14"/>
      <c r="Q112" s="14"/>
      <c r="R112" s="14"/>
      <c r="S112" s="14"/>
      <c r="T112" s="14"/>
      <c r="U112" s="14"/>
      <c r="V112" s="14"/>
      <c r="W112" s="14">
        <f t="shared" si="17"/>
        <v>470.16679999999997</v>
      </c>
      <c r="X112" s="16">
        <v>100</v>
      </c>
      <c r="Y112" s="17">
        <f t="shared" si="18"/>
        <v>8.0212873388763306</v>
      </c>
      <c r="Z112" s="14">
        <f t="shared" si="19"/>
        <v>4.6182397395987973</v>
      </c>
      <c r="AA112" s="14"/>
      <c r="AB112" s="14"/>
      <c r="AC112" s="14">
        <v>0</v>
      </c>
      <c r="AD112" s="14">
        <f>VLOOKUP(A:A,[1]TDSheet!$A:$AE,31,0)</f>
        <v>328.67040000000003</v>
      </c>
      <c r="AE112" s="14">
        <f>VLOOKUP(A:A,[1]TDSheet!$A:$AF,32,0)</f>
        <v>476.98220000000003</v>
      </c>
      <c r="AF112" s="14">
        <f>VLOOKUP(A:A,[1]TDSheet!$A:$AG,33,0)</f>
        <v>522.60220000000004</v>
      </c>
      <c r="AG112" s="14">
        <f>VLOOKUP(A:A,[1]TDSheet!$A:$W,23,0)</f>
        <v>496.02079999999995</v>
      </c>
      <c r="AH112" s="14">
        <f>VLOOKUP(A:A,[3]TDSheet!$A:$B,2,0)</f>
        <v>581.322</v>
      </c>
      <c r="AI112" s="14">
        <f>VLOOKUP(A:A,[1]TDSheet!$A:$AI,35,0)</f>
        <v>0</v>
      </c>
      <c r="AJ112" s="14">
        <f t="shared" si="20"/>
        <v>100</v>
      </c>
      <c r="AK112" s="14"/>
      <c r="AL112" s="18">
        <f t="shared" si="21"/>
        <v>0.23641652281700876</v>
      </c>
      <c r="AM112" s="14"/>
      <c r="AN112" s="14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2025-12-23T07:26:39Z</dcterms:modified>
</cp:coreProperties>
</file>