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098CD20-BF70-4103-B566-F962E5B812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P484" i="1"/>
  <c r="BO484" i="1"/>
  <c r="BN484" i="1"/>
  <c r="BM484" i="1"/>
  <c r="Z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X446" i="1"/>
  <c r="Y445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Y446" i="1" s="1"/>
  <c r="P442" i="1"/>
  <c r="X440" i="1"/>
  <c r="X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X423" i="1"/>
  <c r="X422" i="1"/>
  <c r="BO421" i="1"/>
  <c r="BN421" i="1"/>
  <c r="BM421" i="1"/>
  <c r="Z421" i="1"/>
  <c r="Z422" i="1" s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0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Y355" i="1" s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Y336" i="1" s="1"/>
  <c r="P334" i="1"/>
  <c r="BP333" i="1"/>
  <c r="BO333" i="1"/>
  <c r="BN333" i="1"/>
  <c r="BM333" i="1"/>
  <c r="Z333" i="1"/>
  <c r="Y333" i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BP313" i="1"/>
  <c r="BO313" i="1"/>
  <c r="BN313" i="1"/>
  <c r="BM313" i="1"/>
  <c r="Z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K502" i="1" s="1"/>
  <c r="P232" i="1"/>
  <c r="X229" i="1"/>
  <c r="X228" i="1"/>
  <c r="BO227" i="1"/>
  <c r="BM227" i="1"/>
  <c r="Y227" i="1"/>
  <c r="Y229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3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1" i="1" s="1"/>
  <c r="P203" i="1"/>
  <c r="X201" i="1"/>
  <c r="X200" i="1"/>
  <c r="BO199" i="1"/>
  <c r="BM199" i="1"/>
  <c r="Y199" i="1"/>
  <c r="Y201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502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Y180" i="1" s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4" i="1" s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2" i="1" s="1"/>
  <c r="P143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X494" i="1" s="1"/>
  <c r="BM22" i="1"/>
  <c r="X493" i="1" s="1"/>
  <c r="X495" i="1" s="1"/>
  <c r="Y22" i="1"/>
  <c r="B502" i="1" s="1"/>
  <c r="P22" i="1"/>
  <c r="H10" i="1"/>
  <c r="A9" i="1"/>
  <c r="A10" i="1" s="1"/>
  <c r="D7" i="1"/>
  <c r="Q6" i="1"/>
  <c r="P2" i="1"/>
  <c r="Z44" i="1" l="1"/>
  <c r="Z139" i="1"/>
  <c r="F9" i="1"/>
  <c r="J9" i="1"/>
  <c r="F10" i="1"/>
  <c r="Z22" i="1"/>
  <c r="Z24" i="1" s="1"/>
  <c r="BN22" i="1"/>
  <c r="BP22" i="1"/>
  <c r="X496" i="1"/>
  <c r="Y25" i="1"/>
  <c r="Z28" i="1"/>
  <c r="BN28" i="1"/>
  <c r="BP28" i="1"/>
  <c r="Z30" i="1"/>
  <c r="Z32" i="1" s="1"/>
  <c r="BN30" i="1"/>
  <c r="C502" i="1"/>
  <c r="Z42" i="1"/>
  <c r="BN42" i="1"/>
  <c r="BP42" i="1"/>
  <c r="Y45" i="1"/>
  <c r="D502" i="1"/>
  <c r="Z53" i="1"/>
  <c r="Z58" i="1" s="1"/>
  <c r="BN53" i="1"/>
  <c r="BP53" i="1"/>
  <c r="Z55" i="1"/>
  <c r="BN55" i="1"/>
  <c r="Z57" i="1"/>
  <c r="BN57" i="1"/>
  <c r="Y58" i="1"/>
  <c r="Z61" i="1"/>
  <c r="Z64" i="1" s="1"/>
  <c r="BN61" i="1"/>
  <c r="BP61" i="1"/>
  <c r="Z63" i="1"/>
  <c r="BN63" i="1"/>
  <c r="Y64" i="1"/>
  <c r="Z67" i="1"/>
  <c r="Z69" i="1" s="1"/>
  <c r="BN67" i="1"/>
  <c r="BP67" i="1"/>
  <c r="Y70" i="1"/>
  <c r="Z73" i="1"/>
  <c r="Z76" i="1" s="1"/>
  <c r="BN73" i="1"/>
  <c r="BP73" i="1"/>
  <c r="Z75" i="1"/>
  <c r="BN75" i="1"/>
  <c r="Z79" i="1"/>
  <c r="Z81" i="1" s="1"/>
  <c r="BN79" i="1"/>
  <c r="BP79" i="1"/>
  <c r="Y82" i="1"/>
  <c r="E502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Y97" i="1"/>
  <c r="F502" i="1"/>
  <c r="Z101" i="1"/>
  <c r="Z105" i="1" s="1"/>
  <c r="BN101" i="1"/>
  <c r="BP101" i="1"/>
  <c r="Z103" i="1"/>
  <c r="BN103" i="1"/>
  <c r="Y106" i="1"/>
  <c r="Z109" i="1"/>
  <c r="BN109" i="1"/>
  <c r="BP109" i="1"/>
  <c r="Z111" i="1"/>
  <c r="Z112" i="1" s="1"/>
  <c r="BN111" i="1"/>
  <c r="Z115" i="1"/>
  <c r="Z119" i="1" s="1"/>
  <c r="BN115" i="1"/>
  <c r="BP115" i="1"/>
  <c r="Z117" i="1"/>
  <c r="BN117" i="1"/>
  <c r="Y120" i="1"/>
  <c r="G502" i="1"/>
  <c r="Z128" i="1"/>
  <c r="Z129" i="1" s="1"/>
  <c r="BN128" i="1"/>
  <c r="BP128" i="1"/>
  <c r="Y129" i="1"/>
  <c r="Z132" i="1"/>
  <c r="Z134" i="1" s="1"/>
  <c r="BN132" i="1"/>
  <c r="BP132" i="1"/>
  <c r="Y135" i="1"/>
  <c r="Z138" i="1"/>
  <c r="BN138" i="1"/>
  <c r="BP138" i="1"/>
  <c r="Z143" i="1"/>
  <c r="Z145" i="1" s="1"/>
  <c r="BN143" i="1"/>
  <c r="BP143" i="1"/>
  <c r="Y146" i="1"/>
  <c r="Z148" i="1"/>
  <c r="Z154" i="1" s="1"/>
  <c r="BN148" i="1"/>
  <c r="BP148" i="1"/>
  <c r="Z149" i="1"/>
  <c r="BN149" i="1"/>
  <c r="Z150" i="1"/>
  <c r="BN150" i="1"/>
  <c r="Z152" i="1"/>
  <c r="BN152" i="1"/>
  <c r="Y155" i="1"/>
  <c r="I502" i="1"/>
  <c r="Y165" i="1"/>
  <c r="Z168" i="1"/>
  <c r="Z179" i="1" s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Z211" i="1" s="1"/>
  <c r="BN203" i="1"/>
  <c r="BP203" i="1"/>
  <c r="Z205" i="1"/>
  <c r="BN205" i="1"/>
  <c r="Z207" i="1"/>
  <c r="BN207" i="1"/>
  <c r="Z209" i="1"/>
  <c r="BN209" i="1"/>
  <c r="Y212" i="1"/>
  <c r="Z215" i="1"/>
  <c r="Z223" i="1" s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Z241" i="1" s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Z257" i="1" s="1"/>
  <c r="BN252" i="1"/>
  <c r="BP252" i="1"/>
  <c r="Z254" i="1"/>
  <c r="BN254" i="1"/>
  <c r="BP255" i="1"/>
  <c r="BN255" i="1"/>
  <c r="Z255" i="1"/>
  <c r="BP264" i="1"/>
  <c r="BN264" i="1"/>
  <c r="Z264" i="1"/>
  <c r="BP273" i="1"/>
  <c r="BN273" i="1"/>
  <c r="Z273" i="1"/>
  <c r="O502" i="1"/>
  <c r="Y281" i="1"/>
  <c r="BP278" i="1"/>
  <c r="BN278" i="1"/>
  <c r="Z278" i="1"/>
  <c r="BP291" i="1"/>
  <c r="BN291" i="1"/>
  <c r="Z291" i="1"/>
  <c r="Z292" i="1" s="1"/>
  <c r="Y293" i="1"/>
  <c r="Q502" i="1"/>
  <c r="Y301" i="1"/>
  <c r="BP296" i="1"/>
  <c r="BN296" i="1"/>
  <c r="Z296" i="1"/>
  <c r="BP300" i="1"/>
  <c r="BN300" i="1"/>
  <c r="Z300" i="1"/>
  <c r="Y302" i="1"/>
  <c r="Y311" i="1"/>
  <c r="BP304" i="1"/>
  <c r="BN304" i="1"/>
  <c r="Z304" i="1"/>
  <c r="BP308" i="1"/>
  <c r="BN308" i="1"/>
  <c r="Z308" i="1"/>
  <c r="Y317" i="1"/>
  <c r="BP316" i="1"/>
  <c r="BN316" i="1"/>
  <c r="Z316" i="1"/>
  <c r="Y323" i="1"/>
  <c r="BP320" i="1"/>
  <c r="BN320" i="1"/>
  <c r="Z320" i="1"/>
  <c r="BP328" i="1"/>
  <c r="BN328" i="1"/>
  <c r="Z328" i="1"/>
  <c r="Y337" i="1"/>
  <c r="BP341" i="1"/>
  <c r="BN341" i="1"/>
  <c r="Z341" i="1"/>
  <c r="Z343" i="1" s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BP394" i="1"/>
  <c r="BN394" i="1"/>
  <c r="Z394" i="1"/>
  <c r="BP398" i="1"/>
  <c r="BN398" i="1"/>
  <c r="Z398" i="1"/>
  <c r="Y405" i="1"/>
  <c r="BP415" i="1"/>
  <c r="BN415" i="1"/>
  <c r="Z415" i="1"/>
  <c r="BP449" i="1"/>
  <c r="BN449" i="1"/>
  <c r="Z449" i="1"/>
  <c r="Z454" i="1" s="1"/>
  <c r="BP453" i="1"/>
  <c r="BN453" i="1"/>
  <c r="Z453" i="1"/>
  <c r="Y455" i="1"/>
  <c r="Y458" i="1"/>
  <c r="BP457" i="1"/>
  <c r="BN457" i="1"/>
  <c r="Z457" i="1"/>
  <c r="Z458" i="1" s="1"/>
  <c r="Y459" i="1"/>
  <c r="Y502" i="1"/>
  <c r="Y468" i="1"/>
  <c r="BP463" i="1"/>
  <c r="BN463" i="1"/>
  <c r="Z463" i="1"/>
  <c r="Y467" i="1"/>
  <c r="BP471" i="1"/>
  <c r="BN471" i="1"/>
  <c r="Z471" i="1"/>
  <c r="Z472" i="1" s="1"/>
  <c r="Y473" i="1"/>
  <c r="Y476" i="1"/>
  <c r="BP475" i="1"/>
  <c r="BN475" i="1"/>
  <c r="Z475" i="1"/>
  <c r="Z476" i="1" s="1"/>
  <c r="Y477" i="1"/>
  <c r="Y480" i="1"/>
  <c r="BP479" i="1"/>
  <c r="BN479" i="1"/>
  <c r="Z479" i="1"/>
  <c r="Z480" i="1" s="1"/>
  <c r="Y481" i="1"/>
  <c r="Y486" i="1"/>
  <c r="BP483" i="1"/>
  <c r="BN483" i="1"/>
  <c r="Z483" i="1"/>
  <c r="Z485" i="1" s="1"/>
  <c r="Y485" i="1"/>
  <c r="H9" i="1"/>
  <c r="Y24" i="1"/>
  <c r="Y145" i="1"/>
  <c r="Y195" i="1"/>
  <c r="Y242" i="1"/>
  <c r="Y257" i="1"/>
  <c r="BP262" i="1"/>
  <c r="BN262" i="1"/>
  <c r="Z262" i="1"/>
  <c r="Z266" i="1" s="1"/>
  <c r="Y266" i="1"/>
  <c r="BP271" i="1"/>
  <c r="BN271" i="1"/>
  <c r="Z271" i="1"/>
  <c r="Z274" i="1" s="1"/>
  <c r="BP280" i="1"/>
  <c r="BN280" i="1"/>
  <c r="Z280" i="1"/>
  <c r="Y282" i="1"/>
  <c r="P502" i="1"/>
  <c r="Y288" i="1"/>
  <c r="BP285" i="1"/>
  <c r="BN285" i="1"/>
  <c r="Z285" i="1"/>
  <c r="Z287" i="1" s="1"/>
  <c r="BP298" i="1"/>
  <c r="BN298" i="1"/>
  <c r="Z298" i="1"/>
  <c r="BP306" i="1"/>
  <c r="BN306" i="1"/>
  <c r="Z306" i="1"/>
  <c r="Y310" i="1"/>
  <c r="BP314" i="1"/>
  <c r="BN314" i="1"/>
  <c r="Z314" i="1"/>
  <c r="Z317" i="1" s="1"/>
  <c r="BP322" i="1"/>
  <c r="BN322" i="1"/>
  <c r="Z322" i="1"/>
  <c r="Y324" i="1"/>
  <c r="Y331" i="1"/>
  <c r="BP326" i="1"/>
  <c r="BN326" i="1"/>
  <c r="Z326" i="1"/>
  <c r="Z330" i="1" s="1"/>
  <c r="Y330" i="1"/>
  <c r="BP334" i="1"/>
  <c r="BN334" i="1"/>
  <c r="Z334" i="1"/>
  <c r="Z336" i="1" s="1"/>
  <c r="BP349" i="1"/>
  <c r="BN349" i="1"/>
  <c r="Z349" i="1"/>
  <c r="Z355" i="1" s="1"/>
  <c r="BP353" i="1"/>
  <c r="BN353" i="1"/>
  <c r="Z353" i="1"/>
  <c r="BP374" i="1"/>
  <c r="BN374" i="1"/>
  <c r="Z374" i="1"/>
  <c r="Z375" i="1" s="1"/>
  <c r="Y376" i="1"/>
  <c r="Y381" i="1"/>
  <c r="BP378" i="1"/>
  <c r="BN378" i="1"/>
  <c r="Z378" i="1"/>
  <c r="Z380" i="1" s="1"/>
  <c r="BP392" i="1"/>
  <c r="BN392" i="1"/>
  <c r="Z392" i="1"/>
  <c r="BP396" i="1"/>
  <c r="BN396" i="1"/>
  <c r="Z396" i="1"/>
  <c r="Z400" i="1" s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BP429" i="1"/>
  <c r="BN429" i="1"/>
  <c r="Z429" i="1"/>
  <c r="BP433" i="1"/>
  <c r="BN433" i="1"/>
  <c r="Z433" i="1"/>
  <c r="BP437" i="1"/>
  <c r="BN437" i="1"/>
  <c r="Z437" i="1"/>
  <c r="L502" i="1"/>
  <c r="Y267" i="1"/>
  <c r="M502" i="1"/>
  <c r="Y274" i="1"/>
  <c r="R502" i="1"/>
  <c r="Y344" i="1"/>
  <c r="S502" i="1"/>
  <c r="Y356" i="1"/>
  <c r="T502" i="1"/>
  <c r="Y375" i="1"/>
  <c r="U502" i="1"/>
  <c r="Y401" i="1"/>
  <c r="W502" i="1"/>
  <c r="Y422" i="1"/>
  <c r="BP421" i="1"/>
  <c r="Y423" i="1"/>
  <c r="X502" i="1"/>
  <c r="Y440" i="1"/>
  <c r="BP427" i="1"/>
  <c r="BN427" i="1"/>
  <c r="Z427" i="1"/>
  <c r="BP431" i="1"/>
  <c r="BN431" i="1"/>
  <c r="Z431" i="1"/>
  <c r="BP435" i="1"/>
  <c r="BN435" i="1"/>
  <c r="Z435" i="1"/>
  <c r="Y439" i="1"/>
  <c r="Z445" i="1"/>
  <c r="BP443" i="1"/>
  <c r="BN443" i="1"/>
  <c r="Z443" i="1"/>
  <c r="Y454" i="1"/>
  <c r="BP451" i="1"/>
  <c r="BN451" i="1"/>
  <c r="Z451" i="1"/>
  <c r="BP465" i="1"/>
  <c r="BN465" i="1"/>
  <c r="Z465" i="1"/>
  <c r="Y472" i="1"/>
  <c r="Y491" i="1"/>
  <c r="Z489" i="1"/>
  <c r="Z490" i="1" s="1"/>
  <c r="BN489" i="1"/>
  <c r="BP489" i="1"/>
  <c r="Y490" i="1"/>
  <c r="Z439" i="1" l="1"/>
  <c r="Z310" i="1"/>
  <c r="Z301" i="1"/>
  <c r="Z185" i="1"/>
  <c r="Y493" i="1"/>
  <c r="Y496" i="1"/>
  <c r="Z467" i="1"/>
  <c r="Z323" i="1"/>
  <c r="Z281" i="1"/>
  <c r="Z497" i="1" s="1"/>
  <c r="Y492" i="1"/>
  <c r="Y494" i="1"/>
  <c r="Y495" i="1" l="1"/>
</calcChain>
</file>

<file path=xl/sharedStrings.xml><?xml version="1.0" encoding="utf-8"?>
<sst xmlns="http://schemas.openxmlformats.org/spreadsheetml/2006/main" count="2299" uniqueCount="774">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</sst>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8" t="s">
        <v>0</v>
      </c>
      <c r="E1" s="629"/>
      <c r="F1" s="629"/>
      <c r="G1" s="12" t="s">
        <v>1</v>
      </c>
      <c r="H1" s="628" t="s">
        <v>2</v>
      </c>
      <c r="I1" s="629"/>
      <c r="J1" s="629"/>
      <c r="K1" s="629"/>
      <c r="L1" s="629"/>
      <c r="M1" s="629"/>
      <c r="N1" s="629"/>
      <c r="O1" s="629"/>
      <c r="P1" s="629"/>
      <c r="Q1" s="629"/>
      <c r="R1" s="738" t="s">
        <v>3</v>
      </c>
      <c r="S1" s="629"/>
      <c r="T1" s="62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0" t="s">
        <v>8</v>
      </c>
      <c r="B5" s="671"/>
      <c r="C5" s="672"/>
      <c r="D5" s="633"/>
      <c r="E5" s="634"/>
      <c r="F5" s="837" t="s">
        <v>9</v>
      </c>
      <c r="G5" s="672"/>
      <c r="H5" s="633"/>
      <c r="I5" s="781"/>
      <c r="J5" s="781"/>
      <c r="K5" s="781"/>
      <c r="L5" s="781"/>
      <c r="M5" s="634"/>
      <c r="N5" s="58"/>
      <c r="P5" s="24" t="s">
        <v>10</v>
      </c>
      <c r="Q5" s="849">
        <v>46012</v>
      </c>
      <c r="R5" s="668"/>
      <c r="T5" s="720" t="s">
        <v>11</v>
      </c>
      <c r="U5" s="721"/>
      <c r="V5" s="722" t="s">
        <v>12</v>
      </c>
      <c r="W5" s="668"/>
      <c r="AB5" s="51"/>
      <c r="AC5" s="51"/>
      <c r="AD5" s="51"/>
      <c r="AE5" s="51"/>
    </row>
    <row r="6" spans="1:32" s="541" customFormat="1" ht="24" customHeight="1" x14ac:dyDescent="0.2">
      <c r="A6" s="670" t="s">
        <v>13</v>
      </c>
      <c r="B6" s="671"/>
      <c r="C6" s="672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68"/>
      <c r="N6" s="59"/>
      <c r="P6" s="24" t="s">
        <v>15</v>
      </c>
      <c r="Q6" s="856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6" t="s">
        <v>16</v>
      </c>
      <c r="U6" s="721"/>
      <c r="V6" s="768" t="s">
        <v>17</v>
      </c>
      <c r="W6" s="60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62"/>
      <c r="U7" s="721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2">
        <v>0.375</v>
      </c>
      <c r="R8" s="610"/>
      <c r="T8" s="562"/>
      <c r="U8" s="721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9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1"/>
      <c r="E9" s="568"/>
      <c r="F9" s="69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9"/>
      <c r="P9" s="26" t="s">
        <v>21</v>
      </c>
      <c r="Q9" s="665"/>
      <c r="R9" s="666"/>
      <c r="T9" s="562"/>
      <c r="U9" s="721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9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1"/>
      <c r="E10" s="568"/>
      <c r="F10" s="69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0"/>
      <c r="P10" s="26" t="s">
        <v>22</v>
      </c>
      <c r="Q10" s="727"/>
      <c r="R10" s="728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4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5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2"/>
      <c r="R12" s="610"/>
      <c r="S12" s="23"/>
      <c r="U12" s="24"/>
      <c r="V12" s="629"/>
      <c r="W12" s="562"/>
      <c r="AB12" s="51"/>
      <c r="AC12" s="51"/>
      <c r="AD12" s="51"/>
      <c r="AE12" s="51"/>
    </row>
    <row r="13" spans="1:32" s="541" customFormat="1" ht="23.25" customHeight="1" x14ac:dyDescent="0.2">
      <c r="A13" s="715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804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5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41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703" t="s">
        <v>35</v>
      </c>
      <c r="Q15" s="629"/>
      <c r="R15" s="629"/>
      <c r="S15" s="629"/>
      <c r="T15" s="62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4"/>
      <c r="Q16" s="704"/>
      <c r="R16" s="704"/>
      <c r="S16" s="704"/>
      <c r="T16" s="7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1" t="s">
        <v>36</v>
      </c>
      <c r="B17" s="591" t="s">
        <v>37</v>
      </c>
      <c r="C17" s="687" t="s">
        <v>38</v>
      </c>
      <c r="D17" s="591" t="s">
        <v>39</v>
      </c>
      <c r="E17" s="652"/>
      <c r="F17" s="591" t="s">
        <v>40</v>
      </c>
      <c r="G17" s="591" t="s">
        <v>41</v>
      </c>
      <c r="H17" s="591" t="s">
        <v>42</v>
      </c>
      <c r="I17" s="591" t="s">
        <v>43</v>
      </c>
      <c r="J17" s="591" t="s">
        <v>44</v>
      </c>
      <c r="K17" s="591" t="s">
        <v>45</v>
      </c>
      <c r="L17" s="591" t="s">
        <v>46</v>
      </c>
      <c r="M17" s="591" t="s">
        <v>47</v>
      </c>
      <c r="N17" s="591" t="s">
        <v>48</v>
      </c>
      <c r="O17" s="591" t="s">
        <v>49</v>
      </c>
      <c r="P17" s="591" t="s">
        <v>50</v>
      </c>
      <c r="Q17" s="651"/>
      <c r="R17" s="651"/>
      <c r="S17" s="651"/>
      <c r="T17" s="652"/>
      <c r="U17" s="863" t="s">
        <v>51</v>
      </c>
      <c r="V17" s="672"/>
      <c r="W17" s="591" t="s">
        <v>52</v>
      </c>
      <c r="X17" s="591" t="s">
        <v>53</v>
      </c>
      <c r="Y17" s="864" t="s">
        <v>54</v>
      </c>
      <c r="Z17" s="779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2"/>
      <c r="B18" s="592"/>
      <c r="C18" s="592"/>
      <c r="D18" s="653"/>
      <c r="E18" s="655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2"/>
      <c r="X18" s="592"/>
      <c r="Y18" s="865"/>
      <c r="Z18" s="780"/>
      <c r="AA18" s="761"/>
      <c r="AB18" s="761"/>
      <c r="AC18" s="761"/>
      <c r="AD18" s="834"/>
      <c r="AE18" s="835"/>
      <c r="AF18" s="836"/>
      <c r="AG18" s="66"/>
      <c r="BD18" s="65"/>
    </row>
    <row r="19" spans="1:68" ht="27.75" customHeight="1" x14ac:dyDescent="0.2">
      <c r="A19" s="641" t="s">
        <v>63</v>
      </c>
      <c r="B19" s="642"/>
      <c r="C19" s="642"/>
      <c r="D19" s="642"/>
      <c r="E19" s="642"/>
      <c r="F19" s="642"/>
      <c r="G19" s="642"/>
      <c r="H19" s="642"/>
      <c r="I19" s="642"/>
      <c r="J19" s="642"/>
      <c r="K19" s="642"/>
      <c r="L19" s="642"/>
      <c r="M19" s="642"/>
      <c r="N19" s="642"/>
      <c r="O19" s="642"/>
      <c r="P19" s="642"/>
      <c r="Q19" s="642"/>
      <c r="R19" s="642"/>
      <c r="S19" s="642"/>
      <c r="T19" s="642"/>
      <c r="U19" s="642"/>
      <c r="V19" s="642"/>
      <c r="W19" s="642"/>
      <c r="X19" s="642"/>
      <c r="Y19" s="642"/>
      <c r="Z19" s="642"/>
      <c r="AA19" s="48"/>
      <c r="AB19" s="48"/>
      <c r="AC19" s="48"/>
    </row>
    <row r="20" spans="1:68" ht="16.5" customHeight="1" x14ac:dyDescent="0.25">
      <c r="A20" s="561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2"/>
      <c r="AB20" s="542"/>
      <c r="AC20" s="542"/>
    </row>
    <row r="21" spans="1:68" ht="14.25" customHeight="1" x14ac:dyDescent="0.25">
      <c r="A21" s="563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9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9">
        <v>4607091388237</v>
      </c>
      <c r="E28" s="560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9">
        <v>4680115887350</v>
      </c>
      <c r="E29" s="560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9">
        <v>4680115885905</v>
      </c>
      <c r="E30" s="560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9">
        <v>4607091388244</v>
      </c>
      <c r="E31" s="560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9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93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9">
        <v>4607091388503</v>
      </c>
      <c r="E35" s="560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9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1" t="s">
        <v>99</v>
      </c>
      <c r="B38" s="642"/>
      <c r="C38" s="642"/>
      <c r="D38" s="642"/>
      <c r="E38" s="642"/>
      <c r="F38" s="642"/>
      <c r="G38" s="642"/>
      <c r="H38" s="642"/>
      <c r="I38" s="642"/>
      <c r="J38" s="642"/>
      <c r="K38" s="642"/>
      <c r="L38" s="642"/>
      <c r="M38" s="642"/>
      <c r="N38" s="642"/>
      <c r="O38" s="642"/>
      <c r="P38" s="642"/>
      <c r="Q38" s="642"/>
      <c r="R38" s="642"/>
      <c r="S38" s="642"/>
      <c r="T38" s="642"/>
      <c r="U38" s="642"/>
      <c r="V38" s="642"/>
      <c r="W38" s="642"/>
      <c r="X38" s="642"/>
      <c r="Y38" s="642"/>
      <c r="Z38" s="642"/>
      <c r="AA38" s="48"/>
      <c r="AB38" s="48"/>
      <c r="AC38" s="48"/>
    </row>
    <row r="39" spans="1:68" ht="16.5" customHeight="1" x14ac:dyDescent="0.25">
      <c r="A39" s="561" t="s">
        <v>100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2"/>
      <c r="AB39" s="542"/>
      <c r="AC39" s="542"/>
    </row>
    <row r="40" spans="1:68" ht="14.25" customHeight="1" x14ac:dyDescent="0.25">
      <c r="A40" s="563" t="s">
        <v>101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9">
        <v>4607091385670</v>
      </c>
      <c r="E41" s="560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9">
        <v>4680115882539</v>
      </c>
      <c r="E42" s="560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9">
        <v>4607091385687</v>
      </c>
      <c r="E43" s="560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9">
        <v>4680115884915</v>
      </c>
      <c r="E47" s="560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9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1" t="s">
        <v>118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2"/>
      <c r="AB50" s="542"/>
      <c r="AC50" s="542"/>
    </row>
    <row r="51" spans="1:68" ht="14.25" customHeight="1" x14ac:dyDescent="0.25">
      <c r="A51" s="563" t="s">
        <v>101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9">
        <v>4680115885882</v>
      </c>
      <c r="E52" s="560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9">
        <v>4680115881426</v>
      </c>
      <c r="E53" s="560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6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400</v>
      </c>
      <c r="Y53" s="548">
        <f t="shared" si="0"/>
        <v>410.40000000000003</v>
      </c>
      <c r="Z53" s="36">
        <f>IFERROR(IF(Y53=0,"",ROUNDUP(Y53/H53,0)*0.01898),"")</f>
        <v>0.72123999999999999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415.18518518518516</v>
      </c>
      <c r="BN53" s="64">
        <f t="shared" si="2"/>
        <v>425.98</v>
      </c>
      <c r="BO53" s="64">
        <f t="shared" si="3"/>
        <v>0.57870370370370372</v>
      </c>
      <c r="BP53" s="64">
        <f t="shared" si="4"/>
        <v>0.59375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9">
        <v>4680115880283</v>
      </c>
      <c r="E54" s="560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9">
        <v>4680115881525</v>
      </c>
      <c r="E55" s="560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9">
        <v>4680115885899</v>
      </c>
      <c r="E56" s="560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9">
        <v>4680115881419</v>
      </c>
      <c r="E57" s="560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540</v>
      </c>
      <c r="Y57" s="548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9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157.03703703703704</v>
      </c>
      <c r="Y58" s="549">
        <f>IFERROR(Y52/H52,"0")+IFERROR(Y53/H53,"0")+IFERROR(Y54/H54,"0")+IFERROR(Y55/H55,"0")+IFERROR(Y56/H56,"0")+IFERROR(Y57/H57,"0")</f>
        <v>158</v>
      </c>
      <c r="Z58" s="549">
        <f>IFERROR(IF(Z52="",0,Z52),"0")+IFERROR(IF(Z53="",0,Z53),"0")+IFERROR(IF(Z54="",0,Z54),"0")+IFERROR(IF(Z55="",0,Z55),"0")+IFERROR(IF(Z56="",0,Z56),"0")+IFERROR(IF(Z57="",0,Z57),"0")</f>
        <v>1.8036400000000001</v>
      </c>
      <c r="AA58" s="550"/>
      <c r="AB58" s="550"/>
      <c r="AC58" s="550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940</v>
      </c>
      <c r="Y59" s="549">
        <f>IFERROR(SUM(Y52:Y57),"0")</f>
        <v>950.40000000000009</v>
      </c>
      <c r="Z59" s="37"/>
      <c r="AA59" s="550"/>
      <c r="AB59" s="550"/>
      <c r="AC59" s="550"/>
    </row>
    <row r="60" spans="1:68" ht="14.25" customHeight="1" x14ac:dyDescent="0.25">
      <c r="A60" s="563" t="s">
        <v>137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9">
        <v>4680115881440</v>
      </c>
      <c r="E61" s="560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350</v>
      </c>
      <c r="Y61" s="548">
        <f>IFERROR(IF(X61="",0,CEILING((X61/$H61),1)*$H61),"")</f>
        <v>356.40000000000003</v>
      </c>
      <c r="Z61" s="36">
        <f>IFERROR(IF(Y61=0,"",ROUNDUP(Y61/H61,0)*0.01898),"")</f>
        <v>0.62634000000000001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363.28703703703707</v>
      </c>
      <c r="BN61" s="64">
        <f>IFERROR(Y61*I61/H61,"0")</f>
        <v>369.93</v>
      </c>
      <c r="BO61" s="64">
        <f>IFERROR(1/J61*(X61/H61),"0")</f>
        <v>0.5063657407407407</v>
      </c>
      <c r="BP61" s="64">
        <f>IFERROR(1/J61*(Y61/H61),"0")</f>
        <v>0.515625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9">
        <v>4680115885950</v>
      </c>
      <c r="E62" s="560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9">
        <v>4680115881433</v>
      </c>
      <c r="E63" s="560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225</v>
      </c>
      <c r="Y63" s="548">
        <f>IFERROR(IF(X63="",0,CEILING((X63/$H63),1)*$H63),"")</f>
        <v>226.8</v>
      </c>
      <c r="Z63" s="36">
        <f>IFERROR(IF(Y63=0,"",ROUNDUP(Y63/H63,0)*0.00651),"")</f>
        <v>0.54683999999999999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239.99999999999997</v>
      </c>
      <c r="BN63" s="64">
        <f>IFERROR(Y63*I63/H63,"0")</f>
        <v>241.91999999999996</v>
      </c>
      <c r="BO63" s="64">
        <f>IFERROR(1/J63*(X63/H63),"0")</f>
        <v>0.45787545787545786</v>
      </c>
      <c r="BP63" s="64">
        <f>IFERROR(1/J63*(Y63/H63),"0")</f>
        <v>0.46153846153846156</v>
      </c>
    </row>
    <row r="64" spans="1:68" x14ac:dyDescent="0.2">
      <c r="A64" s="569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115.74074074074073</v>
      </c>
      <c r="Y64" s="549">
        <f>IFERROR(Y61/H61,"0")+IFERROR(Y62/H62,"0")+IFERROR(Y63/H63,"0")</f>
        <v>117</v>
      </c>
      <c r="Z64" s="549">
        <f>IFERROR(IF(Z61="",0,Z61),"0")+IFERROR(IF(Z62="",0,Z62),"0")+IFERROR(IF(Z63="",0,Z63),"0")</f>
        <v>1.1731799999999999</v>
      </c>
      <c r="AA64" s="550"/>
      <c r="AB64" s="550"/>
      <c r="AC64" s="550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575</v>
      </c>
      <c r="Y65" s="549">
        <f>IFERROR(SUM(Y61:Y63),"0")</f>
        <v>583.20000000000005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9">
        <v>4680115885073</v>
      </c>
      <c r="E67" s="560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9">
        <v>4680115885097</v>
      </c>
      <c r="E68" s="560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9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63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9">
        <v>4680115885769</v>
      </c>
      <c r="E72" s="560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9">
        <v>4680115884311</v>
      </c>
      <c r="E73" s="560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9">
        <v>4680115885929</v>
      </c>
      <c r="E74" s="560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9">
        <v>4680115884403</v>
      </c>
      <c r="E75" s="560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9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63" t="s">
        <v>162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9">
        <v>4680115881532</v>
      </c>
      <c r="E79" s="560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110</v>
      </c>
      <c r="Y79" s="548">
        <f>IFERROR(IF(X79="",0,CEILING((X79/$H79),1)*$H79),"")</f>
        <v>117</v>
      </c>
      <c r="Z79" s="36">
        <f>IFERROR(IF(Y79=0,"",ROUNDUP(Y79/H79,0)*0.01898),"")</f>
        <v>0.28470000000000001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115.7820512820513</v>
      </c>
      <c r="BN79" s="64">
        <f>IFERROR(Y79*I79/H79,"0")</f>
        <v>123.15</v>
      </c>
      <c r="BO79" s="64">
        <f>IFERROR(1/J79*(X79/H79),"0")</f>
        <v>0.2203525641025641</v>
      </c>
      <c r="BP79" s="64">
        <f>IFERROR(1/J79*(Y79/H79),"0")</f>
        <v>0.234375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9">
        <v>4680115881464</v>
      </c>
      <c r="E80" s="560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49">
        <f>IFERROR(X79/H79,"0")+IFERROR(X80/H80,"0")</f>
        <v>14.102564102564102</v>
      </c>
      <c r="Y81" s="549">
        <f>IFERROR(Y79/H79,"0")+IFERROR(Y80/H80,"0")</f>
        <v>15</v>
      </c>
      <c r="Z81" s="549">
        <f>IFERROR(IF(Z79="",0,Z79),"0")+IFERROR(IF(Z80="",0,Z80),"0")</f>
        <v>0.28470000000000001</v>
      </c>
      <c r="AA81" s="550"/>
      <c r="AB81" s="550"/>
      <c r="AC81" s="550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49">
        <f>IFERROR(SUM(X79:X80),"0")</f>
        <v>110</v>
      </c>
      <c r="Y82" s="549">
        <f>IFERROR(SUM(Y79:Y80),"0")</f>
        <v>117</v>
      </c>
      <c r="Z82" s="37"/>
      <c r="AA82" s="550"/>
      <c r="AB82" s="550"/>
      <c r="AC82" s="550"/>
    </row>
    <row r="83" spans="1:68" ht="16.5" customHeight="1" x14ac:dyDescent="0.25">
      <c r="A83" s="561" t="s">
        <v>169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2"/>
      <c r="AB83" s="542"/>
      <c r="AC83" s="542"/>
    </row>
    <row r="84" spans="1:68" ht="14.25" customHeight="1" x14ac:dyDescent="0.25">
      <c r="A84" s="563" t="s">
        <v>101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9">
        <v>4680115881327</v>
      </c>
      <c r="E85" s="560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9">
        <v>4680115887732</v>
      </c>
      <c r="E86" s="560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9">
        <v>4680115881518</v>
      </c>
      <c r="E87" s="560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9">
        <v>4680115881303</v>
      </c>
      <c r="E88" s="560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180</v>
      </c>
      <c r="Y88" s="548">
        <f>IFERROR(IF(X88="",0,CEILING((X88/$H88),1)*$H88),"")</f>
        <v>180</v>
      </c>
      <c r="Z88" s="36">
        <f>IFERROR(IF(Y88=0,"",ROUNDUP(Y88/H88,0)*0.00902),"")</f>
        <v>0.36080000000000001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187.60000000000002</v>
      </c>
      <c r="BN88" s="64">
        <f>IFERROR(Y88*I88/H88,"0")</f>
        <v>187.60000000000002</v>
      </c>
      <c r="BO88" s="64">
        <f>IFERROR(1/J88*(X88/H88),"0")</f>
        <v>0.30303030303030304</v>
      </c>
      <c r="BP88" s="64">
        <f>IFERROR(1/J88*(Y88/H88),"0")</f>
        <v>0.30303030303030304</v>
      </c>
    </row>
    <row r="89" spans="1:68" x14ac:dyDescent="0.2">
      <c r="A89" s="569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49">
        <f>IFERROR(X85/H85,"0")+IFERROR(X86/H86,"0")+IFERROR(X87/H87,"0")+IFERROR(X88/H88,"0")</f>
        <v>40</v>
      </c>
      <c r="Y89" s="549">
        <f>IFERROR(Y85/H85,"0")+IFERROR(Y86/H86,"0")+IFERROR(Y87/H87,"0")+IFERROR(Y88/H88,"0")</f>
        <v>40</v>
      </c>
      <c r="Z89" s="549">
        <f>IFERROR(IF(Z85="",0,Z85),"0")+IFERROR(IF(Z86="",0,Z86),"0")+IFERROR(IF(Z87="",0,Z87),"0")+IFERROR(IF(Z88="",0,Z88),"0")</f>
        <v>0.36080000000000001</v>
      </c>
      <c r="AA89" s="550"/>
      <c r="AB89" s="550"/>
      <c r="AC89" s="550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49">
        <f>IFERROR(SUM(X85:X88),"0")</f>
        <v>180</v>
      </c>
      <c r="Y90" s="549">
        <f>IFERROR(SUM(Y85:Y88),"0")</f>
        <v>180</v>
      </c>
      <c r="Z90" s="37"/>
      <c r="AA90" s="550"/>
      <c r="AB90" s="550"/>
      <c r="AC90" s="550"/>
    </row>
    <row r="91" spans="1:68" ht="14.25" customHeight="1" x14ac:dyDescent="0.25">
      <c r="A91" s="563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9">
        <v>4607091386967</v>
      </c>
      <c r="E92" s="560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9">
        <v>4680115884953</v>
      </c>
      <c r="E93" s="560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9">
        <v>4607091385731</v>
      </c>
      <c r="E94" s="560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315</v>
      </c>
      <c r="Y94" s="548">
        <f>IFERROR(IF(X94="",0,CEILING((X94/$H94),1)*$H94),"")</f>
        <v>315.90000000000003</v>
      </c>
      <c r="Z94" s="36">
        <f>IFERROR(IF(Y94=0,"",ROUNDUP(Y94/H94,0)*0.00651),"")</f>
        <v>0.76167000000000007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344.4</v>
      </c>
      <c r="BN94" s="64">
        <f>IFERROR(Y94*I94/H94,"0")</f>
        <v>345.38400000000001</v>
      </c>
      <c r="BO94" s="64">
        <f>IFERROR(1/J94*(X94/H94),"0")</f>
        <v>0.64102564102564097</v>
      </c>
      <c r="BP94" s="64">
        <f>IFERROR(1/J94*(Y94/H94),"0")</f>
        <v>0.6428571428571429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59">
        <v>4680115880894</v>
      </c>
      <c r="E95" s="560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49">
        <f>IFERROR(X92/H92,"0")+IFERROR(X93/H93,"0")+IFERROR(X94/H94,"0")+IFERROR(X95/H95,"0")</f>
        <v>129.01234567901233</v>
      </c>
      <c r="Y96" s="549">
        <f>IFERROR(Y92/H92,"0")+IFERROR(Y93/H93,"0")+IFERROR(Y94/H94,"0")+IFERROR(Y95/H95,"0")</f>
        <v>130</v>
      </c>
      <c r="Z96" s="549">
        <f>IFERROR(IF(Z92="",0,Z92),"0")+IFERROR(IF(Z93="",0,Z93),"0")+IFERROR(IF(Z94="",0,Z94),"0")+IFERROR(IF(Z95="",0,Z95),"0")</f>
        <v>1.00841</v>
      </c>
      <c r="AA96" s="550"/>
      <c r="AB96" s="550"/>
      <c r="AC96" s="550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49">
        <f>IFERROR(SUM(X92:X95),"0")</f>
        <v>415</v>
      </c>
      <c r="Y97" s="549">
        <f>IFERROR(SUM(Y92:Y95),"0")</f>
        <v>421.20000000000005</v>
      </c>
      <c r="Z97" s="37"/>
      <c r="AA97" s="550"/>
      <c r="AB97" s="550"/>
      <c r="AC97" s="550"/>
    </row>
    <row r="98" spans="1:68" ht="16.5" customHeight="1" x14ac:dyDescent="0.25">
      <c r="A98" s="561" t="s">
        <v>192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2"/>
      <c r="AB98" s="542"/>
      <c r="AC98" s="542"/>
    </row>
    <row r="99" spans="1:68" ht="14.25" customHeight="1" x14ac:dyDescent="0.25">
      <c r="A99" s="563" t="s">
        <v>101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9">
        <v>4680115882133</v>
      </c>
      <c r="E100" s="560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59">
        <v>4680115887718</v>
      </c>
      <c r="E101" s="560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1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59">
        <v>4680115880269</v>
      </c>
      <c r="E102" s="560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9">
        <v>4680115880429</v>
      </c>
      <c r="E103" s="560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90</v>
      </c>
      <c r="Y103" s="548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59">
        <v>4680115881457</v>
      </c>
      <c r="E104" s="560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49">
        <f>IFERROR(X100/H100,"0")+IFERROR(X101/H101,"0")+IFERROR(X102/H102,"0")+IFERROR(X103/H103,"0")+IFERROR(X104/H104,"0")</f>
        <v>20</v>
      </c>
      <c r="Y105" s="549">
        <f>IFERROR(Y100/H100,"0")+IFERROR(Y101/H101,"0")+IFERROR(Y102/H102,"0")+IFERROR(Y103/H103,"0")+IFERROR(Y104/H104,"0")</f>
        <v>20</v>
      </c>
      <c r="Z105" s="549">
        <f>IFERROR(IF(Z100="",0,Z100),"0")+IFERROR(IF(Z101="",0,Z101),"0")+IFERROR(IF(Z102="",0,Z102),"0")+IFERROR(IF(Z103="",0,Z103),"0")+IFERROR(IF(Z104="",0,Z104),"0")</f>
        <v>0.1804</v>
      </c>
      <c r="AA105" s="550"/>
      <c r="AB105" s="550"/>
      <c r="AC105" s="550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49">
        <f>IFERROR(SUM(X100:X104),"0")</f>
        <v>90</v>
      </c>
      <c r="Y106" s="549">
        <f>IFERROR(SUM(Y100:Y104),"0")</f>
        <v>90</v>
      </c>
      <c r="Z106" s="37"/>
      <c r="AA106" s="550"/>
      <c r="AB106" s="550"/>
      <c r="AC106" s="550"/>
    </row>
    <row r="107" spans="1:68" ht="14.25" customHeight="1" x14ac:dyDescent="0.25">
      <c r="A107" s="563" t="s">
        <v>137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3"/>
      <c r="AB107" s="543"/>
      <c r="AC107" s="543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59">
        <v>4680115881488</v>
      </c>
      <c r="E108" s="560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59">
        <v>4680115887664</v>
      </c>
      <c r="E109" s="560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6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59">
        <v>4680115882775</v>
      </c>
      <c r="E110" s="560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59">
        <v>4680115880658</v>
      </c>
      <c r="E111" s="560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9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63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9">
        <v>4607091385168</v>
      </c>
      <c r="E115" s="560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500</v>
      </c>
      <c r="Y115" s="548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59">
        <v>4607091383256</v>
      </c>
      <c r="E116" s="560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9">
        <v>4607091385748</v>
      </c>
      <c r="E117" s="560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495</v>
      </c>
      <c r="Y117" s="548">
        <f>IFERROR(IF(X117="",0,CEILING((X117/$H117),1)*$H117),"")</f>
        <v>496.8</v>
      </c>
      <c r="Z117" s="36">
        <f>IFERROR(IF(Y117=0,"",ROUNDUP(Y117/H117,0)*0.00651),"")</f>
        <v>1.19784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541.19999999999993</v>
      </c>
      <c r="BN117" s="64">
        <f>IFERROR(Y117*I117/H117,"0")</f>
        <v>543.16800000000001</v>
      </c>
      <c r="BO117" s="64">
        <f>IFERROR(1/J117*(X117/H117),"0")</f>
        <v>1.0073260073260073</v>
      </c>
      <c r="BP117" s="64">
        <f>IFERROR(1/J117*(Y117/H117),"0")</f>
        <v>1.0109890109890112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9">
        <v>4680115884533</v>
      </c>
      <c r="E118" s="560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49">
        <f>IFERROR(X115/H115,"0")+IFERROR(X116/H116,"0")+IFERROR(X117/H117,"0")+IFERROR(X118/H118,"0")</f>
        <v>245.06172839506172</v>
      </c>
      <c r="Y119" s="549">
        <f>IFERROR(Y115/H115,"0")+IFERROR(Y116/H116,"0")+IFERROR(Y117/H117,"0")+IFERROR(Y118/H118,"0")</f>
        <v>246</v>
      </c>
      <c r="Z119" s="549">
        <f>IFERROR(IF(Z115="",0,Z115),"0")+IFERROR(IF(Z116="",0,Z116),"0")+IFERROR(IF(Z117="",0,Z117),"0")+IFERROR(IF(Z118="",0,Z118),"0")</f>
        <v>2.3746</v>
      </c>
      <c r="AA119" s="550"/>
      <c r="AB119" s="550"/>
      <c r="AC119" s="550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49">
        <f>IFERROR(SUM(X115:X118),"0")</f>
        <v>995</v>
      </c>
      <c r="Y120" s="549">
        <f>IFERROR(SUM(Y115:Y118),"0")</f>
        <v>999</v>
      </c>
      <c r="Z120" s="37"/>
      <c r="AA120" s="550"/>
      <c r="AB120" s="550"/>
      <c r="AC120" s="550"/>
    </row>
    <row r="121" spans="1:68" ht="14.25" customHeight="1" x14ac:dyDescent="0.25">
      <c r="A121" s="563" t="s">
        <v>162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9">
        <v>4680115880238</v>
      </c>
      <c r="E122" s="560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39.6</v>
      </c>
      <c r="Y122" s="548">
        <f>IFERROR(IF(X122="",0,CEILING((X122/$H122),1)*$H122),"")</f>
        <v>39.6</v>
      </c>
      <c r="Z122" s="36">
        <f>IFERROR(IF(Y122=0,"",ROUNDUP(Y122/H122,0)*0.00651),"")</f>
        <v>0.13020000000000001</v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44.760000000000005</v>
      </c>
      <c r="BN122" s="64">
        <f>IFERROR(Y122*I122/H122,"0")</f>
        <v>44.760000000000005</v>
      </c>
      <c r="BO122" s="64">
        <f>IFERROR(1/J122*(X122/H122),"0")</f>
        <v>0.1098901098901099</v>
      </c>
      <c r="BP122" s="64">
        <f>IFERROR(1/J122*(Y122/H122),"0")</f>
        <v>0.1098901098901099</v>
      </c>
    </row>
    <row r="123" spans="1:68" x14ac:dyDescent="0.2">
      <c r="A123" s="569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49">
        <f>IFERROR(X122/H122,"0")</f>
        <v>20</v>
      </c>
      <c r="Y123" s="549">
        <f>IFERROR(Y122/H122,"0")</f>
        <v>20</v>
      </c>
      <c r="Z123" s="549">
        <f>IFERROR(IF(Z122="",0,Z122),"0")</f>
        <v>0.13020000000000001</v>
      </c>
      <c r="AA123" s="550"/>
      <c r="AB123" s="550"/>
      <c r="AC123" s="550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49">
        <f>IFERROR(SUM(X122:X122),"0")</f>
        <v>39.6</v>
      </c>
      <c r="Y124" s="549">
        <f>IFERROR(SUM(Y122:Y122),"0")</f>
        <v>39.6</v>
      </c>
      <c r="Z124" s="37"/>
      <c r="AA124" s="550"/>
      <c r="AB124" s="550"/>
      <c r="AC124" s="550"/>
    </row>
    <row r="125" spans="1:68" ht="16.5" customHeight="1" x14ac:dyDescent="0.25">
      <c r="A125" s="561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2"/>
      <c r="AB125" s="542"/>
      <c r="AC125" s="542"/>
    </row>
    <row r="126" spans="1:68" ht="14.25" customHeight="1" x14ac:dyDescent="0.25">
      <c r="A126" s="563" t="s">
        <v>101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9">
        <v>4680115882577</v>
      </c>
      <c r="E127" s="560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40</v>
      </c>
      <c r="Y127" s="548">
        <f>IFERROR(IF(X127="",0,CEILING((X127/$H127),1)*$H127),"")</f>
        <v>41.6</v>
      </c>
      <c r="Z127" s="36">
        <f>IFERROR(IF(Y127=0,"",ROUNDUP(Y127/H127,0)*0.00651),"")</f>
        <v>8.4629999999999997E-2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42.249999999999993</v>
      </c>
      <c r="BN127" s="64">
        <f>IFERROR(Y127*I127/H127,"0")</f>
        <v>43.94</v>
      </c>
      <c r="BO127" s="64">
        <f>IFERROR(1/J127*(X127/H127),"0")</f>
        <v>6.8681318681318687E-2</v>
      </c>
      <c r="BP127" s="64">
        <f>IFERROR(1/J127*(Y127/H127),"0")</f>
        <v>7.1428571428571438E-2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9">
        <v>4680115882577</v>
      </c>
      <c r="E128" s="560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9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49">
        <f>IFERROR(X127/H127,"0")+IFERROR(X128/H128,"0")</f>
        <v>12.5</v>
      </c>
      <c r="Y129" s="549">
        <f>IFERROR(Y127/H127,"0")+IFERROR(Y128/H128,"0")</f>
        <v>13</v>
      </c>
      <c r="Z129" s="549">
        <f>IFERROR(IF(Z127="",0,Z127),"0")+IFERROR(IF(Z128="",0,Z128),"0")</f>
        <v>8.4629999999999997E-2</v>
      </c>
      <c r="AA129" s="550"/>
      <c r="AB129" s="550"/>
      <c r="AC129" s="550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49">
        <f>IFERROR(SUM(X127:X128),"0")</f>
        <v>40</v>
      </c>
      <c r="Y130" s="549">
        <f>IFERROR(SUM(Y127:Y128),"0")</f>
        <v>41.6</v>
      </c>
      <c r="Z130" s="37"/>
      <c r="AA130" s="550"/>
      <c r="AB130" s="550"/>
      <c r="AC130" s="550"/>
    </row>
    <row r="131" spans="1:68" ht="14.25" customHeight="1" x14ac:dyDescent="0.25">
      <c r="A131" s="563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9">
        <v>4680115883444</v>
      </c>
      <c r="E132" s="560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9">
        <v>4680115883444</v>
      </c>
      <c r="E133" s="560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2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9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63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9">
        <v>4680115882584</v>
      </c>
      <c r="E137" s="560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9">
        <v>4680115882584</v>
      </c>
      <c r="E138" s="560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49.5</v>
      </c>
      <c r="Y138" s="548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9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49">
        <f>IFERROR(X137/H137,"0")+IFERROR(X138/H138,"0")</f>
        <v>18.75</v>
      </c>
      <c r="Y139" s="549">
        <f>IFERROR(Y137/H137,"0")+IFERROR(Y138/H138,"0")</f>
        <v>19</v>
      </c>
      <c r="Z139" s="549">
        <f>IFERROR(IF(Z137="",0,Z137),"0")+IFERROR(IF(Z138="",0,Z138),"0")</f>
        <v>0.12369000000000001</v>
      </c>
      <c r="AA139" s="550"/>
      <c r="AB139" s="550"/>
      <c r="AC139" s="550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49">
        <f>IFERROR(SUM(X137:X138),"0")</f>
        <v>49.5</v>
      </c>
      <c r="Y140" s="549">
        <f>IFERROR(SUM(Y137:Y138),"0")</f>
        <v>50.160000000000004</v>
      </c>
      <c r="Z140" s="37"/>
      <c r="AA140" s="550"/>
      <c r="AB140" s="550"/>
      <c r="AC140" s="550"/>
    </row>
    <row r="141" spans="1:68" ht="16.5" customHeight="1" x14ac:dyDescent="0.25">
      <c r="A141" s="561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2"/>
      <c r="AB141" s="542"/>
      <c r="AC141" s="542"/>
    </row>
    <row r="142" spans="1:68" ht="14.25" customHeight="1" x14ac:dyDescent="0.25">
      <c r="A142" s="563" t="s">
        <v>101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9">
        <v>4680115887374</v>
      </c>
      <c r="E143" s="560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9">
        <v>4607091384604</v>
      </c>
      <c r="E144" s="560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9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63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8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9">
        <v>4680115887336</v>
      </c>
      <c r="E149" s="560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2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9">
        <v>4680115887398</v>
      </c>
      <c r="E150" s="560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78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9">
        <v>4607091387667</v>
      </c>
      <c r="E151" s="560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9">
        <v>4607091387636</v>
      </c>
      <c r="E152" s="560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9">
        <v>4607091382426</v>
      </c>
      <c r="E153" s="560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9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63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9">
        <v>4680115887459</v>
      </c>
      <c r="E157" s="560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9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1" t="s">
        <v>273</v>
      </c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42"/>
      <c r="P160" s="642"/>
      <c r="Q160" s="642"/>
      <c r="R160" s="642"/>
      <c r="S160" s="642"/>
      <c r="T160" s="642"/>
      <c r="U160" s="642"/>
      <c r="V160" s="642"/>
      <c r="W160" s="642"/>
      <c r="X160" s="642"/>
      <c r="Y160" s="642"/>
      <c r="Z160" s="642"/>
      <c r="AA160" s="48"/>
      <c r="AB160" s="48"/>
      <c r="AC160" s="48"/>
    </row>
    <row r="161" spans="1:68" ht="16.5" customHeight="1" x14ac:dyDescent="0.25">
      <c r="A161" s="561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2"/>
      <c r="AB161" s="542"/>
      <c r="AC161" s="542"/>
    </row>
    <row r="162" spans="1:68" ht="14.25" customHeight="1" x14ac:dyDescent="0.25">
      <c r="A162" s="563" t="s">
        <v>137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9">
        <v>4680115886223</v>
      </c>
      <c r="E163" s="560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9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63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9">
        <v>4680115880993</v>
      </c>
      <c r="E167" s="560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60</v>
      </c>
      <c r="Y167" s="548">
        <f t="shared" ref="Y167:Y178" si="10">IFERROR(IF(X167="",0,CEILING((X167/$H167),1)*$H167),"")</f>
        <v>63</v>
      </c>
      <c r="Z167" s="36">
        <f>IFERROR(IF(Y167=0,"",ROUNDUP(Y167/H167,0)*0.00902),"")</f>
        <v>0.1353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63.571428571428569</v>
      </c>
      <c r="BN167" s="64">
        <f t="shared" ref="BN167:BN178" si="12">IFERROR(Y167*I167/H167,"0")</f>
        <v>66.75</v>
      </c>
      <c r="BO167" s="64">
        <f t="shared" ref="BO167:BO178" si="13">IFERROR(1/J167*(X167/H167),"0")</f>
        <v>0.10822510822510822</v>
      </c>
      <c r="BP167" s="64">
        <f t="shared" ref="BP167:BP178" si="14">IFERROR(1/J167*(Y167/H167),"0")</f>
        <v>0.11363636363636365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9">
        <v>4680115881761</v>
      </c>
      <c r="E168" s="560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20</v>
      </c>
      <c r="Y168" s="548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21.19047619047619</v>
      </c>
      <c r="BN168" s="64">
        <f t="shared" si="12"/>
        <v>22.25</v>
      </c>
      <c r="BO168" s="64">
        <f t="shared" si="13"/>
        <v>3.6075036075036072E-2</v>
      </c>
      <c r="BP168" s="64">
        <f t="shared" si="14"/>
        <v>3.787878787878788E-2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9">
        <v>4680115881563</v>
      </c>
      <c r="E169" s="560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150</v>
      </c>
      <c r="Y169" s="548">
        <f t="shared" si="10"/>
        <v>151.20000000000002</v>
      </c>
      <c r="Z169" s="36">
        <f>IFERROR(IF(Y169=0,"",ROUNDUP(Y169/H169,0)*0.00902),"")</f>
        <v>0.32472000000000001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156.78571428571428</v>
      </c>
      <c r="BN169" s="64">
        <f t="shared" si="12"/>
        <v>158.04</v>
      </c>
      <c r="BO169" s="64">
        <f t="shared" si="13"/>
        <v>0.27056277056277056</v>
      </c>
      <c r="BP169" s="64">
        <f t="shared" si="14"/>
        <v>0.27272727272727271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9">
        <v>4680115887565</v>
      </c>
      <c r="E170" s="560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9">
        <v>4680115880986</v>
      </c>
      <c r="E171" s="560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35</v>
      </c>
      <c r="Y171" s="548">
        <f t="shared" si="10"/>
        <v>35.700000000000003</v>
      </c>
      <c r="Z171" s="36">
        <f>IFERROR(IF(Y171=0,"",ROUNDUP(Y171/H171,0)*0.00502),"")</f>
        <v>8.5339999999999999E-2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37.166666666666664</v>
      </c>
      <c r="BN171" s="64">
        <f t="shared" si="12"/>
        <v>37.910000000000004</v>
      </c>
      <c r="BO171" s="64">
        <f t="shared" si="13"/>
        <v>7.1225071225071226E-2</v>
      </c>
      <c r="BP171" s="64">
        <f t="shared" si="14"/>
        <v>7.2649572649572655E-2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9">
        <v>4680115887213</v>
      </c>
      <c r="E172" s="560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9">
        <v>4680115881785</v>
      </c>
      <c r="E173" s="560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52.5</v>
      </c>
      <c r="Y173" s="548">
        <f t="shared" si="10"/>
        <v>52.5</v>
      </c>
      <c r="Z173" s="36">
        <f>IFERROR(IF(Y173=0,"",ROUNDUP(Y173/H173,0)*0.00502),"")</f>
        <v>0.1255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55.75</v>
      </c>
      <c r="BN173" s="64">
        <f t="shared" si="12"/>
        <v>55.75</v>
      </c>
      <c r="BO173" s="64">
        <f t="shared" si="13"/>
        <v>0.10683760683760685</v>
      </c>
      <c r="BP173" s="64">
        <f t="shared" si="14"/>
        <v>0.10683760683760685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9">
        <v>4680115886537</v>
      </c>
      <c r="E174" s="560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9">
        <v>4680115887596</v>
      </c>
      <c r="E175" s="560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9">
        <v>4680115881679</v>
      </c>
      <c r="E176" s="560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105</v>
      </c>
      <c r="Y176" s="548">
        <f t="shared" si="10"/>
        <v>105</v>
      </c>
      <c r="Z176" s="36">
        <f>IFERROR(IF(Y176=0,"",ROUNDUP(Y176/H176,0)*0.00502),"")</f>
        <v>0.251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110.00000000000001</v>
      </c>
      <c r="BN176" s="64">
        <f t="shared" si="12"/>
        <v>110.00000000000001</v>
      </c>
      <c r="BO176" s="64">
        <f t="shared" si="13"/>
        <v>0.21367521367521369</v>
      </c>
      <c r="BP176" s="64">
        <f t="shared" si="14"/>
        <v>0.21367521367521369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9">
        <v>4680115880191</v>
      </c>
      <c r="E177" s="560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9">
        <v>4680115883963</v>
      </c>
      <c r="E178" s="560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9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70"/>
      <c r="P179" s="564" t="s">
        <v>75</v>
      </c>
      <c r="Q179" s="565"/>
      <c r="R179" s="565"/>
      <c r="S179" s="565"/>
      <c r="T179" s="565"/>
      <c r="U179" s="565"/>
      <c r="V179" s="566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146.42857142857142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148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0.96695999999999993</v>
      </c>
      <c r="AA179" s="550"/>
      <c r="AB179" s="550"/>
      <c r="AC179" s="550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70"/>
      <c r="P180" s="564" t="s">
        <v>75</v>
      </c>
      <c r="Q180" s="565"/>
      <c r="R180" s="565"/>
      <c r="S180" s="565"/>
      <c r="T180" s="565"/>
      <c r="U180" s="565"/>
      <c r="V180" s="566"/>
      <c r="W180" s="37" t="s">
        <v>69</v>
      </c>
      <c r="X180" s="549">
        <f>IFERROR(SUM(X167:X178),"0")</f>
        <v>422.5</v>
      </c>
      <c r="Y180" s="549">
        <f>IFERROR(SUM(Y167:Y178),"0")</f>
        <v>428.40000000000003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9">
        <v>4680115886780</v>
      </c>
      <c r="E182" s="560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10.5</v>
      </c>
      <c r="Y182" s="548">
        <f>IFERROR(IF(X182="",0,CEILING((X182/$H182),1)*$H182),"")</f>
        <v>11.34</v>
      </c>
      <c r="Z182" s="36">
        <f>IFERROR(IF(Y182=0,"",ROUNDUP(Y182/H182,0)*0.0059),"")</f>
        <v>5.3100000000000001E-2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12.083333333333332</v>
      </c>
      <c r="BN182" s="64">
        <f>IFERROR(Y182*I182/H182,"0")</f>
        <v>13.049999999999999</v>
      </c>
      <c r="BO182" s="64">
        <f>IFERROR(1/J182*(X182/H182),"0")</f>
        <v>3.8580246913580245E-2</v>
      </c>
      <c r="BP182" s="64">
        <f>IFERROR(1/J182*(Y182/H182),"0")</f>
        <v>4.1666666666666664E-2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9">
        <v>4680115886742</v>
      </c>
      <c r="E183" s="560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7.0000000000000009</v>
      </c>
      <c r="Y183" s="548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9">
        <v>4680115886766</v>
      </c>
      <c r="E184" s="560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17.5</v>
      </c>
      <c r="Y184" s="548">
        <f>IFERROR(IF(X184="",0,CEILING((X184/$H184),1)*$H184),"")</f>
        <v>17.64</v>
      </c>
      <c r="Z184" s="36">
        <f>IFERROR(IF(Y184=0,"",ROUNDUP(Y184/H184,0)*0.0059),"")</f>
        <v>8.2599999999999993E-2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20.138888888888889</v>
      </c>
      <c r="BN184" s="64">
        <f>IFERROR(Y184*I184/H184,"0")</f>
        <v>20.3</v>
      </c>
      <c r="BO184" s="64">
        <f>IFERROR(1/J184*(X184/H184),"0")</f>
        <v>6.4300411522633744E-2</v>
      </c>
      <c r="BP184" s="64">
        <f>IFERROR(1/J184*(Y184/H184),"0")</f>
        <v>6.4814814814814811E-2</v>
      </c>
    </row>
    <row r="185" spans="1:68" x14ac:dyDescent="0.2">
      <c r="A185" s="569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70"/>
      <c r="P185" s="564" t="s">
        <v>75</v>
      </c>
      <c r="Q185" s="565"/>
      <c r="R185" s="565"/>
      <c r="S185" s="565"/>
      <c r="T185" s="565"/>
      <c r="U185" s="565"/>
      <c r="V185" s="566"/>
      <c r="W185" s="37" t="s">
        <v>76</v>
      </c>
      <c r="X185" s="549">
        <f>IFERROR(X182/H182,"0")+IFERROR(X183/H183,"0")+IFERROR(X184/H184,"0")</f>
        <v>27.777777777777779</v>
      </c>
      <c r="Y185" s="549">
        <f>IFERROR(Y182/H182,"0")+IFERROR(Y183/H183,"0")+IFERROR(Y184/H184,"0")</f>
        <v>29</v>
      </c>
      <c r="Z185" s="549">
        <f>IFERROR(IF(Z182="",0,Z182),"0")+IFERROR(IF(Z183="",0,Z183),"0")+IFERROR(IF(Z184="",0,Z184),"0")</f>
        <v>0.17109999999999997</v>
      </c>
      <c r="AA185" s="550"/>
      <c r="AB185" s="550"/>
      <c r="AC185" s="550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70"/>
      <c r="P186" s="564" t="s">
        <v>75</v>
      </c>
      <c r="Q186" s="565"/>
      <c r="R186" s="565"/>
      <c r="S186" s="565"/>
      <c r="T186" s="565"/>
      <c r="U186" s="565"/>
      <c r="V186" s="566"/>
      <c r="W186" s="37" t="s">
        <v>69</v>
      </c>
      <c r="X186" s="549">
        <f>IFERROR(SUM(X182:X184),"0")</f>
        <v>35</v>
      </c>
      <c r="Y186" s="549">
        <f>IFERROR(SUM(Y182:Y184),"0")</f>
        <v>36.54</v>
      </c>
      <c r="Z186" s="37"/>
      <c r="AA186" s="550"/>
      <c r="AB186" s="550"/>
      <c r="AC186" s="550"/>
    </row>
    <row r="187" spans="1:68" ht="14.25" customHeight="1" x14ac:dyDescent="0.25">
      <c r="A187" s="563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9">
        <v>4680115886797</v>
      </c>
      <c r="E188" s="560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9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70"/>
      <c r="P189" s="564" t="s">
        <v>75</v>
      </c>
      <c r="Q189" s="565"/>
      <c r="R189" s="565"/>
      <c r="S189" s="565"/>
      <c r="T189" s="565"/>
      <c r="U189" s="565"/>
      <c r="V189" s="566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70"/>
      <c r="P190" s="564" t="s">
        <v>75</v>
      </c>
      <c r="Q190" s="565"/>
      <c r="R190" s="565"/>
      <c r="S190" s="565"/>
      <c r="T190" s="565"/>
      <c r="U190" s="565"/>
      <c r="V190" s="566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1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2"/>
      <c r="AB191" s="542"/>
      <c r="AC191" s="542"/>
    </row>
    <row r="192" spans="1:68" ht="14.25" customHeight="1" x14ac:dyDescent="0.25">
      <c r="A192" s="563" t="s">
        <v>101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9">
        <v>4680115881402</v>
      </c>
      <c r="E193" s="560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9">
        <v>4680115881396</v>
      </c>
      <c r="E194" s="560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9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70"/>
      <c r="P195" s="564" t="s">
        <v>75</v>
      </c>
      <c r="Q195" s="565"/>
      <c r="R195" s="565"/>
      <c r="S195" s="565"/>
      <c r="T195" s="565"/>
      <c r="U195" s="565"/>
      <c r="V195" s="566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70"/>
      <c r="P196" s="564" t="s">
        <v>75</v>
      </c>
      <c r="Q196" s="565"/>
      <c r="R196" s="565"/>
      <c r="S196" s="565"/>
      <c r="T196" s="565"/>
      <c r="U196" s="565"/>
      <c r="V196" s="566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137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9">
        <v>4680115882935</v>
      </c>
      <c r="E198" s="560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9">
        <v>4680115880764</v>
      </c>
      <c r="E199" s="560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9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70"/>
      <c r="P200" s="564" t="s">
        <v>75</v>
      </c>
      <c r="Q200" s="565"/>
      <c r="R200" s="565"/>
      <c r="S200" s="565"/>
      <c r="T200" s="565"/>
      <c r="U200" s="565"/>
      <c r="V200" s="566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70"/>
      <c r="P201" s="564" t="s">
        <v>75</v>
      </c>
      <c r="Q201" s="565"/>
      <c r="R201" s="565"/>
      <c r="S201" s="565"/>
      <c r="T201" s="565"/>
      <c r="U201" s="565"/>
      <c r="V201" s="566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9">
        <v>4680115882683</v>
      </c>
      <c r="E203" s="560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9">
        <v>4680115882690</v>
      </c>
      <c r="E204" s="560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50</v>
      </c>
      <c r="Y204" s="548">
        <f t="shared" si="15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51.759259259259252</v>
      </c>
      <c r="BN204" s="64">
        <f t="shared" si="17"/>
        <v>55.9</v>
      </c>
      <c r="BO204" s="64">
        <f t="shared" si="18"/>
        <v>7.0145903479236812E-2</v>
      </c>
      <c r="BP204" s="64">
        <f t="shared" si="19"/>
        <v>7.575757575757576E-2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9">
        <v>4680115882669</v>
      </c>
      <c r="E205" s="560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100</v>
      </c>
      <c r="Y205" s="548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9">
        <v>4680115882676</v>
      </c>
      <c r="E206" s="560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80</v>
      </c>
      <c r="Y206" s="548">
        <f t="shared" si="15"/>
        <v>81</v>
      </c>
      <c r="Z206" s="36">
        <f>IFERROR(IF(Y206=0,"",ROUNDUP(Y206/H206,0)*0.00902),"")</f>
        <v>0.1353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82.81481481481481</v>
      </c>
      <c r="BN206" s="64">
        <f t="shared" si="17"/>
        <v>83.85</v>
      </c>
      <c r="BO206" s="64">
        <f t="shared" si="18"/>
        <v>0.11223344556677889</v>
      </c>
      <c r="BP206" s="64">
        <f t="shared" si="19"/>
        <v>0.11363636363636363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9">
        <v>4680115884014</v>
      </c>
      <c r="E207" s="560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105</v>
      </c>
      <c r="Y207" s="548">
        <f t="shared" si="15"/>
        <v>106.2</v>
      </c>
      <c r="Z207" s="36">
        <f>IFERROR(IF(Y207=0,"",ROUNDUP(Y207/H207,0)*0.00502),"")</f>
        <v>0.29618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112.58333333333333</v>
      </c>
      <c r="BN207" s="64">
        <f t="shared" si="17"/>
        <v>113.87</v>
      </c>
      <c r="BO207" s="64">
        <f t="shared" si="18"/>
        <v>0.2492877492877493</v>
      </c>
      <c r="BP207" s="64">
        <f t="shared" si="19"/>
        <v>0.25213675213675218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9">
        <v>4680115884007</v>
      </c>
      <c r="E208" s="560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54</v>
      </c>
      <c r="Y208" s="548">
        <f t="shared" si="15"/>
        <v>54</v>
      </c>
      <c r="Z208" s="36">
        <f>IFERROR(IF(Y208=0,"",ROUNDUP(Y208/H208,0)*0.00502),"")</f>
        <v>0.15060000000000001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56.999999999999993</v>
      </c>
      <c r="BN208" s="64">
        <f t="shared" si="17"/>
        <v>56.999999999999993</v>
      </c>
      <c r="BO208" s="64">
        <f t="shared" si="18"/>
        <v>0.12820512820512822</v>
      </c>
      <c r="BP208" s="64">
        <f t="shared" si="19"/>
        <v>0.12820512820512822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9">
        <v>4680115884038</v>
      </c>
      <c r="E209" s="560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75</v>
      </c>
      <c r="Y209" s="548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79.166666666666671</v>
      </c>
      <c r="BN209" s="64">
        <f t="shared" si="17"/>
        <v>79.800000000000011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9">
        <v>4680115884021</v>
      </c>
      <c r="E210" s="560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54</v>
      </c>
      <c r="Y210" s="548">
        <f t="shared" si="15"/>
        <v>54</v>
      </c>
      <c r="Z210" s="36">
        <f>IFERROR(IF(Y210=0,"",ROUNDUP(Y210/H210,0)*0.00502),"")</f>
        <v>0.15060000000000001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56.999999999999993</v>
      </c>
      <c r="BN210" s="64">
        <f t="shared" si="17"/>
        <v>56.999999999999993</v>
      </c>
      <c r="BO210" s="64">
        <f t="shared" si="18"/>
        <v>0.12820512820512822</v>
      </c>
      <c r="BP210" s="64">
        <f t="shared" si="19"/>
        <v>0.12820512820512822</v>
      </c>
    </row>
    <row r="211" spans="1:68" x14ac:dyDescent="0.2">
      <c r="A211" s="569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70"/>
      <c r="P211" s="564" t="s">
        <v>75</v>
      </c>
      <c r="Q211" s="565"/>
      <c r="R211" s="565"/>
      <c r="S211" s="565"/>
      <c r="T211" s="565"/>
      <c r="U211" s="565"/>
      <c r="V211" s="566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239.62962962962959</v>
      </c>
      <c r="Y211" s="549">
        <f>IFERROR(Y203/H203,"0")+IFERROR(Y204/H204,"0")+IFERROR(Y205/H205,"0")+IFERROR(Y206/H206,"0")+IFERROR(Y207/H207,"0")+IFERROR(Y208/H208,"0")+IFERROR(Y209/H209,"0")+IFERROR(Y210/H210,"0")</f>
        <v>243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1.54786</v>
      </c>
      <c r="AA211" s="550"/>
      <c r="AB211" s="550"/>
      <c r="AC211" s="550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70"/>
      <c r="P212" s="564" t="s">
        <v>75</v>
      </c>
      <c r="Q212" s="565"/>
      <c r="R212" s="565"/>
      <c r="S212" s="565"/>
      <c r="T212" s="565"/>
      <c r="U212" s="565"/>
      <c r="V212" s="566"/>
      <c r="W212" s="37" t="s">
        <v>69</v>
      </c>
      <c r="X212" s="549">
        <f>IFERROR(SUM(X203:X210),"0")</f>
        <v>718</v>
      </c>
      <c r="Y212" s="549">
        <f>IFERROR(SUM(Y203:Y210),"0")</f>
        <v>732.60000000000014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9">
        <v>4680115881594</v>
      </c>
      <c r="E214" s="560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1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9">
        <v>4680115881617</v>
      </c>
      <c r="E215" s="560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9">
        <v>4680115880573</v>
      </c>
      <c r="E216" s="560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150</v>
      </c>
      <c r="Y216" s="548">
        <f t="shared" si="20"/>
        <v>156.6</v>
      </c>
      <c r="Z216" s="36">
        <f>IFERROR(IF(Y216=0,"",ROUNDUP(Y216/H216,0)*0.01898),"")</f>
        <v>0.34164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158.51724137931038</v>
      </c>
      <c r="BN216" s="64">
        <f t="shared" si="22"/>
        <v>165.49200000000002</v>
      </c>
      <c r="BO216" s="64">
        <f t="shared" si="23"/>
        <v>0.26939655172413796</v>
      </c>
      <c r="BP216" s="64">
        <f t="shared" si="24"/>
        <v>0.28125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9">
        <v>4680115882195</v>
      </c>
      <c r="E217" s="560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160</v>
      </c>
      <c r="Y217" s="548">
        <f t="shared" si="20"/>
        <v>160.79999999999998</v>
      </c>
      <c r="Z217" s="36">
        <f t="shared" ref="Z217:Z222" si="25">IFERROR(IF(Y217=0,"",ROUNDUP(Y217/H217,0)*0.00651),"")</f>
        <v>0.43617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178</v>
      </c>
      <c r="BN217" s="64">
        <f t="shared" si="22"/>
        <v>178.89</v>
      </c>
      <c r="BO217" s="64">
        <f t="shared" si="23"/>
        <v>0.36630036630036633</v>
      </c>
      <c r="BP217" s="64">
        <f t="shared" si="24"/>
        <v>0.36813186813186816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9">
        <v>4680115882607</v>
      </c>
      <c r="E218" s="560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9">
        <v>4680115880092</v>
      </c>
      <c r="E219" s="560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40</v>
      </c>
      <c r="Y219" s="548">
        <f t="shared" si="20"/>
        <v>40.799999999999997</v>
      </c>
      <c r="Z219" s="36">
        <f t="shared" si="25"/>
        <v>0.11067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44.20000000000001</v>
      </c>
      <c r="BN219" s="64">
        <f t="shared" si="22"/>
        <v>45.084000000000003</v>
      </c>
      <c r="BO219" s="64">
        <f t="shared" si="23"/>
        <v>9.1575091575091583E-2</v>
      </c>
      <c r="BP219" s="64">
        <f t="shared" si="24"/>
        <v>9.3406593406593408E-2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9">
        <v>4680115880221</v>
      </c>
      <c r="E220" s="560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9">
        <v>4680115880504</v>
      </c>
      <c r="E221" s="560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40</v>
      </c>
      <c r="Y221" s="548">
        <f t="shared" si="20"/>
        <v>40.799999999999997</v>
      </c>
      <c r="Z221" s="36">
        <f t="shared" si="25"/>
        <v>0.11067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44.20000000000001</v>
      </c>
      <c r="BN221" s="64">
        <f t="shared" si="22"/>
        <v>45.084000000000003</v>
      </c>
      <c r="BO221" s="64">
        <f t="shared" si="23"/>
        <v>9.1575091575091583E-2</v>
      </c>
      <c r="BP221" s="64">
        <f t="shared" si="24"/>
        <v>9.3406593406593408E-2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9">
        <v>4680115882164</v>
      </c>
      <c r="E222" s="560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100</v>
      </c>
      <c r="Y222" s="548">
        <f t="shared" si="20"/>
        <v>100.8</v>
      </c>
      <c r="Z222" s="36">
        <f t="shared" si="25"/>
        <v>0.27342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110.75000000000001</v>
      </c>
      <c r="BN222" s="64">
        <f t="shared" si="22"/>
        <v>111.63600000000001</v>
      </c>
      <c r="BO222" s="64">
        <f t="shared" si="23"/>
        <v>0.22893772893772898</v>
      </c>
      <c r="BP222" s="64">
        <f t="shared" si="24"/>
        <v>0.23076923076923078</v>
      </c>
    </row>
    <row r="223" spans="1:68" x14ac:dyDescent="0.2">
      <c r="A223" s="569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70"/>
      <c r="P223" s="564" t="s">
        <v>75</v>
      </c>
      <c r="Q223" s="565"/>
      <c r="R223" s="565"/>
      <c r="S223" s="565"/>
      <c r="T223" s="565"/>
      <c r="U223" s="565"/>
      <c r="V223" s="566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158.90804597701151</v>
      </c>
      <c r="Y223" s="549">
        <f>IFERROR(Y214/H214,"0")+IFERROR(Y215/H215,"0")+IFERROR(Y216/H216,"0")+IFERROR(Y217/H217,"0")+IFERROR(Y218/H218,"0")+IFERROR(Y219/H219,"0")+IFERROR(Y220/H220,"0")+IFERROR(Y221/H221,"0")+IFERROR(Y222/H222,"0")</f>
        <v>161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1.27257</v>
      </c>
      <c r="AA223" s="550"/>
      <c r="AB223" s="550"/>
      <c r="AC223" s="550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70"/>
      <c r="P224" s="564" t="s">
        <v>75</v>
      </c>
      <c r="Q224" s="565"/>
      <c r="R224" s="565"/>
      <c r="S224" s="565"/>
      <c r="T224" s="565"/>
      <c r="U224" s="565"/>
      <c r="V224" s="566"/>
      <c r="W224" s="37" t="s">
        <v>69</v>
      </c>
      <c r="X224" s="549">
        <f>IFERROR(SUM(X214:X222),"0")</f>
        <v>490</v>
      </c>
      <c r="Y224" s="549">
        <f>IFERROR(SUM(Y214:Y222),"0")</f>
        <v>499.8</v>
      </c>
      <c r="Z224" s="37"/>
      <c r="AA224" s="550"/>
      <c r="AB224" s="550"/>
      <c r="AC224" s="550"/>
    </row>
    <row r="225" spans="1:68" ht="14.25" customHeight="1" x14ac:dyDescent="0.25">
      <c r="A225" s="563" t="s">
        <v>162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9">
        <v>4680115880818</v>
      </c>
      <c r="E226" s="560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20</v>
      </c>
      <c r="Y226" s="548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9">
        <v>4680115880801</v>
      </c>
      <c r="E227" s="560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60</v>
      </c>
      <c r="Y227" s="548">
        <f>IFERROR(IF(X227="",0,CEILING((X227/$H227),1)*$H227),"")</f>
        <v>60</v>
      </c>
      <c r="Z227" s="36">
        <f>IFERROR(IF(Y227=0,"",ROUNDUP(Y227/H227,0)*0.00651),"")</f>
        <v>0.16275000000000001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66.300000000000011</v>
      </c>
      <c r="BN227" s="64">
        <f>IFERROR(Y227*I227/H227,"0")</f>
        <v>66.300000000000011</v>
      </c>
      <c r="BO227" s="64">
        <f>IFERROR(1/J227*(X227/H227),"0")</f>
        <v>0.13736263736263737</v>
      </c>
      <c r="BP227" s="64">
        <f>IFERROR(1/J227*(Y227/H227),"0")</f>
        <v>0.13736263736263737</v>
      </c>
    </row>
    <row r="228" spans="1:68" x14ac:dyDescent="0.2">
      <c r="A228" s="569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70"/>
      <c r="P228" s="564" t="s">
        <v>75</v>
      </c>
      <c r="Q228" s="565"/>
      <c r="R228" s="565"/>
      <c r="S228" s="565"/>
      <c r="T228" s="565"/>
      <c r="U228" s="565"/>
      <c r="V228" s="566"/>
      <c r="W228" s="37" t="s">
        <v>76</v>
      </c>
      <c r="X228" s="549">
        <f>IFERROR(X226/H226,"0")+IFERROR(X227/H227,"0")</f>
        <v>33.333333333333336</v>
      </c>
      <c r="Y228" s="549">
        <f>IFERROR(Y226/H226,"0")+IFERROR(Y227/H227,"0")</f>
        <v>34</v>
      </c>
      <c r="Z228" s="549">
        <f>IFERROR(IF(Z226="",0,Z226),"0")+IFERROR(IF(Z227="",0,Z227),"0")</f>
        <v>0.22134000000000001</v>
      </c>
      <c r="AA228" s="550"/>
      <c r="AB228" s="550"/>
      <c r="AC228" s="550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70"/>
      <c r="P229" s="564" t="s">
        <v>75</v>
      </c>
      <c r="Q229" s="565"/>
      <c r="R229" s="565"/>
      <c r="S229" s="565"/>
      <c r="T229" s="565"/>
      <c r="U229" s="565"/>
      <c r="V229" s="566"/>
      <c r="W229" s="37" t="s">
        <v>69</v>
      </c>
      <c r="X229" s="549">
        <f>IFERROR(SUM(X226:X227),"0")</f>
        <v>80</v>
      </c>
      <c r="Y229" s="549">
        <f>IFERROR(SUM(Y226:Y227),"0")</f>
        <v>81.599999999999994</v>
      </c>
      <c r="Z229" s="37"/>
      <c r="AA229" s="550"/>
      <c r="AB229" s="550"/>
      <c r="AC229" s="550"/>
    </row>
    <row r="230" spans="1:68" ht="16.5" customHeight="1" x14ac:dyDescent="0.25">
      <c r="A230" s="561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2"/>
      <c r="AB230" s="542"/>
      <c r="AC230" s="542"/>
    </row>
    <row r="231" spans="1:68" ht="14.25" customHeight="1" x14ac:dyDescent="0.25">
      <c r="A231" s="563" t="s">
        <v>101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9">
        <v>4680115884137</v>
      </c>
      <c r="E232" s="560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7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9">
        <v>4680115884236</v>
      </c>
      <c r="E233" s="560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9">
        <v>4680115884175</v>
      </c>
      <c r="E234" s="560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150</v>
      </c>
      <c r="Y234" s="548">
        <f t="shared" si="26"/>
        <v>150.79999999999998</v>
      </c>
      <c r="Z234" s="36">
        <f>IFERROR(IF(Y234=0,"",ROUNDUP(Y234/H234,0)*0.01898),"")</f>
        <v>0.24674000000000001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155.30172413793105</v>
      </c>
      <c r="BN234" s="64">
        <f t="shared" si="28"/>
        <v>156.12999999999997</v>
      </c>
      <c r="BO234" s="64">
        <f t="shared" si="29"/>
        <v>0.20204741379310345</v>
      </c>
      <c r="BP234" s="64">
        <f t="shared" si="30"/>
        <v>0.20312499999999997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9">
        <v>4680115884144</v>
      </c>
      <c r="E235" s="560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12</v>
      </c>
      <c r="Y235" s="548">
        <f t="shared" si="26"/>
        <v>12</v>
      </c>
      <c r="Z235" s="36">
        <f>IFERROR(IF(Y235=0,"",ROUNDUP(Y235/H235,0)*0.00902),"")</f>
        <v>2.7060000000000001E-2</v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12.57</v>
      </c>
      <c r="BN235" s="64">
        <f t="shared" si="28"/>
        <v>12.57</v>
      </c>
      <c r="BO235" s="64">
        <f t="shared" si="29"/>
        <v>2.2727272727272728E-2</v>
      </c>
      <c r="BP235" s="64">
        <f t="shared" si="30"/>
        <v>2.2727272727272728E-2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9">
        <v>4680115884144</v>
      </c>
      <c r="E236" s="560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9">
        <v>4680115886551</v>
      </c>
      <c r="E237" s="560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9">
        <v>4680115887282</v>
      </c>
      <c r="E238" s="560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9">
        <v>4680115884205</v>
      </c>
      <c r="E239" s="560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40</v>
      </c>
      <c r="Y239" s="548">
        <f t="shared" si="26"/>
        <v>40</v>
      </c>
      <c r="Z239" s="36">
        <f>IFERROR(IF(Y239=0,"",ROUNDUP(Y239/H239,0)*0.00902),"")</f>
        <v>9.0200000000000002E-2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41.900000000000006</v>
      </c>
      <c r="BN239" s="64">
        <f t="shared" si="28"/>
        <v>41.900000000000006</v>
      </c>
      <c r="BO239" s="64">
        <f t="shared" si="29"/>
        <v>7.575757575757576E-2</v>
      </c>
      <c r="BP239" s="64">
        <f t="shared" si="30"/>
        <v>7.575757575757576E-2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9">
        <v>4680115884205</v>
      </c>
      <c r="E240" s="560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9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70"/>
      <c r="P241" s="564" t="s">
        <v>75</v>
      </c>
      <c r="Q241" s="565"/>
      <c r="R241" s="565"/>
      <c r="S241" s="565"/>
      <c r="T241" s="565"/>
      <c r="U241" s="565"/>
      <c r="V241" s="566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25.931034482758619</v>
      </c>
      <c r="Y241" s="549">
        <f>IFERROR(Y232/H232,"0")+IFERROR(Y233/H233,"0")+IFERROR(Y234/H234,"0")+IFERROR(Y235/H235,"0")+IFERROR(Y236/H236,"0")+IFERROR(Y237/H237,"0")+IFERROR(Y238/H238,"0")+IFERROR(Y239/H239,"0")+IFERROR(Y240/H240,"0")</f>
        <v>26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0.36400000000000005</v>
      </c>
      <c r="AA241" s="550"/>
      <c r="AB241" s="550"/>
      <c r="AC241" s="550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70"/>
      <c r="P242" s="564" t="s">
        <v>75</v>
      </c>
      <c r="Q242" s="565"/>
      <c r="R242" s="565"/>
      <c r="S242" s="565"/>
      <c r="T242" s="565"/>
      <c r="U242" s="565"/>
      <c r="V242" s="566"/>
      <c r="W242" s="37" t="s">
        <v>69</v>
      </c>
      <c r="X242" s="549">
        <f>IFERROR(SUM(X232:X240),"0")</f>
        <v>202</v>
      </c>
      <c r="Y242" s="549">
        <f>IFERROR(SUM(Y232:Y240),"0")</f>
        <v>202.79999999999998</v>
      </c>
      <c r="Z242" s="37"/>
      <c r="AA242" s="550"/>
      <c r="AB242" s="550"/>
      <c r="AC242" s="550"/>
    </row>
    <row r="243" spans="1:68" ht="14.25" customHeight="1" x14ac:dyDescent="0.25">
      <c r="A243" s="563" t="s">
        <v>137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9">
        <v>4680115885981</v>
      </c>
      <c r="E244" s="560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9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70"/>
      <c r="P245" s="564" t="s">
        <v>75</v>
      </c>
      <c r="Q245" s="565"/>
      <c r="R245" s="565"/>
      <c r="S245" s="565"/>
      <c r="T245" s="565"/>
      <c r="U245" s="565"/>
      <c r="V245" s="566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70"/>
      <c r="P246" s="564" t="s">
        <v>75</v>
      </c>
      <c r="Q246" s="565"/>
      <c r="R246" s="565"/>
      <c r="S246" s="565"/>
      <c r="T246" s="565"/>
      <c r="U246" s="565"/>
      <c r="V246" s="566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9">
        <v>4680115886803</v>
      </c>
      <c r="E248" s="560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9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70"/>
      <c r="P249" s="564" t="s">
        <v>75</v>
      </c>
      <c r="Q249" s="565"/>
      <c r="R249" s="565"/>
      <c r="S249" s="565"/>
      <c r="T249" s="565"/>
      <c r="U249" s="565"/>
      <c r="V249" s="566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70"/>
      <c r="P250" s="564" t="s">
        <v>75</v>
      </c>
      <c r="Q250" s="565"/>
      <c r="R250" s="565"/>
      <c r="S250" s="565"/>
      <c r="T250" s="565"/>
      <c r="U250" s="565"/>
      <c r="V250" s="566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9">
        <v>4680115886704</v>
      </c>
      <c r="E252" s="560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9">
        <v>4680115886681</v>
      </c>
      <c r="E253" s="560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9">
        <v>4680115886735</v>
      </c>
      <c r="E254" s="560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2.5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9">
        <v>4680115886728</v>
      </c>
      <c r="E255" s="560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9">
        <v>4680115886711</v>
      </c>
      <c r="E256" s="560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9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70"/>
      <c r="P257" s="564" t="s">
        <v>75</v>
      </c>
      <c r="Q257" s="565"/>
      <c r="R257" s="565"/>
      <c r="S257" s="565"/>
      <c r="T257" s="565"/>
      <c r="U257" s="565"/>
      <c r="V257" s="566"/>
      <c r="W257" s="37" t="s">
        <v>76</v>
      </c>
      <c r="X257" s="549">
        <f>IFERROR(X252/H252,"0")+IFERROR(X253/H253,"0")+IFERROR(X254/H254,"0")+IFERROR(X255/H255,"0")+IFERROR(X256/H256,"0")</f>
        <v>2.7777777777777777</v>
      </c>
      <c r="Y257" s="549">
        <f>IFERROR(Y252/H252,"0")+IFERROR(Y253/H253,"0")+IFERROR(Y254/H254,"0")+IFERROR(Y255/H255,"0")+IFERROR(Y256/H256,"0")</f>
        <v>3</v>
      </c>
      <c r="Z257" s="549">
        <f>IFERROR(IF(Z252="",0,Z252),"0")+IFERROR(IF(Z253="",0,Z253),"0")+IFERROR(IF(Z254="",0,Z254),"0")+IFERROR(IF(Z255="",0,Z255),"0")+IFERROR(IF(Z256="",0,Z256),"0")</f>
        <v>1.77E-2</v>
      </c>
      <c r="AA257" s="550"/>
      <c r="AB257" s="550"/>
      <c r="AC257" s="550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70"/>
      <c r="P258" s="564" t="s">
        <v>75</v>
      </c>
      <c r="Q258" s="565"/>
      <c r="R258" s="565"/>
      <c r="S258" s="565"/>
      <c r="T258" s="565"/>
      <c r="U258" s="565"/>
      <c r="V258" s="566"/>
      <c r="W258" s="37" t="s">
        <v>69</v>
      </c>
      <c r="X258" s="549">
        <f>IFERROR(SUM(X252:X256),"0")</f>
        <v>2.5</v>
      </c>
      <c r="Y258" s="549">
        <f>IFERROR(SUM(Y252:Y256),"0")</f>
        <v>2.7</v>
      </c>
      <c r="Z258" s="37"/>
      <c r="AA258" s="550"/>
      <c r="AB258" s="550"/>
      <c r="AC258" s="550"/>
    </row>
    <row r="259" spans="1:68" ht="16.5" customHeight="1" x14ac:dyDescent="0.25">
      <c r="A259" s="561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2"/>
      <c r="AB259" s="542"/>
      <c r="AC259" s="542"/>
    </row>
    <row r="260" spans="1:68" ht="14.25" customHeight="1" x14ac:dyDescent="0.25">
      <c r="A260" s="563" t="s">
        <v>101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9">
        <v>4680115885837</v>
      </c>
      <c r="E261" s="560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9">
        <v>4680115885851</v>
      </c>
      <c r="E262" s="560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9">
        <v>4680115885806</v>
      </c>
      <c r="E263" s="560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9">
        <v>4680115885844</v>
      </c>
      <c r="E264" s="560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9">
        <v>4680115885820</v>
      </c>
      <c r="E265" s="560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9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70"/>
      <c r="P266" s="564" t="s">
        <v>75</v>
      </c>
      <c r="Q266" s="565"/>
      <c r="R266" s="565"/>
      <c r="S266" s="565"/>
      <c r="T266" s="565"/>
      <c r="U266" s="565"/>
      <c r="V266" s="566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70"/>
      <c r="P267" s="564" t="s">
        <v>75</v>
      </c>
      <c r="Q267" s="565"/>
      <c r="R267" s="565"/>
      <c r="S267" s="565"/>
      <c r="T267" s="565"/>
      <c r="U267" s="565"/>
      <c r="V267" s="566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1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2"/>
      <c r="AB268" s="542"/>
      <c r="AC268" s="542"/>
    </row>
    <row r="269" spans="1:68" ht="14.25" customHeight="1" x14ac:dyDescent="0.25">
      <c r="A269" s="563" t="s">
        <v>101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9">
        <v>4607091383423</v>
      </c>
      <c r="E270" s="560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9">
        <v>4680115886957</v>
      </c>
      <c r="E271" s="560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9">
        <v>4680115885660</v>
      </c>
      <c r="E272" s="560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9">
        <v>4680115886773</v>
      </c>
      <c r="E273" s="560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9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70"/>
      <c r="P274" s="564" t="s">
        <v>75</v>
      </c>
      <c r="Q274" s="565"/>
      <c r="R274" s="565"/>
      <c r="S274" s="565"/>
      <c r="T274" s="565"/>
      <c r="U274" s="565"/>
      <c r="V274" s="566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70"/>
      <c r="P275" s="564" t="s">
        <v>75</v>
      </c>
      <c r="Q275" s="565"/>
      <c r="R275" s="565"/>
      <c r="S275" s="565"/>
      <c r="T275" s="565"/>
      <c r="U275" s="565"/>
      <c r="V275" s="566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1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2"/>
      <c r="AB276" s="542"/>
      <c r="AC276" s="542"/>
    </row>
    <row r="277" spans="1:68" ht="14.25" customHeight="1" x14ac:dyDescent="0.25">
      <c r="A277" s="563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9">
        <v>4680115886186</v>
      </c>
      <c r="E278" s="560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9">
        <v>4680115881228</v>
      </c>
      <c r="E279" s="560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9">
        <v>4680115881211</v>
      </c>
      <c r="E280" s="560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120</v>
      </c>
      <c r="Y280" s="548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69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70"/>
      <c r="P281" s="564" t="s">
        <v>75</v>
      </c>
      <c r="Q281" s="565"/>
      <c r="R281" s="565"/>
      <c r="S281" s="565"/>
      <c r="T281" s="565"/>
      <c r="U281" s="565"/>
      <c r="V281" s="566"/>
      <c r="W281" s="37" t="s">
        <v>76</v>
      </c>
      <c r="X281" s="549">
        <f>IFERROR(X278/H278,"0")+IFERROR(X279/H279,"0")+IFERROR(X280/H280,"0")</f>
        <v>83.333333333333343</v>
      </c>
      <c r="Y281" s="549">
        <f>IFERROR(Y278/H278,"0")+IFERROR(Y279/H279,"0")+IFERROR(Y280/H280,"0")</f>
        <v>84</v>
      </c>
      <c r="Z281" s="549">
        <f>IFERROR(IF(Z278="",0,Z278),"0")+IFERROR(IF(Z279="",0,Z279),"0")+IFERROR(IF(Z280="",0,Z280),"0")</f>
        <v>0.54683999999999999</v>
      </c>
      <c r="AA281" s="550"/>
      <c r="AB281" s="550"/>
      <c r="AC281" s="550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70"/>
      <c r="P282" s="564" t="s">
        <v>75</v>
      </c>
      <c r="Q282" s="565"/>
      <c r="R282" s="565"/>
      <c r="S282" s="565"/>
      <c r="T282" s="565"/>
      <c r="U282" s="565"/>
      <c r="V282" s="566"/>
      <c r="W282" s="37" t="s">
        <v>69</v>
      </c>
      <c r="X282" s="549">
        <f>IFERROR(SUM(X278:X280),"0")</f>
        <v>200</v>
      </c>
      <c r="Y282" s="549">
        <f>IFERROR(SUM(Y278:Y280),"0")</f>
        <v>201.6</v>
      </c>
      <c r="Z282" s="37"/>
      <c r="AA282" s="550"/>
      <c r="AB282" s="550"/>
      <c r="AC282" s="550"/>
    </row>
    <row r="283" spans="1:68" ht="16.5" customHeight="1" x14ac:dyDescent="0.25">
      <c r="A283" s="561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2"/>
      <c r="AB283" s="542"/>
      <c r="AC283" s="542"/>
    </row>
    <row r="284" spans="1:68" ht="14.25" customHeight="1" x14ac:dyDescent="0.25">
      <c r="A284" s="563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9">
        <v>4680115880344</v>
      </c>
      <c r="E285" s="560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9">
        <v>4680115886919</v>
      </c>
      <c r="E286" s="560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9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70"/>
      <c r="P287" s="564" t="s">
        <v>75</v>
      </c>
      <c r="Q287" s="565"/>
      <c r="R287" s="565"/>
      <c r="S287" s="565"/>
      <c r="T287" s="565"/>
      <c r="U287" s="565"/>
      <c r="V287" s="566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70"/>
      <c r="P288" s="564" t="s">
        <v>75</v>
      </c>
      <c r="Q288" s="565"/>
      <c r="R288" s="565"/>
      <c r="S288" s="565"/>
      <c r="T288" s="565"/>
      <c r="U288" s="565"/>
      <c r="V288" s="566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9">
        <v>4680115884618</v>
      </c>
      <c r="E290" s="560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9">
        <v>4680115887114</v>
      </c>
      <c r="E291" s="560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9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70"/>
      <c r="P292" s="564" t="s">
        <v>75</v>
      </c>
      <c r="Q292" s="565"/>
      <c r="R292" s="565"/>
      <c r="S292" s="565"/>
      <c r="T292" s="565"/>
      <c r="U292" s="565"/>
      <c r="V292" s="566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70"/>
      <c r="P293" s="564" t="s">
        <v>75</v>
      </c>
      <c r="Q293" s="565"/>
      <c r="R293" s="565"/>
      <c r="S293" s="565"/>
      <c r="T293" s="565"/>
      <c r="U293" s="565"/>
      <c r="V293" s="566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1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2"/>
      <c r="AB294" s="542"/>
      <c r="AC294" s="542"/>
    </row>
    <row r="295" spans="1:68" ht="14.25" customHeight="1" x14ac:dyDescent="0.25">
      <c r="A295" s="563" t="s">
        <v>101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9">
        <v>4680115885615</v>
      </c>
      <c r="E296" s="560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9">
        <v>4680115885646</v>
      </c>
      <c r="E297" s="560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9">
        <v>4680115885554</v>
      </c>
      <c r="E298" s="560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9">
        <v>4680115885622</v>
      </c>
      <c r="E299" s="560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9">
        <v>4680115885608</v>
      </c>
      <c r="E300" s="560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9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70"/>
      <c r="P301" s="564" t="s">
        <v>75</v>
      </c>
      <c r="Q301" s="565"/>
      <c r="R301" s="565"/>
      <c r="S301" s="565"/>
      <c r="T301" s="565"/>
      <c r="U301" s="565"/>
      <c r="V301" s="566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70"/>
      <c r="P302" s="564" t="s">
        <v>75</v>
      </c>
      <c r="Q302" s="565"/>
      <c r="R302" s="565"/>
      <c r="S302" s="565"/>
      <c r="T302" s="565"/>
      <c r="U302" s="565"/>
      <c r="V302" s="566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63" t="s">
        <v>64</v>
      </c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2"/>
      <c r="P303" s="562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9">
        <v>4607091387193</v>
      </c>
      <c r="E304" s="560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9">
        <v>4607091387230</v>
      </c>
      <c r="E305" s="560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9">
        <v>4607091387292</v>
      </c>
      <c r="E306" s="560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9">
        <v>4607091387285</v>
      </c>
      <c r="E307" s="560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9">
        <v>4607091389845</v>
      </c>
      <c r="E308" s="560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9">
        <v>4607091383836</v>
      </c>
      <c r="E309" s="560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24</v>
      </c>
      <c r="Y309" s="548">
        <f t="shared" si="31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27.04</v>
      </c>
      <c r="BN309" s="64">
        <f t="shared" si="33"/>
        <v>28.391999999999999</v>
      </c>
      <c r="BO309" s="64">
        <f t="shared" si="34"/>
        <v>7.3260073260073263E-2</v>
      </c>
      <c r="BP309" s="64">
        <f t="shared" si="35"/>
        <v>7.6923076923076927E-2</v>
      </c>
    </row>
    <row r="310" spans="1:68" x14ac:dyDescent="0.2">
      <c r="A310" s="569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70"/>
      <c r="P310" s="564" t="s">
        <v>75</v>
      </c>
      <c r="Q310" s="565"/>
      <c r="R310" s="565"/>
      <c r="S310" s="565"/>
      <c r="T310" s="565"/>
      <c r="U310" s="565"/>
      <c r="V310" s="566"/>
      <c r="W310" s="37" t="s">
        <v>76</v>
      </c>
      <c r="X310" s="549">
        <f>IFERROR(X304/H304,"0")+IFERROR(X305/H305,"0")+IFERROR(X306/H306,"0")+IFERROR(X307/H307,"0")+IFERROR(X308/H308,"0")+IFERROR(X309/H309,"0")</f>
        <v>13.333333333333332</v>
      </c>
      <c r="Y310" s="549">
        <f>IFERROR(Y304/H304,"0")+IFERROR(Y305/H305,"0")+IFERROR(Y306/H306,"0")+IFERROR(Y307/H307,"0")+IFERROR(Y308/H308,"0")+IFERROR(Y309/H309,"0")</f>
        <v>14</v>
      </c>
      <c r="Z310" s="549">
        <f>IFERROR(IF(Z304="",0,Z304),"0")+IFERROR(IF(Z305="",0,Z305),"0")+IFERROR(IF(Z306="",0,Z306),"0")+IFERROR(IF(Z307="",0,Z307),"0")+IFERROR(IF(Z308="",0,Z308),"0")+IFERROR(IF(Z309="",0,Z309),"0")</f>
        <v>9.1139999999999999E-2</v>
      </c>
      <c r="AA310" s="550"/>
      <c r="AB310" s="550"/>
      <c r="AC310" s="550"/>
    </row>
    <row r="311" spans="1:68" x14ac:dyDescent="0.2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70"/>
      <c r="P311" s="564" t="s">
        <v>75</v>
      </c>
      <c r="Q311" s="565"/>
      <c r="R311" s="565"/>
      <c r="S311" s="565"/>
      <c r="T311" s="565"/>
      <c r="U311" s="565"/>
      <c r="V311" s="566"/>
      <c r="W311" s="37" t="s">
        <v>69</v>
      </c>
      <c r="X311" s="549">
        <f>IFERROR(SUM(X304:X309),"0")</f>
        <v>24</v>
      </c>
      <c r="Y311" s="549">
        <f>IFERROR(SUM(Y304:Y309),"0")</f>
        <v>25.2</v>
      </c>
      <c r="Z311" s="37"/>
      <c r="AA311" s="550"/>
      <c r="AB311" s="550"/>
      <c r="AC311" s="550"/>
    </row>
    <row r="312" spans="1:68" ht="14.25" customHeight="1" x14ac:dyDescent="0.25">
      <c r="A312" s="563" t="s">
        <v>77</v>
      </c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2"/>
      <c r="P312" s="562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9">
        <v>4607091387766</v>
      </c>
      <c r="E313" s="560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9">
        <v>4607091387957</v>
      </c>
      <c r="E314" s="560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9">
        <v>4607091387964</v>
      </c>
      <c r="E315" s="560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9">
        <v>4680115884588</v>
      </c>
      <c r="E316" s="560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9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70"/>
      <c r="P317" s="564" t="s">
        <v>75</v>
      </c>
      <c r="Q317" s="565"/>
      <c r="R317" s="565"/>
      <c r="S317" s="565"/>
      <c r="T317" s="565"/>
      <c r="U317" s="565"/>
      <c r="V317" s="566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70"/>
      <c r="P318" s="564" t="s">
        <v>75</v>
      </c>
      <c r="Q318" s="565"/>
      <c r="R318" s="565"/>
      <c r="S318" s="565"/>
      <c r="T318" s="565"/>
      <c r="U318" s="565"/>
      <c r="V318" s="566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63" t="s">
        <v>162</v>
      </c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2"/>
      <c r="P319" s="562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9">
        <v>4607091380880</v>
      </c>
      <c r="E320" s="560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20</v>
      </c>
      <c r="Y320" s="548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9">
        <v>4607091384482</v>
      </c>
      <c r="E321" s="560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500</v>
      </c>
      <c r="Y321" s="548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9">
        <v>4607091380897</v>
      </c>
      <c r="E322" s="560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120</v>
      </c>
      <c r="Y322" s="548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127.05714285714285</v>
      </c>
      <c r="BN322" s="64">
        <f>IFERROR(Y322*I322/H322,"0")</f>
        <v>133.41</v>
      </c>
      <c r="BO322" s="64">
        <f>IFERROR(1/J322*(X322/H322),"0")</f>
        <v>0.2232142857142857</v>
      </c>
      <c r="BP322" s="64">
        <f>IFERROR(1/J322*(Y322/H322),"0")</f>
        <v>0.234375</v>
      </c>
    </row>
    <row r="323" spans="1:68" x14ac:dyDescent="0.2">
      <c r="A323" s="569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70"/>
      <c r="P323" s="564" t="s">
        <v>75</v>
      </c>
      <c r="Q323" s="565"/>
      <c r="R323" s="565"/>
      <c r="S323" s="565"/>
      <c r="T323" s="565"/>
      <c r="U323" s="565"/>
      <c r="V323" s="566"/>
      <c r="W323" s="37" t="s">
        <v>76</v>
      </c>
      <c r="X323" s="549">
        <f>IFERROR(X320/H320,"0")+IFERROR(X321/H321,"0")+IFERROR(X322/H322,"0")</f>
        <v>80.769230769230774</v>
      </c>
      <c r="Y323" s="549">
        <f>IFERROR(Y320/H320,"0")+IFERROR(Y321/H321,"0")+IFERROR(Y322/H322,"0")</f>
        <v>83</v>
      </c>
      <c r="Z323" s="549">
        <f>IFERROR(IF(Z320="",0,Z320),"0")+IFERROR(IF(Z321="",0,Z321),"0")+IFERROR(IF(Z322="",0,Z322),"0")</f>
        <v>1.57534</v>
      </c>
      <c r="AA323" s="550"/>
      <c r="AB323" s="550"/>
      <c r="AC323" s="550"/>
    </row>
    <row r="324" spans="1:68" x14ac:dyDescent="0.2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70"/>
      <c r="P324" s="564" t="s">
        <v>75</v>
      </c>
      <c r="Q324" s="565"/>
      <c r="R324" s="565"/>
      <c r="S324" s="565"/>
      <c r="T324" s="565"/>
      <c r="U324" s="565"/>
      <c r="V324" s="566"/>
      <c r="W324" s="37" t="s">
        <v>69</v>
      </c>
      <c r="X324" s="549">
        <f>IFERROR(SUM(X320:X322),"0")</f>
        <v>640</v>
      </c>
      <c r="Y324" s="549">
        <f>IFERROR(SUM(Y320:Y322),"0")</f>
        <v>658.2</v>
      </c>
      <c r="Z324" s="37"/>
      <c r="AA324" s="550"/>
      <c r="AB324" s="550"/>
      <c r="AC324" s="550"/>
    </row>
    <row r="325" spans="1:68" ht="14.25" customHeight="1" x14ac:dyDescent="0.25">
      <c r="A325" s="563" t="s">
        <v>93</v>
      </c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2"/>
      <c r="P325" s="562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9">
        <v>4607091388381</v>
      </c>
      <c r="E326" s="560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9">
        <v>4607091388374</v>
      </c>
      <c r="E327" s="560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9">
        <v>4607091383102</v>
      </c>
      <c r="E328" s="560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9">
        <v>4607091388404</v>
      </c>
      <c r="E329" s="560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9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70"/>
      <c r="P330" s="564" t="s">
        <v>75</v>
      </c>
      <c r="Q330" s="565"/>
      <c r="R330" s="565"/>
      <c r="S330" s="565"/>
      <c r="T330" s="565"/>
      <c r="U330" s="565"/>
      <c r="V330" s="566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70"/>
      <c r="P331" s="564" t="s">
        <v>75</v>
      </c>
      <c r="Q331" s="565"/>
      <c r="R331" s="565"/>
      <c r="S331" s="565"/>
      <c r="T331" s="565"/>
      <c r="U331" s="565"/>
      <c r="V331" s="566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63" t="s">
        <v>535</v>
      </c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2"/>
      <c r="P332" s="562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9">
        <v>4680115881808</v>
      </c>
      <c r="E333" s="560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9">
        <v>4680115881822</v>
      </c>
      <c r="E334" s="560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9">
        <v>4680115880016</v>
      </c>
      <c r="E335" s="560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9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70"/>
      <c r="P336" s="564" t="s">
        <v>75</v>
      </c>
      <c r="Q336" s="565"/>
      <c r="R336" s="565"/>
      <c r="S336" s="565"/>
      <c r="T336" s="565"/>
      <c r="U336" s="565"/>
      <c r="V336" s="566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70"/>
      <c r="P337" s="564" t="s">
        <v>75</v>
      </c>
      <c r="Q337" s="565"/>
      <c r="R337" s="565"/>
      <c r="S337" s="565"/>
      <c r="T337" s="565"/>
      <c r="U337" s="565"/>
      <c r="V337" s="566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61" t="s">
        <v>544</v>
      </c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2"/>
      <c r="P338" s="562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  <c r="AA338" s="542"/>
      <c r="AB338" s="542"/>
      <c r="AC338" s="542"/>
    </row>
    <row r="339" spans="1:68" ht="14.25" customHeight="1" x14ac:dyDescent="0.25">
      <c r="A339" s="563" t="s">
        <v>77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9">
        <v>4607091387919</v>
      </c>
      <c r="E340" s="560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9">
        <v>4680115883604</v>
      </c>
      <c r="E341" s="560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1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245</v>
      </c>
      <c r="Y341" s="548">
        <f>IFERROR(IF(X341="",0,CEILING((X341/$H341),1)*$H341),"")</f>
        <v>245.70000000000002</v>
      </c>
      <c r="Z341" s="36">
        <f>IFERROR(IF(Y341=0,"",ROUNDUP(Y341/H341,0)*0.00651),"")</f>
        <v>0.76167000000000007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274.39999999999998</v>
      </c>
      <c r="BN341" s="64">
        <f>IFERROR(Y341*I341/H341,"0")</f>
        <v>275.18399999999997</v>
      </c>
      <c r="BO341" s="64">
        <f>IFERROR(1/J341*(X341/H341),"0")</f>
        <v>0.64102564102564097</v>
      </c>
      <c r="BP341" s="64">
        <f>IFERROR(1/J341*(Y341/H341),"0")</f>
        <v>0.6428571428571429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9">
        <v>4680115883567</v>
      </c>
      <c r="E342" s="560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385</v>
      </c>
      <c r="Y342" s="548">
        <f>IFERROR(IF(X342="",0,CEILING((X342/$H342),1)*$H342),"")</f>
        <v>386.40000000000003</v>
      </c>
      <c r="Z342" s="36">
        <f>IFERROR(IF(Y342=0,"",ROUNDUP(Y342/H342,0)*0.00651),"")</f>
        <v>1.19784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428.99999999999994</v>
      </c>
      <c r="BN342" s="64">
        <f>IFERROR(Y342*I342/H342,"0")</f>
        <v>430.56</v>
      </c>
      <c r="BO342" s="64">
        <f>IFERROR(1/J342*(X342/H342),"0")</f>
        <v>1.0073260073260073</v>
      </c>
      <c r="BP342" s="64">
        <f>IFERROR(1/J342*(Y342/H342),"0")</f>
        <v>1.0109890109890112</v>
      </c>
    </row>
    <row r="343" spans="1:68" x14ac:dyDescent="0.2">
      <c r="A343" s="569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70"/>
      <c r="P343" s="564" t="s">
        <v>75</v>
      </c>
      <c r="Q343" s="565"/>
      <c r="R343" s="565"/>
      <c r="S343" s="565"/>
      <c r="T343" s="565"/>
      <c r="U343" s="565"/>
      <c r="V343" s="566"/>
      <c r="W343" s="37" t="s">
        <v>76</v>
      </c>
      <c r="X343" s="549">
        <f>IFERROR(X340/H340,"0")+IFERROR(X341/H341,"0")+IFERROR(X342/H342,"0")</f>
        <v>300</v>
      </c>
      <c r="Y343" s="549">
        <f>IFERROR(Y340/H340,"0")+IFERROR(Y341/H341,"0")+IFERROR(Y342/H342,"0")</f>
        <v>301</v>
      </c>
      <c r="Z343" s="549">
        <f>IFERROR(IF(Z340="",0,Z340),"0")+IFERROR(IF(Z341="",0,Z341),"0")+IFERROR(IF(Z342="",0,Z342),"0")</f>
        <v>1.9595100000000001</v>
      </c>
      <c r="AA343" s="550"/>
      <c r="AB343" s="550"/>
      <c r="AC343" s="550"/>
    </row>
    <row r="344" spans="1:68" x14ac:dyDescent="0.2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70"/>
      <c r="P344" s="564" t="s">
        <v>75</v>
      </c>
      <c r="Q344" s="565"/>
      <c r="R344" s="565"/>
      <c r="S344" s="565"/>
      <c r="T344" s="565"/>
      <c r="U344" s="565"/>
      <c r="V344" s="566"/>
      <c r="W344" s="37" t="s">
        <v>69</v>
      </c>
      <c r="X344" s="549">
        <f>IFERROR(SUM(X340:X342),"0")</f>
        <v>630</v>
      </c>
      <c r="Y344" s="549">
        <f>IFERROR(SUM(Y340:Y342),"0")</f>
        <v>632.1</v>
      </c>
      <c r="Z344" s="37"/>
      <c r="AA344" s="550"/>
      <c r="AB344" s="550"/>
      <c r="AC344" s="550"/>
    </row>
    <row r="345" spans="1:68" ht="27.75" customHeight="1" x14ac:dyDescent="0.2">
      <c r="A345" s="641" t="s">
        <v>554</v>
      </c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42"/>
      <c r="P345" s="642"/>
      <c r="Q345" s="642"/>
      <c r="R345" s="642"/>
      <c r="S345" s="642"/>
      <c r="T345" s="642"/>
      <c r="U345" s="642"/>
      <c r="V345" s="642"/>
      <c r="W345" s="642"/>
      <c r="X345" s="642"/>
      <c r="Y345" s="642"/>
      <c r="Z345" s="642"/>
      <c r="AA345" s="48"/>
      <c r="AB345" s="48"/>
      <c r="AC345" s="48"/>
    </row>
    <row r="346" spans="1:68" ht="16.5" customHeight="1" x14ac:dyDescent="0.25">
      <c r="A346" s="561" t="s">
        <v>555</v>
      </c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2"/>
      <c r="P346" s="562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  <c r="AA346" s="542"/>
      <c r="AB346" s="542"/>
      <c r="AC346" s="542"/>
    </row>
    <row r="347" spans="1:68" ht="14.25" customHeight="1" x14ac:dyDescent="0.25">
      <c r="A347" s="563" t="s">
        <v>101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9">
        <v>4680115884847</v>
      </c>
      <c r="E348" s="560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2400</v>
      </c>
      <c r="Y348" s="548">
        <f t="shared" ref="Y348:Y354" si="36">IFERROR(IF(X348="",0,CEILING((X348/$H348),1)*$H348),"")</f>
        <v>2400</v>
      </c>
      <c r="Z348" s="36">
        <f>IFERROR(IF(Y348=0,"",ROUNDUP(Y348/H348,0)*0.02175),"")</f>
        <v>3.4799999999999995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2475.1999999999998</v>
      </c>
      <c r="BN348" s="64">
        <f t="shared" ref="BN348:BN354" si="38">IFERROR(Y348*I348/H348,"0")</f>
        <v>2475.1999999999998</v>
      </c>
      <c r="BO348" s="64">
        <f t="shared" ref="BO348:BO354" si="39">IFERROR(1/J348*(X348/H348),"0")</f>
        <v>3.333333333333333</v>
      </c>
      <c r="BP348" s="64">
        <f t="shared" ref="BP348:BP354" si="40">IFERROR(1/J348*(Y348/H348),"0")</f>
        <v>3.333333333333333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9">
        <v>4680115884854</v>
      </c>
      <c r="E349" s="560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500</v>
      </c>
      <c r="Y349" s="548">
        <f t="shared" si="36"/>
        <v>510</v>
      </c>
      <c r="Z349" s="36">
        <f>IFERROR(IF(Y349=0,"",ROUNDUP(Y349/H349,0)*0.02175),"")</f>
        <v>0.73949999999999994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515.66666666666663</v>
      </c>
      <c r="BN349" s="64">
        <f t="shared" si="38"/>
        <v>525.98</v>
      </c>
      <c r="BO349" s="64">
        <f t="shared" si="39"/>
        <v>0.69444444444444442</v>
      </c>
      <c r="BP349" s="64">
        <f t="shared" si="40"/>
        <v>0.70833333333333326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9">
        <v>4680115884830</v>
      </c>
      <c r="E350" s="560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2400</v>
      </c>
      <c r="Y350" s="548">
        <f t="shared" si="36"/>
        <v>2400</v>
      </c>
      <c r="Z350" s="36">
        <f>IFERROR(IF(Y350=0,"",ROUNDUP(Y350/H350,0)*0.02175),"")</f>
        <v>3.4799999999999995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2475.1999999999998</v>
      </c>
      <c r="BN350" s="64">
        <f t="shared" si="38"/>
        <v>2475.1999999999998</v>
      </c>
      <c r="BO350" s="64">
        <f t="shared" si="39"/>
        <v>3.333333333333333</v>
      </c>
      <c r="BP350" s="64">
        <f t="shared" si="40"/>
        <v>3.333333333333333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9">
        <v>4680115887046</v>
      </c>
      <c r="E351" s="560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6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100</v>
      </c>
      <c r="Y351" s="548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9">
        <v>4680115882638</v>
      </c>
      <c r="E352" s="560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9">
        <v>4680115884922</v>
      </c>
      <c r="E353" s="560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9">
        <v>4680115884861</v>
      </c>
      <c r="E354" s="560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30</v>
      </c>
      <c r="Y354" s="548">
        <f t="shared" si="36"/>
        <v>30</v>
      </c>
      <c r="Z354" s="36">
        <f>IFERROR(IF(Y354=0,"",ROUNDUP(Y354/H354,0)*0.00902),"")</f>
        <v>5.4120000000000001E-2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31.140000000000004</v>
      </c>
      <c r="BN354" s="64">
        <f t="shared" si="38"/>
        <v>31.140000000000004</v>
      </c>
      <c r="BO354" s="64">
        <f t="shared" si="39"/>
        <v>4.5454545454545456E-2</v>
      </c>
      <c r="BP354" s="64">
        <f t="shared" si="40"/>
        <v>4.5454545454545456E-2</v>
      </c>
    </row>
    <row r="355" spans="1:68" x14ac:dyDescent="0.2">
      <c r="A355" s="569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70"/>
      <c r="P355" s="564" t="s">
        <v>75</v>
      </c>
      <c r="Q355" s="565"/>
      <c r="R355" s="565"/>
      <c r="S355" s="565"/>
      <c r="T355" s="565"/>
      <c r="U355" s="565"/>
      <c r="V355" s="566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366.00000000000006</v>
      </c>
      <c r="Y355" s="549">
        <f>IFERROR(Y348/H348,"0")+IFERROR(Y349/H349,"0")+IFERROR(Y350/H350,"0")+IFERROR(Y351/H351,"0")+IFERROR(Y352/H352,"0")+IFERROR(Y353/H353,"0")+IFERROR(Y354/H354,"0")</f>
        <v>367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7.9058699999999993</v>
      </c>
      <c r="AA355" s="550"/>
      <c r="AB355" s="550"/>
      <c r="AC355" s="550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70"/>
      <c r="P356" s="564" t="s">
        <v>75</v>
      </c>
      <c r="Q356" s="565"/>
      <c r="R356" s="565"/>
      <c r="S356" s="565"/>
      <c r="T356" s="565"/>
      <c r="U356" s="565"/>
      <c r="V356" s="566"/>
      <c r="W356" s="37" t="s">
        <v>69</v>
      </c>
      <c r="X356" s="549">
        <f>IFERROR(SUM(X348:X354),"0")</f>
        <v>5430</v>
      </c>
      <c r="Y356" s="549">
        <f>IFERROR(SUM(Y348:Y354),"0")</f>
        <v>5445</v>
      </c>
      <c r="Z356" s="37"/>
      <c r="AA356" s="550"/>
      <c r="AB356" s="550"/>
      <c r="AC356" s="550"/>
    </row>
    <row r="357" spans="1:68" ht="14.25" customHeight="1" x14ac:dyDescent="0.25">
      <c r="A357" s="563" t="s">
        <v>137</v>
      </c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2"/>
      <c r="P357" s="562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9">
        <v>4607091383980</v>
      </c>
      <c r="E358" s="560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2000</v>
      </c>
      <c r="Y358" s="548">
        <f>IFERROR(IF(X358="",0,CEILING((X358/$H358),1)*$H358),"")</f>
        <v>2010</v>
      </c>
      <c r="Z358" s="36">
        <f>IFERROR(IF(Y358=0,"",ROUNDUP(Y358/H358,0)*0.02175),"")</f>
        <v>2.9144999999999999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2062.6666666666665</v>
      </c>
      <c r="BN358" s="64">
        <f>IFERROR(Y358*I358/H358,"0")</f>
        <v>2072.98</v>
      </c>
      <c r="BO358" s="64">
        <f>IFERROR(1/J358*(X358/H358),"0")</f>
        <v>2.7777777777777777</v>
      </c>
      <c r="BP358" s="64">
        <f>IFERROR(1/J358*(Y358/H358),"0")</f>
        <v>2.7916666666666665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9">
        <v>4607091384178</v>
      </c>
      <c r="E359" s="560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12</v>
      </c>
      <c r="Y359" s="548">
        <f>IFERROR(IF(X359="",0,CEILING((X359/$H359),1)*$H359),"")</f>
        <v>12</v>
      </c>
      <c r="Z359" s="36">
        <f>IFERROR(IF(Y359=0,"",ROUNDUP(Y359/H359,0)*0.00902),"")</f>
        <v>2.7060000000000001E-2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12.57</v>
      </c>
      <c r="BN359" s="64">
        <f>IFERROR(Y359*I359/H359,"0")</f>
        <v>12.57</v>
      </c>
      <c r="BO359" s="64">
        <f>IFERROR(1/J359*(X359/H359),"0")</f>
        <v>2.2727272727272728E-2</v>
      </c>
      <c r="BP359" s="64">
        <f>IFERROR(1/J359*(Y359/H359),"0")</f>
        <v>2.2727272727272728E-2</v>
      </c>
    </row>
    <row r="360" spans="1:68" x14ac:dyDescent="0.2">
      <c r="A360" s="569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70"/>
      <c r="P360" s="564" t="s">
        <v>75</v>
      </c>
      <c r="Q360" s="565"/>
      <c r="R360" s="565"/>
      <c r="S360" s="565"/>
      <c r="T360" s="565"/>
      <c r="U360" s="565"/>
      <c r="V360" s="566"/>
      <c r="W360" s="37" t="s">
        <v>76</v>
      </c>
      <c r="X360" s="549">
        <f>IFERROR(X358/H358,"0")+IFERROR(X359/H359,"0")</f>
        <v>136.33333333333334</v>
      </c>
      <c r="Y360" s="549">
        <f>IFERROR(Y358/H358,"0")+IFERROR(Y359/H359,"0")</f>
        <v>137</v>
      </c>
      <c r="Z360" s="549">
        <f>IFERROR(IF(Z358="",0,Z358),"0")+IFERROR(IF(Z359="",0,Z359),"0")</f>
        <v>2.94156</v>
      </c>
      <c r="AA360" s="550"/>
      <c r="AB360" s="550"/>
      <c r="AC360" s="550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70"/>
      <c r="P361" s="564" t="s">
        <v>75</v>
      </c>
      <c r="Q361" s="565"/>
      <c r="R361" s="565"/>
      <c r="S361" s="565"/>
      <c r="T361" s="565"/>
      <c r="U361" s="565"/>
      <c r="V361" s="566"/>
      <c r="W361" s="37" t="s">
        <v>69</v>
      </c>
      <c r="X361" s="549">
        <f>IFERROR(SUM(X358:X359),"0")</f>
        <v>2012</v>
      </c>
      <c r="Y361" s="549">
        <f>IFERROR(SUM(Y358:Y359),"0")</f>
        <v>2022</v>
      </c>
      <c r="Z361" s="37"/>
      <c r="AA361" s="550"/>
      <c r="AB361" s="550"/>
      <c r="AC361" s="550"/>
    </row>
    <row r="362" spans="1:68" ht="14.25" customHeight="1" x14ac:dyDescent="0.25">
      <c r="A362" s="563" t="s">
        <v>77</v>
      </c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2"/>
      <c r="P362" s="562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9">
        <v>4607091383928</v>
      </c>
      <c r="E363" s="560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9">
        <v>4607091384260</v>
      </c>
      <c r="E364" s="560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20</v>
      </c>
      <c r="Y364" s="548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21.097777777777779</v>
      </c>
      <c r="BN364" s="64">
        <f>IFERROR(Y364*I364/H364,"0")</f>
        <v>28.481999999999996</v>
      </c>
      <c r="BO364" s="64">
        <f>IFERROR(1/J364*(X364/H364),"0")</f>
        <v>3.4722222222222224E-2</v>
      </c>
      <c r="BP364" s="64">
        <f>IFERROR(1/J364*(Y364/H364),"0")</f>
        <v>4.6875E-2</v>
      </c>
    </row>
    <row r="365" spans="1:68" x14ac:dyDescent="0.2">
      <c r="A365" s="569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70"/>
      <c r="P365" s="564" t="s">
        <v>75</v>
      </c>
      <c r="Q365" s="565"/>
      <c r="R365" s="565"/>
      <c r="S365" s="565"/>
      <c r="T365" s="565"/>
      <c r="U365" s="565"/>
      <c r="V365" s="566"/>
      <c r="W365" s="37" t="s">
        <v>76</v>
      </c>
      <c r="X365" s="549">
        <f>IFERROR(X363/H363,"0")+IFERROR(X364/H364,"0")</f>
        <v>2.2222222222222223</v>
      </c>
      <c r="Y365" s="549">
        <f>IFERROR(Y363/H363,"0")+IFERROR(Y364/H364,"0")</f>
        <v>3</v>
      </c>
      <c r="Z365" s="549">
        <f>IFERROR(IF(Z363="",0,Z363),"0")+IFERROR(IF(Z364="",0,Z364),"0")</f>
        <v>5.6940000000000004E-2</v>
      </c>
      <c r="AA365" s="550"/>
      <c r="AB365" s="550"/>
      <c r="AC365" s="550"/>
    </row>
    <row r="366" spans="1:68" x14ac:dyDescent="0.2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70"/>
      <c r="P366" s="564" t="s">
        <v>75</v>
      </c>
      <c r="Q366" s="565"/>
      <c r="R366" s="565"/>
      <c r="S366" s="565"/>
      <c r="T366" s="565"/>
      <c r="U366" s="565"/>
      <c r="V366" s="566"/>
      <c r="W366" s="37" t="s">
        <v>69</v>
      </c>
      <c r="X366" s="549">
        <f>IFERROR(SUM(X363:X364),"0")</f>
        <v>20</v>
      </c>
      <c r="Y366" s="549">
        <f>IFERROR(SUM(Y363:Y364),"0")</f>
        <v>27</v>
      </c>
      <c r="Z366" s="37"/>
      <c r="AA366" s="550"/>
      <c r="AB366" s="550"/>
      <c r="AC366" s="550"/>
    </row>
    <row r="367" spans="1:68" ht="14.25" customHeight="1" x14ac:dyDescent="0.25">
      <c r="A367" s="563" t="s">
        <v>162</v>
      </c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2"/>
      <c r="P367" s="562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9">
        <v>4607091384673</v>
      </c>
      <c r="E368" s="560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9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70"/>
      <c r="P369" s="564" t="s">
        <v>75</v>
      </c>
      <c r="Q369" s="565"/>
      <c r="R369" s="565"/>
      <c r="S369" s="565"/>
      <c r="T369" s="565"/>
      <c r="U369" s="565"/>
      <c r="V369" s="566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70"/>
      <c r="P370" s="564" t="s">
        <v>75</v>
      </c>
      <c r="Q370" s="565"/>
      <c r="R370" s="565"/>
      <c r="S370" s="565"/>
      <c r="T370" s="565"/>
      <c r="U370" s="565"/>
      <c r="V370" s="566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customHeight="1" x14ac:dyDescent="0.25">
      <c r="A371" s="561" t="s">
        <v>590</v>
      </c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2"/>
      <c r="P371" s="562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  <c r="AA371" s="542"/>
      <c r="AB371" s="542"/>
      <c r="AC371" s="542"/>
    </row>
    <row r="372" spans="1:68" ht="14.25" customHeight="1" x14ac:dyDescent="0.25">
      <c r="A372" s="563" t="s">
        <v>101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9">
        <v>4680115884885</v>
      </c>
      <c r="E373" s="560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50</v>
      </c>
      <c r="Y373" s="548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51.708333333333336</v>
      </c>
      <c r="BN373" s="64">
        <f>IFERROR(Y373*I373/H373,"0")</f>
        <v>62.050000000000004</v>
      </c>
      <c r="BO373" s="64">
        <f>IFERROR(1/J373*(X373/H373),"0")</f>
        <v>6.5104166666666671E-2</v>
      </c>
      <c r="BP373" s="64">
        <f>IFERROR(1/J373*(Y373/H373),"0")</f>
        <v>7.8125E-2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9">
        <v>4680115884908</v>
      </c>
      <c r="E374" s="560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9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70"/>
      <c r="P375" s="564" t="s">
        <v>75</v>
      </c>
      <c r="Q375" s="565"/>
      <c r="R375" s="565"/>
      <c r="S375" s="565"/>
      <c r="T375" s="565"/>
      <c r="U375" s="565"/>
      <c r="V375" s="566"/>
      <c r="W375" s="37" t="s">
        <v>76</v>
      </c>
      <c r="X375" s="549">
        <f>IFERROR(X373/H373,"0")+IFERROR(X374/H374,"0")</f>
        <v>4.166666666666667</v>
      </c>
      <c r="Y375" s="549">
        <f>IFERROR(Y373/H373,"0")+IFERROR(Y374/H374,"0")</f>
        <v>5</v>
      </c>
      <c r="Z375" s="549">
        <f>IFERROR(IF(Z373="",0,Z373),"0")+IFERROR(IF(Z374="",0,Z374),"0")</f>
        <v>9.4899999999999998E-2</v>
      </c>
      <c r="AA375" s="550"/>
      <c r="AB375" s="550"/>
      <c r="AC375" s="550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70"/>
      <c r="P376" s="564" t="s">
        <v>75</v>
      </c>
      <c r="Q376" s="565"/>
      <c r="R376" s="565"/>
      <c r="S376" s="565"/>
      <c r="T376" s="565"/>
      <c r="U376" s="565"/>
      <c r="V376" s="566"/>
      <c r="W376" s="37" t="s">
        <v>69</v>
      </c>
      <c r="X376" s="549">
        <f>IFERROR(SUM(X373:X374),"0")</f>
        <v>50</v>
      </c>
      <c r="Y376" s="549">
        <f>IFERROR(SUM(Y373:Y374),"0")</f>
        <v>60</v>
      </c>
      <c r="Z376" s="37"/>
      <c r="AA376" s="550"/>
      <c r="AB376" s="550"/>
      <c r="AC376" s="550"/>
    </row>
    <row r="377" spans="1:68" ht="14.25" customHeight="1" x14ac:dyDescent="0.25">
      <c r="A377" s="563" t="s">
        <v>64</v>
      </c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2"/>
      <c r="P377" s="562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9">
        <v>4607091384802</v>
      </c>
      <c r="E378" s="560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9">
        <v>4607091384802</v>
      </c>
      <c r="E379" s="560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9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70"/>
      <c r="P380" s="564" t="s">
        <v>75</v>
      </c>
      <c r="Q380" s="565"/>
      <c r="R380" s="565"/>
      <c r="S380" s="565"/>
      <c r="T380" s="565"/>
      <c r="U380" s="565"/>
      <c r="V380" s="566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70"/>
      <c r="P381" s="564" t="s">
        <v>75</v>
      </c>
      <c r="Q381" s="565"/>
      <c r="R381" s="565"/>
      <c r="S381" s="565"/>
      <c r="T381" s="565"/>
      <c r="U381" s="565"/>
      <c r="V381" s="566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63" t="s">
        <v>77</v>
      </c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2"/>
      <c r="P382" s="562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9">
        <v>4607091384246</v>
      </c>
      <c r="E383" s="560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40</v>
      </c>
      <c r="Y383" s="548">
        <f>IFERROR(IF(X383="",0,CEILING((X383/$H383),1)*$H383),"")</f>
        <v>45</v>
      </c>
      <c r="Z383" s="36">
        <f>IFERROR(IF(Y383=0,"",ROUNDUP(Y383/H383,0)*0.01898),"")</f>
        <v>9.4899999999999998E-2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42.195555555555558</v>
      </c>
      <c r="BN383" s="64">
        <f>IFERROR(Y383*I383/H383,"0")</f>
        <v>47.47</v>
      </c>
      <c r="BO383" s="64">
        <f>IFERROR(1/J383*(X383/H383),"0")</f>
        <v>6.9444444444444448E-2</v>
      </c>
      <c r="BP383" s="64">
        <f>IFERROR(1/J383*(Y383/H383),"0")</f>
        <v>7.8125E-2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9">
        <v>4607091384253</v>
      </c>
      <c r="E384" s="560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9">
        <v>4607091384253</v>
      </c>
      <c r="E385" s="560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9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70"/>
      <c r="P386" s="564" t="s">
        <v>75</v>
      </c>
      <c r="Q386" s="565"/>
      <c r="R386" s="565"/>
      <c r="S386" s="565"/>
      <c r="T386" s="565"/>
      <c r="U386" s="565"/>
      <c r="V386" s="566"/>
      <c r="W386" s="37" t="s">
        <v>76</v>
      </c>
      <c r="X386" s="549">
        <f>IFERROR(X383/H383,"0")+IFERROR(X384/H384,"0")+IFERROR(X385/H385,"0")</f>
        <v>4.4444444444444446</v>
      </c>
      <c r="Y386" s="549">
        <f>IFERROR(Y383/H383,"0")+IFERROR(Y384/H384,"0")+IFERROR(Y385/H385,"0")</f>
        <v>5</v>
      </c>
      <c r="Z386" s="549">
        <f>IFERROR(IF(Z383="",0,Z383),"0")+IFERROR(IF(Z384="",0,Z384),"0")+IFERROR(IF(Z385="",0,Z385),"0")</f>
        <v>9.4899999999999998E-2</v>
      </c>
      <c r="AA386" s="550"/>
      <c r="AB386" s="550"/>
      <c r="AC386" s="550"/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70"/>
      <c r="P387" s="564" t="s">
        <v>75</v>
      </c>
      <c r="Q387" s="565"/>
      <c r="R387" s="565"/>
      <c r="S387" s="565"/>
      <c r="T387" s="565"/>
      <c r="U387" s="565"/>
      <c r="V387" s="566"/>
      <c r="W387" s="37" t="s">
        <v>69</v>
      </c>
      <c r="X387" s="549">
        <f>IFERROR(SUM(X383:X385),"0")</f>
        <v>40</v>
      </c>
      <c r="Y387" s="549">
        <f>IFERROR(SUM(Y383:Y385),"0")</f>
        <v>45</v>
      </c>
      <c r="Z387" s="37"/>
      <c r="AA387" s="550"/>
      <c r="AB387" s="550"/>
      <c r="AC387" s="550"/>
    </row>
    <row r="388" spans="1:68" ht="27.75" customHeight="1" x14ac:dyDescent="0.2">
      <c r="A388" s="641" t="s">
        <v>608</v>
      </c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42"/>
      <c r="P388" s="642"/>
      <c r="Q388" s="642"/>
      <c r="R388" s="642"/>
      <c r="S388" s="642"/>
      <c r="T388" s="642"/>
      <c r="U388" s="642"/>
      <c r="V388" s="642"/>
      <c r="W388" s="642"/>
      <c r="X388" s="642"/>
      <c r="Y388" s="642"/>
      <c r="Z388" s="642"/>
      <c r="AA388" s="48"/>
      <c r="AB388" s="48"/>
      <c r="AC388" s="48"/>
    </row>
    <row r="389" spans="1:68" ht="16.5" customHeight="1" x14ac:dyDescent="0.25">
      <c r="A389" s="561" t="s">
        <v>609</v>
      </c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2"/>
      <c r="P389" s="562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  <c r="AA389" s="542"/>
      <c r="AB389" s="542"/>
      <c r="AC389" s="542"/>
    </row>
    <row r="390" spans="1:68" ht="14.25" customHeight="1" x14ac:dyDescent="0.25">
      <c r="A390" s="563" t="s">
        <v>64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9">
        <v>4680115886100</v>
      </c>
      <c r="E391" s="560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9">
        <v>4680115886117</v>
      </c>
      <c r="E392" s="560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9">
        <v>4680115886124</v>
      </c>
      <c r="E393" s="560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9">
        <v>4680115883147</v>
      </c>
      <c r="E394" s="560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9">
        <v>4607091384338</v>
      </c>
      <c r="E395" s="560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9">
        <v>4607091389524</v>
      </c>
      <c r="E396" s="560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14</v>
      </c>
      <c r="Y396" s="548">
        <f t="shared" si="41"/>
        <v>14.700000000000001</v>
      </c>
      <c r="Z396" s="36">
        <f t="shared" si="46"/>
        <v>3.5140000000000005E-2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14.866666666666665</v>
      </c>
      <c r="BN396" s="64">
        <f t="shared" si="43"/>
        <v>15.61</v>
      </c>
      <c r="BO396" s="64">
        <f t="shared" si="44"/>
        <v>2.8490028490028491E-2</v>
      </c>
      <c r="BP396" s="64">
        <f t="shared" si="45"/>
        <v>2.9914529914529919E-2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9">
        <v>4680115883161</v>
      </c>
      <c r="E397" s="560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9">
        <v>4607091389531</v>
      </c>
      <c r="E398" s="560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35</v>
      </c>
      <c r="Y398" s="548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9">
        <v>4607091384345</v>
      </c>
      <c r="E399" s="560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9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70"/>
      <c r="P400" s="564" t="s">
        <v>75</v>
      </c>
      <c r="Q400" s="565"/>
      <c r="R400" s="565"/>
      <c r="S400" s="565"/>
      <c r="T400" s="565"/>
      <c r="U400" s="565"/>
      <c r="V400" s="566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23.333333333333329</v>
      </c>
      <c r="Y400" s="549">
        <f>IFERROR(Y391/H391,"0")+IFERROR(Y392/H392,"0")+IFERROR(Y393/H393,"0")+IFERROR(Y394/H394,"0")+IFERROR(Y395/H395,"0")+IFERROR(Y396/H396,"0")+IFERROR(Y397/H397,"0")+IFERROR(Y398/H398,"0")+IFERROR(Y399/H399,"0")</f>
        <v>24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0.12048</v>
      </c>
      <c r="AA400" s="550"/>
      <c r="AB400" s="550"/>
      <c r="AC400" s="550"/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70"/>
      <c r="P401" s="564" t="s">
        <v>75</v>
      </c>
      <c r="Q401" s="565"/>
      <c r="R401" s="565"/>
      <c r="S401" s="565"/>
      <c r="T401" s="565"/>
      <c r="U401" s="565"/>
      <c r="V401" s="566"/>
      <c r="W401" s="37" t="s">
        <v>69</v>
      </c>
      <c r="X401" s="549">
        <f>IFERROR(SUM(X391:X399),"0")</f>
        <v>49</v>
      </c>
      <c r="Y401" s="549">
        <f>IFERROR(SUM(Y391:Y399),"0")</f>
        <v>50.400000000000006</v>
      </c>
      <c r="Z401" s="37"/>
      <c r="AA401" s="550"/>
      <c r="AB401" s="550"/>
      <c r="AC401" s="550"/>
    </row>
    <row r="402" spans="1:68" ht="14.25" customHeight="1" x14ac:dyDescent="0.25">
      <c r="A402" s="563" t="s">
        <v>77</v>
      </c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2"/>
      <c r="P402" s="562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9">
        <v>4607091384352</v>
      </c>
      <c r="E403" s="560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9">
        <v>4607091389654</v>
      </c>
      <c r="E404" s="560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9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70"/>
      <c r="P405" s="564" t="s">
        <v>75</v>
      </c>
      <c r="Q405" s="565"/>
      <c r="R405" s="565"/>
      <c r="S405" s="565"/>
      <c r="T405" s="565"/>
      <c r="U405" s="565"/>
      <c r="V405" s="566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70"/>
      <c r="P406" s="564" t="s">
        <v>75</v>
      </c>
      <c r="Q406" s="565"/>
      <c r="R406" s="565"/>
      <c r="S406" s="565"/>
      <c r="T406" s="565"/>
      <c r="U406" s="565"/>
      <c r="V406" s="566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61" t="s">
        <v>640</v>
      </c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2"/>
      <c r="P407" s="562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  <c r="AA407" s="542"/>
      <c r="AB407" s="542"/>
      <c r="AC407" s="542"/>
    </row>
    <row r="408" spans="1:68" ht="14.25" customHeight="1" x14ac:dyDescent="0.25">
      <c r="A408" s="563" t="s">
        <v>137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9">
        <v>4680115885240</v>
      </c>
      <c r="E409" s="560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9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70"/>
      <c r="P410" s="564" t="s">
        <v>75</v>
      </c>
      <c r="Q410" s="565"/>
      <c r="R410" s="565"/>
      <c r="S410" s="565"/>
      <c r="T410" s="565"/>
      <c r="U410" s="565"/>
      <c r="V410" s="566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70"/>
      <c r="P411" s="564" t="s">
        <v>75</v>
      </c>
      <c r="Q411" s="565"/>
      <c r="R411" s="565"/>
      <c r="S411" s="565"/>
      <c r="T411" s="565"/>
      <c r="U411" s="565"/>
      <c r="V411" s="566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63" t="s">
        <v>64</v>
      </c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2"/>
      <c r="P412" s="562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9">
        <v>4680115886094</v>
      </c>
      <c r="E413" s="560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9">
        <v>4607091389425</v>
      </c>
      <c r="E414" s="560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9">
        <v>4680115880771</v>
      </c>
      <c r="E415" s="560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9">
        <v>4607091389500</v>
      </c>
      <c r="E416" s="560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9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70"/>
      <c r="P417" s="564" t="s">
        <v>75</v>
      </c>
      <c r="Q417" s="565"/>
      <c r="R417" s="565"/>
      <c r="S417" s="565"/>
      <c r="T417" s="565"/>
      <c r="U417" s="565"/>
      <c r="V417" s="566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70"/>
      <c r="P418" s="564" t="s">
        <v>75</v>
      </c>
      <c r="Q418" s="565"/>
      <c r="R418" s="565"/>
      <c r="S418" s="565"/>
      <c r="T418" s="565"/>
      <c r="U418" s="565"/>
      <c r="V418" s="566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customHeight="1" x14ac:dyDescent="0.25">
      <c r="A419" s="561" t="s">
        <v>655</v>
      </c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2"/>
      <c r="P419" s="562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  <c r="AA419" s="542"/>
      <c r="AB419" s="542"/>
      <c r="AC419" s="542"/>
    </row>
    <row r="420" spans="1:68" ht="14.25" customHeight="1" x14ac:dyDescent="0.25">
      <c r="A420" s="563" t="s">
        <v>64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9">
        <v>4680115885110</v>
      </c>
      <c r="E421" s="560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20</v>
      </c>
      <c r="Y421" s="548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69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70"/>
      <c r="P422" s="564" t="s">
        <v>75</v>
      </c>
      <c r="Q422" s="565"/>
      <c r="R422" s="565"/>
      <c r="S422" s="565"/>
      <c r="T422" s="565"/>
      <c r="U422" s="565"/>
      <c r="V422" s="566"/>
      <c r="W422" s="37" t="s">
        <v>76</v>
      </c>
      <c r="X422" s="549">
        <f>IFERROR(X421/H421,"0")</f>
        <v>16.666666666666668</v>
      </c>
      <c r="Y422" s="549">
        <f>IFERROR(Y421/H421,"0")</f>
        <v>17</v>
      </c>
      <c r="Z422" s="549">
        <f>IFERROR(IF(Z421="",0,Z421),"0")</f>
        <v>0.11067</v>
      </c>
      <c r="AA422" s="550"/>
      <c r="AB422" s="550"/>
      <c r="AC422" s="550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70"/>
      <c r="P423" s="564" t="s">
        <v>75</v>
      </c>
      <c r="Q423" s="565"/>
      <c r="R423" s="565"/>
      <c r="S423" s="565"/>
      <c r="T423" s="565"/>
      <c r="U423" s="565"/>
      <c r="V423" s="566"/>
      <c r="W423" s="37" t="s">
        <v>69</v>
      </c>
      <c r="X423" s="549">
        <f>IFERROR(SUM(X421:X421),"0")</f>
        <v>20</v>
      </c>
      <c r="Y423" s="549">
        <f>IFERROR(SUM(Y421:Y421),"0")</f>
        <v>20.399999999999999</v>
      </c>
      <c r="Z423" s="37"/>
      <c r="AA423" s="550"/>
      <c r="AB423" s="550"/>
      <c r="AC423" s="550"/>
    </row>
    <row r="424" spans="1:68" ht="27.75" customHeight="1" x14ac:dyDescent="0.2">
      <c r="A424" s="641" t="s">
        <v>659</v>
      </c>
      <c r="B424" s="642"/>
      <c r="C424" s="642"/>
      <c r="D424" s="642"/>
      <c r="E424" s="642"/>
      <c r="F424" s="642"/>
      <c r="G424" s="642"/>
      <c r="H424" s="642"/>
      <c r="I424" s="642"/>
      <c r="J424" s="642"/>
      <c r="K424" s="642"/>
      <c r="L424" s="642"/>
      <c r="M424" s="642"/>
      <c r="N424" s="642"/>
      <c r="O424" s="642"/>
      <c r="P424" s="642"/>
      <c r="Q424" s="642"/>
      <c r="R424" s="642"/>
      <c r="S424" s="642"/>
      <c r="T424" s="642"/>
      <c r="U424" s="642"/>
      <c r="V424" s="642"/>
      <c r="W424" s="642"/>
      <c r="X424" s="642"/>
      <c r="Y424" s="642"/>
      <c r="Z424" s="642"/>
      <c r="AA424" s="48"/>
      <c r="AB424" s="48"/>
      <c r="AC424" s="48"/>
    </row>
    <row r="425" spans="1:68" ht="16.5" customHeight="1" x14ac:dyDescent="0.25">
      <c r="A425" s="561" t="s">
        <v>659</v>
      </c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2"/>
      <c r="P425" s="562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  <c r="AA425" s="542"/>
      <c r="AB425" s="542"/>
      <c r="AC425" s="542"/>
    </row>
    <row r="426" spans="1:68" ht="14.25" customHeight="1" x14ac:dyDescent="0.25">
      <c r="A426" s="563" t="s">
        <v>101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9">
        <v>4607091389067</v>
      </c>
      <c r="E427" s="560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9">
        <v>4607091383522</v>
      </c>
      <c r="E428" s="560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9">
        <v>4607091383522</v>
      </c>
      <c r="E429" s="560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9">
        <v>4680115885271</v>
      </c>
      <c r="E430" s="560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9">
        <v>4680115885226</v>
      </c>
      <c r="E431" s="560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150</v>
      </c>
      <c r="Y431" s="548">
        <f t="shared" si="47"/>
        <v>153.12</v>
      </c>
      <c r="Z431" s="36">
        <f t="shared" si="48"/>
        <v>0.34683999999999998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159.94318181818181</v>
      </c>
      <c r="BN431" s="64">
        <f t="shared" si="50"/>
        <v>163.26999999999998</v>
      </c>
      <c r="BO431" s="64">
        <f t="shared" si="51"/>
        <v>0.27316433566433568</v>
      </c>
      <c r="BP431" s="64">
        <f t="shared" si="52"/>
        <v>0.27884615384615385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9">
        <v>4680115884502</v>
      </c>
      <c r="E432" s="560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9">
        <v>4607091389104</v>
      </c>
      <c r="E433" s="560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250</v>
      </c>
      <c r="Y433" s="548">
        <f t="shared" si="47"/>
        <v>253.44</v>
      </c>
      <c r="Z433" s="36">
        <f t="shared" si="48"/>
        <v>0.57408000000000003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266.57196969696969</v>
      </c>
      <c r="BN433" s="64">
        <f t="shared" si="50"/>
        <v>270.23999999999995</v>
      </c>
      <c r="BO433" s="64">
        <f t="shared" si="51"/>
        <v>0.45527389277389274</v>
      </c>
      <c r="BP433" s="64">
        <f t="shared" si="52"/>
        <v>0.46153846153846156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9">
        <v>4680115886391</v>
      </c>
      <c r="E434" s="560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9">
        <v>4680115880603</v>
      </c>
      <c r="E435" s="560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9">
        <v>4680115882782</v>
      </c>
      <c r="E436" s="560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9">
        <v>4680115885479</v>
      </c>
      <c r="E437" s="560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9">
        <v>4607091389982</v>
      </c>
      <c r="E438" s="560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2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9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70"/>
      <c r="P439" s="564" t="s">
        <v>75</v>
      </c>
      <c r="Q439" s="565"/>
      <c r="R439" s="565"/>
      <c r="S439" s="565"/>
      <c r="T439" s="565"/>
      <c r="U439" s="565"/>
      <c r="V439" s="566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100.75757575757575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102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1.14642</v>
      </c>
      <c r="AA439" s="550"/>
      <c r="AB439" s="550"/>
      <c r="AC439" s="550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70"/>
      <c r="P440" s="564" t="s">
        <v>75</v>
      </c>
      <c r="Q440" s="565"/>
      <c r="R440" s="565"/>
      <c r="S440" s="565"/>
      <c r="T440" s="565"/>
      <c r="U440" s="565"/>
      <c r="V440" s="566"/>
      <c r="W440" s="37" t="s">
        <v>69</v>
      </c>
      <c r="X440" s="549">
        <f>IFERROR(SUM(X427:X438),"0")</f>
        <v>520</v>
      </c>
      <c r="Y440" s="549">
        <f>IFERROR(SUM(Y427:Y438),"0")</f>
        <v>526.55999999999995</v>
      </c>
      <c r="Z440" s="37"/>
      <c r="AA440" s="550"/>
      <c r="AB440" s="550"/>
      <c r="AC440" s="550"/>
    </row>
    <row r="441" spans="1:68" ht="14.25" customHeight="1" x14ac:dyDescent="0.25">
      <c r="A441" s="563" t="s">
        <v>137</v>
      </c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2"/>
      <c r="P441" s="562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9">
        <v>4607091388930</v>
      </c>
      <c r="E442" s="560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400</v>
      </c>
      <c r="Y442" s="548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9">
        <v>4680115886407</v>
      </c>
      <c r="E443" s="560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9">
        <v>4680115880054</v>
      </c>
      <c r="E444" s="560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9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70"/>
      <c r="P445" s="564" t="s">
        <v>75</v>
      </c>
      <c r="Q445" s="565"/>
      <c r="R445" s="565"/>
      <c r="S445" s="565"/>
      <c r="T445" s="565"/>
      <c r="U445" s="565"/>
      <c r="V445" s="566"/>
      <c r="W445" s="37" t="s">
        <v>76</v>
      </c>
      <c r="X445" s="549">
        <f>IFERROR(X442/H442,"0")+IFERROR(X443/H443,"0")+IFERROR(X444/H444,"0")</f>
        <v>75.757575757575751</v>
      </c>
      <c r="Y445" s="549">
        <f>IFERROR(Y442/H442,"0")+IFERROR(Y443/H443,"0")+IFERROR(Y444/H444,"0")</f>
        <v>76</v>
      </c>
      <c r="Z445" s="549">
        <f>IFERROR(IF(Z442="",0,Z442),"0")+IFERROR(IF(Z443="",0,Z443),"0")+IFERROR(IF(Z444="",0,Z444),"0")</f>
        <v>0.90895999999999999</v>
      </c>
      <c r="AA445" s="550"/>
      <c r="AB445" s="550"/>
      <c r="AC445" s="550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70"/>
      <c r="P446" s="564" t="s">
        <v>75</v>
      </c>
      <c r="Q446" s="565"/>
      <c r="R446" s="565"/>
      <c r="S446" s="565"/>
      <c r="T446" s="565"/>
      <c r="U446" s="565"/>
      <c r="V446" s="566"/>
      <c r="W446" s="37" t="s">
        <v>69</v>
      </c>
      <c r="X446" s="549">
        <f>IFERROR(SUM(X442:X444),"0")</f>
        <v>400</v>
      </c>
      <c r="Y446" s="549">
        <f>IFERROR(SUM(Y442:Y444),"0")</f>
        <v>401.28000000000003</v>
      </c>
      <c r="Z446" s="37"/>
      <c r="AA446" s="550"/>
      <c r="AB446" s="550"/>
      <c r="AC446" s="550"/>
    </row>
    <row r="447" spans="1:68" ht="14.25" customHeight="1" x14ac:dyDescent="0.25">
      <c r="A447" s="563" t="s">
        <v>64</v>
      </c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2"/>
      <c r="P447" s="562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9">
        <v>4680115883116</v>
      </c>
      <c r="E448" s="560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9">
        <v>4680115883093</v>
      </c>
      <c r="E449" s="560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180</v>
      </c>
      <c r="Y449" s="548">
        <f t="shared" si="53"/>
        <v>184.8</v>
      </c>
      <c r="Z449" s="36">
        <f>IFERROR(IF(Y449=0,"",ROUNDUP(Y449/H449,0)*0.01196),"")</f>
        <v>0.41860000000000003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191.93181818181816</v>
      </c>
      <c r="BN449" s="64">
        <f t="shared" si="55"/>
        <v>197.04999999999998</v>
      </c>
      <c r="BO449" s="64">
        <f t="shared" si="56"/>
        <v>0.32779720279720276</v>
      </c>
      <c r="BP449" s="64">
        <f t="shared" si="57"/>
        <v>0.33653846153846156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9">
        <v>4680115883109</v>
      </c>
      <c r="E450" s="560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280</v>
      </c>
      <c r="Y450" s="548">
        <f t="shared" si="53"/>
        <v>285.12</v>
      </c>
      <c r="Z450" s="36">
        <f>IFERROR(IF(Y450=0,"",ROUNDUP(Y450/H450,0)*0.01196),"")</f>
        <v>0.64583999999999997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298.56060606060601</v>
      </c>
      <c r="BN450" s="64">
        <f t="shared" si="55"/>
        <v>304.02</v>
      </c>
      <c r="BO450" s="64">
        <f t="shared" si="56"/>
        <v>0.50990675990675993</v>
      </c>
      <c r="BP450" s="64">
        <f t="shared" si="57"/>
        <v>0.51923076923076927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9">
        <v>4680115882072</v>
      </c>
      <c r="E451" s="560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62.4</v>
      </c>
      <c r="Z451" s="36">
        <f>IFERROR(IF(Y451=0,"",ROUNDUP(Y451/H451,0)*0.00902),"")</f>
        <v>0.11726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86.375000000000014</v>
      </c>
      <c r="BN451" s="64">
        <f t="shared" si="55"/>
        <v>89.830000000000013</v>
      </c>
      <c r="BO451" s="64">
        <f t="shared" si="56"/>
        <v>9.4696969696969696E-2</v>
      </c>
      <c r="BP451" s="64">
        <f t="shared" si="57"/>
        <v>9.8484848484848481E-2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9">
        <v>4680115882102</v>
      </c>
      <c r="E452" s="560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9">
        <v>4680115882096</v>
      </c>
      <c r="E453" s="560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96</v>
      </c>
      <c r="Y453" s="548">
        <f t="shared" si="53"/>
        <v>96</v>
      </c>
      <c r="Z453" s="36">
        <f>IFERROR(IF(Y453=0,"",ROUNDUP(Y453/H453,0)*0.00902),"")</f>
        <v>0.1804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133.4</v>
      </c>
      <c r="BN453" s="64">
        <f t="shared" si="55"/>
        <v>133.4</v>
      </c>
      <c r="BO453" s="64">
        <f t="shared" si="56"/>
        <v>0.15151515151515152</v>
      </c>
      <c r="BP453" s="64">
        <f t="shared" si="57"/>
        <v>0.15151515151515152</v>
      </c>
    </row>
    <row r="454" spans="1:68" x14ac:dyDescent="0.2">
      <c r="A454" s="569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70"/>
      <c r="P454" s="564" t="s">
        <v>75</v>
      </c>
      <c r="Q454" s="565"/>
      <c r="R454" s="565"/>
      <c r="S454" s="565"/>
      <c r="T454" s="565"/>
      <c r="U454" s="565"/>
      <c r="V454" s="566"/>
      <c r="W454" s="37" t="s">
        <v>76</v>
      </c>
      <c r="X454" s="549">
        <f>IFERROR(X448/H448,"0")+IFERROR(X449/H449,"0")+IFERROR(X450/H450,"0")+IFERROR(X451/H451,"0")+IFERROR(X452/H452,"0")+IFERROR(X453/H453,"0")</f>
        <v>129.09090909090909</v>
      </c>
      <c r="Y454" s="549">
        <f>IFERROR(Y448/H448,"0")+IFERROR(Y449/H449,"0")+IFERROR(Y450/H450,"0")+IFERROR(Y451/H451,"0")+IFERROR(Y452/H452,"0")+IFERROR(Y453/H453,"0")</f>
        <v>132</v>
      </c>
      <c r="Z454" s="549">
        <f>IFERROR(IF(Z448="",0,Z448),"0")+IFERROR(IF(Z449="",0,Z449),"0")+IFERROR(IF(Z450="",0,Z450),"0")+IFERROR(IF(Z451="",0,Z451),"0")+IFERROR(IF(Z452="",0,Z452),"0")+IFERROR(IF(Z453="",0,Z453),"0")</f>
        <v>1.4817</v>
      </c>
      <c r="AA454" s="550"/>
      <c r="AB454" s="550"/>
      <c r="AC454" s="550"/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70"/>
      <c r="P455" s="564" t="s">
        <v>75</v>
      </c>
      <c r="Q455" s="565"/>
      <c r="R455" s="565"/>
      <c r="S455" s="565"/>
      <c r="T455" s="565"/>
      <c r="U455" s="565"/>
      <c r="V455" s="566"/>
      <c r="W455" s="37" t="s">
        <v>69</v>
      </c>
      <c r="X455" s="549">
        <f>IFERROR(SUM(X448:X453),"0")</f>
        <v>666</v>
      </c>
      <c r="Y455" s="549">
        <f>IFERROR(SUM(Y448:Y453),"0")</f>
        <v>681.12</v>
      </c>
      <c r="Z455" s="37"/>
      <c r="AA455" s="550"/>
      <c r="AB455" s="550"/>
      <c r="AC455" s="550"/>
    </row>
    <row r="456" spans="1:68" ht="14.25" customHeight="1" x14ac:dyDescent="0.25">
      <c r="A456" s="563" t="s">
        <v>77</v>
      </c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2"/>
      <c r="P456" s="562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9">
        <v>4680115883536</v>
      </c>
      <c r="E457" s="560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9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70"/>
      <c r="P458" s="564" t="s">
        <v>75</v>
      </c>
      <c r="Q458" s="565"/>
      <c r="R458" s="565"/>
      <c r="S458" s="565"/>
      <c r="T458" s="565"/>
      <c r="U458" s="565"/>
      <c r="V458" s="566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70"/>
      <c r="P459" s="564" t="s">
        <v>75</v>
      </c>
      <c r="Q459" s="565"/>
      <c r="R459" s="565"/>
      <c r="S459" s="565"/>
      <c r="T459" s="565"/>
      <c r="U459" s="565"/>
      <c r="V459" s="566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1" t="s">
        <v>714</v>
      </c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42"/>
      <c r="P460" s="642"/>
      <c r="Q460" s="642"/>
      <c r="R460" s="642"/>
      <c r="S460" s="642"/>
      <c r="T460" s="642"/>
      <c r="U460" s="642"/>
      <c r="V460" s="642"/>
      <c r="W460" s="642"/>
      <c r="X460" s="642"/>
      <c r="Y460" s="642"/>
      <c r="Z460" s="642"/>
      <c r="AA460" s="48"/>
      <c r="AB460" s="48"/>
      <c r="AC460" s="48"/>
    </row>
    <row r="461" spans="1:68" ht="16.5" customHeight="1" x14ac:dyDescent="0.25">
      <c r="A461" s="561" t="s">
        <v>714</v>
      </c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2"/>
      <c r="P461" s="562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  <c r="AA461" s="542"/>
      <c r="AB461" s="542"/>
      <c r="AC461" s="542"/>
    </row>
    <row r="462" spans="1:68" ht="14.25" customHeight="1" x14ac:dyDescent="0.25">
      <c r="A462" s="563" t="s">
        <v>101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9">
        <v>4640242181011</v>
      </c>
      <c r="E463" s="560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1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9">
        <v>4640242180441</v>
      </c>
      <c r="E464" s="560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9">
        <v>4640242180564</v>
      </c>
      <c r="E465" s="560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9">
        <v>4640242181189</v>
      </c>
      <c r="E466" s="560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9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70"/>
      <c r="P467" s="564" t="s">
        <v>75</v>
      </c>
      <c r="Q467" s="565"/>
      <c r="R467" s="565"/>
      <c r="S467" s="565"/>
      <c r="T467" s="565"/>
      <c r="U467" s="565"/>
      <c r="V467" s="566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70"/>
      <c r="P468" s="564" t="s">
        <v>75</v>
      </c>
      <c r="Q468" s="565"/>
      <c r="R468" s="565"/>
      <c r="S468" s="565"/>
      <c r="T468" s="565"/>
      <c r="U468" s="565"/>
      <c r="V468" s="566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63" t="s">
        <v>137</v>
      </c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2"/>
      <c r="P469" s="562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9">
        <v>4640242180519</v>
      </c>
      <c r="E470" s="560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9">
        <v>4640242180526</v>
      </c>
      <c r="E471" s="560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3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9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70"/>
      <c r="P472" s="564" t="s">
        <v>75</v>
      </c>
      <c r="Q472" s="565"/>
      <c r="R472" s="565"/>
      <c r="S472" s="565"/>
      <c r="T472" s="565"/>
      <c r="U472" s="565"/>
      <c r="V472" s="566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70"/>
      <c r="P473" s="564" t="s">
        <v>75</v>
      </c>
      <c r="Q473" s="565"/>
      <c r="R473" s="565"/>
      <c r="S473" s="565"/>
      <c r="T473" s="565"/>
      <c r="U473" s="565"/>
      <c r="V473" s="566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63" t="s">
        <v>64</v>
      </c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2"/>
      <c r="P474" s="562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9">
        <v>4640242180595</v>
      </c>
      <c r="E475" s="560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9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70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70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2"/>
      <c r="P478" s="562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9">
        <v>4640242180533</v>
      </c>
      <c r="E479" s="560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1500</v>
      </c>
      <c r="Y479" s="548">
        <f>IFERROR(IF(X479="",0,CEILING((X479/$H479),1)*$H479),"")</f>
        <v>1503</v>
      </c>
      <c r="Z479" s="36">
        <f>IFERROR(IF(Y479=0,"",ROUNDUP(Y479/H479,0)*0.01898),"")</f>
        <v>3.1696599999999999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1582.3333333333333</v>
      </c>
      <c r="BN479" s="64">
        <f>IFERROR(Y479*I479/H479,"0")</f>
        <v>1585.498</v>
      </c>
      <c r="BO479" s="64">
        <f>IFERROR(1/J479*(X479/H479),"0")</f>
        <v>2.6041666666666665</v>
      </c>
      <c r="BP479" s="64">
        <f>IFERROR(1/J479*(Y479/H479),"0")</f>
        <v>2.609375</v>
      </c>
    </row>
    <row r="480" spans="1:68" x14ac:dyDescent="0.2">
      <c r="A480" s="569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166.66666666666666</v>
      </c>
      <c r="Y480" s="549">
        <f>IFERROR(Y479/H479,"0")</f>
        <v>167</v>
      </c>
      <c r="Z480" s="549">
        <f>IFERROR(IF(Z479="",0,Z479),"0")</f>
        <v>3.1696599999999999</v>
      </c>
      <c r="AA480" s="550"/>
      <c r="AB480" s="550"/>
      <c r="AC480" s="550"/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70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1500</v>
      </c>
      <c r="Y481" s="549">
        <f>IFERROR(SUM(Y479:Y479),"0")</f>
        <v>1503</v>
      </c>
      <c r="Z481" s="37"/>
      <c r="AA481" s="550"/>
      <c r="AB481" s="550"/>
      <c r="AC481" s="550"/>
    </row>
    <row r="482" spans="1:68" ht="14.25" customHeight="1" x14ac:dyDescent="0.25">
      <c r="A482" s="563" t="s">
        <v>162</v>
      </c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2"/>
      <c r="P482" s="562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9">
        <v>4640242180120</v>
      </c>
      <c r="E483" s="560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0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9">
        <v>4640242180137</v>
      </c>
      <c r="E484" s="560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9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70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70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1" t="s">
        <v>744</v>
      </c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2"/>
      <c r="P487" s="562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  <c r="AA487" s="542"/>
      <c r="AB487" s="542"/>
      <c r="AC487" s="542"/>
    </row>
    <row r="488" spans="1:68" ht="14.25" customHeight="1" x14ac:dyDescent="0.25">
      <c r="A488" s="563" t="s">
        <v>137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9">
        <v>4640242180090</v>
      </c>
      <c r="E489" s="560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9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70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70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5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721"/>
      <c r="P492" s="711" t="s">
        <v>748</v>
      </c>
      <c r="Q492" s="671"/>
      <c r="R492" s="671"/>
      <c r="S492" s="671"/>
      <c r="T492" s="671"/>
      <c r="U492" s="671"/>
      <c r="V492" s="672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17585.099999999999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17755.46</v>
      </c>
      <c r="Z492" s="37"/>
      <c r="AA492" s="550"/>
      <c r="AB492" s="550"/>
      <c r="AC492" s="550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1"/>
      <c r="P493" s="711" t="s">
        <v>749</v>
      </c>
      <c r="Q493" s="671"/>
      <c r="R493" s="671"/>
      <c r="S493" s="671"/>
      <c r="T493" s="671"/>
      <c r="U493" s="671"/>
      <c r="V493" s="672"/>
      <c r="W493" s="37" t="s">
        <v>69</v>
      </c>
      <c r="X493" s="549">
        <f>IFERROR(SUM(BM22:BM489),"0")</f>
        <v>18591.347053355323</v>
      </c>
      <c r="Y493" s="549">
        <f>IFERROR(SUM(BN22:BN489),"0")</f>
        <v>18772.212000000003</v>
      </c>
      <c r="Z493" s="37"/>
      <c r="AA493" s="550"/>
      <c r="AB493" s="550"/>
      <c r="AC493" s="550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1"/>
      <c r="P494" s="711" t="s">
        <v>750</v>
      </c>
      <c r="Q494" s="671"/>
      <c r="R494" s="671"/>
      <c r="S494" s="671"/>
      <c r="T494" s="671"/>
      <c r="U494" s="671"/>
      <c r="V494" s="672"/>
      <c r="W494" s="37" t="s">
        <v>751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1"/>
      <c r="P495" s="711" t="s">
        <v>752</v>
      </c>
      <c r="Q495" s="671"/>
      <c r="R495" s="671"/>
      <c r="S495" s="671"/>
      <c r="T495" s="671"/>
      <c r="U495" s="671"/>
      <c r="V495" s="672"/>
      <c r="W495" s="37" t="s">
        <v>69</v>
      </c>
      <c r="X495" s="549">
        <f>GrossWeightTotal+PalletQtyTotal*25</f>
        <v>19341.347053355323</v>
      </c>
      <c r="Y495" s="549">
        <f>GrossWeightTotalR+PalletQtyTotalR*25</f>
        <v>19522.212000000003</v>
      </c>
      <c r="Z495" s="37"/>
      <c r="AA495" s="550"/>
      <c r="AB495" s="550"/>
      <c r="AC495" s="550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1"/>
      <c r="P496" s="711" t="s">
        <v>753</v>
      </c>
      <c r="Q496" s="671"/>
      <c r="R496" s="671"/>
      <c r="S496" s="671"/>
      <c r="T496" s="671"/>
      <c r="U496" s="671"/>
      <c r="V496" s="672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2909.8658777365667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2939</v>
      </c>
      <c r="Z496" s="37"/>
      <c r="AA496" s="550"/>
      <c r="AB496" s="550"/>
      <c r="AC496" s="550"/>
    </row>
    <row r="497" spans="1:32" ht="14.25" customHeight="1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1"/>
      <c r="P497" s="711" t="s">
        <v>754</v>
      </c>
      <c r="Q497" s="671"/>
      <c r="R497" s="671"/>
      <c r="S497" s="671"/>
      <c r="T497" s="671"/>
      <c r="U497" s="671"/>
      <c r="V497" s="672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34.290669999999992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7" t="s">
        <v>99</v>
      </c>
      <c r="D499" s="605"/>
      <c r="E499" s="605"/>
      <c r="F499" s="605"/>
      <c r="G499" s="605"/>
      <c r="H499" s="606"/>
      <c r="I499" s="597" t="s">
        <v>273</v>
      </c>
      <c r="J499" s="605"/>
      <c r="K499" s="605"/>
      <c r="L499" s="605"/>
      <c r="M499" s="605"/>
      <c r="N499" s="605"/>
      <c r="O499" s="605"/>
      <c r="P499" s="605"/>
      <c r="Q499" s="605"/>
      <c r="R499" s="606"/>
      <c r="S499" s="597" t="s">
        <v>554</v>
      </c>
      <c r="T499" s="606"/>
      <c r="U499" s="597" t="s">
        <v>608</v>
      </c>
      <c r="V499" s="605"/>
      <c r="W499" s="606"/>
      <c r="X499" s="544" t="s">
        <v>659</v>
      </c>
      <c r="Y499" s="597" t="s">
        <v>714</v>
      </c>
      <c r="Z499" s="606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7" t="s">
        <v>63</v>
      </c>
      <c r="C500" s="597" t="s">
        <v>100</v>
      </c>
      <c r="D500" s="597" t="s">
        <v>118</v>
      </c>
      <c r="E500" s="597" t="s">
        <v>169</v>
      </c>
      <c r="F500" s="597" t="s">
        <v>192</v>
      </c>
      <c r="G500" s="597" t="s">
        <v>230</v>
      </c>
      <c r="H500" s="597" t="s">
        <v>99</v>
      </c>
      <c r="I500" s="597" t="s">
        <v>274</v>
      </c>
      <c r="J500" s="597" t="s">
        <v>324</v>
      </c>
      <c r="K500" s="597" t="s">
        <v>383</v>
      </c>
      <c r="L500" s="597" t="s">
        <v>423</v>
      </c>
      <c r="M500" s="597" t="s">
        <v>439</v>
      </c>
      <c r="N500" s="545"/>
      <c r="O500" s="597" t="s">
        <v>450</v>
      </c>
      <c r="P500" s="597" t="s">
        <v>459</v>
      </c>
      <c r="Q500" s="597" t="s">
        <v>472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714</v>
      </c>
      <c r="Z500" s="597" t="s">
        <v>744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1650.6000000000001</v>
      </c>
      <c r="E502" s="46">
        <f>IFERROR(Y85*1,"0")+IFERROR(Y86*1,"0")+IFERROR(Y87*1,"0")+IFERROR(Y88*1,"0")+IFERROR(Y92*1,"0")+IFERROR(Y93*1,"0")+IFERROR(Y94*1,"0")+IFERROR(Y95*1,"0")</f>
        <v>601.20000000000005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1128.5999999999999</v>
      </c>
      <c r="G502" s="46">
        <f>IFERROR(Y127*1,"0")+IFERROR(Y128*1,"0")+IFERROR(Y132*1,"0")+IFERROR(Y133*1,"0")+IFERROR(Y137*1,"0")+IFERROR(Y138*1,"0")</f>
        <v>91.76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464.94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1314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205.49999999999997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201.6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683.4</v>
      </c>
      <c r="R502" s="46">
        <f>IFERROR(Y340*1,"0")+IFERROR(Y341*1,"0")+IFERROR(Y342*1,"0")</f>
        <v>632.1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7494</v>
      </c>
      <c r="T502" s="46">
        <f>IFERROR(Y373*1,"0")+IFERROR(Y374*1,"0")+IFERROR(Y378*1,"0")+IFERROR(Y379*1,"0")+IFERROR(Y383*1,"0")+IFERROR(Y384*1,"0")+IFERROR(Y385*1,"0")</f>
        <v>105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50.400000000000006</v>
      </c>
      <c r="V502" s="46">
        <f>IFERROR(Y409*1,"0")+IFERROR(Y413*1,"0")+IFERROR(Y414*1,"0")+IFERROR(Y415*1,"0")+IFERROR(Y416*1,"0")</f>
        <v>0</v>
      </c>
      <c r="W502" s="46">
        <f>IFERROR(Y421*1,"0")</f>
        <v>20.399999999999999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1608.96</v>
      </c>
      <c r="Y502" s="46">
        <f>IFERROR(Y463*1,"0")+IFERROR(Y464*1,"0")+IFERROR(Y465*1,"0")+IFERROR(Y466*1,"0")+IFERROR(Y470*1,"0")+IFERROR(Y471*1,"0")+IFERROR(Y475*1,"0")+IFERROR(Y479*1,"0")+IFERROR(Y483*1,"0")+IFERROR(Y484*1,"0")</f>
        <v>1503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D218:E21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A107:Z107"/>
    <mergeCell ref="A51:Z51"/>
    <mergeCell ref="D341:E341"/>
    <mergeCell ref="D170:E170"/>
    <mergeCell ref="P72:T72"/>
    <mergeCell ref="A58:O59"/>
    <mergeCell ref="P484:T484"/>
    <mergeCell ref="A478:Z478"/>
    <mergeCell ref="W500:W501"/>
    <mergeCell ref="P436:T436"/>
    <mergeCell ref="P145:V145"/>
    <mergeCell ref="D29:E29"/>
    <mergeCell ref="D23:E23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64:O65"/>
    <mergeCell ref="D321:E321"/>
    <mergeCell ref="P278:T278"/>
    <mergeCell ref="D150:E150"/>
    <mergeCell ref="P129:V129"/>
    <mergeCell ref="P101:T101"/>
    <mergeCell ref="P465:T465"/>
    <mergeCell ref="D215:E215"/>
    <mergeCell ref="P250:V2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AA17:AA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38:E438"/>
    <mergeCell ref="P395:T395"/>
    <mergeCell ref="D359:E359"/>
    <mergeCell ref="H17:H18"/>
    <mergeCell ref="P261:T261"/>
    <mergeCell ref="D204:E204"/>
    <mergeCell ref="P217:T217"/>
    <mergeCell ref="D198:E198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A419:Z419"/>
    <mergeCell ref="P204:T204"/>
    <mergeCell ref="P306:T306"/>
    <mergeCell ref="A38:Z38"/>
    <mergeCell ref="P455:V455"/>
    <mergeCell ref="A147:Z147"/>
    <mergeCell ref="A454:O455"/>
    <mergeCell ref="P249:V249"/>
    <mergeCell ref="P207:T207"/>
    <mergeCell ref="A372:Z372"/>
    <mergeCell ref="P299:T299"/>
    <mergeCell ref="D138:E138"/>
    <mergeCell ref="T5:U5"/>
    <mergeCell ref="V5:W5"/>
    <mergeCell ref="P374:T374"/>
    <mergeCell ref="P203:T203"/>
    <mergeCell ref="A319:Z319"/>
    <mergeCell ref="D233:E233"/>
    <mergeCell ref="D111:E111"/>
    <mergeCell ref="P212:V212"/>
    <mergeCell ref="D409:E409"/>
    <mergeCell ref="A142:Z142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M500:M501"/>
    <mergeCell ref="A259:Z259"/>
    <mergeCell ref="O500:O501"/>
    <mergeCell ref="A126:Z126"/>
    <mergeCell ref="A424:Z424"/>
    <mergeCell ref="P228:V228"/>
    <mergeCell ref="A12:M12"/>
    <mergeCell ref="P355:V355"/>
    <mergeCell ref="P293:V293"/>
    <mergeCell ref="A482:Z482"/>
    <mergeCell ref="P397:T397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D335:E335"/>
    <mergeCell ref="D68:E68"/>
    <mergeCell ref="A375:O376"/>
    <mergeCell ref="D188:E188"/>
    <mergeCell ref="P322:T322"/>
    <mergeCell ref="D132:E132"/>
    <mergeCell ref="D399:E399"/>
    <mergeCell ref="A439:O440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A441:Z441"/>
    <mergeCell ref="P245:V245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73:T73"/>
    <mergeCell ref="P437:T437"/>
    <mergeCell ref="P315:T315"/>
    <mergeCell ref="P144:T144"/>
    <mergeCell ref="D174:E174"/>
    <mergeCell ref="A83:Z83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P393:T393"/>
    <mergeCell ref="D374:E374"/>
    <mergeCell ref="A338:Z338"/>
    <mergeCell ref="D203:E203"/>
    <mergeCell ref="P165:V165"/>
    <mergeCell ref="P232:T2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