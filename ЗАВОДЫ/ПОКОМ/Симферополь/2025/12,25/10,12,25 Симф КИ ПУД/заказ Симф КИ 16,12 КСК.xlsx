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A4A061B7-6399-4CE8-A215-5CB197E6C52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Y334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Y335" i="1" s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Y315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X286" i="1"/>
  <c r="Y285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Y265" i="1" s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Y256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Y209" i="1" s="1"/>
  <c r="P201" i="1"/>
  <c r="X199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P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Y184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Y178" i="1" s="1"/>
  <c r="X163" i="1"/>
  <c r="X162" i="1"/>
  <c r="BO161" i="1"/>
  <c r="BM161" i="1"/>
  <c r="Y161" i="1"/>
  <c r="I501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Y152" i="1" s="1"/>
  <c r="P149" i="1"/>
  <c r="X147" i="1"/>
  <c r="X146" i="1"/>
  <c r="BO145" i="1"/>
  <c r="BM145" i="1"/>
  <c r="Y145" i="1"/>
  <c r="BP145" i="1" s="1"/>
  <c r="P145" i="1"/>
  <c r="BP144" i="1"/>
  <c r="BO144" i="1"/>
  <c r="BN144" i="1"/>
  <c r="BM144" i="1"/>
  <c r="Z144" i="1"/>
  <c r="Y144" i="1"/>
  <c r="P144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Y141" i="1" s="1"/>
  <c r="P138" i="1"/>
  <c r="X136" i="1"/>
  <c r="X135" i="1"/>
  <c r="BO134" i="1"/>
  <c r="BM134" i="1"/>
  <c r="Y134" i="1"/>
  <c r="BP134" i="1" s="1"/>
  <c r="P134" i="1"/>
  <c r="BP133" i="1"/>
  <c r="BO133" i="1"/>
  <c r="BN133" i="1"/>
  <c r="BM133" i="1"/>
  <c r="Z133" i="1"/>
  <c r="Y133" i="1"/>
  <c r="Y135" i="1" s="1"/>
  <c r="P133" i="1"/>
  <c r="X131" i="1"/>
  <c r="X130" i="1"/>
  <c r="BP129" i="1"/>
  <c r="BO129" i="1"/>
  <c r="BN129" i="1"/>
  <c r="BM129" i="1"/>
  <c r="Z129" i="1"/>
  <c r="Y129" i="1"/>
  <c r="P129" i="1"/>
  <c r="BO128" i="1"/>
  <c r="BM128" i="1"/>
  <c r="Y128" i="1"/>
  <c r="G501" i="1" s="1"/>
  <c r="P128" i="1"/>
  <c r="X125" i="1"/>
  <c r="X124" i="1"/>
  <c r="BO123" i="1"/>
  <c r="BM123" i="1"/>
  <c r="Y123" i="1"/>
  <c r="Y124" i="1" s="1"/>
  <c r="P123" i="1"/>
  <c r="X121" i="1"/>
  <c r="X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Y120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BP109" i="1"/>
  <c r="BO109" i="1"/>
  <c r="BN109" i="1"/>
  <c r="BM109" i="1"/>
  <c r="Z109" i="1"/>
  <c r="Y109" i="1"/>
  <c r="Y114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BP102" i="1" s="1"/>
  <c r="BO101" i="1"/>
  <c r="BM101" i="1"/>
  <c r="Y101" i="1"/>
  <c r="F501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BP86" i="1"/>
  <c r="BO86" i="1"/>
  <c r="BN86" i="1"/>
  <c r="BM86" i="1"/>
  <c r="Z86" i="1"/>
  <c r="Y86" i="1"/>
  <c r="P86" i="1"/>
  <c r="X83" i="1"/>
  <c r="X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Y71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D501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33" i="1" l="1"/>
  <c r="Y58" i="1"/>
  <c r="Y64" i="1"/>
  <c r="Y70" i="1"/>
  <c r="Y78" i="1"/>
  <c r="Y82" i="1"/>
  <c r="Y90" i="1"/>
  <c r="Y98" i="1"/>
  <c r="Y106" i="1"/>
  <c r="Y113" i="1"/>
  <c r="Y121" i="1"/>
  <c r="Y125" i="1"/>
  <c r="Y130" i="1"/>
  <c r="Y136" i="1"/>
  <c r="Y140" i="1"/>
  <c r="Y147" i="1"/>
  <c r="Y153" i="1"/>
  <c r="Y157" i="1"/>
  <c r="Y163" i="1"/>
  <c r="Y177" i="1"/>
  <c r="Y183" i="1"/>
  <c r="Y194" i="1"/>
  <c r="Y199" i="1"/>
  <c r="BP196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BP253" i="1"/>
  <c r="BN253" i="1"/>
  <c r="Z253" i="1"/>
  <c r="BP262" i="1"/>
  <c r="BN262" i="1"/>
  <c r="Z262" i="1"/>
  <c r="BP271" i="1"/>
  <c r="BN271" i="1"/>
  <c r="Z271" i="1"/>
  <c r="Y273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BP314" i="1"/>
  <c r="BN314" i="1"/>
  <c r="Z314" i="1"/>
  <c r="Y316" i="1"/>
  <c r="Y321" i="1"/>
  <c r="BP318" i="1"/>
  <c r="BN318" i="1"/>
  <c r="Z318" i="1"/>
  <c r="BP326" i="1"/>
  <c r="BN326" i="1"/>
  <c r="Z326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L501" i="1"/>
  <c r="Y25" i="1"/>
  <c r="Y37" i="1"/>
  <c r="Y45" i="1"/>
  <c r="Y49" i="1"/>
  <c r="H9" i="1"/>
  <c r="B501" i="1"/>
  <c r="X492" i="1"/>
  <c r="X494" i="1" s="1"/>
  <c r="X493" i="1"/>
  <c r="Z23" i="1"/>
  <c r="Z24" i="1" s="1"/>
  <c r="BN23" i="1"/>
  <c r="Y492" i="1" s="1"/>
  <c r="Y24" i="1"/>
  <c r="X491" i="1"/>
  <c r="Z27" i="1"/>
  <c r="Z32" i="1" s="1"/>
  <c r="BN27" i="1"/>
  <c r="BP27" i="1"/>
  <c r="Y493" i="1" s="1"/>
  <c r="Z29" i="1"/>
  <c r="BN29" i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Y59" i="1"/>
  <c r="Z62" i="1"/>
  <c r="Z64" i="1" s="1"/>
  <c r="BN62" i="1"/>
  <c r="Z68" i="1"/>
  <c r="Z70" i="1" s="1"/>
  <c r="BN68" i="1"/>
  <c r="Z74" i="1"/>
  <c r="Z77" i="1" s="1"/>
  <c r="BN74" i="1"/>
  <c r="Z76" i="1"/>
  <c r="BN76" i="1"/>
  <c r="Z80" i="1"/>
  <c r="Z82" i="1" s="1"/>
  <c r="BN80" i="1"/>
  <c r="BP80" i="1"/>
  <c r="E501" i="1"/>
  <c r="Z88" i="1"/>
  <c r="Z90" i="1" s="1"/>
  <c r="BN88" i="1"/>
  <c r="Y91" i="1"/>
  <c r="Z94" i="1"/>
  <c r="Z97" i="1" s="1"/>
  <c r="BN94" i="1"/>
  <c r="Z96" i="1"/>
  <c r="BN96" i="1"/>
  <c r="Z101" i="1"/>
  <c r="Z106" i="1" s="1"/>
  <c r="BN101" i="1"/>
  <c r="BP101" i="1"/>
  <c r="Z102" i="1"/>
  <c r="BN102" i="1"/>
  <c r="Z104" i="1"/>
  <c r="BN104" i="1"/>
  <c r="Y107" i="1"/>
  <c r="Z111" i="1"/>
  <c r="Z113" i="1" s="1"/>
  <c r="BN111" i="1"/>
  <c r="Z117" i="1"/>
  <c r="Z120" i="1" s="1"/>
  <c r="BN117" i="1"/>
  <c r="Z119" i="1"/>
  <c r="BN119" i="1"/>
  <c r="Z123" i="1"/>
  <c r="Z124" i="1" s="1"/>
  <c r="BN123" i="1"/>
  <c r="BP123" i="1"/>
  <c r="Z128" i="1"/>
  <c r="Z130" i="1" s="1"/>
  <c r="BN128" i="1"/>
  <c r="BP128" i="1"/>
  <c r="Y131" i="1"/>
  <c r="Z134" i="1"/>
  <c r="Z135" i="1" s="1"/>
  <c r="BN134" i="1"/>
  <c r="Z138" i="1"/>
  <c r="Z140" i="1" s="1"/>
  <c r="BN138" i="1"/>
  <c r="BP138" i="1"/>
  <c r="H501" i="1"/>
  <c r="Z145" i="1"/>
  <c r="Z146" i="1" s="1"/>
  <c r="BN145" i="1"/>
  <c r="Y146" i="1"/>
  <c r="Z149" i="1"/>
  <c r="Z152" i="1" s="1"/>
  <c r="BN149" i="1"/>
  <c r="BP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6" i="1"/>
  <c r="Z177" i="1" s="1"/>
  <c r="BN166" i="1"/>
  <c r="Z168" i="1"/>
  <c r="BN168" i="1"/>
  <c r="Z170" i="1"/>
  <c r="BN170" i="1"/>
  <c r="Z172" i="1"/>
  <c r="BN172" i="1"/>
  <c r="Z173" i="1"/>
  <c r="BN173" i="1"/>
  <c r="Z175" i="1"/>
  <c r="BN175" i="1"/>
  <c r="Z181" i="1"/>
  <c r="Z183" i="1" s="1"/>
  <c r="BN181" i="1"/>
  <c r="J501" i="1"/>
  <c r="Z192" i="1"/>
  <c r="Z193" i="1" s="1"/>
  <c r="BN192" i="1"/>
  <c r="Y193" i="1"/>
  <c r="Z196" i="1"/>
  <c r="Z198" i="1" s="1"/>
  <c r="BN196" i="1"/>
  <c r="Y198" i="1"/>
  <c r="BP202" i="1"/>
  <c r="BN202" i="1"/>
  <c r="Z202" i="1"/>
  <c r="BP206" i="1"/>
  <c r="BN206" i="1"/>
  <c r="Z206" i="1"/>
  <c r="BP214" i="1"/>
  <c r="BN214" i="1"/>
  <c r="Z214" i="1"/>
  <c r="BP218" i="1"/>
  <c r="BN218" i="1"/>
  <c r="Z218" i="1"/>
  <c r="Y226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Y280" i="1"/>
  <c r="P501" i="1"/>
  <c r="Y286" i="1"/>
  <c r="BP283" i="1"/>
  <c r="BN283" i="1"/>
  <c r="Z283" i="1"/>
  <c r="Z285" i="1" s="1"/>
  <c r="Y290" i="1"/>
  <c r="BP296" i="1"/>
  <c r="BN296" i="1"/>
  <c r="Z296" i="1"/>
  <c r="BP304" i="1"/>
  <c r="BN304" i="1"/>
  <c r="Z304" i="1"/>
  <c r="Y308" i="1"/>
  <c r="BP312" i="1"/>
  <c r="BN312" i="1"/>
  <c r="Z312" i="1"/>
  <c r="Z315" i="1" s="1"/>
  <c r="BP320" i="1"/>
  <c r="BN320" i="1"/>
  <c r="Z320" i="1"/>
  <c r="Y322" i="1"/>
  <c r="Y329" i="1"/>
  <c r="BP324" i="1"/>
  <c r="BN324" i="1"/>
  <c r="Z324" i="1"/>
  <c r="Z328" i="1" s="1"/>
  <c r="Y328" i="1"/>
  <c r="Z334" i="1"/>
  <c r="BP332" i="1"/>
  <c r="BN332" i="1"/>
  <c r="Z332" i="1"/>
  <c r="Y341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Y494" i="1" l="1"/>
  <c r="Z415" i="1"/>
  <c r="Y495" i="1"/>
  <c r="Y491" i="1"/>
  <c r="Z308" i="1"/>
  <c r="Z299" i="1"/>
  <c r="Z465" i="1"/>
  <c r="Z209" i="1"/>
  <c r="Z58" i="1"/>
  <c r="Z496" i="1" s="1"/>
  <c r="Z321" i="1"/>
  <c r="Z279" i="1"/>
  <c r="Z221" i="1"/>
</calcChain>
</file>

<file path=xl/sharedStrings.xml><?xml version="1.0" encoding="utf-8"?>
<sst xmlns="http://schemas.openxmlformats.org/spreadsheetml/2006/main" count="2293" uniqueCount="775">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</sst>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2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46003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Пятница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0.375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150</v>
      </c>
      <c r="Y41" s="546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 t="s">
        <v>113</v>
      </c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240</v>
      </c>
      <c r="Y42" s="546">
        <f>IFERROR(IF(X42="",0,CEILING((X42/$H42),1)*$H42),"")</f>
        <v>240</v>
      </c>
      <c r="Z42" s="36">
        <f>IFERROR(IF(Y42=0,"",ROUNDUP(Y42/H42,0)*0.00902),"")</f>
        <v>0.54120000000000001</v>
      </c>
      <c r="AA42" s="56"/>
      <c r="AB42" s="57"/>
      <c r="AC42" s="87" t="s">
        <v>108</v>
      </c>
      <c r="AG42" s="64"/>
      <c r="AJ42" s="68" t="s">
        <v>109</v>
      </c>
      <c r="AK42" s="68">
        <v>48</v>
      </c>
      <c r="BB42" s="88" t="s">
        <v>1</v>
      </c>
      <c r="BM42" s="64">
        <f>IFERROR(X42*I42/H42,"0")</f>
        <v>251.40000000000003</v>
      </c>
      <c r="BN42" s="64">
        <f>IFERROR(Y42*I42/H42,"0")</f>
        <v>251.40000000000003</v>
      </c>
      <c r="BO42" s="64">
        <f>IFERROR(1/J42*(X42/H42),"0")</f>
        <v>0.45454545454545459</v>
      </c>
      <c r="BP42" s="64">
        <f>IFERROR(1/J42*(Y42/H42),"0")</f>
        <v>0.45454545454545459</v>
      </c>
    </row>
    <row r="43" spans="1:68" ht="27" customHeight="1" x14ac:dyDescent="0.25">
      <c r="A43" s="54" t="s">
        <v>114</v>
      </c>
      <c r="B43" s="54" t="s">
        <v>115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/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73.888888888888886</v>
      </c>
      <c r="Y44" s="547">
        <f>IFERROR(Y41/H41,"0")+IFERROR(Y42/H42,"0")+IFERROR(Y43/H43,"0")</f>
        <v>74</v>
      </c>
      <c r="Z44" s="547">
        <f>IFERROR(IF(Z41="",0,Z41),"0")+IFERROR(IF(Z42="",0,Z42),"0")+IFERROR(IF(Z43="",0,Z43),"0")</f>
        <v>0.80692000000000008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390</v>
      </c>
      <c r="Y45" s="547">
        <f>IFERROR(SUM(Y41:Y43),"0")</f>
        <v>391.20000000000005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/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200</v>
      </c>
      <c r="Y53" s="546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/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405</v>
      </c>
      <c r="Y57" s="546">
        <f t="shared" si="0"/>
        <v>405</v>
      </c>
      <c r="Z57" s="36">
        <f>IFERROR(IF(Y57=0,"",ROUNDUP(Y57/H57,0)*0.00902),"")</f>
        <v>0.81180000000000008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422.1</v>
      </c>
      <c r="BN57" s="64">
        <f t="shared" si="2"/>
        <v>422.1</v>
      </c>
      <c r="BO57" s="64">
        <f t="shared" si="3"/>
        <v>0.68181818181818188</v>
      </c>
      <c r="BP57" s="64">
        <f t="shared" si="4"/>
        <v>0.68181818181818188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108.51851851851852</v>
      </c>
      <c r="Y58" s="547">
        <f>IFERROR(Y52/H52,"0")+IFERROR(Y53/H53,"0")+IFERROR(Y54/H54,"0")+IFERROR(Y55/H55,"0")+IFERROR(Y56/H56,"0")+IFERROR(Y57/H57,"0")</f>
        <v>109</v>
      </c>
      <c r="Z58" s="547">
        <f>IFERROR(IF(Z52="",0,Z52),"0")+IFERROR(IF(Z53="",0,Z53),"0")+IFERROR(IF(Z54="",0,Z54),"0")+IFERROR(IF(Z55="",0,Z55),"0")+IFERROR(IF(Z56="",0,Z56),"0")+IFERROR(IF(Z57="",0,Z57),"0")</f>
        <v>1.17242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605</v>
      </c>
      <c r="Y59" s="547">
        <f>IFERROR(SUM(Y52:Y57),"0")</f>
        <v>610.20000000000005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180</v>
      </c>
      <c r="Y63" s="546">
        <f>IFERROR(IF(X63="",0,CEILING((X63/$H63),1)*$H63),"")</f>
        <v>180.9</v>
      </c>
      <c r="Z63" s="36">
        <f>IFERROR(IF(Y63=0,"",ROUNDUP(Y63/H63,0)*0.00651),"")</f>
        <v>0.43617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191.99999999999997</v>
      </c>
      <c r="BN63" s="64">
        <f>IFERROR(Y63*I63/H63,"0")</f>
        <v>192.95999999999998</v>
      </c>
      <c r="BO63" s="64">
        <f>IFERROR(1/J63*(X63/H63),"0")</f>
        <v>0.36630036630036628</v>
      </c>
      <c r="BP63" s="64">
        <f>IFERROR(1/J63*(Y63/H63),"0")</f>
        <v>0.36813186813186816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85.185185185185176</v>
      </c>
      <c r="Y64" s="547">
        <f>IFERROR(Y61/H61,"0")+IFERROR(Y62/H62,"0")+IFERROR(Y63/H63,"0")</f>
        <v>86</v>
      </c>
      <c r="Z64" s="547">
        <f>IFERROR(IF(Z61="",0,Z61),"0")+IFERROR(IF(Z62="",0,Z62),"0")+IFERROR(IF(Z63="",0,Z63),"0")</f>
        <v>0.79679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380</v>
      </c>
      <c r="Y65" s="547">
        <f>IFERROR(SUM(Y61:Y63),"0")</f>
        <v>386.1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40</v>
      </c>
      <c r="Y80" s="546">
        <f>IFERROR(IF(X80="",0,CEILING((X80/$H80),1)*$H80),"")</f>
        <v>46.8</v>
      </c>
      <c r="Z80" s="36">
        <f>IFERROR(IF(Y80=0,"",ROUNDUP(Y80/H80,0)*0.01898),"")</f>
        <v>0.11388000000000001</v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42.102564102564109</v>
      </c>
      <c r="BN80" s="64">
        <f>IFERROR(Y80*I80/H80,"0")</f>
        <v>49.260000000000005</v>
      </c>
      <c r="BO80" s="64">
        <f>IFERROR(1/J80*(X80/H80),"0")</f>
        <v>8.0128205128205135E-2</v>
      </c>
      <c r="BP80" s="64">
        <f>IFERROR(1/J80*(Y80/H80),"0")</f>
        <v>9.375E-2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5.1282051282051286</v>
      </c>
      <c r="Y82" s="547">
        <f>IFERROR(Y80/H80,"0")+IFERROR(Y81/H81,"0")</f>
        <v>6</v>
      </c>
      <c r="Z82" s="547">
        <f>IFERROR(IF(Z80="",0,Z80),"0")+IFERROR(IF(Z81="",0,Z81),"0")</f>
        <v>0.11388000000000001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40</v>
      </c>
      <c r="Y83" s="547">
        <f>IFERROR(SUM(Y80:Y81),"0")</f>
        <v>46.8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120</v>
      </c>
      <c r="Y86" s="546">
        <f>IFERROR(IF(X86="",0,CEILING((X86/$H86),1)*$H86),"")</f>
        <v>129.60000000000002</v>
      </c>
      <c r="Z86" s="36">
        <f>IFERROR(IF(Y86=0,"",ROUNDUP(Y86/H86,0)*0.01898),"")</f>
        <v>0.22776000000000002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124.55555555555556</v>
      </c>
      <c r="BN86" s="64">
        <f>IFERROR(Y86*I86/H86,"0")</f>
        <v>134.52000000000001</v>
      </c>
      <c r="BO86" s="64">
        <f>IFERROR(1/J86*(X86/H86),"0")</f>
        <v>0.1736111111111111</v>
      </c>
      <c r="BP86" s="64">
        <f>IFERROR(1/J86*(Y86/H86),"0")</f>
        <v>0.18750000000000003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/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405</v>
      </c>
      <c r="Y89" s="546">
        <f>IFERROR(IF(X89="",0,CEILING((X89/$H89),1)*$H89),"")</f>
        <v>405</v>
      </c>
      <c r="Z89" s="36">
        <f>IFERROR(IF(Y89=0,"",ROUNDUP(Y89/H89,0)*0.00902),"")</f>
        <v>0.81180000000000008</v>
      </c>
      <c r="AA89" s="56"/>
      <c r="AB89" s="57"/>
      <c r="AC89" s="135" t="s">
        <v>176</v>
      </c>
      <c r="AG89" s="64"/>
      <c r="AJ89" s="68"/>
      <c r="AK89" s="68">
        <v>0</v>
      </c>
      <c r="BB89" s="136" t="s">
        <v>1</v>
      </c>
      <c r="BM89" s="64">
        <f>IFERROR(X89*I89/H89,"0")</f>
        <v>422.1</v>
      </c>
      <c r="BN89" s="64">
        <f>IFERROR(Y89*I89/H89,"0")</f>
        <v>422.1</v>
      </c>
      <c r="BO89" s="64">
        <f>IFERROR(1/J89*(X89/H89),"0")</f>
        <v>0.68181818181818188</v>
      </c>
      <c r="BP89" s="64">
        <f>IFERROR(1/J89*(Y89/H89),"0")</f>
        <v>0.68181818181818188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101.11111111111111</v>
      </c>
      <c r="Y90" s="547">
        <f>IFERROR(Y86/H86,"0")+IFERROR(Y87/H87,"0")+IFERROR(Y88/H88,"0")+IFERROR(Y89/H89,"0")</f>
        <v>102</v>
      </c>
      <c r="Z90" s="547">
        <f>IFERROR(IF(Z86="",0,Z86),"0")+IFERROR(IF(Z87="",0,Z87),"0")+IFERROR(IF(Z88="",0,Z88),"0")+IFERROR(IF(Z89="",0,Z89),"0")</f>
        <v>1.03956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525</v>
      </c>
      <c r="Y91" s="547">
        <f>IFERROR(SUM(Y86:Y89),"0")</f>
        <v>534.6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320</v>
      </c>
      <c r="Y93" s="546">
        <f>IFERROR(IF(X93="",0,CEILING((X93/$H93),1)*$H93),"")</f>
        <v>324</v>
      </c>
      <c r="Z93" s="36">
        <f>IFERROR(IF(Y93=0,"",ROUNDUP(Y93/H93,0)*0.01898),"")</f>
        <v>0.75919999999999999</v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339.51604938271606</v>
      </c>
      <c r="BN93" s="64">
        <f>IFERROR(Y93*I93/H93,"0")</f>
        <v>343.76</v>
      </c>
      <c r="BO93" s="64">
        <f>IFERROR(1/J93*(X93/H93),"0")</f>
        <v>0.61728395061728403</v>
      </c>
      <c r="BP93" s="64">
        <f>IFERROR(1/J93*(Y93/H93),"0")</f>
        <v>0.625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450</v>
      </c>
      <c r="Y95" s="546">
        <f>IFERROR(IF(X95="",0,CEILING((X95/$H95),1)*$H95),"")</f>
        <v>450.90000000000003</v>
      </c>
      <c r="Z95" s="36">
        <f>IFERROR(IF(Y95=0,"",ROUNDUP(Y95/H95,0)*0.00651),"")</f>
        <v>1.08717</v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492</v>
      </c>
      <c r="BN95" s="64">
        <f>IFERROR(Y95*I95/H95,"0")</f>
        <v>492.98399999999998</v>
      </c>
      <c r="BO95" s="64">
        <f>IFERROR(1/J95*(X95/H95),"0")</f>
        <v>0.91575091575091572</v>
      </c>
      <c r="BP95" s="64">
        <f>IFERROR(1/J95*(Y95/H95),"0")</f>
        <v>0.91758241758241765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206.17283950617283</v>
      </c>
      <c r="Y97" s="547">
        <f>IFERROR(Y93/H93,"0")+IFERROR(Y94/H94,"0")+IFERROR(Y95/H95,"0")+IFERROR(Y96/H96,"0")</f>
        <v>207</v>
      </c>
      <c r="Z97" s="547">
        <f>IFERROR(IF(Z93="",0,Z93),"0")+IFERROR(IF(Z94="",0,Z94),"0")+IFERROR(IF(Z95="",0,Z95),"0")+IFERROR(IF(Z96="",0,Z96),"0")</f>
        <v>1.8463699999999998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770</v>
      </c>
      <c r="Y98" s="547">
        <f>IFERROR(SUM(Y93:Y96),"0")</f>
        <v>774.90000000000009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50</v>
      </c>
      <c r="Y101" s="546">
        <f>IFERROR(IF(X101="",0,CEILING((X101/$H101),1)*$H101),"")</f>
        <v>54</v>
      </c>
      <c r="Z101" s="36">
        <f>IFERROR(IF(Y101=0,"",ROUNDUP(Y101/H101,0)*0.01898),"")</f>
        <v>9.4899999999999998E-2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51.898148148148145</v>
      </c>
      <c r="BN101" s="64">
        <f>IFERROR(Y101*I101/H101,"0")</f>
        <v>56.05</v>
      </c>
      <c r="BO101" s="64">
        <f>IFERROR(1/J101*(X101/H101),"0")</f>
        <v>7.2337962962962965E-2</v>
      </c>
      <c r="BP101" s="64">
        <f>IFERROR(1/J101*(Y101/H101),"0")</f>
        <v>7.8125E-2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113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90</v>
      </c>
      <c r="Y104" s="546">
        <f>IFERROR(IF(X104="",0,CEILING((X104/$H104),1)*$H104),"")</f>
        <v>90</v>
      </c>
      <c r="Z104" s="36">
        <f>IFERROR(IF(Y104=0,"",ROUNDUP(Y104/H104,0)*0.00902),"")</f>
        <v>0.1804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93.800000000000011</v>
      </c>
      <c r="BN104" s="64">
        <f>IFERROR(Y104*I104/H104,"0")</f>
        <v>93.800000000000011</v>
      </c>
      <c r="BO104" s="64">
        <f>IFERROR(1/J104*(X104/H104),"0")</f>
        <v>0.15151515151515152</v>
      </c>
      <c r="BP104" s="64">
        <f>IFERROR(1/J104*(Y104/H104),"0")</f>
        <v>0.15151515151515152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24.62962962962963</v>
      </c>
      <c r="Y106" s="547">
        <f>IFERROR(Y101/H101,"0")+IFERROR(Y102/H102,"0")+IFERROR(Y103/H103,"0")+IFERROR(Y104/H104,"0")+IFERROR(Y105/H105,"0")</f>
        <v>25</v>
      </c>
      <c r="Z106" s="547">
        <f>IFERROR(IF(Z101="",0,Z101),"0")+IFERROR(IF(Z102="",0,Z102),"0")+IFERROR(IF(Z103="",0,Z103),"0")+IFERROR(IF(Z104="",0,Z104),"0")+IFERROR(IF(Z105="",0,Z105),"0")</f>
        <v>0.27529999999999999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140</v>
      </c>
      <c r="Y107" s="547">
        <f>IFERROR(SUM(Y101:Y105),"0")</f>
        <v>144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213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223</v>
      </c>
      <c r="B116" s="54" t="s">
        <v>224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360</v>
      </c>
      <c r="Y116" s="546">
        <f>IFERROR(IF(X116="",0,CEILING((X116/$H116),1)*$H116),"")</f>
        <v>364.5</v>
      </c>
      <c r="Z116" s="36">
        <f>IFERROR(IF(Y116=0,"",ROUNDUP(Y116/H116,0)*0.01898),"")</f>
        <v>0.85409999999999997</v>
      </c>
      <c r="AA116" s="56"/>
      <c r="AB116" s="57"/>
      <c r="AC116" s="163" t="s">
        <v>225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381.68888888888887</v>
      </c>
      <c r="BN116" s="64">
        <f>IFERROR(Y116*I116/H116,"0")</f>
        <v>386.46</v>
      </c>
      <c r="BO116" s="64">
        <f>IFERROR(1/J116*(X116/H116),"0")</f>
        <v>0.69444444444444442</v>
      </c>
      <c r="BP116" s="64">
        <f>IFERROR(1/J116*(Y116/H116),"0")</f>
        <v>0.703125</v>
      </c>
    </row>
    <row r="117" spans="1:68" ht="27" customHeight="1" x14ac:dyDescent="0.25">
      <c r="A117" s="54" t="s">
        <v>226</v>
      </c>
      <c r="B117" s="54" t="s">
        <v>227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225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228</v>
      </c>
      <c r="B118" s="54" t="s">
        <v>229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230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315</v>
      </c>
      <c r="Y118" s="546">
        <f>IFERROR(IF(X118="",0,CEILING((X118/$H118),1)*$H118),"")</f>
        <v>315.90000000000003</v>
      </c>
      <c r="Z118" s="36">
        <f>IFERROR(IF(Y118=0,"",ROUNDUP(Y118/H118,0)*0.00651),"")</f>
        <v>0.76167000000000007</v>
      </c>
      <c r="AA118" s="56"/>
      <c r="AB118" s="57"/>
      <c r="AC118" s="167" t="s">
        <v>225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344.4</v>
      </c>
      <c r="BN118" s="64">
        <f>IFERROR(Y118*I118/H118,"0")</f>
        <v>345.38400000000001</v>
      </c>
      <c r="BO118" s="64">
        <f>IFERROR(1/J118*(X118/H118),"0")</f>
        <v>0.64102564102564097</v>
      </c>
      <c r="BP118" s="64">
        <f>IFERROR(1/J118*(Y118/H118),"0")</f>
        <v>0.6428571428571429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 t="s">
        <v>230</v>
      </c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15</v>
      </c>
      <c r="Y119" s="546">
        <f>IFERROR(IF(X119="",0,CEILING((X119/$H119),1)*$H119),"")</f>
        <v>16.2</v>
      </c>
      <c r="Z119" s="36">
        <f>IFERROR(IF(Y119=0,"",ROUNDUP(Y119/H119,0)*0.00651),"")</f>
        <v>5.8590000000000003E-2</v>
      </c>
      <c r="AA119" s="56"/>
      <c r="AB119" s="57"/>
      <c r="AC119" s="169" t="s">
        <v>233</v>
      </c>
      <c r="AG119" s="64"/>
      <c r="AJ119" s="68" t="s">
        <v>109</v>
      </c>
      <c r="AK119" s="68">
        <v>25.2</v>
      </c>
      <c r="BB119" s="170" t="s">
        <v>1</v>
      </c>
      <c r="BM119" s="64">
        <f>IFERROR(X119*I119/H119,"0")</f>
        <v>16.5</v>
      </c>
      <c r="BN119" s="64">
        <f>IFERROR(Y119*I119/H119,"0")</f>
        <v>17.82</v>
      </c>
      <c r="BO119" s="64">
        <f>IFERROR(1/J119*(X119/H119),"0")</f>
        <v>4.5787545787545791E-2</v>
      </c>
      <c r="BP119" s="64">
        <f>IFERROR(1/J119*(Y119/H119),"0")</f>
        <v>4.9450549450549455E-2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169.44444444444443</v>
      </c>
      <c r="Y120" s="547">
        <f>IFERROR(Y116/H116,"0")+IFERROR(Y117/H117,"0")+IFERROR(Y118/H118,"0")+IFERROR(Y119/H119,"0")</f>
        <v>171</v>
      </c>
      <c r="Z120" s="547">
        <f>IFERROR(IF(Z116="",0,Z116),"0")+IFERROR(IF(Z117="",0,Z117),"0")+IFERROR(IF(Z118="",0,Z118),"0")+IFERROR(IF(Z119="",0,Z119),"0")</f>
        <v>1.6743599999999998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690</v>
      </c>
      <c r="Y121" s="547">
        <f>IFERROR(SUM(Y116:Y119),"0")</f>
        <v>696.60000000000014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 t="s">
        <v>230</v>
      </c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26.4</v>
      </c>
      <c r="Y123" s="546">
        <f>IFERROR(IF(X123="",0,CEILING((X123/$H123),1)*$H123),"")</f>
        <v>27.72</v>
      </c>
      <c r="Z123" s="36">
        <f>IFERROR(IF(Y123=0,"",ROUNDUP(Y123/H123,0)*0.00651),"")</f>
        <v>9.1139999999999999E-2</v>
      </c>
      <c r="AA123" s="56"/>
      <c r="AB123" s="57"/>
      <c r="AC123" s="171" t="s">
        <v>236</v>
      </c>
      <c r="AG123" s="64"/>
      <c r="AJ123" s="68" t="s">
        <v>109</v>
      </c>
      <c r="AK123" s="68">
        <v>27.72</v>
      </c>
      <c r="BB123" s="172" t="s">
        <v>1</v>
      </c>
      <c r="BM123" s="64">
        <f>IFERROR(X123*I123/H123,"0")</f>
        <v>29.84</v>
      </c>
      <c r="BN123" s="64">
        <f>IFERROR(Y123*I123/H123,"0")</f>
        <v>31.332000000000001</v>
      </c>
      <c r="BO123" s="64">
        <f>IFERROR(1/J123*(X123/H123),"0")</f>
        <v>7.3260073260073263E-2</v>
      </c>
      <c r="BP123" s="64">
        <f>IFERROR(1/J123*(Y123/H123),"0")</f>
        <v>7.6923076923076927E-2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13.333333333333332</v>
      </c>
      <c r="Y124" s="547">
        <f>IFERROR(Y123/H123,"0")</f>
        <v>14</v>
      </c>
      <c r="Z124" s="547">
        <f>IFERROR(IF(Z123="",0,Z123),"0")</f>
        <v>9.1139999999999999E-2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26.4</v>
      </c>
      <c r="Y125" s="547">
        <f>IFERROR(SUM(Y123:Y123),"0")</f>
        <v>27.72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230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60</v>
      </c>
      <c r="Y128" s="546">
        <f>IFERROR(IF(X128="",0,CEILING((X128/$H128),1)*$H128),"")</f>
        <v>60.800000000000004</v>
      </c>
      <c r="Z128" s="36">
        <f>IFERROR(IF(Y128=0,"",ROUNDUP(Y128/H128,0)*0.00651),"")</f>
        <v>0.12369000000000001</v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63.374999999999993</v>
      </c>
      <c r="BN128" s="64">
        <f>IFERROR(Y128*I128/H128,"0")</f>
        <v>64.22</v>
      </c>
      <c r="BO128" s="64">
        <f>IFERROR(1/J128*(X128/H128),"0")</f>
        <v>0.10302197802197803</v>
      </c>
      <c r="BP128" s="64">
        <f>IFERROR(1/J128*(Y128/H128),"0")</f>
        <v>0.1043956043956044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18.75</v>
      </c>
      <c r="Y130" s="547">
        <f>IFERROR(Y128/H128,"0")+IFERROR(Y129/H129,"0")</f>
        <v>19</v>
      </c>
      <c r="Z130" s="547">
        <f>IFERROR(IF(Z128="",0,Z128),"0")+IFERROR(IF(Z129="",0,Z129),"0")</f>
        <v>0.12369000000000001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60</v>
      </c>
      <c r="Y131" s="547">
        <f>IFERROR(SUM(Y128:Y129),"0")</f>
        <v>60.800000000000004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230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42</v>
      </c>
      <c r="Y134" s="546">
        <f>IFERROR(IF(X134="",0,CEILING((X134/$H134),1)*$H134),"")</f>
        <v>42</v>
      </c>
      <c r="Z134" s="36">
        <f>IFERROR(IF(Y134=0,"",ROUNDUP(Y134/H134,0)*0.00651),"")</f>
        <v>9.7650000000000001E-2</v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46.02</v>
      </c>
      <c r="BN134" s="64">
        <f>IFERROR(Y134*I134/H134,"0")</f>
        <v>46.02</v>
      </c>
      <c r="BO134" s="64">
        <f>IFERROR(1/J134*(X134/H134),"0")</f>
        <v>8.241758241758243E-2</v>
      </c>
      <c r="BP134" s="64">
        <f>IFERROR(1/J134*(Y134/H134),"0")</f>
        <v>8.241758241758243E-2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15.000000000000002</v>
      </c>
      <c r="Y135" s="547">
        <f>IFERROR(Y133/H133,"0")+IFERROR(Y134/H134,"0")</f>
        <v>15.000000000000002</v>
      </c>
      <c r="Z135" s="547">
        <f>IFERROR(IF(Z133="",0,Z133),"0")+IFERROR(IF(Z134="",0,Z134),"0")</f>
        <v>9.7650000000000001E-2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42</v>
      </c>
      <c r="Y136" s="547">
        <f>IFERROR(SUM(Y133:Y134),"0")</f>
        <v>42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 t="s">
        <v>230</v>
      </c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39.6</v>
      </c>
      <c r="Y139" s="546">
        <f>IFERROR(IF(X139="",0,CEILING((X139/$H139),1)*$H139),"")</f>
        <v>39.6</v>
      </c>
      <c r="Z139" s="36">
        <f>IFERROR(IF(Y139=0,"",ROUNDUP(Y139/H139,0)*0.00651),"")</f>
        <v>9.7650000000000001E-2</v>
      </c>
      <c r="AA139" s="56"/>
      <c r="AB139" s="57"/>
      <c r="AC139" s="183" t="s">
        <v>240</v>
      </c>
      <c r="AG139" s="64"/>
      <c r="AJ139" s="68" t="s">
        <v>109</v>
      </c>
      <c r="AK139" s="68">
        <v>36.96</v>
      </c>
      <c r="BB139" s="184" t="s">
        <v>1</v>
      </c>
      <c r="BM139" s="64">
        <f>IFERROR(X139*I139/H139,"0")</f>
        <v>43.62</v>
      </c>
      <c r="BN139" s="64">
        <f>IFERROR(Y139*I139/H139,"0")</f>
        <v>43.62</v>
      </c>
      <c r="BO139" s="64">
        <f>IFERROR(1/J139*(X139/H139),"0")</f>
        <v>8.241758241758243E-2</v>
      </c>
      <c r="BP139" s="64">
        <f>IFERROR(1/J139*(Y139/H139),"0")</f>
        <v>8.241758241758243E-2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15</v>
      </c>
      <c r="Y140" s="547">
        <f>IFERROR(Y138/H138,"0")+IFERROR(Y139/H139,"0")</f>
        <v>15</v>
      </c>
      <c r="Z140" s="547">
        <f>IFERROR(IF(Z138="",0,Z138),"0")+IFERROR(IF(Z139="",0,Z139),"0")</f>
        <v>9.7650000000000001E-2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39.6</v>
      </c>
      <c r="Y141" s="547">
        <f>IFERROR(SUM(Y138:Y139),"0")</f>
        <v>39.6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113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60</v>
      </c>
      <c r="Y166" s="546">
        <f t="shared" si="5"/>
        <v>63</v>
      </c>
      <c r="Z166" s="36">
        <f>IFERROR(IF(Y166=0,"",ROUNDUP(Y166/H166,0)*0.00902),"")</f>
        <v>0.1353</v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63.571428571428569</v>
      </c>
      <c r="BN166" s="64">
        <f t="shared" si="7"/>
        <v>66.75</v>
      </c>
      <c r="BO166" s="64">
        <f t="shared" si="8"/>
        <v>0.10822510822510822</v>
      </c>
      <c r="BP166" s="64">
        <f t="shared" si="9"/>
        <v>0.11363636363636365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 t="s">
        <v>113</v>
      </c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30</v>
      </c>
      <c r="Y167" s="546">
        <f t="shared" si="5"/>
        <v>33.6</v>
      </c>
      <c r="Z167" s="36">
        <f>IFERROR(IF(Y167=0,"",ROUNDUP(Y167/H167,0)*0.00902),"")</f>
        <v>7.2160000000000002E-2</v>
      </c>
      <c r="AA167" s="56"/>
      <c r="AB167" s="57"/>
      <c r="AC167" s="203" t="s">
        <v>282</v>
      </c>
      <c r="AG167" s="64"/>
      <c r="AJ167" s="68" t="s">
        <v>109</v>
      </c>
      <c r="AK167" s="68">
        <v>50.4</v>
      </c>
      <c r="BB167" s="204" t="s">
        <v>1</v>
      </c>
      <c r="BM167" s="64">
        <f t="shared" si="6"/>
        <v>31.785714285714285</v>
      </c>
      <c r="BN167" s="64">
        <f t="shared" si="7"/>
        <v>35.6</v>
      </c>
      <c r="BO167" s="64">
        <f t="shared" si="8"/>
        <v>5.4112554112554112E-2</v>
      </c>
      <c r="BP167" s="64">
        <f t="shared" si="9"/>
        <v>6.0606060606060608E-2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113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60</v>
      </c>
      <c r="Y168" s="546">
        <f t="shared" si="5"/>
        <v>63</v>
      </c>
      <c r="Z168" s="36">
        <f>IFERROR(IF(Y168=0,"",ROUNDUP(Y168/H168,0)*0.00902),"")</f>
        <v>0.1353</v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62.714285714285708</v>
      </c>
      <c r="BN168" s="64">
        <f t="shared" si="7"/>
        <v>65.849999999999994</v>
      </c>
      <c r="BO168" s="64">
        <f t="shared" si="8"/>
        <v>0.10822510822510822</v>
      </c>
      <c r="BP168" s="64">
        <f t="shared" si="9"/>
        <v>0.11363636363636365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87.5</v>
      </c>
      <c r="Y169" s="546">
        <f t="shared" si="5"/>
        <v>88.2</v>
      </c>
      <c r="Z169" s="36">
        <f>IFERROR(IF(Y169=0,"",ROUNDUP(Y169/H169,0)*0.00502),"")</f>
        <v>0.21084</v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92.916666666666657</v>
      </c>
      <c r="BN169" s="64">
        <f t="shared" si="7"/>
        <v>93.66</v>
      </c>
      <c r="BO169" s="64">
        <f t="shared" si="8"/>
        <v>0.17806267806267806</v>
      </c>
      <c r="BP169" s="64">
        <f t="shared" si="9"/>
        <v>0.17948717948717952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 t="s">
        <v>288</v>
      </c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105</v>
      </c>
      <c r="Y171" s="546">
        <f t="shared" si="5"/>
        <v>105</v>
      </c>
      <c r="Z171" s="36">
        <f>IFERROR(IF(Y171=0,"",ROUNDUP(Y171/H171,0)*0.00502),"")</f>
        <v>0.251</v>
      </c>
      <c r="AA171" s="56"/>
      <c r="AB171" s="57"/>
      <c r="AC171" s="211" t="s">
        <v>282</v>
      </c>
      <c r="AG171" s="64"/>
      <c r="AJ171" s="68" t="s">
        <v>109</v>
      </c>
      <c r="AK171" s="68">
        <v>37.799999999999997</v>
      </c>
      <c r="BB171" s="212" t="s">
        <v>1</v>
      </c>
      <c r="BM171" s="64">
        <f t="shared" si="6"/>
        <v>111.5</v>
      </c>
      <c r="BN171" s="64">
        <f t="shared" si="7"/>
        <v>111.5</v>
      </c>
      <c r="BO171" s="64">
        <f t="shared" si="8"/>
        <v>0.21367521367521369</v>
      </c>
      <c r="BP171" s="64">
        <f t="shared" si="9"/>
        <v>0.21367521367521369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175</v>
      </c>
      <c r="Y174" s="546">
        <f t="shared" si="5"/>
        <v>176.4</v>
      </c>
      <c r="Z174" s="36">
        <f>IFERROR(IF(Y174=0,"",ROUNDUP(Y174/H174,0)*0.00502),"")</f>
        <v>0.42168</v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183.33333333333334</v>
      </c>
      <c r="BN174" s="64">
        <f t="shared" si="7"/>
        <v>184.8</v>
      </c>
      <c r="BO174" s="64">
        <f t="shared" si="8"/>
        <v>0.35612535612535612</v>
      </c>
      <c r="BP174" s="64">
        <f t="shared" si="9"/>
        <v>0.35897435897435903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210.71428571428572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214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1.22628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517.5</v>
      </c>
      <c r="Y178" s="547">
        <f>IFERROR(SUM(Y165:Y176),"0")</f>
        <v>529.20000000000005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10.5</v>
      </c>
      <c r="Y180" s="546">
        <f>IFERROR(IF(X180="",0,CEILING((X180/$H180),1)*$H180),"")</f>
        <v>11.34</v>
      </c>
      <c r="Z180" s="36">
        <f>IFERROR(IF(Y180=0,"",ROUNDUP(Y180/H180,0)*0.0059),"")</f>
        <v>5.3100000000000001E-2</v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12.083333333333332</v>
      </c>
      <c r="BN180" s="64">
        <f>IFERROR(Y180*I180/H180,"0")</f>
        <v>13.049999999999999</v>
      </c>
      <c r="BO180" s="64">
        <f>IFERROR(1/J180*(X180/H180),"0")</f>
        <v>3.8580246913580245E-2</v>
      </c>
      <c r="BP180" s="64">
        <f>IFERROR(1/J180*(Y180/H180),"0")</f>
        <v>4.1666666666666664E-2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7.0000000000000009</v>
      </c>
      <c r="Y181" s="546">
        <f>IFERROR(IF(X181="",0,CEILING((X181/$H181),1)*$H181),"")</f>
        <v>7.5600000000000005</v>
      </c>
      <c r="Z181" s="36">
        <f>IFERROR(IF(Y181=0,"",ROUNDUP(Y181/H181,0)*0.0059),"")</f>
        <v>3.5400000000000001E-2</v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8.0555555555555554</v>
      </c>
      <c r="BN181" s="64">
        <f>IFERROR(Y181*I181/H181,"0")</f>
        <v>8.6999999999999993</v>
      </c>
      <c r="BO181" s="64">
        <f>IFERROR(1/J181*(X181/H181),"0")</f>
        <v>2.5720164609053499E-2</v>
      </c>
      <c r="BP181" s="64">
        <f>IFERROR(1/J181*(Y181/H181),"0")</f>
        <v>2.7777777777777776E-2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13.888888888888889</v>
      </c>
      <c r="Y183" s="547">
        <f>IFERROR(Y180/H180,"0")+IFERROR(Y181/H181,"0")+IFERROR(Y182/H182,"0")</f>
        <v>15</v>
      </c>
      <c r="Z183" s="547">
        <f>IFERROR(IF(Z180="",0,Z180),"0")+IFERROR(IF(Z181="",0,Z181),"0")+IFERROR(IF(Z182="",0,Z182),"0")</f>
        <v>8.8499999999999995E-2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17.5</v>
      </c>
      <c r="Y184" s="547">
        <f>IFERROR(SUM(Y180:Y182),"0")</f>
        <v>18.899999999999999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113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100</v>
      </c>
      <c r="Y201" s="546">
        <f t="shared" ref="Y201:Y208" si="10">IFERROR(IF(X201="",0,CEILING((X201/$H201),1)*$H201),"")</f>
        <v>102.60000000000001</v>
      </c>
      <c r="Z201" s="36">
        <f>IFERROR(IF(Y201=0,"",ROUNDUP(Y201/H201,0)*0.00902),"")</f>
        <v>0.17138</v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103.5185185185185</v>
      </c>
      <c r="BN201" s="64">
        <f t="shared" ref="BN201:BN208" si="12">IFERROR(Y201*I201/H201,"0")</f>
        <v>106.21</v>
      </c>
      <c r="BO201" s="64">
        <f t="shared" ref="BO201:BO208" si="13">IFERROR(1/J201*(X201/H201),"0")</f>
        <v>0.14029180695847362</v>
      </c>
      <c r="BP201" s="64">
        <f t="shared" ref="BP201:BP208" si="14">IFERROR(1/J201*(Y201/H201),"0")</f>
        <v>0.14393939393939395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113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40</v>
      </c>
      <c r="Y202" s="546">
        <f t="shared" si="10"/>
        <v>43.2</v>
      </c>
      <c r="Z202" s="36">
        <f>IFERROR(IF(Y202=0,"",ROUNDUP(Y202/H202,0)*0.00902),"")</f>
        <v>7.2160000000000002E-2</v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41.407407407407405</v>
      </c>
      <c r="BN202" s="64">
        <f t="shared" si="12"/>
        <v>44.72</v>
      </c>
      <c r="BO202" s="64">
        <f t="shared" si="13"/>
        <v>5.6116722783389444E-2</v>
      </c>
      <c r="BP202" s="64">
        <f t="shared" si="14"/>
        <v>6.0606060606060608E-2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113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400</v>
      </c>
      <c r="Y203" s="546">
        <f t="shared" si="10"/>
        <v>405</v>
      </c>
      <c r="Z203" s="36">
        <f>IFERROR(IF(Y203=0,"",ROUNDUP(Y203/H203,0)*0.00902),"")</f>
        <v>0.67649999999999999</v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414.07407407407402</v>
      </c>
      <c r="BN203" s="64">
        <f t="shared" si="12"/>
        <v>419.24999999999994</v>
      </c>
      <c r="BO203" s="64">
        <f t="shared" si="13"/>
        <v>0.5611672278338945</v>
      </c>
      <c r="BP203" s="64">
        <f t="shared" si="14"/>
        <v>0.56818181818181823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113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60</v>
      </c>
      <c r="Y204" s="546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62.1111111111111</v>
      </c>
      <c r="BN204" s="64">
        <f t="shared" si="12"/>
        <v>67.08</v>
      </c>
      <c r="BO204" s="64">
        <f t="shared" si="13"/>
        <v>8.4175084175084181E-2</v>
      </c>
      <c r="BP204" s="64">
        <f t="shared" si="14"/>
        <v>9.0909090909090925E-2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105</v>
      </c>
      <c r="Y205" s="546">
        <f t="shared" si="10"/>
        <v>106.2</v>
      </c>
      <c r="Z205" s="36">
        <f>IFERROR(IF(Y205=0,"",ROUNDUP(Y205/H205,0)*0.00502),"")</f>
        <v>0.29618</v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112.58333333333333</v>
      </c>
      <c r="BN205" s="64">
        <f t="shared" si="12"/>
        <v>113.87</v>
      </c>
      <c r="BO205" s="64">
        <f t="shared" si="13"/>
        <v>0.2492877492877493</v>
      </c>
      <c r="BP205" s="64">
        <f t="shared" si="14"/>
        <v>0.25213675213675218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45</v>
      </c>
      <c r="Y206" s="546">
        <f t="shared" si="10"/>
        <v>45</v>
      </c>
      <c r="Z206" s="36">
        <f>IFERROR(IF(Y206=0,"",ROUNDUP(Y206/H206,0)*0.00502),"")</f>
        <v>0.1255</v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47.5</v>
      </c>
      <c r="BN206" s="64">
        <f t="shared" si="12"/>
        <v>47.5</v>
      </c>
      <c r="BO206" s="64">
        <f t="shared" si="13"/>
        <v>0.10683760683760685</v>
      </c>
      <c r="BP206" s="64">
        <f t="shared" si="14"/>
        <v>0.10683760683760685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 t="s">
        <v>288</v>
      </c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60</v>
      </c>
      <c r="Y207" s="546">
        <f t="shared" si="10"/>
        <v>61.2</v>
      </c>
      <c r="Z207" s="36">
        <f>IFERROR(IF(Y207=0,"",ROUNDUP(Y207/H207,0)*0.00502),"")</f>
        <v>0.17068</v>
      </c>
      <c r="AA207" s="56"/>
      <c r="AB207" s="57"/>
      <c r="AC207" s="251" t="s">
        <v>340</v>
      </c>
      <c r="AG207" s="64"/>
      <c r="AJ207" s="68" t="s">
        <v>109</v>
      </c>
      <c r="AK207" s="68">
        <v>32.4</v>
      </c>
      <c r="BB207" s="252" t="s">
        <v>1</v>
      </c>
      <c r="BM207" s="64">
        <f t="shared" si="11"/>
        <v>63.333333333333329</v>
      </c>
      <c r="BN207" s="64">
        <f t="shared" si="12"/>
        <v>64.599999999999994</v>
      </c>
      <c r="BO207" s="64">
        <f t="shared" si="13"/>
        <v>0.14245014245014248</v>
      </c>
      <c r="BP207" s="64">
        <f t="shared" si="14"/>
        <v>0.14529914529914531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45</v>
      </c>
      <c r="Y208" s="546">
        <f t="shared" si="10"/>
        <v>45</v>
      </c>
      <c r="Z208" s="36">
        <f>IFERROR(IF(Y208=0,"",ROUNDUP(Y208/H208,0)*0.00502),"")</f>
        <v>0.1255</v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47.5</v>
      </c>
      <c r="BN208" s="64">
        <f t="shared" si="12"/>
        <v>47.5</v>
      </c>
      <c r="BO208" s="64">
        <f t="shared" si="13"/>
        <v>0.10683760683760685</v>
      </c>
      <c r="BP208" s="64">
        <f t="shared" si="14"/>
        <v>0.10683760683760685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252.7777777777778</v>
      </c>
      <c r="Y209" s="547">
        <f>IFERROR(Y201/H201,"0")+IFERROR(Y202/H202,"0")+IFERROR(Y203/H203,"0")+IFERROR(Y204/H204,"0")+IFERROR(Y205/H205,"0")+IFERROR(Y206/H206,"0")+IFERROR(Y207/H207,"0")+IFERROR(Y208/H208,"0")</f>
        <v>257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1.74614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855</v>
      </c>
      <c r="Y210" s="547">
        <f>IFERROR(SUM(Y201:Y208),"0")</f>
        <v>873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110</v>
      </c>
      <c r="Y214" s="546">
        <f t="shared" si="15"/>
        <v>113.1</v>
      </c>
      <c r="Z214" s="36">
        <f>IFERROR(IF(Y214=0,"",ROUNDUP(Y214/H214,0)*0.01898),"")</f>
        <v>0.24674000000000001</v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116.24597701149428</v>
      </c>
      <c r="BN214" s="64">
        <f t="shared" si="17"/>
        <v>119.52200000000001</v>
      </c>
      <c r="BO214" s="64">
        <f t="shared" si="18"/>
        <v>0.19755747126436785</v>
      </c>
      <c r="BP214" s="64">
        <f t="shared" si="19"/>
        <v>0.203125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230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280</v>
      </c>
      <c r="Y215" s="546">
        <f t="shared" si="15"/>
        <v>280.8</v>
      </c>
      <c r="Z215" s="36">
        <f t="shared" ref="Z215:Z220" si="20">IFERROR(IF(Y215=0,"",ROUNDUP(Y215/H215,0)*0.00651),"")</f>
        <v>0.76167000000000007</v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311.5</v>
      </c>
      <c r="BN215" s="64">
        <f t="shared" si="17"/>
        <v>312.39</v>
      </c>
      <c r="BO215" s="64">
        <f t="shared" si="18"/>
        <v>0.64102564102564108</v>
      </c>
      <c r="BP215" s="64">
        <f t="shared" si="19"/>
        <v>0.64285714285714302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230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280</v>
      </c>
      <c r="Y217" s="546">
        <f t="shared" si="15"/>
        <v>280.8</v>
      </c>
      <c r="Z217" s="36">
        <f t="shared" si="20"/>
        <v>0.76167000000000007</v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309.40000000000003</v>
      </c>
      <c r="BN217" s="64">
        <f t="shared" si="17"/>
        <v>310.28400000000005</v>
      </c>
      <c r="BO217" s="64">
        <f t="shared" si="18"/>
        <v>0.64102564102564108</v>
      </c>
      <c r="BP217" s="64">
        <f t="shared" si="19"/>
        <v>0.64285714285714302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/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230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100</v>
      </c>
      <c r="Y219" s="546">
        <f t="shared" si="15"/>
        <v>100.8</v>
      </c>
      <c r="Z219" s="36">
        <f t="shared" si="20"/>
        <v>0.27342</v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110.5</v>
      </c>
      <c r="BN219" s="64">
        <f t="shared" si="17"/>
        <v>111.384</v>
      </c>
      <c r="BO219" s="64">
        <f t="shared" si="18"/>
        <v>0.22893772893772898</v>
      </c>
      <c r="BP219" s="64">
        <f t="shared" si="19"/>
        <v>0.23076923076923078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230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220</v>
      </c>
      <c r="Y220" s="546">
        <f t="shared" si="15"/>
        <v>220.79999999999998</v>
      </c>
      <c r="Z220" s="36">
        <f t="shared" si="20"/>
        <v>0.59892000000000001</v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243.65</v>
      </c>
      <c r="BN220" s="64">
        <f t="shared" si="17"/>
        <v>244.536</v>
      </c>
      <c r="BO220" s="64">
        <f t="shared" si="18"/>
        <v>0.50366300366300376</v>
      </c>
      <c r="BP220" s="64">
        <f t="shared" si="19"/>
        <v>0.50549450549450559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379.31034482758628</v>
      </c>
      <c r="Y221" s="547">
        <f>IFERROR(Y212/H212,"0")+IFERROR(Y213/H213,"0")+IFERROR(Y214/H214,"0")+IFERROR(Y215/H215,"0")+IFERROR(Y216/H216,"0")+IFERROR(Y217/H217,"0")+IFERROR(Y218/H218,"0")+IFERROR(Y219/H219,"0")+IFERROR(Y220/H220,"0")</f>
        <v>381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2.64242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990</v>
      </c>
      <c r="Y222" s="547">
        <f>IFERROR(SUM(Y212:Y220),"0")</f>
        <v>996.3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 t="s">
        <v>230</v>
      </c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24</v>
      </c>
      <c r="Y224" s="546">
        <f>IFERROR(IF(X224="",0,CEILING((X224/$H224),1)*$H224),"")</f>
        <v>24</v>
      </c>
      <c r="Z224" s="36">
        <f>IFERROR(IF(Y224=0,"",ROUNDUP(Y224/H224,0)*0.00651),"")</f>
        <v>6.5100000000000005E-2</v>
      </c>
      <c r="AA224" s="56"/>
      <c r="AB224" s="57"/>
      <c r="AC224" s="273" t="s">
        <v>376</v>
      </c>
      <c r="AG224" s="64"/>
      <c r="AJ224" s="68" t="s">
        <v>109</v>
      </c>
      <c r="AK224" s="68">
        <v>33.6</v>
      </c>
      <c r="BB224" s="274" t="s">
        <v>1</v>
      </c>
      <c r="BM224" s="64">
        <f>IFERROR(X224*I224/H224,"0")</f>
        <v>26.520000000000003</v>
      </c>
      <c r="BN224" s="64">
        <f>IFERROR(Y224*I224/H224,"0")</f>
        <v>26.520000000000003</v>
      </c>
      <c r="BO224" s="64">
        <f>IFERROR(1/J224*(X224/H224),"0")</f>
        <v>5.4945054945054951E-2</v>
      </c>
      <c r="BP224" s="64">
        <f>IFERROR(1/J224*(Y224/H224),"0")</f>
        <v>5.4945054945054951E-2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230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28</v>
      </c>
      <c r="Y225" s="546">
        <f>IFERROR(IF(X225="",0,CEILING((X225/$H225),1)*$H225),"")</f>
        <v>28.799999999999997</v>
      </c>
      <c r="Z225" s="36">
        <f>IFERROR(IF(Y225=0,"",ROUNDUP(Y225/H225,0)*0.00651),"")</f>
        <v>7.8119999999999995E-2</v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30.94</v>
      </c>
      <c r="BN225" s="64">
        <f>IFERROR(Y225*I225/H225,"0")</f>
        <v>31.824000000000002</v>
      </c>
      <c r="BO225" s="64">
        <f>IFERROR(1/J225*(X225/H225),"0")</f>
        <v>6.4102564102564111E-2</v>
      </c>
      <c r="BP225" s="64">
        <f>IFERROR(1/J225*(Y225/H225),"0")</f>
        <v>6.5934065934065936E-2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21.666666666666668</v>
      </c>
      <c r="Y226" s="547">
        <f>IFERROR(Y224/H224,"0")+IFERROR(Y225/H225,"0")</f>
        <v>22</v>
      </c>
      <c r="Z226" s="547">
        <f>IFERROR(IF(Z224="",0,Z224),"0")+IFERROR(IF(Z225="",0,Z225),"0")</f>
        <v>0.14322000000000001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52</v>
      </c>
      <c r="Y227" s="547">
        <f>IFERROR(SUM(Y224:Y225),"0")</f>
        <v>52.8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 t="s">
        <v>106</v>
      </c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50</v>
      </c>
      <c r="Y232" s="546">
        <f t="shared" si="21"/>
        <v>58</v>
      </c>
      <c r="Z232" s="36">
        <f>IFERROR(IF(Y232=0,"",ROUNDUP(Y232/H232,0)*0.01898),"")</f>
        <v>9.4899999999999998E-2</v>
      </c>
      <c r="AA232" s="56"/>
      <c r="AB232" s="57"/>
      <c r="AC232" s="281" t="s">
        <v>389</v>
      </c>
      <c r="AG232" s="64"/>
      <c r="AJ232" s="68" t="s">
        <v>109</v>
      </c>
      <c r="AK232" s="68">
        <v>92.8</v>
      </c>
      <c r="BB232" s="282" t="s">
        <v>1</v>
      </c>
      <c r="BM232" s="64">
        <f t="shared" si="22"/>
        <v>51.767241379310349</v>
      </c>
      <c r="BN232" s="64">
        <f t="shared" si="23"/>
        <v>60.050000000000004</v>
      </c>
      <c r="BO232" s="64">
        <f t="shared" si="24"/>
        <v>6.7349137931034489E-2</v>
      </c>
      <c r="BP232" s="64">
        <f t="shared" si="25"/>
        <v>7.8125E-2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 t="s">
        <v>113</v>
      </c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40</v>
      </c>
      <c r="Y233" s="546">
        <f t="shared" si="21"/>
        <v>40</v>
      </c>
      <c r="Z233" s="36">
        <f>IFERROR(IF(Y233=0,"",ROUNDUP(Y233/H233,0)*0.00902),"")</f>
        <v>9.0200000000000002E-2</v>
      </c>
      <c r="AA233" s="56"/>
      <c r="AB233" s="57"/>
      <c r="AC233" s="283" t="s">
        <v>383</v>
      </c>
      <c r="AG233" s="64"/>
      <c r="AJ233" s="68" t="s">
        <v>109</v>
      </c>
      <c r="AK233" s="68">
        <v>48</v>
      </c>
      <c r="BB233" s="284" t="s">
        <v>1</v>
      </c>
      <c r="BM233" s="64">
        <f t="shared" si="22"/>
        <v>41.900000000000006</v>
      </c>
      <c r="BN233" s="64">
        <f t="shared" si="23"/>
        <v>41.900000000000006</v>
      </c>
      <c r="BO233" s="64">
        <f t="shared" si="24"/>
        <v>7.575757575757576E-2</v>
      </c>
      <c r="BP233" s="64">
        <f t="shared" si="25"/>
        <v>7.575757575757576E-2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113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40</v>
      </c>
      <c r="Y237" s="546">
        <f t="shared" si="21"/>
        <v>40</v>
      </c>
      <c r="Z237" s="36">
        <f>IFERROR(IF(Y237=0,"",ROUNDUP(Y237/H237,0)*0.00902),"")</f>
        <v>9.0200000000000002E-2</v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41.900000000000006</v>
      </c>
      <c r="BN237" s="64">
        <f t="shared" si="23"/>
        <v>41.900000000000006</v>
      </c>
      <c r="BO237" s="64">
        <f t="shared" si="24"/>
        <v>7.575757575757576E-2</v>
      </c>
      <c r="BP237" s="64">
        <f t="shared" si="25"/>
        <v>7.575757575757576E-2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24.310344827586206</v>
      </c>
      <c r="Y239" s="547">
        <f>IFERROR(Y230/H230,"0")+IFERROR(Y231/H231,"0")+IFERROR(Y232/H232,"0")+IFERROR(Y233/H233,"0")+IFERROR(Y234/H234,"0")+IFERROR(Y235/H235,"0")+IFERROR(Y236/H236,"0")+IFERROR(Y237/H237,"0")+IFERROR(Y238/H238,"0")</f>
        <v>25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0.27529999999999999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130</v>
      </c>
      <c r="Y240" s="547">
        <f>IFERROR(SUM(Y230:Y238),"0")</f>
        <v>138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18</v>
      </c>
      <c r="Y251" s="546">
        <f>IFERROR(IF(X251="",0,CEILING((X251/$H251),1)*$H251),"")</f>
        <v>18</v>
      </c>
      <c r="Z251" s="36">
        <f>IFERROR(IF(Y251=0,"",ROUNDUP(Y251/H251,0)*0.0059),"")</f>
        <v>5.8999999999999997E-2</v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19.750000000000004</v>
      </c>
      <c r="BN251" s="64">
        <f>IFERROR(Y251*I251/H251,"0")</f>
        <v>19.750000000000004</v>
      </c>
      <c r="BO251" s="64">
        <f>IFERROR(1/J251*(X251/H251),"0")</f>
        <v>4.6296296296296294E-2</v>
      </c>
      <c r="BP251" s="64">
        <f>IFERROR(1/J251*(Y251/H251),"0")</f>
        <v>4.6296296296296294E-2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10</v>
      </c>
      <c r="Y255" s="547">
        <f>IFERROR(Y250/H250,"0")+IFERROR(Y251/H251,"0")+IFERROR(Y252/H252,"0")+IFERROR(Y253/H253,"0")+IFERROR(Y254/H254,"0")</f>
        <v>10</v>
      </c>
      <c r="Z255" s="547">
        <f>IFERROR(IF(Z250="",0,Z250),"0")+IFERROR(IF(Z251="",0,Z251),"0")+IFERROR(IF(Z252="",0,Z252),"0")+IFERROR(IF(Z253="",0,Z253),"0")+IFERROR(IF(Z254="",0,Z254),"0")</f>
        <v>5.8999999999999997E-2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18</v>
      </c>
      <c r="Y256" s="547">
        <f>IFERROR(SUM(Y250:Y254),"0")</f>
        <v>18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230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100</v>
      </c>
      <c r="Y277" s="546">
        <f>IFERROR(IF(X277="",0,CEILING((X277/$H277),1)*$H277),"")</f>
        <v>100.8</v>
      </c>
      <c r="Z277" s="36">
        <f>IFERROR(IF(Y277=0,"",ROUNDUP(Y277/H277,0)*0.00651),"")</f>
        <v>0.27342</v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110.5</v>
      </c>
      <c r="BN277" s="64">
        <f>IFERROR(Y277*I277/H277,"0")</f>
        <v>111.384</v>
      </c>
      <c r="BO277" s="64">
        <f>IFERROR(1/J277*(X277/H277),"0")</f>
        <v>0.22893772893772898</v>
      </c>
      <c r="BP277" s="64">
        <f>IFERROR(1/J277*(Y277/H277),"0")</f>
        <v>0.23076923076923078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144</v>
      </c>
      <c r="Y278" s="546">
        <f>IFERROR(IF(X278="",0,CEILING((X278/$H278),1)*$H278),"")</f>
        <v>144</v>
      </c>
      <c r="Z278" s="36">
        <f>IFERROR(IF(Y278=0,"",ROUNDUP(Y278/H278,0)*0.00651),"")</f>
        <v>0.3906</v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154.80000000000001</v>
      </c>
      <c r="BN278" s="64">
        <f>IFERROR(Y278*I278/H278,"0")</f>
        <v>154.80000000000001</v>
      </c>
      <c r="BO278" s="64">
        <f>IFERROR(1/J278*(X278/H278),"0")</f>
        <v>0.32967032967032972</v>
      </c>
      <c r="BP278" s="64">
        <f>IFERROR(1/J278*(Y278/H278),"0")</f>
        <v>0.32967032967032972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101.66666666666667</v>
      </c>
      <c r="Y279" s="547">
        <f>IFERROR(Y276/H276,"0")+IFERROR(Y277/H277,"0")+IFERROR(Y278/H278,"0")</f>
        <v>102</v>
      </c>
      <c r="Z279" s="547">
        <f>IFERROR(IF(Z276="",0,Z276),"0")+IFERROR(IF(Z277="",0,Z277),"0")+IFERROR(IF(Z278="",0,Z278),"0")</f>
        <v>0.66402000000000005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244</v>
      </c>
      <c r="Y280" s="547">
        <f>IFERROR(SUM(Y276:Y278),"0")</f>
        <v>244.8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 t="s">
        <v>288</v>
      </c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 t="s">
        <v>109</v>
      </c>
      <c r="AK305" s="68">
        <v>37.799999999999997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 t="s">
        <v>288</v>
      </c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105</v>
      </c>
      <c r="Y306" s="546">
        <f t="shared" si="26"/>
        <v>105</v>
      </c>
      <c r="Z306" s="36">
        <f>IFERROR(IF(Y306=0,"",ROUNDUP(Y306/H306,0)*0.00502),"")</f>
        <v>0.251</v>
      </c>
      <c r="AA306" s="56"/>
      <c r="AB306" s="57"/>
      <c r="AC306" s="359" t="s">
        <v>497</v>
      </c>
      <c r="AG306" s="64"/>
      <c r="AJ306" s="68" t="s">
        <v>109</v>
      </c>
      <c r="AK306" s="68">
        <v>37.799999999999997</v>
      </c>
      <c r="BB306" s="360" t="s">
        <v>1</v>
      </c>
      <c r="BM306" s="64">
        <f t="shared" si="27"/>
        <v>110.00000000000001</v>
      </c>
      <c r="BN306" s="64">
        <f t="shared" si="28"/>
        <v>110.00000000000001</v>
      </c>
      <c r="BO306" s="64">
        <f t="shared" si="29"/>
        <v>0.21367521367521369</v>
      </c>
      <c r="BP306" s="64">
        <f t="shared" si="30"/>
        <v>0.21367521367521369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 t="s">
        <v>230</v>
      </c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21</v>
      </c>
      <c r="Y307" s="546">
        <f t="shared" si="26"/>
        <v>21.6</v>
      </c>
      <c r="Z307" s="36">
        <f>IFERROR(IF(Y307=0,"",ROUNDUP(Y307/H307,0)*0.00651),"")</f>
        <v>7.8119999999999995E-2</v>
      </c>
      <c r="AA307" s="56"/>
      <c r="AB307" s="57"/>
      <c r="AC307" s="361" t="s">
        <v>500</v>
      </c>
      <c r="AG307" s="64"/>
      <c r="AJ307" s="68" t="s">
        <v>109</v>
      </c>
      <c r="AK307" s="68">
        <v>25.2</v>
      </c>
      <c r="BB307" s="362" t="s">
        <v>1</v>
      </c>
      <c r="BM307" s="64">
        <f t="shared" si="27"/>
        <v>23.66</v>
      </c>
      <c r="BN307" s="64">
        <f t="shared" si="28"/>
        <v>24.335999999999999</v>
      </c>
      <c r="BO307" s="64">
        <f t="shared" si="29"/>
        <v>6.4102564102564111E-2</v>
      </c>
      <c r="BP307" s="64">
        <f t="shared" si="30"/>
        <v>6.5934065934065936E-2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61.666666666666664</v>
      </c>
      <c r="Y308" s="547">
        <f>IFERROR(Y302/H302,"0")+IFERROR(Y303/H303,"0")+IFERROR(Y304/H304,"0")+IFERROR(Y305/H305,"0")+IFERROR(Y306/H306,"0")+IFERROR(Y307/H307,"0")</f>
        <v>62</v>
      </c>
      <c r="Z308" s="547">
        <f>IFERROR(IF(Z302="",0,Z302),"0")+IFERROR(IF(Z303="",0,Z303),"0")+IFERROR(IF(Z304="",0,Z304),"0")+IFERROR(IF(Z305="",0,Z305),"0")+IFERROR(IF(Z306="",0,Z306),"0")+IFERROR(IF(Z307="",0,Z307),"0")</f>
        <v>0.32911999999999997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126</v>
      </c>
      <c r="Y309" s="547">
        <f>IFERROR(SUM(Y302:Y307),"0")</f>
        <v>126.6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350</v>
      </c>
      <c r="Y319" s="546">
        <f>IFERROR(IF(X319="",0,CEILING((X319/$H319),1)*$H319),"")</f>
        <v>351</v>
      </c>
      <c r="Z319" s="36">
        <f>IFERROR(IF(Y319=0,"",ROUNDUP(Y319/H319,0)*0.01898),"")</f>
        <v>0.85409999999999997</v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372.16666666666669</v>
      </c>
      <c r="BN319" s="64">
        <f>IFERROR(Y319*I319/H319,"0")</f>
        <v>373.23</v>
      </c>
      <c r="BO319" s="64">
        <f>IFERROR(1/J319*(X319/H319),"0")</f>
        <v>0.70112179487179493</v>
      </c>
      <c r="BP319" s="64">
        <f>IFERROR(1/J319*(Y319/H319),"0")</f>
        <v>0.703125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230</v>
      </c>
      <c r="Y320" s="546">
        <f>IFERROR(IF(X320="",0,CEILING((X320/$H320),1)*$H320),"")</f>
        <v>235.20000000000002</v>
      </c>
      <c r="Z320" s="36">
        <f>IFERROR(IF(Y320=0,"",ROUNDUP(Y320/H320,0)*0.01898),"")</f>
        <v>0.53144000000000002</v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243.52619047619049</v>
      </c>
      <c r="BN320" s="64">
        <f>IFERROR(Y320*I320/H320,"0")</f>
        <v>249.03200000000001</v>
      </c>
      <c r="BO320" s="64">
        <f>IFERROR(1/J320*(X320/H320),"0")</f>
        <v>0.42782738095238093</v>
      </c>
      <c r="BP320" s="64">
        <f>IFERROR(1/J320*(Y320/H320),"0")</f>
        <v>0.4375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72.252747252747255</v>
      </c>
      <c r="Y321" s="547">
        <f>IFERROR(Y318/H318,"0")+IFERROR(Y319/H319,"0")+IFERROR(Y320/H320,"0")</f>
        <v>73</v>
      </c>
      <c r="Z321" s="547">
        <f>IFERROR(IF(Z318="",0,Z318),"0")+IFERROR(IF(Z319="",0,Z319),"0")+IFERROR(IF(Z320="",0,Z320),"0")</f>
        <v>1.38554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580</v>
      </c>
      <c r="Y322" s="547">
        <f>IFERROR(SUM(Y318:Y320),"0")</f>
        <v>586.20000000000005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230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230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IFERROR(IF(Y327=0,"",ROUNDUP(Y327/H327,0)*0.00651),"")</f>
        <v/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0</v>
      </c>
      <c r="Y328" s="547">
        <f>IFERROR(Y324/H324,"0")+IFERROR(Y325/H325,"0")+IFERROR(Y326/H326,"0")+IFERROR(Y327/H327,"0")</f>
        <v>0</v>
      </c>
      <c r="Z328" s="547">
        <f>IFERROR(IF(Z324="",0,Z324),"0")+IFERROR(IF(Z325="",0,Z325),"0")+IFERROR(IF(Z326="",0,Z326),"0")+IFERROR(IF(Z327="",0,Z327),"0")</f>
        <v>0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0</v>
      </c>
      <c r="Y329" s="547">
        <f>IFERROR(SUM(Y324:Y327),"0")</f>
        <v>0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 t="s">
        <v>230</v>
      </c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80</v>
      </c>
      <c r="Y331" s="546">
        <f>IFERROR(IF(X331="",0,CEILING((X331/$H331),1)*$H331),"")</f>
        <v>80</v>
      </c>
      <c r="Z331" s="36">
        <f>IFERROR(IF(Y331=0,"",ROUNDUP(Y331/H331,0)*0.00474),"")</f>
        <v>0.18960000000000002</v>
      </c>
      <c r="AA331" s="56"/>
      <c r="AB331" s="57"/>
      <c r="AC331" s="385" t="s">
        <v>536</v>
      </c>
      <c r="AG331" s="64"/>
      <c r="AJ331" s="68" t="s">
        <v>109</v>
      </c>
      <c r="AK331" s="68">
        <v>28</v>
      </c>
      <c r="BB331" s="386" t="s">
        <v>1</v>
      </c>
      <c r="BM331" s="64">
        <f>IFERROR(X331*I331/H331,"0")</f>
        <v>89.600000000000009</v>
      </c>
      <c r="BN331" s="64">
        <f>IFERROR(Y331*I331/H331,"0")</f>
        <v>89.600000000000009</v>
      </c>
      <c r="BO331" s="64">
        <f>IFERROR(1/J331*(X331/H331),"0")</f>
        <v>0.16806722689075629</v>
      </c>
      <c r="BP331" s="64">
        <f>IFERROR(1/J331*(Y331/H331),"0")</f>
        <v>0.16806722689075629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 t="s">
        <v>230</v>
      </c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100</v>
      </c>
      <c r="Y333" s="546">
        <f>IFERROR(IF(X333="",0,CEILING((X333/$H333),1)*$H333),"")</f>
        <v>100</v>
      </c>
      <c r="Z333" s="36">
        <f>IFERROR(IF(Y333=0,"",ROUNDUP(Y333/H333,0)*0.00474),"")</f>
        <v>0.23700000000000002</v>
      </c>
      <c r="AA333" s="56"/>
      <c r="AB333" s="57"/>
      <c r="AC333" s="389" t="s">
        <v>536</v>
      </c>
      <c r="AG333" s="64"/>
      <c r="AJ333" s="68" t="s">
        <v>109</v>
      </c>
      <c r="AK333" s="68">
        <v>28</v>
      </c>
      <c r="BB333" s="390" t="s">
        <v>1</v>
      </c>
      <c r="BM333" s="64">
        <f>IFERROR(X333*I333/H333,"0")</f>
        <v>112.00000000000001</v>
      </c>
      <c r="BN333" s="64">
        <f>IFERROR(Y333*I333/H333,"0")</f>
        <v>112.00000000000001</v>
      </c>
      <c r="BO333" s="64">
        <f>IFERROR(1/J333*(X333/H333),"0")</f>
        <v>0.21008403361344538</v>
      </c>
      <c r="BP333" s="64">
        <f>IFERROR(1/J333*(Y333/H333),"0")</f>
        <v>0.21008403361344538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90</v>
      </c>
      <c r="Y334" s="547">
        <f>IFERROR(Y331/H331,"0")+IFERROR(Y332/H332,"0")+IFERROR(Y333/H333,"0")</f>
        <v>90</v>
      </c>
      <c r="Z334" s="547">
        <f>IFERROR(IF(Z331="",0,Z331),"0")+IFERROR(IF(Z332="",0,Z332),"0")+IFERROR(IF(Z333="",0,Z333),"0")</f>
        <v>0.42660000000000003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180</v>
      </c>
      <c r="Y335" s="547">
        <f>IFERROR(SUM(Y331:Y333),"0")</f>
        <v>180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230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175</v>
      </c>
      <c r="Y339" s="546">
        <f>IFERROR(IF(X339="",0,CEILING((X339/$H339),1)*$H339),"")</f>
        <v>176.4</v>
      </c>
      <c r="Z339" s="36">
        <f>IFERROR(IF(Y339=0,"",ROUNDUP(Y339/H339,0)*0.00651),"")</f>
        <v>0.54683999999999999</v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195.99999999999997</v>
      </c>
      <c r="BN339" s="64">
        <f>IFERROR(Y339*I339/H339,"0")</f>
        <v>197.56799999999998</v>
      </c>
      <c r="BO339" s="64">
        <f>IFERROR(1/J339*(X339/H339),"0")</f>
        <v>0.45787545787545786</v>
      </c>
      <c r="BP339" s="64">
        <f>IFERROR(1/J339*(Y339/H339),"0")</f>
        <v>0.46153846153846156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230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489.99999999999989</v>
      </c>
      <c r="Y340" s="546">
        <f>IFERROR(IF(X340="",0,CEILING((X340/$H340),1)*$H340),"")</f>
        <v>491.40000000000003</v>
      </c>
      <c r="Z340" s="36">
        <f>IFERROR(IF(Y340=0,"",ROUNDUP(Y340/H340,0)*0.00651),"")</f>
        <v>1.5233400000000001</v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545.99999999999977</v>
      </c>
      <c r="BN340" s="64">
        <f>IFERROR(Y340*I340/H340,"0")</f>
        <v>547.55999999999995</v>
      </c>
      <c r="BO340" s="64">
        <f>IFERROR(1/J340*(X340/H340),"0")</f>
        <v>1.2820512820512817</v>
      </c>
      <c r="BP340" s="64">
        <f>IFERROR(1/J340*(Y340/H340),"0")</f>
        <v>1.2857142857142858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316.66666666666657</v>
      </c>
      <c r="Y341" s="547">
        <f>IFERROR(Y338/H338,"0")+IFERROR(Y339/H339,"0")+IFERROR(Y340/H340,"0")</f>
        <v>318</v>
      </c>
      <c r="Z341" s="547">
        <f>IFERROR(IF(Z338="",0,Z338),"0")+IFERROR(IF(Z339="",0,Z339),"0")+IFERROR(IF(Z340="",0,Z340),"0")</f>
        <v>2.0701800000000001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664.99999999999989</v>
      </c>
      <c r="Y342" s="547">
        <f>IFERROR(SUM(Y338:Y340),"0")</f>
        <v>667.80000000000007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/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1600</v>
      </c>
      <c r="Y346" s="546">
        <f t="shared" ref="Y346:Y352" si="31">IFERROR(IF(X346="",0,CEILING((X346/$H346),1)*$H346),"")</f>
        <v>1605</v>
      </c>
      <c r="Z346" s="36">
        <f>IFERROR(IF(Y346=0,"",ROUNDUP(Y346/H346,0)*0.02175),"")</f>
        <v>2.3272499999999998</v>
      </c>
      <c r="AA346" s="56"/>
      <c r="AB346" s="57"/>
      <c r="AC346" s="397" t="s">
        <v>555</v>
      </c>
      <c r="AG346" s="64"/>
      <c r="AJ346" s="68"/>
      <c r="AK346" s="68">
        <v>0</v>
      </c>
      <c r="BB346" s="398" t="s">
        <v>1</v>
      </c>
      <c r="BM346" s="64">
        <f t="shared" ref="BM346:BM352" si="32">IFERROR(X346*I346/H346,"0")</f>
        <v>1650.1333333333334</v>
      </c>
      <c r="BN346" s="64">
        <f t="shared" ref="BN346:BN352" si="33">IFERROR(Y346*I346/H346,"0")</f>
        <v>1655.2900000000002</v>
      </c>
      <c r="BO346" s="64">
        <f t="shared" ref="BO346:BO352" si="34">IFERROR(1/J346*(X346/H346),"0")</f>
        <v>2.2222222222222223</v>
      </c>
      <c r="BP346" s="64">
        <f t="shared" ref="BP346:BP352" si="35">IFERROR(1/J346*(Y346/H346),"0")</f>
        <v>2.2291666666666665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1300</v>
      </c>
      <c r="Y347" s="546">
        <f t="shared" si="31"/>
        <v>1305</v>
      </c>
      <c r="Z347" s="36">
        <f>IFERROR(IF(Y347=0,"",ROUNDUP(Y347/H347,0)*0.02175),"")</f>
        <v>1.8922499999999998</v>
      </c>
      <c r="AA347" s="56"/>
      <c r="AB347" s="57"/>
      <c r="AC347" s="399" t="s">
        <v>558</v>
      </c>
      <c r="AG347" s="64"/>
      <c r="AJ347" s="68"/>
      <c r="AK347" s="68">
        <v>0</v>
      </c>
      <c r="BB347" s="400" t="s">
        <v>1</v>
      </c>
      <c r="BM347" s="64">
        <f t="shared" si="32"/>
        <v>1340.7333333333333</v>
      </c>
      <c r="BN347" s="64">
        <f t="shared" si="33"/>
        <v>1345.89</v>
      </c>
      <c r="BO347" s="64">
        <f t="shared" si="34"/>
        <v>1.8055555555555556</v>
      </c>
      <c r="BP347" s="64">
        <f t="shared" si="35"/>
        <v>1.8125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1600</v>
      </c>
      <c r="Y348" s="546">
        <f t="shared" si="31"/>
        <v>1605</v>
      </c>
      <c r="Z348" s="36">
        <f>IFERROR(IF(Y348=0,"",ROUNDUP(Y348/H348,0)*0.02175),"")</f>
        <v>2.3272499999999998</v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1650.1333333333334</v>
      </c>
      <c r="BN348" s="64">
        <f t="shared" si="33"/>
        <v>1655.2900000000002</v>
      </c>
      <c r="BO348" s="64">
        <f t="shared" si="34"/>
        <v>2.2222222222222223</v>
      </c>
      <c r="BP348" s="64">
        <f t="shared" si="35"/>
        <v>2.2291666666666665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1000</v>
      </c>
      <c r="Y349" s="546">
        <f t="shared" si="31"/>
        <v>1005</v>
      </c>
      <c r="Z349" s="36">
        <f>IFERROR(IF(Y349=0,"",ROUNDUP(Y349/H349,0)*0.02175),"")</f>
        <v>1.4572499999999999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1031.3333333333333</v>
      </c>
      <c r="BN349" s="64">
        <f t="shared" si="33"/>
        <v>1036.49</v>
      </c>
      <c r="BO349" s="64">
        <f t="shared" si="34"/>
        <v>1.3888888888888888</v>
      </c>
      <c r="BP349" s="64">
        <f t="shared" si="35"/>
        <v>1.3958333333333333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366.66666666666669</v>
      </c>
      <c r="Y353" s="547">
        <f>IFERROR(Y346/H346,"0")+IFERROR(Y347/H347,"0")+IFERROR(Y348/H348,"0")+IFERROR(Y349/H349,"0")+IFERROR(Y350/H350,"0")+IFERROR(Y351/H351,"0")+IFERROR(Y352/H352,"0")</f>
        <v>368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8.0039999999999996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5500</v>
      </c>
      <c r="Y354" s="547">
        <f>IFERROR(SUM(Y346:Y352),"0")</f>
        <v>5520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/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1400</v>
      </c>
      <c r="Y356" s="546">
        <f>IFERROR(IF(X356="",0,CEILING((X356/$H356),1)*$H356),"")</f>
        <v>1410</v>
      </c>
      <c r="Z356" s="36">
        <f>IFERROR(IF(Y356=0,"",ROUNDUP(Y356/H356,0)*0.02175),"")</f>
        <v>2.0444999999999998</v>
      </c>
      <c r="AA356" s="56"/>
      <c r="AB356" s="57"/>
      <c r="AC356" s="411" t="s">
        <v>574</v>
      </c>
      <c r="AG356" s="64"/>
      <c r="AJ356" s="68"/>
      <c r="AK356" s="68">
        <v>0</v>
      </c>
      <c r="BB356" s="412" t="s">
        <v>1</v>
      </c>
      <c r="BM356" s="64">
        <f>IFERROR(X356*I356/H356,"0")</f>
        <v>1443.8666666666666</v>
      </c>
      <c r="BN356" s="64">
        <f>IFERROR(Y356*I356/H356,"0")</f>
        <v>1454.18</v>
      </c>
      <c r="BO356" s="64">
        <f>IFERROR(1/J356*(X356/H356),"0")</f>
        <v>1.9444444444444442</v>
      </c>
      <c r="BP356" s="64">
        <f>IFERROR(1/J356*(Y356/H356),"0")</f>
        <v>1.9583333333333333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8</v>
      </c>
      <c r="Y357" s="546">
        <f>IFERROR(IF(X357="",0,CEILING((X357/$H357),1)*$H357),"")</f>
        <v>8</v>
      </c>
      <c r="Z357" s="36">
        <f>IFERROR(IF(Y357=0,"",ROUNDUP(Y357/H357,0)*0.00902),"")</f>
        <v>1.804E-2</v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8.3800000000000008</v>
      </c>
      <c r="BN357" s="64">
        <f>IFERROR(Y357*I357/H357,"0")</f>
        <v>8.3800000000000008</v>
      </c>
      <c r="BO357" s="64">
        <f>IFERROR(1/J357*(X357/H357),"0")</f>
        <v>1.5151515151515152E-2</v>
      </c>
      <c r="BP357" s="64">
        <f>IFERROR(1/J357*(Y357/H357),"0")</f>
        <v>1.5151515151515152E-2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95.333333333333329</v>
      </c>
      <c r="Y358" s="547">
        <f>IFERROR(Y356/H356,"0")+IFERROR(Y357/H357,"0")</f>
        <v>96</v>
      </c>
      <c r="Z358" s="547">
        <f>IFERROR(IF(Z356="",0,Z356),"0")+IFERROR(IF(Z357="",0,Z357),"0")</f>
        <v>2.0625399999999998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1408</v>
      </c>
      <c r="Y359" s="547">
        <f>IFERROR(SUM(Y356:Y357),"0")</f>
        <v>1418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 t="s">
        <v>106</v>
      </c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 t="s">
        <v>109</v>
      </c>
      <c r="AK362" s="68">
        <v>72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20</v>
      </c>
      <c r="Y366" s="546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21.097777777777779</v>
      </c>
      <c r="BN366" s="64">
        <f>IFERROR(Y366*I366/H366,"0")</f>
        <v>28.481999999999996</v>
      </c>
      <c r="BO366" s="64">
        <f>IFERROR(1/J366*(X366/H366),"0")</f>
        <v>3.4722222222222224E-2</v>
      </c>
      <c r="BP366" s="64">
        <f>IFERROR(1/J366*(Y366/H366),"0")</f>
        <v>4.6875E-2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2.2222222222222223</v>
      </c>
      <c r="Y367" s="547">
        <f>IFERROR(Y366/H366,"0")</f>
        <v>3</v>
      </c>
      <c r="Z367" s="547">
        <f>IFERROR(IF(Z366="",0,Z366),"0")</f>
        <v>5.6940000000000004E-2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20</v>
      </c>
      <c r="Y368" s="547">
        <f>IFERROR(SUM(Y366:Y366),"0")</f>
        <v>27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50</v>
      </c>
      <c r="Y371" s="546">
        <f>IFERROR(IF(X371="",0,CEILING((X371/$H371),1)*$H371),"")</f>
        <v>60</v>
      </c>
      <c r="Z371" s="36">
        <f>IFERROR(IF(Y371=0,"",ROUNDUP(Y371/H371,0)*0.01898),"")</f>
        <v>9.4899999999999998E-2</v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51.708333333333336</v>
      </c>
      <c r="BN371" s="64">
        <f>IFERROR(Y371*I371/H371,"0")</f>
        <v>62.050000000000004</v>
      </c>
      <c r="BO371" s="64">
        <f>IFERROR(1/J371*(X371/H371),"0")</f>
        <v>6.5104166666666671E-2</v>
      </c>
      <c r="BP371" s="64">
        <f>IFERROR(1/J371*(Y371/H371),"0")</f>
        <v>7.8125E-2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4.166666666666667</v>
      </c>
      <c r="Y373" s="547">
        <f>IFERROR(Y371/H371,"0")+IFERROR(Y372/H372,"0")</f>
        <v>5</v>
      </c>
      <c r="Z373" s="547">
        <f>IFERROR(IF(Z371="",0,Z371),"0")+IFERROR(IF(Z372="",0,Z372),"0")</f>
        <v>9.4899999999999998E-2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50</v>
      </c>
      <c r="Y374" s="547">
        <f>IFERROR(SUM(Y371:Y372),"0")</f>
        <v>60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20</v>
      </c>
      <c r="Y381" s="546">
        <f>IFERROR(IF(X381="",0,CEILING((X381/$H381),1)*$H381),"")</f>
        <v>27</v>
      </c>
      <c r="Z381" s="36">
        <f>IFERROR(IF(Y381=0,"",ROUNDUP(Y381/H381,0)*0.01898),"")</f>
        <v>5.6940000000000004E-2</v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21.097777777777779</v>
      </c>
      <c r="BN381" s="64">
        <f>IFERROR(Y381*I381/H381,"0")</f>
        <v>28.481999999999996</v>
      </c>
      <c r="BO381" s="64">
        <f>IFERROR(1/J381*(X381/H381),"0")</f>
        <v>3.4722222222222224E-2</v>
      </c>
      <c r="BP381" s="64">
        <f>IFERROR(1/J381*(Y381/H381),"0")</f>
        <v>4.6875E-2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/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2.2222222222222223</v>
      </c>
      <c r="Y384" s="547">
        <f>IFERROR(Y381/H381,"0")+IFERROR(Y382/H382,"0")+IFERROR(Y383/H383,"0")</f>
        <v>3</v>
      </c>
      <c r="Z384" s="547">
        <f>IFERROR(IF(Z381="",0,Z381),"0")+IFERROR(IF(Z382="",0,Z382),"0")+IFERROR(IF(Z383="",0,Z383),"0")</f>
        <v>5.6940000000000004E-2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20</v>
      </c>
      <c r="Y385" s="547">
        <f>IFERROR(SUM(Y381:Y383),"0")</f>
        <v>27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 t="s">
        <v>288</v>
      </c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21</v>
      </c>
      <c r="Y393" s="546">
        <f t="shared" si="36"/>
        <v>21</v>
      </c>
      <c r="Z393" s="36">
        <f t="shared" si="41"/>
        <v>5.0200000000000002E-2</v>
      </c>
      <c r="AA393" s="56"/>
      <c r="AB393" s="57"/>
      <c r="AC393" s="443" t="s">
        <v>609</v>
      </c>
      <c r="AG393" s="64"/>
      <c r="AJ393" s="68" t="s">
        <v>109</v>
      </c>
      <c r="AK393" s="68">
        <v>37.799999999999997</v>
      </c>
      <c r="BB393" s="444" t="s">
        <v>1</v>
      </c>
      <c r="BM393" s="64">
        <f t="shared" si="37"/>
        <v>22.299999999999997</v>
      </c>
      <c r="BN393" s="64">
        <f t="shared" si="38"/>
        <v>22.299999999999997</v>
      </c>
      <c r="BO393" s="64">
        <f t="shared" si="39"/>
        <v>4.2735042735042736E-2</v>
      </c>
      <c r="BP393" s="64">
        <f t="shared" si="40"/>
        <v>4.2735042735042736E-2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 t="s">
        <v>288</v>
      </c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7</v>
      </c>
      <c r="Y394" s="546">
        <f t="shared" si="36"/>
        <v>8.4</v>
      </c>
      <c r="Z394" s="36">
        <f t="shared" si="41"/>
        <v>2.0080000000000001E-2</v>
      </c>
      <c r="AA394" s="56"/>
      <c r="AB394" s="57"/>
      <c r="AC394" s="445" t="s">
        <v>622</v>
      </c>
      <c r="AG394" s="64"/>
      <c r="AJ394" s="68" t="s">
        <v>109</v>
      </c>
      <c r="AK394" s="68">
        <v>37.799999999999997</v>
      </c>
      <c r="BB394" s="446" t="s">
        <v>1</v>
      </c>
      <c r="BM394" s="64">
        <f t="shared" si="37"/>
        <v>7.4333333333333327</v>
      </c>
      <c r="BN394" s="64">
        <f t="shared" si="38"/>
        <v>8.92</v>
      </c>
      <c r="BO394" s="64">
        <f t="shared" si="39"/>
        <v>1.4245014245014245E-2</v>
      </c>
      <c r="BP394" s="64">
        <f t="shared" si="40"/>
        <v>1.7094017094017096E-2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 t="s">
        <v>288</v>
      </c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42</v>
      </c>
      <c r="Y396" s="546">
        <f t="shared" si="36"/>
        <v>42</v>
      </c>
      <c r="Z396" s="36">
        <f t="shared" si="41"/>
        <v>0.1004</v>
      </c>
      <c r="AA396" s="56"/>
      <c r="AB396" s="57"/>
      <c r="AC396" s="449" t="s">
        <v>628</v>
      </c>
      <c r="AG396" s="64"/>
      <c r="AJ396" s="68" t="s">
        <v>109</v>
      </c>
      <c r="AK396" s="68">
        <v>37.799999999999997</v>
      </c>
      <c r="BB396" s="450" t="s">
        <v>1</v>
      </c>
      <c r="BM396" s="64">
        <f t="shared" si="37"/>
        <v>44.599999999999994</v>
      </c>
      <c r="BN396" s="64">
        <f t="shared" si="38"/>
        <v>44.599999999999994</v>
      </c>
      <c r="BO396" s="64">
        <f t="shared" si="39"/>
        <v>8.5470085470085472E-2</v>
      </c>
      <c r="BP396" s="64">
        <f t="shared" si="40"/>
        <v>8.5470085470085472E-2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33.333333333333329</v>
      </c>
      <c r="Y398" s="547">
        <f>IFERROR(Y389/H389,"0")+IFERROR(Y390/H390,"0")+IFERROR(Y391/H391,"0")+IFERROR(Y392/H392,"0")+IFERROR(Y393/H393,"0")+IFERROR(Y394/H394,"0")+IFERROR(Y395/H395,"0")+IFERROR(Y396/H396,"0")+IFERROR(Y397/H397,"0")</f>
        <v>34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0.17068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70</v>
      </c>
      <c r="Y399" s="547">
        <f>IFERROR(SUM(Y389:Y397),"0")</f>
        <v>71.400000000000006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7</v>
      </c>
      <c r="Y414" s="546">
        <f>IFERROR(IF(X414="",0,CEILING((X414/$H414),1)*$H414),"")</f>
        <v>8.4</v>
      </c>
      <c r="Z414" s="36">
        <f>IFERROR(IF(Y414=0,"",ROUNDUP(Y414/H414,0)*0.00502),"")</f>
        <v>2.0080000000000001E-2</v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7.4333333333333327</v>
      </c>
      <c r="BN414" s="64">
        <f>IFERROR(Y414*I414/H414,"0")</f>
        <v>8.92</v>
      </c>
      <c r="BO414" s="64">
        <f>IFERROR(1/J414*(X414/H414),"0")</f>
        <v>1.4245014245014245E-2</v>
      </c>
      <c r="BP414" s="64">
        <f>IFERROR(1/J414*(Y414/H414),"0")</f>
        <v>1.7094017094017096E-2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3.333333333333333</v>
      </c>
      <c r="Y415" s="547">
        <f>IFERROR(Y411/H411,"0")+IFERROR(Y412/H412,"0")+IFERROR(Y413/H413,"0")+IFERROR(Y414/H414,"0")</f>
        <v>4</v>
      </c>
      <c r="Z415" s="547">
        <f>IFERROR(IF(Z411="",0,Z411),"0")+IFERROR(IF(Z412="",0,Z412),"0")+IFERROR(IF(Z413="",0,Z413),"0")+IFERROR(IF(Z414="",0,Z414),"0")</f>
        <v>2.0080000000000001E-2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7</v>
      </c>
      <c r="Y416" s="547">
        <f>IFERROR(SUM(Y411:Y414),"0")</f>
        <v>8.4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 t="s">
        <v>230</v>
      </c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20</v>
      </c>
      <c r="Y419" s="546">
        <f>IFERROR(IF(X419="",0,CEILING((X419/$H419),1)*$H419),"")</f>
        <v>20.399999999999999</v>
      </c>
      <c r="Z419" s="36">
        <f>IFERROR(IF(Y419=0,"",ROUNDUP(Y419/H419,0)*0.00651),"")</f>
        <v>0.11067</v>
      </c>
      <c r="AA419" s="56"/>
      <c r="AB419" s="57"/>
      <c r="AC419" s="467" t="s">
        <v>655</v>
      </c>
      <c r="AG419" s="64"/>
      <c r="AJ419" s="68" t="s">
        <v>109</v>
      </c>
      <c r="AK419" s="68">
        <v>16.8</v>
      </c>
      <c r="BB419" s="468" t="s">
        <v>1</v>
      </c>
      <c r="BM419" s="64">
        <f>IFERROR(X419*I419/H419,"0")</f>
        <v>35</v>
      </c>
      <c r="BN419" s="64">
        <f>IFERROR(Y419*I419/H419,"0")</f>
        <v>35.699999999999996</v>
      </c>
      <c r="BO419" s="64">
        <f>IFERROR(1/J419*(X419/H419),"0")</f>
        <v>9.1575091575091583E-2</v>
      </c>
      <c r="BP419" s="64">
        <f>IFERROR(1/J419*(Y419/H419),"0")</f>
        <v>9.3406593406593408E-2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16.666666666666668</v>
      </c>
      <c r="Y420" s="547">
        <f>IFERROR(Y419/H419,"0")</f>
        <v>17</v>
      </c>
      <c r="Z420" s="547">
        <f>IFERROR(IF(Z419="",0,Z419),"0")</f>
        <v>0.11067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20</v>
      </c>
      <c r="Y421" s="547">
        <f>IFERROR(SUM(Y419:Y419),"0")</f>
        <v>20.399999999999999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120</v>
      </c>
      <c r="Y425" s="546">
        <f t="shared" ref="Y425:Y436" si="42">IFERROR(IF(X425="",0,CEILING((X425/$H425),1)*$H425),"")</f>
        <v>121.44000000000001</v>
      </c>
      <c r="Z425" s="36">
        <f t="shared" ref="Z425:Z431" si="43">IFERROR(IF(Y425=0,"",ROUNDUP(Y425/H425,0)*0.01196),"")</f>
        <v>0.27507999999999999</v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127.95454545454545</v>
      </c>
      <c r="BN425" s="64">
        <f t="shared" ref="BN425:BN436" si="45">IFERROR(Y425*I425/H425,"0")</f>
        <v>129.49</v>
      </c>
      <c r="BO425" s="64">
        <f t="shared" ref="BO425:BO436" si="46">IFERROR(1/J425*(X425/H425),"0")</f>
        <v>0.21853146853146854</v>
      </c>
      <c r="BP425" s="64">
        <f t="shared" ref="BP425:BP436" si="47">IFERROR(1/J425*(Y425/H425),"0")</f>
        <v>0.22115384615384617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/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100</v>
      </c>
      <c r="Y429" s="546">
        <f t="shared" si="42"/>
        <v>100.32000000000001</v>
      </c>
      <c r="Z429" s="36">
        <f t="shared" si="43"/>
        <v>0.22724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106.62878787878788</v>
      </c>
      <c r="BN429" s="64">
        <f t="shared" si="45"/>
        <v>106.97</v>
      </c>
      <c r="BO429" s="64">
        <f t="shared" si="46"/>
        <v>0.18210955710955709</v>
      </c>
      <c r="BP429" s="64">
        <f t="shared" si="47"/>
        <v>0.18269230769230771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200</v>
      </c>
      <c r="Y431" s="546">
        <f t="shared" si="42"/>
        <v>200.64000000000001</v>
      </c>
      <c r="Z431" s="36">
        <f t="shared" si="43"/>
        <v>0.45448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213.25757575757575</v>
      </c>
      <c r="BN431" s="64">
        <f t="shared" si="45"/>
        <v>213.94</v>
      </c>
      <c r="BO431" s="64">
        <f t="shared" si="46"/>
        <v>0.36421911421911418</v>
      </c>
      <c r="BP431" s="64">
        <f t="shared" si="47"/>
        <v>0.36538461538461542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120</v>
      </c>
      <c r="Y433" s="546">
        <f t="shared" si="42"/>
        <v>120</v>
      </c>
      <c r="Z433" s="36">
        <f>IFERROR(IF(Y433=0,"",ROUNDUP(Y433/H433,0)*0.00902),"")</f>
        <v>0.22550000000000001</v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172.75000000000003</v>
      </c>
      <c r="BN433" s="64">
        <f t="shared" si="45"/>
        <v>172.75000000000003</v>
      </c>
      <c r="BO433" s="64">
        <f t="shared" si="46"/>
        <v>0.18939393939393939</v>
      </c>
      <c r="BP433" s="64">
        <f t="shared" si="47"/>
        <v>0.18939393939393939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120</v>
      </c>
      <c r="Y436" s="546">
        <f t="shared" si="42"/>
        <v>120</v>
      </c>
      <c r="Z436" s="36">
        <f>IFERROR(IF(Y436=0,"",ROUNDUP(Y436/H436,0)*0.00902),"")</f>
        <v>0.22550000000000001</v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172.75000000000003</v>
      </c>
      <c r="BN436" s="64">
        <f t="shared" si="45"/>
        <v>172.75000000000003</v>
      </c>
      <c r="BO436" s="64">
        <f t="shared" si="46"/>
        <v>0.18939393939393939</v>
      </c>
      <c r="BP436" s="64">
        <f t="shared" si="47"/>
        <v>0.18939393939393939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129.54545454545453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130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1.4077999999999999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660</v>
      </c>
      <c r="Y438" s="547">
        <f>IFERROR(SUM(Y425:Y436),"0")</f>
        <v>662.40000000000009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140</v>
      </c>
      <c r="Y440" s="546">
        <f>IFERROR(IF(X440="",0,CEILING((X440/$H440),1)*$H440),"")</f>
        <v>142.56</v>
      </c>
      <c r="Z440" s="36">
        <f>IFERROR(IF(Y440=0,"",ROUNDUP(Y440/H440,0)*0.01196),"")</f>
        <v>0.32291999999999998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149.280303030303</v>
      </c>
      <c r="BN440" s="64">
        <f>IFERROR(Y440*I440/H440,"0")</f>
        <v>152.01</v>
      </c>
      <c r="BO440" s="64">
        <f>IFERROR(1/J440*(X440/H440),"0")</f>
        <v>0.25495337995337997</v>
      </c>
      <c r="BP440" s="64">
        <f>IFERROR(1/J440*(Y440/H440),"0")</f>
        <v>0.25961538461538464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/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26.515151515151516</v>
      </c>
      <c r="Y443" s="547">
        <f>IFERROR(Y440/H440,"0")+IFERROR(Y441/H441,"0")+IFERROR(Y442/H442,"0")</f>
        <v>27</v>
      </c>
      <c r="Z443" s="547">
        <f>IFERROR(IF(Z440="",0,Z440),"0")+IFERROR(IF(Z441="",0,Z441),"0")+IFERROR(IF(Z442="",0,Z442),"0")</f>
        <v>0.32291999999999998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140</v>
      </c>
      <c r="Y444" s="547">
        <f>IFERROR(SUM(Y440:Y442),"0")</f>
        <v>142.56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80</v>
      </c>
      <c r="Y446" s="546">
        <f t="shared" ref="Y446:Y451" si="48">IFERROR(IF(X446="",0,CEILING((X446/$H446),1)*$H446),"")</f>
        <v>84.48</v>
      </c>
      <c r="Z446" s="36">
        <f>IFERROR(IF(Y446=0,"",ROUNDUP(Y446/H446,0)*0.01196),"")</f>
        <v>0.19136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85.303030303030297</v>
      </c>
      <c r="BN446" s="64">
        <f t="shared" ref="BN446:BN451" si="50">IFERROR(Y446*I446/H446,"0")</f>
        <v>90.08</v>
      </c>
      <c r="BO446" s="64">
        <f t="shared" ref="BO446:BO451" si="51">IFERROR(1/J446*(X446/H446),"0")</f>
        <v>0.14568764568764569</v>
      </c>
      <c r="BP446" s="64">
        <f t="shared" ref="BP446:BP451" si="52">IFERROR(1/J446*(Y446/H446),"0")</f>
        <v>0.15384615384615385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100</v>
      </c>
      <c r="Y447" s="546">
        <f t="shared" si="48"/>
        <v>100.32000000000001</v>
      </c>
      <c r="Z447" s="36">
        <f>IFERROR(IF(Y447=0,"",ROUNDUP(Y447/H447,0)*0.01196),"")</f>
        <v>0.22724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106.62878787878788</v>
      </c>
      <c r="BN447" s="64">
        <f t="shared" si="50"/>
        <v>106.97</v>
      </c>
      <c r="BO447" s="64">
        <f t="shared" si="51"/>
        <v>0.18210955710955709</v>
      </c>
      <c r="BP447" s="64">
        <f t="shared" si="52"/>
        <v>0.18269230769230771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100</v>
      </c>
      <c r="Y448" s="546">
        <f t="shared" si="48"/>
        <v>100.32000000000001</v>
      </c>
      <c r="Z448" s="36">
        <f>IFERROR(IF(Y448=0,"",ROUNDUP(Y448/H448,0)*0.01196),"")</f>
        <v>0.22724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106.62878787878788</v>
      </c>
      <c r="BN448" s="64">
        <f t="shared" si="50"/>
        <v>106.97</v>
      </c>
      <c r="BO448" s="64">
        <f t="shared" si="51"/>
        <v>0.18210955710955709</v>
      </c>
      <c r="BP448" s="64">
        <f t="shared" si="52"/>
        <v>0.18269230769230771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 t="s">
        <v>113</v>
      </c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48</v>
      </c>
      <c r="Y449" s="546">
        <f t="shared" si="48"/>
        <v>48</v>
      </c>
      <c r="Z449" s="36">
        <f>IFERROR(IF(Y449=0,"",ROUNDUP(Y449/H449,0)*0.00902),"")</f>
        <v>9.0200000000000002E-2</v>
      </c>
      <c r="AA449" s="56"/>
      <c r="AB449" s="57"/>
      <c r="AC449" s="505" t="s">
        <v>696</v>
      </c>
      <c r="AG449" s="64"/>
      <c r="AJ449" s="68" t="s">
        <v>109</v>
      </c>
      <c r="AK449" s="68">
        <v>57.6</v>
      </c>
      <c r="BB449" s="506" t="s">
        <v>1</v>
      </c>
      <c r="BM449" s="64">
        <f t="shared" si="49"/>
        <v>69.100000000000009</v>
      </c>
      <c r="BN449" s="64">
        <f t="shared" si="50"/>
        <v>69.100000000000009</v>
      </c>
      <c r="BO449" s="64">
        <f t="shared" si="51"/>
        <v>7.575757575757576E-2</v>
      </c>
      <c r="BP449" s="64">
        <f t="shared" si="52"/>
        <v>7.575757575757576E-2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 t="s">
        <v>113</v>
      </c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12</v>
      </c>
      <c r="Y450" s="546">
        <f t="shared" si="48"/>
        <v>14.399999999999999</v>
      </c>
      <c r="Z450" s="36">
        <f>IFERROR(IF(Y450=0,"",ROUNDUP(Y450/H450,0)*0.00902),"")</f>
        <v>2.7060000000000001E-2</v>
      </c>
      <c r="AA450" s="56"/>
      <c r="AB450" s="57"/>
      <c r="AC450" s="507" t="s">
        <v>699</v>
      </c>
      <c r="AG450" s="64"/>
      <c r="AJ450" s="68" t="s">
        <v>109</v>
      </c>
      <c r="AK450" s="68">
        <v>57.6</v>
      </c>
      <c r="BB450" s="508" t="s">
        <v>1</v>
      </c>
      <c r="BM450" s="64">
        <f t="shared" si="49"/>
        <v>16.675000000000001</v>
      </c>
      <c r="BN450" s="64">
        <f t="shared" si="50"/>
        <v>20.009999999999998</v>
      </c>
      <c r="BO450" s="64">
        <f t="shared" si="51"/>
        <v>1.893939393939394E-2</v>
      </c>
      <c r="BP450" s="64">
        <f t="shared" si="52"/>
        <v>2.2727272727272728E-2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 t="s">
        <v>113</v>
      </c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72</v>
      </c>
      <c r="Y451" s="546">
        <f t="shared" si="48"/>
        <v>72</v>
      </c>
      <c r="Z451" s="36">
        <f>IFERROR(IF(Y451=0,"",ROUNDUP(Y451/H451,0)*0.00902),"")</f>
        <v>0.1353</v>
      </c>
      <c r="AA451" s="56"/>
      <c r="AB451" s="57"/>
      <c r="AC451" s="509" t="s">
        <v>702</v>
      </c>
      <c r="AG451" s="64"/>
      <c r="AJ451" s="68" t="s">
        <v>109</v>
      </c>
      <c r="AK451" s="68">
        <v>57.6</v>
      </c>
      <c r="BB451" s="510" t="s">
        <v>1</v>
      </c>
      <c r="BM451" s="64">
        <f t="shared" si="49"/>
        <v>100.05000000000001</v>
      </c>
      <c r="BN451" s="64">
        <f t="shared" si="50"/>
        <v>100.05000000000001</v>
      </c>
      <c r="BO451" s="64">
        <f t="shared" si="51"/>
        <v>0.11363636363636365</v>
      </c>
      <c r="BP451" s="64">
        <f t="shared" si="52"/>
        <v>0.11363636363636365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80.530303030303031</v>
      </c>
      <c r="Y452" s="547">
        <f>IFERROR(Y446/H446,"0")+IFERROR(Y447/H447,"0")+IFERROR(Y448/H448,"0")+IFERROR(Y449/H449,"0")+IFERROR(Y450/H450,"0")+IFERROR(Y451/H451,"0")</f>
        <v>82</v>
      </c>
      <c r="Z452" s="547">
        <f>IFERROR(IF(Z446="",0,Z446),"0")+IFERROR(IF(Z447="",0,Z447),"0")+IFERROR(IF(Z448="",0,Z448),"0")+IFERROR(IF(Z449="",0,Z449),"0")+IFERROR(IF(Z450="",0,Z450),"0")+IFERROR(IF(Z451="",0,Z451),"0")</f>
        <v>0.89839999999999998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412</v>
      </c>
      <c r="Y453" s="547">
        <f>IFERROR(SUM(Y446:Y451),"0")</f>
        <v>419.52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1100</v>
      </c>
      <c r="Y478" s="546">
        <f>IFERROR(IF(X478="",0,CEILING((X478/$H478),1)*$H478),"")</f>
        <v>1107</v>
      </c>
      <c r="Z478" s="36">
        <f>IFERROR(IF(Y478=0,"",ROUNDUP(Y478/H478,0)*0.01898),"")</f>
        <v>2.3345400000000001</v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1160.3777777777777</v>
      </c>
      <c r="BN478" s="64">
        <f>IFERROR(Y478*I478/H478,"0")</f>
        <v>1167.7619999999999</v>
      </c>
      <c r="BO478" s="64">
        <f>IFERROR(1/J478*(X478/H478),"0")</f>
        <v>1.9097222222222223</v>
      </c>
      <c r="BP478" s="64">
        <f>IFERROR(1/J478*(Y478/H478),"0")</f>
        <v>1.921875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122.22222222222223</v>
      </c>
      <c r="Y479" s="547">
        <f>IFERROR(Y478/H478,"0")</f>
        <v>123</v>
      </c>
      <c r="Z479" s="547">
        <f>IFERROR(IF(Z478="",0,Z478),"0")</f>
        <v>2.3345400000000001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1100</v>
      </c>
      <c r="Y480" s="547">
        <f>IFERROR(SUM(Y478:Y478),"0")</f>
        <v>1107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17490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17669.8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18570.74515799441</v>
      </c>
      <c r="Y492" s="547">
        <f>IFERROR(SUM(BN22:BN488),"0")</f>
        <v>18760.745999999999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30</v>
      </c>
      <c r="Y493" s="38">
        <f>ROUNDUP(SUM(BP22:BP488),0)</f>
        <v>31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19320.74515799441</v>
      </c>
      <c r="Y494" s="547">
        <f>GrossWeightTotalR+PalletQtyTotalR*25</f>
        <v>19535.745999999999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3273.8407874586037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3304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34.732459999999996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391.20000000000005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1043.1000000000001</v>
      </c>
      <c r="E501" s="46">
        <f>IFERROR(Y86*1,"0")+IFERROR(Y87*1,"0")+IFERROR(Y88*1,"0")+IFERROR(Y89*1,"0")+IFERROR(Y93*1,"0")+IFERROR(Y94*1,"0")+IFERROR(Y95*1,"0")+IFERROR(Y96*1,"0")</f>
        <v>1309.5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868.32000000000016</v>
      </c>
      <c r="G501" s="46">
        <f>IFERROR(Y128*1,"0")+IFERROR(Y129*1,"0")+IFERROR(Y133*1,"0")+IFERROR(Y134*1,"0")+IFERROR(Y138*1,"0")+IFERROR(Y139*1,"0")</f>
        <v>142.4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548.1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1922.1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156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244.8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892.80000000000007</v>
      </c>
      <c r="R501" s="46">
        <f>IFERROR(Y338*1,"0")+IFERROR(Y339*1,"0")+IFERROR(Y340*1,"0")</f>
        <v>667.80000000000007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6965</v>
      </c>
      <c r="T501" s="46">
        <f>IFERROR(Y371*1,"0")+IFERROR(Y372*1,"0")+IFERROR(Y376*1,"0")+IFERROR(Y377*1,"0")+IFERROR(Y381*1,"0")+IFERROR(Y382*1,"0")+IFERROR(Y383*1,"0")</f>
        <v>87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71.400000000000006</v>
      </c>
      <c r="V501" s="46">
        <f>IFERROR(Y407*1,"0")+IFERROR(Y411*1,"0")+IFERROR(Y412*1,"0")+IFERROR(Y413*1,"0")+IFERROR(Y414*1,"0")</f>
        <v>8.4</v>
      </c>
      <c r="W501" s="46">
        <f>IFERROR(Y419*1,"0")</f>
        <v>20.399999999999999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1224.4800000000002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1107</v>
      </c>
      <c r="Z501" s="46">
        <f>IFERROR(Y488*1,"0")</f>
        <v>0</v>
      </c>
      <c r="AB501" s="52"/>
      <c r="AC501" s="52"/>
      <c r="AF501" s="543"/>
    </row>
  </sheetData>
  <sheetProtection algorithmName="SHA-512" hashValue="HV8aZzellHAep5X7QvSososHBwGWpNYe+ZpxVuo1OCWNlU/MXqxyVnTemVppGf1qSL57mtocJCtq9FAjiRcfaQ==" saltValue="V82hLtDFG8wTSbWIpXMEJ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61 X80 X86 X93 X101 X104 X109 X116 X118:X119 X123 X128 X134 X139 X166:X169 X171 X174 X201:X208 X214:X215 X217 X219:X220 X224:X225 X230 X232:X233 X237 X277 X305:X307 X318:X320 X326:X327 X331 X333 X339:X340 X362 X371 X381 X393:X394 X396 X419 X425 X429 X431 X440 X446:X451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PVcIzHLnw3xxfHiElQTn/jbdIXSyxh5j5SrfLgp9wfPdZabLTmhY9YjAKTbm0MfZzqZ+RKDx2G7OoXqTSt8G1w==" saltValue="faGGbrUtG9Ze44rXWc17L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2025-12-10T09:25:39Z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