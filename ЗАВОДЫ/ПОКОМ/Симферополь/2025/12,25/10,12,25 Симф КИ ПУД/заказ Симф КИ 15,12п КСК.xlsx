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583900F-0A9D-4287-B83C-472F492F1D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44" i="1" l="1"/>
  <c r="Z106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Z315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Z484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221" i="1" l="1"/>
  <c r="Y492" i="1"/>
  <c r="Z328" i="1"/>
  <c r="Z177" i="1"/>
  <c r="Y495" i="1"/>
  <c r="Z415" i="1"/>
  <c r="Y491" i="1"/>
  <c r="Y493" i="1"/>
  <c r="Z97" i="1"/>
  <c r="Z90" i="1"/>
  <c r="Z77" i="1"/>
  <c r="Z64" i="1"/>
  <c r="Z496" i="1" s="1"/>
  <c r="Y494" i="1" l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<sst xmlns="http://schemas.openxmlformats.org/spreadsheetml/2006/main" count="2293" uniqueCount="775">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</sst>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69.259259259259267</v>
      </c>
      <c r="Y44" s="547">
        <f>IFERROR(Y41/H41,"0")+IFERROR(Y42/H42,"0")+IFERROR(Y43/H43,"0")</f>
        <v>70</v>
      </c>
      <c r="Z44" s="547">
        <f>IFERROR(IF(Z41="",0,Z41),"0")+IFERROR(IF(Z42="",0,Z42),"0")+IFERROR(IF(Z43="",0,Z43),"0")</f>
        <v>0.73099999999999998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340</v>
      </c>
      <c r="Y45" s="547">
        <f>IFERROR(SUM(Y41:Y43),"0")</f>
        <v>348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100</v>
      </c>
      <c r="Y53" s="54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360</v>
      </c>
      <c r="Y57" s="546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89.259259259259267</v>
      </c>
      <c r="Y58" s="547">
        <f>IFERROR(Y52/H52,"0")+IFERROR(Y53/H53,"0")+IFERROR(Y54/H54,"0")+IFERROR(Y55/H55,"0")+IFERROR(Y56/H56,"0")+IFERROR(Y57/H57,"0")</f>
        <v>90</v>
      </c>
      <c r="Z58" s="547">
        <f>IFERROR(IF(Z52="",0,Z52),"0")+IFERROR(IF(Z53="",0,Z53),"0")+IFERROR(IF(Z54="",0,Z54),"0")+IFERROR(IF(Z55="",0,Z55),"0")+IFERROR(IF(Z56="",0,Z56),"0")+IFERROR(IF(Z57="",0,Z57),"0")</f>
        <v>0.91139999999999999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460</v>
      </c>
      <c r="Y59" s="547">
        <f>IFERROR(SUM(Y52:Y57),"0")</f>
        <v>468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90</v>
      </c>
      <c r="Y63" s="546">
        <f>IFERROR(IF(X63="",0,CEILING((X63/$H63),1)*$H63),"")</f>
        <v>91.800000000000011</v>
      </c>
      <c r="Z63" s="36">
        <f>IFERROR(IF(Y63=0,"",ROUNDUP(Y63/H63,0)*0.00651),"")</f>
        <v>0.22134000000000001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95.999999999999986</v>
      </c>
      <c r="BN63" s="64">
        <f>IFERROR(Y63*I63/H63,"0")</f>
        <v>97.92</v>
      </c>
      <c r="BO63" s="64">
        <f>IFERROR(1/J63*(X63/H63),"0")</f>
        <v>0.18315018315018314</v>
      </c>
      <c r="BP63" s="64">
        <f>IFERROR(1/J63*(Y63/H63),"0")</f>
        <v>0.18681318681318682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42.592592592592588</v>
      </c>
      <c r="Y64" s="547">
        <f>IFERROR(Y61/H61,"0")+IFERROR(Y62/H62,"0")+IFERROR(Y63/H63,"0")</f>
        <v>44</v>
      </c>
      <c r="Z64" s="547">
        <f>IFERROR(IF(Z61="",0,Z61),"0")+IFERROR(IF(Z62="",0,Z62),"0")+IFERROR(IF(Z63="",0,Z63),"0")</f>
        <v>0.41114000000000001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190</v>
      </c>
      <c r="Y65" s="547">
        <f>IFERROR(SUM(Y61:Y63),"0")</f>
        <v>199.8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50</v>
      </c>
      <c r="Y80" s="546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6.4102564102564106</v>
      </c>
      <c r="Y82" s="547">
        <f>IFERROR(Y80/H80,"0")+IFERROR(Y81/H81,"0")</f>
        <v>7</v>
      </c>
      <c r="Z82" s="547">
        <f>IFERROR(IF(Z80="",0,Z80),"0")+IFERROR(IF(Z81="",0,Z81),"0")</f>
        <v>0.13286000000000001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50</v>
      </c>
      <c r="Y83" s="547">
        <f>IFERROR(SUM(Y80:Y81),"0")</f>
        <v>54.6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135</v>
      </c>
      <c r="Y89" s="546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140.70000000000002</v>
      </c>
      <c r="BN89" s="64">
        <f>IFERROR(Y89*I89/H89,"0")</f>
        <v>140.70000000000002</v>
      </c>
      <c r="BO89" s="64">
        <f>IFERROR(1/J89*(X89/H89),"0")</f>
        <v>0.22727272727272729</v>
      </c>
      <c r="BP89" s="64">
        <f>IFERROR(1/J89*(Y89/H89),"0")</f>
        <v>0.22727272727272729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30</v>
      </c>
      <c r="Y90" s="547">
        <f>IFERROR(Y86/H86,"0")+IFERROR(Y87/H87,"0")+IFERROR(Y88/H88,"0")+IFERROR(Y89/H89,"0")</f>
        <v>30</v>
      </c>
      <c r="Z90" s="547">
        <f>IFERROR(IF(Z86="",0,Z86),"0")+IFERROR(IF(Z87="",0,Z87),"0")+IFERROR(IF(Z88="",0,Z88),"0")+IFERROR(IF(Z89="",0,Z89),"0")</f>
        <v>0.27060000000000001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135</v>
      </c>
      <c r="Y91" s="547">
        <f>IFERROR(SUM(Y86:Y89),"0")</f>
        <v>135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100</v>
      </c>
      <c r="Y93" s="546">
        <f>IFERROR(IF(X93="",0,CEILING((X93/$H93),1)*$H93),"")</f>
        <v>105.3</v>
      </c>
      <c r="Z93" s="36">
        <f>IFERROR(IF(Y93=0,"",ROUNDUP(Y93/H93,0)*0.01898),"")</f>
        <v>0.24674000000000001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106.09876543209877</v>
      </c>
      <c r="BN93" s="64">
        <f>IFERROR(Y93*I93/H93,"0")</f>
        <v>111.72199999999999</v>
      </c>
      <c r="BO93" s="64">
        <f>IFERROR(1/J93*(X93/H93),"0")</f>
        <v>0.19290123456790123</v>
      </c>
      <c r="BP93" s="64">
        <f>IFERROR(1/J93*(Y93/H93),"0")</f>
        <v>0.203125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315</v>
      </c>
      <c r="Y95" s="546">
        <f>IFERROR(IF(X95="",0,CEILING((X95/$H95),1)*$H95),"")</f>
        <v>315.90000000000003</v>
      </c>
      <c r="Z95" s="36">
        <f>IFERROR(IF(Y95=0,"",ROUNDUP(Y95/H95,0)*0.00651),"")</f>
        <v>0.76167000000000007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344.4</v>
      </c>
      <c r="BN95" s="64">
        <f>IFERROR(Y95*I95/H95,"0")</f>
        <v>345.38400000000001</v>
      </c>
      <c r="BO95" s="64">
        <f>IFERROR(1/J95*(X95/H95),"0")</f>
        <v>0.64102564102564097</v>
      </c>
      <c r="BP95" s="64">
        <f>IFERROR(1/J95*(Y95/H95),"0")</f>
        <v>0.6428571428571429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129.01234567901233</v>
      </c>
      <c r="Y97" s="547">
        <f>IFERROR(Y93/H93,"0")+IFERROR(Y94/H94,"0")+IFERROR(Y95/H95,"0")+IFERROR(Y96/H96,"0")</f>
        <v>130</v>
      </c>
      <c r="Z97" s="547">
        <f>IFERROR(IF(Z93="",0,Z93),"0")+IFERROR(IF(Z94="",0,Z94),"0")+IFERROR(IF(Z95="",0,Z95),"0")+IFERROR(IF(Z96="",0,Z96),"0")</f>
        <v>1.00841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415</v>
      </c>
      <c r="Y98" s="547">
        <f>IFERROR(SUM(Y93:Y96),"0")</f>
        <v>421.20000000000005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300</v>
      </c>
      <c r="Y116" s="546">
        <f>IFERROR(IF(X116="",0,CEILING((X116/$H116),1)*$H116),"")</f>
        <v>307.8</v>
      </c>
      <c r="Z116" s="36">
        <f>IFERROR(IF(Y116=0,"",ROUNDUP(Y116/H116,0)*0.01898),"")</f>
        <v>0.72123999999999999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318.07407407407402</v>
      </c>
      <c r="BN116" s="64">
        <f>IFERROR(Y116*I116/H116,"0")</f>
        <v>326.34399999999999</v>
      </c>
      <c r="BO116" s="64">
        <f>IFERROR(1/J116*(X116/H116),"0")</f>
        <v>0.57870370370370372</v>
      </c>
      <c r="BP116" s="64">
        <f>IFERROR(1/J116*(Y116/H116),"0")</f>
        <v>0.59375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37.037037037037038</v>
      </c>
      <c r="Y120" s="547">
        <f>IFERROR(Y116/H116,"0")+IFERROR(Y117/H117,"0")+IFERROR(Y118/H118,"0")+IFERROR(Y119/H119,"0")</f>
        <v>38</v>
      </c>
      <c r="Z120" s="547">
        <f>IFERROR(IF(Z116="",0,Z116),"0")+IFERROR(IF(Z117="",0,Z117),"0")+IFERROR(IF(Z118="",0,Z118),"0")+IFERROR(IF(Z119="",0,Z119),"0")</f>
        <v>0.72123999999999999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300</v>
      </c>
      <c r="Y121" s="547">
        <f>IFERROR(SUM(Y116:Y119),"0")</f>
        <v>307.8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35</v>
      </c>
      <c r="Y171" s="546">
        <f t="shared" si="5"/>
        <v>35.700000000000003</v>
      </c>
      <c r="Z171" s="36">
        <f>IFERROR(IF(Y171=0,"",ROUNDUP(Y171/H171,0)*0.00502),"")</f>
        <v>8.5339999999999999E-2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37.166666666666664</v>
      </c>
      <c r="BN171" s="64">
        <f t="shared" si="7"/>
        <v>37.910000000000004</v>
      </c>
      <c r="BO171" s="64">
        <f t="shared" si="8"/>
        <v>7.1225071225071226E-2</v>
      </c>
      <c r="BP171" s="64">
        <f t="shared" si="9"/>
        <v>7.2649572649572655E-2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35</v>
      </c>
      <c r="Y174" s="546">
        <f t="shared" si="5"/>
        <v>35.700000000000003</v>
      </c>
      <c r="Z174" s="36">
        <f>IFERROR(IF(Y174=0,"",ROUNDUP(Y174/H174,0)*0.00502),"")</f>
        <v>8.5339999999999999E-2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36.666666666666664</v>
      </c>
      <c r="BN174" s="64">
        <f t="shared" si="7"/>
        <v>37.4</v>
      </c>
      <c r="BO174" s="64">
        <f t="shared" si="8"/>
        <v>7.1225071225071226E-2</v>
      </c>
      <c r="BP174" s="64">
        <f t="shared" si="9"/>
        <v>7.2649572649572655E-2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33.333333333333329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34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0.17068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70</v>
      </c>
      <c r="Y178" s="547">
        <f>IFERROR(SUM(Y165:Y176),"0")</f>
        <v>71.400000000000006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150</v>
      </c>
      <c r="Y203" s="546">
        <f t="shared" si="10"/>
        <v>151.20000000000002</v>
      </c>
      <c r="Z203" s="36">
        <f>IFERROR(IF(Y203=0,"",ROUNDUP(Y203/H203,0)*0.00902),"")</f>
        <v>0.25256000000000001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155.27777777777777</v>
      </c>
      <c r="BN203" s="64">
        <f t="shared" si="12"/>
        <v>156.52000000000001</v>
      </c>
      <c r="BO203" s="64">
        <f t="shared" si="13"/>
        <v>0.21043771043771042</v>
      </c>
      <c r="BP203" s="64">
        <f t="shared" si="14"/>
        <v>0.21212121212121213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60</v>
      </c>
      <c r="Y205" s="546">
        <f t="shared" si="10"/>
        <v>61.2</v>
      </c>
      <c r="Z205" s="36">
        <f>IFERROR(IF(Y205=0,"",ROUNDUP(Y205/H205,0)*0.00502),"")</f>
        <v>0.17068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64.333333333333329</v>
      </c>
      <c r="BN205" s="64">
        <f t="shared" si="12"/>
        <v>65.62</v>
      </c>
      <c r="BO205" s="64">
        <f t="shared" si="13"/>
        <v>0.14245014245014248</v>
      </c>
      <c r="BP205" s="64">
        <f t="shared" si="14"/>
        <v>0.14529914529914531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15</v>
      </c>
      <c r="Y206" s="546">
        <f t="shared" si="10"/>
        <v>16.2</v>
      </c>
      <c r="Z206" s="36">
        <f>IFERROR(IF(Y206=0,"",ROUNDUP(Y206/H206,0)*0.00502),"")</f>
        <v>4.5179999999999998E-2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15.833333333333332</v>
      </c>
      <c r="BN206" s="64">
        <f t="shared" si="12"/>
        <v>17.099999999999998</v>
      </c>
      <c r="BO206" s="64">
        <f t="shared" si="13"/>
        <v>3.561253561253562E-2</v>
      </c>
      <c r="BP206" s="64">
        <f t="shared" si="14"/>
        <v>3.8461538461538464E-2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15</v>
      </c>
      <c r="Y207" s="546">
        <f t="shared" si="10"/>
        <v>16.2</v>
      </c>
      <c r="Z207" s="36">
        <f>IFERROR(IF(Y207=0,"",ROUNDUP(Y207/H207,0)*0.00502),"")</f>
        <v>4.5179999999999998E-2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15.833333333333332</v>
      </c>
      <c r="BN207" s="64">
        <f t="shared" si="12"/>
        <v>17.099999999999998</v>
      </c>
      <c r="BO207" s="64">
        <f t="shared" si="13"/>
        <v>3.561253561253562E-2</v>
      </c>
      <c r="BP207" s="64">
        <f t="shared" si="14"/>
        <v>3.8461538461538464E-2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102.77777777777777</v>
      </c>
      <c r="Y209" s="547">
        <f>IFERROR(Y201/H201,"0")+IFERROR(Y202/H202,"0")+IFERROR(Y203/H203,"0")+IFERROR(Y204/H204,"0")+IFERROR(Y205/H205,"0")+IFERROR(Y206/H206,"0")+IFERROR(Y207/H207,"0")+IFERROR(Y208/H208,"0")</f>
        <v>105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0.6391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285</v>
      </c>
      <c r="Y210" s="547">
        <f>IFERROR(SUM(Y201:Y208),"0")</f>
        <v>289.8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120</v>
      </c>
      <c r="Y215" s="546">
        <f t="shared" si="15"/>
        <v>120</v>
      </c>
      <c r="Z215" s="36">
        <f t="shared" ref="Z215:Z220" si="20">IFERROR(IF(Y215=0,"",ROUNDUP(Y215/H215,0)*0.00651),"")</f>
        <v>0.32550000000000001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133.5</v>
      </c>
      <c r="BN215" s="64">
        <f t="shared" si="17"/>
        <v>133.5</v>
      </c>
      <c r="BO215" s="64">
        <f t="shared" si="18"/>
        <v>0.27472527472527475</v>
      </c>
      <c r="BP215" s="64">
        <f t="shared" si="19"/>
        <v>0.27472527472527475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80</v>
      </c>
      <c r="Y217" s="546">
        <f t="shared" si="15"/>
        <v>81.599999999999994</v>
      </c>
      <c r="Z217" s="36">
        <f t="shared" si="20"/>
        <v>0.22134000000000001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88.40000000000002</v>
      </c>
      <c r="BN217" s="64">
        <f t="shared" si="17"/>
        <v>90.168000000000006</v>
      </c>
      <c r="BO217" s="64">
        <f t="shared" si="18"/>
        <v>0.18315018315018317</v>
      </c>
      <c r="BP217" s="64">
        <f t="shared" si="19"/>
        <v>0.18681318681318682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80</v>
      </c>
      <c r="Y220" s="546">
        <f t="shared" si="15"/>
        <v>81.599999999999994</v>
      </c>
      <c r="Z220" s="36">
        <f t="shared" si="20"/>
        <v>0.22134000000000001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88.6</v>
      </c>
      <c r="BN220" s="64">
        <f t="shared" si="17"/>
        <v>90.371999999999986</v>
      </c>
      <c r="BO220" s="64">
        <f t="shared" si="18"/>
        <v>0.18315018315018317</v>
      </c>
      <c r="BP220" s="64">
        <f t="shared" si="19"/>
        <v>0.18681318681318682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116.66666666666669</v>
      </c>
      <c r="Y221" s="547">
        <f>IFERROR(Y212/H212,"0")+IFERROR(Y213/H213,"0")+IFERROR(Y214/H214,"0")+IFERROR(Y215/H215,"0")+IFERROR(Y216/H216,"0")+IFERROR(Y217/H217,"0")+IFERROR(Y218/H218,"0")+IFERROR(Y219/H219,"0")+IFERROR(Y220/H220,"0")</f>
        <v>118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0.76817999999999997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280</v>
      </c>
      <c r="Y222" s="547">
        <f>IFERROR(SUM(Y212:Y220),"0")</f>
        <v>283.2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20</v>
      </c>
      <c r="Y233" s="546">
        <f t="shared" si="21"/>
        <v>20</v>
      </c>
      <c r="Z233" s="36">
        <f>IFERROR(IF(Y233=0,"",ROUNDUP(Y233/H233,0)*0.00902),"")</f>
        <v>4.5100000000000001E-2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20.950000000000003</v>
      </c>
      <c r="BN233" s="64">
        <f t="shared" si="23"/>
        <v>20.950000000000003</v>
      </c>
      <c r="BO233" s="64">
        <f t="shared" si="24"/>
        <v>3.787878787878788E-2</v>
      </c>
      <c r="BP233" s="64">
        <f t="shared" si="25"/>
        <v>3.787878787878788E-2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5</v>
      </c>
      <c r="Y239" s="547">
        <f>IFERROR(Y230/H230,"0")+IFERROR(Y231/H231,"0")+IFERROR(Y232/H232,"0")+IFERROR(Y233/H233,"0")+IFERROR(Y234/H234,"0")+IFERROR(Y235/H235,"0")+IFERROR(Y236/H236,"0")+IFERROR(Y237/H237,"0")+IFERROR(Y238/H238,"0")</f>
        <v>5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4.5100000000000001E-2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20</v>
      </c>
      <c r="Y240" s="547">
        <f>IFERROR(SUM(Y230:Y238),"0")</f>
        <v>20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80</v>
      </c>
      <c r="Y278" s="546">
        <f>IFERROR(IF(X278="",0,CEILING((X278/$H278),1)*$H278),"")</f>
        <v>81.599999999999994</v>
      </c>
      <c r="Z278" s="36">
        <f>IFERROR(IF(Y278=0,"",ROUNDUP(Y278/H278,0)*0.00651),"")</f>
        <v>0.22134000000000001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86</v>
      </c>
      <c r="BN278" s="64">
        <f>IFERROR(Y278*I278/H278,"0")</f>
        <v>87.72</v>
      </c>
      <c r="BO278" s="64">
        <f>IFERROR(1/J278*(X278/H278),"0")</f>
        <v>0.18315018315018317</v>
      </c>
      <c r="BP278" s="64">
        <f>IFERROR(1/J278*(Y278/H278),"0")</f>
        <v>0.18681318681318682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33.333333333333336</v>
      </c>
      <c r="Y279" s="547">
        <f>IFERROR(Y276/H276,"0")+IFERROR(Y277/H277,"0")+IFERROR(Y278/H278,"0")</f>
        <v>34</v>
      </c>
      <c r="Z279" s="547">
        <f>IFERROR(IF(Z276="",0,Z276),"0")+IFERROR(IF(Z277="",0,Z277),"0")+IFERROR(IF(Z278="",0,Z278),"0")</f>
        <v>0.22134000000000001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80</v>
      </c>
      <c r="Y280" s="547">
        <f>IFERROR(SUM(Y276:Y278),"0")</f>
        <v>81.599999999999994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35</v>
      </c>
      <c r="Y306" s="546">
        <f t="shared" si="26"/>
        <v>35.700000000000003</v>
      </c>
      <c r="Z306" s="36">
        <f>IFERROR(IF(Y306=0,"",ROUNDUP(Y306/H306,0)*0.00502),"")</f>
        <v>8.5339999999999999E-2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36.666666666666664</v>
      </c>
      <c r="BN306" s="64">
        <f t="shared" si="28"/>
        <v>37.4</v>
      </c>
      <c r="BO306" s="64">
        <f t="shared" si="29"/>
        <v>7.1225071225071226E-2</v>
      </c>
      <c r="BP306" s="64">
        <f t="shared" si="30"/>
        <v>7.2649572649572655E-2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16.666666666666664</v>
      </c>
      <c r="Y308" s="547">
        <f>IFERROR(Y302/H302,"0")+IFERROR(Y303/H303,"0")+IFERROR(Y304/H304,"0")+IFERROR(Y305/H305,"0")+IFERROR(Y306/H306,"0")+IFERROR(Y307/H307,"0")</f>
        <v>17</v>
      </c>
      <c r="Z308" s="547">
        <f>IFERROR(IF(Z302="",0,Z302),"0")+IFERROR(IF(Z303="",0,Z303),"0")+IFERROR(IF(Z304="",0,Z304),"0")+IFERROR(IF(Z305="",0,Z305),"0")+IFERROR(IF(Z306="",0,Z306),"0")+IFERROR(IF(Z307="",0,Z307),"0")</f>
        <v>8.5339999999999999E-2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35</v>
      </c>
      <c r="Y309" s="547">
        <f>IFERROR(SUM(Y302:Y307),"0")</f>
        <v>35.700000000000003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150</v>
      </c>
      <c r="Y319" s="546">
        <f>IFERROR(IF(X319="",0,CEILING((X319/$H319),1)*$H319),"")</f>
        <v>156</v>
      </c>
      <c r="Z319" s="36">
        <f>IFERROR(IF(Y319=0,"",ROUNDUP(Y319/H319,0)*0.01898),"")</f>
        <v>0.37959999999999999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159.50000000000003</v>
      </c>
      <c r="BN319" s="64">
        <f>IFERROR(Y319*I319/H319,"0")</f>
        <v>165.88</v>
      </c>
      <c r="BO319" s="64">
        <f>IFERROR(1/J319*(X319/H319),"0")</f>
        <v>0.30048076923076922</v>
      </c>
      <c r="BP319" s="64">
        <f>IFERROR(1/J319*(Y319/H319),"0")</f>
        <v>0.3125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31.135531135531135</v>
      </c>
      <c r="Y321" s="547">
        <f>IFERROR(Y318/H318,"0")+IFERROR(Y319/H319,"0")+IFERROR(Y320/H320,"0")</f>
        <v>32</v>
      </c>
      <c r="Z321" s="547">
        <f>IFERROR(IF(Z318="",0,Z318),"0")+IFERROR(IF(Z319="",0,Z319),"0")+IFERROR(IF(Z320="",0,Z320),"0")</f>
        <v>0.60736000000000001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250</v>
      </c>
      <c r="Y322" s="547">
        <f>IFERROR(SUM(Y318:Y320),"0")</f>
        <v>256.8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350</v>
      </c>
      <c r="Y340" s="546">
        <f>IFERROR(IF(X340="",0,CEILING((X340/$H340),1)*$H340),"")</f>
        <v>350.7</v>
      </c>
      <c r="Z340" s="36">
        <f>IFERROR(IF(Y340=0,"",ROUNDUP(Y340/H340,0)*0.00651),"")</f>
        <v>1.08717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390</v>
      </c>
      <c r="BN340" s="64">
        <f>IFERROR(Y340*I340/H340,"0")</f>
        <v>390.78</v>
      </c>
      <c r="BO340" s="64">
        <f>IFERROR(1/J340*(X340/H340),"0")</f>
        <v>0.91575091575091572</v>
      </c>
      <c r="BP340" s="64">
        <f>IFERROR(1/J340*(Y340/H340),"0")</f>
        <v>0.91758241758241765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166.66666666666666</v>
      </c>
      <c r="Y341" s="547">
        <f>IFERROR(Y338/H338,"0")+IFERROR(Y339/H339,"0")+IFERROR(Y340/H340,"0")</f>
        <v>167</v>
      </c>
      <c r="Z341" s="547">
        <f>IFERROR(IF(Z338="",0,Z338),"0")+IFERROR(IF(Z339="",0,Z339),"0")+IFERROR(IF(Z340="",0,Z340),"0")</f>
        <v>1.08717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350</v>
      </c>
      <c r="Y342" s="547">
        <f>IFERROR(SUM(Y338:Y340),"0")</f>
        <v>350.7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1200</v>
      </c>
      <c r="Y346" s="546">
        <f t="shared" ref="Y346:Y352" si="31">IFERROR(IF(X346="",0,CEILING((X346/$H346),1)*$H346),"")</f>
        <v>1200</v>
      </c>
      <c r="Z346" s="36">
        <f>IFERROR(IF(Y346=0,"",ROUNDUP(Y346/H346,0)*0.02175),"")</f>
        <v>1.7399999999999998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1237.5999999999999</v>
      </c>
      <c r="BN346" s="64">
        <f t="shared" ref="BN346:BN352" si="33">IFERROR(Y346*I346/H346,"0")</f>
        <v>1237.5999999999999</v>
      </c>
      <c r="BO346" s="64">
        <f t="shared" ref="BO346:BO352" si="34">IFERROR(1/J346*(X346/H346),"0")</f>
        <v>1.6666666666666665</v>
      </c>
      <c r="BP346" s="64">
        <f t="shared" ref="BP346:BP352" si="35">IFERROR(1/J346*(Y346/H346),"0")</f>
        <v>1.6666666666666665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1000</v>
      </c>
      <c r="Y347" s="546">
        <f t="shared" si="31"/>
        <v>1005</v>
      </c>
      <c r="Z347" s="36">
        <f>IFERROR(IF(Y347=0,"",ROUNDUP(Y347/H347,0)*0.02175),"")</f>
        <v>1.4572499999999999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1031.3333333333333</v>
      </c>
      <c r="BN347" s="64">
        <f t="shared" si="33"/>
        <v>1036.49</v>
      </c>
      <c r="BO347" s="64">
        <f t="shared" si="34"/>
        <v>1.3888888888888888</v>
      </c>
      <c r="BP347" s="64">
        <f t="shared" si="35"/>
        <v>1.3958333333333333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1000</v>
      </c>
      <c r="Y348" s="546">
        <f t="shared" si="31"/>
        <v>1005</v>
      </c>
      <c r="Z348" s="36">
        <f>IFERROR(IF(Y348=0,"",ROUNDUP(Y348/H348,0)*0.02175),"")</f>
        <v>1.4572499999999999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1031.3333333333333</v>
      </c>
      <c r="BN348" s="64">
        <f t="shared" si="33"/>
        <v>1036.49</v>
      </c>
      <c r="BO348" s="64">
        <f t="shared" si="34"/>
        <v>1.3888888888888888</v>
      </c>
      <c r="BP348" s="64">
        <f t="shared" si="35"/>
        <v>1.3958333333333333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500</v>
      </c>
      <c r="Y349" s="546">
        <f t="shared" si="31"/>
        <v>510</v>
      </c>
      <c r="Z349" s="36">
        <f>IFERROR(IF(Y349=0,"",ROUNDUP(Y349/H349,0)*0.02175),"")</f>
        <v>0.73949999999999994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515.66666666666663</v>
      </c>
      <c r="BN349" s="64">
        <f t="shared" si="33"/>
        <v>525.98</v>
      </c>
      <c r="BO349" s="64">
        <f t="shared" si="34"/>
        <v>0.69444444444444442</v>
      </c>
      <c r="BP349" s="64">
        <f t="shared" si="35"/>
        <v>0.70833333333333326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246.66666666666671</v>
      </c>
      <c r="Y353" s="547">
        <f>IFERROR(Y346/H346,"0")+IFERROR(Y347/H347,"0")+IFERROR(Y348/H348,"0")+IFERROR(Y349/H349,"0")+IFERROR(Y350/H350,"0")+IFERROR(Y351/H351,"0")+IFERROR(Y352/H352,"0")</f>
        <v>248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5.3939999999999992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3700</v>
      </c>
      <c r="Y354" s="547">
        <f>IFERROR(SUM(Y346:Y352),"0")</f>
        <v>3720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1400</v>
      </c>
      <c r="Y356" s="546">
        <f>IFERROR(IF(X356="",0,CEILING((X356/$H356),1)*$H356),"")</f>
        <v>1410</v>
      </c>
      <c r="Z356" s="36">
        <f>IFERROR(IF(Y356=0,"",ROUNDUP(Y356/H356,0)*0.02175),"")</f>
        <v>2.0444999999999998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1443.8666666666666</v>
      </c>
      <c r="BN356" s="64">
        <f>IFERROR(Y356*I356/H356,"0")</f>
        <v>1454.18</v>
      </c>
      <c r="BO356" s="64">
        <f>IFERROR(1/J356*(X356/H356),"0")</f>
        <v>1.9444444444444442</v>
      </c>
      <c r="BP356" s="64">
        <f>IFERROR(1/J356*(Y356/H356),"0")</f>
        <v>1.9583333333333333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93.333333333333329</v>
      </c>
      <c r="Y358" s="547">
        <f>IFERROR(Y356/H356,"0")+IFERROR(Y357/H357,"0")</f>
        <v>94</v>
      </c>
      <c r="Z358" s="547">
        <f>IFERROR(IF(Z356="",0,Z356),"0")+IFERROR(IF(Z357="",0,Z357),"0")</f>
        <v>2.0444999999999998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1400</v>
      </c>
      <c r="Y359" s="547">
        <f>IFERROR(SUM(Y356:Y357),"0")</f>
        <v>1410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35</v>
      </c>
      <c r="Y396" s="546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8.5339999999999999E-2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35</v>
      </c>
      <c r="Y399" s="547">
        <f>IFERROR(SUM(Y389:Y397),"0")</f>
        <v>35.700000000000003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110.22727272727272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111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1.25406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570</v>
      </c>
      <c r="Y438" s="547">
        <f>IFERROR(SUM(Y425:Y436),"0")</f>
        <v>574.08000000000004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200</v>
      </c>
      <c r="Y440" s="546">
        <f>IFERROR(IF(X440="",0,CEILING((X440/$H440),1)*$H440),"")</f>
        <v>200.64000000000001</v>
      </c>
      <c r="Z440" s="36">
        <f>IFERROR(IF(Y440=0,"",ROUNDUP(Y440/H440,0)*0.01196),"")</f>
        <v>0.45448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213.25757575757575</v>
      </c>
      <c r="BN440" s="64">
        <f>IFERROR(Y440*I440/H440,"0")</f>
        <v>213.94</v>
      </c>
      <c r="BO440" s="64">
        <f>IFERROR(1/J440*(X440/H440),"0")</f>
        <v>0.36421911421911418</v>
      </c>
      <c r="BP440" s="64">
        <f>IFERROR(1/J440*(Y440/H440),"0")</f>
        <v>0.36538461538461542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37.878787878787875</v>
      </c>
      <c r="Y443" s="547">
        <f>IFERROR(Y440/H440,"0")+IFERROR(Y441/H441,"0")+IFERROR(Y442/H442,"0")</f>
        <v>38</v>
      </c>
      <c r="Z443" s="547">
        <f>IFERROR(IF(Z440="",0,Z440),"0")+IFERROR(IF(Z441="",0,Z441),"0")+IFERROR(IF(Z442="",0,Z442),"0")</f>
        <v>0.45448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200</v>
      </c>
      <c r="Y444" s="547">
        <f>IFERROR(SUM(Y440:Y442),"0")</f>
        <v>200.64000000000001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70</v>
      </c>
      <c r="Y446" s="546">
        <f t="shared" ref="Y446:Y451" si="48">IFERROR(IF(X446="",0,CEILING((X446/$H446),1)*$H446),"")</f>
        <v>73.92</v>
      </c>
      <c r="Z446" s="36">
        <f>IFERROR(IF(Y446=0,"",ROUNDUP(Y446/H446,0)*0.01196),"")</f>
        <v>0.16744000000000001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74.640151515151501</v>
      </c>
      <c r="BN446" s="64">
        <f t="shared" ref="BN446:BN451" si="50">IFERROR(Y446*I446/H446,"0")</f>
        <v>78.819999999999993</v>
      </c>
      <c r="BO446" s="64">
        <f t="shared" ref="BO446:BO451" si="51">IFERROR(1/J446*(X446/H446),"0")</f>
        <v>0.12747668997668998</v>
      </c>
      <c r="BP446" s="64">
        <f t="shared" ref="BP446:BP451" si="52">IFERROR(1/J446*(Y446/H446),"0")</f>
        <v>0.13461538461538464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13.257575757575758</v>
      </c>
      <c r="Y452" s="547">
        <f>IFERROR(Y446/H446,"0")+IFERROR(Y447/H447,"0")+IFERROR(Y448/H448,"0")+IFERROR(Y449/H449,"0")+IFERROR(Y450/H450,"0")+IFERROR(Y451/H451,"0")</f>
        <v>14</v>
      </c>
      <c r="Z452" s="547">
        <f>IFERROR(IF(Z446="",0,Z446),"0")+IFERROR(IF(Z447="",0,Z447),"0")+IFERROR(IF(Z448="",0,Z448),"0")+IFERROR(IF(Z449="",0,Z449),"0")+IFERROR(IF(Z450="",0,Z450),"0")+IFERROR(IF(Z451="",0,Z451),"0")</f>
        <v>0.16744000000000001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70</v>
      </c>
      <c r="Y453" s="547">
        <f>IFERROR(SUM(Y446:Y451),"0")</f>
        <v>73.92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800</v>
      </c>
      <c r="Y478" s="546">
        <f>IFERROR(IF(X478="",0,CEILING((X478/$H478),1)*$H478),"")</f>
        <v>801</v>
      </c>
      <c r="Z478" s="36">
        <f>IFERROR(IF(Y478=0,"",ROUNDUP(Y478/H478,0)*0.01898),"")</f>
        <v>1.6892199999999999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843.91111111111104</v>
      </c>
      <c r="BN478" s="64">
        <f>IFERROR(Y478*I478/H478,"0")</f>
        <v>844.96599999999989</v>
      </c>
      <c r="BO478" s="64">
        <f>IFERROR(1/J478*(X478/H478),"0")</f>
        <v>1.3888888888888888</v>
      </c>
      <c r="BP478" s="64">
        <f>IFERROR(1/J478*(Y478/H478),"0")</f>
        <v>1.390625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88.888888888888886</v>
      </c>
      <c r="Y479" s="547">
        <f>IFERROR(Y478/H478,"0")</f>
        <v>89</v>
      </c>
      <c r="Z479" s="547">
        <f>IFERROR(IF(Z478="",0,Z478),"0")</f>
        <v>1.6892199999999999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800</v>
      </c>
      <c r="Y480" s="547">
        <f>IFERROR(SUM(Y478:Y478),"0")</f>
        <v>801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10035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10138.939999999999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10559.353714187047</v>
      </c>
      <c r="Y492" s="547">
        <f>IFERROR(SUM(BN22:BN488),"0")</f>
        <v>10668.394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17</v>
      </c>
      <c r="Y493" s="38">
        <f>ROUNDUP(SUM(BP22:BP488),0)</f>
        <v>17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10984.353714187047</v>
      </c>
      <c r="Y494" s="547">
        <f>GrossWeightTotalR+PalletQtyTotalR*25</f>
        <v>11093.394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1516.0699177365846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1532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18.899959999999997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348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722.4</v>
      </c>
      <c r="E501" s="46">
        <f>IFERROR(Y86*1,"0")+IFERROR(Y87*1,"0")+IFERROR(Y88*1,"0")+IFERROR(Y89*1,"0")+IFERROR(Y93*1,"0")+IFERROR(Y94*1,"0")+IFERROR(Y95*1,"0")+IFERROR(Y96*1,"0")</f>
        <v>556.20000000000005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307.8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71.400000000000006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573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81.599999999999994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292.5</v>
      </c>
      <c r="R501" s="46">
        <f>IFERROR(Y338*1,"0")+IFERROR(Y339*1,"0")+IFERROR(Y340*1,"0")</f>
        <v>350.7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5130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35.700000000000003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848.64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801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2025-12-10T08:48:44Z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