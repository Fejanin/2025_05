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CD2B0899-CF58-413E-BF6D-7F642DF46A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X492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Y57" i="1"/>
  <c r="Z52" i="1"/>
  <c r="Z57" i="1" s="1"/>
  <c r="BN52" i="1"/>
  <c r="BP52" i="1"/>
  <c r="Z54" i="1"/>
  <c r="BN54" i="1"/>
  <c r="Z56" i="1"/>
  <c r="BN56" i="1"/>
  <c r="BP62" i="1"/>
  <c r="BN62" i="1"/>
  <c r="Z62" i="1"/>
  <c r="Y69" i="1"/>
  <c r="BP66" i="1"/>
  <c r="BN66" i="1"/>
  <c r="Z66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BP142" i="1"/>
  <c r="BN142" i="1"/>
  <c r="Z142" i="1"/>
  <c r="Y149" i="1"/>
  <c r="BP146" i="1"/>
  <c r="BN146" i="1"/>
  <c r="Z146" i="1"/>
  <c r="Y172" i="1"/>
  <c r="BP165" i="1"/>
  <c r="BN165" i="1"/>
  <c r="Z165" i="1"/>
  <c r="BP169" i="1"/>
  <c r="BN169" i="1"/>
  <c r="Z169" i="1"/>
  <c r="Y178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Q498" i="1"/>
  <c r="BP291" i="1"/>
  <c r="BN291" i="1"/>
  <c r="Z291" i="1"/>
  <c r="Z330" i="1"/>
  <c r="BP328" i="1"/>
  <c r="BN328" i="1"/>
  <c r="Z328" i="1"/>
  <c r="Y330" i="1"/>
  <c r="D498" i="1"/>
  <c r="F9" i="1"/>
  <c r="J9" i="1"/>
  <c r="Y63" i="1"/>
  <c r="Y492" i="1" s="1"/>
  <c r="BP60" i="1"/>
  <c r="BN60" i="1"/>
  <c r="Y489" i="1" s="1"/>
  <c r="Z60" i="1"/>
  <c r="Z63" i="1" s="1"/>
  <c r="BP68" i="1"/>
  <c r="Y490" i="1" s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BP163" i="1"/>
  <c r="BN163" i="1"/>
  <c r="Z163" i="1"/>
  <c r="Z171" i="1" s="1"/>
  <c r="BP167" i="1"/>
  <c r="BN167" i="1"/>
  <c r="Z167" i="1"/>
  <c r="Y171" i="1"/>
  <c r="BP175" i="1"/>
  <c r="BN175" i="1"/>
  <c r="Z175" i="1"/>
  <c r="Z177" i="1" s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234" i="1"/>
  <c r="Z149" i="1"/>
  <c r="Z103" i="1"/>
  <c r="Z95" i="1"/>
  <c r="Y488" i="1"/>
  <c r="Z431" i="1"/>
  <c r="Z116" i="1"/>
  <c r="Z69" i="1"/>
  <c r="Z493" i="1" s="1"/>
  <c r="X491" i="1"/>
</calcChain>
</file>

<file path=xl/sharedStrings.xml><?xml version="1.0" encoding="utf-8"?>
<sst xmlns="http://schemas.openxmlformats.org/spreadsheetml/2006/main" count="2278" uniqueCount="763">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</sst>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160</v>
      </c>
      <c r="Y41" s="540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49.25925925925926</v>
      </c>
      <c r="Y43" s="541">
        <f>IFERROR(Y40/H40,"0")+IFERROR(Y41/H41,"0")+IFERROR(Y42/H42,"0")</f>
        <v>50</v>
      </c>
      <c r="Z43" s="541">
        <f>IFERROR(IF(Z40="",0,Z40),"0")+IFERROR(IF(Z41="",0,Z41),"0")+IFERROR(IF(Z42="",0,Z42),"0")</f>
        <v>0.55059999999999998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260</v>
      </c>
      <c r="Y44" s="541">
        <f>IFERROR(SUM(Y40:Y42),"0")</f>
        <v>268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90</v>
      </c>
      <c r="Y56" s="540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38.518518518518519</v>
      </c>
      <c r="Y57" s="541">
        <f>IFERROR(Y51/H51,"0")+IFERROR(Y52/H52,"0")+IFERROR(Y53/H53,"0")+IFERROR(Y54/H54,"0")+IFERROR(Y55/H55,"0")+IFERROR(Y56/H56,"0")</f>
        <v>39</v>
      </c>
      <c r="Z57" s="541">
        <f>IFERROR(IF(Z51="",0,Z51),"0")+IFERROR(IF(Z52="",0,Z52),"0")+IFERROR(IF(Z53="",0,Z53),"0")+IFERROR(IF(Z54="",0,Z54),"0")+IFERROR(IF(Z55="",0,Z55),"0")+IFERROR(IF(Z56="",0,Z56),"0")</f>
        <v>0.54102000000000006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290</v>
      </c>
      <c r="Y58" s="541">
        <f>IFERROR(SUM(Y51:Y56),"0")</f>
        <v>295.20000000000005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120</v>
      </c>
      <c r="Y60" s="540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45</v>
      </c>
      <c r="Y62" s="540">
        <f>IFERROR(IF(X62="",0,CEILING((X62/$H62),1)*$H62),"")</f>
        <v>45.900000000000006</v>
      </c>
      <c r="Z62" s="36">
        <f>IFERROR(IF(Y62=0,"",ROUNDUP(Y62/H62,0)*0.00651),"")</f>
        <v>0.11067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47.999999999999993</v>
      </c>
      <c r="BN62" s="64">
        <f>IFERROR(Y62*I62/H62,"0")</f>
        <v>48.96</v>
      </c>
      <c r="BO62" s="64">
        <f>IFERROR(1/J62*(X62/H62),"0")</f>
        <v>9.1575091575091569E-2</v>
      </c>
      <c r="BP62" s="64">
        <f>IFERROR(1/J62*(Y62/H62),"0")</f>
        <v>9.3406593406593408E-2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27.777777777777775</v>
      </c>
      <c r="Y63" s="541">
        <f>IFERROR(Y60/H60,"0")+IFERROR(Y61/H61,"0")+IFERROR(Y62/H62,"0")</f>
        <v>29</v>
      </c>
      <c r="Z63" s="541">
        <f>IFERROR(IF(Z60="",0,Z60),"0")+IFERROR(IF(Z61="",0,Z61),"0")+IFERROR(IF(Z62="",0,Z62),"0")</f>
        <v>0.33843000000000001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165</v>
      </c>
      <c r="Y64" s="541">
        <f>IFERROR(SUM(Y60:Y62),"0")</f>
        <v>175.50000000000003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59.25925925925926</v>
      </c>
      <c r="Y88" s="541">
        <f>IFERROR(Y85/H85,"0")+IFERROR(Y86/H86,"0")+IFERROR(Y87/H87,"0")</f>
        <v>60</v>
      </c>
      <c r="Z88" s="541">
        <f>IFERROR(IF(Z85="",0,Z85),"0")+IFERROR(IF(Z86="",0,Z86),"0")+IFERROR(IF(Z87="",0,Z87),"0")</f>
        <v>0.64080000000000004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325</v>
      </c>
      <c r="Y89" s="541">
        <f>IFERROR(SUM(Y85:Y87),"0")</f>
        <v>333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495</v>
      </c>
      <c r="Y101" s="540">
        <f>IFERROR(IF(X101="",0,CEILING((X101/$H101),1)*$H101),"")</f>
        <v>495</v>
      </c>
      <c r="Z101" s="36">
        <f>IFERROR(IF(Y101=0,"",ROUNDUP(Y101/H101,0)*0.00902),"")</f>
        <v>0.99219999999999997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515.90000000000009</v>
      </c>
      <c r="BN101" s="64">
        <f>IFERROR(Y101*I101/H101,"0")</f>
        <v>515.90000000000009</v>
      </c>
      <c r="BO101" s="64">
        <f>IFERROR(1/J101*(X101/H101),"0")</f>
        <v>0.83333333333333337</v>
      </c>
      <c r="BP101" s="64">
        <f>IFERROR(1/J101*(Y101/H101),"0")</f>
        <v>0.83333333333333337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110</v>
      </c>
      <c r="Y103" s="541">
        <f>IFERROR(Y99/H99,"0")+IFERROR(Y100/H100,"0")+IFERROR(Y101/H101,"0")+IFERROR(Y102/H102,"0")</f>
        <v>110</v>
      </c>
      <c r="Z103" s="541">
        <f>IFERROR(IF(Z99="",0,Z99),"0")+IFERROR(IF(Z100="",0,Z100),"0")+IFERROR(IF(Z101="",0,Z101),"0")+IFERROR(IF(Z102="",0,Z102),"0")</f>
        <v>0.99219999999999997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495</v>
      </c>
      <c r="Y104" s="541">
        <f>IFERROR(SUM(Y99:Y102),"0")</f>
        <v>495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500</v>
      </c>
      <c r="Y112" s="540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530.12345679012344</v>
      </c>
      <c r="BN112" s="64">
        <f>IFERROR(Y112*I112/H112,"0")</f>
        <v>532.4559999999999</v>
      </c>
      <c r="BO112" s="64">
        <f>IFERROR(1/J112*(X112/H112),"0")</f>
        <v>0.96450617283950624</v>
      </c>
      <c r="BP112" s="64">
        <f>IFERROR(1/J112*(Y112/H112),"0")</f>
        <v>0.96875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270</v>
      </c>
      <c r="Y114" s="540">
        <f>IFERROR(IF(X114="",0,CEILING((X114/$H114),1)*$H114),"")</f>
        <v>270</v>
      </c>
      <c r="Z114" s="36">
        <f>IFERROR(IF(Y114=0,"",ROUNDUP(Y114/H114,0)*0.00651),"")</f>
        <v>0.65100000000000002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295.2</v>
      </c>
      <c r="BN114" s="64">
        <f>IFERROR(Y114*I114/H114,"0")</f>
        <v>295.2</v>
      </c>
      <c r="BO114" s="64">
        <f>IFERROR(1/J114*(X114/H114),"0")</f>
        <v>0.5494505494505495</v>
      </c>
      <c r="BP114" s="64">
        <f>IFERROR(1/J114*(Y114/H114),"0")</f>
        <v>0.5494505494505495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171.72839506172841</v>
      </c>
      <c r="Y116" s="541">
        <f>IFERROR(Y112/H112,"0")+IFERROR(Y113/H113,"0")+IFERROR(Y114/H114,"0")+IFERROR(Y115/H115,"0")</f>
        <v>172</v>
      </c>
      <c r="Z116" s="541">
        <f>IFERROR(IF(Z112="",0,Z112),"0")+IFERROR(IF(Z113="",0,Z113),"0")+IFERROR(IF(Z114="",0,Z114),"0")+IFERROR(IF(Z115="",0,Z115),"0")</f>
        <v>1.89286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788</v>
      </c>
      <c r="Y117" s="541">
        <f>IFERROR(SUM(Y112:Y115),"0")</f>
        <v>790.2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221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60</v>
      </c>
      <c r="Y124" s="540">
        <f>IFERROR(IF(X124="",0,CEILING((X124/$H124),1)*$H124),"")</f>
        <v>60.800000000000004</v>
      </c>
      <c r="Z124" s="36">
        <f>IFERROR(IF(Y124=0,"",ROUNDUP(Y124/H124,0)*0.00651),"")</f>
        <v>0.12369000000000001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63.374999999999993</v>
      </c>
      <c r="BN124" s="64">
        <f>IFERROR(Y124*I124/H124,"0")</f>
        <v>64.22</v>
      </c>
      <c r="BO124" s="64">
        <f>IFERROR(1/J124*(X124/H124),"0")</f>
        <v>0.10302197802197803</v>
      </c>
      <c r="BP124" s="64">
        <f>IFERROR(1/J124*(Y124/H124),"0")</f>
        <v>0.1043956043956044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18.75</v>
      </c>
      <c r="Y126" s="541">
        <f>IFERROR(Y124/H124,"0")+IFERROR(Y125/H125,"0")</f>
        <v>19</v>
      </c>
      <c r="Z126" s="541">
        <f>IFERROR(IF(Z124="",0,Z124),"0")+IFERROR(IF(Z125="",0,Z125),"0")</f>
        <v>0.12369000000000001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60</v>
      </c>
      <c r="Y127" s="541">
        <f>IFERROR(SUM(Y124:Y125),"0")</f>
        <v>60.800000000000004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253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256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257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30</v>
      </c>
      <c r="Y163" s="540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100</v>
      </c>
      <c r="Y164" s="540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275</v>
      </c>
      <c r="B167" s="54" t="s">
        <v>276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30.952380952380953</v>
      </c>
      <c r="Y171" s="541">
        <f>IFERROR(Y162/H162,"0")+IFERROR(Y163/H163,"0")+IFERROR(Y164/H164,"0")+IFERROR(Y165/H165,"0")+IFERROR(Y166/H166,"0")+IFERROR(Y167/H167,"0")+IFERROR(Y168/H168,"0")+IFERROR(Y169/H169,"0")+IFERROR(Y170/H170,"0")</f>
        <v>32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0.28864000000000001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130</v>
      </c>
      <c r="Y172" s="541">
        <f>IFERROR(SUM(Y162:Y170),"0")</f>
        <v>134.4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16.666666666666668</v>
      </c>
      <c r="Y177" s="541">
        <f>IFERROR(Y174/H174,"0")+IFERROR(Y175/H175,"0")+IFERROR(Y176/H176,"0")</f>
        <v>18</v>
      </c>
      <c r="Z177" s="541">
        <f>IFERROR(IF(Z174="",0,Z174),"0")+IFERROR(IF(Z175="",0,Z175),"0")+IFERROR(IF(Z176="",0,Z176),"0")</f>
        <v>0.1062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21.000000000000004</v>
      </c>
      <c r="Y178" s="541">
        <f>IFERROR(SUM(Y174:Y176),"0")</f>
        <v>22.68</v>
      </c>
      <c r="Z178" s="37"/>
      <c r="AA178" s="542"/>
      <c r="AB178" s="542"/>
      <c r="AC178" s="542"/>
    </row>
    <row r="179" spans="1:68" ht="14.25" customHeight="1" x14ac:dyDescent="0.25">
      <c r="A179" s="554" t="s">
        <v>295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7.0000000000000009</v>
      </c>
      <c r="Y180" s="540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5.5555555555555562</v>
      </c>
      <c r="Y181" s="541">
        <f>IFERROR(Y180/H180,"0")</f>
        <v>6</v>
      </c>
      <c r="Z181" s="541">
        <f>IFERROR(IF(Z180="",0,Z180),"0")</f>
        <v>3.5400000000000001E-2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7.0000000000000009</v>
      </c>
      <c r="Y182" s="541">
        <f>IFERROR(SUM(Y180:Y180),"0")</f>
        <v>7.5600000000000005</v>
      </c>
      <c r="Z182" s="37"/>
      <c r="AA182" s="542"/>
      <c r="AB182" s="542"/>
      <c r="AC182" s="542"/>
    </row>
    <row r="183" spans="1:68" ht="16.5" customHeight="1" x14ac:dyDescent="0.25">
      <c r="A183" s="552" t="s">
        <v>298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299</v>
      </c>
      <c r="B185" s="54" t="s">
        <v>300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302</v>
      </c>
      <c r="B186" s="54" t="s">
        <v>303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304</v>
      </c>
      <c r="B190" s="54" t="s">
        <v>305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307</v>
      </c>
      <c r="B191" s="54" t="s">
        <v>308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550</v>
      </c>
      <c r="Y197" s="540">
        <f t="shared" si="10"/>
        <v>550.80000000000007</v>
      </c>
      <c r="Z197" s="36">
        <f>IFERROR(IF(Y197=0,"",ROUNDUP(Y197/H197,0)*0.00902),"")</f>
        <v>0.92003999999999997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569.35185185185185</v>
      </c>
      <c r="BN197" s="64">
        <f t="shared" si="12"/>
        <v>570.17999999999995</v>
      </c>
      <c r="BO197" s="64">
        <f t="shared" si="13"/>
        <v>0.77160493827160492</v>
      </c>
      <c r="BP197" s="64">
        <f t="shared" si="14"/>
        <v>0.77272727272727271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30</v>
      </c>
      <c r="Y198" s="540">
        <f t="shared" si="10"/>
        <v>32.400000000000006</v>
      </c>
      <c r="Z198" s="36">
        <f>IFERROR(IF(Y198=0,"",ROUNDUP(Y198/H198,0)*0.00902),"")</f>
        <v>5.4120000000000001E-2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31.05555555555555</v>
      </c>
      <c r="BN198" s="64">
        <f t="shared" si="12"/>
        <v>33.54</v>
      </c>
      <c r="BO198" s="64">
        <f t="shared" si="13"/>
        <v>4.208754208754209E-2</v>
      </c>
      <c r="BP198" s="64">
        <f t="shared" si="14"/>
        <v>4.5454545454545463E-2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116.66666666666667</v>
      </c>
      <c r="Y203" s="541">
        <f>IFERROR(Y195/H195,"0")+IFERROR(Y196/H196,"0")+IFERROR(Y197/H197,"0")+IFERROR(Y198/H198,"0")+IFERROR(Y199/H199,"0")+IFERROR(Y200/H200,"0")+IFERROR(Y201/H201,"0")+IFERROR(Y202/H202,"0")</f>
        <v>118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1.06436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630</v>
      </c>
      <c r="Y204" s="541">
        <f>IFERROR(SUM(Y195:Y202),"0")</f>
        <v>637.20000000000005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329</v>
      </c>
      <c r="B206" s="54" t="s">
        <v>330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332</v>
      </c>
      <c r="B207" s="54" t="s">
        <v>333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50</v>
      </c>
      <c r="Y208" s="540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52.839080459770123</v>
      </c>
      <c r="BN208" s="64">
        <f t="shared" si="17"/>
        <v>55.164000000000009</v>
      </c>
      <c r="BO208" s="64">
        <f t="shared" si="18"/>
        <v>8.9798850574712652E-2</v>
      </c>
      <c r="BP208" s="64">
        <f t="shared" si="19"/>
        <v>9.375E-2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80</v>
      </c>
      <c r="Y211" s="540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customHeight="1" x14ac:dyDescent="0.25">
      <c r="A212" s="54" t="s">
        <v>345</v>
      </c>
      <c r="B212" s="54" t="s">
        <v>346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40</v>
      </c>
      <c r="Y214" s="540">
        <f t="shared" si="15"/>
        <v>40.799999999999997</v>
      </c>
      <c r="Z214" s="36">
        <f t="shared" si="20"/>
        <v>0.11067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44.3</v>
      </c>
      <c r="BN214" s="64">
        <f t="shared" si="17"/>
        <v>45.185999999999993</v>
      </c>
      <c r="BO214" s="64">
        <f t="shared" si="18"/>
        <v>9.1575091575091583E-2</v>
      </c>
      <c r="BP214" s="64">
        <f t="shared" si="19"/>
        <v>9.3406593406593408E-2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55.747126436781613</v>
      </c>
      <c r="Y215" s="541">
        <f>IFERROR(Y206/H206,"0")+IFERROR(Y207/H207,"0")+IFERROR(Y208/H208,"0")+IFERROR(Y209/H209,"0")+IFERROR(Y210/H210,"0")+IFERROR(Y211/H211,"0")+IFERROR(Y212/H212,"0")+IFERROR(Y213/H213,"0")+IFERROR(Y214/H214,"0")</f>
        <v>57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0.44589000000000001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170</v>
      </c>
      <c r="Y216" s="541">
        <f>IFERROR(SUM(Y206:Y214),"0")</f>
        <v>174.59999999999997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40</v>
      </c>
      <c r="Y218" s="540">
        <f>IFERROR(IF(X218="",0,CEILING((X218/$H218),1)*$H218),"")</f>
        <v>40.799999999999997</v>
      </c>
      <c r="Z218" s="36">
        <f>IFERROR(IF(Y218=0,"",ROUNDUP(Y218/H218,0)*0.00651),"")</f>
        <v>0.11067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44.20000000000001</v>
      </c>
      <c r="BN218" s="64">
        <f>IFERROR(Y218*I218/H218,"0")</f>
        <v>45.084000000000003</v>
      </c>
      <c r="BO218" s="64">
        <f>IFERROR(1/J218*(X218/H218),"0")</f>
        <v>9.1575091575091583E-2</v>
      </c>
      <c r="BP218" s="64">
        <f>IFERROR(1/J218*(Y218/H218),"0")</f>
        <v>9.3406593406593408E-2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28.333333333333336</v>
      </c>
      <c r="Y220" s="541">
        <f>IFERROR(Y218/H218,"0")+IFERROR(Y219/H219,"0")</f>
        <v>29</v>
      </c>
      <c r="Z220" s="541">
        <f>IFERROR(IF(Z218="",0,Z218),"0")+IFERROR(IF(Z219="",0,Z219),"0")</f>
        <v>0.18879000000000001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68</v>
      </c>
      <c r="Y221" s="541">
        <f>IFERROR(SUM(Y218:Y219),"0")</f>
        <v>69.599999999999994</v>
      </c>
      <c r="Z221" s="37"/>
      <c r="AA221" s="542"/>
      <c r="AB221" s="542"/>
      <c r="AC221" s="542"/>
    </row>
    <row r="222" spans="1:68" ht="16.5" customHeight="1" x14ac:dyDescent="0.25">
      <c r="A222" s="552" t="s">
        <v>358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359</v>
      </c>
      <c r="B224" s="54" t="s">
        <v>360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362</v>
      </c>
      <c r="B225" s="54" t="s">
        <v>363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370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372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20</v>
      </c>
      <c r="Y232" s="540">
        <f t="shared" si="21"/>
        <v>20</v>
      </c>
      <c r="Z232" s="36">
        <f>IFERROR(IF(Y232=0,"",ROUNDUP(Y232/H232,0)*0.00902),"")</f>
        <v>4.5100000000000001E-2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20.950000000000003</v>
      </c>
      <c r="BN232" s="64">
        <f t="shared" si="23"/>
        <v>20.950000000000003</v>
      </c>
      <c r="BO232" s="64">
        <f t="shared" si="24"/>
        <v>3.787878787878788E-2</v>
      </c>
      <c r="BP232" s="64">
        <f t="shared" si="25"/>
        <v>3.787878787878788E-2</v>
      </c>
    </row>
    <row r="233" spans="1:68" ht="27" customHeight="1" x14ac:dyDescent="0.25">
      <c r="A233" s="54" t="s">
        <v>378</v>
      </c>
      <c r="B233" s="54" t="s">
        <v>380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5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5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4.5100000000000001E-2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20</v>
      </c>
      <c r="Y235" s="541">
        <f>IFERROR(SUM(Y224:Y233),"0")</f>
        <v>20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381</v>
      </c>
      <c r="B237" s="54" t="s">
        <v>382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384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388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389</v>
      </c>
      <c r="B245" s="54" t="s">
        <v>390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396</v>
      </c>
      <c r="B248" s="54" t="s">
        <v>397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3.8888888888888893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7.0000000000000009</v>
      </c>
      <c r="Y251" s="541">
        <f>IFERROR(SUM(Y245:Y249),"0")</f>
        <v>7.2</v>
      </c>
      <c r="Z251" s="37"/>
      <c r="AA251" s="542"/>
      <c r="AB251" s="542"/>
      <c r="AC251" s="542"/>
    </row>
    <row r="252" spans="1:68" ht="16.5" customHeight="1" x14ac:dyDescent="0.25">
      <c r="A252" s="552" t="s">
        <v>400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401</v>
      </c>
      <c r="B254" s="54" t="s">
        <v>402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404</v>
      </c>
      <c r="B255" s="54" t="s">
        <v>405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407</v>
      </c>
      <c r="B256" s="54" t="s">
        <v>408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413</v>
      </c>
      <c r="B258" s="54" t="s">
        <v>414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416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417</v>
      </c>
      <c r="B263" s="54" t="s">
        <v>418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419</v>
      </c>
      <c r="B264" s="54" t="s">
        <v>420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422</v>
      </c>
      <c r="B265" s="54" t="s">
        <v>423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424</v>
      </c>
      <c r="B266" s="54" t="s">
        <v>425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427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428</v>
      </c>
      <c r="B271" s="54" t="s">
        <v>429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436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437</v>
      </c>
      <c r="B278" s="54" t="s">
        <v>438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443</v>
      </c>
      <c r="B283" s="54" t="s">
        <v>444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446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447</v>
      </c>
      <c r="B288" s="54" t="s">
        <v>448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450</v>
      </c>
      <c r="B289" s="54" t="s">
        <v>451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453</v>
      </c>
      <c r="B290" s="54" t="s">
        <v>454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456</v>
      </c>
      <c r="B291" s="54" t="s">
        <v>457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461</v>
      </c>
      <c r="B296" s="54" t="s">
        <v>462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464</v>
      </c>
      <c r="B297" s="54" t="s">
        <v>465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467</v>
      </c>
      <c r="B298" s="54" t="s">
        <v>468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70</v>
      </c>
      <c r="Y300" s="540">
        <f t="shared" si="26"/>
        <v>71.400000000000006</v>
      </c>
      <c r="Z300" s="36">
        <f>IFERROR(IF(Y300=0,"",ROUNDUP(Y300/H300,0)*0.00502),"")</f>
        <v>0.17068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73.333333333333329</v>
      </c>
      <c r="BN300" s="64">
        <f t="shared" si="28"/>
        <v>74.8</v>
      </c>
      <c r="BO300" s="64">
        <f t="shared" si="29"/>
        <v>0.14245014245014245</v>
      </c>
      <c r="BP300" s="64">
        <f t="shared" si="30"/>
        <v>0.14529914529914531</v>
      </c>
    </row>
    <row r="301" spans="1:68" ht="27" customHeight="1" x14ac:dyDescent="0.25">
      <c r="A301" s="54" t="s">
        <v>475</v>
      </c>
      <c r="B301" s="54" t="s">
        <v>476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33.333333333333329</v>
      </c>
      <c r="Y303" s="541">
        <f>IFERROR(Y296/H296,"0")+IFERROR(Y297/H297,"0")+IFERROR(Y298/H298,"0")+IFERROR(Y299/H299,"0")+IFERROR(Y300/H300,"0")+IFERROR(Y301/H301,"0")+IFERROR(Y302/H302,"0")</f>
        <v>34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0.17068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70</v>
      </c>
      <c r="Y304" s="541">
        <f>IFERROR(SUM(Y296:Y302),"0")</f>
        <v>71.400000000000006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480</v>
      </c>
      <c r="B306" s="54" t="s">
        <v>481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483</v>
      </c>
      <c r="B307" s="54" t="s">
        <v>484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486</v>
      </c>
      <c r="B308" s="54" t="s">
        <v>487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400</v>
      </c>
      <c r="Y315" s="540">
        <f>IFERROR(IF(X315="",0,CEILING((X315/$H315),1)*$H315),"")</f>
        <v>405.59999999999997</v>
      </c>
      <c r="Z315" s="36">
        <f>IFERROR(IF(Y315=0,"",ROUNDUP(Y315/H315,0)*0.01898),"")</f>
        <v>0.98696000000000006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425.33333333333337</v>
      </c>
      <c r="BN315" s="64">
        <f>IFERROR(Y315*I315/H315,"0")</f>
        <v>431.28799999999995</v>
      </c>
      <c r="BO315" s="64">
        <f>IFERROR(1/J315*(X315/H315),"0")</f>
        <v>0.80128205128205132</v>
      </c>
      <c r="BP315" s="64">
        <f>IFERROR(1/J315*(Y315/H315),"0")</f>
        <v>0.8125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150</v>
      </c>
      <c r="Y316" s="540">
        <f>IFERROR(IF(X316="",0,CEILING((X316/$H316),1)*$H316),"")</f>
        <v>151.20000000000002</v>
      </c>
      <c r="Z316" s="36">
        <f>IFERROR(IF(Y316=0,"",ROUNDUP(Y316/H316,0)*0.01898),"")</f>
        <v>0.34164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158.82142857142856</v>
      </c>
      <c r="BN316" s="64">
        <f>IFERROR(Y316*I316/H316,"0")</f>
        <v>160.09200000000001</v>
      </c>
      <c r="BO316" s="64">
        <f>IFERROR(1/J316*(X316/H316),"0")</f>
        <v>0.27901785714285715</v>
      </c>
      <c r="BP316" s="64">
        <f>IFERROR(1/J316*(Y316/H316),"0")</f>
        <v>0.28125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69.139194139194146</v>
      </c>
      <c r="Y317" s="541">
        <f>IFERROR(Y314/H314,"0")+IFERROR(Y315/H315,"0")+IFERROR(Y316/H316,"0")</f>
        <v>70</v>
      </c>
      <c r="Z317" s="541">
        <f>IFERROR(IF(Z314="",0,Z314),"0")+IFERROR(IF(Z315="",0,Z315),"0")+IFERROR(IF(Z316="",0,Z316),"0")</f>
        <v>1.3286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550</v>
      </c>
      <c r="Y318" s="541">
        <f>IFERROR(SUM(Y314:Y316),"0")</f>
        <v>556.79999999999995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504</v>
      </c>
      <c r="B320" s="54" t="s">
        <v>505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509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515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520</v>
      </c>
      <c r="B328" s="54" t="s">
        <v>521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524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525</v>
      </c>
      <c r="B334" s="54" t="s">
        <v>526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700</v>
      </c>
      <c r="Y335" s="540">
        <f>IFERROR(IF(X335="",0,CEILING((X335/$H335),1)*$H335),"")</f>
        <v>701.4</v>
      </c>
      <c r="Z335" s="36">
        <f>IFERROR(IF(Y335=0,"",ROUNDUP(Y335/H335,0)*0.00651),"")</f>
        <v>2.1743399999999999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783.99999999999989</v>
      </c>
      <c r="BN335" s="64">
        <f>IFERROR(Y335*I335/H335,"0")</f>
        <v>785.56799999999987</v>
      </c>
      <c r="BO335" s="64">
        <f>IFERROR(1/J335*(X335/H335),"0")</f>
        <v>1.8315018315018314</v>
      </c>
      <c r="BP335" s="64">
        <f>IFERROR(1/J335*(Y335/H335),"0")</f>
        <v>1.8351648351648353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333.33333333333331</v>
      </c>
      <c r="Y337" s="541">
        <f>IFERROR(Y334/H334,"0")+IFERROR(Y335/H335,"0")+IFERROR(Y336/H336,"0")</f>
        <v>334</v>
      </c>
      <c r="Z337" s="541">
        <f>IFERROR(IF(Z334="",0,Z334),"0")+IFERROR(IF(Z335="",0,Z335),"0")+IFERROR(IF(Z336="",0,Z336),"0")</f>
        <v>2.1743399999999999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700</v>
      </c>
      <c r="Y338" s="541">
        <f>IFERROR(SUM(Y334:Y336),"0")</f>
        <v>701.4</v>
      </c>
      <c r="Z338" s="37"/>
      <c r="AA338" s="542"/>
      <c r="AB338" s="542"/>
      <c r="AC338" s="542"/>
    </row>
    <row r="339" spans="1:68" ht="27.75" customHeight="1" x14ac:dyDescent="0.2">
      <c r="A339" s="693" t="s">
        <v>534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400</v>
      </c>
      <c r="Y342" s="540">
        <f t="shared" ref="Y342:Y348" si="31">IFERROR(IF(X342="",0,CEILING((X342/$H342),1)*$H342),"")</f>
        <v>405</v>
      </c>
      <c r="Z342" s="36">
        <f>IFERROR(IF(Y342=0,"",ROUNDUP(Y342/H342,0)*0.02175),"")</f>
        <v>0.58724999999999994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412.53333333333336</v>
      </c>
      <c r="BN342" s="64">
        <f t="shared" ref="BN342:BN348" si="33">IFERROR(Y342*I342/H342,"0")</f>
        <v>417.69</v>
      </c>
      <c r="BO342" s="64">
        <f t="shared" ref="BO342:BO348" si="34">IFERROR(1/J342*(X342/H342),"0")</f>
        <v>0.55555555555555558</v>
      </c>
      <c r="BP342" s="64">
        <f t="shared" ref="BP342:BP348" si="35">IFERROR(1/J342*(Y342/H342),"0")</f>
        <v>0.5625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500</v>
      </c>
      <c r="Y344" s="540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547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900</v>
      </c>
      <c r="Y345" s="540">
        <f t="shared" si="31"/>
        <v>900</v>
      </c>
      <c r="Z345" s="36">
        <f>IFERROR(IF(Y345=0,"",ROUNDUP(Y345/H345,0)*0.02175),"")</f>
        <v>1.3049999999999999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928.2</v>
      </c>
      <c r="BN345" s="64">
        <f t="shared" si="33"/>
        <v>928.2</v>
      </c>
      <c r="BO345" s="64">
        <f t="shared" si="34"/>
        <v>1.25</v>
      </c>
      <c r="BP345" s="64">
        <f t="shared" si="35"/>
        <v>1.25</v>
      </c>
    </row>
    <row r="346" spans="1:68" ht="27" customHeight="1" x14ac:dyDescent="0.25">
      <c r="A346" s="54" t="s">
        <v>549</v>
      </c>
      <c r="B346" s="54" t="s">
        <v>550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186.66666666666669</v>
      </c>
      <c r="Y349" s="541">
        <f>IFERROR(Y342/H342,"0")+IFERROR(Y343/H343,"0")+IFERROR(Y344/H344,"0")+IFERROR(Y345/H345,"0")+IFERROR(Y346/H346,"0")+IFERROR(Y347/H347,"0")+IFERROR(Y348/H348,"0")</f>
        <v>188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4.0889999999999995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2800</v>
      </c>
      <c r="Y350" s="541">
        <f>IFERROR(SUM(Y342:Y348),"0")</f>
        <v>2820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500</v>
      </c>
      <c r="Y352" s="540">
        <f>IFERROR(IF(X352="",0,CEILING((X352/$H352),1)*$H352),"")</f>
        <v>510</v>
      </c>
      <c r="Z352" s="36">
        <f>IFERROR(IF(Y352=0,"",ROUNDUP(Y352/H352,0)*0.02175),"")</f>
        <v>0.73949999999999994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515.66666666666663</v>
      </c>
      <c r="BN352" s="64">
        <f>IFERROR(Y352*I352/H352,"0")</f>
        <v>525.98</v>
      </c>
      <c r="BO352" s="64">
        <f>IFERROR(1/J352*(X352/H352),"0")</f>
        <v>0.69444444444444442</v>
      </c>
      <c r="BP352" s="64">
        <f>IFERROR(1/J352*(Y352/H352),"0")</f>
        <v>0.70833333333333326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33.333333333333336</v>
      </c>
      <c r="Y354" s="541">
        <f>IFERROR(Y352/H352,"0")+IFERROR(Y353/H353,"0")</f>
        <v>34</v>
      </c>
      <c r="Z354" s="541">
        <f>IFERROR(IF(Z352="",0,Z352),"0")+IFERROR(IF(Z353="",0,Z353),"0")</f>
        <v>0.73949999999999994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500</v>
      </c>
      <c r="Y355" s="541">
        <f>IFERROR(SUM(Y352:Y353),"0")</f>
        <v>510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561</v>
      </c>
      <c r="B357" s="54" t="s">
        <v>562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50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5.5555555555555554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50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60</v>
      </c>
      <c r="Y362" s="540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63.293333333333329</v>
      </c>
      <c r="BN362" s="64">
        <f>IFERROR(Y362*I362/H362,"0")</f>
        <v>66.457999999999998</v>
      </c>
      <c r="BO362" s="64">
        <f>IFERROR(1/J362*(X362/H362),"0")</f>
        <v>0.10416666666666667</v>
      </c>
      <c r="BP362" s="64">
        <f>IFERROR(1/J362*(Y362/H362),"0")</f>
        <v>0.109375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6.666666666666667</v>
      </c>
      <c r="Y363" s="541">
        <f>IFERROR(Y362/H362,"0")</f>
        <v>7</v>
      </c>
      <c r="Z363" s="541">
        <f>IFERROR(IF(Z362="",0,Z362),"0")</f>
        <v>0.13286000000000001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60</v>
      </c>
      <c r="Y364" s="541">
        <f>IFERROR(SUM(Y362:Y362),"0")</f>
        <v>63</v>
      </c>
      <c r="Z364" s="37"/>
      <c r="AA364" s="542"/>
      <c r="AB364" s="542"/>
      <c r="AC364" s="542"/>
    </row>
    <row r="365" spans="1:68" ht="16.5" customHeight="1" x14ac:dyDescent="0.25">
      <c r="A365" s="552" t="s">
        <v>570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40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41.366666666666667</v>
      </c>
      <c r="BN367" s="64">
        <f>IFERROR(Y367*I367/H367,"0")</f>
        <v>49.640000000000008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ht="37.5" customHeight="1" x14ac:dyDescent="0.25">
      <c r="A368" s="54" t="s">
        <v>574</v>
      </c>
      <c r="B368" s="54" t="s">
        <v>575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3.3333333333333335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40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576</v>
      </c>
      <c r="B372" s="54" t="s">
        <v>577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576</v>
      </c>
      <c r="B373" s="54" t="s">
        <v>579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584</v>
      </c>
      <c r="B378" s="54" t="s">
        <v>585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586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587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10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10.351851851851851</v>
      </c>
      <c r="BN384" s="64">
        <f t="shared" ref="BN384:BN392" si="38">IFERROR(Y384*I384/H384,"0")</f>
        <v>11.18</v>
      </c>
      <c r="BO384" s="64">
        <f t="shared" ref="BO384:BO392" si="39">IFERROR(1/J384*(X384/H384),"0")</f>
        <v>1.4029180695847361E-2</v>
      </c>
      <c r="BP384" s="64">
        <f t="shared" ref="BP384:BP392" si="40">IFERROR(1/J384*(Y384/H384),"0")</f>
        <v>1.5151515151515152E-2</v>
      </c>
    </row>
    <row r="385" spans="1:68" ht="27" customHeight="1" x14ac:dyDescent="0.25">
      <c r="A385" s="54" t="s">
        <v>591</v>
      </c>
      <c r="B385" s="54" t="s">
        <v>592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24.5</v>
      </c>
      <c r="Y388" s="540">
        <f t="shared" si="36"/>
        <v>25.200000000000003</v>
      </c>
      <c r="Z388" s="36">
        <f t="shared" si="41"/>
        <v>6.0240000000000002E-2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26.016666666666666</v>
      </c>
      <c r="BN388" s="64">
        <f t="shared" si="38"/>
        <v>26.76</v>
      </c>
      <c r="BO388" s="64">
        <f t="shared" si="39"/>
        <v>4.9857549857549859E-2</v>
      </c>
      <c r="BP388" s="64">
        <f t="shared" si="40"/>
        <v>5.1282051282051287E-2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17.5</v>
      </c>
      <c r="Y389" s="540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27" customHeight="1" x14ac:dyDescent="0.25">
      <c r="A390" s="54" t="s">
        <v>604</v>
      </c>
      <c r="B390" s="54" t="s">
        <v>605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610</v>
      </c>
      <c r="B392" s="54" t="s">
        <v>611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38.518518518518512</v>
      </c>
      <c r="Y393" s="541">
        <f>IFERROR(Y384/H384,"0")+IFERROR(Y385/H385,"0")+IFERROR(Y386/H386,"0")+IFERROR(Y387/H387,"0")+IFERROR(Y388/H388,"0")+IFERROR(Y389/H389,"0")+IFERROR(Y390/H390,"0")+IFERROR(Y391/H391,"0")+IFERROR(Y392/H392,"0")</f>
        <v>40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0.20879999999999999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87</v>
      </c>
      <c r="Y394" s="541">
        <f>IFERROR(SUM(Y384:Y392),"0")</f>
        <v>90.600000000000009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612</v>
      </c>
      <c r="B396" s="54" t="s">
        <v>613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615</v>
      </c>
      <c r="B397" s="54" t="s">
        <v>616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618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619</v>
      </c>
      <c r="B402" s="54" t="s">
        <v>620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10</v>
      </c>
      <c r="Y406" s="540">
        <f>IFERROR(IF(X406="",0,CEILING((X406/$H406),1)*$H406),"")</f>
        <v>10.8</v>
      </c>
      <c r="Z406" s="36">
        <f>IFERROR(IF(Y406=0,"",ROUNDUP(Y406/H406,0)*0.00902),"")</f>
        <v>1.804E-2</v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10.351851851851851</v>
      </c>
      <c r="BN406" s="64">
        <f>IFERROR(Y406*I406/H406,"0")</f>
        <v>11.18</v>
      </c>
      <c r="BO406" s="64">
        <f>IFERROR(1/J406*(X406/H406),"0")</f>
        <v>1.4029180695847361E-2</v>
      </c>
      <c r="BP406" s="64">
        <f>IFERROR(1/J406*(Y406/H406),"0")</f>
        <v>1.5151515151515152E-2</v>
      </c>
    </row>
    <row r="407" spans="1:68" ht="27" customHeight="1" x14ac:dyDescent="0.25">
      <c r="A407" s="54" t="s">
        <v>625</v>
      </c>
      <c r="B407" s="54" t="s">
        <v>626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1.8518518518518516</v>
      </c>
      <c r="Y410" s="541">
        <f>IFERROR(Y406/H406,"0")+IFERROR(Y407/H407,"0")+IFERROR(Y408/H408,"0")+IFERROR(Y409/H409,"0")</f>
        <v>2</v>
      </c>
      <c r="Z410" s="541">
        <f>IFERROR(IF(Z406="",0,Z406),"0")+IFERROR(IF(Z407="",0,Z407),"0")+IFERROR(IF(Z408="",0,Z408),"0")+IFERROR(IF(Z409="",0,Z409),"0")</f>
        <v>1.804E-2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10</v>
      </c>
      <c r="Y411" s="541">
        <f>IFERROR(SUM(Y406:Y409),"0")</f>
        <v>10.8</v>
      </c>
      <c r="Z411" s="37"/>
      <c r="AA411" s="542"/>
      <c r="AB411" s="542"/>
      <c r="AC411" s="542"/>
    </row>
    <row r="412" spans="1:68" ht="16.5" customHeight="1" x14ac:dyDescent="0.25">
      <c r="A412" s="552" t="s">
        <v>633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customHeight="1" x14ac:dyDescent="0.2">
      <c r="A417" s="693" t="s">
        <v>637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637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110</v>
      </c>
      <c r="Y420" s="540">
        <f t="shared" ref="Y420:Y430" si="42">IFERROR(IF(X420="",0,CEILING((X420/$H420),1)*$H420),"")</f>
        <v>110.88000000000001</v>
      </c>
      <c r="Z420" s="36">
        <f t="shared" ref="Z420:Z425" si="43">IFERROR(IF(Y420=0,"",ROUNDUP(Y420/H420,0)*0.01196),"")</f>
        <v>0.25115999999999999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117.29166666666666</v>
      </c>
      <c r="BN420" s="64">
        <f t="shared" ref="BN420:BN430" si="45">IFERROR(Y420*I420/H420,"0")</f>
        <v>118.23</v>
      </c>
      <c r="BO420" s="64">
        <f t="shared" ref="BO420:BO430" si="46">IFERROR(1/J420*(X420/H420),"0")</f>
        <v>0.20032051282051283</v>
      </c>
      <c r="BP420" s="64">
        <f t="shared" ref="BP420:BP430" si="47">IFERROR(1/J420*(Y420/H420),"0")</f>
        <v>0.20192307692307693</v>
      </c>
    </row>
    <row r="421" spans="1:68" ht="27" customHeight="1" x14ac:dyDescent="0.25">
      <c r="A421" s="54" t="s">
        <v>640</v>
      </c>
      <c r="B421" s="54" t="s">
        <v>641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50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53.314393939393938</v>
      </c>
      <c r="BN422" s="64">
        <f t="shared" si="45"/>
        <v>56.3</v>
      </c>
      <c r="BO422" s="64">
        <f t="shared" si="46"/>
        <v>9.1054778554778545E-2</v>
      </c>
      <c r="BP422" s="64">
        <f t="shared" si="47"/>
        <v>9.6153846153846159E-2</v>
      </c>
    </row>
    <row r="423" spans="1:68" ht="27" customHeight="1" x14ac:dyDescent="0.25">
      <c r="A423" s="54" t="s">
        <v>646</v>
      </c>
      <c r="B423" s="54" t="s">
        <v>647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649</v>
      </c>
      <c r="B424" s="54" t="s">
        <v>650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customHeight="1" x14ac:dyDescent="0.25">
      <c r="A426" s="54" t="s">
        <v>655</v>
      </c>
      <c r="B426" s="54" t="s">
        <v>656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60</v>
      </c>
      <c r="Y427" s="540">
        <f t="shared" si="42"/>
        <v>62.4</v>
      </c>
      <c r="Z427" s="36">
        <f>IFERROR(IF(Y427=0,"",ROUNDUP(Y427/H427,0)*0.00902),"")</f>
        <v>0.11726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86.375000000000014</v>
      </c>
      <c r="BN427" s="64">
        <f t="shared" si="45"/>
        <v>89.830000000000013</v>
      </c>
      <c r="BO427" s="64">
        <f t="shared" si="46"/>
        <v>9.4696969696969696E-2</v>
      </c>
      <c r="BP427" s="64">
        <f t="shared" si="47"/>
        <v>9.8484848484848481E-2</v>
      </c>
    </row>
    <row r="428" spans="1:68" ht="27" customHeight="1" x14ac:dyDescent="0.25">
      <c r="A428" s="54" t="s">
        <v>659</v>
      </c>
      <c r="B428" s="54" t="s">
        <v>660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71.212121212121204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73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0.83486000000000005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370</v>
      </c>
      <c r="Y432" s="541">
        <f>IFERROR(SUM(Y420:Y430),"0")</f>
        <v>379.2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150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159.94318181818181</v>
      </c>
      <c r="BN434" s="64">
        <f>IFERROR(Y434*I434/H434,"0")</f>
        <v>163.26999999999998</v>
      </c>
      <c r="BO434" s="64">
        <f>IFERROR(1/J434*(X434/H434),"0")</f>
        <v>0.27316433566433568</v>
      </c>
      <c r="BP434" s="64">
        <f>IFERROR(1/J434*(Y434/H434),"0")</f>
        <v>0.27884615384615385</v>
      </c>
    </row>
    <row r="435" spans="1:68" ht="16.5" customHeight="1" x14ac:dyDescent="0.25">
      <c r="A435" s="54" t="s">
        <v>669</v>
      </c>
      <c r="B435" s="54" t="s">
        <v>670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28.409090909090907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150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30</v>
      </c>
      <c r="Y440" s="540">
        <f t="shared" ref="Y440:Y445" si="48">IFERROR(IF(X440="",0,CEILING((X440/$H440),1)*$H440),"")</f>
        <v>31.68</v>
      </c>
      <c r="Z440" s="36">
        <f>IFERROR(IF(Y440=0,"",ROUNDUP(Y440/H440,0)*0.01196),"")</f>
        <v>7.1760000000000004E-2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31.988636363636363</v>
      </c>
      <c r="BN440" s="64">
        <f t="shared" ref="BN440:BN445" si="50">IFERROR(Y440*I440/H440,"0")</f>
        <v>33.779999999999994</v>
      </c>
      <c r="BO440" s="64">
        <f t="shared" ref="BO440:BO445" si="51">IFERROR(1/J440*(X440/H440),"0")</f>
        <v>5.4632867132867136E-2</v>
      </c>
      <c r="BP440" s="64">
        <f t="shared" ref="BP440:BP445" si="52">IFERROR(1/J440*(Y440/H440),"0")</f>
        <v>5.7692307692307696E-2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30</v>
      </c>
      <c r="Y443" s="540">
        <f t="shared" si="48"/>
        <v>33.6</v>
      </c>
      <c r="Z443" s="36">
        <f>IFERROR(IF(Y443=0,"",ROUNDUP(Y443/H443,0)*0.00902),"")</f>
        <v>6.3140000000000002E-2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43.187500000000007</v>
      </c>
      <c r="BN443" s="64">
        <f t="shared" si="50"/>
        <v>48.370000000000005</v>
      </c>
      <c r="BO443" s="64">
        <f t="shared" si="51"/>
        <v>4.7348484848484848E-2</v>
      </c>
      <c r="BP443" s="64">
        <f t="shared" si="52"/>
        <v>5.3030303030303039E-2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72</v>
      </c>
      <c r="Y445" s="540">
        <f t="shared" si="48"/>
        <v>72</v>
      </c>
      <c r="Z445" s="36">
        <f>IFERROR(IF(Y445=0,"",ROUNDUP(Y445/H445,0)*0.00902),"")</f>
        <v>0.1353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100.05000000000001</v>
      </c>
      <c r="BN445" s="64">
        <f t="shared" si="50"/>
        <v>100.05000000000001</v>
      </c>
      <c r="BO445" s="64">
        <f t="shared" si="51"/>
        <v>0.11363636363636365</v>
      </c>
      <c r="BP445" s="64">
        <f t="shared" si="52"/>
        <v>0.11363636363636365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26.93181818181818</v>
      </c>
      <c r="Y446" s="541">
        <f>IFERROR(Y440/H440,"0")+IFERROR(Y441/H441,"0")+IFERROR(Y442/H442,"0")+IFERROR(Y443/H443,"0")+IFERROR(Y444/H444,"0")+IFERROR(Y445/H445,"0")</f>
        <v>28</v>
      </c>
      <c r="Z446" s="541">
        <f>IFERROR(IF(Z440="",0,Z440),"0")+IFERROR(IF(Z441="",0,Z441),"0")+IFERROR(IF(Z442="",0,Z442),"0")+IFERROR(IF(Z443="",0,Z443),"0")+IFERROR(IF(Z444="",0,Z444),"0")+IFERROR(IF(Z445="",0,Z445),"0")</f>
        <v>0.2702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132</v>
      </c>
      <c r="Y447" s="541">
        <f>IFERROR(SUM(Y440:Y445),"0")</f>
        <v>137.28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688</v>
      </c>
      <c r="B449" s="54" t="s">
        <v>689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691</v>
      </c>
      <c r="B450" s="54" t="s">
        <v>692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694</v>
      </c>
      <c r="B451" s="54" t="s">
        <v>695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697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697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698</v>
      </c>
      <c r="B457" s="54" t="s">
        <v>699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701</v>
      </c>
      <c r="B458" s="54" t="s">
        <v>702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709</v>
      </c>
      <c r="B464" s="54" t="s">
        <v>710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712</v>
      </c>
      <c r="B465" s="54" t="s">
        <v>713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718</v>
      </c>
      <c r="B470" s="54" t="s">
        <v>719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721</v>
      </c>
      <c r="B471" s="54" t="s">
        <v>722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1100</v>
      </c>
      <c r="Y475" s="540">
        <f>IFERROR(IF(X475="",0,CEILING((X475/$H475),1)*$H475),"")</f>
        <v>1107</v>
      </c>
      <c r="Z475" s="36">
        <f>IFERROR(IF(Y475=0,"",ROUNDUP(Y475/H475,0)*0.01898),"")</f>
        <v>2.3345400000000001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1160.3777777777777</v>
      </c>
      <c r="BN475" s="64">
        <f>IFERROR(Y475*I475/H475,"0")</f>
        <v>1167.7619999999999</v>
      </c>
      <c r="BO475" s="64">
        <f>IFERROR(1/J475*(X475/H475),"0")</f>
        <v>1.9097222222222223</v>
      </c>
      <c r="BP475" s="64">
        <f>IFERROR(1/J475*(Y475/H475),"0")</f>
        <v>1.921875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122.22222222222223</v>
      </c>
      <c r="Y476" s="541">
        <f>IFERROR(Y475/H475,"0")</f>
        <v>123</v>
      </c>
      <c r="Z476" s="541">
        <f>IFERROR(IF(Z475="",0,Z475),"0")</f>
        <v>2.3345400000000001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1100</v>
      </c>
      <c r="Y477" s="541">
        <f>IFERROR(SUM(Y475:Y475),"0")</f>
        <v>1107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727</v>
      </c>
      <c r="B479" s="54" t="s">
        <v>728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730</v>
      </c>
      <c r="B480" s="54" t="s">
        <v>731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733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734</v>
      </c>
      <c r="B485" s="54" t="s">
        <v>735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737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10105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10245.140000000001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738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10701.858417758274</v>
      </c>
      <c r="Y489" s="541">
        <f>IFERROR(SUM(BN22:BN485),"0")</f>
        <v>10851.454000000002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739</v>
      </c>
      <c r="Q490" s="629"/>
      <c r="R490" s="629"/>
      <c r="S490" s="629"/>
      <c r="T490" s="629"/>
      <c r="U490" s="629"/>
      <c r="V490" s="630"/>
      <c r="W490" s="37" t="s">
        <v>740</v>
      </c>
      <c r="X490" s="38">
        <f>ROUNDUP(SUM(BO22:BO485),0)</f>
        <v>18</v>
      </c>
      <c r="Y490" s="38">
        <f>ROUNDUP(SUM(BP22:BP485),0)</f>
        <v>18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741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11151.858417758274</v>
      </c>
      <c r="Y491" s="541">
        <f>GrossWeightTotalR+PalletQtyTotalR*25</f>
        <v>11301.454000000002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742</v>
      </c>
      <c r="Q492" s="629"/>
      <c r="R492" s="629"/>
      <c r="S492" s="629"/>
      <c r="T492" s="629"/>
      <c r="U492" s="629"/>
      <c r="V492" s="630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1719.1236881466771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1741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743</v>
      </c>
      <c r="Q493" s="629"/>
      <c r="R493" s="629"/>
      <c r="S493" s="629"/>
      <c r="T493" s="629"/>
      <c r="U493" s="629"/>
      <c r="V493" s="630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20.302229999999994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256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534</v>
      </c>
      <c r="T495" s="594"/>
      <c r="U495" s="575" t="s">
        <v>586</v>
      </c>
      <c r="V495" s="593"/>
      <c r="W495" s="594"/>
      <c r="X495" s="536" t="s">
        <v>637</v>
      </c>
      <c r="Y495" s="575" t="s">
        <v>697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746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221</v>
      </c>
      <c r="H496" s="575" t="s">
        <v>97</v>
      </c>
      <c r="I496" s="575" t="s">
        <v>257</v>
      </c>
      <c r="J496" s="575" t="s">
        <v>298</v>
      </c>
      <c r="K496" s="575" t="s">
        <v>358</v>
      </c>
      <c r="L496" s="575" t="s">
        <v>400</v>
      </c>
      <c r="M496" s="575" t="s">
        <v>416</v>
      </c>
      <c r="N496" s="537"/>
      <c r="O496" s="575" t="s">
        <v>427</v>
      </c>
      <c r="P496" s="575" t="s">
        <v>436</v>
      </c>
      <c r="Q496" s="575" t="s">
        <v>446</v>
      </c>
      <c r="R496" s="575" t="s">
        <v>524</v>
      </c>
      <c r="S496" s="575" t="s">
        <v>535</v>
      </c>
      <c r="T496" s="575" t="s">
        <v>570</v>
      </c>
      <c r="U496" s="575" t="s">
        <v>587</v>
      </c>
      <c r="V496" s="575" t="s">
        <v>618</v>
      </c>
      <c r="W496" s="575" t="s">
        <v>633</v>
      </c>
      <c r="X496" s="575" t="s">
        <v>637</v>
      </c>
      <c r="Y496" s="575" t="s">
        <v>697</v>
      </c>
      <c r="Z496" s="575" t="s">
        <v>733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268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501.90000000000003</v>
      </c>
      <c r="E498" s="46">
        <f>IFERROR(Y85*1,"0")+IFERROR(Y86*1,"0")+IFERROR(Y87*1,"0")+IFERROR(Y91*1,"0")+IFERROR(Y92*1,"0")+IFERROR(Y93*1,"0")+IFERROR(Y94*1,"0")</f>
        <v>333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1285.2</v>
      </c>
      <c r="G498" s="46">
        <f>IFERROR(Y124*1,"0")+IFERROR(Y125*1,"0")+IFERROR(Y129*1,"0")+IFERROR(Y130*1,"0")+IFERROR(Y134*1,"0")+IFERROR(Y135*1,"0")</f>
        <v>60.800000000000004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164.64000000000001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881.4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27.2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628.20000000000005</v>
      </c>
      <c r="R498" s="46">
        <f>IFERROR(Y334*1,"0")+IFERROR(Y335*1,"0")+IFERROR(Y336*1,"0")</f>
        <v>701.4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3447</v>
      </c>
      <c r="T498" s="46">
        <f>IFERROR(Y367*1,"0")+IFERROR(Y368*1,"0")+IFERROR(Y372*1,"0")+IFERROR(Y373*1,"0")+IFERROR(Y377*1,"0")+IFERROR(Y378*1,"0")</f>
        <v>48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90.600000000000009</v>
      </c>
      <c r="V498" s="46">
        <f>IFERROR(Y402*1,"0")+IFERROR(Y406*1,"0")+IFERROR(Y407*1,"0")+IFERROR(Y408*1,"0")+IFERROR(Y409*1,"0")</f>
        <v>10.8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669.59999999999991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1107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