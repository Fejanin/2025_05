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EEA24BDA-DBA1-4D6F-92E4-551531943E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43" i="1" l="1"/>
  <c r="Z131" i="1"/>
  <c r="Y31" i="1"/>
  <c r="Y43" i="1"/>
  <c r="Y493" i="1" s="1"/>
  <c r="Y58" i="1"/>
  <c r="Y64" i="1"/>
  <c r="Y69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Z268" i="1" s="1"/>
  <c r="Y268" i="1"/>
  <c r="Z275" i="1"/>
  <c r="BP273" i="1"/>
  <c r="BN273" i="1"/>
  <c r="Z273" i="1"/>
  <c r="Y275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Z216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260" i="1"/>
  <c r="Z394" i="1"/>
  <c r="Z69" i="1"/>
  <c r="Z494" i="1" s="1"/>
  <c r="Y489" i="1"/>
  <c r="Z204" i="1"/>
  <c r="Z178" i="1"/>
  <c r="Z103" i="1"/>
  <c r="Z447" i="1"/>
  <c r="Z432" i="1"/>
  <c r="Z312" i="1"/>
</calcChain>
</file>

<file path=xl/sharedStrings.xml><?xml version="1.0" encoding="utf-8"?>
<sst xmlns="http://schemas.openxmlformats.org/spreadsheetml/2006/main" count="2280" uniqueCount="768">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</sst>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45977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0.375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200</v>
      </c>
      <c r="Y41" s="542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50</v>
      </c>
      <c r="Y43" s="543">
        <f>IFERROR(Y40/H40,"0")+IFERROR(Y41/H41,"0")+IFERROR(Y42/H42,"0")</f>
        <v>50</v>
      </c>
      <c r="Z43" s="543">
        <f>IFERROR(IF(Z40="",0,Z40),"0")+IFERROR(IF(Z41="",0,Z41),"0")+IFERROR(IF(Z42="",0,Z42),"0")</f>
        <v>0.45100000000000001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200</v>
      </c>
      <c r="Y44" s="543">
        <f>IFERROR(SUM(Y40:Y42),"0")</f>
        <v>200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270</v>
      </c>
      <c r="Y56" s="542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69.259259259259267</v>
      </c>
      <c r="Y57" s="543">
        <f>IFERROR(Y51/H51,"0")+IFERROR(Y52/H52,"0")+IFERROR(Y53/H53,"0")+IFERROR(Y54/H54,"0")+IFERROR(Y55/H55,"0")+IFERROR(Y56/H56,"0")</f>
        <v>70</v>
      </c>
      <c r="Z57" s="543">
        <f>IFERROR(IF(Z51="",0,Z51),"0")+IFERROR(IF(Z52="",0,Z52),"0")+IFERROR(IF(Z53="",0,Z53),"0")+IFERROR(IF(Z54="",0,Z54),"0")+IFERROR(IF(Z55="",0,Z55),"0")+IFERROR(IF(Z56="",0,Z56),"0")</f>
        <v>0.73099999999999998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370</v>
      </c>
      <c r="Y58" s="543">
        <f>IFERROR(SUM(Y51:Y56),"0")</f>
        <v>378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202.5</v>
      </c>
      <c r="Y62" s="542">
        <f>IFERROR(IF(X62="",0,CEILING((X62/$H62),1)*$H62),"")</f>
        <v>202.5</v>
      </c>
      <c r="Z62" s="36">
        <f>IFERROR(IF(Y62=0,"",ROUNDUP(Y62/H62,0)*0.00651),"")</f>
        <v>0.48825000000000002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215.99999999999997</v>
      </c>
      <c r="BN62" s="64">
        <f>IFERROR(Y62*I62/H62,"0")</f>
        <v>215.99999999999997</v>
      </c>
      <c r="BO62" s="64">
        <f>IFERROR(1/J62*(X62/H62),"0")</f>
        <v>0.41208791208791212</v>
      </c>
      <c r="BP62" s="64">
        <f>IFERROR(1/J62*(Y62/H62),"0")</f>
        <v>0.41208791208791212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93.518518518518519</v>
      </c>
      <c r="Y63" s="543">
        <f>IFERROR(Y60/H60,"0")+IFERROR(Y61/H61,"0")+IFERROR(Y62/H62,"0")</f>
        <v>94</v>
      </c>
      <c r="Z63" s="543">
        <f>IFERROR(IF(Z60="",0,Z60),"0")+IFERROR(IF(Z61="",0,Z61),"0")+IFERROR(IF(Z62="",0,Z62),"0")</f>
        <v>0.84887000000000001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402.5</v>
      </c>
      <c r="Y64" s="543">
        <f>IFERROR(SUM(Y60:Y62),"0")</f>
        <v>407.70000000000005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50</v>
      </c>
      <c r="Y88" s="543">
        <f>IFERROR(Y85/H85,"0")+IFERROR(Y86/H86,"0")+IFERROR(Y87/H87,"0")</f>
        <v>50</v>
      </c>
      <c r="Z88" s="543">
        <f>IFERROR(IF(Z85="",0,Z85),"0")+IFERROR(IF(Z86="",0,Z86),"0")+IFERROR(IF(Z87="",0,Z87),"0")</f>
        <v>0.45100000000000001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225</v>
      </c>
      <c r="Y89" s="543">
        <f>IFERROR(SUM(Y85:Y87),"0")</f>
        <v>225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400</v>
      </c>
      <c r="Y91" s="54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405</v>
      </c>
      <c r="Y93" s="542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199.38271604938271</v>
      </c>
      <c r="Y95" s="543">
        <f>IFERROR(Y91/H91,"0")+IFERROR(Y92/H92,"0")+IFERROR(Y93/H93,"0")+IFERROR(Y94/H94,"0")</f>
        <v>200</v>
      </c>
      <c r="Z95" s="543">
        <f>IFERROR(IF(Z91="",0,Z91),"0")+IFERROR(IF(Z92="",0,Z92),"0")+IFERROR(IF(Z93="",0,Z93),"0")+IFERROR(IF(Z94="",0,Z94),"0")</f>
        <v>1.9255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805</v>
      </c>
      <c r="Y96" s="543">
        <f>IFERROR(SUM(Y91:Y94),"0")</f>
        <v>810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70</v>
      </c>
      <c r="Y99" s="542">
        <f>IFERROR(IF(X99="",0,CEILING((X99/$H99),1)*$H99),"")</f>
        <v>75.600000000000009</v>
      </c>
      <c r="Z99" s="36">
        <f>IFERROR(IF(Y99=0,"",ROUNDUP(Y99/H99,0)*0.01898),"")</f>
        <v>0.13286000000000001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72.657407407407405</v>
      </c>
      <c r="BN99" s="64">
        <f>IFERROR(Y99*I99/H99,"0")</f>
        <v>78.47</v>
      </c>
      <c r="BO99" s="64">
        <f>IFERROR(1/J99*(X99/H99),"0")</f>
        <v>0.10127314814814814</v>
      </c>
      <c r="BP99" s="64">
        <f>IFERROR(1/J99*(Y99/H99),"0")</f>
        <v>0.109375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630</v>
      </c>
      <c r="Y101" s="542">
        <f>IFERROR(IF(X101="",0,CEILING((X101/$H101),1)*$H101),"")</f>
        <v>630</v>
      </c>
      <c r="Z101" s="36">
        <f>IFERROR(IF(Y101=0,"",ROUNDUP(Y101/H101,0)*0.00902),"")</f>
        <v>1.2627999999999999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656.6</v>
      </c>
      <c r="BN101" s="64">
        <f>IFERROR(Y101*I101/H101,"0")</f>
        <v>656.6</v>
      </c>
      <c r="BO101" s="64">
        <f>IFERROR(1/J101*(X101/H101),"0")</f>
        <v>1.0606060606060606</v>
      </c>
      <c r="BP101" s="64">
        <f>IFERROR(1/J101*(Y101/H101),"0")</f>
        <v>1.0606060606060606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146.48148148148147</v>
      </c>
      <c r="Y103" s="543">
        <f>IFERROR(Y99/H99,"0")+IFERROR(Y100/H100,"0")+IFERROR(Y101/H101,"0")+IFERROR(Y102/H102,"0")</f>
        <v>147</v>
      </c>
      <c r="Z103" s="543">
        <f>IFERROR(IF(Z99="",0,Z99),"0")+IFERROR(IF(Z100="",0,Z100),"0")+IFERROR(IF(Z101="",0,Z101),"0")+IFERROR(IF(Z102="",0,Z102),"0")</f>
        <v>1.3956599999999999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700</v>
      </c>
      <c r="Y104" s="543">
        <f>IFERROR(SUM(Y99:Y102),"0")</f>
        <v>705.6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300</v>
      </c>
      <c r="Y112" s="542">
        <f>IFERROR(IF(X112="",0,CEILING((X112/$H112),1)*$H112),"")</f>
        <v>307.8</v>
      </c>
      <c r="Z112" s="36">
        <f>IFERROR(IF(Y112=0,"",ROUNDUP(Y112/H112,0)*0.01898),"")</f>
        <v>0.72123999999999999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318.07407407407402</v>
      </c>
      <c r="BN112" s="64">
        <f>IFERROR(Y112*I112/H112,"0")</f>
        <v>326.34399999999999</v>
      </c>
      <c r="BO112" s="64">
        <f>IFERROR(1/J112*(X112/H112),"0")</f>
        <v>0.57870370370370372</v>
      </c>
      <c r="BP112" s="64">
        <f>IFERROR(1/J112*(Y112/H112),"0")</f>
        <v>0.59375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495</v>
      </c>
      <c r="Y114" s="542">
        <f>IFERROR(IF(X114="",0,CEILING((X114/$H114),1)*$H114),"")</f>
        <v>496.8</v>
      </c>
      <c r="Z114" s="36">
        <f>IFERROR(IF(Y114=0,"",ROUNDUP(Y114/H114,0)*0.00651),"")</f>
        <v>1.19784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541.19999999999993</v>
      </c>
      <c r="BN114" s="64">
        <f>IFERROR(Y114*I114/H114,"0")</f>
        <v>543.16800000000001</v>
      </c>
      <c r="BO114" s="64">
        <f>IFERROR(1/J114*(X114/H114),"0")</f>
        <v>1.0073260073260073</v>
      </c>
      <c r="BP114" s="64">
        <f>IFERROR(1/J114*(Y114/H114),"0")</f>
        <v>1.0109890109890112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21</v>
      </c>
      <c r="Y115" s="542">
        <f>IFERROR(IF(X115="",0,CEILING((X115/$H115),1)*$H115),"")</f>
        <v>21.6</v>
      </c>
      <c r="Z115" s="36">
        <f>IFERROR(IF(Y115=0,"",ROUNDUP(Y115/H115,0)*0.00651),"")</f>
        <v>7.8119999999999995E-2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23.099999999999998</v>
      </c>
      <c r="BN115" s="64">
        <f>IFERROR(Y115*I115/H115,"0")</f>
        <v>23.76</v>
      </c>
      <c r="BO115" s="64">
        <f>IFERROR(1/J115*(X115/H115),"0")</f>
        <v>6.4102564102564111E-2</v>
      </c>
      <c r="BP115" s="64">
        <f>IFERROR(1/J115*(Y115/H115),"0")</f>
        <v>6.5934065934065936E-2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232.03703703703701</v>
      </c>
      <c r="Y116" s="543">
        <f>IFERROR(Y112/H112,"0")+IFERROR(Y113/H113,"0")+IFERROR(Y114/H114,"0")+IFERROR(Y115/H115,"0")</f>
        <v>234</v>
      </c>
      <c r="Z116" s="543">
        <f>IFERROR(IF(Z112="",0,Z112),"0")+IFERROR(IF(Z113="",0,Z113),"0")+IFERROR(IF(Z114="",0,Z114),"0")+IFERROR(IF(Z115="",0,Z115),"0")</f>
        <v>1.9972000000000001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816</v>
      </c>
      <c r="Y117" s="543">
        <f>IFERROR(SUM(Y112:Y115),"0")</f>
        <v>826.2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88</v>
      </c>
      <c r="Y124" s="542">
        <f>IFERROR(IF(X124="",0,CEILING((X124/$H124),1)*$H124),"")</f>
        <v>89.600000000000009</v>
      </c>
      <c r="Z124" s="36">
        <f>IFERROR(IF(Y124=0,"",ROUNDUP(Y124/H124,0)*0.00651),"")</f>
        <v>0.18228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92.949999999999989</v>
      </c>
      <c r="BN124" s="64">
        <f>IFERROR(Y124*I124/H124,"0")</f>
        <v>94.64</v>
      </c>
      <c r="BO124" s="64">
        <f>IFERROR(1/J124*(X124/H124),"0")</f>
        <v>0.15109890109890112</v>
      </c>
      <c r="BP124" s="64">
        <f>IFERROR(1/J124*(Y124/H124),"0")</f>
        <v>0.15384615384615385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27.5</v>
      </c>
      <c r="Y126" s="543">
        <f>IFERROR(Y124/H124,"0")+IFERROR(Y125/H125,"0")</f>
        <v>28</v>
      </c>
      <c r="Z126" s="543">
        <f>IFERROR(IF(Z124="",0,Z124),"0")+IFERROR(IF(Z125="",0,Z125),"0")</f>
        <v>0.18228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88</v>
      </c>
      <c r="Y127" s="543">
        <f>IFERROR(SUM(Y124:Y125),"0")</f>
        <v>89.600000000000009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18.75</v>
      </c>
      <c r="Y131" s="543">
        <f>IFERROR(Y129/H129,"0")+IFERROR(Y130/H130,"0")</f>
        <v>19</v>
      </c>
      <c r="Z131" s="543">
        <f>IFERROR(IF(Z129="",0,Z129),"0")+IFERROR(IF(Z130="",0,Z130),"0")</f>
        <v>0.12369000000000001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52.5</v>
      </c>
      <c r="Y132" s="543">
        <f>IFERROR(SUM(Y129:Y130),"0")</f>
        <v>53.199999999999996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59.400000000000013</v>
      </c>
      <c r="Y135" s="542">
        <f>IFERROR(IF(X135="",0,CEILING((X135/$H135),1)*$H135),"")</f>
        <v>60.720000000000006</v>
      </c>
      <c r="Z135" s="36">
        <f>IFERROR(IF(Y135=0,"",ROUNDUP(Y135/H135,0)*0.00651),"")</f>
        <v>0.14973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65.430000000000007</v>
      </c>
      <c r="BN135" s="64">
        <f>IFERROR(Y135*I135/H135,"0")</f>
        <v>66.884</v>
      </c>
      <c r="BO135" s="64">
        <f>IFERROR(1/J135*(X135/H135),"0")</f>
        <v>0.12362637362637366</v>
      </c>
      <c r="BP135" s="64">
        <f>IFERROR(1/J135*(Y135/H135),"0")</f>
        <v>0.1263736263736264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22.500000000000004</v>
      </c>
      <c r="Y136" s="543">
        <f>IFERROR(Y134/H134,"0")+IFERROR(Y135/H135,"0")</f>
        <v>23</v>
      </c>
      <c r="Z136" s="543">
        <f>IFERROR(IF(Z134="",0,Z134),"0")+IFERROR(IF(Z135="",0,Z135),"0")</f>
        <v>0.14973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59.400000000000013</v>
      </c>
      <c r="Y137" s="543">
        <f>IFERROR(SUM(Y134:Y135),"0")</f>
        <v>60.720000000000006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256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70</v>
      </c>
      <c r="Y163" s="542">
        <f t="shared" si="5"/>
        <v>71.400000000000006</v>
      </c>
      <c r="Z163" s="36">
        <f>IFERROR(IF(Y163=0,"",ROUNDUP(Y163/H163,0)*0.00902),"")</f>
        <v>0.15334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74.166666666666657</v>
      </c>
      <c r="BN163" s="64">
        <f t="shared" si="7"/>
        <v>75.650000000000006</v>
      </c>
      <c r="BO163" s="64">
        <f t="shared" si="8"/>
        <v>0.12626262626262624</v>
      </c>
      <c r="BP163" s="64">
        <f t="shared" si="9"/>
        <v>0.12878787878787878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30</v>
      </c>
      <c r="Y164" s="542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31.785714285714285</v>
      </c>
      <c r="BN164" s="64">
        <f t="shared" si="7"/>
        <v>35.6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170</v>
      </c>
      <c r="Y165" s="542">
        <f t="shared" si="5"/>
        <v>172.20000000000002</v>
      </c>
      <c r="Z165" s="36">
        <f>IFERROR(IF(Y165=0,"",ROUNDUP(Y165/H165,0)*0.00902),"")</f>
        <v>0.36982000000000004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177.69047619047618</v>
      </c>
      <c r="BN165" s="64">
        <f t="shared" si="7"/>
        <v>179.98999999999998</v>
      </c>
      <c r="BO165" s="64">
        <f t="shared" si="8"/>
        <v>0.30663780663780665</v>
      </c>
      <c r="BP165" s="64">
        <f t="shared" si="9"/>
        <v>0.31060606060606061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77</v>
      </c>
      <c r="Y166" s="542">
        <f t="shared" si="5"/>
        <v>77.7</v>
      </c>
      <c r="Z166" s="36">
        <f>IFERROR(IF(Y166=0,"",ROUNDUP(Y166/H166,0)*0.00502),"")</f>
        <v>0.18574000000000002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81.766666666666666</v>
      </c>
      <c r="BN166" s="64">
        <f t="shared" si="7"/>
        <v>82.51</v>
      </c>
      <c r="BO166" s="64">
        <f t="shared" si="8"/>
        <v>0.15669515669515671</v>
      </c>
      <c r="BP166" s="64">
        <f t="shared" si="9"/>
        <v>0.15811965811965814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140</v>
      </c>
      <c r="Y167" s="542">
        <f t="shared" si="5"/>
        <v>140.70000000000002</v>
      </c>
      <c r="Z167" s="36">
        <f>IFERROR(IF(Y167=0,"",ROUNDUP(Y167/H167,0)*0.00502),"")</f>
        <v>0.33634000000000003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148.66666666666666</v>
      </c>
      <c r="BN167" s="64">
        <f t="shared" si="7"/>
        <v>149.41</v>
      </c>
      <c r="BO167" s="64">
        <f t="shared" si="8"/>
        <v>0.28490028490028491</v>
      </c>
      <c r="BP167" s="64">
        <f t="shared" si="9"/>
        <v>0.28632478632478636</v>
      </c>
    </row>
    <row r="168" spans="1:68" ht="27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210</v>
      </c>
      <c r="Y169" s="542">
        <f t="shared" si="5"/>
        <v>210</v>
      </c>
      <c r="Z169" s="36">
        <f>IFERROR(IF(Y169=0,"",ROUNDUP(Y169/H169,0)*0.00502),"")</f>
        <v>0.502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220.00000000000003</v>
      </c>
      <c r="BN169" s="64">
        <f t="shared" si="7"/>
        <v>220.00000000000003</v>
      </c>
      <c r="BO169" s="64">
        <f t="shared" si="8"/>
        <v>0.42735042735042739</v>
      </c>
      <c r="BP169" s="64">
        <f t="shared" si="9"/>
        <v>0.42735042735042739</v>
      </c>
    </row>
    <row r="170" spans="1:68" ht="27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267.61904761904759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270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1.6194000000000002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697</v>
      </c>
      <c r="Y173" s="543">
        <f>IFERROR(SUM(Y162:Y171),"0")</f>
        <v>705.6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124.2222222222222</v>
      </c>
      <c r="BN196" s="64">
        <f t="shared" ref="BN196:BN203" si="12">IFERROR(Y196*I196/H196,"0")</f>
        <v>128.57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70</v>
      </c>
      <c r="Y197" s="542">
        <f t="shared" si="10"/>
        <v>70.2</v>
      </c>
      <c r="Z197" s="36">
        <f>IFERROR(IF(Y197=0,"",ROUNDUP(Y197/H197,0)*0.00902),"")</f>
        <v>0.11726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72.462962962962962</v>
      </c>
      <c r="BN197" s="64">
        <f t="shared" si="12"/>
        <v>72.67</v>
      </c>
      <c r="BO197" s="64">
        <f t="shared" si="13"/>
        <v>9.8204264870931535E-2</v>
      </c>
      <c r="BP197" s="64">
        <f t="shared" si="14"/>
        <v>9.8484848484848481E-2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450</v>
      </c>
      <c r="Y198" s="542">
        <f t="shared" si="10"/>
        <v>453.6</v>
      </c>
      <c r="Z198" s="36">
        <f>IFERROR(IF(Y198=0,"",ROUNDUP(Y198/H198,0)*0.00902),"")</f>
        <v>0.75768000000000002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465.83333333333331</v>
      </c>
      <c r="BN198" s="64">
        <f t="shared" si="12"/>
        <v>469.56</v>
      </c>
      <c r="BO198" s="64">
        <f t="shared" si="13"/>
        <v>0.63131313131313127</v>
      </c>
      <c r="BP198" s="64">
        <f t="shared" si="14"/>
        <v>0.63636363636363635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80</v>
      </c>
      <c r="Y199" s="542">
        <f t="shared" si="10"/>
        <v>81</v>
      </c>
      <c r="Z199" s="36">
        <f>IFERROR(IF(Y199=0,"",ROUNDUP(Y199/H199,0)*0.00902),"")</f>
        <v>0.1353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82.81481481481481</v>
      </c>
      <c r="BN199" s="64">
        <f t="shared" si="12"/>
        <v>83.85</v>
      </c>
      <c r="BO199" s="64">
        <f t="shared" si="13"/>
        <v>0.11223344556677889</v>
      </c>
      <c r="BP199" s="64">
        <f t="shared" si="14"/>
        <v>0.11363636363636363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120</v>
      </c>
      <c r="Y200" s="542">
        <f t="shared" si="10"/>
        <v>120.60000000000001</v>
      </c>
      <c r="Z200" s="36">
        <f>IFERROR(IF(Y200=0,"",ROUNDUP(Y200/H200,0)*0.00502),"")</f>
        <v>0.33634000000000003</v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128.66666666666666</v>
      </c>
      <c r="BN200" s="64">
        <f t="shared" si="12"/>
        <v>129.31</v>
      </c>
      <c r="BO200" s="64">
        <f t="shared" si="13"/>
        <v>0.28490028490028496</v>
      </c>
      <c r="BP200" s="64">
        <f t="shared" si="14"/>
        <v>0.28632478632478636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60</v>
      </c>
      <c r="Y201" s="542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90</v>
      </c>
      <c r="Y202" s="542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60</v>
      </c>
      <c r="Y203" s="542">
        <f t="shared" si="10"/>
        <v>61.2</v>
      </c>
      <c r="Z203" s="36">
        <f>IFERROR(IF(Y203=0,"",ROUNDUP(Y203/H203,0)*0.00502),"")</f>
        <v>0.17068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63.333333333333329</v>
      </c>
      <c r="BN203" s="64">
        <f t="shared" si="12"/>
        <v>64.599999999999994</v>
      </c>
      <c r="BO203" s="64">
        <f t="shared" si="13"/>
        <v>0.14245014245014248</v>
      </c>
      <c r="BP203" s="64">
        <f t="shared" si="14"/>
        <v>0.14529914529914531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316.66666666666669</v>
      </c>
      <c r="Y204" s="543">
        <f>IFERROR(Y196/H196,"0")+IFERROR(Y197/H197,"0")+IFERROR(Y198/H198,"0")+IFERROR(Y199/H199,"0")+IFERROR(Y200/H200,"0")+IFERROR(Y201/H201,"0")+IFERROR(Y202/H202,"0")+IFERROR(Y203/H203,"0")</f>
        <v>320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2.1463999999999999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1050</v>
      </c>
      <c r="Y205" s="543">
        <f>IFERROR(SUM(Y196:Y203),"0")</f>
        <v>1062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150</v>
      </c>
      <c r="Y209" s="542">
        <f t="shared" si="15"/>
        <v>156.6</v>
      </c>
      <c r="Z209" s="36">
        <f>IFERROR(IF(Y209=0,"",ROUNDUP(Y209/H209,0)*0.01898),"")</f>
        <v>0.34164</v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158.51724137931038</v>
      </c>
      <c r="BN209" s="64">
        <f t="shared" si="17"/>
        <v>165.49200000000002</v>
      </c>
      <c r="BO209" s="64">
        <f t="shared" si="18"/>
        <v>0.26939655172413796</v>
      </c>
      <c r="BP209" s="64">
        <f t="shared" si="19"/>
        <v>0.28125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280</v>
      </c>
      <c r="Y210" s="542">
        <f t="shared" si="15"/>
        <v>280.8</v>
      </c>
      <c r="Z210" s="36">
        <f t="shared" ref="Z210:Z215" si="20">IFERROR(IF(Y210=0,"",ROUNDUP(Y210/H210,0)*0.00651),"")</f>
        <v>0.76167000000000007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311.5</v>
      </c>
      <c r="BN210" s="64">
        <f t="shared" si="17"/>
        <v>312.39</v>
      </c>
      <c r="BO210" s="64">
        <f t="shared" si="18"/>
        <v>0.64102564102564108</v>
      </c>
      <c r="BP210" s="64">
        <f t="shared" si="19"/>
        <v>0.64285714285714302</v>
      </c>
    </row>
    <row r="211" spans="1:68" ht="27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400</v>
      </c>
      <c r="Y212" s="542">
        <f t="shared" si="15"/>
        <v>400.8</v>
      </c>
      <c r="Z212" s="36">
        <f t="shared" si="20"/>
        <v>1.08717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442</v>
      </c>
      <c r="BN212" s="64">
        <f t="shared" si="17"/>
        <v>442.88400000000007</v>
      </c>
      <c r="BO212" s="64">
        <f t="shared" si="18"/>
        <v>0.91575091575091594</v>
      </c>
      <c r="BP212" s="64">
        <f t="shared" si="19"/>
        <v>0.91758241758241765</v>
      </c>
    </row>
    <row r="213" spans="1:68" ht="27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180</v>
      </c>
      <c r="Y214" s="542">
        <f t="shared" si="15"/>
        <v>180</v>
      </c>
      <c r="Z214" s="36">
        <f t="shared" si="20"/>
        <v>0.48825000000000002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198.9</v>
      </c>
      <c r="BN214" s="64">
        <f t="shared" si="17"/>
        <v>198.9</v>
      </c>
      <c r="BO214" s="64">
        <f t="shared" si="18"/>
        <v>0.41208791208791212</v>
      </c>
      <c r="BP214" s="64">
        <f t="shared" si="19"/>
        <v>0.41208791208791212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220</v>
      </c>
      <c r="Y215" s="542">
        <f t="shared" si="15"/>
        <v>220.79999999999998</v>
      </c>
      <c r="Z215" s="36">
        <f t="shared" si="20"/>
        <v>0.59892000000000001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243.65</v>
      </c>
      <c r="BN215" s="64">
        <f t="shared" si="17"/>
        <v>244.536</v>
      </c>
      <c r="BO215" s="64">
        <f t="shared" si="18"/>
        <v>0.50366300366300376</v>
      </c>
      <c r="BP215" s="64">
        <f t="shared" si="19"/>
        <v>0.50549450549450559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467.24137931034488</v>
      </c>
      <c r="Y216" s="543">
        <f>IFERROR(Y207/H207,"0")+IFERROR(Y208/H208,"0")+IFERROR(Y209/H209,"0")+IFERROR(Y210/H210,"0")+IFERROR(Y211/H211,"0")+IFERROR(Y212/H212,"0")+IFERROR(Y213/H213,"0")+IFERROR(Y214/H214,"0")+IFERROR(Y215/H215,"0")</f>
        <v>469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3.27765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1230</v>
      </c>
      <c r="Y217" s="543">
        <f>IFERROR(SUM(Y207:Y215),"0")</f>
        <v>1239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52</v>
      </c>
      <c r="Y219" s="542">
        <f>IFERROR(IF(X219="",0,CEILING((X219/$H219),1)*$H219),"")</f>
        <v>52.8</v>
      </c>
      <c r="Z219" s="36">
        <f>IFERROR(IF(Y219=0,"",ROUNDUP(Y219/H219,0)*0.00651),"")</f>
        <v>0.14322000000000001</v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57.46</v>
      </c>
      <c r="BN219" s="64">
        <f>IFERROR(Y219*I219/H219,"0")</f>
        <v>58.344000000000001</v>
      </c>
      <c r="BO219" s="64">
        <f>IFERROR(1/J219*(X219/H219),"0")</f>
        <v>0.11904761904761907</v>
      </c>
      <c r="BP219" s="64">
        <f>IFERROR(1/J219*(Y219/H219),"0")</f>
        <v>0.12087912087912089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28</v>
      </c>
      <c r="Y220" s="542">
        <f>IFERROR(IF(X220="",0,CEILING((X220/$H220),1)*$H220),"")</f>
        <v>28.799999999999997</v>
      </c>
      <c r="Z220" s="36">
        <f>IFERROR(IF(Y220=0,"",ROUNDUP(Y220/H220,0)*0.00651),"")</f>
        <v>7.8119999999999995E-2</v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30.94</v>
      </c>
      <c r="BN220" s="64">
        <f>IFERROR(Y220*I220/H220,"0")</f>
        <v>31.824000000000002</v>
      </c>
      <c r="BO220" s="64">
        <f>IFERROR(1/J220*(X220/H220),"0")</f>
        <v>6.4102564102564111E-2</v>
      </c>
      <c r="BP220" s="64">
        <f>IFERROR(1/J220*(Y220/H220),"0")</f>
        <v>6.5934065934065936E-2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33.333333333333336</v>
      </c>
      <c r="Y221" s="543">
        <f>IFERROR(Y219/H219,"0")+IFERROR(Y220/H220,"0")</f>
        <v>34</v>
      </c>
      <c r="Z221" s="543">
        <f>IFERROR(IF(Z219="",0,Z219),"0")+IFERROR(IF(Z220="",0,Z220),"0")</f>
        <v>0.22134000000000001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80</v>
      </c>
      <c r="Y222" s="543">
        <f>IFERROR(SUM(Y219:Y220),"0")</f>
        <v>81.599999999999994</v>
      </c>
      <c r="Z222" s="37"/>
      <c r="AA222" s="544"/>
      <c r="AB222" s="544"/>
      <c r="AC222" s="544"/>
    </row>
    <row r="223" spans="1:68" ht="16.5" customHeight="1" x14ac:dyDescent="0.25">
      <c r="A223" s="559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20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20.706896551724139</v>
      </c>
      <c r="BN225" s="64">
        <f t="shared" ref="BN225:BN234" si="23">IFERROR(Y225*I225/H225,"0")</f>
        <v>24.02</v>
      </c>
      <c r="BO225" s="64">
        <f t="shared" ref="BO225:BO234" si="24">IFERROR(1/J225*(X225/H225),"0")</f>
        <v>2.6939655172413795E-2</v>
      </c>
      <c r="BP225" s="64">
        <f t="shared" ref="BP225:BP234" si="25">IFERROR(1/J225*(Y225/H225),"0")</f>
        <v>3.125E-2</v>
      </c>
    </row>
    <row r="226" spans="1:68" ht="27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30</v>
      </c>
      <c r="Y227" s="542">
        <f t="shared" si="21"/>
        <v>34.799999999999997</v>
      </c>
      <c r="Z227" s="36">
        <f>IFERROR(IF(Y227=0,"",ROUNDUP(Y227/H227,0)*0.01898),"")</f>
        <v>5.6940000000000004E-2</v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31.06034482758621</v>
      </c>
      <c r="BN227" s="64">
        <f t="shared" si="23"/>
        <v>36.03</v>
      </c>
      <c r="BO227" s="64">
        <f t="shared" si="24"/>
        <v>4.0409482758620691E-2</v>
      </c>
      <c r="BP227" s="64">
        <f t="shared" si="25"/>
        <v>4.6875E-2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60</v>
      </c>
      <c r="Y228" s="542">
        <f t="shared" si="21"/>
        <v>60</v>
      </c>
      <c r="Z228" s="36">
        <f>IFERROR(IF(Y228=0,"",ROUNDUP(Y228/H228,0)*0.00902),"")</f>
        <v>0.1353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62.850000000000009</v>
      </c>
      <c r="BN228" s="64">
        <f t="shared" si="23"/>
        <v>62.850000000000009</v>
      </c>
      <c r="BO228" s="64">
        <f t="shared" si="24"/>
        <v>0.11363636363636365</v>
      </c>
      <c r="BP228" s="64">
        <f t="shared" si="25"/>
        <v>0.11363636363636365</v>
      </c>
    </row>
    <row r="229" spans="1:68" ht="27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40</v>
      </c>
      <c r="Y233" s="542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29.310344827586206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30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0.32040000000000002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150</v>
      </c>
      <c r="Y236" s="543">
        <f>IFERROR(SUM(Y225:Y234),"0")</f>
        <v>158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3.5</v>
      </c>
      <c r="Y247" s="542">
        <f>IFERROR(IF(X247="",0,CEILING((X247/$H247),1)*$H247),"")</f>
        <v>3.6</v>
      </c>
      <c r="Z247" s="36">
        <f>IFERROR(IF(Y247=0,"",ROUNDUP(Y247/H247,0)*0.0059),"")</f>
        <v>1.18E-2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3.8402777777777781</v>
      </c>
      <c r="BN247" s="64">
        <f>IFERROR(Y247*I247/H247,"0")</f>
        <v>3.95</v>
      </c>
      <c r="BO247" s="64">
        <f>IFERROR(1/J247*(X247/H247),"0")</f>
        <v>9.0020576131687232E-3</v>
      </c>
      <c r="BP247" s="64">
        <f>IFERROR(1/J247*(Y247/H247),"0")</f>
        <v>9.2592592592592587E-3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1.9444444444444444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3.5</v>
      </c>
      <c r="Y252" s="543">
        <f>IFERROR(SUM(Y246:Y250),"0")</f>
        <v>3.6</v>
      </c>
      <c r="Z252" s="37"/>
      <c r="AA252" s="544"/>
      <c r="AB252" s="544"/>
      <c r="AC252" s="544"/>
    </row>
    <row r="253" spans="1:68" ht="16.5" customHeight="1" x14ac:dyDescent="0.25">
      <c r="A253" s="559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60</v>
      </c>
      <c r="Y273" s="542">
        <f>IFERROR(IF(X273="",0,CEILING((X273/$H273),1)*$H273),"")</f>
        <v>60</v>
      </c>
      <c r="Z273" s="36">
        <f>IFERROR(IF(Y273=0,"",ROUNDUP(Y273/H273,0)*0.00651),"")</f>
        <v>0.16275000000000001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66.300000000000011</v>
      </c>
      <c r="BN273" s="64">
        <f>IFERROR(Y273*I273/H273,"0")</f>
        <v>66.300000000000011</v>
      </c>
      <c r="BO273" s="64">
        <f>IFERROR(1/J273*(X273/H273),"0")</f>
        <v>0.13736263736263737</v>
      </c>
      <c r="BP273" s="64">
        <f>IFERROR(1/J273*(Y273/H273),"0")</f>
        <v>0.13736263736263737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220</v>
      </c>
      <c r="Y274" s="542">
        <f>IFERROR(IF(X274="",0,CEILING((X274/$H274),1)*$H274),"")</f>
        <v>220.79999999999998</v>
      </c>
      <c r="Z274" s="36">
        <f>IFERROR(IF(Y274=0,"",ROUNDUP(Y274/H274,0)*0.00651),"")</f>
        <v>0.59892000000000001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236.50000000000003</v>
      </c>
      <c r="BN274" s="64">
        <f>IFERROR(Y274*I274/H274,"0")</f>
        <v>237.36</v>
      </c>
      <c r="BO274" s="64">
        <f>IFERROR(1/J274*(X274/H274),"0")</f>
        <v>0.50366300366300376</v>
      </c>
      <c r="BP274" s="64">
        <f>IFERROR(1/J274*(Y274/H274),"0")</f>
        <v>0.50549450549450559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116.66666666666667</v>
      </c>
      <c r="Y275" s="543">
        <f>IFERROR(Y272/H272,"0")+IFERROR(Y273/H273,"0")+IFERROR(Y274/H274,"0")</f>
        <v>117</v>
      </c>
      <c r="Z275" s="543">
        <f>IFERROR(IF(Z272="",0,Z272),"0")+IFERROR(IF(Z273="",0,Z273),"0")+IFERROR(IF(Z274="",0,Z274),"0")</f>
        <v>0.76167000000000007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280</v>
      </c>
      <c r="Y276" s="543">
        <f>IFERROR(SUM(Y272:Y274),"0")</f>
        <v>280.79999999999995</v>
      </c>
      <c r="Z276" s="37"/>
      <c r="AA276" s="544"/>
      <c r="AB276" s="544"/>
      <c r="AC276" s="544"/>
    </row>
    <row r="277" spans="1:68" ht="16.5" customHeight="1" x14ac:dyDescent="0.25">
      <c r="A277" s="559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105</v>
      </c>
      <c r="Y302" s="542">
        <f t="shared" si="26"/>
        <v>105</v>
      </c>
      <c r="Z302" s="36">
        <f>IFERROR(IF(Y302=0,"",ROUNDUP(Y302/H302,0)*0.00502),"")</f>
        <v>0.251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110.00000000000001</v>
      </c>
      <c r="BN302" s="64">
        <f t="shared" si="28"/>
        <v>110.00000000000001</v>
      </c>
      <c r="BO302" s="64">
        <f t="shared" si="29"/>
        <v>0.21367521367521369</v>
      </c>
      <c r="BP302" s="64">
        <f t="shared" si="30"/>
        <v>0.21367521367521369</v>
      </c>
    </row>
    <row r="303" spans="1:68" ht="27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24</v>
      </c>
      <c r="Y304" s="542">
        <f t="shared" si="26"/>
        <v>25.2</v>
      </c>
      <c r="Z304" s="36">
        <f>IFERROR(IF(Y304=0,"",ROUNDUP(Y304/H304,0)*0.00651),"")</f>
        <v>9.1139999999999999E-2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27.04</v>
      </c>
      <c r="BN304" s="64">
        <f t="shared" si="28"/>
        <v>28.391999999999999</v>
      </c>
      <c r="BO304" s="64">
        <f t="shared" si="29"/>
        <v>7.3260073260073263E-2</v>
      </c>
      <c r="BP304" s="64">
        <f t="shared" si="30"/>
        <v>7.6923076923076927E-2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63.333333333333329</v>
      </c>
      <c r="Y305" s="543">
        <f>IFERROR(Y298/H298,"0")+IFERROR(Y299/H299,"0")+IFERROR(Y300/H300,"0")+IFERROR(Y301/H301,"0")+IFERROR(Y302/H302,"0")+IFERROR(Y303/H303,"0")+IFERROR(Y304/H304,"0")</f>
        <v>64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0.34214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129</v>
      </c>
      <c r="Y306" s="543">
        <f>IFERROR(SUM(Y298:Y304),"0")</f>
        <v>130.19999999999999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20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21.176190476190474</v>
      </c>
      <c r="BN315" s="64">
        <f>IFERROR(Y315*I315/H315,"0")</f>
        <v>26.682000000000002</v>
      </c>
      <c r="BO315" s="64">
        <f>IFERROR(1/J315*(X315/H315),"0")</f>
        <v>3.7202380952380952E-2</v>
      </c>
      <c r="BP315" s="64">
        <f>IFERROR(1/J315*(Y315/H315),"0")</f>
        <v>4.6875E-2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400</v>
      </c>
      <c r="Y316" s="542">
        <f>IFERROR(IF(X316="",0,CEILING((X316/$H316),1)*$H316),"")</f>
        <v>405.59999999999997</v>
      </c>
      <c r="Z316" s="36">
        <f>IFERROR(IF(Y316=0,"",ROUNDUP(Y316/H316,0)*0.01898),"")</f>
        <v>0.98696000000000006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425.33333333333337</v>
      </c>
      <c r="BN316" s="64">
        <f>IFERROR(Y316*I316/H316,"0")</f>
        <v>431.28799999999995</v>
      </c>
      <c r="BO316" s="64">
        <f>IFERROR(1/J316*(X316/H316),"0")</f>
        <v>0.80128205128205132</v>
      </c>
      <c r="BP316" s="64">
        <f>IFERROR(1/J316*(Y316/H316),"0")</f>
        <v>0.8125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330</v>
      </c>
      <c r="Y317" s="542">
        <f>IFERROR(IF(X317="",0,CEILING((X317/$H317),1)*$H317),"")</f>
        <v>336</v>
      </c>
      <c r="Z317" s="36">
        <f>IFERROR(IF(Y317=0,"",ROUNDUP(Y317/H317,0)*0.01898),"")</f>
        <v>0.75919999999999999</v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349.40714285714284</v>
      </c>
      <c r="BN317" s="64">
        <f>IFERROR(Y317*I317/H317,"0")</f>
        <v>355.76</v>
      </c>
      <c r="BO317" s="64">
        <f>IFERROR(1/J317*(X317/H317),"0")</f>
        <v>0.6138392857142857</v>
      </c>
      <c r="BP317" s="64">
        <f>IFERROR(1/J317*(Y317/H317),"0")</f>
        <v>0.625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92.948717948717956</v>
      </c>
      <c r="Y318" s="543">
        <f>IFERROR(Y315/H315,"0")+IFERROR(Y316/H316,"0")+IFERROR(Y317/H317,"0")</f>
        <v>95</v>
      </c>
      <c r="Z318" s="543">
        <f>IFERROR(IF(Z315="",0,Z315),"0")+IFERROR(IF(Z316="",0,Z316),"0")+IFERROR(IF(Z317="",0,Z317),"0")</f>
        <v>1.8031000000000001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750</v>
      </c>
      <c r="Y319" s="543">
        <f>IFERROR(SUM(Y315:Y317),"0")</f>
        <v>766.8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1085</v>
      </c>
      <c r="Y336" s="542">
        <f>IFERROR(IF(X336="",0,CEILING((X336/$H336),1)*$H336),"")</f>
        <v>1085.7</v>
      </c>
      <c r="Z336" s="36">
        <f>IFERROR(IF(Y336=0,"",ROUNDUP(Y336/H336,0)*0.00651),"")</f>
        <v>3.3656700000000002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1215.2</v>
      </c>
      <c r="BN336" s="64">
        <f>IFERROR(Y336*I336/H336,"0")</f>
        <v>1215.9839999999999</v>
      </c>
      <c r="BO336" s="64">
        <f>IFERROR(1/J336*(X336/H336),"0")</f>
        <v>2.838827838827839</v>
      </c>
      <c r="BP336" s="64">
        <f>IFERROR(1/J336*(Y336/H336),"0")</f>
        <v>2.8406593406593408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245</v>
      </c>
      <c r="Y337" s="542">
        <f>IFERROR(IF(X337="",0,CEILING((X337/$H337),1)*$H337),"")</f>
        <v>245.70000000000002</v>
      </c>
      <c r="Z337" s="36">
        <f>IFERROR(IF(Y337=0,"",ROUNDUP(Y337/H337,0)*0.00651),"")</f>
        <v>0.76167000000000007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272.99999999999994</v>
      </c>
      <c r="BN337" s="64">
        <f>IFERROR(Y337*I337/H337,"0")</f>
        <v>273.77999999999997</v>
      </c>
      <c r="BO337" s="64">
        <f>IFERROR(1/J337*(X337/H337),"0")</f>
        <v>0.64102564102564097</v>
      </c>
      <c r="BP337" s="64">
        <f>IFERROR(1/J337*(Y337/H337),"0")</f>
        <v>0.6428571428571429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633.33333333333326</v>
      </c>
      <c r="Y338" s="543">
        <f>IFERROR(Y335/H335,"0")+IFERROR(Y336/H336,"0")+IFERROR(Y337/H337,"0")</f>
        <v>634</v>
      </c>
      <c r="Z338" s="543">
        <f>IFERROR(IF(Z335="",0,Z335),"0")+IFERROR(IF(Z336="",0,Z336),"0")+IFERROR(IF(Z337="",0,Z337),"0")</f>
        <v>4.1273400000000002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1330</v>
      </c>
      <c r="Y339" s="543">
        <f>IFERROR(SUM(Y335:Y337),"0")</f>
        <v>1331.4</v>
      </c>
      <c r="Z339" s="37"/>
      <c r="AA339" s="544"/>
      <c r="AB339" s="544"/>
      <c r="AC339" s="544"/>
    </row>
    <row r="340" spans="1:68" ht="27.75" customHeight="1" x14ac:dyDescent="0.2">
      <c r="A340" s="638" t="s">
        <v>539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1400</v>
      </c>
      <c r="Y343" s="542">
        <f t="shared" ref="Y343:Y349" si="31">IFERROR(IF(X343="",0,CEILING((X343/$H343),1)*$H343),"")</f>
        <v>1410</v>
      </c>
      <c r="Z343" s="36">
        <f>IFERROR(IF(Y343=0,"",ROUNDUP(Y343/H343,0)*0.02175),"")</f>
        <v>2.0444999999999998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1443.8666666666666</v>
      </c>
      <c r="BN343" s="64">
        <f t="shared" ref="BN343:BN349" si="33">IFERROR(Y343*I343/H343,"0")</f>
        <v>1454.18</v>
      </c>
      <c r="BO343" s="64">
        <f t="shared" ref="BO343:BO349" si="34">IFERROR(1/J343*(X343/H343),"0")</f>
        <v>1.9444444444444442</v>
      </c>
      <c r="BP343" s="64">
        <f t="shared" ref="BP343:BP349" si="35">IFERROR(1/J343*(Y343/H343),"0")</f>
        <v>1.9583333333333333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1000</v>
      </c>
      <c r="Y345" s="542">
        <f t="shared" si="31"/>
        <v>1005</v>
      </c>
      <c r="Z345" s="36">
        <f>IFERROR(IF(Y345=0,"",ROUNDUP(Y345/H345,0)*0.02175),"")</f>
        <v>1.4572499999999999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1031.3333333333333</v>
      </c>
      <c r="BN345" s="64">
        <f t="shared" si="33"/>
        <v>1036.49</v>
      </c>
      <c r="BO345" s="64">
        <f t="shared" si="34"/>
        <v>1.3888888888888888</v>
      </c>
      <c r="BP345" s="64">
        <f t="shared" si="35"/>
        <v>1.3958333333333333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130</v>
      </c>
      <c r="Y346" s="542">
        <f t="shared" si="31"/>
        <v>135</v>
      </c>
      <c r="Z346" s="36">
        <f>IFERROR(IF(Y346=0,"",ROUNDUP(Y346/H346,0)*0.02175),"")</f>
        <v>0.19574999999999998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134.07333333333335</v>
      </c>
      <c r="BN346" s="64">
        <f t="shared" si="33"/>
        <v>139.23000000000002</v>
      </c>
      <c r="BO346" s="64">
        <f t="shared" si="34"/>
        <v>0.18055555555555552</v>
      </c>
      <c r="BP346" s="64">
        <f t="shared" si="35"/>
        <v>0.1875</v>
      </c>
    </row>
    <row r="347" spans="1:68" ht="27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235.33333333333334</v>
      </c>
      <c r="Y350" s="543">
        <f>IFERROR(Y343/H343,"0")+IFERROR(Y344/H344,"0")+IFERROR(Y345/H345,"0")+IFERROR(Y346/H346,"0")+IFERROR(Y347/H347,"0")+IFERROR(Y348/H348,"0")+IFERROR(Y349/H349,"0")</f>
        <v>237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5.1547499999999999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3530</v>
      </c>
      <c r="Y351" s="543">
        <f>IFERROR(SUM(Y343:Y349),"0")</f>
        <v>3555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700</v>
      </c>
      <c r="Y353" s="542">
        <f>IFERROR(IF(X353="",0,CEILING((X353/$H353),1)*$H353),"")</f>
        <v>705</v>
      </c>
      <c r="Z353" s="36">
        <f>IFERROR(IF(Y353=0,"",ROUNDUP(Y353/H353,0)*0.02175),"")</f>
        <v>1.0222499999999999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721.93333333333328</v>
      </c>
      <c r="BN353" s="64">
        <f>IFERROR(Y353*I353/H353,"0")</f>
        <v>727.09</v>
      </c>
      <c r="BO353" s="64">
        <f>IFERROR(1/J353*(X353/H353),"0")</f>
        <v>0.9722222222222221</v>
      </c>
      <c r="BP353" s="64">
        <f>IFERROR(1/J353*(Y353/H353),"0")</f>
        <v>0.97916666666666663</v>
      </c>
    </row>
    <row r="354" spans="1:68" ht="16.5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46.666666666666664</v>
      </c>
      <c r="Y355" s="543">
        <f>IFERROR(Y353/H353,"0")+IFERROR(Y354/H354,"0")</f>
        <v>47</v>
      </c>
      <c r="Z355" s="543">
        <f>IFERROR(IF(Z353="",0,Z353),"0")+IFERROR(IF(Z354="",0,Z354),"0")</f>
        <v>1.0222499999999999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700</v>
      </c>
      <c r="Y356" s="543">
        <f>IFERROR(SUM(Y353:Y354),"0")</f>
        <v>705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40</v>
      </c>
      <c r="Y359" s="542">
        <f>IFERROR(IF(X359="",0,CEILING((X359/$H359),1)*$H359),"")</f>
        <v>45</v>
      </c>
      <c r="Z359" s="36">
        <f>IFERROR(IF(Y359=0,"",ROUNDUP(Y359/H359,0)*0.01898),"")</f>
        <v>9.4899999999999998E-2</v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42.195555555555558</v>
      </c>
      <c r="BN359" s="64">
        <f>IFERROR(Y359*I359/H359,"0")</f>
        <v>47.47</v>
      </c>
      <c r="BO359" s="64">
        <f>IFERROR(1/J359*(X359/H359),"0")</f>
        <v>6.9444444444444448E-2</v>
      </c>
      <c r="BP359" s="64">
        <f>IFERROR(1/J359*(Y359/H359),"0")</f>
        <v>7.8125E-2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4.4444444444444446</v>
      </c>
      <c r="Y360" s="543">
        <f>IFERROR(Y358/H358,"0")+IFERROR(Y359/H359,"0")</f>
        <v>5</v>
      </c>
      <c r="Z360" s="543">
        <f>IFERROR(IF(Z358="",0,Z358),"0")+IFERROR(IF(Z359="",0,Z359),"0")</f>
        <v>9.4899999999999998E-2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40</v>
      </c>
      <c r="Y361" s="543">
        <f>IFERROR(SUM(Y358:Y359),"0")</f>
        <v>45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50</v>
      </c>
      <c r="Y363" s="542">
        <f>IFERROR(IF(X363="",0,CEILING((X363/$H363),1)*$H363),"")</f>
        <v>54</v>
      </c>
      <c r="Z363" s="36">
        <f>IFERROR(IF(Y363=0,"",ROUNDUP(Y363/H363,0)*0.01898),"")</f>
        <v>0.11388000000000001</v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52.74444444444444</v>
      </c>
      <c r="BN363" s="64">
        <f>IFERROR(Y363*I363/H363,"0")</f>
        <v>56.963999999999992</v>
      </c>
      <c r="BO363" s="64">
        <f>IFERROR(1/J363*(X363/H363),"0")</f>
        <v>8.6805555555555552E-2</v>
      </c>
      <c r="BP363" s="64">
        <f>IFERROR(1/J363*(Y363/H363),"0")</f>
        <v>9.375E-2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5.5555555555555554</v>
      </c>
      <c r="Y364" s="543">
        <f>IFERROR(Y363/H363,"0")</f>
        <v>6</v>
      </c>
      <c r="Z364" s="543">
        <f>IFERROR(IF(Z363="",0,Z363),"0")</f>
        <v>0.11388000000000001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50</v>
      </c>
      <c r="Y365" s="543">
        <f>IFERROR(SUM(Y363:Y363),"0")</f>
        <v>54</v>
      </c>
      <c r="Z365" s="37"/>
      <c r="AA365" s="544"/>
      <c r="AB365" s="544"/>
      <c r="AC365" s="544"/>
    </row>
    <row r="366" spans="1:68" ht="16.5" customHeight="1" x14ac:dyDescent="0.25">
      <c r="A366" s="559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30</v>
      </c>
      <c r="Y368" s="542">
        <f>IFERROR(IF(X368="",0,CEILING((X368/$H368),1)*$H368),"")</f>
        <v>36</v>
      </c>
      <c r="Z368" s="36">
        <f>IFERROR(IF(Y368=0,"",ROUNDUP(Y368/H368,0)*0.01898),"")</f>
        <v>5.6940000000000004E-2</v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31.025000000000002</v>
      </c>
      <c r="BN368" s="64">
        <f>IFERROR(Y368*I368/H368,"0")</f>
        <v>37.229999999999997</v>
      </c>
      <c r="BO368" s="64">
        <f>IFERROR(1/J368*(X368/H368),"0")</f>
        <v>3.90625E-2</v>
      </c>
      <c r="BP368" s="64">
        <f>IFERROR(1/J368*(Y368/H368),"0")</f>
        <v>4.6875E-2</v>
      </c>
    </row>
    <row r="369" spans="1:68" ht="37.5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2.5</v>
      </c>
      <c r="Y370" s="543">
        <f>IFERROR(Y368/H368,"0")+IFERROR(Y369/H369,"0")</f>
        <v>3</v>
      </c>
      <c r="Z370" s="543">
        <f>IFERROR(IF(Z368="",0,Z368),"0")+IFERROR(IF(Z369="",0,Z369),"0")</f>
        <v>5.6940000000000004E-2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30</v>
      </c>
      <c r="Y371" s="543">
        <f>IFERROR(SUM(Y368:Y369),"0")</f>
        <v>36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591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10.5</v>
      </c>
      <c r="Y390" s="542">
        <f t="shared" si="36"/>
        <v>10.5</v>
      </c>
      <c r="Z390" s="36">
        <f t="shared" si="41"/>
        <v>2.5100000000000001E-2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11.149999999999999</v>
      </c>
      <c r="BN390" s="64">
        <f t="shared" si="38"/>
        <v>11.149999999999999</v>
      </c>
      <c r="BO390" s="64">
        <f t="shared" si="39"/>
        <v>2.1367521367521368E-2</v>
      </c>
      <c r="BP390" s="64">
        <f t="shared" si="40"/>
        <v>2.1367521367521368E-2</v>
      </c>
    </row>
    <row r="391" spans="1:68" ht="27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17.5</v>
      </c>
      <c r="Y392" s="542">
        <f t="shared" si="36"/>
        <v>18.900000000000002</v>
      </c>
      <c r="Z392" s="36">
        <f t="shared" si="41"/>
        <v>4.5179999999999998E-2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18.583333333333332</v>
      </c>
      <c r="BN392" s="64">
        <f t="shared" si="38"/>
        <v>20.07</v>
      </c>
      <c r="BO392" s="64">
        <f t="shared" si="39"/>
        <v>3.5612535612535613E-2</v>
      </c>
      <c r="BP392" s="64">
        <f t="shared" si="40"/>
        <v>3.8461538461538464E-2</v>
      </c>
    </row>
    <row r="393" spans="1:68" ht="37.5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13.333333333333332</v>
      </c>
      <c r="Y394" s="543">
        <f>IFERROR(Y385/H385,"0")+IFERROR(Y386/H386,"0")+IFERROR(Y387/H387,"0")+IFERROR(Y388/H388,"0")+IFERROR(Y389/H389,"0")+IFERROR(Y390/H390,"0")+IFERROR(Y391/H391,"0")+IFERROR(Y392/H392,"0")+IFERROR(Y393/H393,"0")</f>
        <v>14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7.0279999999999995E-2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28</v>
      </c>
      <c r="Y395" s="543">
        <f>IFERROR(SUM(Y385:Y393),"0")</f>
        <v>29.400000000000002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10</v>
      </c>
      <c r="Y407" s="542">
        <f>IFERROR(IF(X407="",0,CEILING((X407/$H407),1)*$H407),"")</f>
        <v>10.8</v>
      </c>
      <c r="Z407" s="36">
        <f>IFERROR(IF(Y407=0,"",ROUNDUP(Y407/H407,0)*0.00902),"")</f>
        <v>1.804E-2</v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10.351851851851851</v>
      </c>
      <c r="BN407" s="64">
        <f>IFERROR(Y407*I407/H407,"0")</f>
        <v>11.18</v>
      </c>
      <c r="BO407" s="64">
        <f>IFERROR(1/J407*(X407/H407),"0")</f>
        <v>1.4029180695847361E-2</v>
      </c>
      <c r="BP407" s="64">
        <f>IFERROR(1/J407*(Y407/H407),"0")</f>
        <v>1.5151515151515152E-2</v>
      </c>
    </row>
    <row r="408" spans="1:68" ht="27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1.8518518518518516</v>
      </c>
      <c r="Y411" s="543">
        <f>IFERROR(Y407/H407,"0")+IFERROR(Y408/H408,"0")+IFERROR(Y409/H409,"0")+IFERROR(Y410/H410,"0")</f>
        <v>2</v>
      </c>
      <c r="Z411" s="543">
        <f>IFERROR(IF(Z407="",0,Z407),"0")+IFERROR(IF(Z408="",0,Z408),"0")+IFERROR(IF(Z409="",0,Z409),"0")+IFERROR(IF(Z410="",0,Z410),"0")</f>
        <v>1.804E-2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10</v>
      </c>
      <c r="Y412" s="543">
        <f>IFERROR(SUM(Y407:Y410),"0")</f>
        <v>10.8</v>
      </c>
      <c r="Z412" s="37"/>
      <c r="AA412" s="544"/>
      <c r="AB412" s="544"/>
      <c r="AC412" s="544"/>
    </row>
    <row r="413" spans="1:68" ht="16.5" customHeight="1" x14ac:dyDescent="0.25">
      <c r="A413" s="559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40</v>
      </c>
      <c r="Y415" s="542">
        <f>IFERROR(IF(X415="",0,CEILING((X415/$H415),1)*$H415),"")</f>
        <v>40.799999999999997</v>
      </c>
      <c r="Z415" s="36">
        <f>IFERROR(IF(Y415=0,"",ROUNDUP(Y415/H415,0)*0.00651),"")</f>
        <v>0.22134000000000001</v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70</v>
      </c>
      <c r="BN415" s="64">
        <f>IFERROR(Y415*I415/H415,"0")</f>
        <v>71.399999999999991</v>
      </c>
      <c r="BO415" s="64">
        <f>IFERROR(1/J415*(X415/H415),"0")</f>
        <v>0.18315018315018317</v>
      </c>
      <c r="BP415" s="64">
        <f>IFERROR(1/J415*(Y415/H415),"0")</f>
        <v>0.18681318681318682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33.333333333333336</v>
      </c>
      <c r="Y416" s="543">
        <f>IFERROR(Y415/H415,"0")</f>
        <v>34</v>
      </c>
      <c r="Z416" s="543">
        <f>IFERROR(IF(Z415="",0,Z415),"0")</f>
        <v>0.22134000000000001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40</v>
      </c>
      <c r="Y417" s="543">
        <f>IFERROR(SUM(Y415:Y415),"0")</f>
        <v>40.799999999999997</v>
      </c>
      <c r="Z417" s="37"/>
      <c r="AA417" s="544"/>
      <c r="AB417" s="544"/>
      <c r="AC417" s="544"/>
    </row>
    <row r="418" spans="1:68" ht="27.75" customHeight="1" x14ac:dyDescent="0.2">
      <c r="A418" s="638" t="s">
        <v>642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80</v>
      </c>
      <c r="Y421" s="542">
        <f t="shared" ref="Y421:Y431" si="42">IFERROR(IF(X421="",0,CEILING((X421/$H421),1)*$H421),"")</f>
        <v>84.48</v>
      </c>
      <c r="Z421" s="36">
        <f t="shared" ref="Z421:Z426" si="43">IFERROR(IF(Y421=0,"",ROUNDUP(Y421/H421,0)*0.01196),"")</f>
        <v>0.19136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85.303030303030297</v>
      </c>
      <c r="BN421" s="64">
        <f t="shared" ref="BN421:BN431" si="45">IFERROR(Y421*I421/H421,"0")</f>
        <v>90.08</v>
      </c>
      <c r="BO421" s="64">
        <f t="shared" ref="BO421:BO431" si="46">IFERROR(1/J421*(X421/H421),"0")</f>
        <v>0.14568764568764569</v>
      </c>
      <c r="BP421" s="64">
        <f t="shared" ref="BP421:BP431" si="47">IFERROR(1/J421*(Y421/H421),"0")</f>
        <v>0.15384615384615385</v>
      </c>
    </row>
    <row r="422" spans="1:68" ht="27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200</v>
      </c>
      <c r="Y423" s="542">
        <f t="shared" si="42"/>
        <v>200.64000000000001</v>
      </c>
      <c r="Z423" s="36">
        <f t="shared" si="43"/>
        <v>0.45448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213.25757575757575</v>
      </c>
      <c r="BN423" s="64">
        <f t="shared" si="45"/>
        <v>213.94</v>
      </c>
      <c r="BO423" s="64">
        <f t="shared" si="46"/>
        <v>0.36421911421911418</v>
      </c>
      <c r="BP423" s="64">
        <f t="shared" si="47"/>
        <v>0.36538461538461542</v>
      </c>
    </row>
    <row r="424" spans="1:68" ht="27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200</v>
      </c>
      <c r="Y426" s="542">
        <f t="shared" si="42"/>
        <v>200.64000000000001</v>
      </c>
      <c r="Z426" s="36">
        <f t="shared" si="43"/>
        <v>0.45448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213.25757575757575</v>
      </c>
      <c r="BN426" s="64">
        <f t="shared" si="45"/>
        <v>213.94</v>
      </c>
      <c r="BO426" s="64">
        <f t="shared" si="46"/>
        <v>0.36421911421911418</v>
      </c>
      <c r="BP426" s="64">
        <f t="shared" si="47"/>
        <v>0.36538461538461542</v>
      </c>
    </row>
    <row r="427" spans="1:68" ht="27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60</v>
      </c>
      <c r="Y428" s="542">
        <f t="shared" si="42"/>
        <v>62.4</v>
      </c>
      <c r="Z428" s="36">
        <f>IFERROR(IF(Y428=0,"",ROUNDUP(Y428/H428,0)*0.00902),"")</f>
        <v>0.11726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86.375000000000014</v>
      </c>
      <c r="BN428" s="64">
        <f t="shared" si="45"/>
        <v>89.830000000000013</v>
      </c>
      <c r="BO428" s="64">
        <f t="shared" si="46"/>
        <v>9.4696969696969696E-2</v>
      </c>
      <c r="BP428" s="64">
        <f t="shared" si="47"/>
        <v>9.8484848484848481E-2</v>
      </c>
    </row>
    <row r="429" spans="1:68" ht="27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78</v>
      </c>
      <c r="Y431" s="542">
        <f t="shared" si="42"/>
        <v>81.599999999999994</v>
      </c>
      <c r="Z431" s="36">
        <f>IFERROR(IF(Y431=0,"",ROUNDUP(Y431/H431,0)*0.00902),"")</f>
        <v>0.15334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112.28750000000001</v>
      </c>
      <c r="BN431" s="64">
        <f t="shared" si="45"/>
        <v>117.47</v>
      </c>
      <c r="BO431" s="64">
        <f t="shared" si="46"/>
        <v>0.12310606060606061</v>
      </c>
      <c r="BP431" s="64">
        <f t="shared" si="47"/>
        <v>0.12878787878787878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119.65909090909091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1.3709199999999999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618</v>
      </c>
      <c r="Y433" s="543">
        <f>IFERROR(SUM(Y421:Y431),"0")</f>
        <v>629.76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230</v>
      </c>
      <c r="Y435" s="542">
        <f>IFERROR(IF(X435="",0,CEILING((X435/$H435),1)*$H435),"")</f>
        <v>232.32000000000002</v>
      </c>
      <c r="Z435" s="36">
        <f>IFERROR(IF(Y435=0,"",ROUNDUP(Y435/H435,0)*0.01196),"")</f>
        <v>0.52624000000000004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245.2462121212121</v>
      </c>
      <c r="BN435" s="64">
        <f>IFERROR(Y435*I435/H435,"0")</f>
        <v>247.72</v>
      </c>
      <c r="BO435" s="64">
        <f>IFERROR(1/J435*(X435/H435),"0")</f>
        <v>0.41885198135198132</v>
      </c>
      <c r="BP435" s="64">
        <f>IFERROR(1/J435*(Y435/H435),"0")</f>
        <v>0.42307692307692313</v>
      </c>
    </row>
    <row r="436" spans="1:68" ht="16.5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43.560606060606055</v>
      </c>
      <c r="Y438" s="543">
        <f>IFERROR(Y435/H435,"0")+IFERROR(Y436/H436,"0")+IFERROR(Y437/H437,"0")</f>
        <v>44</v>
      </c>
      <c r="Z438" s="543">
        <f>IFERROR(IF(Z435="",0,Z435),"0")+IFERROR(IF(Z436="",0,Z436),"0")+IFERROR(IF(Z437="",0,Z437),"0")</f>
        <v>0.52624000000000004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230</v>
      </c>
      <c r="Y439" s="543">
        <f>IFERROR(SUM(Y435:Y437),"0")</f>
        <v>232.32000000000002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</v>
      </c>
      <c r="Y443" s="542">
        <f t="shared" si="48"/>
        <v>52.800000000000004</v>
      </c>
      <c r="Z443" s="36">
        <f>IFERROR(IF(Y443=0,"",ROUNDUP(Y443/H443,0)*0.01196),"")</f>
        <v>0.1196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53.314393939393938</v>
      </c>
      <c r="BN443" s="64">
        <f t="shared" si="50"/>
        <v>56.3</v>
      </c>
      <c r="BO443" s="64">
        <f t="shared" si="51"/>
        <v>9.1054778554778545E-2</v>
      </c>
      <c r="BP443" s="64">
        <f t="shared" si="52"/>
        <v>9.6153846153846159E-2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36</v>
      </c>
      <c r="Y444" s="542">
        <f t="shared" si="48"/>
        <v>38.4</v>
      </c>
      <c r="Z444" s="36">
        <f>IFERROR(IF(Y444=0,"",ROUNDUP(Y444/H444,0)*0.00902),"")</f>
        <v>7.2160000000000002E-2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51.825000000000003</v>
      </c>
      <c r="BN444" s="64">
        <f t="shared" si="50"/>
        <v>55.28</v>
      </c>
      <c r="BO444" s="64">
        <f t="shared" si="51"/>
        <v>5.6818181818181823E-2</v>
      </c>
      <c r="BP444" s="64">
        <f t="shared" si="52"/>
        <v>6.0606060606060608E-2</v>
      </c>
    </row>
    <row r="445" spans="1:68" ht="27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25.012500000000003</v>
      </c>
      <c r="BN445" s="64">
        <f t="shared" si="50"/>
        <v>26.68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72</v>
      </c>
      <c r="Y446" s="542">
        <f t="shared" si="48"/>
        <v>72</v>
      </c>
      <c r="Z446" s="36">
        <f>IFERROR(IF(Y446=0,"",ROUNDUP(Y446/H446,0)*0.00902),"")</f>
        <v>0.1353</v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100.05000000000001</v>
      </c>
      <c r="BN446" s="64">
        <f t="shared" si="50"/>
        <v>100.05000000000001</v>
      </c>
      <c r="BO446" s="64">
        <f t="shared" si="51"/>
        <v>0.11363636363636365</v>
      </c>
      <c r="BP446" s="64">
        <f t="shared" si="52"/>
        <v>0.11363636363636365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64.128787878787875</v>
      </c>
      <c r="Y447" s="543">
        <f>IFERROR(Y441/H441,"0")+IFERROR(Y442/H442,"0")+IFERROR(Y443/H443,"0")+IFERROR(Y444/H444,"0")+IFERROR(Y445/H445,"0")+IFERROR(Y446/H446,"0")</f>
        <v>66</v>
      </c>
      <c r="Z447" s="543">
        <f>IFERROR(IF(Z441="",0,Z441),"0")+IFERROR(IF(Z442="",0,Z442),"0")+IFERROR(IF(Z443="",0,Z443),"0")+IFERROR(IF(Z444="",0,Z444),"0")+IFERROR(IF(Z445="",0,Z445),"0")+IFERROR(IF(Z446="",0,Z446),"0")</f>
        <v>0.70997999999999994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326</v>
      </c>
      <c r="Y448" s="543">
        <f>IFERROR(SUM(Y441:Y446),"0")</f>
        <v>335.52000000000004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702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1300</v>
      </c>
      <c r="Y476" s="542">
        <f>IFERROR(IF(X476="",0,CEILING((X476/$H476),1)*$H476),"")</f>
        <v>1305</v>
      </c>
      <c r="Z476" s="36">
        <f>IFERROR(IF(Y476=0,"",ROUNDUP(Y476/H476,0)*0.01898),"")</f>
        <v>2.7521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1371.3555555555554</v>
      </c>
      <c r="BN476" s="64">
        <f>IFERROR(Y476*I476/H476,"0")</f>
        <v>1376.63</v>
      </c>
      <c r="BO476" s="64">
        <f>IFERROR(1/J476*(X476/H476),"0")</f>
        <v>2.2569444444444446</v>
      </c>
      <c r="BP476" s="64">
        <f>IFERROR(1/J476*(Y476/H476),"0")</f>
        <v>2.265625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144.44444444444446</v>
      </c>
      <c r="Y477" s="543">
        <f>IFERROR(Y476/H476,"0")</f>
        <v>145</v>
      </c>
      <c r="Z477" s="543">
        <f>IFERROR(IF(Z476="",0,Z476),"0")</f>
        <v>2.7521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1300</v>
      </c>
      <c r="Y478" s="543">
        <f>IFERROR(SUM(Y476:Y476),"0")</f>
        <v>1305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742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16339.9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16517.019999999997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743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17441.41370893368</v>
      </c>
      <c r="Y490" s="543">
        <f>IFERROR(SUM(BN22:BN486),"0")</f>
        <v>17631.897999999997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744</v>
      </c>
      <c r="Q491" s="633"/>
      <c r="R491" s="633"/>
      <c r="S491" s="633"/>
      <c r="T491" s="633"/>
      <c r="U491" s="633"/>
      <c r="V491" s="634"/>
      <c r="W491" s="37" t="s">
        <v>745</v>
      </c>
      <c r="X491" s="38">
        <f>ROUNDUP(SUM(BO22:BO486),0)</f>
        <v>30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746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18191.41370893368</v>
      </c>
      <c r="Y492" s="543">
        <f>GrossWeightTotalR+PalletQtyTotalR*25</f>
        <v>18406.897999999997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747</v>
      </c>
      <c r="Q493" s="633"/>
      <c r="R493" s="633"/>
      <c r="S493" s="633"/>
      <c r="T493" s="633"/>
      <c r="U493" s="633"/>
      <c r="V493" s="63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3649.201830204704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3678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748</v>
      </c>
      <c r="Q494" s="633"/>
      <c r="R494" s="633"/>
      <c r="S494" s="633"/>
      <c r="T494" s="633"/>
      <c r="U494" s="633"/>
      <c r="V494" s="63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35.055730000000004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256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539</v>
      </c>
      <c r="T496" s="626"/>
      <c r="U496" s="593" t="s">
        <v>591</v>
      </c>
      <c r="V496" s="661"/>
      <c r="W496" s="626"/>
      <c r="X496" s="538" t="s">
        <v>642</v>
      </c>
      <c r="Y496" s="593" t="s">
        <v>702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751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221</v>
      </c>
      <c r="H497" s="593" t="s">
        <v>97</v>
      </c>
      <c r="I497" s="593" t="s">
        <v>257</v>
      </c>
      <c r="J497" s="593" t="s">
        <v>302</v>
      </c>
      <c r="K497" s="593" t="s">
        <v>362</v>
      </c>
      <c r="L497" s="593" t="s">
        <v>404</v>
      </c>
      <c r="M497" s="593" t="s">
        <v>420</v>
      </c>
      <c r="N497" s="539"/>
      <c r="O497" s="593" t="s">
        <v>431</v>
      </c>
      <c r="P497" s="593" t="s">
        <v>440</v>
      </c>
      <c r="Q497" s="593" t="s">
        <v>454</v>
      </c>
      <c r="R497" s="593" t="s">
        <v>529</v>
      </c>
      <c r="S497" s="593" t="s">
        <v>540</v>
      </c>
      <c r="T497" s="593" t="s">
        <v>575</v>
      </c>
      <c r="U497" s="593" t="s">
        <v>592</v>
      </c>
      <c r="V497" s="593" t="s">
        <v>623</v>
      </c>
      <c r="W497" s="593" t="s">
        <v>638</v>
      </c>
      <c r="X497" s="593" t="s">
        <v>642</v>
      </c>
      <c r="Y497" s="593" t="s">
        <v>702</v>
      </c>
      <c r="Z497" s="593" t="s">
        <v>738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200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809.1</v>
      </c>
      <c r="E499" s="46">
        <f>IFERROR(Y85*1,"0")+IFERROR(Y86*1,"0")+IFERROR(Y87*1,"0")+IFERROR(Y91*1,"0")+IFERROR(Y92*1,"0")+IFERROR(Y93*1,"0")+IFERROR(Y94*1,"0")</f>
        <v>1035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1531.8</v>
      </c>
      <c r="G499" s="46">
        <f>IFERROR(Y124*1,"0")+IFERROR(Y125*1,"0")+IFERROR(Y129*1,"0")+IFERROR(Y130*1,"0")+IFERROR(Y134*1,"0")+IFERROR(Y135*1,"0")</f>
        <v>203.52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705.6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2382.6000000000004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161.6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280.79999999999995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897</v>
      </c>
      <c r="R499" s="46">
        <f>IFERROR(Y335*1,"0")+IFERROR(Y336*1,"0")+IFERROR(Y337*1,"0")</f>
        <v>1331.4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4359</v>
      </c>
      <c r="T499" s="46">
        <f>IFERROR(Y368*1,"0")+IFERROR(Y369*1,"0")+IFERROR(Y373*1,"0")+IFERROR(Y374*1,"0")+IFERROR(Y378*1,"0")+IFERROR(Y379*1,"0")</f>
        <v>36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29.400000000000002</v>
      </c>
      <c r="V499" s="46">
        <f>IFERROR(Y403*1,"0")+IFERROR(Y407*1,"0")+IFERROR(Y408*1,"0")+IFERROR(Y409*1,"0")+IFERROR(Y410*1,"0")</f>
        <v>10.8</v>
      </c>
      <c r="W499" s="46">
        <f>IFERROR(Y415*1,"0")</f>
        <v>40.799999999999997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1197.6000000000001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1305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2025-11-13T09:36:23Z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