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DFAD211F-C465-4C76-8742-6F4BFD4DFE5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X161" i="1"/>
  <c r="Y160" i="1"/>
  <c r="X160" i="1"/>
  <c r="BP159" i="1"/>
  <c r="BO159" i="1"/>
  <c r="BN159" i="1"/>
  <c r="BM159" i="1"/>
  <c r="Z159" i="1"/>
  <c r="Z160" i="1" s="1"/>
  <c r="Y159" i="1"/>
  <c r="P159" i="1"/>
  <c r="X155" i="1"/>
  <c r="Y154" i="1"/>
  <c r="X154" i="1"/>
  <c r="BP153" i="1"/>
  <c r="BO153" i="1"/>
  <c r="BN153" i="1"/>
  <c r="BM153" i="1"/>
  <c r="Z153" i="1"/>
  <c r="Z154" i="1" s="1"/>
  <c r="Y153" i="1"/>
  <c r="Y155" i="1" s="1"/>
  <c r="X151" i="1"/>
  <c r="X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P135" i="1"/>
  <c r="BO135" i="1"/>
  <c r="BN135" i="1"/>
  <c r="BM135" i="1"/>
  <c r="Z135" i="1"/>
  <c r="Y135" i="1"/>
  <c r="P135" i="1"/>
  <c r="X133" i="1"/>
  <c r="Y132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N75" i="1"/>
  <c r="BM75" i="1"/>
  <c r="Z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8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31" i="1" l="1"/>
  <c r="Z137" i="1"/>
  <c r="Z57" i="1"/>
  <c r="Y31" i="1"/>
  <c r="Y493" i="1" s="1"/>
  <c r="Y43" i="1"/>
  <c r="Y58" i="1"/>
  <c r="Y64" i="1"/>
  <c r="Y70" i="1"/>
  <c r="Y77" i="1"/>
  <c r="BP81" i="1"/>
  <c r="BN81" i="1"/>
  <c r="Z81" i="1"/>
  <c r="Z82" i="1" s="1"/>
  <c r="Y83" i="1"/>
  <c r="E499" i="1"/>
  <c r="Y89" i="1"/>
  <c r="BP86" i="1"/>
  <c r="BN86" i="1"/>
  <c r="Z86" i="1"/>
  <c r="Z89" i="1" s="1"/>
  <c r="BP94" i="1"/>
  <c r="BN94" i="1"/>
  <c r="Z94" i="1"/>
  <c r="BP103" i="1"/>
  <c r="BN103" i="1"/>
  <c r="Z103" i="1"/>
  <c r="Y105" i="1"/>
  <c r="Y110" i="1"/>
  <c r="BP107" i="1"/>
  <c r="BN107" i="1"/>
  <c r="Z107" i="1"/>
  <c r="BP115" i="1"/>
  <c r="BN115" i="1"/>
  <c r="Z115" i="1"/>
  <c r="BP136" i="1"/>
  <c r="BN136" i="1"/>
  <c r="Z136" i="1"/>
  <c r="Y138" i="1"/>
  <c r="H499" i="1"/>
  <c r="Y144" i="1"/>
  <c r="BP141" i="1"/>
  <c r="BN141" i="1"/>
  <c r="Z141" i="1"/>
  <c r="BP149" i="1"/>
  <c r="BN149" i="1"/>
  <c r="Z149" i="1"/>
  <c r="Y151" i="1"/>
  <c r="BP164" i="1"/>
  <c r="BN164" i="1"/>
  <c r="Z164" i="1"/>
  <c r="BP168" i="1"/>
  <c r="BN168" i="1"/>
  <c r="Z168" i="1"/>
  <c r="Y172" i="1"/>
  <c r="Z178" i="1"/>
  <c r="BP176" i="1"/>
  <c r="BN176" i="1"/>
  <c r="Z176" i="1"/>
  <c r="BP197" i="1"/>
  <c r="BN197" i="1"/>
  <c r="Z197" i="1"/>
  <c r="Z204" i="1" s="1"/>
  <c r="BP201" i="1"/>
  <c r="BN201" i="1"/>
  <c r="Z201" i="1"/>
  <c r="BP209" i="1"/>
  <c r="BN209" i="1"/>
  <c r="Z209" i="1"/>
  <c r="BP213" i="1"/>
  <c r="BN213" i="1"/>
  <c r="Z213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Z281" i="1"/>
  <c r="D499" i="1"/>
  <c r="H9" i="1"/>
  <c r="B499" i="1"/>
  <c r="X490" i="1"/>
  <c r="X491" i="1"/>
  <c r="X493" i="1"/>
  <c r="Y24" i="1"/>
  <c r="Z27" i="1"/>
  <c r="BN27" i="1"/>
  <c r="Y490" i="1" s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Z69" i="1" s="1"/>
  <c r="BN66" i="1"/>
  <c r="BP66" i="1"/>
  <c r="Y491" i="1" s="1"/>
  <c r="Z68" i="1"/>
  <c r="BN68" i="1"/>
  <c r="Z72" i="1"/>
  <c r="BN72" i="1"/>
  <c r="BP72" i="1"/>
  <c r="Z74" i="1"/>
  <c r="BN74" i="1"/>
  <c r="Y82" i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Z104" i="1" s="1"/>
  <c r="BP109" i="1"/>
  <c r="BN109" i="1"/>
  <c r="Z109" i="1"/>
  <c r="Y111" i="1"/>
  <c r="Y118" i="1"/>
  <c r="BP113" i="1"/>
  <c r="BN113" i="1"/>
  <c r="Z113" i="1"/>
  <c r="Z117" i="1" s="1"/>
  <c r="Y117" i="1"/>
  <c r="BP126" i="1"/>
  <c r="BN126" i="1"/>
  <c r="Z126" i="1"/>
  <c r="Z127" i="1" s="1"/>
  <c r="Y128" i="1"/>
  <c r="Y133" i="1"/>
  <c r="BP130" i="1"/>
  <c r="BN130" i="1"/>
  <c r="Z130" i="1"/>
  <c r="Z132" i="1" s="1"/>
  <c r="Y137" i="1"/>
  <c r="BP143" i="1"/>
  <c r="BN143" i="1"/>
  <c r="Z143" i="1"/>
  <c r="Y145" i="1"/>
  <c r="Y150" i="1"/>
  <c r="BP147" i="1"/>
  <c r="BN147" i="1"/>
  <c r="Z147" i="1"/>
  <c r="Z150" i="1" s="1"/>
  <c r="Y173" i="1"/>
  <c r="BP166" i="1"/>
  <c r="BN166" i="1"/>
  <c r="Z166" i="1"/>
  <c r="Z172" i="1" s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BN219" i="1"/>
  <c r="Z219" i="1"/>
  <c r="Z221" i="1" s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BP311" i="1"/>
  <c r="BN311" i="1"/>
  <c r="Z311" i="1"/>
  <c r="Y313" i="1"/>
  <c r="Y318" i="1"/>
  <c r="BP315" i="1"/>
  <c r="BN315" i="1"/>
  <c r="Z315" i="1"/>
  <c r="Z318" i="1" s="1"/>
  <c r="Y319" i="1"/>
  <c r="BP322" i="1"/>
  <c r="BN322" i="1"/>
  <c r="Z322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Z482" i="1"/>
  <c r="U499" i="1"/>
  <c r="F499" i="1"/>
  <c r="Y104" i="1"/>
  <c r="G499" i="1"/>
  <c r="Y127" i="1"/>
  <c r="I499" i="1"/>
  <c r="Y161" i="1"/>
  <c r="J499" i="1"/>
  <c r="Y188" i="1"/>
  <c r="K499" i="1"/>
  <c r="Y235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Y282" i="1"/>
  <c r="Y285" i="1"/>
  <c r="BP284" i="1"/>
  <c r="BN284" i="1"/>
  <c r="Z284" i="1"/>
  <c r="Z285" i="1" s="1"/>
  <c r="Y286" i="1"/>
  <c r="Q499" i="1"/>
  <c r="Y294" i="1"/>
  <c r="BP289" i="1"/>
  <c r="BN289" i="1"/>
  <c r="Z289" i="1"/>
  <c r="Z294" i="1" s="1"/>
  <c r="BP293" i="1"/>
  <c r="BN293" i="1"/>
  <c r="Z293" i="1"/>
  <c r="Y295" i="1"/>
  <c r="Y304" i="1"/>
  <c r="BP297" i="1"/>
  <c r="BN297" i="1"/>
  <c r="Z297" i="1"/>
  <c r="Z304" i="1" s="1"/>
  <c r="BP301" i="1"/>
  <c r="BN301" i="1"/>
  <c r="Z301" i="1"/>
  <c r="BP309" i="1"/>
  <c r="BN309" i="1"/>
  <c r="Z309" i="1"/>
  <c r="BP317" i="1"/>
  <c r="BN317" i="1"/>
  <c r="Z317" i="1"/>
  <c r="Y325" i="1"/>
  <c r="BP321" i="1"/>
  <c r="BN321" i="1"/>
  <c r="Z321" i="1"/>
  <c r="BP324" i="1"/>
  <c r="BN324" i="1"/>
  <c r="Z324" i="1"/>
  <c r="Y326" i="1"/>
  <c r="Y331" i="1"/>
  <c r="BP328" i="1"/>
  <c r="BN328" i="1"/>
  <c r="Z328" i="1"/>
  <c r="Z331" i="1" s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Z380" i="1"/>
  <c r="O499" i="1"/>
  <c r="Y276" i="1"/>
  <c r="P499" i="1"/>
  <c r="Y281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Y483" i="1"/>
  <c r="Z499" i="1"/>
  <c r="Y487" i="1"/>
  <c r="BP486" i="1"/>
  <c r="BN486" i="1"/>
  <c r="Z486" i="1"/>
  <c r="Z487" i="1" s="1"/>
  <c r="Y488" i="1"/>
  <c r="Y492" i="1" l="1"/>
  <c r="Z394" i="1"/>
  <c r="Z312" i="1"/>
  <c r="Y489" i="1"/>
  <c r="Z438" i="1"/>
  <c r="Z447" i="1"/>
  <c r="Z432" i="1"/>
  <c r="Z350" i="1"/>
  <c r="Z325" i="1"/>
  <c r="Z338" i="1"/>
  <c r="Z216" i="1"/>
  <c r="Z77" i="1"/>
  <c r="Z63" i="1"/>
  <c r="Z494" i="1" s="1"/>
  <c r="X492" i="1"/>
  <c r="Z268" i="1"/>
  <c r="Z260" i="1"/>
  <c r="Z251" i="1"/>
  <c r="Z144" i="1"/>
  <c r="Z110" i="1"/>
</calcChain>
</file>

<file path=xl/sharedStrings.xml><?xml version="1.0" encoding="utf-8"?>
<sst xmlns="http://schemas.openxmlformats.org/spreadsheetml/2006/main" count="2287" uniqueCount="764">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</sst>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2" t="s">
        <v>0</v>
      </c>
      <c r="E1" s="572"/>
      <c r="F1" s="572"/>
      <c r="G1" s="12" t="s">
        <v>1</v>
      </c>
      <c r="H1" s="61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1" t="s">
        <v>8</v>
      </c>
      <c r="B5" s="634"/>
      <c r="C5" s="635"/>
      <c r="D5" s="618"/>
      <c r="E5" s="619"/>
      <c r="F5" s="828" t="s">
        <v>9</v>
      </c>
      <c r="G5" s="635"/>
      <c r="H5" s="618"/>
      <c r="I5" s="771"/>
      <c r="J5" s="771"/>
      <c r="K5" s="771"/>
      <c r="L5" s="771"/>
      <c r="M5" s="619"/>
      <c r="N5" s="58"/>
      <c r="P5" s="24" t="s">
        <v>10</v>
      </c>
      <c r="Q5" s="841">
        <v>45963</v>
      </c>
      <c r="R5" s="660"/>
      <c r="T5" s="705" t="s">
        <v>11</v>
      </c>
      <c r="U5" s="706"/>
      <c r="V5" s="708" t="s">
        <v>12</v>
      </c>
      <c r="W5" s="660"/>
      <c r="AB5" s="51"/>
      <c r="AC5" s="51"/>
      <c r="AD5" s="51"/>
      <c r="AE5" s="51"/>
    </row>
    <row r="6" spans="1:32" s="535" customFormat="1" ht="24" customHeight="1" x14ac:dyDescent="0.2">
      <c r="A6" s="661" t="s">
        <v>13</v>
      </c>
      <c r="B6" s="634"/>
      <c r="C6" s="635"/>
      <c r="D6" s="773" t="s">
        <v>14</v>
      </c>
      <c r="E6" s="774"/>
      <c r="F6" s="774"/>
      <c r="G6" s="774"/>
      <c r="H6" s="774"/>
      <c r="I6" s="774"/>
      <c r="J6" s="774"/>
      <c r="K6" s="774"/>
      <c r="L6" s="774"/>
      <c r="M6" s="660"/>
      <c r="N6" s="59"/>
      <c r="P6" s="24" t="s">
        <v>15</v>
      </c>
      <c r="Q6" s="849" t="str">
        <f>IF(Q5=0," ",CHOOSE(WEEKDAY(Q5,2),"Понедельник","Вторник","Среда","Четверг","Пятница","Суббота","Воскресенье"))</f>
        <v>Воскресенье</v>
      </c>
      <c r="R6" s="546"/>
      <c r="T6" s="714" t="s">
        <v>16</v>
      </c>
      <c r="U6" s="706"/>
      <c r="V6" s="757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4"/>
      <c r="U7" s="706"/>
      <c r="V7" s="758"/>
      <c r="W7" s="759"/>
      <c r="AB7" s="51"/>
      <c r="AC7" s="51"/>
      <c r="AD7" s="51"/>
      <c r="AE7" s="51"/>
    </row>
    <row r="8" spans="1:32" s="535" customFormat="1" ht="25.5" customHeight="1" x14ac:dyDescent="0.2">
      <c r="A8" s="862" t="s">
        <v>18</v>
      </c>
      <c r="B8" s="562"/>
      <c r="C8" s="563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0">
        <v>0.375</v>
      </c>
      <c r="R8" s="599"/>
      <c r="T8" s="554"/>
      <c r="U8" s="706"/>
      <c r="V8" s="758"/>
      <c r="W8" s="759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0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3"/>
      <c r="P9" s="26" t="s">
        <v>21</v>
      </c>
      <c r="Q9" s="657"/>
      <c r="R9" s="658"/>
      <c r="T9" s="554"/>
      <c r="U9" s="706"/>
      <c r="V9" s="760"/>
      <c r="W9" s="76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0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1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5"/>
      <c r="R10" s="716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9"/>
      <c r="R11" s="660"/>
      <c r="U11" s="24" t="s">
        <v>27</v>
      </c>
      <c r="V11" s="795" t="s">
        <v>28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30</v>
      </c>
      <c r="Q12" s="670"/>
      <c r="R12" s="599"/>
      <c r="S12" s="23"/>
      <c r="U12" s="24"/>
      <c r="V12" s="572"/>
      <c r="W12" s="554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32</v>
      </c>
      <c r="Q13" s="795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9" t="s">
        <v>34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691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6" t="s">
        <v>38</v>
      </c>
      <c r="D17" s="581" t="s">
        <v>39</v>
      </c>
      <c r="E17" s="645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4"/>
      <c r="R17" s="644"/>
      <c r="S17" s="644"/>
      <c r="T17" s="645"/>
      <c r="U17" s="857" t="s">
        <v>51</v>
      </c>
      <c r="V17" s="635"/>
      <c r="W17" s="581" t="s">
        <v>52</v>
      </c>
      <c r="X17" s="581" t="s">
        <v>53</v>
      </c>
      <c r="Y17" s="860" t="s">
        <v>54</v>
      </c>
      <c r="Z17" s="769" t="s">
        <v>55</v>
      </c>
      <c r="AA17" s="749" t="s">
        <v>56</v>
      </c>
      <c r="AB17" s="749" t="s">
        <v>57</v>
      </c>
      <c r="AC17" s="749" t="s">
        <v>58</v>
      </c>
      <c r="AD17" s="749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6"/>
      <c r="E18" s="648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6"/>
      <c r="Q18" s="647"/>
      <c r="R18" s="647"/>
      <c r="S18" s="647"/>
      <c r="T18" s="648"/>
      <c r="U18" s="67" t="s">
        <v>61</v>
      </c>
      <c r="V18" s="67" t="s">
        <v>62</v>
      </c>
      <c r="W18" s="582"/>
      <c r="X18" s="582"/>
      <c r="Y18" s="861"/>
      <c r="Z18" s="770"/>
      <c r="AA18" s="750"/>
      <c r="AB18" s="750"/>
      <c r="AC18" s="750"/>
      <c r="AD18" s="825"/>
      <c r="AE18" s="826"/>
      <c r="AF18" s="827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customHeight="1" x14ac:dyDescent="0.25">
      <c r="A21" s="557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71</v>
      </c>
      <c r="Q23" s="562"/>
      <c r="R23" s="562"/>
      <c r="S23" s="562"/>
      <c r="T23" s="562"/>
      <c r="U23" s="562"/>
      <c r="V23" s="563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71</v>
      </c>
      <c r="Q24" s="562"/>
      <c r="R24" s="562"/>
      <c r="S24" s="562"/>
      <c r="T24" s="562"/>
      <c r="U24" s="562"/>
      <c r="V24" s="563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7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71</v>
      </c>
      <c r="Q31" s="562"/>
      <c r="R31" s="562"/>
      <c r="S31" s="562"/>
      <c r="T31" s="562"/>
      <c r="U31" s="562"/>
      <c r="V31" s="563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71</v>
      </c>
      <c r="Q32" s="562"/>
      <c r="R32" s="562"/>
      <c r="S32" s="562"/>
      <c r="T32" s="562"/>
      <c r="U32" s="562"/>
      <c r="V32" s="563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7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71</v>
      </c>
      <c r="Q35" s="562"/>
      <c r="R35" s="562"/>
      <c r="S35" s="562"/>
      <c r="T35" s="562"/>
      <c r="U35" s="562"/>
      <c r="V35" s="563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71</v>
      </c>
      <c r="Q36" s="562"/>
      <c r="R36" s="562"/>
      <c r="S36" s="562"/>
      <c r="T36" s="562"/>
      <c r="U36" s="562"/>
      <c r="V36" s="563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58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customHeight="1" x14ac:dyDescent="0.25">
      <c r="A39" s="557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150</v>
      </c>
      <c r="Y40" s="542">
        <f>IFERROR(IF(X40="",0,CEILING((X40/$H40),1)*$H40),"")</f>
        <v>151.20000000000002</v>
      </c>
      <c r="Z40" s="36">
        <f>IFERROR(IF(Y40=0,"",ROUNDUP(Y40/H40,0)*0.01898),"")</f>
        <v>0.26572000000000001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156.04166666666666</v>
      </c>
      <c r="BN40" s="64">
        <f>IFERROR(Y40*I40/H40,"0")</f>
        <v>157.29000000000002</v>
      </c>
      <c r="BO40" s="64">
        <f>IFERROR(1/J40*(X40/H40),"0")</f>
        <v>0.21701388888888887</v>
      </c>
      <c r="BP40" s="64">
        <f>IFERROR(1/J40*(Y40/H40),"0")</f>
        <v>0.21875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160</v>
      </c>
      <c r="Y41" s="542">
        <f>IFERROR(IF(X41="",0,CEILING((X41/$H41),1)*$H41),"")</f>
        <v>160</v>
      </c>
      <c r="Z41" s="36">
        <f>IFERROR(IF(Y41=0,"",ROUNDUP(Y41/H41,0)*0.00902),"")</f>
        <v>0.36080000000000001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168.4</v>
      </c>
      <c r="BN41" s="64">
        <f>IFERROR(Y41*I41/H41,"0")</f>
        <v>168.4</v>
      </c>
      <c r="BO41" s="64">
        <f>IFERROR(1/J41*(X41/H41),"0")</f>
        <v>0.30303030303030304</v>
      </c>
      <c r="BP41" s="64">
        <f>IFERROR(1/J41*(Y41/H41),"0")</f>
        <v>0.30303030303030304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71</v>
      </c>
      <c r="Q43" s="562"/>
      <c r="R43" s="562"/>
      <c r="S43" s="562"/>
      <c r="T43" s="562"/>
      <c r="U43" s="562"/>
      <c r="V43" s="563"/>
      <c r="W43" s="37" t="s">
        <v>72</v>
      </c>
      <c r="X43" s="543">
        <f>IFERROR(X40/H40,"0")+IFERROR(X41/H41,"0")+IFERROR(X42/H42,"0")</f>
        <v>53.888888888888886</v>
      </c>
      <c r="Y43" s="543">
        <f>IFERROR(Y40/H40,"0")+IFERROR(Y41/H41,"0")+IFERROR(Y42/H42,"0")</f>
        <v>54</v>
      </c>
      <c r="Z43" s="543">
        <f>IFERROR(IF(Z40="",0,Z40),"0")+IFERROR(IF(Z41="",0,Z41),"0")+IFERROR(IF(Z42="",0,Z42),"0")</f>
        <v>0.62651999999999997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71</v>
      </c>
      <c r="Q44" s="562"/>
      <c r="R44" s="562"/>
      <c r="S44" s="562"/>
      <c r="T44" s="562"/>
      <c r="U44" s="562"/>
      <c r="V44" s="563"/>
      <c r="W44" s="37" t="s">
        <v>69</v>
      </c>
      <c r="X44" s="543">
        <f>IFERROR(SUM(X40:X42),"0")</f>
        <v>310</v>
      </c>
      <c r="Y44" s="543">
        <f>IFERROR(SUM(Y40:Y42),"0")</f>
        <v>311.20000000000005</v>
      </c>
      <c r="Z44" s="37"/>
      <c r="AA44" s="544"/>
      <c r="AB44" s="544"/>
      <c r="AC44" s="544"/>
    </row>
    <row r="45" spans="1:68" ht="14.25" customHeight="1" x14ac:dyDescent="0.25">
      <c r="A45" s="557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71</v>
      </c>
      <c r="Q47" s="562"/>
      <c r="R47" s="562"/>
      <c r="S47" s="562"/>
      <c r="T47" s="562"/>
      <c r="U47" s="562"/>
      <c r="V47" s="563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71</v>
      </c>
      <c r="Q48" s="562"/>
      <c r="R48" s="562"/>
      <c r="S48" s="562"/>
      <c r="T48" s="562"/>
      <c r="U48" s="562"/>
      <c r="V48" s="563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customHeight="1" x14ac:dyDescent="0.25">
      <c r="A50" s="557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2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200</v>
      </c>
      <c r="Y52" s="542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 t="s">
        <v>106</v>
      </c>
      <c r="AK52" s="68">
        <v>10.8</v>
      </c>
      <c r="BB52" s="94" t="s">
        <v>1</v>
      </c>
      <c r="BM52" s="64">
        <f t="shared" si="1"/>
        <v>208.05555555555554</v>
      </c>
      <c r="BN52" s="64">
        <f t="shared" si="2"/>
        <v>213.46499999999997</v>
      </c>
      <c r="BO52" s="64">
        <f t="shared" si="3"/>
        <v>0.28935185185185186</v>
      </c>
      <c r="BP52" s="64">
        <f t="shared" si="4"/>
        <v>0.296875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225</v>
      </c>
      <c r="Y56" s="542">
        <f t="shared" si="0"/>
        <v>225</v>
      </c>
      <c r="Z56" s="36">
        <f>IFERROR(IF(Y56=0,"",ROUNDUP(Y56/H56,0)*0.00902),"")</f>
        <v>0.45100000000000001</v>
      </c>
      <c r="AA56" s="56"/>
      <c r="AB56" s="57"/>
      <c r="AC56" s="101" t="s">
        <v>134</v>
      </c>
      <c r="AG56" s="64"/>
      <c r="AJ56" s="68" t="s">
        <v>106</v>
      </c>
      <c r="AK56" s="68">
        <v>4.5</v>
      </c>
      <c r="BB56" s="102" t="s">
        <v>1</v>
      </c>
      <c r="BM56" s="64">
        <f t="shared" si="1"/>
        <v>235.5</v>
      </c>
      <c r="BN56" s="64">
        <f t="shared" si="2"/>
        <v>235.5</v>
      </c>
      <c r="BO56" s="64">
        <f t="shared" si="3"/>
        <v>0.37878787878787878</v>
      </c>
      <c r="BP56" s="64">
        <f t="shared" si="4"/>
        <v>0.37878787878787878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71</v>
      </c>
      <c r="Q57" s="562"/>
      <c r="R57" s="562"/>
      <c r="S57" s="562"/>
      <c r="T57" s="562"/>
      <c r="U57" s="562"/>
      <c r="V57" s="563"/>
      <c r="W57" s="37" t="s">
        <v>72</v>
      </c>
      <c r="X57" s="543">
        <f>IFERROR(X51/H51,"0")+IFERROR(X52/H52,"0")+IFERROR(X53/H53,"0")+IFERROR(X54/H54,"0")+IFERROR(X55/H55,"0")+IFERROR(X56/H56,"0")</f>
        <v>68.518518518518519</v>
      </c>
      <c r="Y57" s="543">
        <f>IFERROR(Y51/H51,"0")+IFERROR(Y52/H52,"0")+IFERROR(Y53/H53,"0")+IFERROR(Y54/H54,"0")+IFERROR(Y55/H55,"0")+IFERROR(Y56/H56,"0")</f>
        <v>69</v>
      </c>
      <c r="Z57" s="543">
        <f>IFERROR(IF(Z51="",0,Z51),"0")+IFERROR(IF(Z52="",0,Z52),"0")+IFERROR(IF(Z53="",0,Z53),"0")+IFERROR(IF(Z54="",0,Z54),"0")+IFERROR(IF(Z55="",0,Z55),"0")+IFERROR(IF(Z56="",0,Z56),"0")</f>
        <v>0.81162000000000001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71</v>
      </c>
      <c r="Q58" s="562"/>
      <c r="R58" s="562"/>
      <c r="S58" s="562"/>
      <c r="T58" s="562"/>
      <c r="U58" s="562"/>
      <c r="V58" s="563"/>
      <c r="W58" s="37" t="s">
        <v>69</v>
      </c>
      <c r="X58" s="543">
        <f>IFERROR(SUM(X51:X56),"0")</f>
        <v>425</v>
      </c>
      <c r="Y58" s="543">
        <f>IFERROR(SUM(Y51:Y56),"0")</f>
        <v>430.20000000000005</v>
      </c>
      <c r="Z58" s="37"/>
      <c r="AA58" s="544"/>
      <c r="AB58" s="544"/>
      <c r="AC58" s="544"/>
    </row>
    <row r="59" spans="1:68" ht="14.25" customHeight="1" x14ac:dyDescent="0.25">
      <c r="A59" s="557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170</v>
      </c>
      <c r="Y60" s="542">
        <f>IFERROR(IF(X60="",0,CEILING((X60/$H60),1)*$H60),"")</f>
        <v>172.8</v>
      </c>
      <c r="Z60" s="36">
        <f>IFERROR(IF(Y60=0,"",ROUNDUP(Y60/H60,0)*0.01898),"")</f>
        <v>0.30368000000000001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176.8472222222222</v>
      </c>
      <c r="BN60" s="64">
        <f>IFERROR(Y60*I60/H60,"0")</f>
        <v>179.76</v>
      </c>
      <c r="BO60" s="64">
        <f>IFERROR(1/J60*(X60/H60),"0")</f>
        <v>0.24594907407407407</v>
      </c>
      <c r="BP60" s="64">
        <f>IFERROR(1/J60*(Y60/H60),"0")</f>
        <v>0.25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202.5</v>
      </c>
      <c r="Y62" s="542">
        <f>IFERROR(IF(X62="",0,CEILING((X62/$H62),1)*$H62),"")</f>
        <v>202.5</v>
      </c>
      <c r="Z62" s="36">
        <f>IFERROR(IF(Y62=0,"",ROUNDUP(Y62/H62,0)*0.00651),"")</f>
        <v>0.48825000000000002</v>
      </c>
      <c r="AA62" s="56"/>
      <c r="AB62" s="57"/>
      <c r="AC62" s="107" t="s">
        <v>138</v>
      </c>
      <c r="AG62" s="64"/>
      <c r="AJ62" s="68" t="s">
        <v>106</v>
      </c>
      <c r="AK62" s="68">
        <v>2.7</v>
      </c>
      <c r="BB62" s="108" t="s">
        <v>1</v>
      </c>
      <c r="BM62" s="64">
        <f>IFERROR(X62*I62/H62,"0")</f>
        <v>215.99999999999997</v>
      </c>
      <c r="BN62" s="64">
        <f>IFERROR(Y62*I62/H62,"0")</f>
        <v>215.99999999999997</v>
      </c>
      <c r="BO62" s="64">
        <f>IFERROR(1/J62*(X62/H62),"0")</f>
        <v>0.41208791208791212</v>
      </c>
      <c r="BP62" s="64">
        <f>IFERROR(1/J62*(Y62/H62),"0")</f>
        <v>0.41208791208791212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71</v>
      </c>
      <c r="Q63" s="562"/>
      <c r="R63" s="562"/>
      <c r="S63" s="562"/>
      <c r="T63" s="562"/>
      <c r="U63" s="562"/>
      <c r="V63" s="563"/>
      <c r="W63" s="37" t="s">
        <v>72</v>
      </c>
      <c r="X63" s="543">
        <f>IFERROR(X60/H60,"0")+IFERROR(X61/H61,"0")+IFERROR(X62/H62,"0")</f>
        <v>90.740740740740733</v>
      </c>
      <c r="Y63" s="543">
        <f>IFERROR(Y60/H60,"0")+IFERROR(Y61/H61,"0")+IFERROR(Y62/H62,"0")</f>
        <v>91</v>
      </c>
      <c r="Z63" s="543">
        <f>IFERROR(IF(Z60="",0,Z60),"0")+IFERROR(IF(Z61="",0,Z61),"0")+IFERROR(IF(Z62="",0,Z62),"0")</f>
        <v>0.79193000000000002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71</v>
      </c>
      <c r="Q64" s="562"/>
      <c r="R64" s="562"/>
      <c r="S64" s="562"/>
      <c r="T64" s="562"/>
      <c r="U64" s="562"/>
      <c r="V64" s="563"/>
      <c r="W64" s="37" t="s">
        <v>69</v>
      </c>
      <c r="X64" s="543">
        <f>IFERROR(SUM(X60:X62),"0")</f>
        <v>372.5</v>
      </c>
      <c r="Y64" s="543">
        <f>IFERROR(SUM(Y60:Y62),"0")</f>
        <v>375.3</v>
      </c>
      <c r="Z64" s="37"/>
      <c r="AA64" s="544"/>
      <c r="AB64" s="544"/>
      <c r="AC64" s="544"/>
    </row>
    <row r="65" spans="1:68" ht="14.25" customHeight="1" x14ac:dyDescent="0.25">
      <c r="A65" s="557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71</v>
      </c>
      <c r="Q69" s="562"/>
      <c r="R69" s="562"/>
      <c r="S69" s="562"/>
      <c r="T69" s="562"/>
      <c r="U69" s="562"/>
      <c r="V69" s="563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71</v>
      </c>
      <c r="Q70" s="562"/>
      <c r="R70" s="562"/>
      <c r="S70" s="562"/>
      <c r="T70" s="562"/>
      <c r="U70" s="562"/>
      <c r="V70" s="563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7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16.5" customHeight="1" x14ac:dyDescent="0.25">
      <c r="A72" s="54" t="s">
        <v>152</v>
      </c>
      <c r="B72" s="54" t="s">
        <v>153</v>
      </c>
      <c r="C72" s="31">
        <v>4301051838</v>
      </c>
      <c r="D72" s="545">
        <v>4680115881891</v>
      </c>
      <c r="E72" s="546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40</v>
      </c>
      <c r="P72" s="840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5">
        <v>4680115885769</v>
      </c>
      <c r="E73" s="546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102</v>
      </c>
      <c r="L73" s="32"/>
      <c r="M73" s="33" t="s">
        <v>77</v>
      </c>
      <c r="N73" s="33"/>
      <c r="O73" s="32">
        <v>45</v>
      </c>
      <c r="P73" s="5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5">
        <v>4680115884311</v>
      </c>
      <c r="E74" s="546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70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4301051844</v>
      </c>
      <c r="D75" s="545">
        <v>4680115885929</v>
      </c>
      <c r="E75" s="546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162</v>
      </c>
      <c r="B76" s="54" t="s">
        <v>163</v>
      </c>
      <c r="C76" s="31">
        <v>4301051929</v>
      </c>
      <c r="D76" s="545">
        <v>4680115884403</v>
      </c>
      <c r="E76" s="546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48"/>
      <c r="R76" s="548"/>
      <c r="S76" s="548"/>
      <c r="T76" s="549"/>
      <c r="U76" s="34"/>
      <c r="V76" s="34"/>
      <c r="W76" s="35" t="s">
        <v>69</v>
      </c>
      <c r="X76" s="541">
        <v>0</v>
      </c>
      <c r="Y76" s="5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164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71</v>
      </c>
      <c r="Q77" s="562"/>
      <c r="R77" s="562"/>
      <c r="S77" s="562"/>
      <c r="T77" s="562"/>
      <c r="U77" s="562"/>
      <c r="V77" s="563"/>
      <c r="W77" s="37" t="s">
        <v>72</v>
      </c>
      <c r="X77" s="543">
        <f>IFERROR(X72/H72,"0")+IFERROR(X73/H73,"0")+IFERROR(X74/H74,"0")+IFERROR(X75/H75,"0")+IFERROR(X76/H76,"0")</f>
        <v>0</v>
      </c>
      <c r="Y77" s="543">
        <f>IFERROR(Y72/H72,"0")+IFERROR(Y73/H73,"0")+IFERROR(Y74/H74,"0")+IFERROR(Y75/H75,"0")+IFERROR(Y76/H76,"0")</f>
        <v>0</v>
      </c>
      <c r="Z77" s="543">
        <f>IFERROR(IF(Z72="",0,Z72),"0")+IFERROR(IF(Z73="",0,Z73),"0")+IFERROR(IF(Z74="",0,Z74),"0")+IFERROR(IF(Z75="",0,Z75),"0")+IFERROR(IF(Z76="",0,Z76),"0")</f>
        <v>0</v>
      </c>
      <c r="AA77" s="544"/>
      <c r="AB77" s="544"/>
      <c r="AC77" s="544"/>
    </row>
    <row r="78" spans="1:68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1" t="s">
        <v>71</v>
      </c>
      <c r="Q78" s="562"/>
      <c r="R78" s="562"/>
      <c r="S78" s="562"/>
      <c r="T78" s="562"/>
      <c r="U78" s="562"/>
      <c r="V78" s="563"/>
      <c r="W78" s="37" t="s">
        <v>69</v>
      </c>
      <c r="X78" s="543">
        <f>IFERROR(SUM(X72:X76),"0")</f>
        <v>0</v>
      </c>
      <c r="Y78" s="543">
        <f>IFERROR(SUM(Y72:Y76),"0")</f>
        <v>0</v>
      </c>
      <c r="Z78" s="37"/>
      <c r="AA78" s="544"/>
      <c r="AB78" s="544"/>
      <c r="AC78" s="544"/>
    </row>
    <row r="79" spans="1:68" ht="14.25" customHeight="1" x14ac:dyDescent="0.25">
      <c r="A79" s="557" t="s">
        <v>165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7"/>
      <c r="AB79" s="537"/>
      <c r="AC79" s="537"/>
    </row>
    <row r="80" spans="1:68" ht="27" customHeight="1" x14ac:dyDescent="0.25">
      <c r="A80" s="54" t="s">
        <v>166</v>
      </c>
      <c r="B80" s="54" t="s">
        <v>167</v>
      </c>
      <c r="C80" s="31">
        <v>4301060455</v>
      </c>
      <c r="D80" s="545">
        <v>4680115881532</v>
      </c>
      <c r="E80" s="546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102</v>
      </c>
      <c r="L80" s="32" t="s">
        <v>103</v>
      </c>
      <c r="M80" s="33" t="s">
        <v>84</v>
      </c>
      <c r="N80" s="33"/>
      <c r="O80" s="32">
        <v>30</v>
      </c>
      <c r="P80" s="7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20</v>
      </c>
      <c r="Y80" s="542">
        <f>IFERROR(IF(X80="",0,CEILING((X80/$H80),1)*$H80),"")</f>
        <v>23.4</v>
      </c>
      <c r="Z80" s="36">
        <f>IFERROR(IF(Y80=0,"",ROUNDUP(Y80/H80,0)*0.01898),"")</f>
        <v>5.6940000000000004E-2</v>
      </c>
      <c r="AA80" s="56"/>
      <c r="AB80" s="57"/>
      <c r="AC80" s="125" t="s">
        <v>168</v>
      </c>
      <c r="AG80" s="64"/>
      <c r="AJ80" s="68" t="s">
        <v>106</v>
      </c>
      <c r="AK80" s="68">
        <v>62.4</v>
      </c>
      <c r="BB80" s="126" t="s">
        <v>1</v>
      </c>
      <c r="BM80" s="64">
        <f>IFERROR(X80*I80/H80,"0")</f>
        <v>21.115384615384613</v>
      </c>
      <c r="BN80" s="64">
        <f>IFERROR(Y80*I80/H80,"0")</f>
        <v>24.704999999999998</v>
      </c>
      <c r="BO80" s="64">
        <f>IFERROR(1/J80*(X80/H80),"0")</f>
        <v>4.0064102564102567E-2</v>
      </c>
      <c r="BP80" s="64">
        <f>IFERROR(1/J80*(Y80/H80),"0")</f>
        <v>4.6875E-2</v>
      </c>
    </row>
    <row r="81" spans="1:68" ht="27" customHeight="1" x14ac:dyDescent="0.25">
      <c r="A81" s="54" t="s">
        <v>169</v>
      </c>
      <c r="B81" s="54" t="s">
        <v>170</v>
      </c>
      <c r="C81" s="31">
        <v>4301060351</v>
      </c>
      <c r="D81" s="545">
        <v>4680115881464</v>
      </c>
      <c r="E81" s="546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109</v>
      </c>
      <c r="L81" s="32"/>
      <c r="M81" s="33" t="s">
        <v>77</v>
      </c>
      <c r="N81" s="33"/>
      <c r="O81" s="32">
        <v>30</v>
      </c>
      <c r="P81" s="5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48"/>
      <c r="R81" s="548"/>
      <c r="S81" s="548"/>
      <c r="T81" s="549"/>
      <c r="U81" s="34"/>
      <c r="V81" s="34"/>
      <c r="W81" s="35" t="s">
        <v>69</v>
      </c>
      <c r="X81" s="541">
        <v>0</v>
      </c>
      <c r="Y81" s="5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171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71</v>
      </c>
      <c r="Q82" s="562"/>
      <c r="R82" s="562"/>
      <c r="S82" s="562"/>
      <c r="T82" s="562"/>
      <c r="U82" s="562"/>
      <c r="V82" s="563"/>
      <c r="W82" s="37" t="s">
        <v>72</v>
      </c>
      <c r="X82" s="543">
        <f>IFERROR(X80/H80,"0")+IFERROR(X81/H81,"0")</f>
        <v>2.5641025641025643</v>
      </c>
      <c r="Y82" s="543">
        <f>IFERROR(Y80/H80,"0")+IFERROR(Y81/H81,"0")</f>
        <v>3</v>
      </c>
      <c r="Z82" s="543">
        <f>IFERROR(IF(Z80="",0,Z80),"0")+IFERROR(IF(Z81="",0,Z81),"0")</f>
        <v>5.6940000000000004E-2</v>
      </c>
      <c r="AA82" s="544"/>
      <c r="AB82" s="544"/>
      <c r="AC82" s="544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1" t="s">
        <v>71</v>
      </c>
      <c r="Q83" s="562"/>
      <c r="R83" s="562"/>
      <c r="S83" s="562"/>
      <c r="T83" s="562"/>
      <c r="U83" s="562"/>
      <c r="V83" s="563"/>
      <c r="W83" s="37" t="s">
        <v>69</v>
      </c>
      <c r="X83" s="543">
        <f>IFERROR(SUM(X80:X81),"0")</f>
        <v>20</v>
      </c>
      <c r="Y83" s="543">
        <f>IFERROR(SUM(Y80:Y81),"0")</f>
        <v>23.4</v>
      </c>
      <c r="Z83" s="37"/>
      <c r="AA83" s="544"/>
      <c r="AB83" s="544"/>
      <c r="AC83" s="544"/>
    </row>
    <row r="84" spans="1:68" ht="16.5" customHeight="1" x14ac:dyDescent="0.25">
      <c r="A84" s="558" t="s">
        <v>172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6"/>
      <c r="AB84" s="536"/>
      <c r="AC84" s="536"/>
    </row>
    <row r="85" spans="1:68" ht="14.25" customHeight="1" x14ac:dyDescent="0.25">
      <c r="A85" s="557" t="s">
        <v>99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7"/>
      <c r="AB85" s="537"/>
      <c r="AC85" s="537"/>
    </row>
    <row r="86" spans="1:68" ht="27" customHeight="1" x14ac:dyDescent="0.25">
      <c r="A86" s="54" t="s">
        <v>173</v>
      </c>
      <c r="B86" s="54" t="s">
        <v>174</v>
      </c>
      <c r="C86" s="31">
        <v>4301011468</v>
      </c>
      <c r="D86" s="545">
        <v>4680115881327</v>
      </c>
      <c r="E86" s="546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102</v>
      </c>
      <c r="L86" s="32" t="s">
        <v>103</v>
      </c>
      <c r="M86" s="33" t="s">
        <v>84</v>
      </c>
      <c r="N86" s="33"/>
      <c r="O86" s="32">
        <v>50</v>
      </c>
      <c r="P86" s="5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200</v>
      </c>
      <c r="Y86" s="542">
        <f>IFERROR(IF(X86="",0,CEILING((X86/$H86),1)*$H86),"")</f>
        <v>205.20000000000002</v>
      </c>
      <c r="Z86" s="36">
        <f>IFERROR(IF(Y86=0,"",ROUNDUP(Y86/H86,0)*0.01898),"")</f>
        <v>0.36062</v>
      </c>
      <c r="AA86" s="56"/>
      <c r="AB86" s="57"/>
      <c r="AC86" s="129" t="s">
        <v>175</v>
      </c>
      <c r="AG86" s="64"/>
      <c r="AJ86" s="68" t="s">
        <v>106</v>
      </c>
      <c r="AK86" s="68">
        <v>86.4</v>
      </c>
      <c r="BB86" s="130" t="s">
        <v>1</v>
      </c>
      <c r="BM86" s="64">
        <f>IFERROR(X86*I86/H86,"0")</f>
        <v>208.05555555555554</v>
      </c>
      <c r="BN86" s="64">
        <f>IFERROR(Y86*I86/H86,"0")</f>
        <v>213.46499999999997</v>
      </c>
      <c r="BO86" s="64">
        <f>IFERROR(1/J86*(X86/H86),"0")</f>
        <v>0.28935185185185186</v>
      </c>
      <c r="BP86" s="64">
        <f>IFERROR(1/J86*(Y86/H86),"0")</f>
        <v>0.296875</v>
      </c>
    </row>
    <row r="87" spans="1:68" ht="27" customHeight="1" x14ac:dyDescent="0.25">
      <c r="A87" s="54" t="s">
        <v>176</v>
      </c>
      <c r="B87" s="54" t="s">
        <v>177</v>
      </c>
      <c r="C87" s="31">
        <v>4301011476</v>
      </c>
      <c r="D87" s="545">
        <v>4680115881518</v>
      </c>
      <c r="E87" s="546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109</v>
      </c>
      <c r="L87" s="32"/>
      <c r="M87" s="33" t="s">
        <v>77</v>
      </c>
      <c r="N87" s="33"/>
      <c r="O87" s="32">
        <v>50</v>
      </c>
      <c r="P87" s="7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175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45">
        <v>4680115881303</v>
      </c>
      <c r="E88" s="546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109</v>
      </c>
      <c r="L88" s="32"/>
      <c r="M88" s="33" t="s">
        <v>84</v>
      </c>
      <c r="N88" s="33"/>
      <c r="O88" s="32">
        <v>50</v>
      </c>
      <c r="P88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48"/>
      <c r="R88" s="548"/>
      <c r="S88" s="548"/>
      <c r="T88" s="549"/>
      <c r="U88" s="34"/>
      <c r="V88" s="34"/>
      <c r="W88" s="35" t="s">
        <v>69</v>
      </c>
      <c r="X88" s="541">
        <v>405</v>
      </c>
      <c r="Y88" s="542">
        <f>IFERROR(IF(X88="",0,CEILING((X88/$H88),1)*$H88),"")</f>
        <v>405</v>
      </c>
      <c r="Z88" s="36">
        <f>IFERROR(IF(Y88=0,"",ROUNDUP(Y88/H88,0)*0.00902),"")</f>
        <v>0.81180000000000008</v>
      </c>
      <c r="AA88" s="56"/>
      <c r="AB88" s="57"/>
      <c r="AC88" s="133" t="s">
        <v>175</v>
      </c>
      <c r="AG88" s="64"/>
      <c r="AJ88" s="68" t="s">
        <v>106</v>
      </c>
      <c r="AK88" s="68">
        <v>4.5</v>
      </c>
      <c r="BB88" s="134" t="s">
        <v>1</v>
      </c>
      <c r="BM88" s="64">
        <f>IFERROR(X88*I88/H88,"0")</f>
        <v>423.9</v>
      </c>
      <c r="BN88" s="64">
        <f>IFERROR(Y88*I88/H88,"0")</f>
        <v>423.9</v>
      </c>
      <c r="BO88" s="64">
        <f>IFERROR(1/J88*(X88/H88),"0")</f>
        <v>0.68181818181818188</v>
      </c>
      <c r="BP88" s="64">
        <f>IFERROR(1/J88*(Y88/H88),"0")</f>
        <v>0.68181818181818188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71</v>
      </c>
      <c r="Q89" s="562"/>
      <c r="R89" s="562"/>
      <c r="S89" s="562"/>
      <c r="T89" s="562"/>
      <c r="U89" s="562"/>
      <c r="V89" s="563"/>
      <c r="W89" s="37" t="s">
        <v>72</v>
      </c>
      <c r="X89" s="543">
        <f>IFERROR(X86/H86,"0")+IFERROR(X87/H87,"0")+IFERROR(X88/H88,"0")</f>
        <v>108.51851851851852</v>
      </c>
      <c r="Y89" s="543">
        <f>IFERROR(Y86/H86,"0")+IFERROR(Y87/H87,"0")+IFERROR(Y88/H88,"0")</f>
        <v>109</v>
      </c>
      <c r="Z89" s="543">
        <f>IFERROR(IF(Z86="",0,Z86),"0")+IFERROR(IF(Z87="",0,Z87),"0")+IFERROR(IF(Z88="",0,Z88),"0")</f>
        <v>1.17242</v>
      </c>
      <c r="AA89" s="544"/>
      <c r="AB89" s="544"/>
      <c r="AC89" s="544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1" t="s">
        <v>71</v>
      </c>
      <c r="Q90" s="562"/>
      <c r="R90" s="562"/>
      <c r="S90" s="562"/>
      <c r="T90" s="562"/>
      <c r="U90" s="562"/>
      <c r="V90" s="563"/>
      <c r="W90" s="37" t="s">
        <v>69</v>
      </c>
      <c r="X90" s="543">
        <f>IFERROR(SUM(X86:X88),"0")</f>
        <v>605</v>
      </c>
      <c r="Y90" s="543">
        <f>IFERROR(SUM(Y86:Y88),"0")</f>
        <v>610.20000000000005</v>
      </c>
      <c r="Z90" s="37"/>
      <c r="AA90" s="544"/>
      <c r="AB90" s="544"/>
      <c r="AC90" s="544"/>
    </row>
    <row r="91" spans="1:68" ht="14.25" customHeight="1" x14ac:dyDescent="0.25">
      <c r="A91" s="557" t="s">
        <v>73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7"/>
      <c r="AB91" s="537"/>
      <c r="AC91" s="537"/>
    </row>
    <row r="92" spans="1:68" ht="16.5" customHeight="1" x14ac:dyDescent="0.25">
      <c r="A92" s="54" t="s">
        <v>180</v>
      </c>
      <c r="B92" s="54" t="s">
        <v>181</v>
      </c>
      <c r="C92" s="31">
        <v>4301051712</v>
      </c>
      <c r="D92" s="545">
        <v>4607091386967</v>
      </c>
      <c r="E92" s="546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102</v>
      </c>
      <c r="L92" s="32" t="s">
        <v>103</v>
      </c>
      <c r="M92" s="33" t="s">
        <v>84</v>
      </c>
      <c r="N92" s="33"/>
      <c r="O92" s="32">
        <v>45</v>
      </c>
      <c r="P92" s="6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350</v>
      </c>
      <c r="Y92" s="542">
        <f>IFERROR(IF(X92="",0,CEILING((X92/$H92),1)*$H92),"")</f>
        <v>356.4</v>
      </c>
      <c r="Z92" s="36">
        <f>IFERROR(IF(Y92=0,"",ROUNDUP(Y92/H92,0)*0.01898),"")</f>
        <v>0.83511999999999997</v>
      </c>
      <c r="AA92" s="56"/>
      <c r="AB92" s="57"/>
      <c r="AC92" s="135" t="s">
        <v>182</v>
      </c>
      <c r="AG92" s="64"/>
      <c r="AJ92" s="68" t="s">
        <v>106</v>
      </c>
      <c r="AK92" s="68">
        <v>64.8</v>
      </c>
      <c r="BB92" s="136" t="s">
        <v>1</v>
      </c>
      <c r="BM92" s="64">
        <f>IFERROR(X92*I92/H92,"0")</f>
        <v>372.42592592592598</v>
      </c>
      <c r="BN92" s="64">
        <f>IFERROR(Y92*I92/H92,"0")</f>
        <v>379.23599999999993</v>
      </c>
      <c r="BO92" s="64">
        <f>IFERROR(1/J92*(X92/H92),"0")</f>
        <v>0.67515432098765438</v>
      </c>
      <c r="BP92" s="64">
        <f>IFERROR(1/J92*(Y92/H92),"0")</f>
        <v>0.6875</v>
      </c>
    </row>
    <row r="93" spans="1:68" ht="27" customHeight="1" x14ac:dyDescent="0.25">
      <c r="A93" s="54" t="s">
        <v>183</v>
      </c>
      <c r="B93" s="54" t="s">
        <v>184</v>
      </c>
      <c r="C93" s="31">
        <v>4301051788</v>
      </c>
      <c r="D93" s="545">
        <v>4680115884953</v>
      </c>
      <c r="E93" s="546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8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45">
        <v>4607091385731</v>
      </c>
      <c r="E94" s="546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48"/>
      <c r="R94" s="548"/>
      <c r="S94" s="548"/>
      <c r="T94" s="549"/>
      <c r="U94" s="34"/>
      <c r="V94" s="34"/>
      <c r="W94" s="35" t="s">
        <v>69</v>
      </c>
      <c r="X94" s="541">
        <v>405</v>
      </c>
      <c r="Y94" s="542">
        <f>IFERROR(IF(X94="",0,CEILING((X94/$H94),1)*$H94),"")</f>
        <v>405</v>
      </c>
      <c r="Z94" s="36">
        <f>IFERROR(IF(Y94=0,"",ROUNDUP(Y94/H94,0)*0.00651),"")</f>
        <v>0.97650000000000003</v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442.79999999999995</v>
      </c>
      <c r="BN94" s="64">
        <f>IFERROR(Y94*I94/H94,"0")</f>
        <v>442.79999999999995</v>
      </c>
      <c r="BO94" s="64">
        <f>IFERROR(1/J94*(X94/H94),"0")</f>
        <v>0.82417582417582425</v>
      </c>
      <c r="BP94" s="64">
        <f>IFERROR(1/J94*(Y94/H94),"0")</f>
        <v>0.82417582417582425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45">
        <v>4680115880894</v>
      </c>
      <c r="E95" s="546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76</v>
      </c>
      <c r="L95" s="32"/>
      <c r="M95" s="33" t="s">
        <v>77</v>
      </c>
      <c r="N95" s="33"/>
      <c r="O95" s="32">
        <v>45</v>
      </c>
      <c r="P95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48"/>
      <c r="R95" s="548"/>
      <c r="S95" s="548"/>
      <c r="T95" s="549"/>
      <c r="U95" s="34"/>
      <c r="V95" s="34"/>
      <c r="W95" s="35" t="s">
        <v>69</v>
      </c>
      <c r="X95" s="541">
        <v>0</v>
      </c>
      <c r="Y95" s="5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71</v>
      </c>
      <c r="Q96" s="562"/>
      <c r="R96" s="562"/>
      <c r="S96" s="562"/>
      <c r="T96" s="562"/>
      <c r="U96" s="562"/>
      <c r="V96" s="563"/>
      <c r="W96" s="37" t="s">
        <v>72</v>
      </c>
      <c r="X96" s="543">
        <f>IFERROR(X92/H92,"0")+IFERROR(X93/H93,"0")+IFERROR(X94/H94,"0")+IFERROR(X95/H95,"0")</f>
        <v>193.20987654320987</v>
      </c>
      <c r="Y96" s="543">
        <f>IFERROR(Y92/H92,"0")+IFERROR(Y93/H93,"0")+IFERROR(Y94/H94,"0")+IFERROR(Y95/H95,"0")</f>
        <v>194</v>
      </c>
      <c r="Z96" s="543">
        <f>IFERROR(IF(Z92="",0,Z92),"0")+IFERROR(IF(Z93="",0,Z93),"0")+IFERROR(IF(Z94="",0,Z94),"0")+IFERROR(IF(Z95="",0,Z95),"0")</f>
        <v>1.81162</v>
      </c>
      <c r="AA96" s="544"/>
      <c r="AB96" s="544"/>
      <c r="AC96" s="544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1" t="s">
        <v>71</v>
      </c>
      <c r="Q97" s="562"/>
      <c r="R97" s="562"/>
      <c r="S97" s="562"/>
      <c r="T97" s="562"/>
      <c r="U97" s="562"/>
      <c r="V97" s="563"/>
      <c r="W97" s="37" t="s">
        <v>69</v>
      </c>
      <c r="X97" s="543">
        <f>IFERROR(SUM(X92:X95),"0")</f>
        <v>755</v>
      </c>
      <c r="Y97" s="543">
        <f>IFERROR(SUM(Y92:Y95),"0")</f>
        <v>761.4</v>
      </c>
      <c r="Z97" s="37"/>
      <c r="AA97" s="544"/>
      <c r="AB97" s="544"/>
      <c r="AC97" s="544"/>
    </row>
    <row r="98" spans="1:68" ht="16.5" customHeight="1" x14ac:dyDescent="0.25">
      <c r="A98" s="558" t="s">
        <v>191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6"/>
      <c r="AB98" s="536"/>
      <c r="AC98" s="536"/>
    </row>
    <row r="99" spans="1:68" ht="14.25" customHeight="1" x14ac:dyDescent="0.25">
      <c r="A99" s="557" t="s">
        <v>99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7"/>
      <c r="AB99" s="537"/>
      <c r="AC99" s="537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45">
        <v>4680115882133</v>
      </c>
      <c r="E100" s="546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102</v>
      </c>
      <c r="L100" s="32" t="s">
        <v>103</v>
      </c>
      <c r="M100" s="33" t="s">
        <v>104</v>
      </c>
      <c r="N100" s="33"/>
      <c r="O100" s="32">
        <v>50</v>
      </c>
      <c r="P100" s="6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194</v>
      </c>
      <c r="AG100" s="64"/>
      <c r="AJ100" s="68" t="s">
        <v>106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4301011417</v>
      </c>
      <c r="D101" s="545">
        <v>4680115880269</v>
      </c>
      <c r="E101" s="546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109</v>
      </c>
      <c r="L101" s="32"/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194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4301011415</v>
      </c>
      <c r="D102" s="545">
        <v>4680115880429</v>
      </c>
      <c r="E102" s="546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109</v>
      </c>
      <c r="L102" s="32" t="s">
        <v>199</v>
      </c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675</v>
      </c>
      <c r="Y102" s="542">
        <f>IFERROR(IF(X102="",0,CEILING((X102/$H102),1)*$H102),"")</f>
        <v>675</v>
      </c>
      <c r="Z102" s="36">
        <f>IFERROR(IF(Y102=0,"",ROUNDUP(Y102/H102,0)*0.00902),"")</f>
        <v>1.353</v>
      </c>
      <c r="AA102" s="56"/>
      <c r="AB102" s="57"/>
      <c r="AC102" s="147" t="s">
        <v>194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706.5</v>
      </c>
      <c r="BN102" s="64">
        <f>IFERROR(Y102*I102/H102,"0")</f>
        <v>706.5</v>
      </c>
      <c r="BO102" s="64">
        <f>IFERROR(1/J102*(X102/H102),"0")</f>
        <v>1.1363636363636365</v>
      </c>
      <c r="BP102" s="64">
        <f>IFERROR(1/J102*(Y102/H102),"0")</f>
        <v>1.1363636363636365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45">
        <v>4680115881457</v>
      </c>
      <c r="E103" s="546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109</v>
      </c>
      <c r="L103" s="32"/>
      <c r="M103" s="33" t="s">
        <v>77</v>
      </c>
      <c r="N103" s="33"/>
      <c r="O103" s="32">
        <v>50</v>
      </c>
      <c r="P103" s="6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48"/>
      <c r="R103" s="548"/>
      <c r="S103" s="548"/>
      <c r="T103" s="549"/>
      <c r="U103" s="34"/>
      <c r="V103" s="34"/>
      <c r="W103" s="35" t="s">
        <v>69</v>
      </c>
      <c r="X103" s="541">
        <v>0</v>
      </c>
      <c r="Y103" s="54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71</v>
      </c>
      <c r="Q104" s="562"/>
      <c r="R104" s="562"/>
      <c r="S104" s="562"/>
      <c r="T104" s="562"/>
      <c r="U104" s="562"/>
      <c r="V104" s="563"/>
      <c r="W104" s="37" t="s">
        <v>72</v>
      </c>
      <c r="X104" s="543">
        <f>IFERROR(X100/H100,"0")+IFERROR(X101/H101,"0")+IFERROR(X102/H102,"0")+IFERROR(X103/H103,"0")</f>
        <v>150</v>
      </c>
      <c r="Y104" s="543">
        <f>IFERROR(Y100/H100,"0")+IFERROR(Y101/H101,"0")+IFERROR(Y102/H102,"0")+IFERROR(Y103/H103,"0")</f>
        <v>150</v>
      </c>
      <c r="Z104" s="543">
        <f>IFERROR(IF(Z100="",0,Z100),"0")+IFERROR(IF(Z101="",0,Z101),"0")+IFERROR(IF(Z102="",0,Z102),"0")+IFERROR(IF(Z103="",0,Z103),"0")</f>
        <v>1.353</v>
      </c>
      <c r="AA104" s="544"/>
      <c r="AB104" s="544"/>
      <c r="AC104" s="544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1" t="s">
        <v>71</v>
      </c>
      <c r="Q105" s="562"/>
      <c r="R105" s="562"/>
      <c r="S105" s="562"/>
      <c r="T105" s="562"/>
      <c r="U105" s="562"/>
      <c r="V105" s="563"/>
      <c r="W105" s="37" t="s">
        <v>69</v>
      </c>
      <c r="X105" s="543">
        <f>IFERROR(SUM(X100:X103),"0")</f>
        <v>675</v>
      </c>
      <c r="Y105" s="543">
        <f>IFERROR(SUM(Y100:Y103),"0")</f>
        <v>675</v>
      </c>
      <c r="Z105" s="37"/>
      <c r="AA105" s="544"/>
      <c r="AB105" s="544"/>
      <c r="AC105" s="544"/>
    </row>
    <row r="106" spans="1:68" ht="14.25" customHeight="1" x14ac:dyDescent="0.25">
      <c r="A106" s="557" t="s">
        <v>135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7"/>
      <c r="AB106" s="537"/>
      <c r="AC106" s="537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45">
        <v>4680115881488</v>
      </c>
      <c r="E107" s="546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4301020346</v>
      </c>
      <c r="D108" s="545">
        <v>4680115882775</v>
      </c>
      <c r="E108" s="546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67</v>
      </c>
      <c r="L108" s="32"/>
      <c r="M108" s="33" t="s">
        <v>104</v>
      </c>
      <c r="N108" s="33"/>
      <c r="O108" s="32">
        <v>55</v>
      </c>
      <c r="P108" s="75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207</v>
      </c>
      <c r="B109" s="54" t="s">
        <v>208</v>
      </c>
      <c r="C109" s="31">
        <v>4301020344</v>
      </c>
      <c r="D109" s="545">
        <v>4680115880658</v>
      </c>
      <c r="E109" s="546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76</v>
      </c>
      <c r="L109" s="32"/>
      <c r="M109" s="33" t="s">
        <v>104</v>
      </c>
      <c r="N109" s="33"/>
      <c r="O109" s="32">
        <v>55</v>
      </c>
      <c r="P109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48"/>
      <c r="R109" s="548"/>
      <c r="S109" s="548"/>
      <c r="T109" s="549"/>
      <c r="U109" s="34"/>
      <c r="V109" s="34"/>
      <c r="W109" s="35" t="s">
        <v>69</v>
      </c>
      <c r="X109" s="541">
        <v>0</v>
      </c>
      <c r="Y109" s="542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71</v>
      </c>
      <c r="Q110" s="562"/>
      <c r="R110" s="562"/>
      <c r="S110" s="562"/>
      <c r="T110" s="562"/>
      <c r="U110" s="562"/>
      <c r="V110" s="563"/>
      <c r="W110" s="37" t="s">
        <v>72</v>
      </c>
      <c r="X110" s="543">
        <f>IFERROR(X107/H107,"0")+IFERROR(X108/H108,"0")+IFERROR(X109/H109,"0")</f>
        <v>0</v>
      </c>
      <c r="Y110" s="543">
        <f>IFERROR(Y107/H107,"0")+IFERROR(Y108/H108,"0")+IFERROR(Y109/H109,"0")</f>
        <v>0</v>
      </c>
      <c r="Z110" s="543">
        <f>IFERROR(IF(Z107="",0,Z107),"0")+IFERROR(IF(Z108="",0,Z108),"0")+IFERROR(IF(Z109="",0,Z109),"0")</f>
        <v>0</v>
      </c>
      <c r="AA110" s="544"/>
      <c r="AB110" s="544"/>
      <c r="AC110" s="544"/>
    </row>
    <row r="111" spans="1:68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1" t="s">
        <v>71</v>
      </c>
      <c r="Q111" s="562"/>
      <c r="R111" s="562"/>
      <c r="S111" s="562"/>
      <c r="T111" s="562"/>
      <c r="U111" s="562"/>
      <c r="V111" s="563"/>
      <c r="W111" s="37" t="s">
        <v>69</v>
      </c>
      <c r="X111" s="543">
        <f>IFERROR(SUM(X107:X109),"0")</f>
        <v>0</v>
      </c>
      <c r="Y111" s="543">
        <f>IFERROR(SUM(Y107:Y109),"0")</f>
        <v>0</v>
      </c>
      <c r="Z111" s="37"/>
      <c r="AA111" s="544"/>
      <c r="AB111" s="544"/>
      <c r="AC111" s="544"/>
    </row>
    <row r="112" spans="1:68" ht="14.25" customHeight="1" x14ac:dyDescent="0.25">
      <c r="A112" s="557" t="s">
        <v>73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7"/>
      <c r="AB112" s="537"/>
      <c r="AC112" s="537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5">
        <v>4607091385168</v>
      </c>
      <c r="E113" s="546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102</v>
      </c>
      <c r="L113" s="32" t="s">
        <v>103</v>
      </c>
      <c r="M113" s="33" t="s">
        <v>84</v>
      </c>
      <c r="N113" s="33"/>
      <c r="O113" s="32">
        <v>45</v>
      </c>
      <c r="P113" s="64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350</v>
      </c>
      <c r="Y113" s="542">
        <f>IFERROR(IF(X113="",0,CEILING((X113/$H113),1)*$H113),"")</f>
        <v>356.4</v>
      </c>
      <c r="Z113" s="36">
        <f>IFERROR(IF(Y113=0,"",ROUNDUP(Y113/H113,0)*0.01898),"")</f>
        <v>0.83511999999999997</v>
      </c>
      <c r="AA113" s="56"/>
      <c r="AB113" s="57"/>
      <c r="AC113" s="157" t="s">
        <v>211</v>
      </c>
      <c r="AG113" s="64"/>
      <c r="AJ113" s="68" t="s">
        <v>106</v>
      </c>
      <c r="AK113" s="68">
        <v>64.8</v>
      </c>
      <c r="BB113" s="158" t="s">
        <v>1</v>
      </c>
      <c r="BM113" s="64">
        <f>IFERROR(X113*I113/H113,"0")</f>
        <v>372.16666666666663</v>
      </c>
      <c r="BN113" s="64">
        <f>IFERROR(Y113*I113/H113,"0")</f>
        <v>378.97199999999998</v>
      </c>
      <c r="BO113" s="64">
        <f>IFERROR(1/J113*(X113/H113),"0")</f>
        <v>0.67515432098765438</v>
      </c>
      <c r="BP113" s="64">
        <f>IFERROR(1/J113*(Y113/H113),"0")</f>
        <v>0.6875</v>
      </c>
    </row>
    <row r="114" spans="1:68" ht="27" customHeight="1" x14ac:dyDescent="0.25">
      <c r="A114" s="54" t="s">
        <v>212</v>
      </c>
      <c r="B114" s="54" t="s">
        <v>213</v>
      </c>
      <c r="C114" s="31">
        <v>4301051730</v>
      </c>
      <c r="D114" s="545">
        <v>4607091383256</v>
      </c>
      <c r="E114" s="546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76</v>
      </c>
      <c r="L114" s="32"/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45">
        <v>4607091385748</v>
      </c>
      <c r="E115" s="546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76</v>
      </c>
      <c r="L115" s="32" t="s">
        <v>216</v>
      </c>
      <c r="M115" s="33" t="s">
        <v>84</v>
      </c>
      <c r="N115" s="33"/>
      <c r="O115" s="32">
        <v>45</v>
      </c>
      <c r="P115" s="7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315</v>
      </c>
      <c r="Y115" s="542">
        <f>IFERROR(IF(X115="",0,CEILING((X115/$H115),1)*$H115),"")</f>
        <v>315.90000000000003</v>
      </c>
      <c r="Z115" s="36">
        <f>IFERROR(IF(Y115=0,"",ROUNDUP(Y115/H115,0)*0.00651),"")</f>
        <v>0.76167000000000007</v>
      </c>
      <c r="AA115" s="56"/>
      <c r="AB115" s="57"/>
      <c r="AC115" s="161" t="s">
        <v>211</v>
      </c>
      <c r="AG115" s="64"/>
      <c r="AJ115" s="68" t="s">
        <v>106</v>
      </c>
      <c r="AK115" s="68">
        <v>37.799999999999997</v>
      </c>
      <c r="BB115" s="162" t="s">
        <v>1</v>
      </c>
      <c r="BM115" s="64">
        <f>IFERROR(X115*I115/H115,"0")</f>
        <v>344.4</v>
      </c>
      <c r="BN115" s="64">
        <f>IFERROR(Y115*I115/H115,"0")</f>
        <v>345.38400000000001</v>
      </c>
      <c r="BO115" s="64">
        <f>IFERROR(1/J115*(X115/H115),"0")</f>
        <v>0.64102564102564097</v>
      </c>
      <c r="BP115" s="64">
        <f>IFERROR(1/J115*(Y115/H115),"0")</f>
        <v>0.6428571428571429</v>
      </c>
    </row>
    <row r="116" spans="1:68" ht="16.5" customHeight="1" x14ac:dyDescent="0.25">
      <c r="A116" s="54" t="s">
        <v>217</v>
      </c>
      <c r="B116" s="54" t="s">
        <v>218</v>
      </c>
      <c r="C116" s="31">
        <v>4301051740</v>
      </c>
      <c r="D116" s="545">
        <v>4680115884533</v>
      </c>
      <c r="E116" s="546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76</v>
      </c>
      <c r="L116" s="32" t="s">
        <v>216</v>
      </c>
      <c r="M116" s="33" t="s">
        <v>77</v>
      </c>
      <c r="N116" s="33"/>
      <c r="O116" s="32">
        <v>45</v>
      </c>
      <c r="P116" s="6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48"/>
      <c r="R116" s="548"/>
      <c r="S116" s="548"/>
      <c r="T116" s="549"/>
      <c r="U116" s="34"/>
      <c r="V116" s="34"/>
      <c r="W116" s="35" t="s">
        <v>69</v>
      </c>
      <c r="X116" s="541">
        <v>36</v>
      </c>
      <c r="Y116" s="542">
        <f>IFERROR(IF(X116="",0,CEILING((X116/$H116),1)*$H116),"")</f>
        <v>36</v>
      </c>
      <c r="Z116" s="36">
        <f>IFERROR(IF(Y116=0,"",ROUNDUP(Y116/H116,0)*0.00651),"")</f>
        <v>0.13020000000000001</v>
      </c>
      <c r="AA116" s="56"/>
      <c r="AB116" s="57"/>
      <c r="AC116" s="163" t="s">
        <v>219</v>
      </c>
      <c r="AG116" s="64"/>
      <c r="AJ116" s="68" t="s">
        <v>106</v>
      </c>
      <c r="AK116" s="68">
        <v>25.2</v>
      </c>
      <c r="BB116" s="164" t="s">
        <v>1</v>
      </c>
      <c r="BM116" s="64">
        <f>IFERROR(X116*I116/H116,"0")</f>
        <v>39.6</v>
      </c>
      <c r="BN116" s="64">
        <f>IFERROR(Y116*I116/H116,"0")</f>
        <v>39.6</v>
      </c>
      <c r="BO116" s="64">
        <f>IFERROR(1/J116*(X116/H116),"0")</f>
        <v>0.1098901098901099</v>
      </c>
      <c r="BP116" s="64">
        <f>IFERROR(1/J116*(Y116/H116),"0")</f>
        <v>0.1098901098901099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71</v>
      </c>
      <c r="Q117" s="562"/>
      <c r="R117" s="562"/>
      <c r="S117" s="562"/>
      <c r="T117" s="562"/>
      <c r="U117" s="562"/>
      <c r="V117" s="563"/>
      <c r="W117" s="37" t="s">
        <v>72</v>
      </c>
      <c r="X117" s="543">
        <f>IFERROR(X113/H113,"0")+IFERROR(X114/H114,"0")+IFERROR(X115/H115,"0")+IFERROR(X116/H116,"0")</f>
        <v>179.87654320987653</v>
      </c>
      <c r="Y117" s="543">
        <f>IFERROR(Y113/H113,"0")+IFERROR(Y114/H114,"0")+IFERROR(Y115/H115,"0")+IFERROR(Y116/H116,"0")</f>
        <v>181</v>
      </c>
      <c r="Z117" s="543">
        <f>IFERROR(IF(Z113="",0,Z113),"0")+IFERROR(IF(Z114="",0,Z114),"0")+IFERROR(IF(Z115="",0,Z115),"0")+IFERROR(IF(Z116="",0,Z116),"0")</f>
        <v>1.72699</v>
      </c>
      <c r="AA117" s="544"/>
      <c r="AB117" s="544"/>
      <c r="AC117" s="544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1" t="s">
        <v>71</v>
      </c>
      <c r="Q118" s="562"/>
      <c r="R118" s="562"/>
      <c r="S118" s="562"/>
      <c r="T118" s="562"/>
      <c r="U118" s="562"/>
      <c r="V118" s="563"/>
      <c r="W118" s="37" t="s">
        <v>69</v>
      </c>
      <c r="X118" s="543">
        <f>IFERROR(SUM(X113:X116),"0")</f>
        <v>701</v>
      </c>
      <c r="Y118" s="543">
        <f>IFERROR(SUM(Y113:Y116),"0")</f>
        <v>708.3</v>
      </c>
      <c r="Z118" s="37"/>
      <c r="AA118" s="544"/>
      <c r="AB118" s="544"/>
      <c r="AC118" s="544"/>
    </row>
    <row r="119" spans="1:68" ht="14.25" customHeight="1" x14ac:dyDescent="0.25">
      <c r="A119" s="557" t="s">
        <v>165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7"/>
      <c r="AB119" s="537"/>
      <c r="AC119" s="537"/>
    </row>
    <row r="120" spans="1:68" ht="16.5" customHeight="1" x14ac:dyDescent="0.25">
      <c r="A120" s="54" t="s">
        <v>220</v>
      </c>
      <c r="B120" s="54" t="s">
        <v>221</v>
      </c>
      <c r="C120" s="31">
        <v>4301060317</v>
      </c>
      <c r="D120" s="545">
        <v>4680115880238</v>
      </c>
      <c r="E120" s="546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76</v>
      </c>
      <c r="L120" s="32" t="s">
        <v>216</v>
      </c>
      <c r="M120" s="33" t="s">
        <v>77</v>
      </c>
      <c r="N120" s="33"/>
      <c r="O120" s="32">
        <v>40</v>
      </c>
      <c r="P120" s="6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48"/>
      <c r="R120" s="548"/>
      <c r="S120" s="548"/>
      <c r="T120" s="549"/>
      <c r="U120" s="34"/>
      <c r="V120" s="34"/>
      <c r="W120" s="35" t="s">
        <v>69</v>
      </c>
      <c r="X120" s="541">
        <v>66</v>
      </c>
      <c r="Y120" s="542">
        <f>IFERROR(IF(X120="",0,CEILING((X120/$H120),1)*$H120),"")</f>
        <v>67.319999999999993</v>
      </c>
      <c r="Z120" s="36">
        <f>IFERROR(IF(Y120=0,"",ROUNDUP(Y120/H120,0)*0.00651),"")</f>
        <v>0.22134000000000001</v>
      </c>
      <c r="AA120" s="56"/>
      <c r="AB120" s="57"/>
      <c r="AC120" s="165" t="s">
        <v>222</v>
      </c>
      <c r="AG120" s="64"/>
      <c r="AJ120" s="68" t="s">
        <v>106</v>
      </c>
      <c r="AK120" s="68">
        <v>27.72</v>
      </c>
      <c r="BB120" s="166" t="s">
        <v>1</v>
      </c>
      <c r="BM120" s="64">
        <f>IFERROR(X120*I120/H120,"0")</f>
        <v>74.599999999999994</v>
      </c>
      <c r="BN120" s="64">
        <f>IFERROR(Y120*I120/H120,"0")</f>
        <v>76.091999999999985</v>
      </c>
      <c r="BO120" s="64">
        <f>IFERROR(1/J120*(X120/H120),"0")</f>
        <v>0.18315018315018317</v>
      </c>
      <c r="BP120" s="64">
        <f>IFERROR(1/J120*(Y120/H120),"0")</f>
        <v>0.18681318681318682</v>
      </c>
    </row>
    <row r="121" spans="1:68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71</v>
      </c>
      <c r="Q121" s="562"/>
      <c r="R121" s="562"/>
      <c r="S121" s="562"/>
      <c r="T121" s="562"/>
      <c r="U121" s="562"/>
      <c r="V121" s="563"/>
      <c r="W121" s="37" t="s">
        <v>72</v>
      </c>
      <c r="X121" s="543">
        <f>IFERROR(X120/H120,"0")</f>
        <v>33.333333333333336</v>
      </c>
      <c r="Y121" s="543">
        <f>IFERROR(Y120/H120,"0")</f>
        <v>34</v>
      </c>
      <c r="Z121" s="543">
        <f>IFERROR(IF(Z120="",0,Z120),"0")</f>
        <v>0.22134000000000001</v>
      </c>
      <c r="AA121" s="544"/>
      <c r="AB121" s="544"/>
      <c r="AC121" s="544"/>
    </row>
    <row r="122" spans="1:68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1" t="s">
        <v>71</v>
      </c>
      <c r="Q122" s="562"/>
      <c r="R122" s="562"/>
      <c r="S122" s="562"/>
      <c r="T122" s="562"/>
      <c r="U122" s="562"/>
      <c r="V122" s="563"/>
      <c r="W122" s="37" t="s">
        <v>69</v>
      </c>
      <c r="X122" s="543">
        <f>IFERROR(SUM(X120:X120),"0")</f>
        <v>66</v>
      </c>
      <c r="Y122" s="543">
        <f>IFERROR(SUM(Y120:Y120),"0")</f>
        <v>67.319999999999993</v>
      </c>
      <c r="Z122" s="37"/>
      <c r="AA122" s="544"/>
      <c r="AB122" s="544"/>
      <c r="AC122" s="544"/>
    </row>
    <row r="123" spans="1:68" ht="16.5" customHeight="1" x14ac:dyDescent="0.25">
      <c r="A123" s="558" t="s">
        <v>223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6"/>
      <c r="AB123" s="536"/>
      <c r="AC123" s="536"/>
    </row>
    <row r="124" spans="1:68" ht="14.25" customHeight="1" x14ac:dyDescent="0.25">
      <c r="A124" s="557" t="s">
        <v>99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7"/>
      <c r="AB124" s="537"/>
      <c r="AC124" s="537"/>
    </row>
    <row r="125" spans="1:68" ht="27" customHeight="1" x14ac:dyDescent="0.25">
      <c r="A125" s="54" t="s">
        <v>224</v>
      </c>
      <c r="B125" s="54" t="s">
        <v>225</v>
      </c>
      <c r="C125" s="31">
        <v>4301011562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216</v>
      </c>
      <c r="M125" s="33" t="s">
        <v>94</v>
      </c>
      <c r="N125" s="33"/>
      <c r="O125" s="32">
        <v>90</v>
      </c>
      <c r="P125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80</v>
      </c>
      <c r="Y125" s="542">
        <f>IFERROR(IF(X125="",0,CEILING((X125/$H125),1)*$H125),"")</f>
        <v>80</v>
      </c>
      <c r="Z125" s="36">
        <f>IFERROR(IF(Y125=0,"",ROUNDUP(Y125/H125,0)*0.00651),"")</f>
        <v>0.16275000000000001</v>
      </c>
      <c r="AA125" s="56"/>
      <c r="AB125" s="57"/>
      <c r="AC125" s="167" t="s">
        <v>226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84.499999999999986</v>
      </c>
      <c r="BN125" s="64">
        <f>IFERROR(Y125*I125/H125,"0")</f>
        <v>84.499999999999986</v>
      </c>
      <c r="BO125" s="64">
        <f>IFERROR(1/J125*(X125/H125),"0")</f>
        <v>0.13736263736263737</v>
      </c>
      <c r="BP125" s="64">
        <f>IFERROR(1/J125*(Y125/H125),"0")</f>
        <v>0.13736263736263737</v>
      </c>
    </row>
    <row r="126" spans="1:68" ht="27" customHeight="1" x14ac:dyDescent="0.25">
      <c r="A126" s="54" t="s">
        <v>224</v>
      </c>
      <c r="B126" s="54" t="s">
        <v>227</v>
      </c>
      <c r="C126" s="31">
        <v>4301011564</v>
      </c>
      <c r="D126" s="545">
        <v>4680115882577</v>
      </c>
      <c r="E126" s="546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76</v>
      </c>
      <c r="L126" s="32"/>
      <c r="M126" s="33" t="s">
        <v>94</v>
      </c>
      <c r="N126" s="33"/>
      <c r="O126" s="32">
        <v>90</v>
      </c>
      <c r="P126" s="8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48"/>
      <c r="R126" s="548"/>
      <c r="S126" s="548"/>
      <c r="T126" s="549"/>
      <c r="U126" s="34"/>
      <c r="V126" s="34"/>
      <c r="W126" s="35" t="s">
        <v>69</v>
      </c>
      <c r="X126" s="541">
        <v>0</v>
      </c>
      <c r="Y126" s="5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226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71</v>
      </c>
      <c r="Q127" s="562"/>
      <c r="R127" s="562"/>
      <c r="S127" s="562"/>
      <c r="T127" s="562"/>
      <c r="U127" s="562"/>
      <c r="V127" s="563"/>
      <c r="W127" s="37" t="s">
        <v>72</v>
      </c>
      <c r="X127" s="543">
        <f>IFERROR(X125/H125,"0")+IFERROR(X126/H126,"0")</f>
        <v>25</v>
      </c>
      <c r="Y127" s="543">
        <f>IFERROR(Y125/H125,"0")+IFERROR(Y126/H126,"0")</f>
        <v>25</v>
      </c>
      <c r="Z127" s="543">
        <f>IFERROR(IF(Z125="",0,Z125),"0")+IFERROR(IF(Z126="",0,Z126),"0")</f>
        <v>0.16275000000000001</v>
      </c>
      <c r="AA127" s="544"/>
      <c r="AB127" s="544"/>
      <c r="AC127" s="544"/>
    </row>
    <row r="128" spans="1:68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1" t="s">
        <v>71</v>
      </c>
      <c r="Q128" s="562"/>
      <c r="R128" s="562"/>
      <c r="S128" s="562"/>
      <c r="T128" s="562"/>
      <c r="U128" s="562"/>
      <c r="V128" s="563"/>
      <c r="W128" s="37" t="s">
        <v>69</v>
      </c>
      <c r="X128" s="543">
        <f>IFERROR(SUM(X125:X126),"0")</f>
        <v>80</v>
      </c>
      <c r="Y128" s="543">
        <f>IFERROR(SUM(Y125:Y126),"0")</f>
        <v>80</v>
      </c>
      <c r="Z128" s="37"/>
      <c r="AA128" s="544"/>
      <c r="AB128" s="544"/>
      <c r="AC128" s="544"/>
    </row>
    <row r="129" spans="1:68" ht="14.25" customHeight="1" x14ac:dyDescent="0.25">
      <c r="A129" s="557" t="s">
        <v>64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7"/>
      <c r="AB129" s="537"/>
      <c r="AC129" s="537"/>
    </row>
    <row r="130" spans="1:68" ht="27" customHeight="1" x14ac:dyDescent="0.25">
      <c r="A130" s="54" t="s">
        <v>228</v>
      </c>
      <c r="B130" s="54" t="s">
        <v>229</v>
      </c>
      <c r="C130" s="31">
        <v>4301031235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230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228</v>
      </c>
      <c r="B131" s="54" t="s">
        <v>231</v>
      </c>
      <c r="C131" s="31">
        <v>4301031234</v>
      </c>
      <c r="D131" s="545">
        <v>4680115883444</v>
      </c>
      <c r="E131" s="546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76</v>
      </c>
      <c r="L131" s="32" t="s">
        <v>216</v>
      </c>
      <c r="M131" s="33" t="s">
        <v>94</v>
      </c>
      <c r="N131" s="33"/>
      <c r="O131" s="32">
        <v>90</v>
      </c>
      <c r="P131" s="65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48"/>
      <c r="R131" s="548"/>
      <c r="S131" s="548"/>
      <c r="T131" s="549"/>
      <c r="U131" s="34"/>
      <c r="V131" s="34"/>
      <c r="W131" s="35" t="s">
        <v>69</v>
      </c>
      <c r="X131" s="541">
        <v>35</v>
      </c>
      <c r="Y131" s="542">
        <f>IFERROR(IF(X131="",0,CEILING((X131/$H131),1)*$H131),"")</f>
        <v>36.4</v>
      </c>
      <c r="Z131" s="36">
        <f>IFERROR(IF(Y131=0,"",ROUNDUP(Y131/H131,0)*0.00651),"")</f>
        <v>8.4629999999999997E-2</v>
      </c>
      <c r="AA131" s="56"/>
      <c r="AB131" s="57"/>
      <c r="AC131" s="173" t="s">
        <v>230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38.35</v>
      </c>
      <c r="BN131" s="64">
        <f>IFERROR(Y131*I131/H131,"0")</f>
        <v>39.884</v>
      </c>
      <c r="BO131" s="64">
        <f>IFERROR(1/J131*(X131/H131),"0")</f>
        <v>6.8681318681318687E-2</v>
      </c>
      <c r="BP131" s="64">
        <f>IFERROR(1/J131*(Y131/H131),"0")</f>
        <v>7.1428571428571438E-2</v>
      </c>
    </row>
    <row r="132" spans="1:68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71</v>
      </c>
      <c r="Q132" s="562"/>
      <c r="R132" s="562"/>
      <c r="S132" s="562"/>
      <c r="T132" s="562"/>
      <c r="U132" s="562"/>
      <c r="V132" s="563"/>
      <c r="W132" s="37" t="s">
        <v>72</v>
      </c>
      <c r="X132" s="543">
        <f>IFERROR(X130/H130,"0")+IFERROR(X131/H131,"0")</f>
        <v>12.5</v>
      </c>
      <c r="Y132" s="543">
        <f>IFERROR(Y130/H130,"0")+IFERROR(Y131/H131,"0")</f>
        <v>13</v>
      </c>
      <c r="Z132" s="543">
        <f>IFERROR(IF(Z130="",0,Z130),"0")+IFERROR(IF(Z131="",0,Z131),"0")</f>
        <v>8.4629999999999997E-2</v>
      </c>
      <c r="AA132" s="544"/>
      <c r="AB132" s="544"/>
      <c r="AC132" s="544"/>
    </row>
    <row r="133" spans="1:68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1" t="s">
        <v>71</v>
      </c>
      <c r="Q133" s="562"/>
      <c r="R133" s="562"/>
      <c r="S133" s="562"/>
      <c r="T133" s="562"/>
      <c r="U133" s="562"/>
      <c r="V133" s="563"/>
      <c r="W133" s="37" t="s">
        <v>69</v>
      </c>
      <c r="X133" s="543">
        <f>IFERROR(SUM(X130:X131),"0")</f>
        <v>35</v>
      </c>
      <c r="Y133" s="543">
        <f>IFERROR(SUM(Y130:Y131),"0")</f>
        <v>36.4</v>
      </c>
      <c r="Z133" s="37"/>
      <c r="AA133" s="544"/>
      <c r="AB133" s="544"/>
      <c r="AC133" s="544"/>
    </row>
    <row r="134" spans="1:68" ht="14.25" customHeight="1" x14ac:dyDescent="0.25">
      <c r="A134" s="557" t="s">
        <v>73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7"/>
      <c r="AB134" s="537"/>
      <c r="AC134" s="537"/>
    </row>
    <row r="135" spans="1:68" ht="16.5" customHeight="1" x14ac:dyDescent="0.25">
      <c r="A135" s="54" t="s">
        <v>232</v>
      </c>
      <c r="B135" s="54" t="s">
        <v>233</v>
      </c>
      <c r="C135" s="31">
        <v>4301051477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226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232</v>
      </c>
      <c r="B136" s="54" t="s">
        <v>234</v>
      </c>
      <c r="C136" s="31">
        <v>4301051476</v>
      </c>
      <c r="D136" s="545">
        <v>4680115882584</v>
      </c>
      <c r="E136" s="546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76</v>
      </c>
      <c r="L136" s="32" t="s">
        <v>216</v>
      </c>
      <c r="M136" s="33" t="s">
        <v>94</v>
      </c>
      <c r="N136" s="33"/>
      <c r="O136" s="32">
        <v>60</v>
      </c>
      <c r="P136" s="84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48"/>
      <c r="R136" s="548"/>
      <c r="S136" s="548"/>
      <c r="T136" s="549"/>
      <c r="U136" s="34"/>
      <c r="V136" s="34"/>
      <c r="W136" s="35" t="s">
        <v>69</v>
      </c>
      <c r="X136" s="541">
        <v>72.600000000000009</v>
      </c>
      <c r="Y136" s="542">
        <f>IFERROR(IF(X136="",0,CEILING((X136/$H136),1)*$H136),"")</f>
        <v>73.92</v>
      </c>
      <c r="Z136" s="36">
        <f>IFERROR(IF(Y136=0,"",ROUNDUP(Y136/H136,0)*0.00651),"")</f>
        <v>0.18228</v>
      </c>
      <c r="AA136" s="56"/>
      <c r="AB136" s="57"/>
      <c r="AC136" s="177" t="s">
        <v>226</v>
      </c>
      <c r="AG136" s="64"/>
      <c r="AJ136" s="68" t="s">
        <v>106</v>
      </c>
      <c r="AK136" s="68">
        <v>36.96</v>
      </c>
      <c r="BB136" s="178" t="s">
        <v>1</v>
      </c>
      <c r="BM136" s="64">
        <f>IFERROR(X136*I136/H136,"0")</f>
        <v>79.970000000000013</v>
      </c>
      <c r="BN136" s="64">
        <f>IFERROR(Y136*I136/H136,"0")</f>
        <v>81.423999999999992</v>
      </c>
      <c r="BO136" s="64">
        <f>IFERROR(1/J136*(X136/H136),"0")</f>
        <v>0.15109890109890112</v>
      </c>
      <c r="BP136" s="64">
        <f>IFERROR(1/J136*(Y136/H136),"0")</f>
        <v>0.15384615384615385</v>
      </c>
    </row>
    <row r="137" spans="1:68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71</v>
      </c>
      <c r="Q137" s="562"/>
      <c r="R137" s="562"/>
      <c r="S137" s="562"/>
      <c r="T137" s="562"/>
      <c r="U137" s="562"/>
      <c r="V137" s="563"/>
      <c r="W137" s="37" t="s">
        <v>72</v>
      </c>
      <c r="X137" s="543">
        <f>IFERROR(X135/H135,"0")+IFERROR(X136/H136,"0")</f>
        <v>27.500000000000004</v>
      </c>
      <c r="Y137" s="543">
        <f>IFERROR(Y135/H135,"0")+IFERROR(Y136/H136,"0")</f>
        <v>28</v>
      </c>
      <c r="Z137" s="543">
        <f>IFERROR(IF(Z135="",0,Z135),"0")+IFERROR(IF(Z136="",0,Z136),"0")</f>
        <v>0.18228</v>
      </c>
      <c r="AA137" s="544"/>
      <c r="AB137" s="544"/>
      <c r="AC137" s="544"/>
    </row>
    <row r="138" spans="1:68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1" t="s">
        <v>71</v>
      </c>
      <c r="Q138" s="562"/>
      <c r="R138" s="562"/>
      <c r="S138" s="562"/>
      <c r="T138" s="562"/>
      <c r="U138" s="562"/>
      <c r="V138" s="563"/>
      <c r="W138" s="37" t="s">
        <v>69</v>
      </c>
      <c r="X138" s="543">
        <f>IFERROR(SUM(X135:X136),"0")</f>
        <v>72.600000000000009</v>
      </c>
      <c r="Y138" s="543">
        <f>IFERROR(SUM(Y135:Y136),"0")</f>
        <v>73.92</v>
      </c>
      <c r="Z138" s="37"/>
      <c r="AA138" s="544"/>
      <c r="AB138" s="544"/>
      <c r="AC138" s="544"/>
    </row>
    <row r="139" spans="1:68" ht="16.5" customHeight="1" x14ac:dyDescent="0.25">
      <c r="A139" s="558" t="s">
        <v>97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6"/>
      <c r="AB139" s="536"/>
      <c r="AC139" s="536"/>
    </row>
    <row r="140" spans="1:68" ht="14.25" customHeight="1" x14ac:dyDescent="0.25">
      <c r="A140" s="557" t="s">
        <v>99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7"/>
      <c r="AB140" s="537"/>
      <c r="AC140" s="537"/>
    </row>
    <row r="141" spans="1:68" ht="27" customHeight="1" x14ac:dyDescent="0.25">
      <c r="A141" s="54" t="s">
        <v>235</v>
      </c>
      <c r="B141" s="54" t="s">
        <v>236</v>
      </c>
      <c r="C141" s="31">
        <v>4301012244</v>
      </c>
      <c r="D141" s="545">
        <v>4680115887374</v>
      </c>
      <c r="E141" s="546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102</v>
      </c>
      <c r="L141" s="32"/>
      <c r="M141" s="33" t="s">
        <v>104</v>
      </c>
      <c r="N141" s="33"/>
      <c r="O141" s="32">
        <v>55</v>
      </c>
      <c r="P141" s="7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237</v>
      </c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5">
        <v>4607091384604</v>
      </c>
      <c r="E142" s="546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109</v>
      </c>
      <c r="L142" s="32"/>
      <c r="M142" s="33" t="s">
        <v>104</v>
      </c>
      <c r="N142" s="33"/>
      <c r="O142" s="32">
        <v>50</v>
      </c>
      <c r="P142" s="66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242</v>
      </c>
      <c r="B143" s="54" t="s">
        <v>243</v>
      </c>
      <c r="C143" s="31">
        <v>4301012179</v>
      </c>
      <c r="D143" s="545">
        <v>4680115886810</v>
      </c>
      <c r="E143" s="546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76</v>
      </c>
      <c r="L143" s="32"/>
      <c r="M143" s="33" t="s">
        <v>104</v>
      </c>
      <c r="N143" s="33"/>
      <c r="O143" s="32">
        <v>55</v>
      </c>
      <c r="P143" s="73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48"/>
      <c r="R143" s="548"/>
      <c r="S143" s="548"/>
      <c r="T143" s="549"/>
      <c r="U143" s="34"/>
      <c r="V143" s="34"/>
      <c r="W143" s="35" t="s">
        <v>69</v>
      </c>
      <c r="X143" s="541">
        <v>0</v>
      </c>
      <c r="Y143" s="5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71</v>
      </c>
      <c r="Q144" s="562"/>
      <c r="R144" s="562"/>
      <c r="S144" s="562"/>
      <c r="T144" s="562"/>
      <c r="U144" s="562"/>
      <c r="V144" s="563"/>
      <c r="W144" s="37" t="s">
        <v>72</v>
      </c>
      <c r="X144" s="543">
        <f>IFERROR(X141/H141,"0")+IFERROR(X142/H142,"0")+IFERROR(X143/H143,"0")</f>
        <v>0</v>
      </c>
      <c r="Y144" s="543">
        <f>IFERROR(Y141/H141,"0")+IFERROR(Y142/H142,"0")+IFERROR(Y143/H143,"0")</f>
        <v>0</v>
      </c>
      <c r="Z144" s="543">
        <f>IFERROR(IF(Z141="",0,Z141),"0")+IFERROR(IF(Z142="",0,Z142),"0")+IFERROR(IF(Z143="",0,Z143),"0")</f>
        <v>0</v>
      </c>
      <c r="AA144" s="544"/>
      <c r="AB144" s="544"/>
      <c r="AC144" s="544"/>
    </row>
    <row r="145" spans="1:68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1" t="s">
        <v>71</v>
      </c>
      <c r="Q145" s="562"/>
      <c r="R145" s="562"/>
      <c r="S145" s="562"/>
      <c r="T145" s="562"/>
      <c r="U145" s="562"/>
      <c r="V145" s="563"/>
      <c r="W145" s="37" t="s">
        <v>69</v>
      </c>
      <c r="X145" s="543">
        <f>IFERROR(SUM(X141:X143),"0")</f>
        <v>0</v>
      </c>
      <c r="Y145" s="543">
        <f>IFERROR(SUM(Y141:Y143),"0")</f>
        <v>0</v>
      </c>
      <c r="Z145" s="37"/>
      <c r="AA145" s="544"/>
      <c r="AB145" s="544"/>
      <c r="AC145" s="544"/>
    </row>
    <row r="146" spans="1:68" ht="14.25" customHeight="1" x14ac:dyDescent="0.25">
      <c r="A146" s="557" t="s">
        <v>64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7"/>
      <c r="AB146" s="537"/>
      <c r="AC146" s="537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45">
        <v>4607091387667</v>
      </c>
      <c r="E147" s="546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59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45">
        <v>4607091387636</v>
      </c>
      <c r="E148" s="546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62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4301030963</v>
      </c>
      <c r="D149" s="545">
        <v>4607091382426</v>
      </c>
      <c r="E149" s="546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85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48"/>
      <c r="R149" s="548"/>
      <c r="S149" s="548"/>
      <c r="T149" s="549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71</v>
      </c>
      <c r="Q150" s="562"/>
      <c r="R150" s="562"/>
      <c r="S150" s="562"/>
      <c r="T150" s="562"/>
      <c r="U150" s="562"/>
      <c r="V150" s="563"/>
      <c r="W150" s="37" t="s">
        <v>72</v>
      </c>
      <c r="X150" s="543">
        <f>IFERROR(X147/H147,"0")+IFERROR(X148/H148,"0")+IFERROR(X149/H149,"0")</f>
        <v>0</v>
      </c>
      <c r="Y150" s="543">
        <f>IFERROR(Y147/H147,"0")+IFERROR(Y148/H148,"0")+IFERROR(Y149/H149,"0")</f>
        <v>0</v>
      </c>
      <c r="Z150" s="543">
        <f>IFERROR(IF(Z147="",0,Z147),"0")+IFERROR(IF(Z148="",0,Z148),"0")+IFERROR(IF(Z149="",0,Z149),"0")</f>
        <v>0</v>
      </c>
      <c r="AA150" s="544"/>
      <c r="AB150" s="544"/>
      <c r="AC150" s="544"/>
    </row>
    <row r="151" spans="1:68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1" t="s">
        <v>71</v>
      </c>
      <c r="Q151" s="562"/>
      <c r="R151" s="562"/>
      <c r="S151" s="562"/>
      <c r="T151" s="562"/>
      <c r="U151" s="562"/>
      <c r="V151" s="563"/>
      <c r="W151" s="37" t="s">
        <v>69</v>
      </c>
      <c r="X151" s="543">
        <f>IFERROR(SUM(X147:X149),"0")</f>
        <v>0</v>
      </c>
      <c r="Y151" s="543">
        <f>IFERROR(SUM(Y147:Y149),"0")</f>
        <v>0</v>
      </c>
      <c r="Z151" s="37"/>
      <c r="AA151" s="544"/>
      <c r="AB151" s="544"/>
      <c r="AC151" s="544"/>
    </row>
    <row r="152" spans="1:68" ht="14.25" customHeight="1" x14ac:dyDescent="0.25">
      <c r="A152" s="557" t="s">
        <v>73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7"/>
      <c r="AB152" s="537"/>
      <c r="AC152" s="537"/>
    </row>
    <row r="153" spans="1:68" ht="27" customHeight="1" x14ac:dyDescent="0.25">
      <c r="A153" s="54" t="s">
        <v>254</v>
      </c>
      <c r="B153" s="54" t="s">
        <v>255</v>
      </c>
      <c r="C153" s="31">
        <v>4301052064</v>
      </c>
      <c r="D153" s="545">
        <v>4680115887459</v>
      </c>
      <c r="E153" s="546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27" t="s">
        <v>256</v>
      </c>
      <c r="Q153" s="548"/>
      <c r="R153" s="548"/>
      <c r="S153" s="548"/>
      <c r="T153" s="549"/>
      <c r="U153" s="34"/>
      <c r="V153" s="34"/>
      <c r="W153" s="35" t="s">
        <v>69</v>
      </c>
      <c r="X153" s="541">
        <v>0</v>
      </c>
      <c r="Y153" s="542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237</v>
      </c>
      <c r="AC153" s="191" t="s">
        <v>257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71</v>
      </c>
      <c r="Q154" s="562"/>
      <c r="R154" s="562"/>
      <c r="S154" s="562"/>
      <c r="T154" s="562"/>
      <c r="U154" s="562"/>
      <c r="V154" s="563"/>
      <c r="W154" s="37" t="s">
        <v>72</v>
      </c>
      <c r="X154" s="543">
        <f>IFERROR(X153/H153,"0")</f>
        <v>0</v>
      </c>
      <c r="Y154" s="543">
        <f>IFERROR(Y153/H153,"0")</f>
        <v>0</v>
      </c>
      <c r="Z154" s="543">
        <f>IFERROR(IF(Z153="",0,Z153),"0")</f>
        <v>0</v>
      </c>
      <c r="AA154" s="544"/>
      <c r="AB154" s="544"/>
      <c r="AC154" s="544"/>
    </row>
    <row r="155" spans="1:68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1" t="s">
        <v>71</v>
      </c>
      <c r="Q155" s="562"/>
      <c r="R155" s="562"/>
      <c r="S155" s="562"/>
      <c r="T155" s="562"/>
      <c r="U155" s="562"/>
      <c r="V155" s="563"/>
      <c r="W155" s="37" t="s">
        <v>69</v>
      </c>
      <c r="X155" s="543">
        <f>IFERROR(SUM(X153:X153),"0")</f>
        <v>0</v>
      </c>
      <c r="Y155" s="543">
        <f>IFERROR(SUM(Y153:Y153),"0")</f>
        <v>0</v>
      </c>
      <c r="Z155" s="37"/>
      <c r="AA155" s="544"/>
      <c r="AB155" s="544"/>
      <c r="AC155" s="544"/>
    </row>
    <row r="156" spans="1:68" ht="27.75" customHeight="1" x14ac:dyDescent="0.2">
      <c r="A156" s="639" t="s">
        <v>258</v>
      </c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  <c r="AA156" s="48"/>
      <c r="AB156" s="48"/>
      <c r="AC156" s="48"/>
    </row>
    <row r="157" spans="1:68" ht="16.5" customHeight="1" x14ac:dyDescent="0.25">
      <c r="A157" s="558" t="s">
        <v>259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6"/>
      <c r="AB157" s="536"/>
      <c r="AC157" s="536"/>
    </row>
    <row r="158" spans="1:68" ht="14.25" customHeight="1" x14ac:dyDescent="0.25">
      <c r="A158" s="557" t="s">
        <v>135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7"/>
      <c r="AB158" s="537"/>
      <c r="AC158" s="537"/>
    </row>
    <row r="159" spans="1:68" ht="27" customHeight="1" x14ac:dyDescent="0.25">
      <c r="A159" s="54" t="s">
        <v>260</v>
      </c>
      <c r="B159" s="54" t="s">
        <v>261</v>
      </c>
      <c r="C159" s="31">
        <v>4301020323</v>
      </c>
      <c r="D159" s="545">
        <v>4680115886223</v>
      </c>
      <c r="E159" s="546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48"/>
      <c r="R159" s="548"/>
      <c r="S159" s="548"/>
      <c r="T159" s="549"/>
      <c r="U159" s="34"/>
      <c r="V159" s="34"/>
      <c r="W159" s="35" t="s">
        <v>69</v>
      </c>
      <c r="X159" s="541">
        <v>0</v>
      </c>
      <c r="Y159" s="542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262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71</v>
      </c>
      <c r="Q160" s="562"/>
      <c r="R160" s="562"/>
      <c r="S160" s="562"/>
      <c r="T160" s="562"/>
      <c r="U160" s="562"/>
      <c r="V160" s="563"/>
      <c r="W160" s="37" t="s">
        <v>72</v>
      </c>
      <c r="X160" s="543">
        <f>IFERROR(X159/H159,"0")</f>
        <v>0</v>
      </c>
      <c r="Y160" s="543">
        <f>IFERROR(Y159/H159,"0")</f>
        <v>0</v>
      </c>
      <c r="Z160" s="543">
        <f>IFERROR(IF(Z159="",0,Z159),"0")</f>
        <v>0</v>
      </c>
      <c r="AA160" s="544"/>
      <c r="AB160" s="544"/>
      <c r="AC160" s="544"/>
    </row>
    <row r="161" spans="1:68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1" t="s">
        <v>71</v>
      </c>
      <c r="Q161" s="562"/>
      <c r="R161" s="562"/>
      <c r="S161" s="562"/>
      <c r="T161" s="562"/>
      <c r="U161" s="562"/>
      <c r="V161" s="563"/>
      <c r="W161" s="37" t="s">
        <v>69</v>
      </c>
      <c r="X161" s="543">
        <f>IFERROR(SUM(X159:X159),"0")</f>
        <v>0</v>
      </c>
      <c r="Y161" s="543">
        <f>IFERROR(SUM(Y159:Y159),"0")</f>
        <v>0</v>
      </c>
      <c r="Z161" s="37"/>
      <c r="AA161" s="544"/>
      <c r="AB161" s="544"/>
      <c r="AC161" s="544"/>
    </row>
    <row r="162" spans="1:68" ht="14.25" customHeight="1" x14ac:dyDescent="0.25">
      <c r="A162" s="557" t="s">
        <v>64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7"/>
      <c r="AB162" s="537"/>
      <c r="AC162" s="537"/>
    </row>
    <row r="163" spans="1:68" ht="27" customHeight="1" x14ac:dyDescent="0.25">
      <c r="A163" s="54" t="s">
        <v>263</v>
      </c>
      <c r="B163" s="54" t="s">
        <v>264</v>
      </c>
      <c r="C163" s="31">
        <v>4301031191</v>
      </c>
      <c r="D163" s="545">
        <v>4680115880993</v>
      </c>
      <c r="E163" s="546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109</v>
      </c>
      <c r="L163" s="32" t="s">
        <v>199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60</v>
      </c>
      <c r="Y163" s="542">
        <f t="shared" ref="Y163:Y171" si="5">IFERROR(IF(X163="",0,CEILING((X163/$H163),1)*$H163),"")</f>
        <v>63</v>
      </c>
      <c r="Z163" s="36">
        <f>IFERROR(IF(Y163=0,"",ROUNDUP(Y163/H163,0)*0.00902),"")</f>
        <v>0.1353</v>
      </c>
      <c r="AA163" s="56"/>
      <c r="AB163" s="57"/>
      <c r="AC163" s="195" t="s">
        <v>265</v>
      </c>
      <c r="AG163" s="64"/>
      <c r="AJ163" s="68" t="s">
        <v>106</v>
      </c>
      <c r="AK163" s="68">
        <v>50.4</v>
      </c>
      <c r="BB163" s="196" t="s">
        <v>1</v>
      </c>
      <c r="BM163" s="64">
        <f t="shared" ref="BM163:BM171" si="6">IFERROR(X163*I163/H163,"0")</f>
        <v>63.857142857142854</v>
      </c>
      <c r="BN163" s="64">
        <f t="shared" ref="BN163:BN171" si="7">IFERROR(Y163*I163/H163,"0")</f>
        <v>67.049999999999983</v>
      </c>
      <c r="BO163" s="64">
        <f t="shared" ref="BO163:BO171" si="8">IFERROR(1/J163*(X163/H163),"0")</f>
        <v>0.10822510822510822</v>
      </c>
      <c r="BP163" s="64">
        <f t="shared" ref="BP163:BP171" si="9">IFERROR(1/J163*(Y163/H163),"0")</f>
        <v>0.11363636363636365</v>
      </c>
    </row>
    <row r="164" spans="1:68" ht="27" customHeight="1" x14ac:dyDescent="0.25">
      <c r="A164" s="54" t="s">
        <v>266</v>
      </c>
      <c r="B164" s="54" t="s">
        <v>267</v>
      </c>
      <c r="C164" s="31">
        <v>4301031204</v>
      </c>
      <c r="D164" s="545">
        <v>4680115881761</v>
      </c>
      <c r="E164" s="546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109</v>
      </c>
      <c r="L164" s="32" t="s">
        <v>199</v>
      </c>
      <c r="M164" s="33" t="s">
        <v>68</v>
      </c>
      <c r="N164" s="33"/>
      <c r="O164" s="32">
        <v>40</v>
      </c>
      <c r="P164" s="78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30</v>
      </c>
      <c r="Y164" s="542">
        <f t="shared" si="5"/>
        <v>33.6</v>
      </c>
      <c r="Z164" s="36">
        <f>IFERROR(IF(Y164=0,"",ROUNDUP(Y164/H164,0)*0.00902),"")</f>
        <v>7.2160000000000002E-2</v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31.928571428571427</v>
      </c>
      <c r="BN164" s="64">
        <f t="shared" si="7"/>
        <v>35.76</v>
      </c>
      <c r="BO164" s="64">
        <f t="shared" si="8"/>
        <v>5.4112554112554112E-2</v>
      </c>
      <c r="BP164" s="64">
        <f t="shared" si="9"/>
        <v>6.0606060606060608E-2</v>
      </c>
    </row>
    <row r="165" spans="1:68" ht="27" customHeight="1" x14ac:dyDescent="0.25">
      <c r="A165" s="54" t="s">
        <v>269</v>
      </c>
      <c r="B165" s="54" t="s">
        <v>270</v>
      </c>
      <c r="C165" s="31">
        <v>4301031201</v>
      </c>
      <c r="D165" s="545">
        <v>4680115881563</v>
      </c>
      <c r="E165" s="546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109</v>
      </c>
      <c r="L165" s="32" t="s">
        <v>199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150</v>
      </c>
      <c r="Y165" s="542">
        <f t="shared" si="5"/>
        <v>151.20000000000002</v>
      </c>
      <c r="Z165" s="36">
        <f>IFERROR(IF(Y165=0,"",ROUNDUP(Y165/H165,0)*0.00902),"")</f>
        <v>0.32472000000000001</v>
      </c>
      <c r="AA165" s="56"/>
      <c r="AB165" s="57"/>
      <c r="AC165" s="199" t="s">
        <v>271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157.5</v>
      </c>
      <c r="BN165" s="64">
        <f t="shared" si="7"/>
        <v>158.76000000000002</v>
      </c>
      <c r="BO165" s="64">
        <f t="shared" si="8"/>
        <v>0.27056277056277056</v>
      </c>
      <c r="BP165" s="64">
        <f t="shared" si="9"/>
        <v>0.27272727272727271</v>
      </c>
    </row>
    <row r="166" spans="1:68" ht="27" customHeight="1" x14ac:dyDescent="0.25">
      <c r="A166" s="54" t="s">
        <v>272</v>
      </c>
      <c r="B166" s="54" t="s">
        <v>273</v>
      </c>
      <c r="C166" s="31">
        <v>4301031199</v>
      </c>
      <c r="D166" s="545">
        <v>4680115880986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274</v>
      </c>
      <c r="M166" s="33" t="s">
        <v>68</v>
      </c>
      <c r="N166" s="33"/>
      <c r="O166" s="32">
        <v>40</v>
      </c>
      <c r="P166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112</v>
      </c>
      <c r="Y166" s="542">
        <f t="shared" si="5"/>
        <v>113.4</v>
      </c>
      <c r="Z166" s="36">
        <f>IFERROR(IF(Y166=0,"",ROUNDUP(Y166/H166,0)*0.00502),"")</f>
        <v>0.27107999999999999</v>
      </c>
      <c r="AA166" s="56"/>
      <c r="AB166" s="57"/>
      <c r="AC166" s="201" t="s">
        <v>265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118.93333333333332</v>
      </c>
      <c r="BN166" s="64">
        <f t="shared" si="7"/>
        <v>120.42</v>
      </c>
      <c r="BO166" s="64">
        <f t="shared" si="8"/>
        <v>0.22792022792022792</v>
      </c>
      <c r="BP166" s="64">
        <f t="shared" si="9"/>
        <v>0.23076923076923078</v>
      </c>
    </row>
    <row r="167" spans="1:68" ht="27" customHeight="1" x14ac:dyDescent="0.25">
      <c r="A167" s="54" t="s">
        <v>275</v>
      </c>
      <c r="B167" s="54" t="s">
        <v>276</v>
      </c>
      <c r="C167" s="31">
        <v>4301031205</v>
      </c>
      <c r="D167" s="545">
        <v>4680115881785</v>
      </c>
      <c r="E167" s="546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 t="s">
        <v>274</v>
      </c>
      <c r="M167" s="33" t="s">
        <v>68</v>
      </c>
      <c r="N167" s="33"/>
      <c r="O167" s="32">
        <v>40</v>
      </c>
      <c r="P167" s="6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140</v>
      </c>
      <c r="Y167" s="542">
        <f t="shared" si="5"/>
        <v>140.70000000000002</v>
      </c>
      <c r="Z167" s="36">
        <f>IFERROR(IF(Y167=0,"",ROUNDUP(Y167/H167,0)*0.00502),"")</f>
        <v>0.33634000000000003</v>
      </c>
      <c r="AA167" s="56"/>
      <c r="AB167" s="57"/>
      <c r="AC167" s="203" t="s">
        <v>268</v>
      </c>
      <c r="AG167" s="64"/>
      <c r="AJ167" s="68" t="s">
        <v>106</v>
      </c>
      <c r="AK167" s="68">
        <v>37.799999999999997</v>
      </c>
      <c r="BB167" s="204" t="s">
        <v>1</v>
      </c>
      <c r="BM167" s="64">
        <f t="shared" si="6"/>
        <v>148.66666666666666</v>
      </c>
      <c r="BN167" s="64">
        <f t="shared" si="7"/>
        <v>149.41</v>
      </c>
      <c r="BO167" s="64">
        <f t="shared" si="8"/>
        <v>0.28490028490028491</v>
      </c>
      <c r="BP167" s="64">
        <f t="shared" si="9"/>
        <v>0.28632478632478636</v>
      </c>
    </row>
    <row r="168" spans="1:68" ht="27" customHeight="1" x14ac:dyDescent="0.25">
      <c r="A168" s="54" t="s">
        <v>277</v>
      </c>
      <c r="B168" s="54" t="s">
        <v>278</v>
      </c>
      <c r="C168" s="31">
        <v>4301031399</v>
      </c>
      <c r="D168" s="545">
        <v>4680115886537</v>
      </c>
      <c r="E168" s="546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280</v>
      </c>
      <c r="B169" s="54" t="s">
        <v>281</v>
      </c>
      <c r="C169" s="31">
        <v>4301031202</v>
      </c>
      <c r="D169" s="545">
        <v>4680115881679</v>
      </c>
      <c r="E169" s="546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274</v>
      </c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210</v>
      </c>
      <c r="Y169" s="542">
        <f t="shared" si="5"/>
        <v>210</v>
      </c>
      <c r="Z169" s="36">
        <f>IFERROR(IF(Y169=0,"",ROUNDUP(Y169/H169,0)*0.00502),"")</f>
        <v>0.502</v>
      </c>
      <c r="AA169" s="56"/>
      <c r="AB169" s="57"/>
      <c r="AC169" s="207" t="s">
        <v>271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220.00000000000003</v>
      </c>
      <c r="BN169" s="64">
        <f t="shared" si="7"/>
        <v>220.00000000000003</v>
      </c>
      <c r="BO169" s="64">
        <f t="shared" si="8"/>
        <v>0.42735042735042739</v>
      </c>
      <c r="BP169" s="64">
        <f t="shared" si="9"/>
        <v>0.42735042735042739</v>
      </c>
    </row>
    <row r="170" spans="1:68" ht="27" customHeight="1" x14ac:dyDescent="0.25">
      <c r="A170" s="54" t="s">
        <v>282</v>
      </c>
      <c r="B170" s="54" t="s">
        <v>283</v>
      </c>
      <c r="C170" s="31">
        <v>4301031158</v>
      </c>
      <c r="D170" s="545">
        <v>4680115880191</v>
      </c>
      <c r="E170" s="546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284</v>
      </c>
      <c r="B171" s="54" t="s">
        <v>285</v>
      </c>
      <c r="C171" s="31">
        <v>4301031245</v>
      </c>
      <c r="D171" s="545">
        <v>4680115883963</v>
      </c>
      <c r="E171" s="546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286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71</v>
      </c>
      <c r="Q172" s="562"/>
      <c r="R172" s="562"/>
      <c r="S172" s="562"/>
      <c r="T172" s="562"/>
      <c r="U172" s="562"/>
      <c r="V172" s="563"/>
      <c r="W172" s="37" t="s">
        <v>72</v>
      </c>
      <c r="X172" s="543">
        <f>IFERROR(X163/H163,"0")+IFERROR(X164/H164,"0")+IFERROR(X165/H165,"0")+IFERROR(X166/H166,"0")+IFERROR(X167/H167,"0")+IFERROR(X168/H168,"0")+IFERROR(X169/H169,"0")+IFERROR(X170/H170,"0")+IFERROR(X171/H171,"0")</f>
        <v>277.14285714285711</v>
      </c>
      <c r="Y172" s="543">
        <f>IFERROR(Y163/H163,"0")+IFERROR(Y164/H164,"0")+IFERROR(Y165/H165,"0")+IFERROR(Y166/H166,"0")+IFERROR(Y167/H167,"0")+IFERROR(Y168/H168,"0")+IFERROR(Y169/H169,"0")+IFERROR(Y170/H170,"0")+IFERROR(Y171/H171,"0")</f>
        <v>280</v>
      </c>
      <c r="Z172" s="5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1.6415999999999999</v>
      </c>
      <c r="AA172" s="544"/>
      <c r="AB172" s="544"/>
      <c r="AC172" s="544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71</v>
      </c>
      <c r="Q173" s="562"/>
      <c r="R173" s="562"/>
      <c r="S173" s="562"/>
      <c r="T173" s="562"/>
      <c r="U173" s="562"/>
      <c r="V173" s="563"/>
      <c r="W173" s="37" t="s">
        <v>69</v>
      </c>
      <c r="X173" s="543">
        <f>IFERROR(SUM(X163:X171),"0")</f>
        <v>702</v>
      </c>
      <c r="Y173" s="543">
        <f>IFERROR(SUM(Y163:Y171),"0")</f>
        <v>711.90000000000009</v>
      </c>
      <c r="Z173" s="37"/>
      <c r="AA173" s="544"/>
      <c r="AB173" s="544"/>
      <c r="AC173" s="544"/>
    </row>
    <row r="174" spans="1:68" ht="14.25" customHeight="1" x14ac:dyDescent="0.25">
      <c r="A174" s="557" t="s">
        <v>91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7"/>
      <c r="AB174" s="537"/>
      <c r="AC174" s="537"/>
    </row>
    <row r="175" spans="1:68" ht="27" customHeight="1" x14ac:dyDescent="0.25">
      <c r="A175" s="54" t="s">
        <v>287</v>
      </c>
      <c r="B175" s="54" t="s">
        <v>288</v>
      </c>
      <c r="C175" s="31">
        <v>4301032053</v>
      </c>
      <c r="D175" s="545">
        <v>4680115886780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289</v>
      </c>
      <c r="L175" s="32"/>
      <c r="M175" s="33" t="s">
        <v>290</v>
      </c>
      <c r="N175" s="33"/>
      <c r="O175" s="32">
        <v>60</v>
      </c>
      <c r="P175" s="77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7.0000000000000009</v>
      </c>
      <c r="Y175" s="542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292</v>
      </c>
      <c r="B176" s="54" t="s">
        <v>293</v>
      </c>
      <c r="C176" s="31">
        <v>4301032051</v>
      </c>
      <c r="D176" s="545">
        <v>4680115886742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289</v>
      </c>
      <c r="L176" s="32"/>
      <c r="M176" s="33" t="s">
        <v>290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14</v>
      </c>
      <c r="Y176" s="542">
        <f>IFERROR(IF(X176="",0,CEILING((X176/$H176),1)*$H176),"")</f>
        <v>15.120000000000001</v>
      </c>
      <c r="Z176" s="36">
        <f>IFERROR(IF(Y176=0,"",ROUNDUP(Y176/H176,0)*0.0059),"")</f>
        <v>7.0800000000000002E-2</v>
      </c>
      <c r="AA176" s="56"/>
      <c r="AB176" s="57"/>
      <c r="AC176" s="215" t="s">
        <v>294</v>
      </c>
      <c r="AG176" s="64"/>
      <c r="AJ176" s="68"/>
      <c r="AK176" s="68">
        <v>0</v>
      </c>
      <c r="BB176" s="216" t="s">
        <v>1</v>
      </c>
      <c r="BM176" s="64">
        <f>IFERROR(X176*I176/H176,"0")</f>
        <v>16.111111111111111</v>
      </c>
      <c r="BN176" s="64">
        <f>IFERROR(Y176*I176/H176,"0")</f>
        <v>17.399999999999999</v>
      </c>
      <c r="BO176" s="64">
        <f>IFERROR(1/J176*(X176/H176),"0")</f>
        <v>5.1440329218106991E-2</v>
      </c>
      <c r="BP176" s="64">
        <f>IFERROR(1/J176*(Y176/H176),"0")</f>
        <v>5.5555555555555552E-2</v>
      </c>
    </row>
    <row r="177" spans="1:68" ht="27" customHeight="1" x14ac:dyDescent="0.25">
      <c r="A177" s="54" t="s">
        <v>295</v>
      </c>
      <c r="B177" s="54" t="s">
        <v>296</v>
      </c>
      <c r="C177" s="31">
        <v>4301032052</v>
      </c>
      <c r="D177" s="545">
        <v>4680115886766</v>
      </c>
      <c r="E177" s="546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289</v>
      </c>
      <c r="L177" s="32"/>
      <c r="M177" s="33" t="s">
        <v>290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1">
        <v>14</v>
      </c>
      <c r="Y177" s="542">
        <f>IFERROR(IF(X177="",0,CEILING((X177/$H177),1)*$H177),"")</f>
        <v>15.120000000000001</v>
      </c>
      <c r="Z177" s="36">
        <f>IFERROR(IF(Y177=0,"",ROUNDUP(Y177/H177,0)*0.0059),"")</f>
        <v>7.0800000000000002E-2</v>
      </c>
      <c r="AA177" s="56"/>
      <c r="AB177" s="57"/>
      <c r="AC177" s="217" t="s">
        <v>294</v>
      </c>
      <c r="AG177" s="64"/>
      <c r="AJ177" s="68"/>
      <c r="AK177" s="68">
        <v>0</v>
      </c>
      <c r="BB177" s="218" t="s">
        <v>1</v>
      </c>
      <c r="BM177" s="64">
        <f>IFERROR(X177*I177/H177,"0")</f>
        <v>16.111111111111111</v>
      </c>
      <c r="BN177" s="64">
        <f>IFERROR(Y177*I177/H177,"0")</f>
        <v>17.399999999999999</v>
      </c>
      <c r="BO177" s="64">
        <f>IFERROR(1/J177*(X177/H177),"0")</f>
        <v>5.1440329218106991E-2</v>
      </c>
      <c r="BP177" s="64">
        <f>IFERROR(1/J177*(Y177/H177),"0")</f>
        <v>5.5555555555555552E-2</v>
      </c>
    </row>
    <row r="178" spans="1:68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71</v>
      </c>
      <c r="Q178" s="562"/>
      <c r="R178" s="562"/>
      <c r="S178" s="562"/>
      <c r="T178" s="562"/>
      <c r="U178" s="562"/>
      <c r="V178" s="563"/>
      <c r="W178" s="37" t="s">
        <v>72</v>
      </c>
      <c r="X178" s="543">
        <f>IFERROR(X175/H175,"0")+IFERROR(X176/H176,"0")+IFERROR(X177/H177,"0")</f>
        <v>27.777777777777779</v>
      </c>
      <c r="Y178" s="543">
        <f>IFERROR(Y175/H175,"0")+IFERROR(Y176/H176,"0")+IFERROR(Y177/H177,"0")</f>
        <v>30</v>
      </c>
      <c r="Z178" s="543">
        <f>IFERROR(IF(Z175="",0,Z175),"0")+IFERROR(IF(Z176="",0,Z176),"0")+IFERROR(IF(Z177="",0,Z177),"0")</f>
        <v>0.17699999999999999</v>
      </c>
      <c r="AA178" s="544"/>
      <c r="AB178" s="544"/>
      <c r="AC178" s="544"/>
    </row>
    <row r="179" spans="1:68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71</v>
      </c>
      <c r="Q179" s="562"/>
      <c r="R179" s="562"/>
      <c r="S179" s="562"/>
      <c r="T179" s="562"/>
      <c r="U179" s="562"/>
      <c r="V179" s="563"/>
      <c r="W179" s="37" t="s">
        <v>69</v>
      </c>
      <c r="X179" s="543">
        <f>IFERROR(SUM(X175:X177),"0")</f>
        <v>35</v>
      </c>
      <c r="Y179" s="543">
        <f>IFERROR(SUM(Y175:Y177),"0")</f>
        <v>37.799999999999997</v>
      </c>
      <c r="Z179" s="37"/>
      <c r="AA179" s="544"/>
      <c r="AB179" s="544"/>
      <c r="AC179" s="544"/>
    </row>
    <row r="180" spans="1:68" ht="14.25" customHeight="1" x14ac:dyDescent="0.25">
      <c r="A180" s="557" t="s">
        <v>297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7"/>
      <c r="AB180" s="537"/>
      <c r="AC180" s="537"/>
    </row>
    <row r="181" spans="1:68" ht="27" customHeight="1" x14ac:dyDescent="0.25">
      <c r="A181" s="54" t="s">
        <v>298</v>
      </c>
      <c r="B181" s="54" t="s">
        <v>299</v>
      </c>
      <c r="C181" s="31">
        <v>4301170013</v>
      </c>
      <c r="D181" s="545">
        <v>4680115886797</v>
      </c>
      <c r="E181" s="546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289</v>
      </c>
      <c r="L181" s="32"/>
      <c r="M181" s="33" t="s">
        <v>290</v>
      </c>
      <c r="N181" s="33"/>
      <c r="O181" s="32">
        <v>90</v>
      </c>
      <c r="P181" s="83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1">
        <v>7.0000000000000009</v>
      </c>
      <c r="Y181" s="542">
        <f>IFERROR(IF(X181="",0,CEILING((X181/$H181),1)*$H181),"")</f>
        <v>7.5600000000000005</v>
      </c>
      <c r="Z181" s="36">
        <f>IFERROR(IF(Y181=0,"",ROUNDUP(Y181/H181,0)*0.0059),"")</f>
        <v>3.5400000000000001E-2</v>
      </c>
      <c r="AA181" s="56"/>
      <c r="AB181" s="57"/>
      <c r="AC181" s="219" t="s">
        <v>294</v>
      </c>
      <c r="AG181" s="64"/>
      <c r="AJ181" s="68"/>
      <c r="AK181" s="68">
        <v>0</v>
      </c>
      <c r="BB181" s="220" t="s">
        <v>1</v>
      </c>
      <c r="BM181" s="64">
        <f>IFERROR(X181*I181/H181,"0")</f>
        <v>8.0555555555555554</v>
      </c>
      <c r="BN181" s="64">
        <f>IFERROR(Y181*I181/H181,"0")</f>
        <v>8.6999999999999993</v>
      </c>
      <c r="BO181" s="64">
        <f>IFERROR(1/J181*(X181/H181),"0")</f>
        <v>2.5720164609053499E-2</v>
      </c>
      <c r="BP181" s="64">
        <f>IFERROR(1/J181*(Y181/H181),"0")</f>
        <v>2.7777777777777776E-2</v>
      </c>
    </row>
    <row r="182" spans="1:68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71</v>
      </c>
      <c r="Q182" s="562"/>
      <c r="R182" s="562"/>
      <c r="S182" s="562"/>
      <c r="T182" s="562"/>
      <c r="U182" s="562"/>
      <c r="V182" s="563"/>
      <c r="W182" s="37" t="s">
        <v>72</v>
      </c>
      <c r="X182" s="543">
        <f>IFERROR(X181/H181,"0")</f>
        <v>5.5555555555555562</v>
      </c>
      <c r="Y182" s="543">
        <f>IFERROR(Y181/H181,"0")</f>
        <v>6</v>
      </c>
      <c r="Z182" s="543">
        <f>IFERROR(IF(Z181="",0,Z181),"0")</f>
        <v>3.5400000000000001E-2</v>
      </c>
      <c r="AA182" s="544"/>
      <c r="AB182" s="544"/>
      <c r="AC182" s="544"/>
    </row>
    <row r="183" spans="1:68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71</v>
      </c>
      <c r="Q183" s="562"/>
      <c r="R183" s="562"/>
      <c r="S183" s="562"/>
      <c r="T183" s="562"/>
      <c r="U183" s="562"/>
      <c r="V183" s="563"/>
      <c r="W183" s="37" t="s">
        <v>69</v>
      </c>
      <c r="X183" s="543">
        <f>IFERROR(SUM(X181:X181),"0")</f>
        <v>7.0000000000000009</v>
      </c>
      <c r="Y183" s="543">
        <f>IFERROR(SUM(Y181:Y181),"0")</f>
        <v>7.5600000000000005</v>
      </c>
      <c r="Z183" s="37"/>
      <c r="AA183" s="544"/>
      <c r="AB183" s="544"/>
      <c r="AC183" s="544"/>
    </row>
    <row r="184" spans="1:68" ht="16.5" customHeight="1" x14ac:dyDescent="0.25">
      <c r="A184" s="558" t="s">
        <v>300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6"/>
      <c r="AB184" s="536"/>
      <c r="AC184" s="536"/>
    </row>
    <row r="185" spans="1:68" ht="14.25" customHeight="1" x14ac:dyDescent="0.25">
      <c r="A185" s="557" t="s">
        <v>99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7"/>
      <c r="AB185" s="537"/>
      <c r="AC185" s="537"/>
    </row>
    <row r="186" spans="1:68" ht="16.5" customHeight="1" x14ac:dyDescent="0.25">
      <c r="A186" s="54" t="s">
        <v>301</v>
      </c>
      <c r="B186" s="54" t="s">
        <v>302</v>
      </c>
      <c r="C186" s="31">
        <v>4301011450</v>
      </c>
      <c r="D186" s="545">
        <v>4680115881402</v>
      </c>
      <c r="E186" s="546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303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304</v>
      </c>
      <c r="B187" s="54" t="s">
        <v>305</v>
      </c>
      <c r="C187" s="31">
        <v>4301011768</v>
      </c>
      <c r="D187" s="545">
        <v>4680115881396</v>
      </c>
      <c r="E187" s="546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8"/>
      <c r="R187" s="548"/>
      <c r="S187" s="548"/>
      <c r="T187" s="549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303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71</v>
      </c>
      <c r="Q188" s="562"/>
      <c r="R188" s="562"/>
      <c r="S188" s="562"/>
      <c r="T188" s="562"/>
      <c r="U188" s="562"/>
      <c r="V188" s="563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71</v>
      </c>
      <c r="Q189" s="562"/>
      <c r="R189" s="562"/>
      <c r="S189" s="562"/>
      <c r="T189" s="562"/>
      <c r="U189" s="562"/>
      <c r="V189" s="563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7" t="s">
        <v>135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7"/>
      <c r="AB190" s="537"/>
      <c r="AC190" s="537"/>
    </row>
    <row r="191" spans="1:68" ht="16.5" customHeight="1" x14ac:dyDescent="0.25">
      <c r="A191" s="54" t="s">
        <v>306</v>
      </c>
      <c r="B191" s="54" t="s">
        <v>307</v>
      </c>
      <c r="C191" s="31">
        <v>4301020261</v>
      </c>
      <c r="D191" s="545">
        <v>4680115882935</v>
      </c>
      <c r="E191" s="546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308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309</v>
      </c>
      <c r="B192" s="54" t="s">
        <v>310</v>
      </c>
      <c r="C192" s="31">
        <v>4301020220</v>
      </c>
      <c r="D192" s="545">
        <v>4680115880764</v>
      </c>
      <c r="E192" s="546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3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8"/>
      <c r="R192" s="548"/>
      <c r="S192" s="548"/>
      <c r="T192" s="549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308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71</v>
      </c>
      <c r="Q193" s="562"/>
      <c r="R193" s="562"/>
      <c r="S193" s="562"/>
      <c r="T193" s="562"/>
      <c r="U193" s="562"/>
      <c r="V193" s="563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71</v>
      </c>
      <c r="Q194" s="562"/>
      <c r="R194" s="562"/>
      <c r="S194" s="562"/>
      <c r="T194" s="562"/>
      <c r="U194" s="562"/>
      <c r="V194" s="563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7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7"/>
      <c r="AB195" s="537"/>
      <c r="AC195" s="537"/>
    </row>
    <row r="196" spans="1:68" ht="27" customHeight="1" x14ac:dyDescent="0.25">
      <c r="A196" s="54" t="s">
        <v>311</v>
      </c>
      <c r="B196" s="54" t="s">
        <v>312</v>
      </c>
      <c r="C196" s="31">
        <v>4301031224</v>
      </c>
      <c r="D196" s="545">
        <v>4680115882683</v>
      </c>
      <c r="E196" s="546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109</v>
      </c>
      <c r="L196" s="32" t="s">
        <v>199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120</v>
      </c>
      <c r="Y196" s="542">
        <f t="shared" ref="Y196:Y203" si="10">IFERROR(IF(X196="",0,CEILING((X196/$H196),1)*$H196),"")</f>
        <v>124.2</v>
      </c>
      <c r="Z196" s="36">
        <f>IFERROR(IF(Y196=0,"",ROUNDUP(Y196/H196,0)*0.00902),"")</f>
        <v>0.20746000000000001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124.66666666666667</v>
      </c>
      <c r="BN196" s="64">
        <f t="shared" ref="BN196:BN203" si="12">IFERROR(Y196*I196/H196,"0")</f>
        <v>129.03</v>
      </c>
      <c r="BO196" s="64">
        <f t="shared" ref="BO196:BO203" si="13">IFERROR(1/J196*(X196/H196),"0")</f>
        <v>0.16835016835016836</v>
      </c>
      <c r="BP196" s="64">
        <f t="shared" ref="BP196:BP203" si="14">IFERROR(1/J196*(Y196/H196),"0")</f>
        <v>0.17424242424242425</v>
      </c>
    </row>
    <row r="197" spans="1:68" ht="27" customHeight="1" x14ac:dyDescent="0.25">
      <c r="A197" s="54" t="s">
        <v>314</v>
      </c>
      <c r="B197" s="54" t="s">
        <v>315</v>
      </c>
      <c r="C197" s="31">
        <v>4301031230</v>
      </c>
      <c r="D197" s="545">
        <v>4680115882690</v>
      </c>
      <c r="E197" s="546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109</v>
      </c>
      <c r="L197" s="32" t="s">
        <v>199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4301031220</v>
      </c>
      <c r="D198" s="545">
        <v>4680115882669</v>
      </c>
      <c r="E198" s="546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109</v>
      </c>
      <c r="L198" s="32" t="s">
        <v>199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350</v>
      </c>
      <c r="Y198" s="542">
        <f t="shared" si="10"/>
        <v>351</v>
      </c>
      <c r="Z198" s="36">
        <f>IFERROR(IF(Y198=0,"",ROUNDUP(Y198/H198,0)*0.00902),"")</f>
        <v>0.58630000000000004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363.61111111111109</v>
      </c>
      <c r="BN198" s="64">
        <f t="shared" si="12"/>
        <v>364.65</v>
      </c>
      <c r="BO198" s="64">
        <f t="shared" si="13"/>
        <v>0.49102132435465767</v>
      </c>
      <c r="BP198" s="64">
        <f t="shared" si="14"/>
        <v>0.49242424242424243</v>
      </c>
    </row>
    <row r="199" spans="1:68" ht="27" customHeight="1" x14ac:dyDescent="0.25">
      <c r="A199" s="54" t="s">
        <v>320</v>
      </c>
      <c r="B199" s="54" t="s">
        <v>321</v>
      </c>
      <c r="C199" s="31">
        <v>4301031221</v>
      </c>
      <c r="D199" s="545">
        <v>4680115882676</v>
      </c>
      <c r="E199" s="546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109</v>
      </c>
      <c r="L199" s="32" t="s">
        <v>199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30</v>
      </c>
      <c r="Y199" s="542">
        <f t="shared" si="10"/>
        <v>32.400000000000006</v>
      </c>
      <c r="Z199" s="36">
        <f>IFERROR(IF(Y199=0,"",ROUNDUP(Y199/H199,0)*0.00902),"")</f>
        <v>5.4120000000000001E-2</v>
      </c>
      <c r="AA199" s="56"/>
      <c r="AB199" s="57"/>
      <c r="AC199" s="235" t="s">
        <v>322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31.166666666666668</v>
      </c>
      <c r="BN199" s="64">
        <f t="shared" si="12"/>
        <v>33.660000000000004</v>
      </c>
      <c r="BO199" s="64">
        <f t="shared" si="13"/>
        <v>4.208754208754209E-2</v>
      </c>
      <c r="BP199" s="64">
        <f t="shared" si="14"/>
        <v>4.5454545454545463E-2</v>
      </c>
    </row>
    <row r="200" spans="1:68" ht="27" customHeight="1" x14ac:dyDescent="0.25">
      <c r="A200" s="54" t="s">
        <v>323</v>
      </c>
      <c r="B200" s="54" t="s">
        <v>324</v>
      </c>
      <c r="C200" s="31">
        <v>4301031223</v>
      </c>
      <c r="D200" s="545">
        <v>4680115884014</v>
      </c>
      <c r="E200" s="546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274</v>
      </c>
      <c r="M200" s="33" t="s">
        <v>68</v>
      </c>
      <c r="N200" s="33"/>
      <c r="O200" s="32">
        <v>40</v>
      </c>
      <c r="P200" s="8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180</v>
      </c>
      <c r="Y200" s="542">
        <f t="shared" si="10"/>
        <v>180</v>
      </c>
      <c r="Z200" s="36">
        <f>IFERROR(IF(Y200=0,"",ROUNDUP(Y200/H200,0)*0.00502),"")</f>
        <v>0.502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192.99999999999997</v>
      </c>
      <c r="BN200" s="64">
        <f t="shared" si="12"/>
        <v>192.99999999999997</v>
      </c>
      <c r="BO200" s="64">
        <f t="shared" si="13"/>
        <v>0.42735042735042739</v>
      </c>
      <c r="BP200" s="64">
        <f t="shared" si="14"/>
        <v>0.42735042735042739</v>
      </c>
    </row>
    <row r="201" spans="1:68" ht="27" customHeight="1" x14ac:dyDescent="0.25">
      <c r="A201" s="54" t="s">
        <v>325</v>
      </c>
      <c r="B201" s="54" t="s">
        <v>326</v>
      </c>
      <c r="C201" s="31">
        <v>4301031222</v>
      </c>
      <c r="D201" s="545">
        <v>4680115884007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274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75</v>
      </c>
      <c r="Y201" s="542">
        <f t="shared" si="10"/>
        <v>75.600000000000009</v>
      </c>
      <c r="Z201" s="36">
        <f>IFERROR(IF(Y201=0,"",ROUNDUP(Y201/H201,0)*0.00502),"")</f>
        <v>0.21084</v>
      </c>
      <c r="AA201" s="56"/>
      <c r="AB201" s="57"/>
      <c r="AC201" s="239" t="s">
        <v>316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79.166666666666671</v>
      </c>
      <c r="BN201" s="64">
        <f t="shared" si="12"/>
        <v>79.800000000000011</v>
      </c>
      <c r="BO201" s="64">
        <f t="shared" si="13"/>
        <v>0.17806267806267806</v>
      </c>
      <c r="BP201" s="64">
        <f t="shared" si="14"/>
        <v>0.17948717948717954</v>
      </c>
    </row>
    <row r="202" spans="1:68" ht="27" customHeight="1" x14ac:dyDescent="0.25">
      <c r="A202" s="54" t="s">
        <v>327</v>
      </c>
      <c r="B202" s="54" t="s">
        <v>328</v>
      </c>
      <c r="C202" s="31">
        <v>4301031229</v>
      </c>
      <c r="D202" s="545">
        <v>4680115884038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274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75</v>
      </c>
      <c r="Y202" s="542">
        <f t="shared" si="10"/>
        <v>75.600000000000009</v>
      </c>
      <c r="Z202" s="36">
        <f>IFERROR(IF(Y202=0,"",ROUNDUP(Y202/H202,0)*0.00502),"")</f>
        <v>0.21084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79.166666666666671</v>
      </c>
      <c r="BN202" s="64">
        <f t="shared" si="12"/>
        <v>79.800000000000011</v>
      </c>
      <c r="BO202" s="64">
        <f t="shared" si="13"/>
        <v>0.17806267806267806</v>
      </c>
      <c r="BP202" s="64">
        <f t="shared" si="14"/>
        <v>0.17948717948717954</v>
      </c>
    </row>
    <row r="203" spans="1:68" ht="27" customHeight="1" x14ac:dyDescent="0.25">
      <c r="A203" s="54" t="s">
        <v>329</v>
      </c>
      <c r="B203" s="54" t="s">
        <v>330</v>
      </c>
      <c r="C203" s="31">
        <v>4301031225</v>
      </c>
      <c r="D203" s="545">
        <v>4680115884021</v>
      </c>
      <c r="E203" s="546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274</v>
      </c>
      <c r="M203" s="33" t="s">
        <v>68</v>
      </c>
      <c r="N203" s="33"/>
      <c r="O203" s="32">
        <v>40</v>
      </c>
      <c r="P203" s="71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1">
        <v>60</v>
      </c>
      <c r="Y203" s="542">
        <f t="shared" si="10"/>
        <v>61.2</v>
      </c>
      <c r="Z203" s="36">
        <f>IFERROR(IF(Y203=0,"",ROUNDUP(Y203/H203,0)*0.00502),"")</f>
        <v>0.17068</v>
      </c>
      <c r="AA203" s="56"/>
      <c r="AB203" s="57"/>
      <c r="AC203" s="243" t="s">
        <v>322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63.333333333333329</v>
      </c>
      <c r="BN203" s="64">
        <f t="shared" si="12"/>
        <v>64.599999999999994</v>
      </c>
      <c r="BO203" s="64">
        <f t="shared" si="13"/>
        <v>0.14245014245014248</v>
      </c>
      <c r="BP203" s="64">
        <f t="shared" si="14"/>
        <v>0.14529914529914531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71</v>
      </c>
      <c r="Q204" s="562"/>
      <c r="R204" s="562"/>
      <c r="S204" s="562"/>
      <c r="T204" s="562"/>
      <c r="U204" s="562"/>
      <c r="V204" s="563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309.25925925925924</v>
      </c>
      <c r="Y204" s="543">
        <f>IFERROR(Y196/H196,"0")+IFERROR(Y197/H197,"0")+IFERROR(Y198/H198,"0")+IFERROR(Y199/H199,"0")+IFERROR(Y200/H200,"0")+IFERROR(Y201/H201,"0")+IFERROR(Y202/H202,"0")+IFERROR(Y203/H203,"0")</f>
        <v>312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1.9422399999999997</v>
      </c>
      <c r="AA204" s="544"/>
      <c r="AB204" s="544"/>
      <c r="AC204" s="544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71</v>
      </c>
      <c r="Q205" s="562"/>
      <c r="R205" s="562"/>
      <c r="S205" s="562"/>
      <c r="T205" s="562"/>
      <c r="U205" s="562"/>
      <c r="V205" s="563"/>
      <c r="W205" s="37" t="s">
        <v>69</v>
      </c>
      <c r="X205" s="543">
        <f>IFERROR(SUM(X196:X203),"0")</f>
        <v>890</v>
      </c>
      <c r="Y205" s="543">
        <f>IFERROR(SUM(Y196:Y203),"0")</f>
        <v>900.00000000000011</v>
      </c>
      <c r="Z205" s="37"/>
      <c r="AA205" s="544"/>
      <c r="AB205" s="544"/>
      <c r="AC205" s="544"/>
    </row>
    <row r="206" spans="1:68" ht="14.25" customHeight="1" x14ac:dyDescent="0.25">
      <c r="A206" s="557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7"/>
      <c r="AB206" s="537"/>
      <c r="AC206" s="537"/>
    </row>
    <row r="207" spans="1:68" ht="27" customHeight="1" x14ac:dyDescent="0.25">
      <c r="A207" s="54" t="s">
        <v>331</v>
      </c>
      <c r="B207" s="54" t="s">
        <v>332</v>
      </c>
      <c r="C207" s="31">
        <v>4301051408</v>
      </c>
      <c r="D207" s="545">
        <v>4680115881594</v>
      </c>
      <c r="E207" s="546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4301051411</v>
      </c>
      <c r="D208" s="545">
        <v>4680115881617</v>
      </c>
      <c r="E208" s="546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4301051656</v>
      </c>
      <c r="D209" s="545">
        <v>4680115880573</v>
      </c>
      <c r="E209" s="546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150</v>
      </c>
      <c r="Y209" s="542">
        <f t="shared" si="15"/>
        <v>156.6</v>
      </c>
      <c r="Z209" s="36">
        <f>IFERROR(IF(Y209=0,"",ROUNDUP(Y209/H209,0)*0.01898),"")</f>
        <v>0.34164</v>
      </c>
      <c r="AA209" s="56"/>
      <c r="AB209" s="57"/>
      <c r="AC209" s="249" t="s">
        <v>339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158.94827586206898</v>
      </c>
      <c r="BN209" s="64">
        <f t="shared" si="17"/>
        <v>165.94200000000001</v>
      </c>
      <c r="BO209" s="64">
        <f t="shared" si="18"/>
        <v>0.26939655172413796</v>
      </c>
      <c r="BP209" s="64">
        <f t="shared" si="19"/>
        <v>0.28125</v>
      </c>
    </row>
    <row r="210" spans="1:68" ht="27" customHeight="1" x14ac:dyDescent="0.25">
      <c r="A210" s="54" t="s">
        <v>340</v>
      </c>
      <c r="B210" s="54" t="s">
        <v>341</v>
      </c>
      <c r="C210" s="31">
        <v>4301051407</v>
      </c>
      <c r="D210" s="545">
        <v>4680115882195</v>
      </c>
      <c r="E210" s="546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216</v>
      </c>
      <c r="M210" s="33" t="s">
        <v>77</v>
      </c>
      <c r="N210" s="33"/>
      <c r="O210" s="32">
        <v>40</v>
      </c>
      <c r="P21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400</v>
      </c>
      <c r="Y210" s="542">
        <f t="shared" si="15"/>
        <v>400.8</v>
      </c>
      <c r="Z210" s="36">
        <f t="shared" ref="Z210:Z215" si="20">IFERROR(IF(Y210=0,"",ROUNDUP(Y210/H210,0)*0.00651),"")</f>
        <v>1.08717</v>
      </c>
      <c r="AA210" s="56"/>
      <c r="AB210" s="57"/>
      <c r="AC210" s="251" t="s">
        <v>333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445</v>
      </c>
      <c r="BN210" s="64">
        <f t="shared" si="17"/>
        <v>445.89</v>
      </c>
      <c r="BO210" s="64">
        <f t="shared" si="18"/>
        <v>0.91575091575091594</v>
      </c>
      <c r="BP210" s="64">
        <f t="shared" si="19"/>
        <v>0.91758241758241765</v>
      </c>
    </row>
    <row r="211" spans="1:68" ht="27" customHeight="1" x14ac:dyDescent="0.25">
      <c r="A211" s="54" t="s">
        <v>342</v>
      </c>
      <c r="B211" s="54" t="s">
        <v>343</v>
      </c>
      <c r="C211" s="31">
        <v>4301051752</v>
      </c>
      <c r="D211" s="545">
        <v>4680115882607</v>
      </c>
      <c r="E211" s="546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344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345</v>
      </c>
      <c r="B212" s="54" t="s">
        <v>346</v>
      </c>
      <c r="C212" s="31">
        <v>4301051666</v>
      </c>
      <c r="D212" s="545">
        <v>4680115880092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216</v>
      </c>
      <c r="M212" s="33" t="s">
        <v>77</v>
      </c>
      <c r="N212" s="33"/>
      <c r="O212" s="32">
        <v>45</v>
      </c>
      <c r="P212" s="74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320</v>
      </c>
      <c r="Y212" s="542">
        <f t="shared" si="15"/>
        <v>321.59999999999997</v>
      </c>
      <c r="Z212" s="36">
        <f t="shared" si="20"/>
        <v>0.87234</v>
      </c>
      <c r="AA212" s="56"/>
      <c r="AB212" s="57"/>
      <c r="AC212" s="255" t="s">
        <v>339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353.60000000000008</v>
      </c>
      <c r="BN212" s="64">
        <f t="shared" si="17"/>
        <v>355.36799999999999</v>
      </c>
      <c r="BO212" s="64">
        <f t="shared" si="18"/>
        <v>0.73260073260073266</v>
      </c>
      <c r="BP212" s="64">
        <f t="shared" si="19"/>
        <v>0.73626373626373631</v>
      </c>
    </row>
    <row r="213" spans="1:68" ht="27" customHeight="1" x14ac:dyDescent="0.25">
      <c r="A213" s="54" t="s">
        <v>347</v>
      </c>
      <c r="B213" s="54" t="s">
        <v>348</v>
      </c>
      <c r="C213" s="31">
        <v>4301051668</v>
      </c>
      <c r="D213" s="545">
        <v>4680115880221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/>
      <c r="M213" s="33" t="s">
        <v>77</v>
      </c>
      <c r="N213" s="33"/>
      <c r="O213" s="32">
        <v>45</v>
      </c>
      <c r="P213" s="5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339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4301051945</v>
      </c>
      <c r="D214" s="545">
        <v>4680115880504</v>
      </c>
      <c r="E214" s="546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216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104</v>
      </c>
      <c r="Y214" s="542">
        <f t="shared" si="15"/>
        <v>105.6</v>
      </c>
      <c r="Z214" s="36">
        <f t="shared" si="20"/>
        <v>0.28644000000000003</v>
      </c>
      <c r="AA214" s="56"/>
      <c r="AB214" s="57"/>
      <c r="AC214" s="259" t="s">
        <v>351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114.92</v>
      </c>
      <c r="BN214" s="64">
        <f t="shared" si="17"/>
        <v>116.688</v>
      </c>
      <c r="BO214" s="64">
        <f t="shared" si="18"/>
        <v>0.23809523809523814</v>
      </c>
      <c r="BP214" s="64">
        <f t="shared" si="19"/>
        <v>0.24175824175824179</v>
      </c>
    </row>
    <row r="215" spans="1:68" ht="27" customHeight="1" x14ac:dyDescent="0.25">
      <c r="A215" s="54" t="s">
        <v>352</v>
      </c>
      <c r="B215" s="54" t="s">
        <v>353</v>
      </c>
      <c r="C215" s="31">
        <v>4301051410</v>
      </c>
      <c r="D215" s="545">
        <v>4680115882164</v>
      </c>
      <c r="E215" s="546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216</v>
      </c>
      <c r="M215" s="33" t="s">
        <v>77</v>
      </c>
      <c r="N215" s="33"/>
      <c r="O215" s="32">
        <v>40</v>
      </c>
      <c r="P215" s="5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1">
        <v>280</v>
      </c>
      <c r="Y215" s="542">
        <f t="shared" si="15"/>
        <v>280.8</v>
      </c>
      <c r="Z215" s="36">
        <f t="shared" si="20"/>
        <v>0.76167000000000007</v>
      </c>
      <c r="AA215" s="56"/>
      <c r="AB215" s="57"/>
      <c r="AC215" s="261" t="s">
        <v>336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310.10000000000002</v>
      </c>
      <c r="BN215" s="64">
        <f t="shared" si="17"/>
        <v>310.98599999999999</v>
      </c>
      <c r="BO215" s="64">
        <f t="shared" si="18"/>
        <v>0.64102564102564108</v>
      </c>
      <c r="BP215" s="64">
        <f t="shared" si="19"/>
        <v>0.64285714285714302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71</v>
      </c>
      <c r="Q216" s="562"/>
      <c r="R216" s="562"/>
      <c r="S216" s="562"/>
      <c r="T216" s="562"/>
      <c r="U216" s="562"/>
      <c r="V216" s="563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477.24137931034488</v>
      </c>
      <c r="Y216" s="543">
        <f>IFERROR(Y207/H207,"0")+IFERROR(Y208/H208,"0")+IFERROR(Y209/H209,"0")+IFERROR(Y210/H210,"0")+IFERROR(Y211/H211,"0")+IFERROR(Y212/H212,"0")+IFERROR(Y213/H213,"0")+IFERROR(Y214/H214,"0")+IFERROR(Y215/H215,"0")</f>
        <v>480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3.3492599999999997</v>
      </c>
      <c r="AA216" s="544"/>
      <c r="AB216" s="544"/>
      <c r="AC216" s="544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71</v>
      </c>
      <c r="Q217" s="562"/>
      <c r="R217" s="562"/>
      <c r="S217" s="562"/>
      <c r="T217" s="562"/>
      <c r="U217" s="562"/>
      <c r="V217" s="563"/>
      <c r="W217" s="37" t="s">
        <v>69</v>
      </c>
      <c r="X217" s="543">
        <f>IFERROR(SUM(X207:X215),"0")</f>
        <v>1254</v>
      </c>
      <c r="Y217" s="543">
        <f>IFERROR(SUM(Y207:Y215),"0")</f>
        <v>1265.4000000000001</v>
      </c>
      <c r="Z217" s="37"/>
      <c r="AA217" s="544"/>
      <c r="AB217" s="544"/>
      <c r="AC217" s="544"/>
    </row>
    <row r="218" spans="1:68" ht="14.25" customHeight="1" x14ac:dyDescent="0.25">
      <c r="A218" s="557" t="s">
        <v>165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7"/>
      <c r="AB218" s="537"/>
      <c r="AC218" s="537"/>
    </row>
    <row r="219" spans="1:68" ht="27" customHeight="1" x14ac:dyDescent="0.25">
      <c r="A219" s="54" t="s">
        <v>354</v>
      </c>
      <c r="B219" s="54" t="s">
        <v>355</v>
      </c>
      <c r="C219" s="31">
        <v>4301060463</v>
      </c>
      <c r="D219" s="545">
        <v>4680115880818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216</v>
      </c>
      <c r="M219" s="33" t="s">
        <v>84</v>
      </c>
      <c r="N219" s="33"/>
      <c r="O219" s="32">
        <v>40</v>
      </c>
      <c r="P21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40</v>
      </c>
      <c r="Y219" s="542">
        <f>IFERROR(IF(X219="",0,CEILING((X219/$H219),1)*$H219),"")</f>
        <v>40.799999999999997</v>
      </c>
      <c r="Z219" s="36">
        <f>IFERROR(IF(Y219=0,"",ROUNDUP(Y219/H219,0)*0.00651),"")</f>
        <v>0.11067</v>
      </c>
      <c r="AA219" s="56"/>
      <c r="AB219" s="57"/>
      <c r="AC219" s="263" t="s">
        <v>356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44.20000000000001</v>
      </c>
      <c r="BN219" s="64">
        <f>IFERROR(Y219*I219/H219,"0")</f>
        <v>45.084000000000003</v>
      </c>
      <c r="BO219" s="64">
        <f>IFERROR(1/J219*(X219/H219),"0")</f>
        <v>9.1575091575091583E-2</v>
      </c>
      <c r="BP219" s="64">
        <f>IFERROR(1/J219*(Y219/H219),"0")</f>
        <v>9.3406593406593408E-2</v>
      </c>
    </row>
    <row r="220" spans="1:68" ht="37.5" customHeight="1" x14ac:dyDescent="0.25">
      <c r="A220" s="54" t="s">
        <v>357</v>
      </c>
      <c r="B220" s="54" t="s">
        <v>358</v>
      </c>
      <c r="C220" s="31">
        <v>4301060389</v>
      </c>
      <c r="D220" s="545">
        <v>4680115880801</v>
      </c>
      <c r="E220" s="546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216</v>
      </c>
      <c r="M220" s="33" t="s">
        <v>77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8"/>
      <c r="R220" s="548"/>
      <c r="S220" s="548"/>
      <c r="T220" s="549"/>
      <c r="U220" s="34"/>
      <c r="V220" s="34"/>
      <c r="W220" s="35" t="s">
        <v>69</v>
      </c>
      <c r="X220" s="541">
        <v>28</v>
      </c>
      <c r="Y220" s="542">
        <f>IFERROR(IF(X220="",0,CEILING((X220/$H220),1)*$H220),"")</f>
        <v>28.799999999999997</v>
      </c>
      <c r="Z220" s="36">
        <f>IFERROR(IF(Y220=0,"",ROUNDUP(Y220/H220,0)*0.00651),"")</f>
        <v>7.8119999999999995E-2</v>
      </c>
      <c r="AA220" s="56"/>
      <c r="AB220" s="57"/>
      <c r="AC220" s="265" t="s">
        <v>359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30.94</v>
      </c>
      <c r="BN220" s="64">
        <f>IFERROR(Y220*I220/H220,"0")</f>
        <v>31.824000000000002</v>
      </c>
      <c r="BO220" s="64">
        <f>IFERROR(1/J220*(X220/H220),"0")</f>
        <v>6.4102564102564111E-2</v>
      </c>
      <c r="BP220" s="64">
        <f>IFERROR(1/J220*(Y220/H220),"0")</f>
        <v>6.5934065934065936E-2</v>
      </c>
    </row>
    <row r="221" spans="1:68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71</v>
      </c>
      <c r="Q221" s="562"/>
      <c r="R221" s="562"/>
      <c r="S221" s="562"/>
      <c r="T221" s="562"/>
      <c r="U221" s="562"/>
      <c r="V221" s="563"/>
      <c r="W221" s="37" t="s">
        <v>72</v>
      </c>
      <c r="X221" s="543">
        <f>IFERROR(X219/H219,"0")+IFERROR(X220/H220,"0")</f>
        <v>28.333333333333336</v>
      </c>
      <c r="Y221" s="543">
        <f>IFERROR(Y219/H219,"0")+IFERROR(Y220/H220,"0")</f>
        <v>29</v>
      </c>
      <c r="Z221" s="543">
        <f>IFERROR(IF(Z219="",0,Z219),"0")+IFERROR(IF(Z220="",0,Z220),"0")</f>
        <v>0.18879000000000001</v>
      </c>
      <c r="AA221" s="544"/>
      <c r="AB221" s="544"/>
      <c r="AC221" s="544"/>
    </row>
    <row r="222" spans="1:68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71</v>
      </c>
      <c r="Q222" s="562"/>
      <c r="R222" s="562"/>
      <c r="S222" s="562"/>
      <c r="T222" s="562"/>
      <c r="U222" s="562"/>
      <c r="V222" s="563"/>
      <c r="W222" s="37" t="s">
        <v>69</v>
      </c>
      <c r="X222" s="543">
        <f>IFERROR(SUM(X219:X220),"0")</f>
        <v>68</v>
      </c>
      <c r="Y222" s="543">
        <f>IFERROR(SUM(Y219:Y220),"0")</f>
        <v>69.599999999999994</v>
      </c>
      <c r="Z222" s="37"/>
      <c r="AA222" s="544"/>
      <c r="AB222" s="544"/>
      <c r="AC222" s="544"/>
    </row>
    <row r="223" spans="1:68" ht="16.5" customHeight="1" x14ac:dyDescent="0.25">
      <c r="A223" s="558" t="s">
        <v>360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6"/>
      <c r="AB223" s="536"/>
      <c r="AC223" s="536"/>
    </row>
    <row r="224" spans="1:68" ht="14.25" customHeight="1" x14ac:dyDescent="0.25">
      <c r="A224" s="557" t="s">
        <v>99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7"/>
      <c r="AB224" s="537"/>
      <c r="AC224" s="537"/>
    </row>
    <row r="225" spans="1:68" ht="27" customHeight="1" x14ac:dyDescent="0.25">
      <c r="A225" s="54" t="s">
        <v>361</v>
      </c>
      <c r="B225" s="54" t="s">
        <v>362</v>
      </c>
      <c r="C225" s="31">
        <v>4301011826</v>
      </c>
      <c r="D225" s="545">
        <v>4680115884137</v>
      </c>
      <c r="E225" s="546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40</v>
      </c>
      <c r="Y225" s="542">
        <f t="shared" ref="Y225:Y234" si="21">IFERROR(IF(X225="",0,CEILING((X225/$H225),1)*$H225),"")</f>
        <v>46.4</v>
      </c>
      <c r="Z225" s="36">
        <f>IFERROR(IF(Y225=0,"",ROUNDUP(Y225/H225,0)*0.01898),"")</f>
        <v>7.5920000000000001E-2</v>
      </c>
      <c r="AA225" s="56"/>
      <c r="AB225" s="57"/>
      <c r="AC225" s="267" t="s">
        <v>363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41.5</v>
      </c>
      <c r="BN225" s="64">
        <f t="shared" ref="BN225:BN234" si="23">IFERROR(Y225*I225/H225,"0")</f>
        <v>48.14</v>
      </c>
      <c r="BO225" s="64">
        <f t="shared" ref="BO225:BO234" si="24">IFERROR(1/J225*(X225/H225),"0")</f>
        <v>5.387931034482759E-2</v>
      </c>
      <c r="BP225" s="64">
        <f t="shared" ref="BP225:BP234" si="25">IFERROR(1/J225*(Y225/H225),"0")</f>
        <v>6.25E-2</v>
      </c>
    </row>
    <row r="226" spans="1:68" ht="27" customHeight="1" x14ac:dyDescent="0.25">
      <c r="A226" s="54" t="s">
        <v>364</v>
      </c>
      <c r="B226" s="54" t="s">
        <v>365</v>
      </c>
      <c r="C226" s="31">
        <v>4301011724</v>
      </c>
      <c r="D226" s="545">
        <v>4680115884236</v>
      </c>
      <c r="E226" s="546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4301011721</v>
      </c>
      <c r="D227" s="545">
        <v>4680115884175</v>
      </c>
      <c r="E227" s="546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102</v>
      </c>
      <c r="L227" s="32" t="s">
        <v>103</v>
      </c>
      <c r="M227" s="33" t="s">
        <v>104</v>
      </c>
      <c r="N227" s="33"/>
      <c r="O227" s="32">
        <v>55</v>
      </c>
      <c r="P227" s="7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100</v>
      </c>
      <c r="Y227" s="542">
        <f t="shared" si="21"/>
        <v>104.39999999999999</v>
      </c>
      <c r="Z227" s="36">
        <f>IFERROR(IF(Y227=0,"",ROUNDUP(Y227/H227,0)*0.01898),"")</f>
        <v>0.17082</v>
      </c>
      <c r="AA227" s="56"/>
      <c r="AB227" s="57"/>
      <c r="AC227" s="271" t="s">
        <v>369</v>
      </c>
      <c r="AG227" s="64"/>
      <c r="AJ227" s="68" t="s">
        <v>106</v>
      </c>
      <c r="AK227" s="68">
        <v>92.8</v>
      </c>
      <c r="BB227" s="272" t="s">
        <v>1</v>
      </c>
      <c r="BM227" s="64">
        <f t="shared" si="22"/>
        <v>103.75</v>
      </c>
      <c r="BN227" s="64">
        <f t="shared" si="23"/>
        <v>108.315</v>
      </c>
      <c r="BO227" s="64">
        <f t="shared" si="24"/>
        <v>0.13469827586206898</v>
      </c>
      <c r="BP227" s="64">
        <f t="shared" si="25"/>
        <v>0.140625</v>
      </c>
    </row>
    <row r="228" spans="1:68" ht="27" customHeight="1" x14ac:dyDescent="0.25">
      <c r="A228" s="54" t="s">
        <v>370</v>
      </c>
      <c r="B228" s="54" t="s">
        <v>371</v>
      </c>
      <c r="C228" s="31">
        <v>4301011824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109</v>
      </c>
      <c r="L228" s="32" t="s">
        <v>199</v>
      </c>
      <c r="M228" s="33" t="s">
        <v>104</v>
      </c>
      <c r="N228" s="33"/>
      <c r="O228" s="32">
        <v>55</v>
      </c>
      <c r="P228" s="8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60</v>
      </c>
      <c r="Y228" s="542">
        <f t="shared" si="21"/>
        <v>60</v>
      </c>
      <c r="Z228" s="36">
        <f>IFERROR(IF(Y228=0,"",ROUNDUP(Y228/H228,0)*0.00902),"")</f>
        <v>0.1353</v>
      </c>
      <c r="AA228" s="56"/>
      <c r="AB228" s="57"/>
      <c r="AC228" s="273" t="s">
        <v>363</v>
      </c>
      <c r="AG228" s="64"/>
      <c r="AJ228" s="68" t="s">
        <v>106</v>
      </c>
      <c r="AK228" s="68">
        <v>48</v>
      </c>
      <c r="BB228" s="274" t="s">
        <v>1</v>
      </c>
      <c r="BM228" s="64">
        <f t="shared" si="22"/>
        <v>63.15</v>
      </c>
      <c r="BN228" s="64">
        <f t="shared" si="23"/>
        <v>63.15</v>
      </c>
      <c r="BO228" s="64">
        <f t="shared" si="24"/>
        <v>0.11363636363636365</v>
      </c>
      <c r="BP228" s="64">
        <f t="shared" si="25"/>
        <v>0.11363636363636365</v>
      </c>
    </row>
    <row r="229" spans="1:68" ht="27" customHeight="1" x14ac:dyDescent="0.25">
      <c r="A229" s="54" t="s">
        <v>370</v>
      </c>
      <c r="B229" s="54" t="s">
        <v>372</v>
      </c>
      <c r="C229" s="31">
        <v>4301012196</v>
      </c>
      <c r="D229" s="545">
        <v>4680115884144</v>
      </c>
      <c r="E229" s="546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363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4301012149</v>
      </c>
      <c r="D230" s="545">
        <v>4680115886551</v>
      </c>
      <c r="E230" s="546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375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376</v>
      </c>
      <c r="B231" s="54" t="s">
        <v>377</v>
      </c>
      <c r="C231" s="31">
        <v>4301011726</v>
      </c>
      <c r="D231" s="545">
        <v>4680115884182</v>
      </c>
      <c r="E231" s="546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378</v>
      </c>
      <c r="B232" s="54" t="s">
        <v>379</v>
      </c>
      <c r="C232" s="31">
        <v>4301012228</v>
      </c>
      <c r="D232" s="545">
        <v>4680115887282</v>
      </c>
      <c r="E232" s="546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380</v>
      </c>
      <c r="B233" s="54" t="s">
        <v>381</v>
      </c>
      <c r="C233" s="31">
        <v>4301011722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109</v>
      </c>
      <c r="L233" s="32" t="s">
        <v>199</v>
      </c>
      <c r="M233" s="33" t="s">
        <v>104</v>
      </c>
      <c r="N233" s="33"/>
      <c r="O233" s="32">
        <v>55</v>
      </c>
      <c r="P233" s="73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80</v>
      </c>
      <c r="Y233" s="542">
        <f t="shared" si="21"/>
        <v>80</v>
      </c>
      <c r="Z233" s="36">
        <f>IFERROR(IF(Y233=0,"",ROUNDUP(Y233/H233,0)*0.00902),"")</f>
        <v>0.1804</v>
      </c>
      <c r="AA233" s="56"/>
      <c r="AB233" s="57"/>
      <c r="AC233" s="283" t="s">
        <v>369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84.2</v>
      </c>
      <c r="BN233" s="64">
        <f t="shared" si="23"/>
        <v>84.2</v>
      </c>
      <c r="BO233" s="64">
        <f t="shared" si="24"/>
        <v>0.15151515151515152</v>
      </c>
      <c r="BP233" s="64">
        <f t="shared" si="25"/>
        <v>0.15151515151515152</v>
      </c>
    </row>
    <row r="234" spans="1:68" ht="27" customHeight="1" x14ac:dyDescent="0.25">
      <c r="A234" s="54" t="s">
        <v>380</v>
      </c>
      <c r="B234" s="54" t="s">
        <v>382</v>
      </c>
      <c r="C234" s="31">
        <v>4301012195</v>
      </c>
      <c r="D234" s="545">
        <v>4680115884205</v>
      </c>
      <c r="E234" s="546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369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71</v>
      </c>
      <c r="Q235" s="562"/>
      <c r="R235" s="562"/>
      <c r="S235" s="562"/>
      <c r="T235" s="562"/>
      <c r="U235" s="562"/>
      <c r="V235" s="563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47.068965517241381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48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0.56244000000000005</v>
      </c>
      <c r="AA235" s="544"/>
      <c r="AB235" s="544"/>
      <c r="AC235" s="544"/>
    </row>
    <row r="236" spans="1:68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71</v>
      </c>
      <c r="Q236" s="562"/>
      <c r="R236" s="562"/>
      <c r="S236" s="562"/>
      <c r="T236" s="562"/>
      <c r="U236" s="562"/>
      <c r="V236" s="563"/>
      <c r="W236" s="37" t="s">
        <v>69</v>
      </c>
      <c r="X236" s="543">
        <f>IFERROR(SUM(X225:X234),"0")</f>
        <v>280</v>
      </c>
      <c r="Y236" s="543">
        <f>IFERROR(SUM(Y225:Y234),"0")</f>
        <v>290.79999999999995</v>
      </c>
      <c r="Z236" s="37"/>
      <c r="AA236" s="544"/>
      <c r="AB236" s="544"/>
      <c r="AC236" s="544"/>
    </row>
    <row r="237" spans="1:68" ht="14.25" customHeight="1" x14ac:dyDescent="0.25">
      <c r="A237" s="557" t="s">
        <v>135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7"/>
      <c r="AB237" s="537"/>
      <c r="AC237" s="537"/>
    </row>
    <row r="238" spans="1:68" ht="27" customHeight="1" x14ac:dyDescent="0.25">
      <c r="A238" s="54" t="s">
        <v>383</v>
      </c>
      <c r="B238" s="54" t="s">
        <v>384</v>
      </c>
      <c r="C238" s="31">
        <v>4301020377</v>
      </c>
      <c r="D238" s="545">
        <v>4680115885981</v>
      </c>
      <c r="E238" s="546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385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71</v>
      </c>
      <c r="Q239" s="562"/>
      <c r="R239" s="562"/>
      <c r="S239" s="562"/>
      <c r="T239" s="562"/>
      <c r="U239" s="562"/>
      <c r="V239" s="563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71</v>
      </c>
      <c r="Q240" s="562"/>
      <c r="R240" s="562"/>
      <c r="S240" s="562"/>
      <c r="T240" s="562"/>
      <c r="U240" s="562"/>
      <c r="V240" s="563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7" t="s">
        <v>386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7"/>
      <c r="AB241" s="537"/>
      <c r="AC241" s="537"/>
    </row>
    <row r="242" spans="1:68" ht="27" customHeight="1" x14ac:dyDescent="0.25">
      <c r="A242" s="54" t="s">
        <v>387</v>
      </c>
      <c r="B242" s="54" t="s">
        <v>388</v>
      </c>
      <c r="C242" s="31">
        <v>4301040362</v>
      </c>
      <c r="D242" s="545">
        <v>4680115886803</v>
      </c>
      <c r="E242" s="546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289</v>
      </c>
      <c r="L242" s="32"/>
      <c r="M242" s="33" t="s">
        <v>290</v>
      </c>
      <c r="N242" s="33"/>
      <c r="O242" s="32">
        <v>45</v>
      </c>
      <c r="P242" s="6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8"/>
      <c r="R242" s="548"/>
      <c r="S242" s="548"/>
      <c r="T242" s="549"/>
      <c r="U242" s="34"/>
      <c r="V242" s="34"/>
      <c r="W242" s="35" t="s">
        <v>69</v>
      </c>
      <c r="X242" s="541">
        <v>12</v>
      </c>
      <c r="Y242" s="542">
        <f>IFERROR(IF(X242="",0,CEILING((X242/$H242),1)*$H242),"")</f>
        <v>12.6</v>
      </c>
      <c r="Z242" s="36">
        <f>IFERROR(IF(Y242=0,"",ROUNDUP(Y242/H242,0)*0.0059),"")</f>
        <v>4.1299999999999996E-2</v>
      </c>
      <c r="AA242" s="56"/>
      <c r="AB242" s="57"/>
      <c r="AC242" s="289" t="s">
        <v>389</v>
      </c>
      <c r="AG242" s="64"/>
      <c r="AJ242" s="68"/>
      <c r="AK242" s="68">
        <v>0</v>
      </c>
      <c r="BB242" s="290" t="s">
        <v>1</v>
      </c>
      <c r="BM242" s="64">
        <f>IFERROR(X242*I242/H242,"0")</f>
        <v>13.166666666666668</v>
      </c>
      <c r="BN242" s="64">
        <f>IFERROR(Y242*I242/H242,"0")</f>
        <v>13.825000000000001</v>
      </c>
      <c r="BO242" s="64">
        <f>IFERROR(1/J242*(X242/H242),"0")</f>
        <v>3.0864197530864192E-2</v>
      </c>
      <c r="BP242" s="64">
        <f>IFERROR(1/J242*(Y242/H242),"0")</f>
        <v>3.2407407407407406E-2</v>
      </c>
    </row>
    <row r="243" spans="1:68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71</v>
      </c>
      <c r="Q243" s="562"/>
      <c r="R243" s="562"/>
      <c r="S243" s="562"/>
      <c r="T243" s="562"/>
      <c r="U243" s="562"/>
      <c r="V243" s="563"/>
      <c r="W243" s="37" t="s">
        <v>72</v>
      </c>
      <c r="X243" s="543">
        <f>IFERROR(X242/H242,"0")</f>
        <v>6.6666666666666661</v>
      </c>
      <c r="Y243" s="543">
        <f>IFERROR(Y242/H242,"0")</f>
        <v>7</v>
      </c>
      <c r="Z243" s="543">
        <f>IFERROR(IF(Z242="",0,Z242),"0")</f>
        <v>4.1299999999999996E-2</v>
      </c>
      <c r="AA243" s="544"/>
      <c r="AB243" s="544"/>
      <c r="AC243" s="544"/>
    </row>
    <row r="244" spans="1:68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71</v>
      </c>
      <c r="Q244" s="562"/>
      <c r="R244" s="562"/>
      <c r="S244" s="562"/>
      <c r="T244" s="562"/>
      <c r="U244" s="562"/>
      <c r="V244" s="563"/>
      <c r="W244" s="37" t="s">
        <v>69</v>
      </c>
      <c r="X244" s="543">
        <f>IFERROR(SUM(X242:X242),"0")</f>
        <v>12</v>
      </c>
      <c r="Y244" s="543">
        <f>IFERROR(SUM(Y242:Y242),"0")</f>
        <v>12.6</v>
      </c>
      <c r="Z244" s="37"/>
      <c r="AA244" s="544"/>
      <c r="AB244" s="544"/>
      <c r="AC244" s="544"/>
    </row>
    <row r="245" spans="1:68" ht="14.25" customHeight="1" x14ac:dyDescent="0.25">
      <c r="A245" s="557" t="s">
        <v>390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7"/>
      <c r="AB245" s="537"/>
      <c r="AC245" s="537"/>
    </row>
    <row r="246" spans="1:68" ht="27" customHeight="1" x14ac:dyDescent="0.25">
      <c r="A246" s="54" t="s">
        <v>391</v>
      </c>
      <c r="B246" s="54" t="s">
        <v>392</v>
      </c>
      <c r="C246" s="31">
        <v>4301041004</v>
      </c>
      <c r="D246" s="545">
        <v>4680115886704</v>
      </c>
      <c r="E246" s="546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289</v>
      </c>
      <c r="L246" s="32"/>
      <c r="M246" s="33" t="s">
        <v>290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393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394</v>
      </c>
      <c r="B247" s="54" t="s">
        <v>395</v>
      </c>
      <c r="C247" s="31">
        <v>4301041008</v>
      </c>
      <c r="D247" s="545">
        <v>4680115886681</v>
      </c>
      <c r="E247" s="546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289</v>
      </c>
      <c r="L247" s="32"/>
      <c r="M247" s="33" t="s">
        <v>290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7.0000000000000009</v>
      </c>
      <c r="Y247" s="542">
        <f>IFERROR(IF(X247="",0,CEILING((X247/$H247),1)*$H247),"")</f>
        <v>7.2</v>
      </c>
      <c r="Z247" s="36">
        <f>IFERROR(IF(Y247=0,"",ROUNDUP(Y247/H247,0)*0.0059),"")</f>
        <v>2.3599999999999999E-2</v>
      </c>
      <c r="AA247" s="56"/>
      <c r="AB247" s="57"/>
      <c r="AC247" s="293" t="s">
        <v>393</v>
      </c>
      <c r="AG247" s="64"/>
      <c r="AJ247" s="68"/>
      <c r="AK247" s="68">
        <v>0</v>
      </c>
      <c r="BB247" s="294" t="s">
        <v>1</v>
      </c>
      <c r="BM247" s="64">
        <f>IFERROR(X247*I247/H247,"0")</f>
        <v>7.6805555555555571</v>
      </c>
      <c r="BN247" s="64">
        <f>IFERROR(Y247*I247/H247,"0")</f>
        <v>7.9</v>
      </c>
      <c r="BO247" s="64">
        <f>IFERROR(1/J247*(X247/H247),"0")</f>
        <v>1.800411522633745E-2</v>
      </c>
      <c r="BP247" s="64">
        <f>IFERROR(1/J247*(Y247/H247),"0")</f>
        <v>1.8518518518518517E-2</v>
      </c>
    </row>
    <row r="248" spans="1:68" ht="27" customHeight="1" x14ac:dyDescent="0.25">
      <c r="A248" s="54" t="s">
        <v>396</v>
      </c>
      <c r="B248" s="54" t="s">
        <v>397</v>
      </c>
      <c r="C248" s="31">
        <v>4301041007</v>
      </c>
      <c r="D248" s="545">
        <v>4680115886735</v>
      </c>
      <c r="E248" s="546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289</v>
      </c>
      <c r="L248" s="32"/>
      <c r="M248" s="33" t="s">
        <v>290</v>
      </c>
      <c r="N248" s="33"/>
      <c r="O248" s="32">
        <v>90</v>
      </c>
      <c r="P248" s="73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5.5</v>
      </c>
      <c r="Y248" s="542">
        <f>IFERROR(IF(X248="",0,CEILING((X248/$H248),1)*$H248),"")</f>
        <v>6.3</v>
      </c>
      <c r="Z248" s="36">
        <f>IFERROR(IF(Y248=0,"",ROUNDUP(Y248/H248,0)*0.0059),"")</f>
        <v>4.1299999999999996E-2</v>
      </c>
      <c r="AA248" s="56"/>
      <c r="AB248" s="57"/>
      <c r="AC248" s="295" t="s">
        <v>393</v>
      </c>
      <c r="AG248" s="64"/>
      <c r="AJ248" s="68"/>
      <c r="AK248" s="68">
        <v>0</v>
      </c>
      <c r="BB248" s="296" t="s">
        <v>1</v>
      </c>
      <c r="BM248" s="64">
        <f>IFERROR(X248*I248/H248,"0")</f>
        <v>6.6611111111111114</v>
      </c>
      <c r="BN248" s="64">
        <f>IFERROR(Y248*I248/H248,"0")</f>
        <v>7.63</v>
      </c>
      <c r="BO248" s="64">
        <f>IFERROR(1/J248*(X248/H248),"0")</f>
        <v>2.8292181069958844E-2</v>
      </c>
      <c r="BP248" s="64">
        <f>IFERROR(1/J248*(Y248/H248),"0")</f>
        <v>3.2407407407407406E-2</v>
      </c>
    </row>
    <row r="249" spans="1:68" ht="27" customHeight="1" x14ac:dyDescent="0.25">
      <c r="A249" s="54" t="s">
        <v>398</v>
      </c>
      <c r="B249" s="54" t="s">
        <v>399</v>
      </c>
      <c r="C249" s="31">
        <v>4301041006</v>
      </c>
      <c r="D249" s="545">
        <v>4680115886728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289</v>
      </c>
      <c r="L249" s="32"/>
      <c r="M249" s="33" t="s">
        <v>290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393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400</v>
      </c>
      <c r="B250" s="54" t="s">
        <v>401</v>
      </c>
      <c r="C250" s="31">
        <v>4301041005</v>
      </c>
      <c r="D250" s="545">
        <v>4680115886711</v>
      </c>
      <c r="E250" s="546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289</v>
      </c>
      <c r="L250" s="32"/>
      <c r="M250" s="33" t="s">
        <v>290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8"/>
      <c r="R250" s="548"/>
      <c r="S250" s="548"/>
      <c r="T250" s="549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393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71</v>
      </c>
      <c r="Q251" s="562"/>
      <c r="R251" s="562"/>
      <c r="S251" s="562"/>
      <c r="T251" s="562"/>
      <c r="U251" s="562"/>
      <c r="V251" s="563"/>
      <c r="W251" s="37" t="s">
        <v>72</v>
      </c>
      <c r="X251" s="543">
        <f>IFERROR(X246/H246,"0")+IFERROR(X247/H247,"0")+IFERROR(X248/H248,"0")+IFERROR(X249/H249,"0")+IFERROR(X250/H250,"0")</f>
        <v>10</v>
      </c>
      <c r="Y251" s="543">
        <f>IFERROR(Y246/H246,"0")+IFERROR(Y247/H247,"0")+IFERROR(Y248/H248,"0")+IFERROR(Y249/H249,"0")+IFERROR(Y250/H250,"0")</f>
        <v>11</v>
      </c>
      <c r="Z251" s="543">
        <f>IFERROR(IF(Z246="",0,Z246),"0")+IFERROR(IF(Z247="",0,Z247),"0")+IFERROR(IF(Z248="",0,Z248),"0")+IFERROR(IF(Z249="",0,Z249),"0")+IFERROR(IF(Z250="",0,Z250),"0")</f>
        <v>6.4899999999999999E-2</v>
      </c>
      <c r="AA251" s="544"/>
      <c r="AB251" s="544"/>
      <c r="AC251" s="544"/>
    </row>
    <row r="252" spans="1:68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71</v>
      </c>
      <c r="Q252" s="562"/>
      <c r="R252" s="562"/>
      <c r="S252" s="562"/>
      <c r="T252" s="562"/>
      <c r="U252" s="562"/>
      <c r="V252" s="563"/>
      <c r="W252" s="37" t="s">
        <v>69</v>
      </c>
      <c r="X252" s="543">
        <f>IFERROR(SUM(X246:X250),"0")</f>
        <v>12.5</v>
      </c>
      <c r="Y252" s="543">
        <f>IFERROR(SUM(Y246:Y250),"0")</f>
        <v>13.5</v>
      </c>
      <c r="Z252" s="37"/>
      <c r="AA252" s="544"/>
      <c r="AB252" s="544"/>
      <c r="AC252" s="544"/>
    </row>
    <row r="253" spans="1:68" ht="16.5" customHeight="1" x14ac:dyDescent="0.25">
      <c r="A253" s="558" t="s">
        <v>402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6"/>
      <c r="AB253" s="536"/>
      <c r="AC253" s="536"/>
    </row>
    <row r="254" spans="1:68" ht="14.25" customHeight="1" x14ac:dyDescent="0.25">
      <c r="A254" s="557" t="s">
        <v>99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7"/>
      <c r="AB254" s="537"/>
      <c r="AC254" s="537"/>
    </row>
    <row r="255" spans="1:68" ht="27" customHeight="1" x14ac:dyDescent="0.25">
      <c r="A255" s="54" t="s">
        <v>403</v>
      </c>
      <c r="B255" s="54" t="s">
        <v>404</v>
      </c>
      <c r="C255" s="31">
        <v>4301011855</v>
      </c>
      <c r="D255" s="545">
        <v>4680115885837</v>
      </c>
      <c r="E255" s="546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406</v>
      </c>
      <c r="B256" s="54" t="s">
        <v>407</v>
      </c>
      <c r="C256" s="31">
        <v>4301011853</v>
      </c>
      <c r="D256" s="545">
        <v>4680115885851</v>
      </c>
      <c r="E256" s="546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4301011850</v>
      </c>
      <c r="D257" s="545">
        <v>4680115885806</v>
      </c>
      <c r="E257" s="546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412</v>
      </c>
      <c r="B258" s="54" t="s">
        <v>413</v>
      </c>
      <c r="C258" s="31">
        <v>4301011852</v>
      </c>
      <c r="D258" s="545">
        <v>4680115885844</v>
      </c>
      <c r="E258" s="546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415</v>
      </c>
      <c r="B259" s="54" t="s">
        <v>416</v>
      </c>
      <c r="C259" s="31">
        <v>4301011851</v>
      </c>
      <c r="D259" s="545">
        <v>4680115885820</v>
      </c>
      <c r="E259" s="546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8"/>
      <c r="R259" s="548"/>
      <c r="S259" s="548"/>
      <c r="T259" s="549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417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71</v>
      </c>
      <c r="Q260" s="562"/>
      <c r="R260" s="562"/>
      <c r="S260" s="562"/>
      <c r="T260" s="562"/>
      <c r="U260" s="562"/>
      <c r="V260" s="563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71</v>
      </c>
      <c r="Q261" s="562"/>
      <c r="R261" s="562"/>
      <c r="S261" s="562"/>
      <c r="T261" s="562"/>
      <c r="U261" s="562"/>
      <c r="V261" s="563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8" t="s">
        <v>418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6"/>
      <c r="AB262" s="536"/>
      <c r="AC262" s="536"/>
    </row>
    <row r="263" spans="1:68" ht="14.25" customHeight="1" x14ac:dyDescent="0.25">
      <c r="A263" s="557" t="s">
        <v>99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7"/>
      <c r="AB263" s="537"/>
      <c r="AC263" s="537"/>
    </row>
    <row r="264" spans="1:68" ht="27" customHeight="1" x14ac:dyDescent="0.25">
      <c r="A264" s="54" t="s">
        <v>419</v>
      </c>
      <c r="B264" s="54" t="s">
        <v>420</v>
      </c>
      <c r="C264" s="31">
        <v>4301011223</v>
      </c>
      <c r="D264" s="545">
        <v>4607091383423</v>
      </c>
      <c r="E264" s="546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4301012199</v>
      </c>
      <c r="D265" s="545">
        <v>4680115886957</v>
      </c>
      <c r="E265" s="546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423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424</v>
      </c>
      <c r="B266" s="54" t="s">
        <v>425</v>
      </c>
      <c r="C266" s="31">
        <v>4301012098</v>
      </c>
      <c r="D266" s="545">
        <v>4680115885660</v>
      </c>
      <c r="E266" s="546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369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426</v>
      </c>
      <c r="B267" s="54" t="s">
        <v>427</v>
      </c>
      <c r="C267" s="31">
        <v>4301012176</v>
      </c>
      <c r="D267" s="545">
        <v>4680115886773</v>
      </c>
      <c r="E267" s="546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8"/>
      <c r="R267" s="548"/>
      <c r="S267" s="548"/>
      <c r="T267" s="549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428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71</v>
      </c>
      <c r="Q268" s="562"/>
      <c r="R268" s="562"/>
      <c r="S268" s="562"/>
      <c r="T268" s="562"/>
      <c r="U268" s="562"/>
      <c r="V268" s="563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71</v>
      </c>
      <c r="Q269" s="562"/>
      <c r="R269" s="562"/>
      <c r="S269" s="562"/>
      <c r="T269" s="562"/>
      <c r="U269" s="562"/>
      <c r="V269" s="563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8" t="s">
        <v>429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6"/>
      <c r="AB270" s="536"/>
      <c r="AC270" s="536"/>
    </row>
    <row r="271" spans="1:68" ht="14.25" customHeight="1" x14ac:dyDescent="0.25">
      <c r="A271" s="557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7"/>
      <c r="AB271" s="537"/>
      <c r="AC271" s="537"/>
    </row>
    <row r="272" spans="1:68" ht="27" customHeight="1" x14ac:dyDescent="0.25">
      <c r="A272" s="54" t="s">
        <v>430</v>
      </c>
      <c r="B272" s="54" t="s">
        <v>431</v>
      </c>
      <c r="C272" s="31">
        <v>4301051893</v>
      </c>
      <c r="D272" s="545">
        <v>4680115886186</v>
      </c>
      <c r="E272" s="546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4301051795</v>
      </c>
      <c r="D273" s="545">
        <v>4680115881228</v>
      </c>
      <c r="E273" s="546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216</v>
      </c>
      <c r="M273" s="33" t="s">
        <v>84</v>
      </c>
      <c r="N273" s="33"/>
      <c r="O273" s="32">
        <v>40</v>
      </c>
      <c r="P273" s="62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92</v>
      </c>
      <c r="Y273" s="542">
        <f>IFERROR(IF(X273="",0,CEILING((X273/$H273),1)*$H273),"")</f>
        <v>93.6</v>
      </c>
      <c r="Z273" s="36">
        <f>IFERROR(IF(Y273=0,"",ROUNDUP(Y273/H273,0)*0.00651),"")</f>
        <v>0.25389</v>
      </c>
      <c r="AA273" s="56"/>
      <c r="AB273" s="57"/>
      <c r="AC273" s="321" t="s">
        <v>435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101.66000000000001</v>
      </c>
      <c r="BN273" s="64">
        <f>IFERROR(Y273*I273/H273,"0")</f>
        <v>103.42800000000001</v>
      </c>
      <c r="BO273" s="64">
        <f>IFERROR(1/J273*(X273/H273),"0")</f>
        <v>0.21062271062271065</v>
      </c>
      <c r="BP273" s="64">
        <f>IFERROR(1/J273*(Y273/H273),"0")</f>
        <v>0.2142857142857143</v>
      </c>
    </row>
    <row r="274" spans="1:68" ht="27" customHeight="1" x14ac:dyDescent="0.25">
      <c r="A274" s="54" t="s">
        <v>436</v>
      </c>
      <c r="B274" s="54" t="s">
        <v>437</v>
      </c>
      <c r="C274" s="31">
        <v>4301051388</v>
      </c>
      <c r="D274" s="545">
        <v>4680115881211</v>
      </c>
      <c r="E274" s="546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/>
      <c r="M274" s="33" t="s">
        <v>77</v>
      </c>
      <c r="N274" s="33"/>
      <c r="O274" s="32">
        <v>45</v>
      </c>
      <c r="P274" s="7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8"/>
      <c r="R274" s="548"/>
      <c r="S274" s="548"/>
      <c r="T274" s="549"/>
      <c r="U274" s="34"/>
      <c r="V274" s="34"/>
      <c r="W274" s="35" t="s">
        <v>69</v>
      </c>
      <c r="X274" s="541">
        <v>140</v>
      </c>
      <c r="Y274" s="542">
        <f>IFERROR(IF(X274="",0,CEILING((X274/$H274),1)*$H274),"")</f>
        <v>141.6</v>
      </c>
      <c r="Z274" s="36">
        <f>IFERROR(IF(Y274=0,"",ROUNDUP(Y274/H274,0)*0.00651),"")</f>
        <v>0.38408999999999999</v>
      </c>
      <c r="AA274" s="56"/>
      <c r="AB274" s="57"/>
      <c r="AC274" s="323" t="s">
        <v>432</v>
      </c>
      <c r="AG274" s="64"/>
      <c r="AJ274" s="68" t="s">
        <v>106</v>
      </c>
      <c r="AK274" s="68">
        <v>2.4</v>
      </c>
      <c r="BB274" s="324" t="s">
        <v>1</v>
      </c>
      <c r="BM274" s="64">
        <f>IFERROR(X274*I274/H274,"0")</f>
        <v>150.5</v>
      </c>
      <c r="BN274" s="64">
        <f>IFERROR(Y274*I274/H274,"0")</f>
        <v>152.22</v>
      </c>
      <c r="BO274" s="64">
        <f>IFERROR(1/J274*(X274/H274),"0")</f>
        <v>0.32051282051282054</v>
      </c>
      <c r="BP274" s="64">
        <f>IFERROR(1/J274*(Y274/H274),"0")</f>
        <v>0.32417582417582419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71</v>
      </c>
      <c r="Q275" s="562"/>
      <c r="R275" s="562"/>
      <c r="S275" s="562"/>
      <c r="T275" s="562"/>
      <c r="U275" s="562"/>
      <c r="V275" s="563"/>
      <c r="W275" s="37" t="s">
        <v>72</v>
      </c>
      <c r="X275" s="543">
        <f>IFERROR(X272/H272,"0")+IFERROR(X273/H273,"0")+IFERROR(X274/H274,"0")</f>
        <v>96.666666666666671</v>
      </c>
      <c r="Y275" s="543">
        <f>IFERROR(Y272/H272,"0")+IFERROR(Y273/H273,"0")+IFERROR(Y274/H274,"0")</f>
        <v>98</v>
      </c>
      <c r="Z275" s="543">
        <f>IFERROR(IF(Z272="",0,Z272),"0")+IFERROR(IF(Z273="",0,Z273),"0")+IFERROR(IF(Z274="",0,Z274),"0")</f>
        <v>0.63797999999999999</v>
      </c>
      <c r="AA275" s="544"/>
      <c r="AB275" s="544"/>
      <c r="AC275" s="544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71</v>
      </c>
      <c r="Q276" s="562"/>
      <c r="R276" s="562"/>
      <c r="S276" s="562"/>
      <c r="T276" s="562"/>
      <c r="U276" s="562"/>
      <c r="V276" s="563"/>
      <c r="W276" s="37" t="s">
        <v>69</v>
      </c>
      <c r="X276" s="543">
        <f>IFERROR(SUM(X272:X274),"0")</f>
        <v>232</v>
      </c>
      <c r="Y276" s="543">
        <f>IFERROR(SUM(Y272:Y274),"0")</f>
        <v>235.2</v>
      </c>
      <c r="Z276" s="37"/>
      <c r="AA276" s="544"/>
      <c r="AB276" s="544"/>
      <c r="AC276" s="544"/>
    </row>
    <row r="277" spans="1:68" ht="16.5" customHeight="1" x14ac:dyDescent="0.25">
      <c r="A277" s="558" t="s">
        <v>438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6"/>
      <c r="AB277" s="536"/>
      <c r="AC277" s="536"/>
    </row>
    <row r="278" spans="1:68" ht="14.25" customHeight="1" x14ac:dyDescent="0.25">
      <c r="A278" s="557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7"/>
      <c r="AB278" s="537"/>
      <c r="AC278" s="537"/>
    </row>
    <row r="279" spans="1:68" ht="27" customHeight="1" x14ac:dyDescent="0.25">
      <c r="A279" s="54" t="s">
        <v>439</v>
      </c>
      <c r="B279" s="54" t="s">
        <v>440</v>
      </c>
      <c r="C279" s="31">
        <v>4301031307</v>
      </c>
      <c r="D279" s="545">
        <v>4680115880344</v>
      </c>
      <c r="E279" s="546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442</v>
      </c>
      <c r="B280" s="54" t="s">
        <v>443</v>
      </c>
      <c r="C280" s="31">
        <v>4301031429</v>
      </c>
      <c r="D280" s="545">
        <v>4680115886919</v>
      </c>
      <c r="E280" s="546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8"/>
      <c r="R280" s="548"/>
      <c r="S280" s="548"/>
      <c r="T280" s="549"/>
      <c r="U280" s="34"/>
      <c r="V280" s="34"/>
      <c r="W280" s="35" t="s">
        <v>69</v>
      </c>
      <c r="X280" s="541">
        <v>20</v>
      </c>
      <c r="Y280" s="542">
        <f>IFERROR(IF(X280="",0,CEILING((X280/$H280),1)*$H280),"")</f>
        <v>21.599999999999998</v>
      </c>
      <c r="Z280" s="36">
        <f>IFERROR(IF(Y280=0,"",ROUNDUP(Y280/H280,0)*0.00651),"")</f>
        <v>5.8590000000000003E-2</v>
      </c>
      <c r="AA280" s="56"/>
      <c r="AB280" s="57"/>
      <c r="AC280" s="327" t="s">
        <v>444</v>
      </c>
      <c r="AG280" s="64"/>
      <c r="AJ280" s="68"/>
      <c r="AK280" s="68">
        <v>0</v>
      </c>
      <c r="BB280" s="328" t="s">
        <v>1</v>
      </c>
      <c r="BM280" s="64">
        <f>IFERROR(X280*I280/H280,"0")</f>
        <v>21.5</v>
      </c>
      <c r="BN280" s="64">
        <f>IFERROR(Y280*I280/H280,"0")</f>
        <v>23.22</v>
      </c>
      <c r="BO280" s="64">
        <f>IFERROR(1/J280*(X280/H280),"0")</f>
        <v>4.5787545787545791E-2</v>
      </c>
      <c r="BP280" s="64">
        <f>IFERROR(1/J280*(Y280/H280),"0")</f>
        <v>4.9450549450549455E-2</v>
      </c>
    </row>
    <row r="281" spans="1:68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71</v>
      </c>
      <c r="Q281" s="562"/>
      <c r="R281" s="562"/>
      <c r="S281" s="562"/>
      <c r="T281" s="562"/>
      <c r="U281" s="562"/>
      <c r="V281" s="563"/>
      <c r="W281" s="37" t="s">
        <v>72</v>
      </c>
      <c r="X281" s="543">
        <f>IFERROR(X279/H279,"0")+IFERROR(X280/H280,"0")</f>
        <v>8.3333333333333339</v>
      </c>
      <c r="Y281" s="543">
        <f>IFERROR(Y279/H279,"0")+IFERROR(Y280/H280,"0")</f>
        <v>9</v>
      </c>
      <c r="Z281" s="543">
        <f>IFERROR(IF(Z279="",0,Z279),"0")+IFERROR(IF(Z280="",0,Z280),"0")</f>
        <v>5.8590000000000003E-2</v>
      </c>
      <c r="AA281" s="544"/>
      <c r="AB281" s="544"/>
      <c r="AC281" s="544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71</v>
      </c>
      <c r="Q282" s="562"/>
      <c r="R282" s="562"/>
      <c r="S282" s="562"/>
      <c r="T282" s="562"/>
      <c r="U282" s="562"/>
      <c r="V282" s="563"/>
      <c r="W282" s="37" t="s">
        <v>69</v>
      </c>
      <c r="X282" s="543">
        <f>IFERROR(SUM(X279:X280),"0")</f>
        <v>20</v>
      </c>
      <c r="Y282" s="543">
        <f>IFERROR(SUM(Y279:Y280),"0")</f>
        <v>21.599999999999998</v>
      </c>
      <c r="Z282" s="37"/>
      <c r="AA282" s="544"/>
      <c r="AB282" s="544"/>
      <c r="AC282" s="544"/>
    </row>
    <row r="283" spans="1:68" ht="14.25" customHeight="1" x14ac:dyDescent="0.25">
      <c r="A283" s="557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7"/>
      <c r="AB283" s="537"/>
      <c r="AC283" s="537"/>
    </row>
    <row r="284" spans="1:68" ht="37.5" customHeight="1" x14ac:dyDescent="0.25">
      <c r="A284" s="54" t="s">
        <v>445</v>
      </c>
      <c r="B284" s="54" t="s">
        <v>446</v>
      </c>
      <c r="C284" s="31">
        <v>4301051782</v>
      </c>
      <c r="D284" s="545">
        <v>4680115884618</v>
      </c>
      <c r="E284" s="546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1" t="s">
        <v>71</v>
      </c>
      <c r="Q285" s="562"/>
      <c r="R285" s="562"/>
      <c r="S285" s="562"/>
      <c r="T285" s="562"/>
      <c r="U285" s="562"/>
      <c r="V285" s="563"/>
      <c r="W285" s="37" t="s">
        <v>72</v>
      </c>
      <c r="X285" s="543">
        <f>IFERROR(X284/H284,"0")</f>
        <v>0</v>
      </c>
      <c r="Y285" s="543">
        <f>IFERROR(Y284/H284,"0")</f>
        <v>0</v>
      </c>
      <c r="Z285" s="543">
        <f>IFERROR(IF(Z284="",0,Z284),"0")</f>
        <v>0</v>
      </c>
      <c r="AA285" s="544"/>
      <c r="AB285" s="544"/>
      <c r="AC285" s="544"/>
    </row>
    <row r="286" spans="1:68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71</v>
      </c>
      <c r="Q286" s="562"/>
      <c r="R286" s="562"/>
      <c r="S286" s="562"/>
      <c r="T286" s="562"/>
      <c r="U286" s="562"/>
      <c r="V286" s="563"/>
      <c r="W286" s="37" t="s">
        <v>69</v>
      </c>
      <c r="X286" s="543">
        <f>IFERROR(SUM(X284:X284),"0")</f>
        <v>0</v>
      </c>
      <c r="Y286" s="543">
        <f>IFERROR(SUM(Y284:Y284),"0")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448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customHeight="1" x14ac:dyDescent="0.25">
      <c r="A288" s="557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8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61" t="s">
        <v>71</v>
      </c>
      <c r="Q294" s="562"/>
      <c r="R294" s="562"/>
      <c r="S294" s="562"/>
      <c r="T294" s="562"/>
      <c r="U294" s="562"/>
      <c r="V294" s="563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1" t="s">
        <v>71</v>
      </c>
      <c r="Q295" s="562"/>
      <c r="R295" s="562"/>
      <c r="S295" s="562"/>
      <c r="T295" s="562"/>
      <c r="U295" s="562"/>
      <c r="V295" s="563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7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274</v>
      </c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274</v>
      </c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105</v>
      </c>
      <c r="Y301" s="542">
        <f t="shared" si="26"/>
        <v>105</v>
      </c>
      <c r="Z301" s="36">
        <f>IFERROR(IF(Y301=0,"",ROUNDUP(Y301/H301,0)*0.00502),"")</f>
        <v>0.251</v>
      </c>
      <c r="AA301" s="56"/>
      <c r="AB301" s="57"/>
      <c r="AC301" s="349" t="s">
        <v>476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110.00000000000001</v>
      </c>
      <c r="BN301" s="64">
        <f t="shared" si="28"/>
        <v>110.00000000000001</v>
      </c>
      <c r="BO301" s="64">
        <f t="shared" si="29"/>
        <v>0.21367521367521369</v>
      </c>
      <c r="BP301" s="64">
        <f t="shared" si="30"/>
        <v>0.21367521367521369</v>
      </c>
    </row>
    <row r="302" spans="1:68" ht="27" customHeight="1" x14ac:dyDescent="0.25">
      <c r="A302" s="54" t="s">
        <v>477</v>
      </c>
      <c r="B302" s="54" t="s">
        <v>478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216</v>
      </c>
      <c r="M303" s="33" t="s">
        <v>68</v>
      </c>
      <c r="N303" s="33"/>
      <c r="O303" s="32">
        <v>40</v>
      </c>
      <c r="P303" s="68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21</v>
      </c>
      <c r="Y303" s="542">
        <f t="shared" si="26"/>
        <v>21.6</v>
      </c>
      <c r="Z303" s="36">
        <f>IFERROR(IF(Y303=0,"",ROUNDUP(Y303/H303,0)*0.00651),"")</f>
        <v>7.8119999999999995E-2</v>
      </c>
      <c r="AA303" s="56"/>
      <c r="AB303" s="57"/>
      <c r="AC303" s="353" t="s">
        <v>481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23.66</v>
      </c>
      <c r="BN303" s="64">
        <f t="shared" si="28"/>
        <v>24.335999999999999</v>
      </c>
      <c r="BO303" s="64">
        <f t="shared" si="29"/>
        <v>6.4102564102564111E-2</v>
      </c>
      <c r="BP303" s="64">
        <f t="shared" si="30"/>
        <v>6.5934065934065936E-2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61" t="s">
        <v>71</v>
      </c>
      <c r="Q304" s="562"/>
      <c r="R304" s="562"/>
      <c r="S304" s="562"/>
      <c r="T304" s="562"/>
      <c r="U304" s="562"/>
      <c r="V304" s="563"/>
      <c r="W304" s="37" t="s">
        <v>72</v>
      </c>
      <c r="X304" s="543">
        <f>IFERROR(X297/H297,"0")+IFERROR(X298/H298,"0")+IFERROR(X299/H299,"0")+IFERROR(X300/H300,"0")+IFERROR(X301/H301,"0")+IFERROR(X302/H302,"0")+IFERROR(X303/H303,"0")</f>
        <v>61.666666666666664</v>
      </c>
      <c r="Y304" s="543">
        <f>IFERROR(Y297/H297,"0")+IFERROR(Y298/H298,"0")+IFERROR(Y299/H299,"0")+IFERROR(Y300/H300,"0")+IFERROR(Y301/H301,"0")+IFERROR(Y302/H302,"0")+IFERROR(Y303/H303,"0")</f>
        <v>62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0.32911999999999997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1" t="s">
        <v>71</v>
      </c>
      <c r="Q305" s="562"/>
      <c r="R305" s="562"/>
      <c r="S305" s="562"/>
      <c r="T305" s="562"/>
      <c r="U305" s="562"/>
      <c r="V305" s="563"/>
      <c r="W305" s="37" t="s">
        <v>69</v>
      </c>
      <c r="X305" s="543">
        <f>IFERROR(SUM(X297:X303),"0")</f>
        <v>126</v>
      </c>
      <c r="Y305" s="543">
        <f>IFERROR(SUM(Y297:Y303),"0")</f>
        <v>126.6</v>
      </c>
      <c r="Z305" s="37"/>
      <c r="AA305" s="544"/>
      <c r="AB305" s="544"/>
      <c r="AC305" s="544"/>
    </row>
    <row r="306" spans="1:68" ht="14.25" customHeight="1" x14ac:dyDescent="0.25">
      <c r="A306" s="557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1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3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61" t="s">
        <v>71</v>
      </c>
      <c r="Q312" s="562"/>
      <c r="R312" s="562"/>
      <c r="S312" s="562"/>
      <c r="T312" s="562"/>
      <c r="U312" s="562"/>
      <c r="V312" s="563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4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71</v>
      </c>
      <c r="Q313" s="562"/>
      <c r="R313" s="562"/>
      <c r="S313" s="562"/>
      <c r="T313" s="562"/>
      <c r="U313" s="562"/>
      <c r="V313" s="563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customHeight="1" x14ac:dyDescent="0.25">
      <c r="A314" s="557" t="s">
        <v>165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37"/>
      <c r="AB314" s="537"/>
      <c r="AC314" s="537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20</v>
      </c>
      <c r="Y315" s="542">
        <f>IFERROR(IF(X315="",0,CEILING((X315/$H315),1)*$H315),"")</f>
        <v>25.200000000000003</v>
      </c>
      <c r="Z315" s="36">
        <f>IFERROR(IF(Y315=0,"",ROUNDUP(Y315/H315,0)*0.01898),"")</f>
        <v>5.6940000000000004E-2</v>
      </c>
      <c r="AA315" s="56"/>
      <c r="AB315" s="57"/>
      <c r="AC315" s="365" t="s">
        <v>499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21.235714285714284</v>
      </c>
      <c r="BN315" s="64">
        <f>IFERROR(Y315*I315/H315,"0")</f>
        <v>26.757000000000001</v>
      </c>
      <c r="BO315" s="64">
        <f>IFERROR(1/J315*(X315/H315),"0")</f>
        <v>3.7202380952380952E-2</v>
      </c>
      <c r="BP315" s="64">
        <f>IFERROR(1/J315*(Y315/H315),"0")</f>
        <v>4.6875E-2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300</v>
      </c>
      <c r="Y316" s="542">
        <f>IFERROR(IF(X316="",0,CEILING((X316/$H316),1)*$H316),"")</f>
        <v>304.2</v>
      </c>
      <c r="Z316" s="36">
        <f>IFERROR(IF(Y316=0,"",ROUNDUP(Y316/H316,0)*0.01898),"")</f>
        <v>0.74021999999999999</v>
      </c>
      <c r="AA316" s="56"/>
      <c r="AB316" s="57"/>
      <c r="AC316" s="367" t="s">
        <v>502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319.96153846153851</v>
      </c>
      <c r="BN316" s="64">
        <f>IFERROR(Y316*I316/H316,"0")</f>
        <v>324.44100000000003</v>
      </c>
      <c r="BO316" s="64">
        <f>IFERROR(1/J316*(X316/H316),"0")</f>
        <v>0.60096153846153844</v>
      </c>
      <c r="BP316" s="64">
        <f>IFERROR(1/J316*(Y316/H316),"0")</f>
        <v>0.609375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1">
        <v>300</v>
      </c>
      <c r="Y317" s="542">
        <f>IFERROR(IF(X317="",0,CEILING((X317/$H317),1)*$H317),"")</f>
        <v>302.40000000000003</v>
      </c>
      <c r="Z317" s="36">
        <f>IFERROR(IF(Y317=0,"",ROUNDUP(Y317/H317,0)*0.01898),"")</f>
        <v>0.68328</v>
      </c>
      <c r="AA317" s="56"/>
      <c r="AB317" s="57"/>
      <c r="AC317" s="369" t="s">
        <v>505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318.53571428571428</v>
      </c>
      <c r="BN317" s="64">
        <f>IFERROR(Y317*I317/H317,"0")</f>
        <v>321.084</v>
      </c>
      <c r="BO317" s="64">
        <f>IFERROR(1/J317*(X317/H317),"0")</f>
        <v>0.5580357142857143</v>
      </c>
      <c r="BP317" s="64">
        <f>IFERROR(1/J317*(Y317/H317),"0")</f>
        <v>0.5625</v>
      </c>
    </row>
    <row r="318" spans="1:68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61" t="s">
        <v>71</v>
      </c>
      <c r="Q318" s="562"/>
      <c r="R318" s="562"/>
      <c r="S318" s="562"/>
      <c r="T318" s="562"/>
      <c r="U318" s="562"/>
      <c r="V318" s="563"/>
      <c r="W318" s="37" t="s">
        <v>72</v>
      </c>
      <c r="X318" s="543">
        <f>IFERROR(X315/H315,"0")+IFERROR(X316/H316,"0")+IFERROR(X317/H317,"0")</f>
        <v>76.556776556776555</v>
      </c>
      <c r="Y318" s="543">
        <f>IFERROR(Y315/H315,"0")+IFERROR(Y316/H316,"0")+IFERROR(Y317/H317,"0")</f>
        <v>78</v>
      </c>
      <c r="Z318" s="543">
        <f>IFERROR(IF(Z315="",0,Z315),"0")+IFERROR(IF(Z316="",0,Z316),"0")+IFERROR(IF(Z317="",0,Z317),"0")</f>
        <v>1.48044</v>
      </c>
      <c r="AA318" s="544"/>
      <c r="AB318" s="544"/>
      <c r="AC318" s="544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71</v>
      </c>
      <c r="Q319" s="562"/>
      <c r="R319" s="562"/>
      <c r="S319" s="562"/>
      <c r="T319" s="562"/>
      <c r="U319" s="562"/>
      <c r="V319" s="563"/>
      <c r="W319" s="37" t="s">
        <v>69</v>
      </c>
      <c r="X319" s="543">
        <f>IFERROR(SUM(X315:X317),"0")</f>
        <v>620</v>
      </c>
      <c r="Y319" s="543">
        <f>IFERROR(SUM(Y315:Y317),"0")</f>
        <v>631.79999999999995</v>
      </c>
      <c r="Z319" s="37"/>
      <c r="AA319" s="544"/>
      <c r="AB319" s="544"/>
      <c r="AC319" s="544"/>
    </row>
    <row r="320" spans="1:68" ht="14.25" customHeight="1" x14ac:dyDescent="0.25">
      <c r="A320" s="557" t="s">
        <v>91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37"/>
      <c r="AB320" s="537"/>
      <c r="AC320" s="537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511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216</v>
      </c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515</v>
      </c>
      <c r="B324" s="54" t="s">
        <v>516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216</v>
      </c>
      <c r="M324" s="33" t="s">
        <v>94</v>
      </c>
      <c r="N324" s="33"/>
      <c r="O324" s="32">
        <v>180</v>
      </c>
      <c r="P324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3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61" t="s">
        <v>71</v>
      </c>
      <c r="Q325" s="562"/>
      <c r="R325" s="562"/>
      <c r="S325" s="562"/>
      <c r="T325" s="562"/>
      <c r="U325" s="562"/>
      <c r="V325" s="563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4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71</v>
      </c>
      <c r="Q326" s="562"/>
      <c r="R326" s="562"/>
      <c r="S326" s="562"/>
      <c r="T326" s="562"/>
      <c r="U326" s="562"/>
      <c r="V326" s="563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7" t="s">
        <v>517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37"/>
      <c r="AB327" s="537"/>
      <c r="AC327" s="537"/>
    </row>
    <row r="328" spans="1:68" ht="16.5" customHeight="1" x14ac:dyDescent="0.25">
      <c r="A328" s="54" t="s">
        <v>518</v>
      </c>
      <c r="B328" s="54" t="s">
        <v>519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216</v>
      </c>
      <c r="M328" s="33" t="s">
        <v>520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521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522</v>
      </c>
      <c r="B329" s="54" t="s">
        <v>523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60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216</v>
      </c>
      <c r="M330" s="33" t="s">
        <v>520</v>
      </c>
      <c r="N330" s="33"/>
      <c r="O330" s="32">
        <v>730</v>
      </c>
      <c r="P330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521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61" t="s">
        <v>71</v>
      </c>
      <c r="Q331" s="562"/>
      <c r="R331" s="562"/>
      <c r="S331" s="562"/>
      <c r="T331" s="562"/>
      <c r="U331" s="562"/>
      <c r="V331" s="563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71</v>
      </c>
      <c r="Q332" s="562"/>
      <c r="R332" s="562"/>
      <c r="S332" s="562"/>
      <c r="T332" s="562"/>
      <c r="U332" s="562"/>
      <c r="V332" s="563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8" t="s">
        <v>526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6"/>
      <c r="AB333" s="536"/>
      <c r="AC333" s="536"/>
    </row>
    <row r="334" spans="1:68" ht="14.25" customHeight="1" x14ac:dyDescent="0.25">
      <c r="A334" s="557" t="s">
        <v>73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7"/>
      <c r="AB334" s="537"/>
      <c r="AC334" s="537"/>
    </row>
    <row r="335" spans="1:68" ht="27" customHeight="1" x14ac:dyDescent="0.25">
      <c r="A335" s="54" t="s">
        <v>527</v>
      </c>
      <c r="B335" s="54" t="s">
        <v>528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529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216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1050</v>
      </c>
      <c r="Y336" s="542">
        <f>IFERROR(IF(X336="",0,CEILING((X336/$H336),1)*$H336),"")</f>
        <v>1050</v>
      </c>
      <c r="Z336" s="36">
        <f>IFERROR(IF(Y336=0,"",ROUNDUP(Y336/H336,0)*0.00651),"")</f>
        <v>3.2549999999999999</v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1176</v>
      </c>
      <c r="BN336" s="64">
        <f>IFERROR(Y336*I336/H336,"0")</f>
        <v>1176</v>
      </c>
      <c r="BO336" s="64">
        <f>IFERROR(1/J336*(X336/H336),"0")</f>
        <v>2.7472527472527473</v>
      </c>
      <c r="BP336" s="64">
        <f>IFERROR(1/J336*(Y336/H336),"0")</f>
        <v>2.7472527472527473</v>
      </c>
    </row>
    <row r="337" spans="1:68" ht="27" customHeight="1" x14ac:dyDescent="0.25">
      <c r="A337" s="54" t="s">
        <v>533</v>
      </c>
      <c r="B337" s="54" t="s">
        <v>534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216</v>
      </c>
      <c r="M337" s="33" t="s">
        <v>84</v>
      </c>
      <c r="N337" s="33"/>
      <c r="O337" s="32">
        <v>40</v>
      </c>
      <c r="P337" s="6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1">
        <v>525</v>
      </c>
      <c r="Y337" s="542">
        <f>IFERROR(IF(X337="",0,CEILING((X337/$H337),1)*$H337),"")</f>
        <v>525</v>
      </c>
      <c r="Z337" s="36">
        <f>IFERROR(IF(Y337=0,"",ROUNDUP(Y337/H337,0)*0.00651),"")</f>
        <v>1.6274999999999999</v>
      </c>
      <c r="AA337" s="56"/>
      <c r="AB337" s="57"/>
      <c r="AC337" s="389" t="s">
        <v>535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585</v>
      </c>
      <c r="BN337" s="64">
        <f>IFERROR(Y337*I337/H337,"0")</f>
        <v>585</v>
      </c>
      <c r="BO337" s="64">
        <f>IFERROR(1/J337*(X337/H337),"0")</f>
        <v>1.3736263736263736</v>
      </c>
      <c r="BP337" s="64">
        <f>IFERROR(1/J337*(Y337/H337),"0")</f>
        <v>1.3736263736263736</v>
      </c>
    </row>
    <row r="338" spans="1:68" x14ac:dyDescent="0.2">
      <c r="A338" s="553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61" t="s">
        <v>71</v>
      </c>
      <c r="Q338" s="562"/>
      <c r="R338" s="562"/>
      <c r="S338" s="562"/>
      <c r="T338" s="562"/>
      <c r="U338" s="562"/>
      <c r="V338" s="563"/>
      <c r="W338" s="37" t="s">
        <v>72</v>
      </c>
      <c r="X338" s="543">
        <f>IFERROR(X335/H335,"0")+IFERROR(X336/H336,"0")+IFERROR(X337/H337,"0")</f>
        <v>750</v>
      </c>
      <c r="Y338" s="543">
        <f>IFERROR(Y335/H335,"0")+IFERROR(Y336/H336,"0")+IFERROR(Y337/H337,"0")</f>
        <v>750</v>
      </c>
      <c r="Z338" s="543">
        <f>IFERROR(IF(Z335="",0,Z335),"0")+IFERROR(IF(Z336="",0,Z336),"0")+IFERROR(IF(Z337="",0,Z337),"0")</f>
        <v>4.8825000000000003</v>
      </c>
      <c r="AA338" s="544"/>
      <c r="AB338" s="544"/>
      <c r="AC338" s="544"/>
    </row>
    <row r="339" spans="1:68" x14ac:dyDescent="0.2">
      <c r="A339" s="554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71</v>
      </c>
      <c r="Q339" s="562"/>
      <c r="R339" s="562"/>
      <c r="S339" s="562"/>
      <c r="T339" s="562"/>
      <c r="U339" s="562"/>
      <c r="V339" s="563"/>
      <c r="W339" s="37" t="s">
        <v>69</v>
      </c>
      <c r="X339" s="543">
        <f>IFERROR(SUM(X335:X337),"0")</f>
        <v>1575</v>
      </c>
      <c r="Y339" s="543">
        <f>IFERROR(SUM(Y335:Y337),"0")</f>
        <v>1575</v>
      </c>
      <c r="Z339" s="37"/>
      <c r="AA339" s="544"/>
      <c r="AB339" s="544"/>
      <c r="AC339" s="544"/>
    </row>
    <row r="340" spans="1:68" ht="27.75" customHeight="1" x14ac:dyDescent="0.2">
      <c r="A340" s="639" t="s">
        <v>536</v>
      </c>
      <c r="B340" s="640"/>
      <c r="C340" s="640"/>
      <c r="D340" s="640"/>
      <c r="E340" s="640"/>
      <c r="F340" s="640"/>
      <c r="G340" s="640"/>
      <c r="H340" s="640"/>
      <c r="I340" s="640"/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  <c r="AA340" s="48"/>
      <c r="AB340" s="48"/>
      <c r="AC340" s="48"/>
    </row>
    <row r="341" spans="1:68" ht="16.5" customHeight="1" x14ac:dyDescent="0.25">
      <c r="A341" s="558" t="s">
        <v>537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6"/>
      <c r="AB341" s="536"/>
      <c r="AC341" s="536"/>
    </row>
    <row r="342" spans="1:68" ht="14.25" customHeight="1" x14ac:dyDescent="0.25">
      <c r="A342" s="557" t="s">
        <v>99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7"/>
      <c r="AB342" s="537"/>
      <c r="AC342" s="537"/>
    </row>
    <row r="343" spans="1:68" ht="37.5" customHeight="1" x14ac:dyDescent="0.25">
      <c r="A343" s="54" t="s">
        <v>538</v>
      </c>
      <c r="B343" s="54" t="s">
        <v>539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1300</v>
      </c>
      <c r="Y343" s="542">
        <f t="shared" ref="Y343:Y349" si="31">IFERROR(IF(X343="",0,CEILING((X343/$H343),1)*$H343),"")</f>
        <v>1305</v>
      </c>
      <c r="Z343" s="36">
        <f>IFERROR(IF(Y343=0,"",ROUNDUP(Y343/H343,0)*0.02175),"")</f>
        <v>1.8922499999999998</v>
      </c>
      <c r="AA343" s="56"/>
      <c r="AB343" s="57"/>
      <c r="AC343" s="391" t="s">
        <v>540</v>
      </c>
      <c r="AG343" s="64"/>
      <c r="AJ343" s="68" t="s">
        <v>106</v>
      </c>
      <c r="AK343" s="68">
        <v>15</v>
      </c>
      <c r="BB343" s="392" t="s">
        <v>1</v>
      </c>
      <c r="BM343" s="64">
        <f t="shared" ref="BM343:BM349" si="32">IFERROR(X343*I343/H343,"0")</f>
        <v>1341.6</v>
      </c>
      <c r="BN343" s="64">
        <f t="shared" ref="BN343:BN349" si="33">IFERROR(Y343*I343/H343,"0")</f>
        <v>1346.76</v>
      </c>
      <c r="BO343" s="64">
        <f t="shared" ref="BO343:BO349" si="34">IFERROR(1/J343*(X343/H343),"0")</f>
        <v>1.8055555555555556</v>
      </c>
      <c r="BP343" s="64">
        <f t="shared" ref="BP343:BP349" si="35">IFERROR(1/J343*(Y343/H343),"0")</f>
        <v>1.8125</v>
      </c>
    </row>
    <row r="344" spans="1:68" ht="27" customHeight="1" x14ac:dyDescent="0.25">
      <c r="A344" s="54" t="s">
        <v>541</v>
      </c>
      <c r="B344" s="54" t="s">
        <v>542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1000</v>
      </c>
      <c r="Y344" s="542">
        <f t="shared" si="31"/>
        <v>1005</v>
      </c>
      <c r="Z344" s="36">
        <f>IFERROR(IF(Y344=0,"",ROUNDUP(Y344/H344,0)*0.02175),"")</f>
        <v>1.4572499999999999</v>
      </c>
      <c r="AA344" s="56"/>
      <c r="AB344" s="57"/>
      <c r="AC344" s="393" t="s">
        <v>543</v>
      </c>
      <c r="AG344" s="64"/>
      <c r="AJ344" s="68" t="s">
        <v>106</v>
      </c>
      <c r="AK344" s="68">
        <v>15</v>
      </c>
      <c r="BB344" s="394" t="s">
        <v>1</v>
      </c>
      <c r="BM344" s="64">
        <f t="shared" si="32"/>
        <v>1032</v>
      </c>
      <c r="BN344" s="64">
        <f t="shared" si="33"/>
        <v>1037.1600000000001</v>
      </c>
      <c r="BO344" s="64">
        <f t="shared" si="34"/>
        <v>1.3888888888888888</v>
      </c>
      <c r="BP344" s="64">
        <f t="shared" si="35"/>
        <v>1.3958333333333333</v>
      </c>
    </row>
    <row r="345" spans="1:68" ht="27" customHeight="1" x14ac:dyDescent="0.25">
      <c r="A345" s="54" t="s">
        <v>544</v>
      </c>
      <c r="B345" s="54" t="s">
        <v>545</v>
      </c>
      <c r="C345" s="31">
        <v>4301011832</v>
      </c>
      <c r="D345" s="545">
        <v>4607091383997</v>
      </c>
      <c r="E345" s="546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102</v>
      </c>
      <c r="L345" s="32" t="s">
        <v>103</v>
      </c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150</v>
      </c>
      <c r="Y345" s="542">
        <f t="shared" si="31"/>
        <v>150</v>
      </c>
      <c r="Z345" s="36">
        <f>IFERROR(IF(Y345=0,"",ROUNDUP(Y345/H345,0)*0.02175),"")</f>
        <v>0.21749999999999997</v>
      </c>
      <c r="AA345" s="56"/>
      <c r="AB345" s="57"/>
      <c r="AC345" s="395" t="s">
        <v>546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154.80000000000001</v>
      </c>
      <c r="BN345" s="64">
        <f t="shared" si="33"/>
        <v>154.80000000000001</v>
      </c>
      <c r="BO345" s="64">
        <f t="shared" si="34"/>
        <v>0.20833333333333331</v>
      </c>
      <c r="BP345" s="64">
        <f t="shared" si="35"/>
        <v>0.20833333333333331</v>
      </c>
    </row>
    <row r="346" spans="1:68" ht="37.5" customHeight="1" x14ac:dyDescent="0.25">
      <c r="A346" s="54" t="s">
        <v>547</v>
      </c>
      <c r="B346" s="54" t="s">
        <v>548</v>
      </c>
      <c r="C346" s="31">
        <v>4301011867</v>
      </c>
      <c r="D346" s="545">
        <v>4680115884830</v>
      </c>
      <c r="E346" s="546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102</v>
      </c>
      <c r="L346" s="32"/>
      <c r="M346" s="33" t="s">
        <v>68</v>
      </c>
      <c r="N346" s="33"/>
      <c r="O346" s="32">
        <v>60</v>
      </c>
      <c r="P346" s="7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1500</v>
      </c>
      <c r="Y346" s="542">
        <f t="shared" si="31"/>
        <v>1500</v>
      </c>
      <c r="Z346" s="36">
        <f>IFERROR(IF(Y346=0,"",ROUNDUP(Y346/H346,0)*0.02175),"")</f>
        <v>2.1749999999999998</v>
      </c>
      <c r="AA346" s="56"/>
      <c r="AB346" s="57"/>
      <c r="AC346" s="397" t="s">
        <v>549</v>
      </c>
      <c r="AG346" s="64"/>
      <c r="AJ346" s="68" t="s">
        <v>106</v>
      </c>
      <c r="AK346" s="68">
        <v>15</v>
      </c>
      <c r="BB346" s="398" t="s">
        <v>1</v>
      </c>
      <c r="BM346" s="64">
        <f t="shared" si="32"/>
        <v>1548</v>
      </c>
      <c r="BN346" s="64">
        <f t="shared" si="33"/>
        <v>1548</v>
      </c>
      <c r="BO346" s="64">
        <f t="shared" si="34"/>
        <v>2.083333333333333</v>
      </c>
      <c r="BP346" s="64">
        <f t="shared" si="35"/>
        <v>2.083333333333333</v>
      </c>
    </row>
    <row r="347" spans="1:68" ht="27" customHeight="1" x14ac:dyDescent="0.25">
      <c r="A347" s="54" t="s">
        <v>550</v>
      </c>
      <c r="B347" s="54" t="s">
        <v>551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552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553</v>
      </c>
      <c r="B348" s="54" t="s">
        <v>554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555</v>
      </c>
      <c r="B349" s="54" t="s">
        <v>556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1">
        <v>15</v>
      </c>
      <c r="Y349" s="542">
        <f t="shared" si="31"/>
        <v>15</v>
      </c>
      <c r="Z349" s="36">
        <f>IFERROR(IF(Y349=0,"",ROUNDUP(Y349/H349,0)*0.00902),"")</f>
        <v>2.7060000000000001E-2</v>
      </c>
      <c r="AA349" s="56"/>
      <c r="AB349" s="57"/>
      <c r="AC349" s="403" t="s">
        <v>549</v>
      </c>
      <c r="AG349" s="64"/>
      <c r="AJ349" s="68"/>
      <c r="AK349" s="68">
        <v>0</v>
      </c>
      <c r="BB349" s="404" t="s">
        <v>1</v>
      </c>
      <c r="BM349" s="64">
        <f t="shared" si="32"/>
        <v>15.63</v>
      </c>
      <c r="BN349" s="64">
        <f t="shared" si="33"/>
        <v>15.63</v>
      </c>
      <c r="BO349" s="64">
        <f t="shared" si="34"/>
        <v>2.2727272727272728E-2</v>
      </c>
      <c r="BP349" s="64">
        <f t="shared" si="35"/>
        <v>2.2727272727272728E-2</v>
      </c>
    </row>
    <row r="350" spans="1:68" x14ac:dyDescent="0.2">
      <c r="A350" s="553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61" t="s">
        <v>71</v>
      </c>
      <c r="Q350" s="562"/>
      <c r="R350" s="562"/>
      <c r="S350" s="562"/>
      <c r="T350" s="562"/>
      <c r="U350" s="562"/>
      <c r="V350" s="563"/>
      <c r="W350" s="37" t="s">
        <v>72</v>
      </c>
      <c r="X350" s="543">
        <f>IFERROR(X343/H343,"0")+IFERROR(X344/H344,"0")+IFERROR(X345/H345,"0")+IFERROR(X346/H346,"0")+IFERROR(X347/H347,"0")+IFERROR(X348/H348,"0")+IFERROR(X349/H349,"0")</f>
        <v>266.33333333333337</v>
      </c>
      <c r="Y350" s="543">
        <f>IFERROR(Y343/H343,"0")+IFERROR(Y344/H344,"0")+IFERROR(Y345/H345,"0")+IFERROR(Y346/H346,"0")+IFERROR(Y347/H347,"0")+IFERROR(Y348/H348,"0")+IFERROR(Y349/H349,"0")</f>
        <v>267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5.7690599999999987</v>
      </c>
      <c r="AA350" s="544"/>
      <c r="AB350" s="544"/>
      <c r="AC350" s="544"/>
    </row>
    <row r="351" spans="1:68" x14ac:dyDescent="0.2">
      <c r="A351" s="554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71</v>
      </c>
      <c r="Q351" s="562"/>
      <c r="R351" s="562"/>
      <c r="S351" s="562"/>
      <c r="T351" s="562"/>
      <c r="U351" s="562"/>
      <c r="V351" s="563"/>
      <c r="W351" s="37" t="s">
        <v>69</v>
      </c>
      <c r="X351" s="543">
        <f>IFERROR(SUM(X343:X349),"0")</f>
        <v>3965</v>
      </c>
      <c r="Y351" s="543">
        <f>IFERROR(SUM(Y343:Y349),"0")</f>
        <v>3975</v>
      </c>
      <c r="Z351" s="37"/>
      <c r="AA351" s="544"/>
      <c r="AB351" s="544"/>
      <c r="AC351" s="544"/>
    </row>
    <row r="352" spans="1:68" ht="14.25" customHeight="1" x14ac:dyDescent="0.25">
      <c r="A352" s="557" t="s">
        <v>135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37"/>
      <c r="AB352" s="537"/>
      <c r="AC352" s="537"/>
    </row>
    <row r="353" spans="1:68" ht="27" customHeight="1" x14ac:dyDescent="0.25">
      <c r="A353" s="54" t="s">
        <v>557</v>
      </c>
      <c r="B353" s="54" t="s">
        <v>558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102</v>
      </c>
      <c r="L353" s="32"/>
      <c r="M353" s="33" t="s">
        <v>104</v>
      </c>
      <c r="N353" s="33"/>
      <c r="O353" s="32">
        <v>50</v>
      </c>
      <c r="P353" s="68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1000</v>
      </c>
      <c r="Y353" s="542">
        <f>IFERROR(IF(X353="",0,CEILING((X353/$H353),1)*$H353),"")</f>
        <v>1005</v>
      </c>
      <c r="Z353" s="36">
        <f>IFERROR(IF(Y353=0,"",ROUNDUP(Y353/H353,0)*0.02175),"")</f>
        <v>1.4572499999999999</v>
      </c>
      <c r="AA353" s="56"/>
      <c r="AB353" s="57"/>
      <c r="AC353" s="405" t="s">
        <v>559</v>
      </c>
      <c r="AG353" s="64"/>
      <c r="AJ353" s="68" t="s">
        <v>106</v>
      </c>
      <c r="AK353" s="68">
        <v>15</v>
      </c>
      <c r="BB353" s="406" t="s">
        <v>1</v>
      </c>
      <c r="BM353" s="64">
        <f>IFERROR(X353*I353/H353,"0")</f>
        <v>1032</v>
      </c>
      <c r="BN353" s="64">
        <f>IFERROR(Y353*I353/H353,"0")</f>
        <v>1037.1600000000001</v>
      </c>
      <c r="BO353" s="64">
        <f>IFERROR(1/J353*(X353/H353),"0")</f>
        <v>1.3888888888888888</v>
      </c>
      <c r="BP353" s="64">
        <f>IFERROR(1/J353*(Y353/H353),"0")</f>
        <v>1.3958333333333333</v>
      </c>
    </row>
    <row r="354" spans="1:68" ht="16.5" customHeight="1" x14ac:dyDescent="0.25">
      <c r="A354" s="54" t="s">
        <v>560</v>
      </c>
      <c r="B354" s="54" t="s">
        <v>561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559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3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61" t="s">
        <v>71</v>
      </c>
      <c r="Q355" s="562"/>
      <c r="R355" s="562"/>
      <c r="S355" s="562"/>
      <c r="T355" s="562"/>
      <c r="U355" s="562"/>
      <c r="V355" s="563"/>
      <c r="W355" s="37" t="s">
        <v>72</v>
      </c>
      <c r="X355" s="543">
        <f>IFERROR(X353/H353,"0")+IFERROR(X354/H354,"0")</f>
        <v>66.666666666666671</v>
      </c>
      <c r="Y355" s="543">
        <f>IFERROR(Y353/H353,"0")+IFERROR(Y354/H354,"0")</f>
        <v>67</v>
      </c>
      <c r="Z355" s="543">
        <f>IFERROR(IF(Z353="",0,Z353),"0")+IFERROR(IF(Z354="",0,Z354),"0")</f>
        <v>1.4572499999999999</v>
      </c>
      <c r="AA355" s="544"/>
      <c r="AB355" s="544"/>
      <c r="AC355" s="544"/>
    </row>
    <row r="356" spans="1:68" x14ac:dyDescent="0.2">
      <c r="A356" s="554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71</v>
      </c>
      <c r="Q356" s="562"/>
      <c r="R356" s="562"/>
      <c r="S356" s="562"/>
      <c r="T356" s="562"/>
      <c r="U356" s="562"/>
      <c r="V356" s="563"/>
      <c r="W356" s="37" t="s">
        <v>69</v>
      </c>
      <c r="X356" s="543">
        <f>IFERROR(SUM(X353:X354),"0")</f>
        <v>1000</v>
      </c>
      <c r="Y356" s="543">
        <f>IFERROR(SUM(Y353:Y354),"0")</f>
        <v>1005</v>
      </c>
      <c r="Z356" s="37"/>
      <c r="AA356" s="544"/>
      <c r="AB356" s="544"/>
      <c r="AC356" s="544"/>
    </row>
    <row r="357" spans="1:68" ht="14.25" customHeight="1" x14ac:dyDescent="0.25">
      <c r="A357" s="557" t="s">
        <v>73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37"/>
      <c r="AB357" s="537"/>
      <c r="AC357" s="537"/>
    </row>
    <row r="358" spans="1:68" ht="27" customHeight="1" x14ac:dyDescent="0.25">
      <c r="A358" s="54" t="s">
        <v>562</v>
      </c>
      <c r="B358" s="54" t="s">
        <v>563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564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565</v>
      </c>
      <c r="B359" s="54" t="s">
        <v>566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567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3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61" t="s">
        <v>71</v>
      </c>
      <c r="Q360" s="562"/>
      <c r="R360" s="562"/>
      <c r="S360" s="562"/>
      <c r="T360" s="562"/>
      <c r="U360" s="562"/>
      <c r="V360" s="563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4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71</v>
      </c>
      <c r="Q361" s="562"/>
      <c r="R361" s="562"/>
      <c r="S361" s="562"/>
      <c r="T361" s="562"/>
      <c r="U361" s="562"/>
      <c r="V361" s="563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7" t="s">
        <v>165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37"/>
      <c r="AB362" s="537"/>
      <c r="AC362" s="537"/>
    </row>
    <row r="363" spans="1:68" ht="16.5" customHeight="1" x14ac:dyDescent="0.25">
      <c r="A363" s="54" t="s">
        <v>568</v>
      </c>
      <c r="B363" s="54" t="s">
        <v>569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1">
        <v>20</v>
      </c>
      <c r="Y363" s="542">
        <f>IFERROR(IF(X363="",0,CEILING((X363/$H363),1)*$H363),"")</f>
        <v>27</v>
      </c>
      <c r="Z363" s="36">
        <f>IFERROR(IF(Y363=0,"",ROUNDUP(Y363/H363,0)*0.01898),"")</f>
        <v>5.6940000000000004E-2</v>
      </c>
      <c r="AA363" s="56"/>
      <c r="AB363" s="57"/>
      <c r="AC363" s="413" t="s">
        <v>570</v>
      </c>
      <c r="AG363" s="64"/>
      <c r="AJ363" s="68"/>
      <c r="AK363" s="68">
        <v>0</v>
      </c>
      <c r="BB363" s="414" t="s">
        <v>1</v>
      </c>
      <c r="BM363" s="64">
        <f>IFERROR(X363*I363/H363,"0")</f>
        <v>21.153333333333332</v>
      </c>
      <c r="BN363" s="64">
        <f>IFERROR(Y363*I363/H363,"0")</f>
        <v>28.556999999999999</v>
      </c>
      <c r="BO363" s="64">
        <f>IFERROR(1/J363*(X363/H363),"0")</f>
        <v>3.4722222222222224E-2</v>
      </c>
      <c r="BP363" s="64">
        <f>IFERROR(1/J363*(Y363/H363),"0")</f>
        <v>4.6875E-2</v>
      </c>
    </row>
    <row r="364" spans="1:68" x14ac:dyDescent="0.2">
      <c r="A364" s="553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61" t="s">
        <v>71</v>
      </c>
      <c r="Q364" s="562"/>
      <c r="R364" s="562"/>
      <c r="S364" s="562"/>
      <c r="T364" s="562"/>
      <c r="U364" s="562"/>
      <c r="V364" s="563"/>
      <c r="W364" s="37" t="s">
        <v>72</v>
      </c>
      <c r="X364" s="543">
        <f>IFERROR(X363/H363,"0")</f>
        <v>2.2222222222222223</v>
      </c>
      <c r="Y364" s="543">
        <f>IFERROR(Y363/H363,"0")</f>
        <v>3</v>
      </c>
      <c r="Z364" s="543">
        <f>IFERROR(IF(Z363="",0,Z363),"0")</f>
        <v>5.6940000000000004E-2</v>
      </c>
      <c r="AA364" s="544"/>
      <c r="AB364" s="544"/>
      <c r="AC364" s="544"/>
    </row>
    <row r="365" spans="1:68" x14ac:dyDescent="0.2">
      <c r="A365" s="554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71</v>
      </c>
      <c r="Q365" s="562"/>
      <c r="R365" s="562"/>
      <c r="S365" s="562"/>
      <c r="T365" s="562"/>
      <c r="U365" s="562"/>
      <c r="V365" s="563"/>
      <c r="W365" s="37" t="s">
        <v>69</v>
      </c>
      <c r="X365" s="543">
        <f>IFERROR(SUM(X363:X363),"0")</f>
        <v>20</v>
      </c>
      <c r="Y365" s="543">
        <f>IFERROR(SUM(Y363:Y363),"0")</f>
        <v>27</v>
      </c>
      <c r="Z365" s="37"/>
      <c r="AA365" s="544"/>
      <c r="AB365" s="544"/>
      <c r="AC365" s="544"/>
    </row>
    <row r="366" spans="1:68" ht="16.5" customHeight="1" x14ac:dyDescent="0.25">
      <c r="A366" s="558" t="s">
        <v>571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6"/>
      <c r="AB366" s="536"/>
      <c r="AC366" s="536"/>
    </row>
    <row r="367" spans="1:68" ht="14.25" customHeight="1" x14ac:dyDescent="0.25">
      <c r="A367" s="557" t="s">
        <v>99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7"/>
      <c r="AB367" s="537"/>
      <c r="AC367" s="537"/>
    </row>
    <row r="368" spans="1:68" ht="37.5" customHeight="1" x14ac:dyDescent="0.25">
      <c r="A368" s="54" t="s">
        <v>572</v>
      </c>
      <c r="B368" s="54" t="s">
        <v>573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20</v>
      </c>
      <c r="Y368" s="542">
        <f>IFERROR(IF(X368="",0,CEILING((X368/$H368),1)*$H368),"")</f>
        <v>24</v>
      </c>
      <c r="Z368" s="36">
        <f>IFERROR(IF(Y368=0,"",ROUNDUP(Y368/H368,0)*0.01898),"")</f>
        <v>3.7960000000000001E-2</v>
      </c>
      <c r="AA368" s="56"/>
      <c r="AB368" s="57"/>
      <c r="AC368" s="415" t="s">
        <v>574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20.725000000000001</v>
      </c>
      <c r="BN368" s="64">
        <f>IFERROR(Y368*I368/H368,"0")</f>
        <v>24.87</v>
      </c>
      <c r="BO368" s="64">
        <f>IFERROR(1/J368*(X368/H368),"0")</f>
        <v>2.6041666666666668E-2</v>
      </c>
      <c r="BP368" s="64">
        <f>IFERROR(1/J368*(Y368/H368),"0")</f>
        <v>3.125E-2</v>
      </c>
    </row>
    <row r="369" spans="1:68" ht="37.5" customHeight="1" x14ac:dyDescent="0.25">
      <c r="A369" s="54" t="s">
        <v>575</v>
      </c>
      <c r="B369" s="54" t="s">
        <v>576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574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61" t="s">
        <v>71</v>
      </c>
      <c r="Q370" s="562"/>
      <c r="R370" s="562"/>
      <c r="S370" s="562"/>
      <c r="T370" s="562"/>
      <c r="U370" s="562"/>
      <c r="V370" s="563"/>
      <c r="W370" s="37" t="s">
        <v>72</v>
      </c>
      <c r="X370" s="543">
        <f>IFERROR(X368/H368,"0")+IFERROR(X369/H369,"0")</f>
        <v>1.6666666666666667</v>
      </c>
      <c r="Y370" s="543">
        <f>IFERROR(Y368/H368,"0")+IFERROR(Y369/H369,"0")</f>
        <v>2</v>
      </c>
      <c r="Z370" s="543">
        <f>IFERROR(IF(Z368="",0,Z368),"0")+IFERROR(IF(Z369="",0,Z369),"0")</f>
        <v>3.7960000000000001E-2</v>
      </c>
      <c r="AA370" s="544"/>
      <c r="AB370" s="544"/>
      <c r="AC370" s="544"/>
    </row>
    <row r="371" spans="1:68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71</v>
      </c>
      <c r="Q371" s="562"/>
      <c r="R371" s="562"/>
      <c r="S371" s="562"/>
      <c r="T371" s="562"/>
      <c r="U371" s="562"/>
      <c r="V371" s="563"/>
      <c r="W371" s="37" t="s">
        <v>69</v>
      </c>
      <c r="X371" s="543">
        <f>IFERROR(SUM(X368:X369),"0")</f>
        <v>20</v>
      </c>
      <c r="Y371" s="543">
        <f>IFERROR(SUM(Y368:Y369),"0")</f>
        <v>24</v>
      </c>
      <c r="Z371" s="37"/>
      <c r="AA371" s="544"/>
      <c r="AB371" s="544"/>
      <c r="AC371" s="544"/>
    </row>
    <row r="372" spans="1:68" ht="14.25" customHeight="1" x14ac:dyDescent="0.25">
      <c r="A372" s="557" t="s">
        <v>64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37"/>
      <c r="AB372" s="537"/>
      <c r="AC372" s="537"/>
    </row>
    <row r="373" spans="1:68" ht="27" customHeight="1" x14ac:dyDescent="0.25">
      <c r="A373" s="54" t="s">
        <v>577</v>
      </c>
      <c r="B373" s="54" t="s">
        <v>578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577</v>
      </c>
      <c r="B374" s="54" t="s">
        <v>580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581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3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61" t="s">
        <v>71</v>
      </c>
      <c r="Q375" s="562"/>
      <c r="R375" s="562"/>
      <c r="S375" s="562"/>
      <c r="T375" s="562"/>
      <c r="U375" s="562"/>
      <c r="V375" s="563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4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71</v>
      </c>
      <c r="Q376" s="562"/>
      <c r="R376" s="562"/>
      <c r="S376" s="562"/>
      <c r="T376" s="562"/>
      <c r="U376" s="562"/>
      <c r="V376" s="563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7" t="s">
        <v>73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37"/>
      <c r="AB377" s="537"/>
      <c r="AC377" s="537"/>
    </row>
    <row r="378" spans="1:68" ht="27" customHeight="1" x14ac:dyDescent="0.25">
      <c r="A378" s="54" t="s">
        <v>582</v>
      </c>
      <c r="B378" s="54" t="s">
        <v>583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20</v>
      </c>
      <c r="Y378" s="542">
        <f>IFERROR(IF(X378="",0,CEILING((X378/$H378),1)*$H378),"")</f>
        <v>27</v>
      </c>
      <c r="Z378" s="36">
        <f>IFERROR(IF(Y378=0,"",ROUNDUP(Y378/H378,0)*0.01898),"")</f>
        <v>5.6940000000000004E-2</v>
      </c>
      <c r="AA378" s="56"/>
      <c r="AB378" s="57"/>
      <c r="AC378" s="423" t="s">
        <v>584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21.153333333333332</v>
      </c>
      <c r="BN378" s="64">
        <f>IFERROR(Y378*I378/H378,"0")</f>
        <v>28.556999999999999</v>
      </c>
      <c r="BO378" s="64">
        <f>IFERROR(1/J378*(X378/H378),"0")</f>
        <v>3.4722222222222224E-2</v>
      </c>
      <c r="BP378" s="64">
        <f>IFERROR(1/J378*(Y378/H378),"0")</f>
        <v>4.6875E-2</v>
      </c>
    </row>
    <row r="379" spans="1:68" ht="27" customHeight="1" x14ac:dyDescent="0.25">
      <c r="A379" s="54" t="s">
        <v>585</v>
      </c>
      <c r="B379" s="54" t="s">
        <v>586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61" t="s">
        <v>71</v>
      </c>
      <c r="Q380" s="562"/>
      <c r="R380" s="562"/>
      <c r="S380" s="562"/>
      <c r="T380" s="562"/>
      <c r="U380" s="562"/>
      <c r="V380" s="563"/>
      <c r="W380" s="37" t="s">
        <v>72</v>
      </c>
      <c r="X380" s="543">
        <f>IFERROR(X378/H378,"0")+IFERROR(X379/H379,"0")</f>
        <v>2.2222222222222223</v>
      </c>
      <c r="Y380" s="543">
        <f>IFERROR(Y378/H378,"0")+IFERROR(Y379/H379,"0")</f>
        <v>3</v>
      </c>
      <c r="Z380" s="543">
        <f>IFERROR(IF(Z378="",0,Z378),"0")+IFERROR(IF(Z379="",0,Z379),"0")</f>
        <v>5.6940000000000004E-2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71</v>
      </c>
      <c r="Q381" s="562"/>
      <c r="R381" s="562"/>
      <c r="S381" s="562"/>
      <c r="T381" s="562"/>
      <c r="U381" s="562"/>
      <c r="V381" s="563"/>
      <c r="W381" s="37" t="s">
        <v>69</v>
      </c>
      <c r="X381" s="543">
        <f>IFERROR(SUM(X378:X379),"0")</f>
        <v>20</v>
      </c>
      <c r="Y381" s="543">
        <f>IFERROR(SUM(Y378:Y379),"0")</f>
        <v>27</v>
      </c>
      <c r="Z381" s="37"/>
      <c r="AA381" s="544"/>
      <c r="AB381" s="544"/>
      <c r="AC381" s="544"/>
    </row>
    <row r="382" spans="1:68" ht="27.75" customHeight="1" x14ac:dyDescent="0.2">
      <c r="A382" s="639" t="s">
        <v>587</v>
      </c>
      <c r="B382" s="640"/>
      <c r="C382" s="640"/>
      <c r="D382" s="640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  <c r="AA382" s="48"/>
      <c r="AB382" s="48"/>
      <c r="AC382" s="48"/>
    </row>
    <row r="383" spans="1:68" ht="16.5" customHeight="1" x14ac:dyDescent="0.25">
      <c r="A383" s="558" t="s">
        <v>588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customHeight="1" x14ac:dyDescent="0.25">
      <c r="A384" s="557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customHeight="1" x14ac:dyDescent="0.25">
      <c r="A385" s="54" t="s">
        <v>589</v>
      </c>
      <c r="B385" s="54" t="s">
        <v>590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591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592</v>
      </c>
      <c r="B386" s="54" t="s">
        <v>593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594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595</v>
      </c>
      <c r="B387" s="54" t="s">
        <v>596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597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598</v>
      </c>
      <c r="B388" s="54" t="s">
        <v>599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591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600</v>
      </c>
      <c r="B389" s="54" t="s">
        <v>601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274</v>
      </c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42</v>
      </c>
      <c r="Y389" s="542">
        <f t="shared" si="36"/>
        <v>42</v>
      </c>
      <c r="Z389" s="36">
        <f t="shared" si="41"/>
        <v>0.1004</v>
      </c>
      <c r="AA389" s="56"/>
      <c r="AB389" s="57"/>
      <c r="AC389" s="435" t="s">
        <v>591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44.599999999999994</v>
      </c>
      <c r="BN389" s="64">
        <f t="shared" si="38"/>
        <v>44.599999999999994</v>
      </c>
      <c r="BO389" s="64">
        <f t="shared" si="39"/>
        <v>8.5470085470085472E-2</v>
      </c>
      <c r="BP389" s="64">
        <f t="shared" si="40"/>
        <v>8.5470085470085472E-2</v>
      </c>
    </row>
    <row r="390" spans="1:68" ht="37.5" customHeight="1" x14ac:dyDescent="0.25">
      <c r="A390" s="54" t="s">
        <v>602</v>
      </c>
      <c r="B390" s="54" t="s">
        <v>603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 t="s">
        <v>274</v>
      </c>
      <c r="M390" s="33" t="s">
        <v>68</v>
      </c>
      <c r="N390" s="33"/>
      <c r="O390" s="32">
        <v>50</v>
      </c>
      <c r="P390" s="74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28</v>
      </c>
      <c r="Y390" s="542">
        <f t="shared" si="36"/>
        <v>29.400000000000002</v>
      </c>
      <c r="Z390" s="36">
        <f t="shared" si="41"/>
        <v>7.0280000000000009E-2</v>
      </c>
      <c r="AA390" s="56"/>
      <c r="AB390" s="57"/>
      <c r="AC390" s="437" t="s">
        <v>604</v>
      </c>
      <c r="AG390" s="64"/>
      <c r="AJ390" s="68" t="s">
        <v>106</v>
      </c>
      <c r="AK390" s="68">
        <v>37.799999999999997</v>
      </c>
      <c r="BB390" s="438" t="s">
        <v>1</v>
      </c>
      <c r="BM390" s="64">
        <f t="shared" si="37"/>
        <v>29.733333333333331</v>
      </c>
      <c r="BN390" s="64">
        <f t="shared" si="38"/>
        <v>31.22</v>
      </c>
      <c r="BO390" s="64">
        <f t="shared" si="39"/>
        <v>5.6980056980056981E-2</v>
      </c>
      <c r="BP390" s="64">
        <f t="shared" si="40"/>
        <v>5.9829059829059839E-2</v>
      </c>
    </row>
    <row r="391" spans="1:68" ht="27" customHeight="1" x14ac:dyDescent="0.25">
      <c r="A391" s="54" t="s">
        <v>605</v>
      </c>
      <c r="B391" s="54" t="s">
        <v>606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607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608</v>
      </c>
      <c r="B392" s="54" t="s">
        <v>609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274</v>
      </c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70</v>
      </c>
      <c r="Y392" s="542">
        <f t="shared" si="36"/>
        <v>71.400000000000006</v>
      </c>
      <c r="Z392" s="36">
        <f t="shared" si="41"/>
        <v>0.17068</v>
      </c>
      <c r="AA392" s="56"/>
      <c r="AB392" s="57"/>
      <c r="AC392" s="441" t="s">
        <v>610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74.333333333333329</v>
      </c>
      <c r="BN392" s="64">
        <f t="shared" si="38"/>
        <v>75.820000000000007</v>
      </c>
      <c r="BO392" s="64">
        <f t="shared" si="39"/>
        <v>0.14245014245014245</v>
      </c>
      <c r="BP392" s="64">
        <f t="shared" si="40"/>
        <v>0.14529914529914531</v>
      </c>
    </row>
    <row r="393" spans="1:68" ht="37.5" customHeight="1" x14ac:dyDescent="0.25">
      <c r="A393" s="54" t="s">
        <v>611</v>
      </c>
      <c r="B393" s="54" t="s">
        <v>612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607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61" t="s">
        <v>71</v>
      </c>
      <c r="Q394" s="562"/>
      <c r="R394" s="562"/>
      <c r="S394" s="562"/>
      <c r="T394" s="562"/>
      <c r="U394" s="562"/>
      <c r="V394" s="563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66.666666666666657</v>
      </c>
      <c r="Y394" s="543">
        <f>IFERROR(Y385/H385,"0")+IFERROR(Y386/H386,"0")+IFERROR(Y387/H387,"0")+IFERROR(Y388/H388,"0")+IFERROR(Y389/H389,"0")+IFERROR(Y390/H390,"0")+IFERROR(Y391/H391,"0")+IFERROR(Y392/H392,"0")+IFERROR(Y393/H393,"0")</f>
        <v>68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0.34136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71</v>
      </c>
      <c r="Q395" s="562"/>
      <c r="R395" s="562"/>
      <c r="S395" s="562"/>
      <c r="T395" s="562"/>
      <c r="U395" s="562"/>
      <c r="V395" s="563"/>
      <c r="W395" s="37" t="s">
        <v>69</v>
      </c>
      <c r="X395" s="543">
        <f>IFERROR(SUM(X385:X393),"0")</f>
        <v>140</v>
      </c>
      <c r="Y395" s="543">
        <f>IFERROR(SUM(Y385:Y393),"0")</f>
        <v>142.80000000000001</v>
      </c>
      <c r="Z395" s="37"/>
      <c r="AA395" s="544"/>
      <c r="AB395" s="544"/>
      <c r="AC395" s="544"/>
    </row>
    <row r="396" spans="1:68" ht="14.25" customHeight="1" x14ac:dyDescent="0.25">
      <c r="A396" s="557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customHeight="1" x14ac:dyDescent="0.25">
      <c r="A397" s="54" t="s">
        <v>613</v>
      </c>
      <c r="B397" s="54" t="s">
        <v>614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615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616</v>
      </c>
      <c r="B398" s="54" t="s">
        <v>617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618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61" t="s">
        <v>71</v>
      </c>
      <c r="Q399" s="562"/>
      <c r="R399" s="562"/>
      <c r="S399" s="562"/>
      <c r="T399" s="562"/>
      <c r="U399" s="562"/>
      <c r="V399" s="563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71</v>
      </c>
      <c r="Q400" s="562"/>
      <c r="R400" s="562"/>
      <c r="S400" s="562"/>
      <c r="T400" s="562"/>
      <c r="U400" s="562"/>
      <c r="V400" s="563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619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customHeight="1" x14ac:dyDescent="0.25">
      <c r="A402" s="557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customHeight="1" x14ac:dyDescent="0.25">
      <c r="A403" s="54" t="s">
        <v>620</v>
      </c>
      <c r="B403" s="54" t="s">
        <v>621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622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61" t="s">
        <v>71</v>
      </c>
      <c r="Q404" s="562"/>
      <c r="R404" s="562"/>
      <c r="S404" s="562"/>
      <c r="T404" s="562"/>
      <c r="U404" s="562"/>
      <c r="V404" s="563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71</v>
      </c>
      <c r="Q405" s="562"/>
      <c r="R405" s="562"/>
      <c r="S405" s="562"/>
      <c r="T405" s="562"/>
      <c r="U405" s="562"/>
      <c r="V405" s="563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7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customHeight="1" x14ac:dyDescent="0.25">
      <c r="A407" s="54" t="s">
        <v>623</v>
      </c>
      <c r="B407" s="54" t="s">
        <v>624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625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626</v>
      </c>
      <c r="B408" s="54" t="s">
        <v>627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628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629</v>
      </c>
      <c r="B409" s="54" t="s">
        <v>630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631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632</v>
      </c>
      <c r="B410" s="54" t="s">
        <v>633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10.5</v>
      </c>
      <c r="Y410" s="542">
        <f>IFERROR(IF(X410="",0,CEILING((X410/$H410),1)*$H410),"")</f>
        <v>10.5</v>
      </c>
      <c r="Z410" s="36">
        <f>IFERROR(IF(Y410=0,"",ROUNDUP(Y410/H410,0)*0.00502),"")</f>
        <v>2.5100000000000001E-2</v>
      </c>
      <c r="AA410" s="56"/>
      <c r="AB410" s="57"/>
      <c r="AC410" s="457" t="s">
        <v>631</v>
      </c>
      <c r="AG410" s="64"/>
      <c r="AJ410" s="68"/>
      <c r="AK410" s="68">
        <v>0</v>
      </c>
      <c r="BB410" s="458" t="s">
        <v>1</v>
      </c>
      <c r="BM410" s="64">
        <f>IFERROR(X410*I410/H410,"0")</f>
        <v>11.149999999999999</v>
      </c>
      <c r="BN410" s="64">
        <f>IFERROR(Y410*I410/H410,"0")</f>
        <v>11.149999999999999</v>
      </c>
      <c r="BO410" s="64">
        <f>IFERROR(1/J410*(X410/H410),"0")</f>
        <v>2.1367521367521368E-2</v>
      </c>
      <c r="BP410" s="64">
        <f>IFERROR(1/J410*(Y410/H410),"0")</f>
        <v>2.1367521367521368E-2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61" t="s">
        <v>71</v>
      </c>
      <c r="Q411" s="562"/>
      <c r="R411" s="562"/>
      <c r="S411" s="562"/>
      <c r="T411" s="562"/>
      <c r="U411" s="562"/>
      <c r="V411" s="563"/>
      <c r="W411" s="37" t="s">
        <v>72</v>
      </c>
      <c r="X411" s="543">
        <f>IFERROR(X407/H407,"0")+IFERROR(X408/H408,"0")+IFERROR(X409/H409,"0")+IFERROR(X410/H410,"0")</f>
        <v>5</v>
      </c>
      <c r="Y411" s="543">
        <f>IFERROR(Y407/H407,"0")+IFERROR(Y408/H408,"0")+IFERROR(Y409/H409,"0")+IFERROR(Y410/H410,"0")</f>
        <v>5</v>
      </c>
      <c r="Z411" s="543">
        <f>IFERROR(IF(Z407="",0,Z407),"0")+IFERROR(IF(Z408="",0,Z408),"0")+IFERROR(IF(Z409="",0,Z409),"0")+IFERROR(IF(Z410="",0,Z410),"0")</f>
        <v>2.5100000000000001E-2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71</v>
      </c>
      <c r="Q412" s="562"/>
      <c r="R412" s="562"/>
      <c r="S412" s="562"/>
      <c r="T412" s="562"/>
      <c r="U412" s="562"/>
      <c r="V412" s="563"/>
      <c r="W412" s="37" t="s">
        <v>69</v>
      </c>
      <c r="X412" s="543">
        <f>IFERROR(SUM(X407:X410),"0")</f>
        <v>10.5</v>
      </c>
      <c r="Y412" s="543">
        <f>IFERROR(SUM(Y407:Y410),"0")</f>
        <v>10.5</v>
      </c>
      <c r="Z412" s="37"/>
      <c r="AA412" s="544"/>
      <c r="AB412" s="544"/>
      <c r="AC412" s="544"/>
    </row>
    <row r="413" spans="1:68" ht="16.5" customHeight="1" x14ac:dyDescent="0.25">
      <c r="A413" s="558" t="s">
        <v>634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customHeight="1" x14ac:dyDescent="0.25">
      <c r="A414" s="557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customHeight="1" x14ac:dyDescent="0.25">
      <c r="A415" s="54" t="s">
        <v>635</v>
      </c>
      <c r="B415" s="54" t="s">
        <v>636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 t="s">
        <v>216</v>
      </c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60</v>
      </c>
      <c r="Y415" s="542">
        <f>IFERROR(IF(X415="",0,CEILING((X415/$H415),1)*$H415),"")</f>
        <v>60</v>
      </c>
      <c r="Z415" s="36">
        <f>IFERROR(IF(Y415=0,"",ROUNDUP(Y415/H415,0)*0.00651),"")</f>
        <v>0.32550000000000001</v>
      </c>
      <c r="AA415" s="56"/>
      <c r="AB415" s="57"/>
      <c r="AC415" s="459" t="s">
        <v>637</v>
      </c>
      <c r="AG415" s="64"/>
      <c r="AJ415" s="68" t="s">
        <v>106</v>
      </c>
      <c r="AK415" s="68">
        <v>16.8</v>
      </c>
      <c r="BB415" s="460" t="s">
        <v>1</v>
      </c>
      <c r="BM415" s="64">
        <f>IFERROR(X415*I415/H415,"0")</f>
        <v>105</v>
      </c>
      <c r="BN415" s="64">
        <f>IFERROR(Y415*I415/H415,"0")</f>
        <v>105</v>
      </c>
      <c r="BO415" s="64">
        <f>IFERROR(1/J415*(X415/H415),"0")</f>
        <v>0.27472527472527475</v>
      </c>
      <c r="BP415" s="64">
        <f>IFERROR(1/J415*(Y415/H415),"0")</f>
        <v>0.27472527472527475</v>
      </c>
    </row>
    <row r="416" spans="1:68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61" t="s">
        <v>71</v>
      </c>
      <c r="Q416" s="562"/>
      <c r="R416" s="562"/>
      <c r="S416" s="562"/>
      <c r="T416" s="562"/>
      <c r="U416" s="562"/>
      <c r="V416" s="563"/>
      <c r="W416" s="37" t="s">
        <v>72</v>
      </c>
      <c r="X416" s="543">
        <f>IFERROR(X415/H415,"0")</f>
        <v>50</v>
      </c>
      <c r="Y416" s="543">
        <f>IFERROR(Y415/H415,"0")</f>
        <v>50</v>
      </c>
      <c r="Z416" s="543">
        <f>IFERROR(IF(Z415="",0,Z415),"0")</f>
        <v>0.32550000000000001</v>
      </c>
      <c r="AA416" s="544"/>
      <c r="AB416" s="544"/>
      <c r="AC416" s="544"/>
    </row>
    <row r="417" spans="1:68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71</v>
      </c>
      <c r="Q417" s="562"/>
      <c r="R417" s="562"/>
      <c r="S417" s="562"/>
      <c r="T417" s="562"/>
      <c r="U417" s="562"/>
      <c r="V417" s="563"/>
      <c r="W417" s="37" t="s">
        <v>69</v>
      </c>
      <c r="X417" s="543">
        <f>IFERROR(SUM(X415:X415),"0")</f>
        <v>60</v>
      </c>
      <c r="Y417" s="543">
        <f>IFERROR(SUM(Y415:Y415),"0")</f>
        <v>60</v>
      </c>
      <c r="Z417" s="37"/>
      <c r="AA417" s="544"/>
      <c r="AB417" s="544"/>
      <c r="AC417" s="544"/>
    </row>
    <row r="418" spans="1:68" ht="27.75" customHeight="1" x14ac:dyDescent="0.2">
      <c r="A418" s="639" t="s">
        <v>638</v>
      </c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  <c r="AA418" s="48"/>
      <c r="AB418" s="48"/>
      <c r="AC418" s="48"/>
    </row>
    <row r="419" spans="1:68" ht="16.5" customHeight="1" x14ac:dyDescent="0.25">
      <c r="A419" s="558" t="s">
        <v>638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customHeight="1" x14ac:dyDescent="0.25">
      <c r="A420" s="557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customHeight="1" x14ac:dyDescent="0.25">
      <c r="A421" s="54" t="s">
        <v>639</v>
      </c>
      <c r="B421" s="54" t="s">
        <v>640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50</v>
      </c>
      <c r="Y421" s="542">
        <f t="shared" ref="Y421:Y431" si="42">IFERROR(IF(X421="",0,CEILING((X421/$H421),1)*$H421),"")</f>
        <v>52.800000000000004</v>
      </c>
      <c r="Z421" s="36">
        <f t="shared" ref="Z421:Z426" si="43">IFERROR(IF(Y421=0,"",ROUNDUP(Y421/H421,0)*0.01196),"")</f>
        <v>0.1196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53.409090909090907</v>
      </c>
      <c r="BN421" s="64">
        <f t="shared" ref="BN421:BN431" si="45">IFERROR(Y421*I421/H421,"0")</f>
        <v>56.400000000000006</v>
      </c>
      <c r="BO421" s="64">
        <f t="shared" ref="BO421:BO431" si="46">IFERROR(1/J421*(X421/H421),"0")</f>
        <v>9.1054778554778545E-2</v>
      </c>
      <c r="BP421" s="64">
        <f t="shared" ref="BP421:BP431" si="47">IFERROR(1/J421*(Y421/H421),"0")</f>
        <v>9.6153846153846159E-2</v>
      </c>
    </row>
    <row r="422" spans="1:68" ht="27" customHeight="1" x14ac:dyDescent="0.25">
      <c r="A422" s="54" t="s">
        <v>641</v>
      </c>
      <c r="B422" s="54" t="s">
        <v>642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643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644</v>
      </c>
      <c r="B423" s="54" t="s">
        <v>645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300</v>
      </c>
      <c r="Y423" s="542">
        <f t="shared" si="42"/>
        <v>300.96000000000004</v>
      </c>
      <c r="Z423" s="36">
        <f t="shared" si="43"/>
        <v>0.68171999999999999</v>
      </c>
      <c r="AA423" s="56"/>
      <c r="AB423" s="57"/>
      <c r="AC423" s="465" t="s">
        <v>646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320.45454545454544</v>
      </c>
      <c r="BN423" s="64">
        <f t="shared" si="45"/>
        <v>321.48</v>
      </c>
      <c r="BO423" s="64">
        <f t="shared" si="46"/>
        <v>0.54632867132867136</v>
      </c>
      <c r="BP423" s="64">
        <f t="shared" si="47"/>
        <v>0.54807692307692313</v>
      </c>
    </row>
    <row r="424" spans="1:68" ht="27" customHeight="1" x14ac:dyDescent="0.25">
      <c r="A424" s="54" t="s">
        <v>647</v>
      </c>
      <c r="B424" s="54" t="s">
        <v>648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649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650</v>
      </c>
      <c r="B425" s="54" t="s">
        <v>651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652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653</v>
      </c>
      <c r="B426" s="54" t="s">
        <v>654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160</v>
      </c>
      <c r="Y426" s="542">
        <f t="shared" si="42"/>
        <v>163.68</v>
      </c>
      <c r="Z426" s="36">
        <f t="shared" si="43"/>
        <v>0.37075999999999998</v>
      </c>
      <c r="AA426" s="56"/>
      <c r="AB426" s="57"/>
      <c r="AC426" s="471" t="s">
        <v>655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170.90909090909091</v>
      </c>
      <c r="BN426" s="64">
        <f t="shared" si="45"/>
        <v>174.84</v>
      </c>
      <c r="BO426" s="64">
        <f t="shared" si="46"/>
        <v>0.29137529137529139</v>
      </c>
      <c r="BP426" s="64">
        <f t="shared" si="47"/>
        <v>0.29807692307692307</v>
      </c>
    </row>
    <row r="427" spans="1:68" ht="27" customHeight="1" x14ac:dyDescent="0.25">
      <c r="A427" s="54" t="s">
        <v>656</v>
      </c>
      <c r="B427" s="54" t="s">
        <v>657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150</v>
      </c>
      <c r="Y428" s="542">
        <f t="shared" si="42"/>
        <v>153.6</v>
      </c>
      <c r="Z428" s="36">
        <f>IFERROR(IF(Y428=0,"",ROUNDUP(Y428/H428,0)*0.00902),"")</f>
        <v>0.28864000000000001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216.5625</v>
      </c>
      <c r="BN428" s="64">
        <f t="shared" si="45"/>
        <v>221.76</v>
      </c>
      <c r="BO428" s="64">
        <f t="shared" si="46"/>
        <v>0.23674242424242425</v>
      </c>
      <c r="BP428" s="64">
        <f t="shared" si="47"/>
        <v>0.24242424242424243</v>
      </c>
    </row>
    <row r="429" spans="1:68" ht="27" customHeight="1" x14ac:dyDescent="0.25">
      <c r="A429" s="54" t="s">
        <v>660</v>
      </c>
      <c r="B429" s="54" t="s">
        <v>661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643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664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180</v>
      </c>
      <c r="Y431" s="542">
        <f t="shared" si="42"/>
        <v>182.4</v>
      </c>
      <c r="Z431" s="36">
        <f>IFERROR(IF(Y431=0,"",ROUNDUP(Y431/H431,0)*0.00902),"")</f>
        <v>0.34276000000000001</v>
      </c>
      <c r="AA431" s="56"/>
      <c r="AB431" s="57"/>
      <c r="AC431" s="481" t="s">
        <v>655</v>
      </c>
      <c r="AG431" s="64"/>
      <c r="AJ431" s="68"/>
      <c r="AK431" s="68">
        <v>0</v>
      </c>
      <c r="BB431" s="482" t="s">
        <v>1</v>
      </c>
      <c r="BM431" s="64">
        <f t="shared" si="44"/>
        <v>259.875</v>
      </c>
      <c r="BN431" s="64">
        <f t="shared" si="45"/>
        <v>263.33999999999997</v>
      </c>
      <c r="BO431" s="64">
        <f t="shared" si="46"/>
        <v>0.28409090909090912</v>
      </c>
      <c r="BP431" s="64">
        <f t="shared" si="47"/>
        <v>0.2878787878787879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61" t="s">
        <v>71</v>
      </c>
      <c r="Q432" s="562"/>
      <c r="R432" s="562"/>
      <c r="S432" s="562"/>
      <c r="T432" s="562"/>
      <c r="U432" s="562"/>
      <c r="V432" s="563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165.34090909090907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168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1.80348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71</v>
      </c>
      <c r="Q433" s="562"/>
      <c r="R433" s="562"/>
      <c r="S433" s="562"/>
      <c r="T433" s="562"/>
      <c r="U433" s="562"/>
      <c r="V433" s="563"/>
      <c r="W433" s="37" t="s">
        <v>69</v>
      </c>
      <c r="X433" s="543">
        <f>IFERROR(SUM(X421:X431),"0")</f>
        <v>840</v>
      </c>
      <c r="Y433" s="543">
        <f>IFERROR(SUM(Y421:Y431),"0")</f>
        <v>853.44</v>
      </c>
      <c r="Z433" s="37"/>
      <c r="AA433" s="544"/>
      <c r="AB433" s="544"/>
      <c r="AC433" s="544"/>
    </row>
    <row r="434" spans="1:68" ht="14.25" customHeight="1" x14ac:dyDescent="0.25">
      <c r="A434" s="557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667</v>
      </c>
      <c r="B435" s="54" t="s">
        <v>668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100</v>
      </c>
      <c r="Y435" s="542">
        <f>IFERROR(IF(X435="",0,CEILING((X435/$H435),1)*$H435),"")</f>
        <v>100.32000000000001</v>
      </c>
      <c r="Z435" s="36">
        <f>IFERROR(IF(Y435=0,"",ROUNDUP(Y435/H435,0)*0.01196),"")</f>
        <v>0.22724</v>
      </c>
      <c r="AA435" s="56"/>
      <c r="AB435" s="57"/>
      <c r="AC435" s="483" t="s">
        <v>669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106.81818181818181</v>
      </c>
      <c r="BN435" s="64">
        <f>IFERROR(Y435*I435/H435,"0")</f>
        <v>107.16</v>
      </c>
      <c r="BO435" s="64">
        <f>IFERROR(1/J435*(X435/H435),"0")</f>
        <v>0.18210955710955709</v>
      </c>
      <c r="BP435" s="64">
        <f>IFERROR(1/J435*(Y435/H435),"0")</f>
        <v>0.18269230769230771</v>
      </c>
    </row>
    <row r="436" spans="1:68" ht="16.5" customHeight="1" x14ac:dyDescent="0.25">
      <c r="A436" s="54" t="s">
        <v>670</v>
      </c>
      <c r="B436" s="54" t="s">
        <v>671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669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672</v>
      </c>
      <c r="B437" s="54" t="s">
        <v>673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669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61" t="s">
        <v>71</v>
      </c>
      <c r="Q438" s="562"/>
      <c r="R438" s="562"/>
      <c r="S438" s="562"/>
      <c r="T438" s="562"/>
      <c r="U438" s="562"/>
      <c r="V438" s="563"/>
      <c r="W438" s="37" t="s">
        <v>72</v>
      </c>
      <c r="X438" s="543">
        <f>IFERROR(X435/H435,"0")+IFERROR(X436/H436,"0")+IFERROR(X437/H437,"0")</f>
        <v>18.939393939393938</v>
      </c>
      <c r="Y438" s="543">
        <f>IFERROR(Y435/H435,"0")+IFERROR(Y436/H436,"0")+IFERROR(Y437/H437,"0")</f>
        <v>19</v>
      </c>
      <c r="Z438" s="543">
        <f>IFERROR(IF(Z435="",0,Z435),"0")+IFERROR(IF(Z436="",0,Z436),"0")+IFERROR(IF(Z437="",0,Z437),"0")</f>
        <v>0.22724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71</v>
      </c>
      <c r="Q439" s="562"/>
      <c r="R439" s="562"/>
      <c r="S439" s="562"/>
      <c r="T439" s="562"/>
      <c r="U439" s="562"/>
      <c r="V439" s="563"/>
      <c r="W439" s="37" t="s">
        <v>69</v>
      </c>
      <c r="X439" s="543">
        <f>IFERROR(SUM(X435:X437),"0")</f>
        <v>100</v>
      </c>
      <c r="Y439" s="543">
        <f>IFERROR(SUM(Y435:Y437),"0")</f>
        <v>100.32000000000001</v>
      </c>
      <c r="Z439" s="37"/>
      <c r="AA439" s="544"/>
      <c r="AB439" s="544"/>
      <c r="AC439" s="544"/>
    </row>
    <row r="440" spans="1:68" ht="14.25" customHeight="1" x14ac:dyDescent="0.25">
      <c r="A440" s="557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674</v>
      </c>
      <c r="B441" s="54" t="s">
        <v>675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50</v>
      </c>
      <c r="Y441" s="542">
        <f t="shared" ref="Y441:Y446" si="48">IFERROR(IF(X441="",0,CEILING((X441/$H441),1)*$H441),"")</f>
        <v>52.800000000000004</v>
      </c>
      <c r="Z441" s="36">
        <f>IFERROR(IF(Y441=0,"",ROUNDUP(Y441/H441,0)*0.01196),"")</f>
        <v>0.1196</v>
      </c>
      <c r="AA441" s="56"/>
      <c r="AB441" s="57"/>
      <c r="AC441" s="489" t="s">
        <v>676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53.409090909090907</v>
      </c>
      <c r="BN441" s="64">
        <f t="shared" ref="BN441:BN446" si="50">IFERROR(Y441*I441/H441,"0")</f>
        <v>56.400000000000006</v>
      </c>
      <c r="BO441" s="64">
        <f t="shared" ref="BO441:BO446" si="51">IFERROR(1/J441*(X441/H441),"0")</f>
        <v>9.1054778554778545E-2</v>
      </c>
      <c r="BP441" s="64">
        <f t="shared" ref="BP441:BP446" si="52">IFERROR(1/J441*(Y441/H441),"0")</f>
        <v>9.6153846153846159E-2</v>
      </c>
    </row>
    <row r="442" spans="1:68" ht="27" customHeight="1" x14ac:dyDescent="0.25">
      <c r="A442" s="54" t="s">
        <v>677</v>
      </c>
      <c r="B442" s="54" t="s">
        <v>678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110</v>
      </c>
      <c r="Y442" s="542">
        <f t="shared" si="48"/>
        <v>110.88000000000001</v>
      </c>
      <c r="Z442" s="36">
        <f>IFERROR(IF(Y442=0,"",ROUNDUP(Y442/H442,0)*0.01196),"")</f>
        <v>0.25115999999999999</v>
      </c>
      <c r="AA442" s="56"/>
      <c r="AB442" s="57"/>
      <c r="AC442" s="491" t="s">
        <v>679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117.49999999999999</v>
      </c>
      <c r="BN442" s="64">
        <f t="shared" si="50"/>
        <v>118.44</v>
      </c>
      <c r="BO442" s="64">
        <f t="shared" si="51"/>
        <v>0.20032051282051283</v>
      </c>
      <c r="BP442" s="64">
        <f t="shared" si="52"/>
        <v>0.20192307692307693</v>
      </c>
    </row>
    <row r="443" spans="1:68" ht="27" customHeight="1" x14ac:dyDescent="0.25">
      <c r="A443" s="54" t="s">
        <v>680</v>
      </c>
      <c r="B443" s="54" t="s">
        <v>681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170</v>
      </c>
      <c r="Y443" s="542">
        <f t="shared" si="48"/>
        <v>174.24</v>
      </c>
      <c r="Z443" s="36">
        <f>IFERROR(IF(Y443=0,"",ROUNDUP(Y443/H443,0)*0.01196),"")</f>
        <v>0.39468000000000003</v>
      </c>
      <c r="AA443" s="56"/>
      <c r="AB443" s="57"/>
      <c r="AC443" s="493" t="s">
        <v>682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181.59090909090907</v>
      </c>
      <c r="BN443" s="64">
        <f t="shared" si="50"/>
        <v>186.12</v>
      </c>
      <c r="BO443" s="64">
        <f t="shared" si="51"/>
        <v>0.3095862470862471</v>
      </c>
      <c r="BP443" s="64">
        <f t="shared" si="52"/>
        <v>0.31730769230769235</v>
      </c>
    </row>
    <row r="444" spans="1:68" ht="27" customHeight="1" x14ac:dyDescent="0.25">
      <c r="A444" s="54" t="s">
        <v>683</v>
      </c>
      <c r="B444" s="54" t="s">
        <v>684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109</v>
      </c>
      <c r="L444" s="32" t="s">
        <v>199</v>
      </c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30</v>
      </c>
      <c r="Y444" s="542">
        <f t="shared" si="48"/>
        <v>33.6</v>
      </c>
      <c r="Z444" s="36">
        <f>IFERROR(IF(Y444=0,"",ROUNDUP(Y444/H444,0)*0.00902),"")</f>
        <v>6.3140000000000002E-2</v>
      </c>
      <c r="AA444" s="56"/>
      <c r="AB444" s="57"/>
      <c r="AC444" s="495" t="s">
        <v>676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43.3125</v>
      </c>
      <c r="BN444" s="64">
        <f t="shared" si="50"/>
        <v>48.510000000000005</v>
      </c>
      <c r="BO444" s="64">
        <f t="shared" si="51"/>
        <v>4.7348484848484848E-2</v>
      </c>
      <c r="BP444" s="64">
        <f t="shared" si="52"/>
        <v>5.3030303030303039E-2</v>
      </c>
    </row>
    <row r="445" spans="1:68" ht="27" customHeight="1" x14ac:dyDescent="0.25">
      <c r="A445" s="54" t="s">
        <v>685</v>
      </c>
      <c r="B445" s="54" t="s">
        <v>686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109</v>
      </c>
      <c r="L445" s="32" t="s">
        <v>199</v>
      </c>
      <c r="M445" s="33" t="s">
        <v>68</v>
      </c>
      <c r="N445" s="33"/>
      <c r="O445" s="32">
        <v>70</v>
      </c>
      <c r="P445" s="5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18</v>
      </c>
      <c r="Y445" s="542">
        <f t="shared" si="48"/>
        <v>19.2</v>
      </c>
      <c r="Z445" s="36">
        <f>IFERROR(IF(Y445=0,"",ROUNDUP(Y445/H445,0)*0.00902),"")</f>
        <v>3.6080000000000001E-2</v>
      </c>
      <c r="AA445" s="56"/>
      <c r="AB445" s="57"/>
      <c r="AC445" s="497" t="s">
        <v>679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25.087500000000002</v>
      </c>
      <c r="BN445" s="64">
        <f t="shared" si="50"/>
        <v>26.76</v>
      </c>
      <c r="BO445" s="64">
        <f t="shared" si="51"/>
        <v>2.8409090909090912E-2</v>
      </c>
      <c r="BP445" s="64">
        <f t="shared" si="52"/>
        <v>3.0303030303030304E-2</v>
      </c>
    </row>
    <row r="446" spans="1:68" ht="27" customHeight="1" x14ac:dyDescent="0.25">
      <c r="A446" s="54" t="s">
        <v>687</v>
      </c>
      <c r="B446" s="54" t="s">
        <v>688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109</v>
      </c>
      <c r="L446" s="32" t="s">
        <v>199</v>
      </c>
      <c r="M446" s="33" t="s">
        <v>68</v>
      </c>
      <c r="N446" s="33"/>
      <c r="O446" s="32">
        <v>70</v>
      </c>
      <c r="P446" s="7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96</v>
      </c>
      <c r="Y446" s="542">
        <f t="shared" si="48"/>
        <v>96</v>
      </c>
      <c r="Z446" s="36">
        <f>IFERROR(IF(Y446=0,"",ROUNDUP(Y446/H446,0)*0.00902),"")</f>
        <v>0.1804</v>
      </c>
      <c r="AA446" s="56"/>
      <c r="AB446" s="57"/>
      <c r="AC446" s="499" t="s">
        <v>682</v>
      </c>
      <c r="AG446" s="64"/>
      <c r="AJ446" s="68" t="s">
        <v>106</v>
      </c>
      <c r="AK446" s="68">
        <v>57.6</v>
      </c>
      <c r="BB446" s="500" t="s">
        <v>1</v>
      </c>
      <c r="BM446" s="64">
        <f t="shared" si="49"/>
        <v>133.80000000000001</v>
      </c>
      <c r="BN446" s="64">
        <f t="shared" si="50"/>
        <v>133.80000000000001</v>
      </c>
      <c r="BO446" s="64">
        <f t="shared" si="51"/>
        <v>0.15151515151515152</v>
      </c>
      <c r="BP446" s="64">
        <f t="shared" si="52"/>
        <v>0.15151515151515152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61" t="s">
        <v>71</v>
      </c>
      <c r="Q447" s="562"/>
      <c r="R447" s="562"/>
      <c r="S447" s="562"/>
      <c r="T447" s="562"/>
      <c r="U447" s="562"/>
      <c r="V447" s="563"/>
      <c r="W447" s="37" t="s">
        <v>72</v>
      </c>
      <c r="X447" s="543">
        <f>IFERROR(X441/H441,"0")+IFERROR(X442/H442,"0")+IFERROR(X443/H443,"0")+IFERROR(X444/H444,"0")+IFERROR(X445/H445,"0")+IFERROR(X446/H446,"0")</f>
        <v>92.5</v>
      </c>
      <c r="Y447" s="543">
        <f>IFERROR(Y441/H441,"0")+IFERROR(Y442/H442,"0")+IFERROR(Y443/H443,"0")+IFERROR(Y444/H444,"0")+IFERROR(Y445/H445,"0")+IFERROR(Y446/H446,"0")</f>
        <v>95</v>
      </c>
      <c r="Z447" s="543">
        <f>IFERROR(IF(Z441="",0,Z441),"0")+IFERROR(IF(Z442="",0,Z442),"0")+IFERROR(IF(Z443="",0,Z443),"0")+IFERROR(IF(Z444="",0,Z444),"0")+IFERROR(IF(Z445="",0,Z445),"0")+IFERROR(IF(Z446="",0,Z446),"0")</f>
        <v>1.0450599999999999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71</v>
      </c>
      <c r="Q448" s="562"/>
      <c r="R448" s="562"/>
      <c r="S448" s="562"/>
      <c r="T448" s="562"/>
      <c r="U448" s="562"/>
      <c r="V448" s="563"/>
      <c r="W448" s="37" t="s">
        <v>69</v>
      </c>
      <c r="X448" s="543">
        <f>IFERROR(SUM(X441:X446),"0")</f>
        <v>474</v>
      </c>
      <c r="Y448" s="543">
        <f>IFERROR(SUM(Y441:Y446),"0")</f>
        <v>486.72</v>
      </c>
      <c r="Z448" s="37"/>
      <c r="AA448" s="544"/>
      <c r="AB448" s="544"/>
      <c r="AC448" s="544"/>
    </row>
    <row r="449" spans="1:68" ht="14.25" customHeight="1" x14ac:dyDescent="0.25">
      <c r="A449" s="557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customHeight="1" x14ac:dyDescent="0.25">
      <c r="A450" s="54" t="s">
        <v>689</v>
      </c>
      <c r="B450" s="54" t="s">
        <v>690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691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692</v>
      </c>
      <c r="B451" s="54" t="s">
        <v>693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694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695</v>
      </c>
      <c r="B452" s="54" t="s">
        <v>696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697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61" t="s">
        <v>71</v>
      </c>
      <c r="Q453" s="562"/>
      <c r="R453" s="562"/>
      <c r="S453" s="562"/>
      <c r="T453" s="562"/>
      <c r="U453" s="562"/>
      <c r="V453" s="563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71</v>
      </c>
      <c r="Q454" s="562"/>
      <c r="R454" s="562"/>
      <c r="S454" s="562"/>
      <c r="T454" s="562"/>
      <c r="U454" s="562"/>
      <c r="V454" s="563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9" t="s">
        <v>698</v>
      </c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  <c r="AA455" s="48"/>
      <c r="AB455" s="48"/>
      <c r="AC455" s="48"/>
    </row>
    <row r="456" spans="1:68" ht="16.5" customHeight="1" x14ac:dyDescent="0.25">
      <c r="A456" s="558" t="s">
        <v>698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customHeight="1" x14ac:dyDescent="0.25">
      <c r="A457" s="557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customHeight="1" x14ac:dyDescent="0.25">
      <c r="A458" s="54" t="s">
        <v>699</v>
      </c>
      <c r="B458" s="54" t="s">
        <v>700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701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702</v>
      </c>
      <c r="B459" s="54" t="s">
        <v>703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704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705</v>
      </c>
      <c r="B460" s="54" t="s">
        <v>706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707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708</v>
      </c>
      <c r="B461" s="54" t="s">
        <v>709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701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61" t="s">
        <v>71</v>
      </c>
      <c r="Q462" s="562"/>
      <c r="R462" s="562"/>
      <c r="S462" s="562"/>
      <c r="T462" s="562"/>
      <c r="U462" s="562"/>
      <c r="V462" s="563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71</v>
      </c>
      <c r="Q463" s="562"/>
      <c r="R463" s="562"/>
      <c r="S463" s="562"/>
      <c r="T463" s="562"/>
      <c r="U463" s="562"/>
      <c r="V463" s="563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7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customHeight="1" x14ac:dyDescent="0.25">
      <c r="A465" s="54" t="s">
        <v>710</v>
      </c>
      <c r="B465" s="54" t="s">
        <v>711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712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713</v>
      </c>
      <c r="B466" s="54" t="s">
        <v>714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716</v>
      </c>
      <c r="B467" s="54" t="s">
        <v>717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718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61" t="s">
        <v>71</v>
      </c>
      <c r="Q468" s="562"/>
      <c r="R468" s="562"/>
      <c r="S468" s="562"/>
      <c r="T468" s="562"/>
      <c r="U468" s="562"/>
      <c r="V468" s="563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71</v>
      </c>
      <c r="Q469" s="562"/>
      <c r="R469" s="562"/>
      <c r="S469" s="562"/>
      <c r="T469" s="562"/>
      <c r="U469" s="562"/>
      <c r="V469" s="563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7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customHeight="1" x14ac:dyDescent="0.25">
      <c r="A471" s="54" t="s">
        <v>719</v>
      </c>
      <c r="B471" s="54" t="s">
        <v>720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722</v>
      </c>
      <c r="B472" s="54" t="s">
        <v>723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724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61" t="s">
        <v>71</v>
      </c>
      <c r="Q473" s="562"/>
      <c r="R473" s="562"/>
      <c r="S473" s="562"/>
      <c r="T473" s="562"/>
      <c r="U473" s="562"/>
      <c r="V473" s="563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71</v>
      </c>
      <c r="Q474" s="562"/>
      <c r="R474" s="562"/>
      <c r="S474" s="562"/>
      <c r="T474" s="562"/>
      <c r="U474" s="562"/>
      <c r="V474" s="563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7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725</v>
      </c>
      <c r="B476" s="54" t="s">
        <v>726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900</v>
      </c>
      <c r="Y476" s="542">
        <f>IFERROR(IF(X476="",0,CEILING((X476/$H476),1)*$H476),"")</f>
        <v>900</v>
      </c>
      <c r="Z476" s="36">
        <f>IFERROR(IF(Y476=0,"",ROUNDUP(Y476/H476,0)*0.01898),"")</f>
        <v>1.8980000000000001</v>
      </c>
      <c r="AA476" s="56"/>
      <c r="AB476" s="57"/>
      <c r="AC476" s="525" t="s">
        <v>727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951.90000000000009</v>
      </c>
      <c r="BN476" s="64">
        <f>IFERROR(Y476*I476/H476,"0")</f>
        <v>951.90000000000009</v>
      </c>
      <c r="BO476" s="64">
        <f>IFERROR(1/J476*(X476/H476),"0")</f>
        <v>1.5625</v>
      </c>
      <c r="BP476" s="64">
        <f>IFERROR(1/J476*(Y476/H476),"0")</f>
        <v>1.5625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61" t="s">
        <v>71</v>
      </c>
      <c r="Q477" s="562"/>
      <c r="R477" s="562"/>
      <c r="S477" s="562"/>
      <c r="T477" s="562"/>
      <c r="U477" s="562"/>
      <c r="V477" s="563"/>
      <c r="W477" s="37" t="s">
        <v>72</v>
      </c>
      <c r="X477" s="543">
        <f>IFERROR(X476/H476,"0")</f>
        <v>100</v>
      </c>
      <c r="Y477" s="543">
        <f>IFERROR(Y476/H476,"0")</f>
        <v>100</v>
      </c>
      <c r="Z477" s="543">
        <f>IFERROR(IF(Z476="",0,Z476),"0")</f>
        <v>1.8980000000000001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71</v>
      </c>
      <c r="Q478" s="562"/>
      <c r="R478" s="562"/>
      <c r="S478" s="562"/>
      <c r="T478" s="562"/>
      <c r="U478" s="562"/>
      <c r="V478" s="563"/>
      <c r="W478" s="37" t="s">
        <v>69</v>
      </c>
      <c r="X478" s="543">
        <f>IFERROR(SUM(X476:X476),"0")</f>
        <v>900</v>
      </c>
      <c r="Y478" s="543">
        <f>IFERROR(SUM(Y476:Y476),"0")</f>
        <v>900</v>
      </c>
      <c r="Z478" s="37"/>
      <c r="AA478" s="544"/>
      <c r="AB478" s="544"/>
      <c r="AC478" s="544"/>
    </row>
    <row r="479" spans="1:68" ht="14.25" customHeight="1" x14ac:dyDescent="0.25">
      <c r="A479" s="557" t="s">
        <v>165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customHeight="1" x14ac:dyDescent="0.25">
      <c r="A480" s="54" t="s">
        <v>728</v>
      </c>
      <c r="B480" s="54" t="s">
        <v>729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730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733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61" t="s">
        <v>71</v>
      </c>
      <c r="Q482" s="562"/>
      <c r="R482" s="562"/>
      <c r="S482" s="562"/>
      <c r="T482" s="562"/>
      <c r="U482" s="562"/>
      <c r="V482" s="563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71</v>
      </c>
      <c r="Q483" s="562"/>
      <c r="R483" s="562"/>
      <c r="S483" s="562"/>
      <c r="T483" s="562"/>
      <c r="U483" s="562"/>
      <c r="V483" s="563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734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customHeight="1" x14ac:dyDescent="0.25">
      <c r="A485" s="557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customHeight="1" x14ac:dyDescent="0.25">
      <c r="A486" s="54" t="s">
        <v>735</v>
      </c>
      <c r="B486" s="54" t="s">
        <v>736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737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61" t="s">
        <v>71</v>
      </c>
      <c r="Q487" s="562"/>
      <c r="R487" s="562"/>
      <c r="S487" s="562"/>
      <c r="T487" s="562"/>
      <c r="U487" s="562"/>
      <c r="V487" s="563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71</v>
      </c>
      <c r="Q488" s="562"/>
      <c r="R488" s="562"/>
      <c r="S488" s="562"/>
      <c r="T488" s="562"/>
      <c r="U488" s="562"/>
      <c r="V488" s="563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33" t="s">
        <v>738</v>
      </c>
      <c r="Q489" s="634"/>
      <c r="R489" s="634"/>
      <c r="S489" s="634"/>
      <c r="T489" s="634"/>
      <c r="U489" s="634"/>
      <c r="V489" s="635"/>
      <c r="W489" s="37" t="s">
        <v>69</v>
      </c>
      <c r="X489" s="5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17500.099999999999</v>
      </c>
      <c r="Y489" s="5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17663.780000000002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33" t="s">
        <v>739</v>
      </c>
      <c r="Q490" s="634"/>
      <c r="R490" s="634"/>
      <c r="S490" s="634"/>
      <c r="T490" s="634"/>
      <c r="U490" s="634"/>
      <c r="V490" s="635"/>
      <c r="W490" s="37" t="s">
        <v>69</v>
      </c>
      <c r="X490" s="543">
        <f>IFERROR(SUM(BM22:BM486),"0")</f>
        <v>18784.934454590752</v>
      </c>
      <c r="Y490" s="543">
        <f>IFERROR(SUM(BN22:BN486),"0")</f>
        <v>18962.638999999992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33" t="s">
        <v>740</v>
      </c>
      <c r="Q491" s="634"/>
      <c r="R491" s="634"/>
      <c r="S491" s="634"/>
      <c r="T491" s="634"/>
      <c r="U491" s="634"/>
      <c r="V491" s="635"/>
      <c r="W491" s="37" t="s">
        <v>741</v>
      </c>
      <c r="X491" s="38">
        <f>ROUNDUP(SUM(BO22:BO486),0)</f>
        <v>32</v>
      </c>
      <c r="Y491" s="38">
        <f>ROUNDUP(SUM(BP22:BP486),0)</f>
        <v>33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33" t="s">
        <v>742</v>
      </c>
      <c r="Q492" s="634"/>
      <c r="R492" s="634"/>
      <c r="S492" s="634"/>
      <c r="T492" s="634"/>
      <c r="U492" s="634"/>
      <c r="V492" s="635"/>
      <c r="W492" s="37" t="s">
        <v>69</v>
      </c>
      <c r="X492" s="543">
        <f>GrossWeightTotal+PalletQtyTotal*25</f>
        <v>19584.934454590752</v>
      </c>
      <c r="Y492" s="543">
        <f>GrossWeightTotalR+PalletQtyTotalR*25</f>
        <v>19787.638999999992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33" t="s">
        <v>743</v>
      </c>
      <c r="Q493" s="634"/>
      <c r="R493" s="634"/>
      <c r="S493" s="634"/>
      <c r="T493" s="634"/>
      <c r="U493" s="634"/>
      <c r="V493" s="635"/>
      <c r="W493" s="37" t="s">
        <v>741</v>
      </c>
      <c r="X493" s="5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3965.4778409117484</v>
      </c>
      <c r="Y493" s="5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3998</v>
      </c>
      <c r="Z493" s="37"/>
      <c r="AA493" s="544"/>
      <c r="AB493" s="544"/>
      <c r="AC493" s="544"/>
    </row>
    <row r="494" spans="1:68" ht="14.25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33" t="s">
        <v>744</v>
      </c>
      <c r="Q494" s="634"/>
      <c r="R494" s="634"/>
      <c r="S494" s="634"/>
      <c r="T494" s="634"/>
      <c r="U494" s="634"/>
      <c r="V494" s="635"/>
      <c r="W494" s="39" t="s">
        <v>745</v>
      </c>
      <c r="X494" s="37"/>
      <c r="Y494" s="37"/>
      <c r="Z494" s="37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37.437490000000011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746</v>
      </c>
      <c r="B496" s="538" t="s">
        <v>63</v>
      </c>
      <c r="C496" s="591" t="s">
        <v>97</v>
      </c>
      <c r="D496" s="662"/>
      <c r="E496" s="662"/>
      <c r="F496" s="662"/>
      <c r="G496" s="662"/>
      <c r="H496" s="625"/>
      <c r="I496" s="591" t="s">
        <v>258</v>
      </c>
      <c r="J496" s="662"/>
      <c r="K496" s="662"/>
      <c r="L496" s="662"/>
      <c r="M496" s="662"/>
      <c r="N496" s="662"/>
      <c r="O496" s="662"/>
      <c r="P496" s="662"/>
      <c r="Q496" s="662"/>
      <c r="R496" s="625"/>
      <c r="S496" s="591" t="s">
        <v>536</v>
      </c>
      <c r="T496" s="625"/>
      <c r="U496" s="591" t="s">
        <v>587</v>
      </c>
      <c r="V496" s="662"/>
      <c r="W496" s="625"/>
      <c r="X496" s="538" t="s">
        <v>638</v>
      </c>
      <c r="Y496" s="591" t="s">
        <v>698</v>
      </c>
      <c r="Z496" s="625"/>
      <c r="AB496" s="52"/>
      <c r="AC496" s="52"/>
      <c r="AF496" s="539"/>
    </row>
    <row r="497" spans="1:32" ht="14.25" customHeight="1" thickTop="1" x14ac:dyDescent="0.2">
      <c r="A497" s="838" t="s">
        <v>747</v>
      </c>
      <c r="B497" s="591" t="s">
        <v>63</v>
      </c>
      <c r="C497" s="591" t="s">
        <v>98</v>
      </c>
      <c r="D497" s="591" t="s">
        <v>116</v>
      </c>
      <c r="E497" s="591" t="s">
        <v>172</v>
      </c>
      <c r="F497" s="591" t="s">
        <v>191</v>
      </c>
      <c r="G497" s="591" t="s">
        <v>223</v>
      </c>
      <c r="H497" s="591" t="s">
        <v>97</v>
      </c>
      <c r="I497" s="591" t="s">
        <v>259</v>
      </c>
      <c r="J497" s="591" t="s">
        <v>300</v>
      </c>
      <c r="K497" s="591" t="s">
        <v>360</v>
      </c>
      <c r="L497" s="591" t="s">
        <v>402</v>
      </c>
      <c r="M497" s="591" t="s">
        <v>418</v>
      </c>
      <c r="N497" s="539"/>
      <c r="O497" s="591" t="s">
        <v>429</v>
      </c>
      <c r="P497" s="591" t="s">
        <v>438</v>
      </c>
      <c r="Q497" s="591" t="s">
        <v>448</v>
      </c>
      <c r="R497" s="591" t="s">
        <v>526</v>
      </c>
      <c r="S497" s="591" t="s">
        <v>537</v>
      </c>
      <c r="T497" s="591" t="s">
        <v>571</v>
      </c>
      <c r="U497" s="591" t="s">
        <v>588</v>
      </c>
      <c r="V497" s="591" t="s">
        <v>619</v>
      </c>
      <c r="W497" s="591" t="s">
        <v>634</v>
      </c>
      <c r="X497" s="591" t="s">
        <v>638</v>
      </c>
      <c r="Y497" s="591" t="s">
        <v>698</v>
      </c>
      <c r="Z497" s="591" t="s">
        <v>734</v>
      </c>
      <c r="AB497" s="52"/>
      <c r="AC497" s="52"/>
      <c r="AF497" s="539"/>
    </row>
    <row r="498" spans="1:32" ht="13.5" customHeight="1" thickBot="1" x14ac:dyDescent="0.25">
      <c r="A498" s="839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9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52"/>
      <c r="AC498" s="52"/>
      <c r="AF498" s="539"/>
    </row>
    <row r="499" spans="1:32" ht="18" customHeight="1" thickTop="1" thickBot="1" x14ac:dyDescent="0.25">
      <c r="A499" s="40" t="s">
        <v>748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311.20000000000005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828.9</v>
      </c>
      <c r="E499" s="46">
        <f>IFERROR(Y86*1,"0")+IFERROR(Y87*1,"0")+IFERROR(Y88*1,"0")+IFERROR(Y92*1,"0")+IFERROR(Y93*1,"0")+IFERROR(Y94*1,"0")+IFERROR(Y95*1,"0")</f>
        <v>1371.6</v>
      </c>
      <c r="F499" s="46">
        <f>IFERROR(Y100*1,"0")+IFERROR(Y101*1,"0")+IFERROR(Y102*1,"0")+IFERROR(Y103*1,"0")+IFERROR(Y107*1,"0")+IFERROR(Y108*1,"0")+IFERROR(Y109*1,"0")+IFERROR(Y113*1,"0")+IFERROR(Y114*1,"0")+IFERROR(Y115*1,"0")+IFERROR(Y116*1,"0")+IFERROR(Y120*1,"0")</f>
        <v>1450.6200000000001</v>
      </c>
      <c r="G499" s="46">
        <f>IFERROR(Y125*1,"0")+IFERROR(Y126*1,"0")+IFERROR(Y130*1,"0")+IFERROR(Y131*1,"0")+IFERROR(Y135*1,"0")+IFERROR(Y136*1,"0")</f>
        <v>190.32</v>
      </c>
      <c r="H499" s="46">
        <f>IFERROR(Y141*1,"0")+IFERROR(Y142*1,"0")+IFERROR(Y143*1,"0")+IFERROR(Y147*1,"0")+IFERROR(Y148*1,"0")+IFERROR(Y149*1,"0")+IFERROR(Y153*1,"0")</f>
        <v>0</v>
      </c>
      <c r="I499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757.26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2235.0000000000005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316.89999999999998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235.2</v>
      </c>
      <c r="P499" s="46">
        <f>IFERROR(Y279*1,"0")+IFERROR(Y280*1,"0")+IFERROR(Y284*1,"0")</f>
        <v>21.599999999999998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758.40000000000009</v>
      </c>
      <c r="R499" s="46">
        <f>IFERROR(Y335*1,"0")+IFERROR(Y336*1,"0")+IFERROR(Y337*1,"0")</f>
        <v>1575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5007</v>
      </c>
      <c r="T499" s="46">
        <f>IFERROR(Y368*1,"0")+IFERROR(Y369*1,"0")+IFERROR(Y373*1,"0")+IFERROR(Y374*1,"0")+IFERROR(Y378*1,"0")+IFERROR(Y379*1,"0")</f>
        <v>51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142.80000000000001</v>
      </c>
      <c r="V499" s="46">
        <f>IFERROR(Y403*1,"0")+IFERROR(Y407*1,"0")+IFERROR(Y408*1,"0")+IFERROR(Y409*1,"0")+IFERROR(Y410*1,"0")</f>
        <v>10.5</v>
      </c>
      <c r="W499" s="46">
        <f>IFERROR(Y415*1,"0")</f>
        <v>60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1440.48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900</v>
      </c>
      <c r="Z499" s="46">
        <f>IFERROR(Y486*1,"0")</f>
        <v>0</v>
      </c>
      <c r="AB499" s="52"/>
      <c r="AC499" s="52"/>
      <c r="AF499" s="539"/>
    </row>
  </sheetData>
  <sheetProtection algorithmName="SHA-512" hashValue="jxcKGzMwVxciPEatQOeQRsssMx474UBCYIG5sYfjIDtnxdmcup2P5agk3IiLxblen5Jt+8ISGJl4FAbWsB//Ag==" saltValue="fc50rVAIzIeJH209v19RR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2:E42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U17:V17"/>
    <mergeCell ref="P410:T410"/>
    <mergeCell ref="P385:T385"/>
    <mergeCell ref="Y17:Y18"/>
    <mergeCell ref="A484:Z484"/>
    <mergeCell ref="A479:Z479"/>
    <mergeCell ref="P373:T373"/>
    <mergeCell ref="P307:T307"/>
    <mergeCell ref="A487:O488"/>
    <mergeCell ref="A33:Z33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D186:E186"/>
    <mergeCell ref="P22:T22"/>
    <mergeCell ref="Z17:Z18"/>
    <mergeCell ref="P405:V405"/>
    <mergeCell ref="A401:Z401"/>
    <mergeCell ref="P57:V57"/>
    <mergeCell ref="G17:G18"/>
    <mergeCell ref="D159:E159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26:T26"/>
    <mergeCell ref="P324:T324"/>
    <mergeCell ref="P153:T153"/>
    <mergeCell ref="P338:V338"/>
    <mergeCell ref="P313:V313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P326:V326"/>
    <mergeCell ref="D203:E203"/>
    <mergeCell ref="P232:T232"/>
    <mergeCell ref="P330:T330"/>
    <mergeCell ref="P159:T159"/>
    <mergeCell ref="D267:E267"/>
    <mergeCell ref="H17:H18"/>
    <mergeCell ref="A146:Z14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A14:M14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D9:E9"/>
    <mergeCell ref="P197:T197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52:T52"/>
    <mergeCell ref="D108:E108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480:T480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A47:O4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P443:T443"/>
    <mergeCell ref="D197:E197"/>
    <mergeCell ref="D53:E53"/>
    <mergeCell ref="A84:Z84"/>
    <mergeCell ref="P96:V96"/>
    <mergeCell ref="A50:Z50"/>
    <mergeCell ref="W17:W18"/>
    <mergeCell ref="P90:V90"/>
    <mergeCell ref="D142:E142"/>
    <mergeCell ref="P476:T476"/>
    <mergeCell ref="P407:T407"/>
    <mergeCell ref="P471:T471"/>
    <mergeCell ref="P259:T259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P452:T452"/>
    <mergeCell ref="D472:E472"/>
    <mergeCell ref="A352:Z352"/>
    <mergeCell ref="D410:E410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D297:E297"/>
    <mergeCell ref="A350:O351"/>
    <mergeCell ref="P391:T391"/>
    <mergeCell ref="P220:T220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6 X60 X62 X80 X86 X88 X92 X100 X102 X107 X113 X115:X116 X120 X125 X131 X136 X163:X167 X169 X196:X203 X209:X210 X212 X214:X215 X219:X220 X225 X227:X228 X233 X273:X274 X300:X301 X303 X315:X317 X323:X324 X328 X330 X336:X337 X343:X346 X353 X359 X368 X378 X389:X390 X392 X415 X421 X423 X426 X435 X441:X446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52"/>
    </row>
    <row r="3" spans="2:8" x14ac:dyDescent="0.2">
      <c r="B3" s="47" t="s">
        <v>750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751</v>
      </c>
      <c r="D6" s="47" t="s">
        <v>752</v>
      </c>
      <c r="E6" s="47"/>
    </row>
    <row r="8" spans="2:8" x14ac:dyDescent="0.2">
      <c r="B8" s="47" t="s">
        <v>19</v>
      </c>
      <c r="C8" s="47" t="s">
        <v>751</v>
      </c>
      <c r="D8" s="47"/>
      <c r="E8" s="47"/>
    </row>
    <row r="10" spans="2:8" x14ac:dyDescent="0.2">
      <c r="B10" s="47" t="s">
        <v>753</v>
      </c>
      <c r="C10" s="47"/>
      <c r="D10" s="47"/>
      <c r="E10" s="47"/>
    </row>
    <row r="11" spans="2:8" x14ac:dyDescent="0.2">
      <c r="B11" s="47" t="s">
        <v>754</v>
      </c>
      <c r="C11" s="47"/>
      <c r="D11" s="47"/>
      <c r="E11" s="47"/>
    </row>
    <row r="12" spans="2:8" x14ac:dyDescent="0.2">
      <c r="B12" s="47" t="s">
        <v>755</v>
      </c>
      <c r="C12" s="47"/>
      <c r="D12" s="47"/>
      <c r="E12" s="47"/>
    </row>
    <row r="13" spans="2:8" x14ac:dyDescent="0.2">
      <c r="B13" s="47" t="s">
        <v>756</v>
      </c>
      <c r="C13" s="47"/>
      <c r="D13" s="47"/>
      <c r="E13" s="47"/>
    </row>
    <row r="14" spans="2:8" x14ac:dyDescent="0.2">
      <c r="B14" s="47" t="s">
        <v>757</v>
      </c>
      <c r="C14" s="47"/>
      <c r="D14" s="47"/>
      <c r="E14" s="47"/>
    </row>
    <row r="15" spans="2:8" x14ac:dyDescent="0.2">
      <c r="B15" s="47" t="s">
        <v>758</v>
      </c>
      <c r="C15" s="47"/>
      <c r="D15" s="47"/>
      <c r="E15" s="47"/>
    </row>
    <row r="16" spans="2:8" x14ac:dyDescent="0.2">
      <c r="B16" s="47" t="s">
        <v>759</v>
      </c>
      <c r="C16" s="47"/>
      <c r="D16" s="47"/>
      <c r="E16" s="47"/>
    </row>
    <row r="17" spans="2:5" x14ac:dyDescent="0.2">
      <c r="B17" s="47" t="s">
        <v>760</v>
      </c>
      <c r="C17" s="47"/>
      <c r="D17" s="47"/>
      <c r="E17" s="47"/>
    </row>
    <row r="18" spans="2:5" x14ac:dyDescent="0.2">
      <c r="B18" s="47" t="s">
        <v>761</v>
      </c>
      <c r="C18" s="47"/>
      <c r="D18" s="47"/>
      <c r="E18" s="47"/>
    </row>
    <row r="19" spans="2:5" x14ac:dyDescent="0.2">
      <c r="B19" s="47" t="s">
        <v>762</v>
      </c>
      <c r="C19" s="47"/>
      <c r="D19" s="47"/>
      <c r="E19" s="47"/>
    </row>
    <row r="20" spans="2:5" x14ac:dyDescent="0.2">
      <c r="B20" s="47" t="s">
        <v>763</v>
      </c>
      <c r="C20" s="47"/>
      <c r="D20" s="47"/>
      <c r="E20" s="47"/>
    </row>
  </sheetData>
  <sheetProtection algorithmName="SHA-512" hashValue="OyvJncyvqPShECLlzSagBgM8D8fisHUyfxLBG2W+Q7REZnTxWjtCj0uAsWiaALqfBk/F6mszjELCQXnx4sIvTA==" saltValue="KbNkS0wKR7DAX73FWdlmF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2025-11-05T07:56:26Z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