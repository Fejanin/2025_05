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7DBF234C-AFA6-4B3F-BB68-8E2D2470E8F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8" i="1"/>
  <c r="Y337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Y325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Q498" i="1" s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Y172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N56" i="1"/>
  <c r="BM56" i="1"/>
  <c r="Z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7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9" i="1"/>
  <c r="BN209" i="1"/>
  <c r="Z209" i="1"/>
  <c r="BP213" i="1"/>
  <c r="BN213" i="1"/>
  <c r="Z213" i="1"/>
  <c r="BP291" i="1"/>
  <c r="BN291" i="1"/>
  <c r="Z291" i="1"/>
  <c r="BP328" i="1"/>
  <c r="BN328" i="1"/>
  <c r="Z328" i="1"/>
  <c r="Z330" i="1" s="1"/>
  <c r="Y330" i="1"/>
  <c r="Z369" i="1"/>
  <c r="D498" i="1"/>
  <c r="F9" i="1"/>
  <c r="J9" i="1"/>
  <c r="Z22" i="1"/>
  <c r="Z23" i="1" s="1"/>
  <c r="BN22" i="1"/>
  <c r="BP22" i="1"/>
  <c r="Y23" i="1"/>
  <c r="X488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Y63" i="1"/>
  <c r="BP60" i="1"/>
  <c r="BN60" i="1"/>
  <c r="Z60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BP148" i="1"/>
  <c r="BN148" i="1"/>
  <c r="Z148" i="1"/>
  <c r="Y150" i="1"/>
  <c r="BP163" i="1"/>
  <c r="BN163" i="1"/>
  <c r="Z163" i="1"/>
  <c r="BP167" i="1"/>
  <c r="BN167" i="1"/>
  <c r="Z167" i="1"/>
  <c r="Z171" i="1" s="1"/>
  <c r="Y171" i="1"/>
  <c r="Z177" i="1"/>
  <c r="BP175" i="1"/>
  <c r="BN175" i="1"/>
  <c r="Z175" i="1"/>
  <c r="Y192" i="1"/>
  <c r="BP196" i="1"/>
  <c r="BN196" i="1"/>
  <c r="Z196" i="1"/>
  <c r="Z203" i="1" s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Z250" i="1" s="1"/>
  <c r="Y250" i="1"/>
  <c r="Z259" i="1"/>
  <c r="BP255" i="1"/>
  <c r="BN255" i="1"/>
  <c r="Z255" i="1"/>
  <c r="L498" i="1"/>
  <c r="Y259" i="1"/>
  <c r="BP264" i="1"/>
  <c r="BN264" i="1"/>
  <c r="Z264" i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299" i="1"/>
  <c r="BN299" i="1"/>
  <c r="Z299" i="1"/>
  <c r="Y303" i="1"/>
  <c r="BP307" i="1"/>
  <c r="BN307" i="1"/>
  <c r="Z307" i="1"/>
  <c r="Z311" i="1" s="1"/>
  <c r="Y311" i="1"/>
  <c r="Z317" i="1"/>
  <c r="BP315" i="1"/>
  <c r="BN315" i="1"/>
  <c r="Z315" i="1"/>
  <c r="Y317" i="1"/>
  <c r="BP343" i="1"/>
  <c r="BN343" i="1"/>
  <c r="Z343" i="1"/>
  <c r="Z349" i="1" s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Z410" i="1" s="1"/>
  <c r="Y411" i="1"/>
  <c r="BP422" i="1"/>
  <c r="BN422" i="1"/>
  <c r="Z422" i="1"/>
  <c r="BP458" i="1"/>
  <c r="BN458" i="1"/>
  <c r="Z458" i="1"/>
  <c r="Z461" i="1" s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BP266" i="1"/>
  <c r="BN266" i="1"/>
  <c r="Z266" i="1"/>
  <c r="Z267" i="1" s="1"/>
  <c r="O498" i="1"/>
  <c r="Y274" i="1"/>
  <c r="BP271" i="1"/>
  <c r="BN271" i="1"/>
  <c r="Z271" i="1"/>
  <c r="Z274" i="1" s="1"/>
  <c r="Z293" i="1"/>
  <c r="BP289" i="1"/>
  <c r="BN289" i="1"/>
  <c r="Z289" i="1"/>
  <c r="Y293" i="1"/>
  <c r="BP297" i="1"/>
  <c r="BN297" i="1"/>
  <c r="Z297" i="1"/>
  <c r="Z303" i="1" s="1"/>
  <c r="BP301" i="1"/>
  <c r="BN301" i="1"/>
  <c r="Z301" i="1"/>
  <c r="Y312" i="1"/>
  <c r="BP309" i="1"/>
  <c r="BN309" i="1"/>
  <c r="Z309" i="1"/>
  <c r="Y318" i="1"/>
  <c r="BP322" i="1"/>
  <c r="BN322" i="1"/>
  <c r="Z322" i="1"/>
  <c r="Z324" i="1" s="1"/>
  <c r="Y331" i="1"/>
  <c r="Z337" i="1"/>
  <c r="BP335" i="1"/>
  <c r="BN335" i="1"/>
  <c r="Z335" i="1"/>
  <c r="BP346" i="1"/>
  <c r="BN346" i="1"/>
  <c r="Z346" i="1"/>
  <c r="BP368" i="1"/>
  <c r="BN368" i="1"/>
  <c r="Z368" i="1"/>
  <c r="Y370" i="1"/>
  <c r="Y375" i="1"/>
  <c r="BP372" i="1"/>
  <c r="BN372" i="1"/>
  <c r="Z372" i="1"/>
  <c r="Z374" i="1" s="1"/>
  <c r="Y374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446" i="1" l="1"/>
  <c r="Z431" i="1"/>
  <c r="Y490" i="1"/>
  <c r="Z95" i="1"/>
  <c r="Z393" i="1"/>
  <c r="Z234" i="1"/>
  <c r="Z143" i="1"/>
  <c r="Z76" i="1"/>
  <c r="Z63" i="1"/>
  <c r="Z43" i="1"/>
  <c r="Z31" i="1"/>
  <c r="Z493" i="1" s="1"/>
  <c r="Y492" i="1"/>
  <c r="Y489" i="1"/>
  <c r="Y491" i="1" s="1"/>
  <c r="Z149" i="1"/>
  <c r="Z69" i="1"/>
  <c r="Y488" i="1"/>
</calcChain>
</file>

<file path=xl/sharedStrings.xml><?xml version="1.0" encoding="utf-8"?>
<sst xmlns="http://schemas.openxmlformats.org/spreadsheetml/2006/main" count="2278" uniqueCount="763">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</sst>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2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0.375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144</v>
      </c>
      <c r="Y41" s="540">
        <f>IFERROR(IF(X41="",0,CEILING((X41/$H41),1)*$H41),"")</f>
        <v>144</v>
      </c>
      <c r="Z41" s="36">
        <f>IFERROR(IF(Y41=0,"",ROUNDUP(Y41/H41,0)*0.00902),"")</f>
        <v>0.32472000000000001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150.84</v>
      </c>
      <c r="BN41" s="64">
        <f>IFERROR(Y41*I41/H41,"0")</f>
        <v>150.84</v>
      </c>
      <c r="BO41" s="64">
        <f>IFERROR(1/J41*(X41/H41),"0")</f>
        <v>0.27272727272727271</v>
      </c>
      <c r="BP41" s="64">
        <f>IFERROR(1/J41*(Y41/H41),"0")</f>
        <v>0.27272727272727271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36</v>
      </c>
      <c r="Y43" s="541">
        <f>IFERROR(Y40/H40,"0")+IFERROR(Y41/H41,"0")+IFERROR(Y42/H42,"0")</f>
        <v>36</v>
      </c>
      <c r="Z43" s="541">
        <f>IFERROR(IF(Z40="",0,Z40),"0")+IFERROR(IF(Z41="",0,Z41),"0")+IFERROR(IF(Z42="",0,Z42),"0")</f>
        <v>0.32472000000000001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144</v>
      </c>
      <c r="Y44" s="541">
        <f>IFERROR(SUM(Y40:Y42),"0")</f>
        <v>144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350</v>
      </c>
      <c r="Y52" s="540">
        <f t="shared" si="0"/>
        <v>356.40000000000003</v>
      </c>
      <c r="Z52" s="36">
        <f>IFERROR(IF(Y52=0,"",ROUNDUP(Y52/H52,0)*0.01898),"")</f>
        <v>0.62634000000000001</v>
      </c>
      <c r="AA52" s="56"/>
      <c r="AB52" s="57"/>
      <c r="AC52" s="93" t="s">
        <v>122</v>
      </c>
      <c r="AG52" s="64"/>
      <c r="AJ52" s="68" t="s">
        <v>106</v>
      </c>
      <c r="AK52" s="68">
        <v>10.8</v>
      </c>
      <c r="BB52" s="94" t="s">
        <v>1</v>
      </c>
      <c r="BM52" s="64">
        <f t="shared" si="1"/>
        <v>363.28703703703707</v>
      </c>
      <c r="BN52" s="64">
        <f t="shared" si="2"/>
        <v>369.93</v>
      </c>
      <c r="BO52" s="64">
        <f t="shared" si="3"/>
        <v>0.5063657407407407</v>
      </c>
      <c r="BP52" s="64">
        <f t="shared" si="4"/>
        <v>0.515625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315</v>
      </c>
      <c r="Y56" s="540">
        <f t="shared" si="0"/>
        <v>315</v>
      </c>
      <c r="Z56" s="36">
        <f>IFERROR(IF(Y56=0,"",ROUNDUP(Y56/H56,0)*0.00902),"")</f>
        <v>0.63139999999999996</v>
      </c>
      <c r="AA56" s="56"/>
      <c r="AB56" s="57"/>
      <c r="AC56" s="101" t="s">
        <v>134</v>
      </c>
      <c r="AG56" s="64"/>
      <c r="AJ56" s="68" t="s">
        <v>106</v>
      </c>
      <c r="AK56" s="68">
        <v>4.5</v>
      </c>
      <c r="BB56" s="102" t="s">
        <v>1</v>
      </c>
      <c r="BM56" s="64">
        <f t="shared" si="1"/>
        <v>328.3</v>
      </c>
      <c r="BN56" s="64">
        <f t="shared" si="2"/>
        <v>328.3</v>
      </c>
      <c r="BO56" s="64">
        <f t="shared" si="3"/>
        <v>0.53030303030303028</v>
      </c>
      <c r="BP56" s="64">
        <f t="shared" si="4"/>
        <v>0.53030303030303028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102.4074074074074</v>
      </c>
      <c r="Y57" s="541">
        <f>IFERROR(Y51/H51,"0")+IFERROR(Y52/H52,"0")+IFERROR(Y53/H53,"0")+IFERROR(Y54/H54,"0")+IFERROR(Y55/H55,"0")+IFERROR(Y56/H56,"0")</f>
        <v>103</v>
      </c>
      <c r="Z57" s="541">
        <f>IFERROR(IF(Z51="",0,Z51),"0")+IFERROR(IF(Z52="",0,Z52),"0")+IFERROR(IF(Z53="",0,Z53),"0")+IFERROR(IF(Z54="",0,Z54),"0")+IFERROR(IF(Z55="",0,Z55),"0")+IFERROR(IF(Z56="",0,Z56),"0")</f>
        <v>1.2577400000000001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665</v>
      </c>
      <c r="Y58" s="541">
        <f>IFERROR(SUM(Y51:Y56),"0")</f>
        <v>671.40000000000009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350</v>
      </c>
      <c r="Y60" s="540">
        <f>IFERROR(IF(X60="",0,CEILING((X60/$H60),1)*$H60),"")</f>
        <v>356.40000000000003</v>
      </c>
      <c r="Z60" s="36">
        <f>IFERROR(IF(Y60=0,"",ROUNDUP(Y60/H60,0)*0.01898),"")</f>
        <v>0.62634000000000001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363.28703703703707</v>
      </c>
      <c r="BN60" s="64">
        <f>IFERROR(Y60*I60/H60,"0")</f>
        <v>369.93</v>
      </c>
      <c r="BO60" s="64">
        <f>IFERROR(1/J60*(X60/H60),"0")</f>
        <v>0.5063657407407407</v>
      </c>
      <c r="BP60" s="64">
        <f>IFERROR(1/J60*(Y60/H60),"0")</f>
        <v>0.515625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270</v>
      </c>
      <c r="Y62" s="540">
        <f>IFERROR(IF(X62="",0,CEILING((X62/$H62),1)*$H62),"")</f>
        <v>270</v>
      </c>
      <c r="Z62" s="36">
        <f>IFERROR(IF(Y62=0,"",ROUNDUP(Y62/H62,0)*0.00651),"")</f>
        <v>0.65100000000000002</v>
      </c>
      <c r="AA62" s="56"/>
      <c r="AB62" s="57"/>
      <c r="AC62" s="107" t="s">
        <v>138</v>
      </c>
      <c r="AG62" s="64"/>
      <c r="AJ62" s="68" t="s">
        <v>106</v>
      </c>
      <c r="AK62" s="68">
        <v>2.7</v>
      </c>
      <c r="BB62" s="108" t="s">
        <v>1</v>
      </c>
      <c r="BM62" s="64">
        <f>IFERROR(X62*I62/H62,"0")</f>
        <v>288</v>
      </c>
      <c r="BN62" s="64">
        <f>IFERROR(Y62*I62/H62,"0")</f>
        <v>288</v>
      </c>
      <c r="BO62" s="64">
        <f>IFERROR(1/J62*(X62/H62),"0")</f>
        <v>0.5494505494505495</v>
      </c>
      <c r="BP62" s="64">
        <f>IFERROR(1/J62*(Y62/H62),"0")</f>
        <v>0.5494505494505495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132.40740740740739</v>
      </c>
      <c r="Y63" s="541">
        <f>IFERROR(Y60/H60,"0")+IFERROR(Y61/H61,"0")+IFERROR(Y62/H62,"0")</f>
        <v>133</v>
      </c>
      <c r="Z63" s="541">
        <f>IFERROR(IF(Z60="",0,Z60),"0")+IFERROR(IF(Z61="",0,Z61),"0")+IFERROR(IF(Z62="",0,Z62),"0")</f>
        <v>1.2773400000000001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620</v>
      </c>
      <c r="Y64" s="541">
        <f>IFERROR(SUM(Y60:Y62),"0")</f>
        <v>626.40000000000009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90</v>
      </c>
      <c r="Y79" s="540">
        <f>IFERROR(IF(X79="",0,CEILING((X79/$H79),1)*$H79),"")</f>
        <v>93.6</v>
      </c>
      <c r="Z79" s="36">
        <f>IFERROR(IF(Y79=0,"",ROUNDUP(Y79/H79,0)*0.01898),"")</f>
        <v>0.22776000000000002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94.730769230769241</v>
      </c>
      <c r="BN79" s="64">
        <f>IFERROR(Y79*I79/H79,"0")</f>
        <v>98.52000000000001</v>
      </c>
      <c r="BO79" s="64">
        <f>IFERROR(1/J79*(X79/H79),"0")</f>
        <v>0.18028846153846154</v>
      </c>
      <c r="BP79" s="64">
        <f>IFERROR(1/J79*(Y79/H79),"0")</f>
        <v>0.1875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11.538461538461538</v>
      </c>
      <c r="Y81" s="541">
        <f>IFERROR(Y79/H79,"0")+IFERROR(Y80/H80,"0")</f>
        <v>12</v>
      </c>
      <c r="Z81" s="541">
        <f>IFERROR(IF(Z79="",0,Z79),"0")+IFERROR(IF(Z80="",0,Z80),"0")</f>
        <v>0.22776000000000002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90</v>
      </c>
      <c r="Y82" s="541">
        <f>IFERROR(SUM(Y79:Y80),"0")</f>
        <v>93.6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100</v>
      </c>
      <c r="Y85" s="540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360</v>
      </c>
      <c r="Y87" s="540">
        <f>IFERROR(IF(X87="",0,CEILING((X87/$H87),1)*$H87),"")</f>
        <v>360</v>
      </c>
      <c r="Z87" s="36">
        <f>IFERROR(IF(Y87=0,"",ROUNDUP(Y87/H87,0)*0.00902),"")</f>
        <v>0.72160000000000002</v>
      </c>
      <c r="AA87" s="56"/>
      <c r="AB87" s="57"/>
      <c r="AC87" s="131" t="s">
        <v>173</v>
      </c>
      <c r="AG87" s="64"/>
      <c r="AJ87" s="68" t="s">
        <v>106</v>
      </c>
      <c r="AK87" s="68">
        <v>4.5</v>
      </c>
      <c r="BB87" s="132" t="s">
        <v>1</v>
      </c>
      <c r="BM87" s="64">
        <f>IFERROR(X87*I87/H87,"0")</f>
        <v>375.20000000000005</v>
      </c>
      <c r="BN87" s="64">
        <f>IFERROR(Y87*I87/H87,"0")</f>
        <v>375.20000000000005</v>
      </c>
      <c r="BO87" s="64">
        <f>IFERROR(1/J87*(X87/H87),"0")</f>
        <v>0.60606060606060608</v>
      </c>
      <c r="BP87" s="64">
        <f>IFERROR(1/J87*(Y87/H87),"0")</f>
        <v>0.60606060606060608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89.259259259259267</v>
      </c>
      <c r="Y88" s="541">
        <f>IFERROR(Y85/H85,"0")+IFERROR(Y86/H86,"0")+IFERROR(Y87/H87,"0")</f>
        <v>90</v>
      </c>
      <c r="Z88" s="541">
        <f>IFERROR(IF(Z85="",0,Z85),"0")+IFERROR(IF(Z86="",0,Z86),"0")+IFERROR(IF(Z87="",0,Z87),"0")</f>
        <v>0.91139999999999999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460</v>
      </c>
      <c r="Y89" s="541">
        <f>IFERROR(SUM(Y85:Y87),"0")</f>
        <v>468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470</v>
      </c>
      <c r="Y91" s="540">
        <f>IFERROR(IF(X91="",0,CEILING((X91/$H91),1)*$H91),"")</f>
        <v>477.9</v>
      </c>
      <c r="Z91" s="36">
        <f>IFERROR(IF(Y91=0,"",ROUNDUP(Y91/H91,0)*0.01898),"")</f>
        <v>1.11982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498.66419753086421</v>
      </c>
      <c r="BN91" s="64">
        <f>IFERROR(Y91*I91/H91,"0")</f>
        <v>507.04599999999994</v>
      </c>
      <c r="BO91" s="64">
        <f>IFERROR(1/J91*(X91/H91),"0")</f>
        <v>0.90663580246913589</v>
      </c>
      <c r="BP91" s="64">
        <f>IFERROR(1/J91*(Y91/H91),"0")</f>
        <v>0.921875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315</v>
      </c>
      <c r="Y93" s="540">
        <f>IFERROR(IF(X93="",0,CEILING((X93/$H93),1)*$H93),"")</f>
        <v>315.90000000000003</v>
      </c>
      <c r="Z93" s="36">
        <f>IFERROR(IF(Y93=0,"",ROUNDUP(Y93/H93,0)*0.00651),"")</f>
        <v>0.76167000000000007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344.4</v>
      </c>
      <c r="BN93" s="64">
        <f>IFERROR(Y93*I93/H93,"0")</f>
        <v>345.38400000000001</v>
      </c>
      <c r="BO93" s="64">
        <f>IFERROR(1/J93*(X93/H93),"0")</f>
        <v>0.64102564102564097</v>
      </c>
      <c r="BP93" s="64">
        <f>IFERROR(1/J93*(Y93/H93),"0")</f>
        <v>0.6428571428571429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174.69135802469134</v>
      </c>
      <c r="Y95" s="541">
        <f>IFERROR(Y91/H91,"0")+IFERROR(Y92/H92,"0")+IFERROR(Y93/H93,"0")+IFERROR(Y94/H94,"0")</f>
        <v>176</v>
      </c>
      <c r="Z95" s="541">
        <f>IFERROR(IF(Z91="",0,Z91),"0")+IFERROR(IF(Z92="",0,Z92),"0")+IFERROR(IF(Z93="",0,Z93),"0")+IFERROR(IF(Z94="",0,Z94),"0")</f>
        <v>1.8814900000000001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785</v>
      </c>
      <c r="Y96" s="541">
        <f>IFERROR(SUM(Y91:Y94),"0")</f>
        <v>793.8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630</v>
      </c>
      <c r="Y101" s="540">
        <f>IFERROR(IF(X101="",0,CEILING((X101/$H101),1)*$H101),"")</f>
        <v>630</v>
      </c>
      <c r="Z101" s="36">
        <f>IFERROR(IF(Y101=0,"",ROUNDUP(Y101/H101,0)*0.00902),"")</f>
        <v>1.2627999999999999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656.6</v>
      </c>
      <c r="BN101" s="64">
        <f>IFERROR(Y101*I101/H101,"0")</f>
        <v>656.6</v>
      </c>
      <c r="BO101" s="64">
        <f>IFERROR(1/J101*(X101/H101),"0")</f>
        <v>1.0606060606060606</v>
      </c>
      <c r="BP101" s="64">
        <f>IFERROR(1/J101*(Y101/H101),"0")</f>
        <v>1.0606060606060606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140</v>
      </c>
      <c r="Y103" s="541">
        <f>IFERROR(Y99/H99,"0")+IFERROR(Y100/H100,"0")+IFERROR(Y101/H101,"0")+IFERROR(Y102/H102,"0")</f>
        <v>140</v>
      </c>
      <c r="Z103" s="541">
        <f>IFERROR(IF(Z99="",0,Z99),"0")+IFERROR(IF(Z100="",0,Z100),"0")+IFERROR(IF(Z101="",0,Z101),"0")+IFERROR(IF(Z102="",0,Z102),"0")</f>
        <v>1.2627999999999999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630</v>
      </c>
      <c r="Y104" s="541">
        <f>IFERROR(SUM(Y99:Y102),"0")</f>
        <v>630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470</v>
      </c>
      <c r="Y112" s="540">
        <f>IFERROR(IF(X112="",0,CEILING((X112/$H112),1)*$H112),"")</f>
        <v>477.9</v>
      </c>
      <c r="Z112" s="36">
        <f>IFERROR(IF(Y112=0,"",ROUNDUP(Y112/H112,0)*0.01898),"")</f>
        <v>1.11982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498.31604938271602</v>
      </c>
      <c r="BN112" s="64">
        <f>IFERROR(Y112*I112/H112,"0")</f>
        <v>506.69199999999995</v>
      </c>
      <c r="BO112" s="64">
        <f>IFERROR(1/J112*(X112/H112),"0")</f>
        <v>0.90663580246913589</v>
      </c>
      <c r="BP112" s="64">
        <f>IFERROR(1/J112*(Y112/H112),"0")</f>
        <v>0.921875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450</v>
      </c>
      <c r="Y114" s="540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492</v>
      </c>
      <c r="BN114" s="64">
        <f>IFERROR(Y114*I114/H114,"0")</f>
        <v>492.98399999999998</v>
      </c>
      <c r="BO114" s="64">
        <f>IFERROR(1/J114*(X114/H114),"0")</f>
        <v>0.91575091575091572</v>
      </c>
      <c r="BP114" s="64">
        <f>IFERROR(1/J114*(Y114/H114),"0")</f>
        <v>0.91758241758241765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15</v>
      </c>
      <c r="Y115" s="540">
        <f>IFERROR(IF(X115="",0,CEILING((X115/$H115),1)*$H115),"")</f>
        <v>16.2</v>
      </c>
      <c r="Z115" s="36">
        <f>IFERROR(IF(Y115=0,"",ROUNDUP(Y115/H115,0)*0.00651),"")</f>
        <v>5.8590000000000003E-2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16.5</v>
      </c>
      <c r="BN115" s="64">
        <f>IFERROR(Y115*I115/H115,"0")</f>
        <v>17.82</v>
      </c>
      <c r="BO115" s="64">
        <f>IFERROR(1/J115*(X115/H115),"0")</f>
        <v>4.5787545787545791E-2</v>
      </c>
      <c r="BP115" s="64">
        <f>IFERROR(1/J115*(Y115/H115),"0")</f>
        <v>4.9450549450549455E-2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233.02469135802468</v>
      </c>
      <c r="Y116" s="541">
        <f>IFERROR(Y112/H112,"0")+IFERROR(Y113/H113,"0")+IFERROR(Y114/H114,"0")+IFERROR(Y115/H115,"0")</f>
        <v>235</v>
      </c>
      <c r="Z116" s="541">
        <f>IFERROR(IF(Z112="",0,Z112),"0")+IFERROR(IF(Z113="",0,Z113),"0")+IFERROR(IF(Z114="",0,Z114),"0")+IFERROR(IF(Z115="",0,Z115),"0")</f>
        <v>2.2655800000000004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935</v>
      </c>
      <c r="Y117" s="541">
        <f>IFERROR(SUM(Y112:Y115),"0")</f>
        <v>945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218</v>
      </c>
      <c r="B119" s="54" t="s">
        <v>219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16.5</v>
      </c>
      <c r="Y119" s="540">
        <f>IFERROR(IF(X119="",0,CEILING((X119/$H119),1)*$H119),"")</f>
        <v>17.82</v>
      </c>
      <c r="Z119" s="36">
        <f>IFERROR(IF(Y119=0,"",ROUNDUP(Y119/H119,0)*0.00651),"")</f>
        <v>5.8590000000000003E-2</v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18.649999999999999</v>
      </c>
      <c r="BN119" s="64">
        <f>IFERROR(Y119*I119/H119,"0")</f>
        <v>20.141999999999999</v>
      </c>
      <c r="BO119" s="64">
        <f>IFERROR(1/J119*(X119/H119),"0")</f>
        <v>4.5787545787545791E-2</v>
      </c>
      <c r="BP119" s="64">
        <f>IFERROR(1/J119*(Y119/H119),"0")</f>
        <v>4.9450549450549455E-2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8.3333333333333339</v>
      </c>
      <c r="Y120" s="541">
        <f>IFERROR(Y119/H119,"0")</f>
        <v>9</v>
      </c>
      <c r="Z120" s="541">
        <f>IFERROR(IF(Z119="",0,Z119),"0")</f>
        <v>5.8590000000000003E-2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16.5</v>
      </c>
      <c r="Y121" s="541">
        <f>IFERROR(SUM(Y119:Y119),"0")</f>
        <v>17.82</v>
      </c>
      <c r="Z121" s="37"/>
      <c r="AA121" s="542"/>
      <c r="AB121" s="542"/>
      <c r="AC121" s="542"/>
    </row>
    <row r="122" spans="1:68" ht="16.5" customHeight="1" x14ac:dyDescent="0.25">
      <c r="A122" s="552" t="s">
        <v>221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80</v>
      </c>
      <c r="Y124" s="540">
        <f>IFERROR(IF(X124="",0,CEILING((X124/$H124),1)*$H124),"")</f>
        <v>80</v>
      </c>
      <c r="Z124" s="36">
        <f>IFERROR(IF(Y124=0,"",ROUNDUP(Y124/H124,0)*0.00651),"")</f>
        <v>0.16275000000000001</v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84.499999999999986</v>
      </c>
      <c r="BN124" s="64">
        <f>IFERROR(Y124*I124/H124,"0")</f>
        <v>84.499999999999986</v>
      </c>
      <c r="BO124" s="64">
        <f>IFERROR(1/J124*(X124/H124),"0")</f>
        <v>0.13736263736263737</v>
      </c>
      <c r="BP124" s="64">
        <f>IFERROR(1/J124*(Y124/H124),"0")</f>
        <v>0.13736263736263737</v>
      </c>
    </row>
    <row r="125" spans="1:68" ht="27" customHeight="1" x14ac:dyDescent="0.25">
      <c r="A125" s="54" t="s">
        <v>222</v>
      </c>
      <c r="B125" s="54" t="s">
        <v>225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25</v>
      </c>
      <c r="Y126" s="541">
        <f>IFERROR(Y124/H124,"0")+IFERROR(Y125/H125,"0")</f>
        <v>25</v>
      </c>
      <c r="Z126" s="541">
        <f>IFERROR(IF(Z124="",0,Z124),"0")+IFERROR(IF(Z125="",0,Z125),"0")</f>
        <v>0.16275000000000001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80</v>
      </c>
      <c r="Y127" s="541">
        <f>IFERROR(SUM(Y124:Y125),"0")</f>
        <v>80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226</v>
      </c>
      <c r="B129" s="54" t="s">
        <v>227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56</v>
      </c>
      <c r="Y130" s="540">
        <f>IFERROR(IF(X130="",0,CEILING((X130/$H130),1)*$H130),"")</f>
        <v>56</v>
      </c>
      <c r="Z130" s="36">
        <f>IFERROR(IF(Y130=0,"",ROUNDUP(Y130/H130,0)*0.00651),"")</f>
        <v>0.13020000000000001</v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61.36</v>
      </c>
      <c r="BN130" s="64">
        <f>IFERROR(Y130*I130/H130,"0")</f>
        <v>61.36</v>
      </c>
      <c r="BO130" s="64">
        <f>IFERROR(1/J130*(X130/H130),"0")</f>
        <v>0.1098901098901099</v>
      </c>
      <c r="BP130" s="64">
        <f>IFERROR(1/J130*(Y130/H130),"0")</f>
        <v>0.1098901098901099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20</v>
      </c>
      <c r="Y131" s="541">
        <f>IFERROR(Y129/H129,"0")+IFERROR(Y130/H130,"0")</f>
        <v>20</v>
      </c>
      <c r="Z131" s="541">
        <f>IFERROR(IF(Z129="",0,Z129),"0")+IFERROR(IF(Z130="",0,Z130),"0")</f>
        <v>0.13020000000000001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56</v>
      </c>
      <c r="Y132" s="541">
        <f>IFERROR(SUM(Y129:Y130),"0")</f>
        <v>56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230</v>
      </c>
      <c r="B134" s="54" t="s">
        <v>231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66</v>
      </c>
      <c r="Y135" s="540">
        <f>IFERROR(IF(X135="",0,CEILING((X135/$H135),1)*$H135),"")</f>
        <v>66</v>
      </c>
      <c r="Z135" s="36">
        <f>IFERROR(IF(Y135=0,"",ROUNDUP(Y135/H135,0)*0.00651),"")</f>
        <v>0.16275000000000001</v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72.699999999999989</v>
      </c>
      <c r="BN135" s="64">
        <f>IFERROR(Y135*I135/H135,"0")</f>
        <v>72.699999999999989</v>
      </c>
      <c r="BO135" s="64">
        <f>IFERROR(1/J135*(X135/H135),"0")</f>
        <v>0.13736263736263737</v>
      </c>
      <c r="BP135" s="64">
        <f>IFERROR(1/J135*(Y135/H135),"0")</f>
        <v>0.13736263736263737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25</v>
      </c>
      <c r="Y136" s="541">
        <f>IFERROR(Y134/H134,"0")+IFERROR(Y135/H135,"0")</f>
        <v>25</v>
      </c>
      <c r="Z136" s="541">
        <f>IFERROR(IF(Z134="",0,Z134),"0")+IFERROR(IF(Z135="",0,Z135),"0")</f>
        <v>0.16275000000000001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66</v>
      </c>
      <c r="Y137" s="541">
        <f>IFERROR(SUM(Y134:Y135),"0")</f>
        <v>66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233</v>
      </c>
      <c r="B140" s="54" t="s">
        <v>234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236</v>
      </c>
      <c r="B141" s="54" t="s">
        <v>237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239</v>
      </c>
      <c r="B142" s="54" t="s">
        <v>240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253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256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257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135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258</v>
      </c>
      <c r="B158" s="54" t="s">
        <v>259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261</v>
      </c>
      <c r="B162" s="54" t="s">
        <v>262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197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70</v>
      </c>
      <c r="Y162" s="540">
        <f t="shared" ref="Y162:Y170" si="5">IFERROR(IF(X162="",0,CEILING((X162/$H162),1)*$H162),"")</f>
        <v>71.400000000000006</v>
      </c>
      <c r="Z162" s="36">
        <f>IFERROR(IF(Y162=0,"",ROUNDUP(Y162/H162,0)*0.00902),"")</f>
        <v>0.15334</v>
      </c>
      <c r="AA162" s="56"/>
      <c r="AB162" s="57"/>
      <c r="AC162" s="193" t="s">
        <v>263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74.166666666666657</v>
      </c>
      <c r="BN162" s="64">
        <f t="shared" ref="BN162:BN170" si="7">IFERROR(Y162*I162/H162,"0")</f>
        <v>75.650000000000006</v>
      </c>
      <c r="BO162" s="64">
        <f t="shared" ref="BO162:BO170" si="8">IFERROR(1/J162*(X162/H162),"0")</f>
        <v>0.12626262626262624</v>
      </c>
      <c r="BP162" s="64">
        <f t="shared" ref="BP162:BP170" si="9">IFERROR(1/J162*(Y162/H162),"0")</f>
        <v>0.12878787878787878</v>
      </c>
    </row>
    <row r="163" spans="1:68" ht="27" customHeight="1" x14ac:dyDescent="0.25">
      <c r="A163" s="54" t="s">
        <v>264</v>
      </c>
      <c r="B163" s="54" t="s">
        <v>265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40</v>
      </c>
      <c r="Y163" s="540">
        <f t="shared" si="5"/>
        <v>42</v>
      </c>
      <c r="Z163" s="36">
        <f>IFERROR(IF(Y163=0,"",ROUNDUP(Y163/H163,0)*0.00902),"")</f>
        <v>9.0200000000000002E-2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42.38095238095238</v>
      </c>
      <c r="BN163" s="64">
        <f t="shared" si="7"/>
        <v>44.5</v>
      </c>
      <c r="BO163" s="64">
        <f t="shared" si="8"/>
        <v>7.2150072150072145E-2</v>
      </c>
      <c r="BP163" s="64">
        <f t="shared" si="9"/>
        <v>7.575757575757576E-2</v>
      </c>
    </row>
    <row r="164" spans="1:68" ht="27" customHeight="1" x14ac:dyDescent="0.25">
      <c r="A164" s="54" t="s">
        <v>267</v>
      </c>
      <c r="B164" s="54" t="s">
        <v>268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120</v>
      </c>
      <c r="Y164" s="540">
        <f t="shared" si="5"/>
        <v>121.80000000000001</v>
      </c>
      <c r="Z164" s="36">
        <f>IFERROR(IF(Y164=0,"",ROUNDUP(Y164/H164,0)*0.00902),"")</f>
        <v>0.26158000000000003</v>
      </c>
      <c r="AA164" s="56"/>
      <c r="AB164" s="57"/>
      <c r="AC164" s="197" t="s">
        <v>269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125.42857142857142</v>
      </c>
      <c r="BN164" s="64">
        <f t="shared" si="7"/>
        <v>127.30999999999999</v>
      </c>
      <c r="BO164" s="64">
        <f t="shared" si="8"/>
        <v>0.21645021645021645</v>
      </c>
      <c r="BP164" s="64">
        <f t="shared" si="9"/>
        <v>0.2196969696969697</v>
      </c>
    </row>
    <row r="165" spans="1:68" ht="27" customHeight="1" x14ac:dyDescent="0.25">
      <c r="A165" s="54" t="s">
        <v>270</v>
      </c>
      <c r="B165" s="54" t="s">
        <v>271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272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175</v>
      </c>
      <c r="Y165" s="540">
        <f t="shared" si="5"/>
        <v>176.4</v>
      </c>
      <c r="Z165" s="36">
        <f>IFERROR(IF(Y165=0,"",ROUNDUP(Y165/H165,0)*0.00502),"")</f>
        <v>0.42168</v>
      </c>
      <c r="AA165" s="56"/>
      <c r="AB165" s="57"/>
      <c r="AC165" s="199" t="s">
        <v>263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185.83333333333331</v>
      </c>
      <c r="BN165" s="64">
        <f t="shared" si="7"/>
        <v>187.32</v>
      </c>
      <c r="BO165" s="64">
        <f t="shared" si="8"/>
        <v>0.35612535612535612</v>
      </c>
      <c r="BP165" s="64">
        <f t="shared" si="9"/>
        <v>0.35897435897435903</v>
      </c>
    </row>
    <row r="166" spans="1:68" ht="27" customHeight="1" x14ac:dyDescent="0.25">
      <c r="A166" s="54" t="s">
        <v>273</v>
      </c>
      <c r="B166" s="54" t="s">
        <v>274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272</v>
      </c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140</v>
      </c>
      <c r="Y166" s="540">
        <f t="shared" si="5"/>
        <v>140.70000000000002</v>
      </c>
      <c r="Z166" s="36">
        <f>IFERROR(IF(Y166=0,"",ROUNDUP(Y166/H166,0)*0.00502),"")</f>
        <v>0.33634000000000003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148.66666666666666</v>
      </c>
      <c r="BN166" s="64">
        <f t="shared" si="7"/>
        <v>149.41</v>
      </c>
      <c r="BO166" s="64">
        <f t="shared" si="8"/>
        <v>0.28490028490028491</v>
      </c>
      <c r="BP166" s="64">
        <f t="shared" si="9"/>
        <v>0.28632478632478636</v>
      </c>
    </row>
    <row r="167" spans="1:68" ht="27" customHeight="1" x14ac:dyDescent="0.25">
      <c r="A167" s="54" t="s">
        <v>275</v>
      </c>
      <c r="B167" s="54" t="s">
        <v>276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278</v>
      </c>
      <c r="B168" s="54" t="s">
        <v>279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272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245</v>
      </c>
      <c r="Y168" s="540">
        <f t="shared" si="5"/>
        <v>245.70000000000002</v>
      </c>
      <c r="Z168" s="36">
        <f>IFERROR(IF(Y168=0,"",ROUNDUP(Y168/H168,0)*0.00502),"")</f>
        <v>0.58733999999999997</v>
      </c>
      <c r="AA168" s="56"/>
      <c r="AB168" s="57"/>
      <c r="AC168" s="205" t="s">
        <v>269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256.66666666666663</v>
      </c>
      <c r="BN168" s="64">
        <f t="shared" si="7"/>
        <v>257.40000000000003</v>
      </c>
      <c r="BO168" s="64">
        <f t="shared" si="8"/>
        <v>0.4985754985754986</v>
      </c>
      <c r="BP168" s="64">
        <f t="shared" si="9"/>
        <v>0.5</v>
      </c>
    </row>
    <row r="169" spans="1:68" ht="27" customHeight="1" x14ac:dyDescent="0.25">
      <c r="A169" s="54" t="s">
        <v>280</v>
      </c>
      <c r="B169" s="54" t="s">
        <v>281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282</v>
      </c>
      <c r="B170" s="54" t="s">
        <v>283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284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321.42857142857139</v>
      </c>
      <c r="Y171" s="541">
        <f>IFERROR(Y162/H162,"0")+IFERROR(Y163/H163,"0")+IFERROR(Y164/H164,"0")+IFERROR(Y165/H165,"0")+IFERROR(Y166/H166,"0")+IFERROR(Y167/H167,"0")+IFERROR(Y168/H168,"0")+IFERROR(Y169/H169,"0")+IFERROR(Y170/H170,"0")</f>
        <v>324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1.8504800000000001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790</v>
      </c>
      <c r="Y172" s="541">
        <f>IFERROR(SUM(Y162:Y170),"0")</f>
        <v>798.00000000000011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285</v>
      </c>
      <c r="B174" s="54" t="s">
        <v>286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287</v>
      </c>
      <c r="L174" s="32"/>
      <c r="M174" s="33" t="s">
        <v>288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7.0000000000000009</v>
      </c>
      <c r="Y174" s="540">
        <f>IFERROR(IF(X174="",0,CEILING((X174/$H174),1)*$H174),"")</f>
        <v>7.5600000000000005</v>
      </c>
      <c r="Z174" s="36">
        <f>IFERROR(IF(Y174=0,"",ROUNDUP(Y174/H174,0)*0.0059),"")</f>
        <v>3.5400000000000001E-2</v>
      </c>
      <c r="AA174" s="56"/>
      <c r="AB174" s="57"/>
      <c r="AC174" s="211" t="s">
        <v>289</v>
      </c>
      <c r="AG174" s="64"/>
      <c r="AJ174" s="68"/>
      <c r="AK174" s="68">
        <v>0</v>
      </c>
      <c r="BB174" s="212" t="s">
        <v>1</v>
      </c>
      <c r="BM174" s="64">
        <f>IFERROR(X174*I174/H174,"0")</f>
        <v>8.0555555555555554</v>
      </c>
      <c r="BN174" s="64">
        <f>IFERROR(Y174*I174/H174,"0")</f>
        <v>8.6999999999999993</v>
      </c>
      <c r="BO174" s="64">
        <f>IFERROR(1/J174*(X174/H174),"0")</f>
        <v>2.5720164609053499E-2</v>
      </c>
      <c r="BP174" s="64">
        <f>IFERROR(1/J174*(Y174/H174),"0")</f>
        <v>2.7777777777777776E-2</v>
      </c>
    </row>
    <row r="175" spans="1:68" ht="27" customHeight="1" x14ac:dyDescent="0.25">
      <c r="A175" s="54" t="s">
        <v>290</v>
      </c>
      <c r="B175" s="54" t="s">
        <v>291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287</v>
      </c>
      <c r="L175" s="32"/>
      <c r="M175" s="33" t="s">
        <v>288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7.0000000000000009</v>
      </c>
      <c r="Y175" s="540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293</v>
      </c>
      <c r="B176" s="54" t="s">
        <v>294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287</v>
      </c>
      <c r="L176" s="32"/>
      <c r="M176" s="33" t="s">
        <v>288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14</v>
      </c>
      <c r="Y176" s="540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292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22.222222222222221</v>
      </c>
      <c r="Y177" s="541">
        <f>IFERROR(Y174/H174,"0")+IFERROR(Y175/H175,"0")+IFERROR(Y176/H176,"0")</f>
        <v>24</v>
      </c>
      <c r="Z177" s="541">
        <f>IFERROR(IF(Z174="",0,Z174),"0")+IFERROR(IF(Z175="",0,Z175),"0")+IFERROR(IF(Z176="",0,Z176),"0")</f>
        <v>0.1416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28</v>
      </c>
      <c r="Y178" s="541">
        <f>IFERROR(SUM(Y174:Y176),"0")</f>
        <v>30.240000000000002</v>
      </c>
      <c r="Z178" s="37"/>
      <c r="AA178" s="542"/>
      <c r="AB178" s="542"/>
      <c r="AC178" s="542"/>
    </row>
    <row r="179" spans="1:68" ht="14.25" customHeight="1" x14ac:dyDescent="0.25">
      <c r="A179" s="554" t="s">
        <v>295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296</v>
      </c>
      <c r="B180" s="54" t="s">
        <v>297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287</v>
      </c>
      <c r="L180" s="32"/>
      <c r="M180" s="33" t="s">
        <v>288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10.5</v>
      </c>
      <c r="Y180" s="540">
        <f>IFERROR(IF(X180="",0,CEILING((X180/$H180),1)*$H180),"")</f>
        <v>11.34</v>
      </c>
      <c r="Z180" s="36">
        <f>IFERROR(IF(Y180=0,"",ROUNDUP(Y180/H180,0)*0.0059),"")</f>
        <v>5.3100000000000001E-2</v>
      </c>
      <c r="AA180" s="56"/>
      <c r="AB180" s="57"/>
      <c r="AC180" s="217" t="s">
        <v>292</v>
      </c>
      <c r="AG180" s="64"/>
      <c r="AJ180" s="68"/>
      <c r="AK180" s="68">
        <v>0</v>
      </c>
      <c r="BB180" s="218" t="s">
        <v>1</v>
      </c>
      <c r="BM180" s="64">
        <f>IFERROR(X180*I180/H180,"0")</f>
        <v>12.083333333333332</v>
      </c>
      <c r="BN180" s="64">
        <f>IFERROR(Y180*I180/H180,"0")</f>
        <v>13.049999999999999</v>
      </c>
      <c r="BO180" s="64">
        <f>IFERROR(1/J180*(X180/H180),"0")</f>
        <v>3.8580246913580245E-2</v>
      </c>
      <c r="BP180" s="64">
        <f>IFERROR(1/J180*(Y180/H180),"0")</f>
        <v>4.1666666666666664E-2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8.3333333333333339</v>
      </c>
      <c r="Y181" s="541">
        <f>IFERROR(Y180/H180,"0")</f>
        <v>9</v>
      </c>
      <c r="Z181" s="541">
        <f>IFERROR(IF(Z180="",0,Z180),"0")</f>
        <v>5.3100000000000001E-2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10.5</v>
      </c>
      <c r="Y182" s="541">
        <f>IFERROR(SUM(Y180:Y180),"0")</f>
        <v>11.34</v>
      </c>
      <c r="Z182" s="37"/>
      <c r="AA182" s="542"/>
      <c r="AB182" s="542"/>
      <c r="AC182" s="542"/>
    </row>
    <row r="183" spans="1:68" ht="16.5" customHeight="1" x14ac:dyDescent="0.25">
      <c r="A183" s="552" t="s">
        <v>298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299</v>
      </c>
      <c r="B185" s="54" t="s">
        <v>300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301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302</v>
      </c>
      <c r="B186" s="54" t="s">
        <v>303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301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304</v>
      </c>
      <c r="B190" s="54" t="s">
        <v>305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306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307</v>
      </c>
      <c r="B191" s="54" t="s">
        <v>308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306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309</v>
      </c>
      <c r="B195" s="54" t="s">
        <v>310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197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220</v>
      </c>
      <c r="Y195" s="540">
        <f t="shared" ref="Y195:Y202" si="10">IFERROR(IF(X195="",0,CEILING((X195/$H195),1)*$H195),"")</f>
        <v>221.4</v>
      </c>
      <c r="Z195" s="36">
        <f>IFERROR(IF(Y195=0,"",ROUNDUP(Y195/H195,0)*0.00902),"")</f>
        <v>0.36982000000000004</v>
      </c>
      <c r="AA195" s="56"/>
      <c r="AB195" s="57"/>
      <c r="AC195" s="227" t="s">
        <v>311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227.7407407407407</v>
      </c>
      <c r="BN195" s="64">
        <f t="shared" ref="BN195:BN202" si="12">IFERROR(Y195*I195/H195,"0")</f>
        <v>229.18999999999997</v>
      </c>
      <c r="BO195" s="64">
        <f t="shared" ref="BO195:BO202" si="13">IFERROR(1/J195*(X195/H195),"0")</f>
        <v>0.30864197530864196</v>
      </c>
      <c r="BP195" s="64">
        <f t="shared" ref="BP195:BP202" si="14">IFERROR(1/J195*(Y195/H195),"0")</f>
        <v>0.31060606060606061</v>
      </c>
    </row>
    <row r="196" spans="1:68" ht="27" customHeight="1" x14ac:dyDescent="0.25">
      <c r="A196" s="54" t="s">
        <v>312</v>
      </c>
      <c r="B196" s="54" t="s">
        <v>313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50</v>
      </c>
      <c r="Y196" s="540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315</v>
      </c>
      <c r="B197" s="54" t="s">
        <v>316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800</v>
      </c>
      <c r="Y197" s="540">
        <f t="shared" si="10"/>
        <v>804.6</v>
      </c>
      <c r="Z197" s="36">
        <f>IFERROR(IF(Y197=0,"",ROUNDUP(Y197/H197,0)*0.00902),"")</f>
        <v>1.34398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828.14814814814804</v>
      </c>
      <c r="BN197" s="64">
        <f t="shared" si="12"/>
        <v>832.91</v>
      </c>
      <c r="BO197" s="64">
        <f t="shared" si="13"/>
        <v>1.122334455667789</v>
      </c>
      <c r="BP197" s="64">
        <f t="shared" si="14"/>
        <v>1.1287878787878789</v>
      </c>
    </row>
    <row r="198" spans="1:68" ht="27" customHeight="1" x14ac:dyDescent="0.25">
      <c r="A198" s="54" t="s">
        <v>318</v>
      </c>
      <c r="B198" s="54" t="s">
        <v>319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140</v>
      </c>
      <c r="Y198" s="540">
        <f t="shared" si="10"/>
        <v>140.4</v>
      </c>
      <c r="Z198" s="36">
        <f>IFERROR(IF(Y198=0,"",ROUNDUP(Y198/H198,0)*0.00902),"")</f>
        <v>0.23452000000000001</v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144.92592592592592</v>
      </c>
      <c r="BN198" s="64">
        <f t="shared" si="12"/>
        <v>145.34</v>
      </c>
      <c r="BO198" s="64">
        <f t="shared" si="13"/>
        <v>0.19640852974186307</v>
      </c>
      <c r="BP198" s="64">
        <f t="shared" si="14"/>
        <v>0.19696969696969696</v>
      </c>
    </row>
    <row r="199" spans="1:68" ht="27" customHeight="1" x14ac:dyDescent="0.25">
      <c r="A199" s="54" t="s">
        <v>321</v>
      </c>
      <c r="B199" s="54" t="s">
        <v>322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272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150</v>
      </c>
      <c r="Y199" s="540">
        <f t="shared" si="10"/>
        <v>151.20000000000002</v>
      </c>
      <c r="Z199" s="36">
        <f>IFERROR(IF(Y199=0,"",ROUNDUP(Y199/H199,0)*0.00502),"")</f>
        <v>0.42168</v>
      </c>
      <c r="AA199" s="56"/>
      <c r="AB199" s="57"/>
      <c r="AC199" s="235" t="s">
        <v>311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160.83333333333334</v>
      </c>
      <c r="BN199" s="64">
        <f t="shared" si="12"/>
        <v>162.12</v>
      </c>
      <c r="BO199" s="64">
        <f t="shared" si="13"/>
        <v>0.35612535612535612</v>
      </c>
      <c r="BP199" s="64">
        <f t="shared" si="14"/>
        <v>0.35897435897435909</v>
      </c>
    </row>
    <row r="200" spans="1:68" ht="27" customHeight="1" x14ac:dyDescent="0.25">
      <c r="A200" s="54" t="s">
        <v>323</v>
      </c>
      <c r="B200" s="54" t="s">
        <v>324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272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90</v>
      </c>
      <c r="Y200" s="540">
        <f t="shared" si="10"/>
        <v>90</v>
      </c>
      <c r="Z200" s="36">
        <f>IFERROR(IF(Y200=0,"",ROUNDUP(Y200/H200,0)*0.00502),"")</f>
        <v>0.251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95</v>
      </c>
      <c r="BN200" s="64">
        <f t="shared" si="12"/>
        <v>95</v>
      </c>
      <c r="BO200" s="64">
        <f t="shared" si="13"/>
        <v>0.21367521367521369</v>
      </c>
      <c r="BP200" s="64">
        <f t="shared" si="14"/>
        <v>0.21367521367521369</v>
      </c>
    </row>
    <row r="201" spans="1:68" ht="27" customHeight="1" x14ac:dyDescent="0.25">
      <c r="A201" s="54" t="s">
        <v>325</v>
      </c>
      <c r="B201" s="54" t="s">
        <v>326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272</v>
      </c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90</v>
      </c>
      <c r="Y201" s="540">
        <f t="shared" si="10"/>
        <v>90</v>
      </c>
      <c r="Z201" s="36">
        <f>IFERROR(IF(Y201=0,"",ROUNDUP(Y201/H201,0)*0.00502),"")</f>
        <v>0.251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95</v>
      </c>
      <c r="BN201" s="64">
        <f t="shared" si="12"/>
        <v>95</v>
      </c>
      <c r="BO201" s="64">
        <f t="shared" si="13"/>
        <v>0.21367521367521369</v>
      </c>
      <c r="BP201" s="64">
        <f t="shared" si="14"/>
        <v>0.21367521367521369</v>
      </c>
    </row>
    <row r="202" spans="1:68" ht="27" customHeight="1" x14ac:dyDescent="0.25">
      <c r="A202" s="54" t="s">
        <v>327</v>
      </c>
      <c r="B202" s="54" t="s">
        <v>328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272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60</v>
      </c>
      <c r="Y202" s="540">
        <f t="shared" si="10"/>
        <v>61.2</v>
      </c>
      <c r="Z202" s="36">
        <f>IFERROR(IF(Y202=0,"",ROUNDUP(Y202/H202,0)*0.00502),"")</f>
        <v>0.17068</v>
      </c>
      <c r="AA202" s="56"/>
      <c r="AB202" s="57"/>
      <c r="AC202" s="241" t="s">
        <v>320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63.333333333333329</v>
      </c>
      <c r="BN202" s="64">
        <f t="shared" si="12"/>
        <v>64.599999999999994</v>
      </c>
      <c r="BO202" s="64">
        <f t="shared" si="13"/>
        <v>0.14245014245014248</v>
      </c>
      <c r="BP202" s="64">
        <f t="shared" si="14"/>
        <v>0.14529914529914531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440.7407407407407</v>
      </c>
      <c r="Y203" s="541">
        <f>IFERROR(Y195/H195,"0")+IFERROR(Y196/H196,"0")+IFERROR(Y197/H197,"0")+IFERROR(Y198/H198,"0")+IFERROR(Y199/H199,"0")+IFERROR(Y200/H200,"0")+IFERROR(Y201/H201,"0")+IFERROR(Y202/H202,"0")</f>
        <v>444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3.1328799999999997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1600</v>
      </c>
      <c r="Y204" s="541">
        <f>IFERROR(SUM(Y195:Y202),"0")</f>
        <v>1612.8000000000002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329</v>
      </c>
      <c r="B206" s="54" t="s">
        <v>330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331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332</v>
      </c>
      <c r="B207" s="54" t="s">
        <v>333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100</v>
      </c>
      <c r="Y208" s="540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337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338</v>
      </c>
      <c r="B209" s="54" t="s">
        <v>339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214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360</v>
      </c>
      <c r="Y209" s="540">
        <f t="shared" si="15"/>
        <v>360</v>
      </c>
      <c r="Z209" s="36">
        <f t="shared" ref="Z209:Z214" si="20">IFERROR(IF(Y209=0,"",ROUNDUP(Y209/H209,0)*0.00651),"")</f>
        <v>0.97650000000000003</v>
      </c>
      <c r="AA209" s="56"/>
      <c r="AB209" s="57"/>
      <c r="AC209" s="249" t="s">
        <v>331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400.5</v>
      </c>
      <c r="BN209" s="64">
        <f t="shared" si="17"/>
        <v>400.5</v>
      </c>
      <c r="BO209" s="64">
        <f t="shared" si="18"/>
        <v>0.82417582417582425</v>
      </c>
      <c r="BP209" s="64">
        <f t="shared" si="19"/>
        <v>0.82417582417582425</v>
      </c>
    </row>
    <row r="210" spans="1:68" ht="27" customHeight="1" x14ac:dyDescent="0.25">
      <c r="A210" s="54" t="s">
        <v>340</v>
      </c>
      <c r="B210" s="54" t="s">
        <v>341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342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214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640</v>
      </c>
      <c r="Y211" s="540">
        <f t="shared" si="15"/>
        <v>640.79999999999995</v>
      </c>
      <c r="Z211" s="36">
        <f t="shared" si="20"/>
        <v>1.73817</v>
      </c>
      <c r="AA211" s="56"/>
      <c r="AB211" s="57"/>
      <c r="AC211" s="253" t="s">
        <v>337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707.20000000000016</v>
      </c>
      <c r="BN211" s="64">
        <f t="shared" si="17"/>
        <v>708.08399999999995</v>
      </c>
      <c r="BO211" s="64">
        <f t="shared" si="18"/>
        <v>1.4652014652014653</v>
      </c>
      <c r="BP211" s="64">
        <f t="shared" si="19"/>
        <v>1.4670329670329672</v>
      </c>
    </row>
    <row r="212" spans="1:68" ht="27" customHeight="1" x14ac:dyDescent="0.25">
      <c r="A212" s="54" t="s">
        <v>345</v>
      </c>
      <c r="B212" s="54" t="s">
        <v>346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337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347</v>
      </c>
      <c r="B213" s="54" t="s">
        <v>348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214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160</v>
      </c>
      <c r="Y213" s="540">
        <f t="shared" si="15"/>
        <v>160.79999999999998</v>
      </c>
      <c r="Z213" s="36">
        <f t="shared" si="20"/>
        <v>0.43617</v>
      </c>
      <c r="AA213" s="56"/>
      <c r="AB213" s="57"/>
      <c r="AC213" s="257" t="s">
        <v>349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176.80000000000004</v>
      </c>
      <c r="BN213" s="64">
        <f t="shared" si="17"/>
        <v>177.684</v>
      </c>
      <c r="BO213" s="64">
        <f t="shared" si="18"/>
        <v>0.36630036630036633</v>
      </c>
      <c r="BP213" s="64">
        <f t="shared" si="19"/>
        <v>0.36813186813186816</v>
      </c>
    </row>
    <row r="214" spans="1:68" ht="27" customHeight="1" x14ac:dyDescent="0.25">
      <c r="A214" s="54" t="s">
        <v>350</v>
      </c>
      <c r="B214" s="54" t="s">
        <v>351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214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280</v>
      </c>
      <c r="Y214" s="540">
        <f t="shared" si="15"/>
        <v>280.8</v>
      </c>
      <c r="Z214" s="36">
        <f t="shared" si="20"/>
        <v>0.76167000000000007</v>
      </c>
      <c r="AA214" s="56"/>
      <c r="AB214" s="57"/>
      <c r="AC214" s="259" t="s">
        <v>334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310.10000000000002</v>
      </c>
      <c r="BN214" s="64">
        <f t="shared" si="17"/>
        <v>310.98599999999999</v>
      </c>
      <c r="BO214" s="64">
        <f t="shared" si="18"/>
        <v>0.64102564102564108</v>
      </c>
      <c r="BP214" s="64">
        <f t="shared" si="19"/>
        <v>0.64285714285714302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611.49425287356325</v>
      </c>
      <c r="Y215" s="541">
        <f>IFERROR(Y206/H206,"0")+IFERROR(Y207/H207,"0")+IFERROR(Y208/H208,"0")+IFERROR(Y209/H209,"0")+IFERROR(Y210/H210,"0")+IFERROR(Y211/H211,"0")+IFERROR(Y212/H212,"0")+IFERROR(Y213/H213,"0")+IFERROR(Y214/H214,"0")</f>
        <v>613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4.1402700000000001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1540</v>
      </c>
      <c r="Y216" s="541">
        <f>IFERROR(SUM(Y206:Y214),"0")</f>
        <v>1546.7999999999997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352</v>
      </c>
      <c r="B218" s="54" t="s">
        <v>353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214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20</v>
      </c>
      <c r="Y218" s="540">
        <f>IFERROR(IF(X218="",0,CEILING((X218/$H218),1)*$H218),"")</f>
        <v>21.599999999999998</v>
      </c>
      <c r="Z218" s="36">
        <f>IFERROR(IF(Y218=0,"",ROUNDUP(Y218/H218,0)*0.00651),"")</f>
        <v>5.8590000000000003E-2</v>
      </c>
      <c r="AA218" s="56"/>
      <c r="AB218" s="57"/>
      <c r="AC218" s="261" t="s">
        <v>354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22.100000000000005</v>
      </c>
      <c r="BN218" s="64">
        <f>IFERROR(Y218*I218/H218,"0")</f>
        <v>23.868000000000002</v>
      </c>
      <c r="BO218" s="64">
        <f>IFERROR(1/J218*(X218/H218),"0")</f>
        <v>4.5787545787545791E-2</v>
      </c>
      <c r="BP218" s="64">
        <f>IFERROR(1/J218*(Y218/H218),"0")</f>
        <v>4.9450549450549455E-2</v>
      </c>
    </row>
    <row r="219" spans="1:68" ht="37.5" customHeight="1" x14ac:dyDescent="0.25">
      <c r="A219" s="54" t="s">
        <v>355</v>
      </c>
      <c r="B219" s="54" t="s">
        <v>356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214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28</v>
      </c>
      <c r="Y219" s="540">
        <f>IFERROR(IF(X219="",0,CEILING((X219/$H219),1)*$H219),"")</f>
        <v>28.799999999999997</v>
      </c>
      <c r="Z219" s="36">
        <f>IFERROR(IF(Y219=0,"",ROUNDUP(Y219/H219,0)*0.00651),"")</f>
        <v>7.8119999999999995E-2</v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30.94</v>
      </c>
      <c r="BN219" s="64">
        <f>IFERROR(Y219*I219/H219,"0")</f>
        <v>31.824000000000002</v>
      </c>
      <c r="BO219" s="64">
        <f>IFERROR(1/J219*(X219/H219),"0")</f>
        <v>6.4102564102564111E-2</v>
      </c>
      <c r="BP219" s="64">
        <f>IFERROR(1/J219*(Y219/H219),"0")</f>
        <v>6.5934065934065936E-2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20</v>
      </c>
      <c r="Y220" s="541">
        <f>IFERROR(Y218/H218,"0")+IFERROR(Y219/H219,"0")</f>
        <v>21</v>
      </c>
      <c r="Z220" s="541">
        <f>IFERROR(IF(Z218="",0,Z218),"0")+IFERROR(IF(Z219="",0,Z219),"0")</f>
        <v>0.13671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48</v>
      </c>
      <c r="Y221" s="541">
        <f>IFERROR(SUM(Y218:Y219),"0")</f>
        <v>50.399999999999991</v>
      </c>
      <c r="Z221" s="37"/>
      <c r="AA221" s="542"/>
      <c r="AB221" s="542"/>
      <c r="AC221" s="542"/>
    </row>
    <row r="222" spans="1:68" ht="16.5" customHeight="1" x14ac:dyDescent="0.25">
      <c r="A222" s="552" t="s">
        <v>358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359</v>
      </c>
      <c r="B224" s="54" t="s">
        <v>360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361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362</v>
      </c>
      <c r="B225" s="54" t="s">
        <v>363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40</v>
      </c>
      <c r="Y226" s="540">
        <f t="shared" si="21"/>
        <v>46.4</v>
      </c>
      <c r="Z226" s="36">
        <f>IFERROR(IF(Y226=0,"",ROUNDUP(Y226/H226,0)*0.01898),"")</f>
        <v>7.5920000000000001E-2</v>
      </c>
      <c r="AA226" s="56"/>
      <c r="AB226" s="57"/>
      <c r="AC226" s="269" t="s">
        <v>367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41.413793103448278</v>
      </c>
      <c r="BN226" s="64">
        <f t="shared" si="23"/>
        <v>48.04</v>
      </c>
      <c r="BO226" s="64">
        <f t="shared" si="24"/>
        <v>5.387931034482759E-2</v>
      </c>
      <c r="BP226" s="64">
        <f t="shared" si="25"/>
        <v>6.25E-2</v>
      </c>
    </row>
    <row r="227" spans="1:68" ht="27" customHeight="1" x14ac:dyDescent="0.25">
      <c r="A227" s="54" t="s">
        <v>368</v>
      </c>
      <c r="B227" s="54" t="s">
        <v>369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197</v>
      </c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16</v>
      </c>
      <c r="Y227" s="540">
        <f t="shared" si="21"/>
        <v>16</v>
      </c>
      <c r="Z227" s="36">
        <f>IFERROR(IF(Y227=0,"",ROUNDUP(Y227/H227,0)*0.00902),"")</f>
        <v>3.6080000000000001E-2</v>
      </c>
      <c r="AA227" s="56"/>
      <c r="AB227" s="57"/>
      <c r="AC227" s="271" t="s">
        <v>361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16.760000000000002</v>
      </c>
      <c r="BN227" s="64">
        <f t="shared" si="23"/>
        <v>16.760000000000002</v>
      </c>
      <c r="BO227" s="64">
        <f t="shared" si="24"/>
        <v>3.0303030303030304E-2</v>
      </c>
      <c r="BP227" s="64">
        <f t="shared" si="25"/>
        <v>3.0303030303030304E-2</v>
      </c>
    </row>
    <row r="228" spans="1:68" ht="27" customHeight="1" x14ac:dyDescent="0.25">
      <c r="A228" s="54" t="s">
        <v>368</v>
      </c>
      <c r="B228" s="54" t="s">
        <v>370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372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376</v>
      </c>
      <c r="B231" s="54" t="s">
        <v>377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378</v>
      </c>
      <c r="B232" s="54" t="s">
        <v>379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197</v>
      </c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72</v>
      </c>
      <c r="Y232" s="540">
        <f t="shared" si="21"/>
        <v>72</v>
      </c>
      <c r="Z232" s="36">
        <f>IFERROR(IF(Y232=0,"",ROUNDUP(Y232/H232,0)*0.00902),"")</f>
        <v>0.16236</v>
      </c>
      <c r="AA232" s="56"/>
      <c r="AB232" s="57"/>
      <c r="AC232" s="281" t="s">
        <v>367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75.42</v>
      </c>
      <c r="BN232" s="64">
        <f t="shared" si="23"/>
        <v>75.42</v>
      </c>
      <c r="BO232" s="64">
        <f t="shared" si="24"/>
        <v>0.13636363636363635</v>
      </c>
      <c r="BP232" s="64">
        <f t="shared" si="25"/>
        <v>0.13636363636363635</v>
      </c>
    </row>
    <row r="233" spans="1:68" ht="27" customHeight="1" x14ac:dyDescent="0.25">
      <c r="A233" s="54" t="s">
        <v>378</v>
      </c>
      <c r="B233" s="54" t="s">
        <v>380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25.448275862068968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26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0.27435999999999999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128</v>
      </c>
      <c r="Y235" s="541">
        <f>IFERROR(SUM(Y224:Y233),"0")</f>
        <v>134.4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381</v>
      </c>
      <c r="B237" s="54" t="s">
        <v>382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383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384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385</v>
      </c>
      <c r="B241" s="54" t="s">
        <v>386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287</v>
      </c>
      <c r="L241" s="32"/>
      <c r="M241" s="33" t="s">
        <v>288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12</v>
      </c>
      <c r="Y241" s="540">
        <f>IFERROR(IF(X241="",0,CEILING((X241/$H241),1)*$H241),"")</f>
        <v>12.6</v>
      </c>
      <c r="Z241" s="36">
        <f>IFERROR(IF(Y241=0,"",ROUNDUP(Y241/H241,0)*0.0059),"")</f>
        <v>4.1299999999999996E-2</v>
      </c>
      <c r="AA241" s="56"/>
      <c r="AB241" s="57"/>
      <c r="AC241" s="287" t="s">
        <v>387</v>
      </c>
      <c r="AG241" s="64"/>
      <c r="AJ241" s="68"/>
      <c r="AK241" s="68">
        <v>0</v>
      </c>
      <c r="BB241" s="288" t="s">
        <v>1</v>
      </c>
      <c r="BM241" s="64">
        <f>IFERROR(X241*I241/H241,"0")</f>
        <v>13.166666666666668</v>
      </c>
      <c r="BN241" s="64">
        <f>IFERROR(Y241*I241/H241,"0")</f>
        <v>13.825000000000001</v>
      </c>
      <c r="BO241" s="64">
        <f>IFERROR(1/J241*(X241/H241),"0")</f>
        <v>3.0864197530864192E-2</v>
      </c>
      <c r="BP241" s="64">
        <f>IFERROR(1/J241*(Y241/H241),"0")</f>
        <v>3.2407407407407406E-2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6.6666666666666661</v>
      </c>
      <c r="Y242" s="541">
        <f>IFERROR(Y241/H241,"0")</f>
        <v>7</v>
      </c>
      <c r="Z242" s="541">
        <f>IFERROR(IF(Z241="",0,Z241),"0")</f>
        <v>4.1299999999999996E-2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12</v>
      </c>
      <c r="Y243" s="541">
        <f>IFERROR(SUM(Y241:Y241),"0")</f>
        <v>12.6</v>
      </c>
      <c r="Z243" s="37"/>
      <c r="AA243" s="542"/>
      <c r="AB243" s="542"/>
      <c r="AC243" s="542"/>
    </row>
    <row r="244" spans="1:68" ht="14.25" customHeight="1" x14ac:dyDescent="0.25">
      <c r="A244" s="554" t="s">
        <v>388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389</v>
      </c>
      <c r="B245" s="54" t="s">
        <v>390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287</v>
      </c>
      <c r="L245" s="32"/>
      <c r="M245" s="33" t="s">
        <v>288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391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392</v>
      </c>
      <c r="B246" s="54" t="s">
        <v>393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287</v>
      </c>
      <c r="L246" s="32"/>
      <c r="M246" s="33" t="s">
        <v>288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7.0000000000000009</v>
      </c>
      <c r="Y246" s="540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customHeight="1" x14ac:dyDescent="0.25">
      <c r="A247" s="54" t="s">
        <v>394</v>
      </c>
      <c r="B247" s="54" t="s">
        <v>395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287</v>
      </c>
      <c r="L247" s="32"/>
      <c r="M247" s="33" t="s">
        <v>288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2.75</v>
      </c>
      <c r="Y247" s="540">
        <f>IFERROR(IF(X247="",0,CEILING((X247/$H247),1)*$H247),"")</f>
        <v>3.6</v>
      </c>
      <c r="Z247" s="36">
        <f>IFERROR(IF(Y247=0,"",ROUNDUP(Y247/H247,0)*0.0059),"")</f>
        <v>2.3599999999999999E-2</v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3.3305555555555557</v>
      </c>
      <c r="BN247" s="64">
        <f>IFERROR(Y247*I247/H247,"0")</f>
        <v>4.3600000000000003</v>
      </c>
      <c r="BO247" s="64">
        <f>IFERROR(1/J247*(X247/H247),"0")</f>
        <v>1.4146090534979422E-2</v>
      </c>
      <c r="BP247" s="64">
        <f>IFERROR(1/J247*(Y247/H247),"0")</f>
        <v>1.8518518518518517E-2</v>
      </c>
    </row>
    <row r="248" spans="1:68" ht="27" customHeight="1" x14ac:dyDescent="0.25">
      <c r="A248" s="54" t="s">
        <v>396</v>
      </c>
      <c r="B248" s="54" t="s">
        <v>397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287</v>
      </c>
      <c r="L248" s="32"/>
      <c r="M248" s="33" t="s">
        <v>288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398</v>
      </c>
      <c r="B249" s="54" t="s">
        <v>399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287</v>
      </c>
      <c r="L249" s="32"/>
      <c r="M249" s="33" t="s">
        <v>288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6.9444444444444446</v>
      </c>
      <c r="Y250" s="541">
        <f>IFERROR(Y245/H245,"0")+IFERROR(Y246/H246,"0")+IFERROR(Y247/H247,"0")+IFERROR(Y248/H248,"0")+IFERROR(Y249/H249,"0")</f>
        <v>8</v>
      </c>
      <c r="Z250" s="541">
        <f>IFERROR(IF(Z245="",0,Z245),"0")+IFERROR(IF(Z246="",0,Z246),"0")+IFERROR(IF(Z247="",0,Z247),"0")+IFERROR(IF(Z248="",0,Z248),"0")+IFERROR(IF(Z249="",0,Z249),"0")</f>
        <v>4.7199999999999999E-2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9.75</v>
      </c>
      <c r="Y251" s="541">
        <f>IFERROR(SUM(Y245:Y249),"0")</f>
        <v>10.8</v>
      </c>
      <c r="Z251" s="37"/>
      <c r="AA251" s="542"/>
      <c r="AB251" s="542"/>
      <c r="AC251" s="542"/>
    </row>
    <row r="252" spans="1:68" ht="16.5" customHeight="1" x14ac:dyDescent="0.25">
      <c r="A252" s="552" t="s">
        <v>400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401</v>
      </c>
      <c r="B254" s="54" t="s">
        <v>402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403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404</v>
      </c>
      <c r="B255" s="54" t="s">
        <v>405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407</v>
      </c>
      <c r="B256" s="54" t="s">
        <v>408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413</v>
      </c>
      <c r="B258" s="54" t="s">
        <v>414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416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417</v>
      </c>
      <c r="B263" s="54" t="s">
        <v>418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419</v>
      </c>
      <c r="B264" s="54" t="s">
        <v>420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422</v>
      </c>
      <c r="B265" s="54" t="s">
        <v>423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367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424</v>
      </c>
      <c r="B266" s="54" t="s">
        <v>425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426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427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428</v>
      </c>
      <c r="B271" s="54" t="s">
        <v>429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430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431</v>
      </c>
      <c r="B272" s="54" t="s">
        <v>432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214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112</v>
      </c>
      <c r="Y272" s="540">
        <f>IFERROR(IF(X272="",0,CEILING((X272/$H272),1)*$H272),"")</f>
        <v>112.8</v>
      </c>
      <c r="Z272" s="36">
        <f>IFERROR(IF(Y272=0,"",ROUNDUP(Y272/H272,0)*0.00651),"")</f>
        <v>0.30597000000000002</v>
      </c>
      <c r="AA272" s="56"/>
      <c r="AB272" s="57"/>
      <c r="AC272" s="319" t="s">
        <v>433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123.76</v>
      </c>
      <c r="BN272" s="64">
        <f>IFERROR(Y272*I272/H272,"0")</f>
        <v>124.64400000000001</v>
      </c>
      <c r="BO272" s="64">
        <f>IFERROR(1/J272*(X272/H272),"0")</f>
        <v>0.25641025641025644</v>
      </c>
      <c r="BP272" s="64">
        <f>IFERROR(1/J272*(Y272/H272),"0")</f>
        <v>0.25824175824175827</v>
      </c>
    </row>
    <row r="273" spans="1:68" ht="27" customHeight="1" x14ac:dyDescent="0.25">
      <c r="A273" s="54" t="s">
        <v>434</v>
      </c>
      <c r="B273" s="54" t="s">
        <v>435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160</v>
      </c>
      <c r="Y273" s="540">
        <f>IFERROR(IF(X273="",0,CEILING((X273/$H273),1)*$H273),"")</f>
        <v>160.79999999999998</v>
      </c>
      <c r="Z273" s="36">
        <f>IFERROR(IF(Y273=0,"",ROUNDUP(Y273/H273,0)*0.00651),"")</f>
        <v>0.43617</v>
      </c>
      <c r="AA273" s="56"/>
      <c r="AB273" s="57"/>
      <c r="AC273" s="321" t="s">
        <v>430</v>
      </c>
      <c r="AG273" s="64"/>
      <c r="AJ273" s="68" t="s">
        <v>106</v>
      </c>
      <c r="AK273" s="68">
        <v>2.4</v>
      </c>
      <c r="BB273" s="322" t="s">
        <v>1</v>
      </c>
      <c r="BM273" s="64">
        <f>IFERROR(X273*I273/H273,"0")</f>
        <v>172</v>
      </c>
      <c r="BN273" s="64">
        <f>IFERROR(Y273*I273/H273,"0")</f>
        <v>172.85999999999999</v>
      </c>
      <c r="BO273" s="64">
        <f>IFERROR(1/J273*(X273/H273),"0")</f>
        <v>0.36630036630036633</v>
      </c>
      <c r="BP273" s="64">
        <f>IFERROR(1/J273*(Y273/H273),"0")</f>
        <v>0.36813186813186816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113.33333333333334</v>
      </c>
      <c r="Y274" s="541">
        <f>IFERROR(Y271/H271,"0")+IFERROR(Y272/H272,"0")+IFERROR(Y273/H273,"0")</f>
        <v>114</v>
      </c>
      <c r="Z274" s="541">
        <f>IFERROR(IF(Z271="",0,Z271),"0")+IFERROR(IF(Z272="",0,Z272),"0")+IFERROR(IF(Z273="",0,Z273),"0")</f>
        <v>0.74214000000000002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272</v>
      </c>
      <c r="Y275" s="541">
        <f>IFERROR(SUM(Y271:Y273),"0")</f>
        <v>273.59999999999997</v>
      </c>
      <c r="Z275" s="37"/>
      <c r="AA275" s="542"/>
      <c r="AB275" s="542"/>
      <c r="AC275" s="542"/>
    </row>
    <row r="276" spans="1:68" ht="16.5" customHeight="1" x14ac:dyDescent="0.25">
      <c r="A276" s="552" t="s">
        <v>436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437</v>
      </c>
      <c r="B278" s="54" t="s">
        <v>438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439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440</v>
      </c>
      <c r="B279" s="54" t="s">
        <v>441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443</v>
      </c>
      <c r="B283" s="54" t="s">
        <v>444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445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446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447</v>
      </c>
      <c r="B288" s="54" t="s">
        <v>448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449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450</v>
      </c>
      <c r="B289" s="54" t="s">
        <v>451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452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453</v>
      </c>
      <c r="B290" s="54" t="s">
        <v>454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455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456</v>
      </c>
      <c r="B291" s="54" t="s">
        <v>457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461</v>
      </c>
      <c r="B296" s="54" t="s">
        <v>462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463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464</v>
      </c>
      <c r="B297" s="54" t="s">
        <v>465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466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467</v>
      </c>
      <c r="B298" s="54" t="s">
        <v>468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469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470</v>
      </c>
      <c r="B299" s="54" t="s">
        <v>471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 t="s">
        <v>272</v>
      </c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466</v>
      </c>
      <c r="AG299" s="64"/>
      <c r="AJ299" s="68" t="s">
        <v>106</v>
      </c>
      <c r="AK299" s="68">
        <v>37.799999999999997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272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70</v>
      </c>
      <c r="Y300" s="540">
        <f t="shared" si="26"/>
        <v>71.400000000000006</v>
      </c>
      <c r="Z300" s="36">
        <f>IFERROR(IF(Y300=0,"",ROUNDUP(Y300/H300,0)*0.00502),"")</f>
        <v>0.17068</v>
      </c>
      <c r="AA300" s="56"/>
      <c r="AB300" s="57"/>
      <c r="AC300" s="347" t="s">
        <v>474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73.333333333333329</v>
      </c>
      <c r="BN300" s="64">
        <f t="shared" si="28"/>
        <v>74.8</v>
      </c>
      <c r="BO300" s="64">
        <f t="shared" si="29"/>
        <v>0.14245014245014245</v>
      </c>
      <c r="BP300" s="64">
        <f t="shared" si="30"/>
        <v>0.14529914529914531</v>
      </c>
    </row>
    <row r="301" spans="1:68" ht="27" customHeight="1" x14ac:dyDescent="0.25">
      <c r="A301" s="54" t="s">
        <v>475</v>
      </c>
      <c r="B301" s="54" t="s">
        <v>476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 t="s">
        <v>214</v>
      </c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39</v>
      </c>
      <c r="Y302" s="540">
        <f t="shared" si="26"/>
        <v>39.6</v>
      </c>
      <c r="Z302" s="36">
        <f>IFERROR(IF(Y302=0,"",ROUNDUP(Y302/H302,0)*0.00651),"")</f>
        <v>0.14322000000000001</v>
      </c>
      <c r="AA302" s="56"/>
      <c r="AB302" s="57"/>
      <c r="AC302" s="351" t="s">
        <v>479</v>
      </c>
      <c r="AG302" s="64"/>
      <c r="AJ302" s="68" t="s">
        <v>106</v>
      </c>
      <c r="AK302" s="68">
        <v>25.2</v>
      </c>
      <c r="BB302" s="352" t="s">
        <v>1</v>
      </c>
      <c r="BM302" s="64">
        <f t="shared" si="27"/>
        <v>43.94</v>
      </c>
      <c r="BN302" s="64">
        <f t="shared" si="28"/>
        <v>44.616</v>
      </c>
      <c r="BO302" s="64">
        <f t="shared" si="29"/>
        <v>0.11904761904761907</v>
      </c>
      <c r="BP302" s="64">
        <f t="shared" si="30"/>
        <v>0.12087912087912089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55</v>
      </c>
      <c r="Y303" s="541">
        <f>IFERROR(Y296/H296,"0")+IFERROR(Y297/H297,"0")+IFERROR(Y298/H298,"0")+IFERROR(Y299/H299,"0")+IFERROR(Y300/H300,"0")+IFERROR(Y301/H301,"0")+IFERROR(Y302/H302,"0")</f>
        <v>56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0.31390000000000001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109</v>
      </c>
      <c r="Y304" s="541">
        <f>IFERROR(SUM(Y296:Y302),"0")</f>
        <v>111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480</v>
      </c>
      <c r="B306" s="54" t="s">
        <v>481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482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483</v>
      </c>
      <c r="B307" s="54" t="s">
        <v>484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485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486</v>
      </c>
      <c r="B308" s="54" t="s">
        <v>487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488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489</v>
      </c>
      <c r="B309" s="54" t="s">
        <v>490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491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492</v>
      </c>
      <c r="B310" s="54" t="s">
        <v>493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494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495</v>
      </c>
      <c r="B314" s="54" t="s">
        <v>496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30</v>
      </c>
      <c r="Y314" s="540">
        <f>IFERROR(IF(X314="",0,CEILING((X314/$H314),1)*$H314),"")</f>
        <v>33.6</v>
      </c>
      <c r="Z314" s="36">
        <f>IFERROR(IF(Y314=0,"",ROUNDUP(Y314/H314,0)*0.01898),"")</f>
        <v>7.5920000000000001E-2</v>
      </c>
      <c r="AA314" s="56"/>
      <c r="AB314" s="57"/>
      <c r="AC314" s="363" t="s">
        <v>497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31.764285714285712</v>
      </c>
      <c r="BN314" s="64">
        <f>IFERROR(Y314*I314/H314,"0")</f>
        <v>35.576000000000001</v>
      </c>
      <c r="BO314" s="64">
        <f>IFERROR(1/J314*(X314/H314),"0")</f>
        <v>5.5803571428571425E-2</v>
      </c>
      <c r="BP314" s="64">
        <f>IFERROR(1/J314*(Y314/H314),"0")</f>
        <v>6.25E-2</v>
      </c>
    </row>
    <row r="315" spans="1:68" ht="27" customHeight="1" x14ac:dyDescent="0.25">
      <c r="A315" s="54" t="s">
        <v>498</v>
      </c>
      <c r="B315" s="54" t="s">
        <v>499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200</v>
      </c>
      <c r="Y315" s="540">
        <f>IFERROR(IF(X315="",0,CEILING((X315/$H315),1)*$H315),"")</f>
        <v>202.79999999999998</v>
      </c>
      <c r="Z315" s="36">
        <f>IFERROR(IF(Y315=0,"",ROUNDUP(Y315/H315,0)*0.01898),"")</f>
        <v>0.49348000000000003</v>
      </c>
      <c r="AA315" s="56"/>
      <c r="AB315" s="57"/>
      <c r="AC315" s="365" t="s">
        <v>500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212.66666666666669</v>
      </c>
      <c r="BN315" s="64">
        <f>IFERROR(Y315*I315/H315,"0")</f>
        <v>215.64399999999998</v>
      </c>
      <c r="BO315" s="64">
        <f>IFERROR(1/J315*(X315/H315),"0")</f>
        <v>0.40064102564102566</v>
      </c>
      <c r="BP315" s="64">
        <f>IFERROR(1/J315*(Y315/H315),"0")</f>
        <v>0.40625</v>
      </c>
    </row>
    <row r="316" spans="1:68" ht="16.5" customHeight="1" x14ac:dyDescent="0.25">
      <c r="A316" s="54" t="s">
        <v>501</v>
      </c>
      <c r="B316" s="54" t="s">
        <v>502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450</v>
      </c>
      <c r="Y316" s="540">
        <f>IFERROR(IF(X316="",0,CEILING((X316/$H316),1)*$H316),"")</f>
        <v>453.6</v>
      </c>
      <c r="Z316" s="36">
        <f>IFERROR(IF(Y316=0,"",ROUNDUP(Y316/H316,0)*0.01898),"")</f>
        <v>1.0249200000000001</v>
      </c>
      <c r="AA316" s="56"/>
      <c r="AB316" s="57"/>
      <c r="AC316" s="367" t="s">
        <v>503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476.46428571428572</v>
      </c>
      <c r="BN316" s="64">
        <f>IFERROR(Y316*I316/H316,"0")</f>
        <v>480.27600000000001</v>
      </c>
      <c r="BO316" s="64">
        <f>IFERROR(1/J316*(X316/H316),"0")</f>
        <v>0.8370535714285714</v>
      </c>
      <c r="BP316" s="64">
        <f>IFERROR(1/J316*(Y316/H316),"0")</f>
        <v>0.84375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82.783882783882774</v>
      </c>
      <c r="Y317" s="541">
        <f>IFERROR(Y314/H314,"0")+IFERROR(Y315/H315,"0")+IFERROR(Y316/H316,"0")</f>
        <v>84</v>
      </c>
      <c r="Z317" s="541">
        <f>IFERROR(IF(Z314="",0,Z314),"0")+IFERROR(IF(Z315="",0,Z315),"0")+IFERROR(IF(Z316="",0,Z316),"0")</f>
        <v>1.5943200000000002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680</v>
      </c>
      <c r="Y318" s="541">
        <f>IFERROR(SUM(Y314:Y316),"0")</f>
        <v>690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504</v>
      </c>
      <c r="B320" s="54" t="s">
        <v>505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507</v>
      </c>
      <c r="B321" s="54" t="s">
        <v>508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509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510</v>
      </c>
      <c r="B322" s="54" t="s">
        <v>511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214</v>
      </c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512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513</v>
      </c>
      <c r="B323" s="54" t="s">
        <v>514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515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516</v>
      </c>
      <c r="B327" s="54" t="s">
        <v>517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214</v>
      </c>
      <c r="M327" s="33" t="s">
        <v>518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519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520</v>
      </c>
      <c r="B328" s="54" t="s">
        <v>521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518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214</v>
      </c>
      <c r="M329" s="33" t="s">
        <v>518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100</v>
      </c>
      <c r="Y329" s="540">
        <f>IFERROR(IF(X329="",0,CEILING((X329/$H329),1)*$H329),"")</f>
        <v>100</v>
      </c>
      <c r="Z329" s="36">
        <f>IFERROR(IF(Y329=0,"",ROUNDUP(Y329/H329,0)*0.00474),"")</f>
        <v>0.23700000000000002</v>
      </c>
      <c r="AA329" s="56"/>
      <c r="AB329" s="57"/>
      <c r="AC329" s="381" t="s">
        <v>519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112.00000000000001</v>
      </c>
      <c r="BN329" s="64">
        <f>IFERROR(Y329*I329/H329,"0")</f>
        <v>112.00000000000001</v>
      </c>
      <c r="BO329" s="64">
        <f>IFERROR(1/J329*(X329/H329),"0")</f>
        <v>0.21008403361344538</v>
      </c>
      <c r="BP329" s="64">
        <f>IFERROR(1/J329*(Y329/H329),"0")</f>
        <v>0.21008403361344538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50</v>
      </c>
      <c r="Y330" s="541">
        <f>IFERROR(Y327/H327,"0")+IFERROR(Y328/H328,"0")+IFERROR(Y329/H329,"0")</f>
        <v>50</v>
      </c>
      <c r="Z330" s="541">
        <f>IFERROR(IF(Z327="",0,Z327),"0")+IFERROR(IF(Z328="",0,Z328),"0")+IFERROR(IF(Z329="",0,Z329),"0")</f>
        <v>0.23700000000000002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100</v>
      </c>
      <c r="Y331" s="541">
        <f>IFERROR(SUM(Y327:Y329),"0")</f>
        <v>100</v>
      </c>
      <c r="Z331" s="37"/>
      <c r="AA331" s="542"/>
      <c r="AB331" s="542"/>
      <c r="AC331" s="542"/>
    </row>
    <row r="332" spans="1:68" ht="16.5" customHeight="1" x14ac:dyDescent="0.25">
      <c r="A332" s="552" t="s">
        <v>524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525</v>
      </c>
      <c r="B334" s="54" t="s">
        <v>526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527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528</v>
      </c>
      <c r="B335" s="54" t="s">
        <v>529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214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700</v>
      </c>
      <c r="Y335" s="540">
        <f>IFERROR(IF(X335="",0,CEILING((X335/$H335),1)*$H335),"")</f>
        <v>701.4</v>
      </c>
      <c r="Z335" s="36">
        <f>IFERROR(IF(Y335=0,"",ROUNDUP(Y335/H335,0)*0.00651),"")</f>
        <v>2.1743399999999999</v>
      </c>
      <c r="AA335" s="56"/>
      <c r="AB335" s="57"/>
      <c r="AC335" s="385" t="s">
        <v>530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783.99999999999989</v>
      </c>
      <c r="BN335" s="64">
        <f>IFERROR(Y335*I335/H335,"0")</f>
        <v>785.56799999999987</v>
      </c>
      <c r="BO335" s="64">
        <f>IFERROR(1/J335*(X335/H335),"0")</f>
        <v>1.8315018315018314</v>
      </c>
      <c r="BP335" s="64">
        <f>IFERROR(1/J335*(Y335/H335),"0")</f>
        <v>1.8351648351648353</v>
      </c>
    </row>
    <row r="336" spans="1:68" ht="27" customHeight="1" x14ac:dyDescent="0.25">
      <c r="A336" s="54" t="s">
        <v>531</v>
      </c>
      <c r="B336" s="54" t="s">
        <v>532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214</v>
      </c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525</v>
      </c>
      <c r="Y336" s="540">
        <f>IFERROR(IF(X336="",0,CEILING((X336/$H336),1)*$H336),"")</f>
        <v>525</v>
      </c>
      <c r="Z336" s="36">
        <f>IFERROR(IF(Y336=0,"",ROUNDUP(Y336/H336,0)*0.00651),"")</f>
        <v>1.6274999999999999</v>
      </c>
      <c r="AA336" s="56"/>
      <c r="AB336" s="57"/>
      <c r="AC336" s="387" t="s">
        <v>533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585</v>
      </c>
      <c r="BN336" s="64">
        <f>IFERROR(Y336*I336/H336,"0")</f>
        <v>585</v>
      </c>
      <c r="BO336" s="64">
        <f>IFERROR(1/J336*(X336/H336),"0")</f>
        <v>1.3736263736263736</v>
      </c>
      <c r="BP336" s="64">
        <f>IFERROR(1/J336*(Y336/H336),"0")</f>
        <v>1.3736263736263736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583.33333333333326</v>
      </c>
      <c r="Y337" s="541">
        <f>IFERROR(Y334/H334,"0")+IFERROR(Y335/H335,"0")+IFERROR(Y336/H336,"0")</f>
        <v>584</v>
      </c>
      <c r="Z337" s="541">
        <f>IFERROR(IF(Z334="",0,Z334),"0")+IFERROR(IF(Z335="",0,Z335),"0")+IFERROR(IF(Z336="",0,Z336),"0")</f>
        <v>3.8018399999999999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1225</v>
      </c>
      <c r="Y338" s="541">
        <f>IFERROR(SUM(Y334:Y336),"0")</f>
        <v>1226.4000000000001</v>
      </c>
      <c r="Z338" s="37"/>
      <c r="AA338" s="542"/>
      <c r="AB338" s="542"/>
      <c r="AC338" s="542"/>
    </row>
    <row r="339" spans="1:68" ht="27.75" customHeight="1" x14ac:dyDescent="0.2">
      <c r="A339" s="693" t="s">
        <v>534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536</v>
      </c>
      <c r="B342" s="54" t="s">
        <v>537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800</v>
      </c>
      <c r="Y342" s="540">
        <f t="shared" ref="Y342:Y348" si="31">IFERROR(IF(X342="",0,CEILING((X342/$H342),1)*$H342),"")</f>
        <v>810</v>
      </c>
      <c r="Z342" s="36">
        <f>IFERROR(IF(Y342=0,"",ROUNDUP(Y342/H342,0)*0.02175),"")</f>
        <v>1.1744999999999999</v>
      </c>
      <c r="AA342" s="56"/>
      <c r="AB342" s="57"/>
      <c r="AC342" s="389" t="s">
        <v>538</v>
      </c>
      <c r="AG342" s="64"/>
      <c r="AJ342" s="68" t="s">
        <v>106</v>
      </c>
      <c r="AK342" s="68">
        <v>15</v>
      </c>
      <c r="BB342" s="390" t="s">
        <v>1</v>
      </c>
      <c r="BM342" s="64">
        <f t="shared" ref="BM342:BM348" si="32">IFERROR(X342*I342/H342,"0")</f>
        <v>825.06666666666672</v>
      </c>
      <c r="BN342" s="64">
        <f t="shared" ref="BN342:BN348" si="33">IFERROR(Y342*I342/H342,"0")</f>
        <v>835.38</v>
      </c>
      <c r="BO342" s="64">
        <f t="shared" ref="BO342:BO348" si="34">IFERROR(1/J342*(X342/H342),"0")</f>
        <v>1.1111111111111112</v>
      </c>
      <c r="BP342" s="64">
        <f t="shared" ref="BP342:BP348" si="35">IFERROR(1/J342*(Y342/H342),"0")</f>
        <v>1.125</v>
      </c>
    </row>
    <row r="343" spans="1:68" ht="27" customHeight="1" x14ac:dyDescent="0.25">
      <c r="A343" s="54" t="s">
        <v>539</v>
      </c>
      <c r="B343" s="54" t="s">
        <v>540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300</v>
      </c>
      <c r="Y343" s="540">
        <f t="shared" si="31"/>
        <v>300</v>
      </c>
      <c r="Z343" s="36">
        <f>IFERROR(IF(Y343=0,"",ROUNDUP(Y343/H343,0)*0.02175),"")</f>
        <v>0.43499999999999994</v>
      </c>
      <c r="AA343" s="56"/>
      <c r="AB343" s="57"/>
      <c r="AC343" s="391" t="s">
        <v>541</v>
      </c>
      <c r="AG343" s="64"/>
      <c r="AJ343" s="68" t="s">
        <v>106</v>
      </c>
      <c r="AK343" s="68">
        <v>15</v>
      </c>
      <c r="BB343" s="392" t="s">
        <v>1</v>
      </c>
      <c r="BM343" s="64">
        <f t="shared" si="32"/>
        <v>309.39999999999998</v>
      </c>
      <c r="BN343" s="64">
        <f t="shared" si="33"/>
        <v>309.39999999999998</v>
      </c>
      <c r="BO343" s="64">
        <f t="shared" si="34"/>
        <v>0.41666666666666663</v>
      </c>
      <c r="BP343" s="64">
        <f t="shared" si="35"/>
        <v>0.41666666666666663</v>
      </c>
    </row>
    <row r="344" spans="1:68" ht="37.5" customHeight="1" x14ac:dyDescent="0.25">
      <c r="A344" s="54" t="s">
        <v>542</v>
      </c>
      <c r="B344" s="54" t="s">
        <v>543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500</v>
      </c>
      <c r="Y344" s="540">
        <f t="shared" si="31"/>
        <v>510</v>
      </c>
      <c r="Z344" s="36">
        <f>IFERROR(IF(Y344=0,"",ROUNDUP(Y344/H344,0)*0.02175),"")</f>
        <v>0.73949999999999994</v>
      </c>
      <c r="AA344" s="56"/>
      <c r="AB344" s="57"/>
      <c r="AC344" s="393" t="s">
        <v>544</v>
      </c>
      <c r="AG344" s="64"/>
      <c r="AJ344" s="68" t="s">
        <v>106</v>
      </c>
      <c r="AK344" s="68">
        <v>15</v>
      </c>
      <c r="BB344" s="394" t="s">
        <v>1</v>
      </c>
      <c r="BM344" s="64">
        <f t="shared" si="32"/>
        <v>515.66666666666663</v>
      </c>
      <c r="BN344" s="64">
        <f t="shared" si="33"/>
        <v>525.98</v>
      </c>
      <c r="BO344" s="64">
        <f t="shared" si="34"/>
        <v>0.69444444444444442</v>
      </c>
      <c r="BP344" s="64">
        <f t="shared" si="35"/>
        <v>0.70833333333333326</v>
      </c>
    </row>
    <row r="345" spans="1:68" ht="27" customHeight="1" x14ac:dyDescent="0.25">
      <c r="A345" s="54" t="s">
        <v>545</v>
      </c>
      <c r="B345" s="54" t="s">
        <v>546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547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600</v>
      </c>
      <c r="Y345" s="540">
        <f t="shared" si="31"/>
        <v>600</v>
      </c>
      <c r="Z345" s="36">
        <f>IFERROR(IF(Y345=0,"",ROUNDUP(Y345/H345,0)*0.02175),"")</f>
        <v>0.86999999999999988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2"/>
        <v>618.79999999999995</v>
      </c>
      <c r="BN345" s="64">
        <f t="shared" si="33"/>
        <v>618.79999999999995</v>
      </c>
      <c r="BO345" s="64">
        <f t="shared" si="34"/>
        <v>0.83333333333333326</v>
      </c>
      <c r="BP345" s="64">
        <f t="shared" si="35"/>
        <v>0.83333333333333326</v>
      </c>
    </row>
    <row r="346" spans="1:68" ht="27" customHeight="1" x14ac:dyDescent="0.25">
      <c r="A346" s="54" t="s">
        <v>549</v>
      </c>
      <c r="B346" s="54" t="s">
        <v>550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554</v>
      </c>
      <c r="B348" s="54" t="s">
        <v>555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35</v>
      </c>
      <c r="Y348" s="540">
        <f t="shared" si="31"/>
        <v>35</v>
      </c>
      <c r="Z348" s="36">
        <f>IFERROR(IF(Y348=0,"",ROUNDUP(Y348/H348,0)*0.00902),"")</f>
        <v>6.3140000000000002E-2</v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36.33</v>
      </c>
      <c r="BN348" s="64">
        <f t="shared" si="33"/>
        <v>36.33</v>
      </c>
      <c r="BO348" s="64">
        <f t="shared" si="34"/>
        <v>5.3030303030303032E-2</v>
      </c>
      <c r="BP348" s="64">
        <f t="shared" si="35"/>
        <v>5.3030303030303032E-2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153.66666666666669</v>
      </c>
      <c r="Y349" s="541">
        <f>IFERROR(Y342/H342,"0")+IFERROR(Y343/H343,"0")+IFERROR(Y344/H344,"0")+IFERROR(Y345/H345,"0")+IFERROR(Y346/H346,"0")+IFERROR(Y347/H347,"0")+IFERROR(Y348/H348,"0")</f>
        <v>155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3.2821399999999996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2235</v>
      </c>
      <c r="Y350" s="541">
        <f>IFERROR(SUM(Y342:Y348),"0")</f>
        <v>2255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556</v>
      </c>
      <c r="B352" s="54" t="s">
        <v>557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0</v>
      </c>
      <c r="Y352" s="540">
        <f>IFERROR(IF(X352="",0,CEILING((X352/$H352),1)*$H352),"")</f>
        <v>0</v>
      </c>
      <c r="Z352" s="36" t="str">
        <f>IFERROR(IF(Y352=0,"",ROUNDUP(Y352/H352,0)*0.02175),"")</f>
        <v/>
      </c>
      <c r="AA352" s="56"/>
      <c r="AB352" s="57"/>
      <c r="AC352" s="403" t="s">
        <v>558</v>
      </c>
      <c r="AG352" s="64"/>
      <c r="AJ352" s="68" t="s">
        <v>106</v>
      </c>
      <c r="AK352" s="68">
        <v>15</v>
      </c>
      <c r="BB352" s="404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559</v>
      </c>
      <c r="B353" s="54" t="s">
        <v>560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20</v>
      </c>
      <c r="Y353" s="540">
        <f>IFERROR(IF(X353="",0,CEILING((X353/$H353),1)*$H353),"")</f>
        <v>20</v>
      </c>
      <c r="Z353" s="36">
        <f>IFERROR(IF(Y353=0,"",ROUNDUP(Y353/H353,0)*0.00902),"")</f>
        <v>4.5100000000000001E-2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20.950000000000003</v>
      </c>
      <c r="BN353" s="64">
        <f>IFERROR(Y353*I353/H353,"0")</f>
        <v>20.950000000000003</v>
      </c>
      <c r="BO353" s="64">
        <f>IFERROR(1/J353*(X353/H353),"0")</f>
        <v>3.787878787878788E-2</v>
      </c>
      <c r="BP353" s="64">
        <f>IFERROR(1/J353*(Y353/H353),"0")</f>
        <v>3.787878787878788E-2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5</v>
      </c>
      <c r="Y354" s="541">
        <f>IFERROR(Y352/H352,"0")+IFERROR(Y353/H353,"0")</f>
        <v>5</v>
      </c>
      <c r="Z354" s="541">
        <f>IFERROR(IF(Z352="",0,Z352),"0")+IFERROR(IF(Z353="",0,Z353),"0")</f>
        <v>4.5100000000000001E-2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20</v>
      </c>
      <c r="Y355" s="541">
        <f>IFERROR(SUM(Y352:Y353),"0")</f>
        <v>20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561</v>
      </c>
      <c r="B357" s="54" t="s">
        <v>562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563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566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567</v>
      </c>
      <c r="B362" s="54" t="s">
        <v>568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30</v>
      </c>
      <c r="Y362" s="540">
        <f>IFERROR(IF(X362="",0,CEILING((X362/$H362),1)*$H362),"")</f>
        <v>36</v>
      </c>
      <c r="Z362" s="36">
        <f>IFERROR(IF(Y362=0,"",ROUNDUP(Y362/H362,0)*0.01898),"")</f>
        <v>7.5920000000000001E-2</v>
      </c>
      <c r="AA362" s="56"/>
      <c r="AB362" s="57"/>
      <c r="AC362" s="411" t="s">
        <v>569</v>
      </c>
      <c r="AG362" s="64"/>
      <c r="AJ362" s="68"/>
      <c r="AK362" s="68">
        <v>0</v>
      </c>
      <c r="BB362" s="412" t="s">
        <v>1</v>
      </c>
      <c r="BM362" s="64">
        <f>IFERROR(X362*I362/H362,"0")</f>
        <v>31.646666666666665</v>
      </c>
      <c r="BN362" s="64">
        <f>IFERROR(Y362*I362/H362,"0")</f>
        <v>37.975999999999999</v>
      </c>
      <c r="BO362" s="64">
        <f>IFERROR(1/J362*(X362/H362),"0")</f>
        <v>5.2083333333333336E-2</v>
      </c>
      <c r="BP362" s="64">
        <f>IFERROR(1/J362*(Y362/H362),"0")</f>
        <v>6.25E-2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3.3333333333333335</v>
      </c>
      <c r="Y363" s="541">
        <f>IFERROR(Y362/H362,"0")</f>
        <v>4</v>
      </c>
      <c r="Z363" s="541">
        <f>IFERROR(IF(Z362="",0,Z362),"0")</f>
        <v>7.5920000000000001E-2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30</v>
      </c>
      <c r="Y364" s="541">
        <f>IFERROR(SUM(Y362:Y362),"0")</f>
        <v>36</v>
      </c>
      <c r="Z364" s="37"/>
      <c r="AA364" s="542"/>
      <c r="AB364" s="542"/>
      <c r="AC364" s="542"/>
    </row>
    <row r="365" spans="1:68" ht="16.5" customHeight="1" x14ac:dyDescent="0.25">
      <c r="A365" s="552" t="s">
        <v>570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571</v>
      </c>
      <c r="B367" s="54" t="s">
        <v>572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80</v>
      </c>
      <c r="Y367" s="540">
        <f>IFERROR(IF(X367="",0,CEILING((X367/$H367),1)*$H367),"")</f>
        <v>84</v>
      </c>
      <c r="Z367" s="36">
        <f>IFERROR(IF(Y367=0,"",ROUNDUP(Y367/H367,0)*0.01898),"")</f>
        <v>0.13286000000000001</v>
      </c>
      <c r="AA367" s="56"/>
      <c r="AB367" s="57"/>
      <c r="AC367" s="413" t="s">
        <v>573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82.733333333333334</v>
      </c>
      <c r="BN367" s="64">
        <f>IFERROR(Y367*I367/H367,"0")</f>
        <v>86.87</v>
      </c>
      <c r="BO367" s="64">
        <f>IFERROR(1/J367*(X367/H367),"0")</f>
        <v>0.10416666666666667</v>
      </c>
      <c r="BP367" s="64">
        <f>IFERROR(1/J367*(Y367/H367),"0")</f>
        <v>0.109375</v>
      </c>
    </row>
    <row r="368" spans="1:68" ht="37.5" customHeight="1" x14ac:dyDescent="0.25">
      <c r="A368" s="54" t="s">
        <v>574</v>
      </c>
      <c r="B368" s="54" t="s">
        <v>575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6.666666666666667</v>
      </c>
      <c r="Y369" s="541">
        <f>IFERROR(Y367/H367,"0")+IFERROR(Y368/H368,"0")</f>
        <v>7</v>
      </c>
      <c r="Z369" s="541">
        <f>IFERROR(IF(Z367="",0,Z367),"0")+IFERROR(IF(Z368="",0,Z368),"0")</f>
        <v>0.13286000000000001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80</v>
      </c>
      <c r="Y370" s="541">
        <f>IFERROR(SUM(Y367:Y368),"0")</f>
        <v>84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576</v>
      </c>
      <c r="B372" s="54" t="s">
        <v>577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578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576</v>
      </c>
      <c r="B373" s="54" t="s">
        <v>579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581</v>
      </c>
      <c r="B377" s="54" t="s">
        <v>582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20</v>
      </c>
      <c r="Y377" s="540">
        <f>IFERROR(IF(X377="",0,CEILING((X377/$H377),1)*$H377),"")</f>
        <v>27</v>
      </c>
      <c r="Z377" s="36">
        <f>IFERROR(IF(Y377=0,"",ROUNDUP(Y377/H377,0)*0.01898),"")</f>
        <v>5.6940000000000004E-2</v>
      </c>
      <c r="AA377" s="56"/>
      <c r="AB377" s="57"/>
      <c r="AC377" s="421" t="s">
        <v>583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21.097777777777779</v>
      </c>
      <c r="BN377" s="64">
        <f>IFERROR(Y377*I377/H377,"0")</f>
        <v>28.481999999999996</v>
      </c>
      <c r="BO377" s="64">
        <f>IFERROR(1/J377*(X377/H377),"0")</f>
        <v>3.4722222222222224E-2</v>
      </c>
      <c r="BP377" s="64">
        <f>IFERROR(1/J377*(Y377/H377),"0")</f>
        <v>4.6875E-2</v>
      </c>
    </row>
    <row r="378" spans="1:68" ht="27" customHeight="1" x14ac:dyDescent="0.25">
      <c r="A378" s="54" t="s">
        <v>584</v>
      </c>
      <c r="B378" s="54" t="s">
        <v>585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2.2222222222222223</v>
      </c>
      <c r="Y379" s="541">
        <f>IFERROR(Y377/H377,"0")+IFERROR(Y378/H378,"0")</f>
        <v>3</v>
      </c>
      <c r="Z379" s="541">
        <f>IFERROR(IF(Z377="",0,Z377),"0")+IFERROR(IF(Z378="",0,Z378),"0")</f>
        <v>5.6940000000000004E-2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20</v>
      </c>
      <c r="Y380" s="541">
        <f>IFERROR(SUM(Y377:Y378),"0")</f>
        <v>27</v>
      </c>
      <c r="Z380" s="37"/>
      <c r="AA380" s="542"/>
      <c r="AB380" s="542"/>
      <c r="AC380" s="542"/>
    </row>
    <row r="381" spans="1:68" ht="27.75" customHeight="1" x14ac:dyDescent="0.2">
      <c r="A381" s="693" t="s">
        <v>586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587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588</v>
      </c>
      <c r="B384" s="54" t="s">
        <v>589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590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591</v>
      </c>
      <c r="B385" s="54" t="s">
        <v>592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593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594</v>
      </c>
      <c r="B386" s="54" t="s">
        <v>595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596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597</v>
      </c>
      <c r="B387" s="54" t="s">
        <v>598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590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272</v>
      </c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590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601</v>
      </c>
      <c r="B389" s="54" t="s">
        <v>602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272</v>
      </c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603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604</v>
      </c>
      <c r="B390" s="54" t="s">
        <v>605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606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607</v>
      </c>
      <c r="B391" s="54" t="s">
        <v>608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272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609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610</v>
      </c>
      <c r="B392" s="54" t="s">
        <v>611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606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612</v>
      </c>
      <c r="B396" s="54" t="s">
        <v>613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614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615</v>
      </c>
      <c r="B397" s="54" t="s">
        <v>616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617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618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619</v>
      </c>
      <c r="B402" s="54" t="s">
        <v>620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621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622</v>
      </c>
      <c r="B406" s="54" t="s">
        <v>623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624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625</v>
      </c>
      <c r="B407" s="54" t="s">
        <v>626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627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628</v>
      </c>
      <c r="B408" s="54" t="s">
        <v>629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630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631</v>
      </c>
      <c r="B409" s="54" t="s">
        <v>632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17.5</v>
      </c>
      <c r="Y409" s="540">
        <f>IFERROR(IF(X409="",0,CEILING((X409/$H409),1)*$H409),"")</f>
        <v>18.900000000000002</v>
      </c>
      <c r="Z409" s="36">
        <f>IFERROR(IF(Y409=0,"",ROUNDUP(Y409/H409,0)*0.00502),"")</f>
        <v>4.5179999999999998E-2</v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18.583333333333332</v>
      </c>
      <c r="BN409" s="64">
        <f>IFERROR(Y409*I409/H409,"0")</f>
        <v>20.07</v>
      </c>
      <c r="BO409" s="64">
        <f>IFERROR(1/J409*(X409/H409),"0")</f>
        <v>3.5612535612535613E-2</v>
      </c>
      <c r="BP409" s="64">
        <f>IFERROR(1/J409*(Y409/H409),"0")</f>
        <v>3.8461538461538464E-2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8.3333333333333321</v>
      </c>
      <c r="Y410" s="541">
        <f>IFERROR(Y406/H406,"0")+IFERROR(Y407/H407,"0")+IFERROR(Y408/H408,"0")+IFERROR(Y409/H409,"0")</f>
        <v>9</v>
      </c>
      <c r="Z410" s="541">
        <f>IFERROR(IF(Z406="",0,Z406),"0")+IFERROR(IF(Z407="",0,Z407),"0")+IFERROR(IF(Z408="",0,Z408),"0")+IFERROR(IF(Z409="",0,Z409),"0")</f>
        <v>4.5179999999999998E-2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17.5</v>
      </c>
      <c r="Y411" s="541">
        <f>IFERROR(SUM(Y406:Y409),"0")</f>
        <v>18.900000000000002</v>
      </c>
      <c r="Z411" s="37"/>
      <c r="AA411" s="542"/>
      <c r="AB411" s="542"/>
      <c r="AC411" s="542"/>
    </row>
    <row r="412" spans="1:68" ht="16.5" customHeight="1" x14ac:dyDescent="0.25">
      <c r="A412" s="552" t="s">
        <v>633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634</v>
      </c>
      <c r="B414" s="54" t="s">
        <v>635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214</v>
      </c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20</v>
      </c>
      <c r="Y414" s="540">
        <f>IFERROR(IF(X414="",0,CEILING((X414/$H414),1)*$H414),"")</f>
        <v>20.399999999999999</v>
      </c>
      <c r="Z414" s="36">
        <f>IFERROR(IF(Y414=0,"",ROUNDUP(Y414/H414,0)*0.00651),"")</f>
        <v>0.11067</v>
      </c>
      <c r="AA414" s="56"/>
      <c r="AB414" s="57"/>
      <c r="AC414" s="457" t="s">
        <v>636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35</v>
      </c>
      <c r="BN414" s="64">
        <f>IFERROR(Y414*I414/H414,"0")</f>
        <v>35.699999999999996</v>
      </c>
      <c r="BO414" s="64">
        <f>IFERROR(1/J414*(X414/H414),"0")</f>
        <v>9.1575091575091583E-2</v>
      </c>
      <c r="BP414" s="64">
        <f>IFERROR(1/J414*(Y414/H414),"0")</f>
        <v>9.3406593406593408E-2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16.666666666666668</v>
      </c>
      <c r="Y415" s="541">
        <f>IFERROR(Y414/H414,"0")</f>
        <v>17</v>
      </c>
      <c r="Z415" s="541">
        <f>IFERROR(IF(Z414="",0,Z414),"0")</f>
        <v>0.11067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20</v>
      </c>
      <c r="Y416" s="541">
        <f>IFERROR(SUM(Y414:Y414),"0")</f>
        <v>20.399999999999999</v>
      </c>
      <c r="Z416" s="37"/>
      <c r="AA416" s="542"/>
      <c r="AB416" s="542"/>
      <c r="AC416" s="542"/>
    </row>
    <row r="417" spans="1:68" ht="27.75" customHeight="1" x14ac:dyDescent="0.2">
      <c r="A417" s="693" t="s">
        <v>637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637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638</v>
      </c>
      <c r="B420" s="54" t="s">
        <v>639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100</v>
      </c>
      <c r="Y420" s="540">
        <f t="shared" ref="Y420:Y430" si="42">IFERROR(IF(X420="",0,CEILING((X420/$H420),1)*$H420),"")</f>
        <v>100.32000000000001</v>
      </c>
      <c r="Z420" s="36">
        <f t="shared" ref="Z420:Z425" si="43">IFERROR(IF(Y420=0,"",ROUNDUP(Y420/H420,0)*0.01196),"")</f>
        <v>0.22724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106.62878787878788</v>
      </c>
      <c r="BN420" s="64">
        <f t="shared" ref="BN420:BN430" si="45">IFERROR(Y420*I420/H420,"0")</f>
        <v>106.97</v>
      </c>
      <c r="BO420" s="64">
        <f t="shared" ref="BO420:BO430" si="46">IFERROR(1/J420*(X420/H420),"0")</f>
        <v>0.18210955710955709</v>
      </c>
      <c r="BP420" s="64">
        <f t="shared" ref="BP420:BP430" si="47">IFERROR(1/J420*(Y420/H420),"0")</f>
        <v>0.18269230769230771</v>
      </c>
    </row>
    <row r="421" spans="1:68" ht="27" customHeight="1" x14ac:dyDescent="0.25">
      <c r="A421" s="54" t="s">
        <v>640</v>
      </c>
      <c r="B421" s="54" t="s">
        <v>641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642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643</v>
      </c>
      <c r="B422" s="54" t="s">
        <v>644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100</v>
      </c>
      <c r="Y422" s="540">
        <f t="shared" si="42"/>
        <v>100.32000000000001</v>
      </c>
      <c r="Z422" s="36">
        <f t="shared" si="43"/>
        <v>0.22724</v>
      </c>
      <c r="AA422" s="56"/>
      <c r="AB422" s="57"/>
      <c r="AC422" s="463" t="s">
        <v>645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106.62878787878788</v>
      </c>
      <c r="BN422" s="64">
        <f t="shared" si="45"/>
        <v>106.97</v>
      </c>
      <c r="BO422" s="64">
        <f t="shared" si="46"/>
        <v>0.18210955710955709</v>
      </c>
      <c r="BP422" s="64">
        <f t="shared" si="47"/>
        <v>0.18269230769230771</v>
      </c>
    </row>
    <row r="423" spans="1:68" ht="27" customHeight="1" x14ac:dyDescent="0.25">
      <c r="A423" s="54" t="s">
        <v>646</v>
      </c>
      <c r="B423" s="54" t="s">
        <v>647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648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649</v>
      </c>
      <c r="B424" s="54" t="s">
        <v>650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651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652</v>
      </c>
      <c r="B425" s="54" t="s">
        <v>653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250</v>
      </c>
      <c r="Y425" s="540">
        <f t="shared" si="42"/>
        <v>253.44</v>
      </c>
      <c r="Z425" s="36">
        <f t="shared" si="43"/>
        <v>0.57408000000000003</v>
      </c>
      <c r="AA425" s="56"/>
      <c r="AB425" s="57"/>
      <c r="AC425" s="469" t="s">
        <v>654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266.57196969696969</v>
      </c>
      <c r="BN425" s="64">
        <f t="shared" si="45"/>
        <v>270.23999999999995</v>
      </c>
      <c r="BO425" s="64">
        <f t="shared" si="46"/>
        <v>0.45527389277389274</v>
      </c>
      <c r="BP425" s="64">
        <f t="shared" si="47"/>
        <v>0.46153846153846156</v>
      </c>
    </row>
    <row r="426" spans="1:68" ht="27" customHeight="1" x14ac:dyDescent="0.25">
      <c r="A426" s="54" t="s">
        <v>655</v>
      </c>
      <c r="B426" s="54" t="s">
        <v>656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657</v>
      </c>
      <c r="B427" s="54" t="s">
        <v>658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120</v>
      </c>
      <c r="Y427" s="540">
        <f t="shared" si="42"/>
        <v>120</v>
      </c>
      <c r="Z427" s="36">
        <f>IFERROR(IF(Y427=0,"",ROUNDUP(Y427/H427,0)*0.00902),"")</f>
        <v>0.22550000000000001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172.75000000000003</v>
      </c>
      <c r="BN427" s="64">
        <f t="shared" si="45"/>
        <v>172.75000000000003</v>
      </c>
      <c r="BO427" s="64">
        <f t="shared" si="46"/>
        <v>0.18939393939393939</v>
      </c>
      <c r="BP427" s="64">
        <f t="shared" si="47"/>
        <v>0.18939393939393939</v>
      </c>
    </row>
    <row r="428" spans="1:68" ht="27" customHeight="1" x14ac:dyDescent="0.25">
      <c r="A428" s="54" t="s">
        <v>659</v>
      </c>
      <c r="B428" s="54" t="s">
        <v>660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120</v>
      </c>
      <c r="Y430" s="540">
        <f t="shared" si="42"/>
        <v>120</v>
      </c>
      <c r="Z430" s="36">
        <f>IFERROR(IF(Y430=0,"",ROUNDUP(Y430/H430,0)*0.00902),"")</f>
        <v>0.22550000000000001</v>
      </c>
      <c r="AA430" s="56"/>
      <c r="AB430" s="57"/>
      <c r="AC430" s="479" t="s">
        <v>654</v>
      </c>
      <c r="AG430" s="64"/>
      <c r="AJ430" s="68"/>
      <c r="AK430" s="68">
        <v>0</v>
      </c>
      <c r="BB430" s="480" t="s">
        <v>1</v>
      </c>
      <c r="BM430" s="64">
        <f t="shared" si="44"/>
        <v>172.75000000000003</v>
      </c>
      <c r="BN430" s="64">
        <f t="shared" si="45"/>
        <v>172.75000000000003</v>
      </c>
      <c r="BO430" s="64">
        <f t="shared" si="46"/>
        <v>0.18939393939393939</v>
      </c>
      <c r="BP430" s="64">
        <f t="shared" si="47"/>
        <v>0.18939393939393939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135.22727272727272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136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1.4795600000000002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690</v>
      </c>
      <c r="Y432" s="541">
        <f>IFERROR(SUM(Y420:Y430),"0")</f>
        <v>694.08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666</v>
      </c>
      <c r="B434" s="54" t="s">
        <v>667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150</v>
      </c>
      <c r="Y434" s="540">
        <f>IFERROR(IF(X434="",0,CEILING((X434/$H434),1)*$H434),"")</f>
        <v>153.12</v>
      </c>
      <c r="Z434" s="36">
        <f>IFERROR(IF(Y434=0,"",ROUNDUP(Y434/H434,0)*0.01196),"")</f>
        <v>0.34683999999999998</v>
      </c>
      <c r="AA434" s="56"/>
      <c r="AB434" s="57"/>
      <c r="AC434" s="481" t="s">
        <v>668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159.94318181818181</v>
      </c>
      <c r="BN434" s="64">
        <f>IFERROR(Y434*I434/H434,"0")</f>
        <v>163.26999999999998</v>
      </c>
      <c r="BO434" s="64">
        <f>IFERROR(1/J434*(X434/H434),"0")</f>
        <v>0.27316433566433568</v>
      </c>
      <c r="BP434" s="64">
        <f>IFERROR(1/J434*(Y434/H434),"0")</f>
        <v>0.27884615384615385</v>
      </c>
    </row>
    <row r="435" spans="1:68" ht="16.5" customHeight="1" x14ac:dyDescent="0.25">
      <c r="A435" s="54" t="s">
        <v>669</v>
      </c>
      <c r="B435" s="54" t="s">
        <v>670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668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671</v>
      </c>
      <c r="B436" s="54" t="s">
        <v>672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28.409090909090907</v>
      </c>
      <c r="Y437" s="541">
        <f>IFERROR(Y434/H434,"0")+IFERROR(Y435/H435,"0")+IFERROR(Y436/H436,"0")</f>
        <v>29</v>
      </c>
      <c r="Z437" s="541">
        <f>IFERROR(IF(Z434="",0,Z434),"0")+IFERROR(IF(Z435="",0,Z435),"0")+IFERROR(IF(Z436="",0,Z436),"0")</f>
        <v>0.34683999999999998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150</v>
      </c>
      <c r="Y438" s="541">
        <f>IFERROR(SUM(Y434:Y436),"0")</f>
        <v>153.12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673</v>
      </c>
      <c r="B440" s="54" t="s">
        <v>674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60</v>
      </c>
      <c r="Y440" s="540">
        <f t="shared" ref="Y440:Y445" si="48">IFERROR(IF(X440="",0,CEILING((X440/$H440),1)*$H440),"")</f>
        <v>63.36</v>
      </c>
      <c r="Z440" s="36">
        <f>IFERROR(IF(Y440=0,"",ROUNDUP(Y440/H440,0)*0.01196),"")</f>
        <v>0.14352000000000001</v>
      </c>
      <c r="AA440" s="56"/>
      <c r="AB440" s="57"/>
      <c r="AC440" s="487" t="s">
        <v>675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63.977272727272727</v>
      </c>
      <c r="BN440" s="64">
        <f t="shared" ref="BN440:BN445" si="50">IFERROR(Y440*I440/H440,"0")</f>
        <v>67.559999999999988</v>
      </c>
      <c r="BO440" s="64">
        <f t="shared" ref="BO440:BO445" si="51">IFERROR(1/J440*(X440/H440),"0")</f>
        <v>0.10926573426573427</v>
      </c>
      <c r="BP440" s="64">
        <f t="shared" ref="BP440:BP445" si="52">IFERROR(1/J440*(Y440/H440),"0")</f>
        <v>0.11538461538461539</v>
      </c>
    </row>
    <row r="441" spans="1:68" ht="27" customHeight="1" x14ac:dyDescent="0.25">
      <c r="A441" s="54" t="s">
        <v>676</v>
      </c>
      <c r="B441" s="54" t="s">
        <v>677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150</v>
      </c>
      <c r="Y441" s="540">
        <f t="shared" si="48"/>
        <v>153.12</v>
      </c>
      <c r="Z441" s="36">
        <f>IFERROR(IF(Y441=0,"",ROUNDUP(Y441/H441,0)*0.01196),"")</f>
        <v>0.34683999999999998</v>
      </c>
      <c r="AA441" s="56"/>
      <c r="AB441" s="57"/>
      <c r="AC441" s="489" t="s">
        <v>678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159.94318181818181</v>
      </c>
      <c r="BN441" s="64">
        <f t="shared" si="50"/>
        <v>163.26999999999998</v>
      </c>
      <c r="BO441" s="64">
        <f t="shared" si="51"/>
        <v>0.27316433566433568</v>
      </c>
      <c r="BP441" s="64">
        <f t="shared" si="52"/>
        <v>0.27884615384615385</v>
      </c>
    </row>
    <row r="442" spans="1:68" ht="27" customHeight="1" x14ac:dyDescent="0.25">
      <c r="A442" s="54" t="s">
        <v>679</v>
      </c>
      <c r="B442" s="54" t="s">
        <v>680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160</v>
      </c>
      <c r="Y442" s="540">
        <f t="shared" si="48"/>
        <v>163.68</v>
      </c>
      <c r="Z442" s="36">
        <f>IFERROR(IF(Y442=0,"",ROUNDUP(Y442/H442,0)*0.01196),"")</f>
        <v>0.37075999999999998</v>
      </c>
      <c r="AA442" s="56"/>
      <c r="AB442" s="57"/>
      <c r="AC442" s="491" t="s">
        <v>681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170.60606060606059</v>
      </c>
      <c r="BN442" s="64">
        <f t="shared" si="50"/>
        <v>174.53</v>
      </c>
      <c r="BO442" s="64">
        <f t="shared" si="51"/>
        <v>0.29137529137529139</v>
      </c>
      <c r="BP442" s="64">
        <f t="shared" si="52"/>
        <v>0.29807692307692307</v>
      </c>
    </row>
    <row r="443" spans="1:68" ht="27" customHeight="1" x14ac:dyDescent="0.25">
      <c r="A443" s="54" t="s">
        <v>682</v>
      </c>
      <c r="B443" s="54" t="s">
        <v>683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197</v>
      </c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36</v>
      </c>
      <c r="Y443" s="540">
        <f t="shared" si="48"/>
        <v>38.4</v>
      </c>
      <c r="Z443" s="36">
        <f>IFERROR(IF(Y443=0,"",ROUNDUP(Y443/H443,0)*0.00902),"")</f>
        <v>7.2160000000000002E-2</v>
      </c>
      <c r="AA443" s="56"/>
      <c r="AB443" s="57"/>
      <c r="AC443" s="493" t="s">
        <v>675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51.825000000000003</v>
      </c>
      <c r="BN443" s="64">
        <f t="shared" si="50"/>
        <v>55.28</v>
      </c>
      <c r="BO443" s="64">
        <f t="shared" si="51"/>
        <v>5.6818181818181823E-2</v>
      </c>
      <c r="BP443" s="64">
        <f t="shared" si="52"/>
        <v>6.0606060606060608E-2</v>
      </c>
    </row>
    <row r="444" spans="1:68" ht="27" customHeight="1" x14ac:dyDescent="0.25">
      <c r="A444" s="54" t="s">
        <v>684</v>
      </c>
      <c r="B444" s="54" t="s">
        <v>685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197</v>
      </c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48</v>
      </c>
      <c r="Y444" s="540">
        <f t="shared" si="48"/>
        <v>48</v>
      </c>
      <c r="Z444" s="36">
        <f>IFERROR(IF(Y444=0,"",ROUNDUP(Y444/H444,0)*0.00902),"")</f>
        <v>9.0200000000000002E-2</v>
      </c>
      <c r="AA444" s="56"/>
      <c r="AB444" s="57"/>
      <c r="AC444" s="495" t="s">
        <v>678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66.7</v>
      </c>
      <c r="BN444" s="64">
        <f t="shared" si="50"/>
        <v>66.7</v>
      </c>
      <c r="BO444" s="64">
        <f t="shared" si="51"/>
        <v>7.575757575757576E-2</v>
      </c>
      <c r="BP444" s="64">
        <f t="shared" si="52"/>
        <v>7.575757575757576E-2</v>
      </c>
    </row>
    <row r="445" spans="1:68" ht="27" customHeight="1" x14ac:dyDescent="0.25">
      <c r="A445" s="54" t="s">
        <v>686</v>
      </c>
      <c r="B445" s="54" t="s">
        <v>687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102</v>
      </c>
      <c r="Y445" s="540">
        <f t="shared" si="48"/>
        <v>105.6</v>
      </c>
      <c r="Z445" s="36">
        <f>IFERROR(IF(Y445=0,"",ROUNDUP(Y445/H445,0)*0.00902),"")</f>
        <v>0.19844000000000001</v>
      </c>
      <c r="AA445" s="56"/>
      <c r="AB445" s="57"/>
      <c r="AC445" s="497" t="s">
        <v>681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141.73750000000001</v>
      </c>
      <c r="BN445" s="64">
        <f t="shared" si="50"/>
        <v>146.74</v>
      </c>
      <c r="BO445" s="64">
        <f t="shared" si="51"/>
        <v>0.16098484848484848</v>
      </c>
      <c r="BP445" s="64">
        <f t="shared" si="52"/>
        <v>0.16666666666666669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108.82575757575756</v>
      </c>
      <c r="Y446" s="541">
        <f>IFERROR(Y440/H440,"0")+IFERROR(Y441/H441,"0")+IFERROR(Y442/H442,"0")+IFERROR(Y443/H443,"0")+IFERROR(Y444/H444,"0")+IFERROR(Y445/H445,"0")</f>
        <v>112</v>
      </c>
      <c r="Z446" s="541">
        <f>IFERROR(IF(Z440="",0,Z440),"0")+IFERROR(IF(Z441="",0,Z441),"0")+IFERROR(IF(Z442="",0,Z442),"0")+IFERROR(IF(Z443="",0,Z443),"0")+IFERROR(IF(Z444="",0,Z444),"0")+IFERROR(IF(Z445="",0,Z445),"0")</f>
        <v>1.2219199999999999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556</v>
      </c>
      <c r="Y447" s="541">
        <f>IFERROR(SUM(Y440:Y445),"0")</f>
        <v>572.16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688</v>
      </c>
      <c r="B449" s="54" t="s">
        <v>689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690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691</v>
      </c>
      <c r="B450" s="54" t="s">
        <v>692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693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694</v>
      </c>
      <c r="B451" s="54" t="s">
        <v>695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696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697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697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698</v>
      </c>
      <c r="B457" s="54" t="s">
        <v>699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700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701</v>
      </c>
      <c r="B458" s="54" t="s">
        <v>702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703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704</v>
      </c>
      <c r="B459" s="54" t="s">
        <v>705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706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707</v>
      </c>
      <c r="B460" s="54" t="s">
        <v>708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700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709</v>
      </c>
      <c r="B464" s="54" t="s">
        <v>710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711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712</v>
      </c>
      <c r="B465" s="54" t="s">
        <v>713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715</v>
      </c>
      <c r="B466" s="54" t="s">
        <v>716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717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718</v>
      </c>
      <c r="B470" s="54" t="s">
        <v>719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720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721</v>
      </c>
      <c r="B471" s="54" t="s">
        <v>722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723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724</v>
      </c>
      <c r="B475" s="54" t="s">
        <v>725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1100</v>
      </c>
      <c r="Y475" s="540">
        <f>IFERROR(IF(X475="",0,CEILING((X475/$H475),1)*$H475),"")</f>
        <v>1107</v>
      </c>
      <c r="Z475" s="36">
        <f>IFERROR(IF(Y475=0,"",ROUNDUP(Y475/H475,0)*0.01898),"")</f>
        <v>2.3345400000000001</v>
      </c>
      <c r="AA475" s="56"/>
      <c r="AB475" s="57"/>
      <c r="AC475" s="523" t="s">
        <v>726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1160.3777777777777</v>
      </c>
      <c r="BN475" s="64">
        <f>IFERROR(Y475*I475/H475,"0")</f>
        <v>1167.7619999999999</v>
      </c>
      <c r="BO475" s="64">
        <f>IFERROR(1/J475*(X475/H475),"0")</f>
        <v>1.9097222222222223</v>
      </c>
      <c r="BP475" s="64">
        <f>IFERROR(1/J475*(Y475/H475),"0")</f>
        <v>1.921875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122.22222222222223</v>
      </c>
      <c r="Y476" s="541">
        <f>IFERROR(Y475/H475,"0")</f>
        <v>123</v>
      </c>
      <c r="Z476" s="541">
        <f>IFERROR(IF(Z475="",0,Z475),"0")</f>
        <v>2.3345400000000001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1100</v>
      </c>
      <c r="Y477" s="541">
        <f>IFERROR(SUM(Y475:Y475),"0")</f>
        <v>1107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727</v>
      </c>
      <c r="B479" s="54" t="s">
        <v>728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729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730</v>
      </c>
      <c r="B480" s="54" t="s">
        <v>731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732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733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734</v>
      </c>
      <c r="B485" s="54" t="s">
        <v>735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736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737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16018.25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16188.059999999998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738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17197.052807829677</v>
      </c>
      <c r="Y489" s="541">
        <f>IFERROR(SUM(BN22:BN485),"0")</f>
        <v>17378.841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739</v>
      </c>
      <c r="Q490" s="629"/>
      <c r="R490" s="629"/>
      <c r="S490" s="629"/>
      <c r="T490" s="629"/>
      <c r="U490" s="629"/>
      <c r="V490" s="630"/>
      <c r="W490" s="37" t="s">
        <v>740</v>
      </c>
      <c r="X490" s="38">
        <f>ROUNDUP(SUM(BO22:BO485),0)</f>
        <v>30</v>
      </c>
      <c r="Y490" s="38">
        <f>ROUNDUP(SUM(BP22:BP485),0)</f>
        <v>31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741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17947.052807829677</v>
      </c>
      <c r="Y491" s="541">
        <f>GrossWeightTotalR+PalletQtyTotalR*25</f>
        <v>18153.841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742</v>
      </c>
      <c r="Q492" s="629"/>
      <c r="R492" s="629"/>
      <c r="S492" s="629"/>
      <c r="T492" s="629"/>
      <c r="U492" s="629"/>
      <c r="V492" s="630"/>
      <c r="W492" s="37" t="s">
        <v>740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3935.9642076739769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3968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743</v>
      </c>
      <c r="Q493" s="629"/>
      <c r="R493" s="629"/>
      <c r="S493" s="629"/>
      <c r="T493" s="629"/>
      <c r="U493" s="629"/>
      <c r="V493" s="630"/>
      <c r="W493" s="39" t="s">
        <v>744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35.561889999999991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745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256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534</v>
      </c>
      <c r="T495" s="594"/>
      <c r="U495" s="575" t="s">
        <v>586</v>
      </c>
      <c r="V495" s="593"/>
      <c r="W495" s="594"/>
      <c r="X495" s="536" t="s">
        <v>637</v>
      </c>
      <c r="Y495" s="575" t="s">
        <v>697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746</v>
      </c>
      <c r="B496" s="575" t="s">
        <v>63</v>
      </c>
      <c r="C496" s="575" t="s">
        <v>98</v>
      </c>
      <c r="D496" s="575" t="s">
        <v>116</v>
      </c>
      <c r="E496" s="575" t="s">
        <v>170</v>
      </c>
      <c r="F496" s="575" t="s">
        <v>189</v>
      </c>
      <c r="G496" s="575" t="s">
        <v>221</v>
      </c>
      <c r="H496" s="575" t="s">
        <v>97</v>
      </c>
      <c r="I496" s="575" t="s">
        <v>257</v>
      </c>
      <c r="J496" s="575" t="s">
        <v>298</v>
      </c>
      <c r="K496" s="575" t="s">
        <v>358</v>
      </c>
      <c r="L496" s="575" t="s">
        <v>400</v>
      </c>
      <c r="M496" s="575" t="s">
        <v>416</v>
      </c>
      <c r="N496" s="537"/>
      <c r="O496" s="575" t="s">
        <v>427</v>
      </c>
      <c r="P496" s="575" t="s">
        <v>436</v>
      </c>
      <c r="Q496" s="575" t="s">
        <v>446</v>
      </c>
      <c r="R496" s="575" t="s">
        <v>524</v>
      </c>
      <c r="S496" s="575" t="s">
        <v>535</v>
      </c>
      <c r="T496" s="575" t="s">
        <v>570</v>
      </c>
      <c r="U496" s="575" t="s">
        <v>587</v>
      </c>
      <c r="V496" s="575" t="s">
        <v>618</v>
      </c>
      <c r="W496" s="575" t="s">
        <v>633</v>
      </c>
      <c r="X496" s="575" t="s">
        <v>637</v>
      </c>
      <c r="Y496" s="575" t="s">
        <v>697</v>
      </c>
      <c r="Z496" s="575" t="s">
        <v>733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747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144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1391.4</v>
      </c>
      <c r="E498" s="46">
        <f>IFERROR(Y85*1,"0")+IFERROR(Y86*1,"0")+IFERROR(Y87*1,"0")+IFERROR(Y91*1,"0")+IFERROR(Y92*1,"0")+IFERROR(Y93*1,"0")+IFERROR(Y94*1,"0")</f>
        <v>1261.8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1592.8200000000002</v>
      </c>
      <c r="G498" s="46">
        <f>IFERROR(Y124*1,"0")+IFERROR(Y125*1,"0")+IFERROR(Y129*1,"0")+IFERROR(Y130*1,"0")+IFERROR(Y134*1,"0")+IFERROR(Y135*1,"0")</f>
        <v>202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839.58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3210.0000000000005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157.79999999999998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273.59999999999997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901</v>
      </c>
      <c r="R498" s="46">
        <f>IFERROR(Y334*1,"0")+IFERROR(Y335*1,"0")+IFERROR(Y336*1,"0")</f>
        <v>1226.4000000000001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2311</v>
      </c>
      <c r="T498" s="46">
        <f>IFERROR(Y367*1,"0")+IFERROR(Y368*1,"0")+IFERROR(Y372*1,"0")+IFERROR(Y373*1,"0")+IFERROR(Y377*1,"0")+IFERROR(Y378*1,"0")</f>
        <v>111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18.900000000000002</v>
      </c>
      <c r="W498" s="46">
        <f>IFERROR(Y414*1,"0")</f>
        <v>20.399999999999999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1419.3600000000001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1107</v>
      </c>
      <c r="Z498" s="46">
        <f>IFERROR(Y485*1,"0")</f>
        <v>0</v>
      </c>
      <c r="AB498" s="52"/>
      <c r="AC498" s="52"/>
      <c r="AF498" s="537"/>
    </row>
  </sheetData>
  <sheetProtection algorithmName="SHA-512" hashValue="41AvFqkvjyRkIo4JkO9q2XXKL2U86OYFLCJKVKmxgQK+VToX0TuANAqYEcfLslByWs2E7ipjganQKtu/OueJjQ==" saltValue="coGjLl1P8+iY2aH3RUuv0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6 X60 X62 X79 X85 X87 X91 X99 X101 X106 X112 X114:X115 X119 X124 X130 X135 X162:X166 X168 X195:X202 X208:X209 X211 X213:X214 X218:X219 X224 X226:X227 X232 X272:X273 X299:X300 X302 X314:X316 X322:X323 X327 X329 X335:X336 X342:X344 X352 X358 X367 X377 X388:X389 X391 X414 X420 X422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9y8PJp79BpG05yU5ocUJ+0gD5dRtXhpxOqnseo8TQD3TIAiCS9NWto89lY1dmTJl0yZVi8pGDpyXG7yhLcM2Xg==" saltValue="LjZKUcdaKKiXlWRrKZ3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2025-11-06T10:05:05Z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