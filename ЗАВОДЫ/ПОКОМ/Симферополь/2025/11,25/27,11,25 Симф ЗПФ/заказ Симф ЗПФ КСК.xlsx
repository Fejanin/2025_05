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FC8A411C-4F82-47FA-8113-3ED7D67E7C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заказа'!$B$58:$B$58</definedName>
    <definedName name="ProductId17">'Бланк заказа'!$B$62:$B$62</definedName>
    <definedName name="ProductId18">'Бланк заказа'!$B$66:$B$66</definedName>
    <definedName name="ProductId19">'Бланк заказа'!$B$67:$B$67</definedName>
    <definedName name="ProductId2">'Бланк заказа'!$B$23:$B$23</definedName>
    <definedName name="ProductId20">'Бланк заказа'!$B$71:$B$71</definedName>
    <definedName name="ProductId21">'Бланк заказа'!$B$72:$B$72</definedName>
    <definedName name="ProductId22">'Бланк заказа'!$B$73:$B$73</definedName>
    <definedName name="ProductId23">'Бланк заказа'!$B$78:$B$78</definedName>
    <definedName name="ProductId24">'Бланк заказа'!$B$79:$B$79</definedName>
    <definedName name="ProductId25">'Бланк заказа'!$B$84:$B$84</definedName>
    <definedName name="ProductId26">'Бланк заказа'!$B$89:$B$89</definedName>
    <definedName name="ProductId27">'Бланк заказа'!$B$90:$B$90</definedName>
    <definedName name="ProductId28">'Бланк заказа'!$B$95:$B$95</definedName>
    <definedName name="ProductId29">'Бланк заказа'!$B$96:$B$96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заказа'!$B$111:$B$111</definedName>
    <definedName name="ProductId37">'Бланк заказа'!$B$112:$B$112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заказа'!$B$30:$B$30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заказа'!$B$31:$B$31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заказа'!$B$202:$B$202</definedName>
    <definedName name="ProductId69">'Бланк заказа'!$B$207:$B$207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заказа'!$B$38:$B$38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заказа'!$B$43:$B$43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заказа'!$X$58:$X$58</definedName>
    <definedName name="SalesQty17">'Бланк заказа'!$X$62:$X$62</definedName>
    <definedName name="SalesQty18">'Бланк заказа'!$X$66:$X$66</definedName>
    <definedName name="SalesQty19">'Бланк заказа'!$X$67:$X$67</definedName>
    <definedName name="SalesQty2">'Бланк заказа'!$X$23:$X$23</definedName>
    <definedName name="SalesQty20">'Бланк заказа'!$X$71:$X$71</definedName>
    <definedName name="SalesQty21">'Бланк заказа'!$X$72:$X$72</definedName>
    <definedName name="SalesQty22">'Бланк заказа'!$X$73:$X$73</definedName>
    <definedName name="SalesQty23">'Бланк заказа'!$X$78:$X$78</definedName>
    <definedName name="SalesQty24">'Бланк заказа'!$X$79:$X$79</definedName>
    <definedName name="SalesQty25">'Бланк заказа'!$X$84:$X$84</definedName>
    <definedName name="SalesQty26">'Бланк заказа'!$X$89:$X$89</definedName>
    <definedName name="SalesQty27">'Бланк заказа'!$X$90:$X$90</definedName>
    <definedName name="SalesQty28">'Бланк заказа'!$X$95:$X$95</definedName>
    <definedName name="SalesQty29">'Бланк заказа'!$X$96:$X$96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заказа'!$X$105:$X$105</definedName>
    <definedName name="SalesQty35">'Бланк заказа'!$X$106:$X$106</definedName>
    <definedName name="SalesQty36">'Бланк заказа'!$X$111:$X$111</definedName>
    <definedName name="SalesQty37">'Бланк заказа'!$X$112:$X$112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заказа'!$X$30:$X$30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заказа'!$X$31:$X$31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заказа'!$X$202:$X$202</definedName>
    <definedName name="SalesQty69">'Бланк заказа'!$X$207:$X$207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заказа'!$X$38:$X$38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заказа'!$X$43:$X$43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заказа'!$Y$58:$Y$58</definedName>
    <definedName name="SalesRoundBox17">'Бланк заказа'!$Y$62:$Y$62</definedName>
    <definedName name="SalesRoundBox18">'Бланк заказа'!$Y$66:$Y$66</definedName>
    <definedName name="SalesRoundBox19">'Бланк заказа'!$Y$67:$Y$67</definedName>
    <definedName name="SalesRoundBox2">'Бланк заказа'!$Y$23:$Y$23</definedName>
    <definedName name="SalesRoundBox20">'Бланк заказа'!$Y$71:$Y$71</definedName>
    <definedName name="SalesRoundBox21">'Бланк заказа'!$Y$72:$Y$72</definedName>
    <definedName name="SalesRoundBox22">'Бланк заказа'!$Y$73:$Y$73</definedName>
    <definedName name="SalesRoundBox23">'Бланк заказа'!$Y$78:$Y$78</definedName>
    <definedName name="SalesRoundBox24">'Бланк заказа'!$Y$79:$Y$79</definedName>
    <definedName name="SalesRoundBox25">'Бланк заказа'!$Y$84:$Y$84</definedName>
    <definedName name="SalesRoundBox26">'Бланк заказа'!$Y$89:$Y$89</definedName>
    <definedName name="SalesRoundBox27">'Бланк заказа'!$Y$90:$Y$90</definedName>
    <definedName name="SalesRoundBox28">'Бланк заказа'!$Y$95:$Y$95</definedName>
    <definedName name="SalesRoundBox29">'Бланк заказа'!$Y$96:$Y$96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заказа'!$Y$105:$Y$105</definedName>
    <definedName name="SalesRoundBox35">'Бланк заказа'!$Y$106:$Y$106</definedName>
    <definedName name="SalesRoundBox36">'Бланк заказа'!$Y$111:$Y$111</definedName>
    <definedName name="SalesRoundBox37">'Бланк заказа'!$Y$112:$Y$112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заказа'!$Y$30:$Y$30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заказа'!$Y$31:$Y$31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заказа'!$Y$202:$Y$202</definedName>
    <definedName name="SalesRoundBox69">'Бланк заказа'!$Y$207:$Y$207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заказа'!$Y$38:$Y$38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заказа'!$Y$43:$Y$43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заказа'!$W$58:$W$58</definedName>
    <definedName name="UnitOfMeasure17">'Бланк заказа'!$W$62:$W$62</definedName>
    <definedName name="UnitOfMeasure18">'Бланк заказа'!$W$66:$W$66</definedName>
    <definedName name="UnitOfMeasure19">'Бланк заказа'!$W$67:$W$67</definedName>
    <definedName name="UnitOfMeasure2">'Бланк заказа'!$W$23:$W$23</definedName>
    <definedName name="UnitOfMeasure20">'Бланк заказа'!$W$71:$W$71</definedName>
    <definedName name="UnitOfMeasure21">'Бланк заказа'!$W$72:$W$72</definedName>
    <definedName name="UnitOfMeasure22">'Бланк заказа'!$W$73:$W$73</definedName>
    <definedName name="UnitOfMeasure23">'Бланк заказа'!$W$78:$W$78</definedName>
    <definedName name="UnitOfMeasure24">'Бланк заказа'!$W$79:$W$79</definedName>
    <definedName name="UnitOfMeasure25">'Бланк заказа'!$W$84:$W$84</definedName>
    <definedName name="UnitOfMeasure26">'Бланк заказа'!$W$89:$W$89</definedName>
    <definedName name="UnitOfMeasure27">'Бланк заказа'!$W$90:$W$90</definedName>
    <definedName name="UnitOfMeasure28">'Бланк заказа'!$W$95:$W$95</definedName>
    <definedName name="UnitOfMeasure29">'Бланк заказа'!$W$96:$W$96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заказа'!$W$105:$W$105</definedName>
    <definedName name="UnitOfMeasure35">'Бланк заказа'!$W$106:$W$106</definedName>
    <definedName name="UnitOfMeasure36">'Бланк заказа'!$W$111:$W$111</definedName>
    <definedName name="UnitOfMeasure37">'Бланк заказа'!$W$112:$W$112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заказа'!$W$30:$W$30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заказа'!$W$31:$W$31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заказа'!$W$202:$W$202</definedName>
    <definedName name="UnitOfMeasure69">'Бланк заказа'!$W$207:$W$207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заказа'!$W$38:$W$38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заказа'!$W$43:$W$43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9" i="1" l="1"/>
  <c r="AC279" i="1"/>
  <c r="AA279" i="1"/>
  <c r="Z279" i="1"/>
  <c r="W279" i="1"/>
  <c r="U279" i="1"/>
  <c r="S279" i="1"/>
  <c r="R279" i="1"/>
  <c r="Q279" i="1"/>
  <c r="L279" i="1"/>
  <c r="D279" i="1"/>
  <c r="C279" i="1"/>
  <c r="B279" i="1"/>
  <c r="Y268" i="1"/>
  <c r="X268" i="1"/>
  <c r="Z267" i="1"/>
  <c r="X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Y267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Y252" i="1"/>
  <c r="P252" i="1"/>
  <c r="BP251" i="1"/>
  <c r="BO251" i="1"/>
  <c r="BN251" i="1"/>
  <c r="BM251" i="1"/>
  <c r="Z251" i="1"/>
  <c r="Z254" i="1" s="1"/>
  <c r="Y251" i="1"/>
  <c r="Y255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Z248" i="1" s="1"/>
  <c r="Y246" i="1"/>
  <c r="P246" i="1"/>
  <c r="X244" i="1"/>
  <c r="X243" i="1"/>
  <c r="BO242" i="1"/>
  <c r="BM242" i="1"/>
  <c r="Z242" i="1"/>
  <c r="Y242" i="1"/>
  <c r="P242" i="1"/>
  <c r="BP241" i="1"/>
  <c r="BO241" i="1"/>
  <c r="BN241" i="1"/>
  <c r="BM241" i="1"/>
  <c r="Z241" i="1"/>
  <c r="Z243" i="1" s="1"/>
  <c r="Y241" i="1"/>
  <c r="P241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3" i="1"/>
  <c r="Y232" i="1"/>
  <c r="X232" i="1"/>
  <c r="BP231" i="1"/>
  <c r="BO231" i="1"/>
  <c r="BN231" i="1"/>
  <c r="BM231" i="1"/>
  <c r="Z231" i="1"/>
  <c r="Z232" i="1" s="1"/>
  <c r="Y231" i="1"/>
  <c r="Y233" i="1" s="1"/>
  <c r="P231" i="1"/>
  <c r="X227" i="1"/>
  <c r="Y226" i="1"/>
  <c r="X226" i="1"/>
  <c r="BP225" i="1"/>
  <c r="BO225" i="1"/>
  <c r="BN225" i="1"/>
  <c r="BM225" i="1"/>
  <c r="Z225" i="1"/>
  <c r="Z226" i="1" s="1"/>
  <c r="Y225" i="1"/>
  <c r="Y227" i="1" s="1"/>
  <c r="P225" i="1"/>
  <c r="X221" i="1"/>
  <c r="Y220" i="1"/>
  <c r="X220" i="1"/>
  <c r="BP219" i="1"/>
  <c r="BO219" i="1"/>
  <c r="BN219" i="1"/>
  <c r="BM219" i="1"/>
  <c r="Z219" i="1"/>
  <c r="Z220" i="1" s="1"/>
  <c r="Y219" i="1"/>
  <c r="Y221" i="1" s="1"/>
  <c r="P219" i="1"/>
  <c r="X215" i="1"/>
  <c r="X214" i="1"/>
  <c r="BP213" i="1"/>
  <c r="BO213" i="1"/>
  <c r="BN213" i="1"/>
  <c r="BM213" i="1"/>
  <c r="Z213" i="1"/>
  <c r="Y213" i="1"/>
  <c r="P213" i="1"/>
  <c r="BO212" i="1"/>
  <c r="BM212" i="1"/>
  <c r="Z212" i="1"/>
  <c r="Y212" i="1"/>
  <c r="P212" i="1"/>
  <c r="BP211" i="1"/>
  <c r="BO211" i="1"/>
  <c r="BN211" i="1"/>
  <c r="BM211" i="1"/>
  <c r="Z211" i="1"/>
  <c r="Z214" i="1" s="1"/>
  <c r="Y211" i="1"/>
  <c r="P211" i="1"/>
  <c r="X209" i="1"/>
  <c r="Y208" i="1"/>
  <c r="X208" i="1"/>
  <c r="BP207" i="1"/>
  <c r="BO207" i="1"/>
  <c r="BN207" i="1"/>
  <c r="BM207" i="1"/>
  <c r="Z207" i="1"/>
  <c r="Z208" i="1" s="1"/>
  <c r="Y207" i="1"/>
  <c r="Y209" i="1" s="1"/>
  <c r="P207" i="1"/>
  <c r="X204" i="1"/>
  <c r="Y279" i="1" s="1"/>
  <c r="Y203" i="1"/>
  <c r="X203" i="1"/>
  <c r="BP202" i="1"/>
  <c r="BO202" i="1"/>
  <c r="BN202" i="1"/>
  <c r="BM202" i="1"/>
  <c r="Z202" i="1"/>
  <c r="Z203" i="1" s="1"/>
  <c r="Y202" i="1"/>
  <c r="Y204" i="1" s="1"/>
  <c r="P202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2" i="1"/>
  <c r="X192" i="1"/>
  <c r="X279" i="1" s="1"/>
  <c r="Z191" i="1"/>
  <c r="X191" i="1"/>
  <c r="BO190" i="1"/>
  <c r="BM190" i="1"/>
  <c r="Z190" i="1"/>
  <c r="Y190" i="1"/>
  <c r="P190" i="1"/>
  <c r="X186" i="1"/>
  <c r="Z185" i="1"/>
  <c r="X185" i="1"/>
  <c r="BO184" i="1"/>
  <c r="BM184" i="1"/>
  <c r="Z184" i="1"/>
  <c r="Y184" i="1"/>
  <c r="X182" i="1"/>
  <c r="X181" i="1"/>
  <c r="V279" i="1" s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BP178" i="1"/>
  <c r="BO178" i="1"/>
  <c r="BN178" i="1"/>
  <c r="BM178" i="1"/>
  <c r="Z178" i="1"/>
  <c r="Z181" i="1" s="1"/>
  <c r="Y178" i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Y171" i="1"/>
  <c r="P171" i="1"/>
  <c r="Y167" i="1"/>
  <c r="X167" i="1"/>
  <c r="Z166" i="1"/>
  <c r="X166" i="1"/>
  <c r="BO165" i="1"/>
  <c r="BM165" i="1"/>
  <c r="Z165" i="1"/>
  <c r="Y165" i="1"/>
  <c r="P165" i="1"/>
  <c r="X162" i="1"/>
  <c r="Z161" i="1"/>
  <c r="X161" i="1"/>
  <c r="BO160" i="1"/>
  <c r="BM160" i="1"/>
  <c r="Z160" i="1"/>
  <c r="Y160" i="1"/>
  <c r="P160" i="1"/>
  <c r="Y157" i="1"/>
  <c r="X157" i="1"/>
  <c r="Z156" i="1"/>
  <c r="X156" i="1"/>
  <c r="T279" i="1" s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Y151" i="1" s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Y146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Z140" i="1" s="1"/>
  <c r="Y138" i="1"/>
  <c r="Y141" i="1" s="1"/>
  <c r="P138" i="1"/>
  <c r="X135" i="1"/>
  <c r="P279" i="1" s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Z134" i="1" s="1"/>
  <c r="Y132" i="1"/>
  <c r="Y134" i="1" s="1"/>
  <c r="P132" i="1"/>
  <c r="X129" i="1"/>
  <c r="O279" i="1" s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M279" i="1" s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Z120" i="1" s="1"/>
  <c r="Y111" i="1"/>
  <c r="Y121" i="1" s="1"/>
  <c r="P111" i="1"/>
  <c r="X108" i="1"/>
  <c r="X107" i="1"/>
  <c r="BP106" i="1"/>
  <c r="BO106" i="1"/>
  <c r="BN106" i="1"/>
  <c r="BM106" i="1"/>
  <c r="Z106" i="1"/>
  <c r="Y106" i="1"/>
  <c r="P106" i="1"/>
  <c r="BO105" i="1"/>
  <c r="BM105" i="1"/>
  <c r="Z105" i="1"/>
  <c r="Z107" i="1" s="1"/>
  <c r="Y105" i="1"/>
  <c r="Y108" i="1" s="1"/>
  <c r="P105" i="1"/>
  <c r="X102" i="1"/>
  <c r="X101" i="1"/>
  <c r="K279" i="1" s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Z101" i="1" s="1"/>
  <c r="Y95" i="1"/>
  <c r="Y101" i="1" s="1"/>
  <c r="P95" i="1"/>
  <c r="X92" i="1"/>
  <c r="X91" i="1"/>
  <c r="J279" i="1" s="1"/>
  <c r="BP90" i="1"/>
  <c r="BO90" i="1"/>
  <c r="BN90" i="1"/>
  <c r="BM90" i="1"/>
  <c r="Z90" i="1"/>
  <c r="Y90" i="1"/>
  <c r="P90" i="1"/>
  <c r="BO89" i="1"/>
  <c r="BM89" i="1"/>
  <c r="Z89" i="1"/>
  <c r="Z91" i="1" s="1"/>
  <c r="Y89" i="1"/>
  <c r="Y92" i="1" s="1"/>
  <c r="P89" i="1"/>
  <c r="X86" i="1"/>
  <c r="Z85" i="1"/>
  <c r="X85" i="1"/>
  <c r="BO84" i="1"/>
  <c r="BM84" i="1"/>
  <c r="Z84" i="1"/>
  <c r="Y84" i="1"/>
  <c r="Y85" i="1" s="1"/>
  <c r="P84" i="1"/>
  <c r="X81" i="1"/>
  <c r="X80" i="1"/>
  <c r="I279" i="1" s="1"/>
  <c r="BO79" i="1"/>
  <c r="BM79" i="1"/>
  <c r="Z79" i="1"/>
  <c r="Y79" i="1"/>
  <c r="BP79" i="1" s="1"/>
  <c r="P79" i="1"/>
  <c r="BP78" i="1"/>
  <c r="BO78" i="1"/>
  <c r="BN78" i="1"/>
  <c r="BM78" i="1"/>
  <c r="Z78" i="1"/>
  <c r="Z80" i="1" s="1"/>
  <c r="Y78" i="1"/>
  <c r="Y80" i="1" s="1"/>
  <c r="P78" i="1"/>
  <c r="X75" i="1"/>
  <c r="H279" i="1" s="1"/>
  <c r="X74" i="1"/>
  <c r="BP73" i="1"/>
  <c r="BO73" i="1"/>
  <c r="BN73" i="1"/>
  <c r="BM73" i="1"/>
  <c r="Z73" i="1"/>
  <c r="Y73" i="1"/>
  <c r="P73" i="1"/>
  <c r="BO72" i="1"/>
  <c r="BM72" i="1"/>
  <c r="Z72" i="1"/>
  <c r="Y72" i="1"/>
  <c r="BP72" i="1" s="1"/>
  <c r="P72" i="1"/>
  <c r="BP71" i="1"/>
  <c r="BO71" i="1"/>
  <c r="BN71" i="1"/>
  <c r="BM71" i="1"/>
  <c r="Z71" i="1"/>
  <c r="Z74" i="1" s="1"/>
  <c r="Y71" i="1"/>
  <c r="Y75" i="1" s="1"/>
  <c r="P71" i="1"/>
  <c r="X69" i="1"/>
  <c r="G279" i="1" s="1"/>
  <c r="X68" i="1"/>
  <c r="BP67" i="1"/>
  <c r="BO67" i="1"/>
  <c r="BN67" i="1"/>
  <c r="BM67" i="1"/>
  <c r="Z67" i="1"/>
  <c r="Y67" i="1"/>
  <c r="P67" i="1"/>
  <c r="BO66" i="1"/>
  <c r="BM66" i="1"/>
  <c r="Z66" i="1"/>
  <c r="Z68" i="1" s="1"/>
  <c r="Y66" i="1"/>
  <c r="Y69" i="1" s="1"/>
  <c r="P66" i="1"/>
  <c r="X64" i="1"/>
  <c r="Z63" i="1"/>
  <c r="X63" i="1"/>
  <c r="F279" i="1" s="1"/>
  <c r="BO62" i="1"/>
  <c r="BM62" i="1"/>
  <c r="Z62" i="1"/>
  <c r="Y62" i="1"/>
  <c r="Y63" i="1" s="1"/>
  <c r="P62" i="1"/>
  <c r="X60" i="1"/>
  <c r="Z59" i="1"/>
  <c r="X59" i="1"/>
  <c r="BO58" i="1"/>
  <c r="BM58" i="1"/>
  <c r="Z58" i="1"/>
  <c r="Y58" i="1"/>
  <c r="Y59" i="1" s="1"/>
  <c r="P58" i="1"/>
  <c r="X55" i="1"/>
  <c r="X54" i="1"/>
  <c r="BO53" i="1"/>
  <c r="BM53" i="1"/>
  <c r="Z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Z51" i="1"/>
  <c r="Y51" i="1"/>
  <c r="BP51" i="1" s="1"/>
  <c r="P51" i="1"/>
  <c r="BP50" i="1"/>
  <c r="BO50" i="1"/>
  <c r="BN50" i="1"/>
  <c r="BM50" i="1"/>
  <c r="Z50" i="1"/>
  <c r="Z54" i="1" s="1"/>
  <c r="Y50" i="1"/>
  <c r="Y54" i="1" s="1"/>
  <c r="P50" i="1"/>
  <c r="X47" i="1"/>
  <c r="E279" i="1" s="1"/>
  <c r="X46" i="1"/>
  <c r="BP45" i="1"/>
  <c r="BO45" i="1"/>
  <c r="BN45" i="1"/>
  <c r="BM45" i="1"/>
  <c r="Z45" i="1"/>
  <c r="Y45" i="1"/>
  <c r="P45" i="1"/>
  <c r="BO44" i="1"/>
  <c r="BM44" i="1"/>
  <c r="Z44" i="1"/>
  <c r="Y44" i="1"/>
  <c r="BP44" i="1" s="1"/>
  <c r="P44" i="1"/>
  <c r="BP43" i="1"/>
  <c r="BO43" i="1"/>
  <c r="BN43" i="1"/>
  <c r="BM43" i="1"/>
  <c r="Z43" i="1"/>
  <c r="Z46" i="1" s="1"/>
  <c r="Y43" i="1"/>
  <c r="Y47" i="1" s="1"/>
  <c r="P43" i="1"/>
  <c r="X40" i="1"/>
  <c r="X39" i="1"/>
  <c r="BP38" i="1"/>
  <c r="BO38" i="1"/>
  <c r="BN38" i="1"/>
  <c r="BM38" i="1"/>
  <c r="Z38" i="1"/>
  <c r="Y38" i="1"/>
  <c r="P38" i="1"/>
  <c r="BO37" i="1"/>
  <c r="BM37" i="1"/>
  <c r="Z37" i="1"/>
  <c r="Z39" i="1" s="1"/>
  <c r="Y37" i="1"/>
  <c r="Y40" i="1" s="1"/>
  <c r="P37" i="1"/>
  <c r="X33" i="1"/>
  <c r="X32" i="1"/>
  <c r="X269" i="1" s="1"/>
  <c r="BO31" i="1"/>
  <c r="BM31" i="1"/>
  <c r="Z31" i="1"/>
  <c r="Y31" i="1"/>
  <c r="BP31" i="1" s="1"/>
  <c r="P31" i="1"/>
  <c r="BP30" i="1"/>
  <c r="BO30" i="1"/>
  <c r="BN30" i="1"/>
  <c r="BM30" i="1"/>
  <c r="Z30" i="1"/>
  <c r="Z32" i="1" s="1"/>
  <c r="Y30" i="1"/>
  <c r="Y32" i="1" s="1"/>
  <c r="P30" i="1"/>
  <c r="X27" i="1"/>
  <c r="X26" i="1"/>
  <c r="BP25" i="1"/>
  <c r="BO25" i="1"/>
  <c r="BN25" i="1"/>
  <c r="BM25" i="1"/>
  <c r="Z25" i="1"/>
  <c r="Y25" i="1"/>
  <c r="P25" i="1"/>
  <c r="BO24" i="1"/>
  <c r="BM24" i="1"/>
  <c r="Z24" i="1"/>
  <c r="Y24" i="1"/>
  <c r="P24" i="1"/>
  <c r="BP23" i="1"/>
  <c r="BO23" i="1"/>
  <c r="BN23" i="1"/>
  <c r="BM23" i="1"/>
  <c r="Z23" i="1"/>
  <c r="Y23" i="1"/>
  <c r="P23" i="1"/>
  <c r="BO22" i="1"/>
  <c r="X271" i="1" s="1"/>
  <c r="BM22" i="1"/>
  <c r="X270" i="1" s="1"/>
  <c r="X272" i="1" s="1"/>
  <c r="Z22" i="1"/>
  <c r="Z26" i="1" s="1"/>
  <c r="Y22" i="1"/>
  <c r="Y27" i="1" s="1"/>
  <c r="P22" i="1"/>
  <c r="H10" i="1"/>
  <c r="A9" i="1"/>
  <c r="F10" i="1" s="1"/>
  <c r="D7" i="1"/>
  <c r="Q6" i="1"/>
  <c r="P2" i="1"/>
  <c r="H9" i="1" l="1"/>
  <c r="A10" i="1"/>
  <c r="Y26" i="1"/>
  <c r="Y33" i="1"/>
  <c r="Y39" i="1"/>
  <c r="Y273" i="1" s="1"/>
  <c r="Y46" i="1"/>
  <c r="Y55" i="1"/>
  <c r="Y60" i="1"/>
  <c r="Y269" i="1" s="1"/>
  <c r="Y64" i="1"/>
  <c r="Y68" i="1"/>
  <c r="Y74" i="1"/>
  <c r="Y81" i="1"/>
  <c r="Y86" i="1"/>
  <c r="Y91" i="1"/>
  <c r="Y102" i="1"/>
  <c r="Y107" i="1"/>
  <c r="Y120" i="1"/>
  <c r="Y135" i="1"/>
  <c r="Y140" i="1"/>
  <c r="Y147" i="1"/>
  <c r="Y161" i="1"/>
  <c r="BP160" i="1"/>
  <c r="BN160" i="1"/>
  <c r="Y174" i="1"/>
  <c r="BP171" i="1"/>
  <c r="BN171" i="1"/>
  <c r="Y173" i="1"/>
  <c r="BP179" i="1"/>
  <c r="BN179" i="1"/>
  <c r="Y181" i="1"/>
  <c r="Y185" i="1"/>
  <c r="BP184" i="1"/>
  <c r="BN184" i="1"/>
  <c r="Y199" i="1"/>
  <c r="BP194" i="1"/>
  <c r="BN194" i="1"/>
  <c r="BP196" i="1"/>
  <c r="BN196" i="1"/>
  <c r="Y198" i="1"/>
  <c r="BP212" i="1"/>
  <c r="BN212" i="1"/>
  <c r="Y214" i="1"/>
  <c r="BP242" i="1"/>
  <c r="BN242" i="1"/>
  <c r="F9" i="1"/>
  <c r="J9" i="1"/>
  <c r="BN22" i="1"/>
  <c r="BP22" i="1"/>
  <c r="Z274" i="1"/>
  <c r="BN24" i="1"/>
  <c r="BP24" i="1"/>
  <c r="BN31" i="1"/>
  <c r="BN37" i="1"/>
  <c r="BP37" i="1"/>
  <c r="X273" i="1"/>
  <c r="BN44" i="1"/>
  <c r="BN51" i="1"/>
  <c r="BN53" i="1"/>
  <c r="BN58" i="1"/>
  <c r="BP58" i="1"/>
  <c r="BN62" i="1"/>
  <c r="BP62" i="1"/>
  <c r="BN66" i="1"/>
  <c r="BP66" i="1"/>
  <c r="BN72" i="1"/>
  <c r="BN79" i="1"/>
  <c r="BN84" i="1"/>
  <c r="BP84" i="1"/>
  <c r="BN89" i="1"/>
  <c r="BP89" i="1"/>
  <c r="BN96" i="1"/>
  <c r="BN98" i="1"/>
  <c r="BN100" i="1"/>
  <c r="BN105" i="1"/>
  <c r="BP105" i="1"/>
  <c r="BN112" i="1"/>
  <c r="BN114" i="1"/>
  <c r="BN116" i="1"/>
  <c r="BN118" i="1"/>
  <c r="BN133" i="1"/>
  <c r="BN138" i="1"/>
  <c r="BP138" i="1"/>
  <c r="BN145" i="1"/>
  <c r="BN150" i="1"/>
  <c r="BP150" i="1"/>
  <c r="Y152" i="1"/>
  <c r="Y156" i="1"/>
  <c r="BP155" i="1"/>
  <c r="BN155" i="1"/>
  <c r="Y162" i="1"/>
  <c r="Y166" i="1"/>
  <c r="BP165" i="1"/>
  <c r="BN165" i="1"/>
  <c r="Z173" i="1"/>
  <c r="Y182" i="1"/>
  <c r="Y186" i="1"/>
  <c r="Y191" i="1"/>
  <c r="BP190" i="1"/>
  <c r="BN190" i="1"/>
  <c r="Z198" i="1"/>
  <c r="Y215" i="1"/>
  <c r="AB279" i="1"/>
  <c r="Y243" i="1"/>
  <c r="Y244" i="1"/>
  <c r="Y249" i="1"/>
  <c r="BP246" i="1"/>
  <c r="BN246" i="1"/>
  <c r="Y248" i="1"/>
  <c r="BP252" i="1"/>
  <c r="BN252" i="1"/>
  <c r="Y254" i="1"/>
  <c r="BP258" i="1"/>
  <c r="BN258" i="1"/>
  <c r="BP260" i="1"/>
  <c r="BN260" i="1"/>
  <c r="BP262" i="1"/>
  <c r="BN262" i="1"/>
  <c r="BP264" i="1"/>
  <c r="BN264" i="1"/>
  <c r="BP266" i="1"/>
  <c r="BN266" i="1"/>
  <c r="Y270" i="1" l="1"/>
  <c r="Y272" i="1" s="1"/>
  <c r="Y271" i="1"/>
  <c r="A282" i="1"/>
  <c r="C282" i="1" l="1"/>
  <c r="B282" i="1"/>
</calcChain>
</file>

<file path=xl/sharedStrings.xml><?xml version="1.0" encoding="utf-8"?>
<sst xmlns="http://schemas.openxmlformats.org/spreadsheetml/2006/main" count="1213" uniqueCount="393">
  <si>
    <t xml:space="preserve">  БЛАНК ЗАКАЗА </t>
  </si>
  <si>
    <t>ЗПФ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</si>
  <si>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</si>
  <si>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</si>
  <si>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</si>
  <si>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</si>
  <si>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</si>
  <si>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</si>
  <si>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</si>
  <si>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</si>
  <si>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</si>
  <si>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</si>
  <si>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</si>
  <si>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</si>
  <si>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</si>
  <si>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</si>
  <si>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</si>
  <si>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</si>
  <si>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</si>
  <si>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</si>
  <si>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</si>
  <si>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</si>
  <si>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</si>
  <si>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</si>
  <si>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</si>
  <si>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</si>
  <si>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</si>
  <si>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</si>
  <si>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</si>
  <si>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</si>
  <si>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</si>
  <si>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</si>
  <si>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</si>
  <si>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</si>
  <si>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</si>
  <si>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</si>
  <si>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</si>
  <si>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</si>
  <si>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</si>
  <si>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</si>
  <si>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</si>
  <si>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</si>
  <si>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</si>
  <si>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</si>
  <si>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</si>
  <si>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</si>
  <si>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</si>
  <si>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</si>
  <si>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</si>
  <si>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</si>
  <si>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</si>
  <si>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</si>
  <si>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</si>
  <si>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</si>
  <si>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</si>
  <si>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</si>
  <si>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</si>
  <si>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</si>
  <si>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</si>
  <si>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</si>
  <si>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</si>
  <si>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</si>
  <si>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</si>
  <si>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</si>
  <si>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</si>
  <si>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SU003968</t>
  </si>
  <si>
    <t>P005109</t>
  </si>
  <si>
    <t>12</t>
  </si>
  <si>
    <t>Короб, мин. 1</t>
  </si>
  <si>
    <t>МГ</t>
  </si>
  <si>
    <t>кор</t>
  </si>
  <si>
    <t>ЕАЭС N RU Д-RU.РА01.В.79461/23</t>
  </si>
  <si>
    <t>Короб</t>
  </si>
  <si>
    <t>SU003975</t>
  </si>
  <si>
    <t>P005107</t>
  </si>
  <si>
    <t>SU003972</t>
  </si>
  <si>
    <t>P005104</t>
  </si>
  <si>
    <t>SU003971</t>
  </si>
  <si>
    <t>P005103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</si>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</sst>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0" borderId="42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2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7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1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2"/>
  <sheetViews>
    <sheetView showGridLines="0" tabSelected="1" topLeftCell="A255" zoomScaleNormal="100" zoomScaleSheetLayoutView="100" workbookViewId="0">
      <selection activeCell="AA275" sqref="AA275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21" t="s">
        <v>0</v>
      </c>
      <c r="E1" s="292"/>
      <c r="F1" s="292"/>
      <c r="G1" s="12" t="s">
        <v>1</v>
      </c>
      <c r="H1" s="321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291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50" t="s">
        <v>8</v>
      </c>
      <c r="B5" s="323"/>
      <c r="C5" s="324"/>
      <c r="D5" s="328"/>
      <c r="E5" s="329"/>
      <c r="F5" s="438" t="s">
        <v>9</v>
      </c>
      <c r="G5" s="324"/>
      <c r="H5" s="328"/>
      <c r="I5" s="412"/>
      <c r="J5" s="412"/>
      <c r="K5" s="412"/>
      <c r="L5" s="412"/>
      <c r="M5" s="329"/>
      <c r="N5" s="61"/>
      <c r="P5" s="24" t="s">
        <v>10</v>
      </c>
      <c r="Q5" s="444">
        <v>45992</v>
      </c>
      <c r="R5" s="349"/>
      <c r="T5" s="374" t="s">
        <v>11</v>
      </c>
      <c r="U5" s="340"/>
      <c r="V5" s="375" t="s">
        <v>12</v>
      </c>
      <c r="W5" s="349"/>
      <c r="AB5" s="51"/>
      <c r="AC5" s="51"/>
      <c r="AD5" s="51"/>
      <c r="AE5" s="51"/>
    </row>
    <row r="6" spans="1:32" s="260" customFormat="1" ht="24" customHeight="1" x14ac:dyDescent="0.2">
      <c r="A6" s="350" t="s">
        <v>13</v>
      </c>
      <c r="B6" s="323"/>
      <c r="C6" s="324"/>
      <c r="D6" s="415" t="s">
        <v>14</v>
      </c>
      <c r="E6" s="416"/>
      <c r="F6" s="416"/>
      <c r="G6" s="416"/>
      <c r="H6" s="416"/>
      <c r="I6" s="416"/>
      <c r="J6" s="416"/>
      <c r="K6" s="416"/>
      <c r="L6" s="416"/>
      <c r="M6" s="349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78" t="s">
        <v>16</v>
      </c>
      <c r="U6" s="340"/>
      <c r="V6" s="401" t="s">
        <v>17</v>
      </c>
      <c r="W6" s="305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77"/>
      <c r="U7" s="340"/>
      <c r="V7" s="402"/>
      <c r="W7" s="403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85"/>
      <c r="C8" s="286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0.375</v>
      </c>
      <c r="R8" s="311"/>
      <c r="T8" s="277"/>
      <c r="U8" s="340"/>
      <c r="V8" s="402"/>
      <c r="W8" s="403"/>
      <c r="AB8" s="51"/>
      <c r="AC8" s="51"/>
      <c r="AD8" s="51"/>
      <c r="AE8" s="51"/>
    </row>
    <row r="9" spans="1:32" s="260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60"/>
      <c r="E9" s="281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58"/>
      <c r="P9" s="26" t="s">
        <v>21</v>
      </c>
      <c r="Q9" s="345"/>
      <c r="R9" s="346"/>
      <c r="T9" s="277"/>
      <c r="U9" s="34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60"/>
      <c r="E10" s="281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8" t="str">
        <f>IFERROR(VLOOKUP($D$10,Proxy,2,FALSE),"")</f>
        <v/>
      </c>
      <c r="I10" s="277"/>
      <c r="J10" s="277"/>
      <c r="K10" s="277"/>
      <c r="L10" s="277"/>
      <c r="M10" s="277"/>
      <c r="N10" s="259"/>
      <c r="P10" s="26" t="s">
        <v>22</v>
      </c>
      <c r="Q10" s="379"/>
      <c r="R10" s="380"/>
      <c r="U10" s="24" t="s">
        <v>23</v>
      </c>
      <c r="V10" s="304" t="s">
        <v>24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21" t="s">
        <v>28</v>
      </c>
      <c r="W11" s="346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72" t="s">
        <v>29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4"/>
      <c r="N12" s="65"/>
      <c r="P12" s="24" t="s">
        <v>30</v>
      </c>
      <c r="Q12" s="354"/>
      <c r="R12" s="311"/>
      <c r="S12" s="23"/>
      <c r="U12" s="24"/>
      <c r="V12" s="292"/>
      <c r="W12" s="277"/>
      <c r="AB12" s="51"/>
      <c r="AC12" s="51"/>
      <c r="AD12" s="51"/>
      <c r="AE12" s="51"/>
    </row>
    <row r="13" spans="1:32" s="260" customFormat="1" ht="23.25" customHeight="1" x14ac:dyDescent="0.2">
      <c r="A13" s="372" t="s">
        <v>31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4"/>
      <c r="N13" s="65"/>
      <c r="O13" s="26"/>
      <c r="P13" s="26" t="s">
        <v>32</v>
      </c>
      <c r="Q13" s="421"/>
      <c r="R13" s="3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72" t="s">
        <v>33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7" t="s">
        <v>34</v>
      </c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4"/>
      <c r="N15" s="66"/>
      <c r="P15" s="367" t="s">
        <v>35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8"/>
      <c r="Q16" s="368"/>
      <c r="R16" s="368"/>
      <c r="S16" s="368"/>
      <c r="T16" s="36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0" t="s">
        <v>36</v>
      </c>
      <c r="B17" s="300" t="s">
        <v>37</v>
      </c>
      <c r="C17" s="358" t="s">
        <v>38</v>
      </c>
      <c r="D17" s="300" t="s">
        <v>39</v>
      </c>
      <c r="E17" s="335"/>
      <c r="F17" s="300" t="s">
        <v>40</v>
      </c>
      <c r="G17" s="300" t="s">
        <v>41</v>
      </c>
      <c r="H17" s="300" t="s">
        <v>42</v>
      </c>
      <c r="I17" s="300" t="s">
        <v>43</v>
      </c>
      <c r="J17" s="300" t="s">
        <v>44</v>
      </c>
      <c r="K17" s="300" t="s">
        <v>45</v>
      </c>
      <c r="L17" s="300" t="s">
        <v>46</v>
      </c>
      <c r="M17" s="300" t="s">
        <v>47</v>
      </c>
      <c r="N17" s="300" t="s">
        <v>48</v>
      </c>
      <c r="O17" s="300" t="s">
        <v>49</v>
      </c>
      <c r="P17" s="300" t="s">
        <v>50</v>
      </c>
      <c r="Q17" s="334"/>
      <c r="R17" s="334"/>
      <c r="S17" s="334"/>
      <c r="T17" s="335"/>
      <c r="U17" s="448" t="s">
        <v>51</v>
      </c>
      <c r="V17" s="324"/>
      <c r="W17" s="300" t="s">
        <v>52</v>
      </c>
      <c r="X17" s="300" t="s">
        <v>53</v>
      </c>
      <c r="Y17" s="449" t="s">
        <v>54</v>
      </c>
      <c r="Z17" s="410" t="s">
        <v>55</v>
      </c>
      <c r="AA17" s="396" t="s">
        <v>56</v>
      </c>
      <c r="AB17" s="396" t="s">
        <v>57</v>
      </c>
      <c r="AC17" s="396" t="s">
        <v>58</v>
      </c>
      <c r="AD17" s="396" t="s">
        <v>59</v>
      </c>
      <c r="AE17" s="433"/>
      <c r="AF17" s="434"/>
      <c r="AG17" s="69"/>
      <c r="BD17" s="68" t="s">
        <v>60</v>
      </c>
    </row>
    <row r="18" spans="1:68" ht="14.25" customHeight="1" x14ac:dyDescent="0.2">
      <c r="A18" s="301"/>
      <c r="B18" s="301"/>
      <c r="C18" s="301"/>
      <c r="D18" s="336"/>
      <c r="E18" s="338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1"/>
      <c r="X18" s="301"/>
      <c r="Y18" s="450"/>
      <c r="Z18" s="411"/>
      <c r="AA18" s="397"/>
      <c r="AB18" s="397"/>
      <c r="AC18" s="397"/>
      <c r="AD18" s="435"/>
      <c r="AE18" s="436"/>
      <c r="AF18" s="437"/>
      <c r="AG18" s="69"/>
      <c r="BD18" s="68"/>
    </row>
    <row r="19" spans="1:68" ht="27.75" customHeight="1" x14ac:dyDescent="0.2">
      <c r="A19" s="278" t="s">
        <v>63</v>
      </c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48"/>
      <c r="AB19" s="48"/>
      <c r="AC19" s="48"/>
    </row>
    <row r="20" spans="1:68" ht="16.5" customHeight="1" x14ac:dyDescent="0.25">
      <c r="A20" s="288" t="s">
        <v>63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1"/>
      <c r="AB20" s="261"/>
      <c r="AC20" s="261"/>
    </row>
    <row r="21" spans="1:68" ht="14.25" customHeight="1" x14ac:dyDescent="0.25">
      <c r="A21" s="276" t="s">
        <v>64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4301071110</v>
      </c>
      <c r="D22" s="282">
        <v>4607111035103</v>
      </c>
      <c r="E22" s="283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4301071109</v>
      </c>
      <c r="D23" s="282">
        <v>4607111035929</v>
      </c>
      <c r="E23" s="283"/>
      <c r="F23" s="265">
        <v>0.9</v>
      </c>
      <c r="G23" s="32">
        <v>8</v>
      </c>
      <c r="H23" s="265">
        <v>7.2</v>
      </c>
      <c r="I23" s="265">
        <v>7.47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6">
        <v>60</v>
      </c>
      <c r="Y23" s="267">
        <f>IFERROR(IF(X23="","",X23),"")</f>
        <v>60</v>
      </c>
      <c r="Z23" s="36">
        <f>IFERROR(IF(X23="","",X23*0.0155),"")</f>
        <v>0.92999999999999994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>IFERROR(X23*I23,"0")</f>
        <v>448.2</v>
      </c>
      <c r="BN23" s="67">
        <f>IFERROR(Y23*I23,"0")</f>
        <v>448.2</v>
      </c>
      <c r="BO23" s="67">
        <f>IFERROR(X23/J23,"0")</f>
        <v>0.7142857142857143</v>
      </c>
      <c r="BP23" s="67">
        <f>IFERROR(Y23/J23,"0")</f>
        <v>0.7142857142857143</v>
      </c>
    </row>
    <row r="24" spans="1:68" ht="27" customHeight="1" x14ac:dyDescent="0.25">
      <c r="A24" s="54" t="s">
        <v>75</v>
      </c>
      <c r="B24" s="54" t="s">
        <v>76</v>
      </c>
      <c r="C24" s="31">
        <v>4301071106</v>
      </c>
      <c r="D24" s="282">
        <v>4607111035882</v>
      </c>
      <c r="E24" s="283"/>
      <c r="F24" s="265">
        <v>0.43</v>
      </c>
      <c r="G24" s="32">
        <v>16</v>
      </c>
      <c r="H24" s="265">
        <v>6.88</v>
      </c>
      <c r="I24" s="265">
        <v>7.19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8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6">
        <v>0</v>
      </c>
      <c r="Y24" s="267">
        <f>IFERROR(IF(X24="","",X24),"")</f>
        <v>0</v>
      </c>
      <c r="Z24" s="36">
        <f>IFERROR(IF(X24="","",X24*0.0155),"")</f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>IFERROR(X24*I24,"0")</f>
        <v>0</v>
      </c>
      <c r="BN24" s="67">
        <f>IFERROR(Y24*I24,"0")</f>
        <v>0</v>
      </c>
      <c r="BO24" s="67">
        <f>IFERROR(X24/J24,"0")</f>
        <v>0</v>
      </c>
      <c r="BP24" s="67">
        <f>IFERROR(Y24/J24,"0")</f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4301071105</v>
      </c>
      <c r="D25" s="282">
        <v>4607111035110</v>
      </c>
      <c r="E25" s="283"/>
      <c r="F25" s="265">
        <v>0.9</v>
      </c>
      <c r="G25" s="32">
        <v>8</v>
      </c>
      <c r="H25" s="265">
        <v>7.2</v>
      </c>
      <c r="I25" s="265">
        <v>7.47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6">
        <v>0</v>
      </c>
      <c r="Y25" s="267">
        <f>IFERROR(IF(X25="","",X25),"")</f>
        <v>0</v>
      </c>
      <c r="Z25" s="36">
        <f>IFERROR(IF(X25="","",X25*0.0155),"")</f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>IFERROR(X25*I25,"0")</f>
        <v>0</v>
      </c>
      <c r="BN25" s="67">
        <f>IFERROR(Y25*I25,"0")</f>
        <v>0</v>
      </c>
      <c r="BO25" s="67">
        <f>IFERROR(X25/J25,"0")</f>
        <v>0</v>
      </c>
      <c r="BP25" s="67">
        <f>IFERROR(Y25/J25,"0")</f>
        <v>0</v>
      </c>
    </row>
    <row r="26" spans="1:68" x14ac:dyDescent="0.2">
      <c r="A26" s="294"/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95"/>
      <c r="P26" s="284" t="s">
        <v>79</v>
      </c>
      <c r="Q26" s="285"/>
      <c r="R26" s="285"/>
      <c r="S26" s="285"/>
      <c r="T26" s="285"/>
      <c r="U26" s="285"/>
      <c r="V26" s="286"/>
      <c r="W26" s="37" t="s">
        <v>70</v>
      </c>
      <c r="X26" s="268">
        <f>IFERROR(SUM(X22:X25),"0")</f>
        <v>60</v>
      </c>
      <c r="Y26" s="268">
        <f>IFERROR(SUM(Y22:Y25),"0")</f>
        <v>60</v>
      </c>
      <c r="Z26" s="268">
        <f>IFERROR(IF(Z22="",0,Z22),"0")+IFERROR(IF(Z23="",0,Z23),"0")+IFERROR(IF(Z24="",0,Z24),"0")+IFERROR(IF(Z25="",0,Z25),"0")</f>
        <v>0.92999999999999994</v>
      </c>
      <c r="AA26" s="269"/>
      <c r="AB26" s="269"/>
      <c r="AC26" s="269"/>
    </row>
    <row r="27" spans="1:68" x14ac:dyDescent="0.2">
      <c r="A27" s="277"/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95"/>
      <c r="P27" s="284" t="s">
        <v>79</v>
      </c>
      <c r="Q27" s="285"/>
      <c r="R27" s="285"/>
      <c r="S27" s="285"/>
      <c r="T27" s="285"/>
      <c r="U27" s="285"/>
      <c r="V27" s="286"/>
      <c r="W27" s="37" t="s">
        <v>80</v>
      </c>
      <c r="X27" s="268">
        <f>IFERROR(SUMPRODUCT(X22:X25*H22:H25),"0")</f>
        <v>432</v>
      </c>
      <c r="Y27" s="268">
        <f>IFERROR(SUMPRODUCT(Y22:Y25*H22:H25),"0")</f>
        <v>432</v>
      </c>
      <c r="Z27" s="37"/>
      <c r="AA27" s="269"/>
      <c r="AB27" s="269"/>
      <c r="AC27" s="269"/>
    </row>
    <row r="28" spans="1:68" ht="16.5" customHeight="1" x14ac:dyDescent="0.25">
      <c r="A28" s="288" t="s">
        <v>81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61"/>
      <c r="AB28" s="261"/>
      <c r="AC28" s="261"/>
    </row>
    <row r="29" spans="1:68" ht="14.25" customHeight="1" x14ac:dyDescent="0.25">
      <c r="A29" s="276" t="s">
        <v>64</v>
      </c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62"/>
      <c r="AB29" s="262"/>
      <c r="AC29" s="262"/>
    </row>
    <row r="30" spans="1:68" ht="16.5" customHeight="1" x14ac:dyDescent="0.25">
      <c r="A30" s="54" t="s">
        <v>82</v>
      </c>
      <c r="B30" s="54" t="s">
        <v>83</v>
      </c>
      <c r="C30" s="31">
        <v>4301071099</v>
      </c>
      <c r="D30" s="282">
        <v>4607111039019</v>
      </c>
      <c r="E30" s="283"/>
      <c r="F30" s="265">
        <v>0.43</v>
      </c>
      <c r="G30" s="32">
        <v>16</v>
      </c>
      <c r="H30" s="265">
        <v>6.88</v>
      </c>
      <c r="I30" s="265">
        <v>7.2060000000000004</v>
      </c>
      <c r="J30" s="32">
        <v>84</v>
      </c>
      <c r="K30" s="32" t="s">
        <v>67</v>
      </c>
      <c r="L30" s="32" t="s">
        <v>68</v>
      </c>
      <c r="M30" s="33" t="s">
        <v>69</v>
      </c>
      <c r="N30" s="33"/>
      <c r="O30" s="32">
        <v>180</v>
      </c>
      <c r="P30" s="29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0" s="271"/>
      <c r="R30" s="271"/>
      <c r="S30" s="271"/>
      <c r="T30" s="272"/>
      <c r="U30" s="34"/>
      <c r="V30" s="34"/>
      <c r="W30" s="35" t="s">
        <v>70</v>
      </c>
      <c r="X30" s="266">
        <v>0</v>
      </c>
      <c r="Y30" s="267">
        <f>IFERROR(IF(X30="","",X30),"")</f>
        <v>0</v>
      </c>
      <c r="Z30" s="36">
        <f>IFERROR(IF(X30="","",X30*0.0155),"")</f>
        <v>0</v>
      </c>
      <c r="AA30" s="56"/>
      <c r="AB30" s="57"/>
      <c r="AC30" s="80" t="s">
        <v>84</v>
      </c>
      <c r="AG30" s="67"/>
      <c r="AJ30" s="71" t="s">
        <v>72</v>
      </c>
      <c r="AK30" s="71">
        <v>1</v>
      </c>
      <c r="BB30" s="81" t="s">
        <v>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16.5" customHeight="1" x14ac:dyDescent="0.25">
      <c r="A31" s="54" t="s">
        <v>85</v>
      </c>
      <c r="B31" s="54" t="s">
        <v>86</v>
      </c>
      <c r="C31" s="31">
        <v>4301071100</v>
      </c>
      <c r="D31" s="282">
        <v>4607111038708</v>
      </c>
      <c r="E31" s="283"/>
      <c r="F31" s="265">
        <v>0.8</v>
      </c>
      <c r="G31" s="32">
        <v>8</v>
      </c>
      <c r="H31" s="265">
        <v>6.4</v>
      </c>
      <c r="I31" s="265">
        <v>6.67</v>
      </c>
      <c r="J31" s="32">
        <v>84</v>
      </c>
      <c r="K31" s="32" t="s">
        <v>67</v>
      </c>
      <c r="L31" s="32" t="s">
        <v>68</v>
      </c>
      <c r="M31" s="33" t="s">
        <v>69</v>
      </c>
      <c r="N31" s="33"/>
      <c r="O31" s="32">
        <v>180</v>
      </c>
      <c r="P31" s="31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1" s="271"/>
      <c r="R31" s="271"/>
      <c r="S31" s="271"/>
      <c r="T31" s="272"/>
      <c r="U31" s="34"/>
      <c r="V31" s="34"/>
      <c r="W31" s="35" t="s">
        <v>70</v>
      </c>
      <c r="X31" s="266">
        <v>0</v>
      </c>
      <c r="Y31" s="267">
        <f>IFERROR(IF(X31="","",X31),"")</f>
        <v>0</v>
      </c>
      <c r="Z31" s="36">
        <f>IFERROR(IF(X31="","",X31*0.0155),"")</f>
        <v>0</v>
      </c>
      <c r="AA31" s="56"/>
      <c r="AB31" s="57"/>
      <c r="AC31" s="82" t="s">
        <v>84</v>
      </c>
      <c r="AG31" s="67"/>
      <c r="AJ31" s="71" t="s">
        <v>72</v>
      </c>
      <c r="AK31" s="71">
        <v>1</v>
      </c>
      <c r="BB31" s="83" t="s">
        <v>1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294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95"/>
      <c r="P32" s="284" t="s">
        <v>79</v>
      </c>
      <c r="Q32" s="285"/>
      <c r="R32" s="285"/>
      <c r="S32" s="285"/>
      <c r="T32" s="285"/>
      <c r="U32" s="285"/>
      <c r="V32" s="286"/>
      <c r="W32" s="37" t="s">
        <v>70</v>
      </c>
      <c r="X32" s="268">
        <f>IFERROR(SUM(X30:X31),"0")</f>
        <v>0</v>
      </c>
      <c r="Y32" s="268">
        <f>IFERROR(SUM(Y30:Y31),"0")</f>
        <v>0</v>
      </c>
      <c r="Z32" s="268">
        <f>IFERROR(IF(Z30="",0,Z30),"0")+IFERROR(IF(Z31="",0,Z31),"0")</f>
        <v>0</v>
      </c>
      <c r="AA32" s="269"/>
      <c r="AB32" s="269"/>
      <c r="AC32" s="269"/>
    </row>
    <row r="33" spans="1:68" x14ac:dyDescent="0.2">
      <c r="A33" s="277"/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95"/>
      <c r="P33" s="284" t="s">
        <v>79</v>
      </c>
      <c r="Q33" s="285"/>
      <c r="R33" s="285"/>
      <c r="S33" s="285"/>
      <c r="T33" s="285"/>
      <c r="U33" s="285"/>
      <c r="V33" s="286"/>
      <c r="W33" s="37" t="s">
        <v>80</v>
      </c>
      <c r="X33" s="268">
        <f>IFERROR(SUMPRODUCT(X30:X31*H30:H31),"0")</f>
        <v>0</v>
      </c>
      <c r="Y33" s="268">
        <f>IFERROR(SUMPRODUCT(Y30:Y31*H30:H31),"0")</f>
        <v>0</v>
      </c>
      <c r="Z33" s="37"/>
      <c r="AA33" s="269"/>
      <c r="AB33" s="269"/>
      <c r="AC33" s="269"/>
    </row>
    <row r="34" spans="1:68" ht="27.75" customHeight="1" x14ac:dyDescent="0.2">
      <c r="A34" s="278" t="s">
        <v>87</v>
      </c>
      <c r="B34" s="279"/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48"/>
      <c r="AB34" s="48"/>
      <c r="AC34" s="48"/>
    </row>
    <row r="35" spans="1:68" ht="16.5" customHeight="1" x14ac:dyDescent="0.25">
      <c r="A35" s="288" t="s">
        <v>88</v>
      </c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61"/>
      <c r="AB35" s="261"/>
      <c r="AC35" s="261"/>
    </row>
    <row r="36" spans="1:68" ht="14.25" customHeight="1" x14ac:dyDescent="0.25">
      <c r="A36" s="276" t="s">
        <v>89</v>
      </c>
      <c r="B36" s="277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62"/>
      <c r="AB36" s="262"/>
      <c r="AC36" s="262"/>
    </row>
    <row r="37" spans="1:68" ht="27" customHeight="1" x14ac:dyDescent="0.25">
      <c r="A37" s="54" t="s">
        <v>90</v>
      </c>
      <c r="B37" s="54" t="s">
        <v>91</v>
      </c>
      <c r="C37" s="31">
        <v>4301132190</v>
      </c>
      <c r="D37" s="282">
        <v>4607111036537</v>
      </c>
      <c r="E37" s="283"/>
      <c r="F37" s="265">
        <v>0.25</v>
      </c>
      <c r="G37" s="32">
        <v>6</v>
      </c>
      <c r="H37" s="265">
        <v>1.5</v>
      </c>
      <c r="I37" s="265">
        <v>1.9218</v>
      </c>
      <c r="J37" s="32">
        <v>140</v>
      </c>
      <c r="K37" s="32" t="s">
        <v>92</v>
      </c>
      <c r="L37" s="32" t="s">
        <v>93</v>
      </c>
      <c r="M37" s="33" t="s">
        <v>69</v>
      </c>
      <c r="N37" s="33"/>
      <c r="O37" s="32">
        <v>365</v>
      </c>
      <c r="P37" s="38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7" s="271"/>
      <c r="R37" s="271"/>
      <c r="S37" s="271"/>
      <c r="T37" s="272"/>
      <c r="U37" s="34"/>
      <c r="V37" s="34"/>
      <c r="W37" s="35" t="s">
        <v>70</v>
      </c>
      <c r="X37" s="266">
        <v>140</v>
      </c>
      <c r="Y37" s="267">
        <f>IFERROR(IF(X37="","",X37),"")</f>
        <v>140</v>
      </c>
      <c r="Z37" s="36">
        <f>IFERROR(IF(X37="","",X37*0.00941),"")</f>
        <v>1.3173999999999999</v>
      </c>
      <c r="AA37" s="56"/>
      <c r="AB37" s="57"/>
      <c r="AC37" s="84" t="s">
        <v>94</v>
      </c>
      <c r="AG37" s="67"/>
      <c r="AJ37" s="71" t="s">
        <v>95</v>
      </c>
      <c r="AK37" s="71">
        <v>140</v>
      </c>
      <c r="BB37" s="85" t="s">
        <v>96</v>
      </c>
      <c r="BM37" s="67">
        <f>IFERROR(X37*I37,"0")</f>
        <v>269.05200000000002</v>
      </c>
      <c r="BN37" s="67">
        <f>IFERROR(Y37*I37,"0")</f>
        <v>269.05200000000002</v>
      </c>
      <c r="BO37" s="67">
        <f>IFERROR(X37/J37,"0")</f>
        <v>1</v>
      </c>
      <c r="BP37" s="67">
        <f>IFERROR(Y37/J37,"0")</f>
        <v>1</v>
      </c>
    </row>
    <row r="38" spans="1:68" ht="27" customHeight="1" x14ac:dyDescent="0.25">
      <c r="A38" s="54" t="s">
        <v>97</v>
      </c>
      <c r="B38" s="54" t="s">
        <v>98</v>
      </c>
      <c r="C38" s="31">
        <v>4301132188</v>
      </c>
      <c r="D38" s="282">
        <v>4607111036605</v>
      </c>
      <c r="E38" s="283"/>
      <c r="F38" s="265">
        <v>0.25</v>
      </c>
      <c r="G38" s="32">
        <v>6</v>
      </c>
      <c r="H38" s="265">
        <v>1.5</v>
      </c>
      <c r="I38" s="265">
        <v>1.9218</v>
      </c>
      <c r="J38" s="32">
        <v>140</v>
      </c>
      <c r="K38" s="32" t="s">
        <v>92</v>
      </c>
      <c r="L38" s="32" t="s">
        <v>68</v>
      </c>
      <c r="M38" s="33" t="s">
        <v>69</v>
      </c>
      <c r="N38" s="33"/>
      <c r="O38" s="32">
        <v>365</v>
      </c>
      <c r="P38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8" s="271"/>
      <c r="R38" s="271"/>
      <c r="S38" s="271"/>
      <c r="T38" s="272"/>
      <c r="U38" s="34"/>
      <c r="V38" s="34"/>
      <c r="W38" s="35" t="s">
        <v>70</v>
      </c>
      <c r="X38" s="266">
        <v>0</v>
      </c>
      <c r="Y38" s="267">
        <f>IFERROR(IF(X38="","",X38),"")</f>
        <v>0</v>
      </c>
      <c r="Z38" s="36">
        <f>IFERROR(IF(X38="","",X38*0.00941),"")</f>
        <v>0</v>
      </c>
      <c r="AA38" s="56"/>
      <c r="AB38" s="57"/>
      <c r="AC38" s="86" t="s">
        <v>94</v>
      </c>
      <c r="AG38" s="67"/>
      <c r="AJ38" s="71" t="s">
        <v>72</v>
      </c>
      <c r="AK38" s="71">
        <v>1</v>
      </c>
      <c r="BB38" s="87" t="s">
        <v>96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x14ac:dyDescent="0.2">
      <c r="A39" s="294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95"/>
      <c r="P39" s="284" t="s">
        <v>79</v>
      </c>
      <c r="Q39" s="285"/>
      <c r="R39" s="285"/>
      <c r="S39" s="285"/>
      <c r="T39" s="285"/>
      <c r="U39" s="285"/>
      <c r="V39" s="286"/>
      <c r="W39" s="37" t="s">
        <v>70</v>
      </c>
      <c r="X39" s="268">
        <f>IFERROR(SUM(X37:X38),"0")</f>
        <v>140</v>
      </c>
      <c r="Y39" s="268">
        <f>IFERROR(SUM(Y37:Y38),"0")</f>
        <v>140</v>
      </c>
      <c r="Z39" s="268">
        <f>IFERROR(IF(Z37="",0,Z37),"0")+IFERROR(IF(Z38="",0,Z38),"0")</f>
        <v>1.3173999999999999</v>
      </c>
      <c r="AA39" s="269"/>
      <c r="AB39" s="269"/>
      <c r="AC39" s="269"/>
    </row>
    <row r="40" spans="1:68" x14ac:dyDescent="0.2">
      <c r="A40" s="277"/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95"/>
      <c r="P40" s="284" t="s">
        <v>79</v>
      </c>
      <c r="Q40" s="285"/>
      <c r="R40" s="285"/>
      <c r="S40" s="285"/>
      <c r="T40" s="285"/>
      <c r="U40" s="285"/>
      <c r="V40" s="286"/>
      <c r="W40" s="37" t="s">
        <v>80</v>
      </c>
      <c r="X40" s="268">
        <f>IFERROR(SUMPRODUCT(X37:X38*H37:H38),"0")</f>
        <v>210</v>
      </c>
      <c r="Y40" s="268">
        <f>IFERROR(SUMPRODUCT(Y37:Y38*H37:H38),"0")</f>
        <v>210</v>
      </c>
      <c r="Z40" s="37"/>
      <c r="AA40" s="269"/>
      <c r="AB40" s="269"/>
      <c r="AC40" s="269"/>
    </row>
    <row r="41" spans="1:68" ht="16.5" customHeight="1" x14ac:dyDescent="0.25">
      <c r="A41" s="288" t="s">
        <v>99</v>
      </c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61"/>
      <c r="AB41" s="261"/>
      <c r="AC41" s="261"/>
    </row>
    <row r="42" spans="1:68" ht="14.25" customHeight="1" x14ac:dyDescent="0.25">
      <c r="A42" s="276" t="s">
        <v>64</v>
      </c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62"/>
      <c r="AB42" s="262"/>
      <c r="AC42" s="262"/>
    </row>
    <row r="43" spans="1:68" ht="27" customHeight="1" x14ac:dyDescent="0.25">
      <c r="A43" s="54" t="s">
        <v>100</v>
      </c>
      <c r="B43" s="54" t="s">
        <v>101</v>
      </c>
      <c r="C43" s="31">
        <v>4301071090</v>
      </c>
      <c r="D43" s="282">
        <v>4620207490075</v>
      </c>
      <c r="E43" s="283"/>
      <c r="F43" s="265">
        <v>0.7</v>
      </c>
      <c r="G43" s="32">
        <v>8</v>
      </c>
      <c r="H43" s="265">
        <v>5.6</v>
      </c>
      <c r="I43" s="265">
        <v>5.87</v>
      </c>
      <c r="J43" s="32">
        <v>84</v>
      </c>
      <c r="K43" s="32" t="s">
        <v>67</v>
      </c>
      <c r="L43" s="32" t="s">
        <v>68</v>
      </c>
      <c r="M43" s="33" t="s">
        <v>69</v>
      </c>
      <c r="N43" s="33"/>
      <c r="O43" s="32">
        <v>180</v>
      </c>
      <c r="P43" s="37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3" s="271"/>
      <c r="R43" s="271"/>
      <c r="S43" s="271"/>
      <c r="T43" s="272"/>
      <c r="U43" s="34"/>
      <c r="V43" s="34"/>
      <c r="W43" s="35" t="s">
        <v>70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72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103</v>
      </c>
      <c r="B44" s="54" t="s">
        <v>104</v>
      </c>
      <c r="C44" s="31">
        <v>4301071092</v>
      </c>
      <c r="D44" s="282">
        <v>4620207490174</v>
      </c>
      <c r="E44" s="283"/>
      <c r="F44" s="265">
        <v>0.7</v>
      </c>
      <c r="G44" s="32">
        <v>8</v>
      </c>
      <c r="H44" s="265">
        <v>5.6</v>
      </c>
      <c r="I44" s="265">
        <v>5.87</v>
      </c>
      <c r="J44" s="32">
        <v>84</v>
      </c>
      <c r="K44" s="32" t="s">
        <v>67</v>
      </c>
      <c r="L44" s="32" t="s">
        <v>105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4" s="271"/>
      <c r="R44" s="271"/>
      <c r="S44" s="271"/>
      <c r="T44" s="272"/>
      <c r="U44" s="34"/>
      <c r="V44" s="34"/>
      <c r="W44" s="35" t="s">
        <v>70</v>
      </c>
      <c r="X44" s="266">
        <v>12</v>
      </c>
      <c r="Y44" s="267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106</v>
      </c>
      <c r="AG44" s="67"/>
      <c r="AJ44" s="71" t="s">
        <v>107</v>
      </c>
      <c r="AK44" s="71">
        <v>12</v>
      </c>
      <c r="BB44" s="91" t="s">
        <v>1</v>
      </c>
      <c r="BM44" s="67">
        <f>IFERROR(X44*I44,"0")</f>
        <v>70.44</v>
      </c>
      <c r="BN44" s="67">
        <f>IFERROR(Y44*I44,"0")</f>
        <v>70.44</v>
      </c>
      <c r="BO44" s="67">
        <f>IFERROR(X44/J44,"0")</f>
        <v>0.14285714285714285</v>
      </c>
      <c r="BP44" s="67">
        <f>IFERROR(Y44/J44,"0")</f>
        <v>0.14285714285714285</v>
      </c>
    </row>
    <row r="45" spans="1:68" ht="27" customHeight="1" x14ac:dyDescent="0.25">
      <c r="A45" s="54" t="s">
        <v>108</v>
      </c>
      <c r="B45" s="54" t="s">
        <v>109</v>
      </c>
      <c r="C45" s="31">
        <v>4301071091</v>
      </c>
      <c r="D45" s="282">
        <v>4620207490044</v>
      </c>
      <c r="E45" s="283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40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110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94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95"/>
      <c r="P46" s="284" t="s">
        <v>79</v>
      </c>
      <c r="Q46" s="285"/>
      <c r="R46" s="285"/>
      <c r="S46" s="285"/>
      <c r="T46" s="285"/>
      <c r="U46" s="285"/>
      <c r="V46" s="286"/>
      <c r="W46" s="37" t="s">
        <v>70</v>
      </c>
      <c r="X46" s="268">
        <f>IFERROR(SUM(X43:X45),"0")</f>
        <v>12</v>
      </c>
      <c r="Y46" s="268">
        <f>IFERROR(SUM(Y43:Y45),"0")</f>
        <v>12</v>
      </c>
      <c r="Z46" s="268">
        <f>IFERROR(IF(Z43="",0,Z43),"0")+IFERROR(IF(Z44="",0,Z44),"0")+IFERROR(IF(Z45="",0,Z45),"0")</f>
        <v>0.186</v>
      </c>
      <c r="AA46" s="269"/>
      <c r="AB46" s="269"/>
      <c r="AC46" s="269"/>
    </row>
    <row r="47" spans="1:68" x14ac:dyDescent="0.2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95"/>
      <c r="P47" s="284" t="s">
        <v>79</v>
      </c>
      <c r="Q47" s="285"/>
      <c r="R47" s="285"/>
      <c r="S47" s="285"/>
      <c r="T47" s="285"/>
      <c r="U47" s="285"/>
      <c r="V47" s="286"/>
      <c r="W47" s="37" t="s">
        <v>80</v>
      </c>
      <c r="X47" s="268">
        <f>IFERROR(SUMPRODUCT(X43:X45*H43:H45),"0")</f>
        <v>67.199999999999989</v>
      </c>
      <c r="Y47" s="268">
        <f>IFERROR(SUMPRODUCT(Y43:Y45*H43:H45),"0")</f>
        <v>67.199999999999989</v>
      </c>
      <c r="Z47" s="37"/>
      <c r="AA47" s="269"/>
      <c r="AB47" s="269"/>
      <c r="AC47" s="269"/>
    </row>
    <row r="48" spans="1:68" ht="16.5" customHeight="1" x14ac:dyDescent="0.25">
      <c r="A48" s="288" t="s">
        <v>111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1"/>
      <c r="AB48" s="261"/>
      <c r="AC48" s="261"/>
    </row>
    <row r="49" spans="1:68" ht="14.25" customHeight="1" x14ac:dyDescent="0.25">
      <c r="A49" s="276" t="s">
        <v>64</v>
      </c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62"/>
      <c r="AB49" s="262"/>
      <c r="AC49" s="262"/>
    </row>
    <row r="50" spans="1:68" ht="27" customHeight="1" x14ac:dyDescent="0.25">
      <c r="A50" s="54" t="s">
        <v>112</v>
      </c>
      <c r="B50" s="54" t="s">
        <v>113</v>
      </c>
      <c r="C50" s="31">
        <v>4301071044</v>
      </c>
      <c r="D50" s="282">
        <v>4607111039385</v>
      </c>
      <c r="E50" s="283"/>
      <c r="F50" s="265">
        <v>0.7</v>
      </c>
      <c r="G50" s="32">
        <v>10</v>
      </c>
      <c r="H50" s="265">
        <v>7</v>
      </c>
      <c r="I50" s="265">
        <v>7.3</v>
      </c>
      <c r="J50" s="32">
        <v>84</v>
      </c>
      <c r="K50" s="32" t="s">
        <v>67</v>
      </c>
      <c r="L50" s="32" t="s">
        <v>105</v>
      </c>
      <c r="M50" s="33" t="s">
        <v>69</v>
      </c>
      <c r="N50" s="33"/>
      <c r="O50" s="32">
        <v>180</v>
      </c>
      <c r="P50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271"/>
      <c r="R50" s="271"/>
      <c r="S50" s="271"/>
      <c r="T50" s="272"/>
      <c r="U50" s="34"/>
      <c r="V50" s="34"/>
      <c r="W50" s="35" t="s">
        <v>70</v>
      </c>
      <c r="X50" s="266">
        <v>24</v>
      </c>
      <c r="Y50" s="267">
        <f>IFERROR(IF(X50="","",X50),"")</f>
        <v>24</v>
      </c>
      <c r="Z50" s="36">
        <f>IFERROR(IF(X50="","",X50*0.0155),"")</f>
        <v>0.372</v>
      </c>
      <c r="AA50" s="56"/>
      <c r="AB50" s="57"/>
      <c r="AC50" s="94" t="s">
        <v>114</v>
      </c>
      <c r="AG50" s="67"/>
      <c r="AJ50" s="71" t="s">
        <v>107</v>
      </c>
      <c r="AK50" s="71">
        <v>12</v>
      </c>
      <c r="BB50" s="95" t="s">
        <v>1</v>
      </c>
      <c r="BM50" s="67">
        <f>IFERROR(X50*I50,"0")</f>
        <v>175.2</v>
      </c>
      <c r="BN50" s="67">
        <f>IFERROR(Y50*I50,"0")</f>
        <v>175.2</v>
      </c>
      <c r="BO50" s="67">
        <f>IFERROR(X50/J50,"0")</f>
        <v>0.2857142857142857</v>
      </c>
      <c r="BP50" s="67">
        <f>IFERROR(Y50/J50,"0")</f>
        <v>0.2857142857142857</v>
      </c>
    </row>
    <row r="51" spans="1:68" ht="27" customHeight="1" x14ac:dyDescent="0.25">
      <c r="A51" s="54" t="s">
        <v>115</v>
      </c>
      <c r="B51" s="54" t="s">
        <v>116</v>
      </c>
      <c r="C51" s="31">
        <v>4301071031</v>
      </c>
      <c r="D51" s="282">
        <v>4607111038982</v>
      </c>
      <c r="E51" s="283"/>
      <c r="F51" s="265">
        <v>0.7</v>
      </c>
      <c r="G51" s="32">
        <v>10</v>
      </c>
      <c r="H51" s="265">
        <v>7</v>
      </c>
      <c r="I51" s="265">
        <v>7.2859999999999996</v>
      </c>
      <c r="J51" s="32">
        <v>84</v>
      </c>
      <c r="K51" s="32" t="s">
        <v>67</v>
      </c>
      <c r="L51" s="32" t="s">
        <v>105</v>
      </c>
      <c r="M51" s="33" t="s">
        <v>69</v>
      </c>
      <c r="N51" s="33"/>
      <c r="O51" s="32">
        <v>180</v>
      </c>
      <c r="P51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1" s="271"/>
      <c r="R51" s="271"/>
      <c r="S51" s="271"/>
      <c r="T51" s="272"/>
      <c r="U51" s="34"/>
      <c r="V51" s="34"/>
      <c r="W51" s="35" t="s">
        <v>70</v>
      </c>
      <c r="X51" s="266">
        <v>84</v>
      </c>
      <c r="Y51" s="267">
        <f>IFERROR(IF(X51="","",X51),"")</f>
        <v>84</v>
      </c>
      <c r="Z51" s="36">
        <f>IFERROR(IF(X51="","",X51*0.0155),"")</f>
        <v>1.302</v>
      </c>
      <c r="AA51" s="56"/>
      <c r="AB51" s="57"/>
      <c r="AC51" s="96" t="s">
        <v>117</v>
      </c>
      <c r="AG51" s="67"/>
      <c r="AJ51" s="71" t="s">
        <v>107</v>
      </c>
      <c r="AK51" s="71">
        <v>12</v>
      </c>
      <c r="BB51" s="97" t="s">
        <v>1</v>
      </c>
      <c r="BM51" s="67">
        <f>IFERROR(X51*I51,"0")</f>
        <v>612.024</v>
      </c>
      <c r="BN51" s="67">
        <f>IFERROR(Y51*I51,"0")</f>
        <v>612.024</v>
      </c>
      <c r="BO51" s="67">
        <f>IFERROR(X51/J51,"0")</f>
        <v>1</v>
      </c>
      <c r="BP51" s="67">
        <f>IFERROR(Y51/J51,"0")</f>
        <v>1</v>
      </c>
    </row>
    <row r="52" spans="1:68" ht="27" customHeight="1" x14ac:dyDescent="0.25">
      <c r="A52" s="54" t="s">
        <v>118</v>
      </c>
      <c r="B52" s="54" t="s">
        <v>119</v>
      </c>
      <c r="C52" s="31">
        <v>4301071046</v>
      </c>
      <c r="D52" s="282">
        <v>4607111039354</v>
      </c>
      <c r="E52" s="283"/>
      <c r="F52" s="265">
        <v>0.4</v>
      </c>
      <c r="G52" s="32">
        <v>16</v>
      </c>
      <c r="H52" s="265">
        <v>6.4</v>
      </c>
      <c r="I52" s="265">
        <v>6.7195999999999998</v>
      </c>
      <c r="J52" s="32">
        <v>84</v>
      </c>
      <c r="K52" s="32" t="s">
        <v>67</v>
      </c>
      <c r="L52" s="32" t="s">
        <v>105</v>
      </c>
      <c r="M52" s="33" t="s">
        <v>69</v>
      </c>
      <c r="N52" s="33"/>
      <c r="O52" s="32">
        <v>180</v>
      </c>
      <c r="P52" s="34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6">
        <v>12</v>
      </c>
      <c r="Y52" s="267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117</v>
      </c>
      <c r="AG52" s="67"/>
      <c r="AJ52" s="71" t="s">
        <v>107</v>
      </c>
      <c r="AK52" s="71">
        <v>12</v>
      </c>
      <c r="BB52" s="99" t="s">
        <v>1</v>
      </c>
      <c r="BM52" s="67">
        <f>IFERROR(X52*I52,"0")</f>
        <v>80.635199999999998</v>
      </c>
      <c r="BN52" s="67">
        <f>IFERROR(Y52*I52,"0")</f>
        <v>80.635199999999998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120</v>
      </c>
      <c r="B53" s="54" t="s">
        <v>121</v>
      </c>
      <c r="C53" s="31">
        <v>4301071047</v>
      </c>
      <c r="D53" s="282">
        <v>4607111039330</v>
      </c>
      <c r="E53" s="283"/>
      <c r="F53" s="265">
        <v>0.7</v>
      </c>
      <c r="G53" s="32">
        <v>10</v>
      </c>
      <c r="H53" s="265">
        <v>7</v>
      </c>
      <c r="I53" s="265">
        <v>7.3</v>
      </c>
      <c r="J53" s="32">
        <v>84</v>
      </c>
      <c r="K53" s="32" t="s">
        <v>67</v>
      </c>
      <c r="L53" s="32" t="s">
        <v>93</v>
      </c>
      <c r="M53" s="33" t="s">
        <v>69</v>
      </c>
      <c r="N53" s="33"/>
      <c r="O53" s="32">
        <v>180</v>
      </c>
      <c r="P53" s="3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6">
        <v>72</v>
      </c>
      <c r="Y53" s="267">
        <f>IFERROR(IF(X53="","",X53),"")</f>
        <v>72</v>
      </c>
      <c r="Z53" s="36">
        <f>IFERROR(IF(X53="","",X53*0.0155),"")</f>
        <v>1.1160000000000001</v>
      </c>
      <c r="AA53" s="56"/>
      <c r="AB53" s="57"/>
      <c r="AC53" s="100" t="s">
        <v>117</v>
      </c>
      <c r="AG53" s="67"/>
      <c r="AJ53" s="71" t="s">
        <v>95</v>
      </c>
      <c r="AK53" s="71">
        <v>84</v>
      </c>
      <c r="BB53" s="101" t="s">
        <v>1</v>
      </c>
      <c r="BM53" s="67">
        <f>IFERROR(X53*I53,"0")</f>
        <v>525.6</v>
      </c>
      <c r="BN53" s="67">
        <f>IFERROR(Y53*I53,"0")</f>
        <v>525.6</v>
      </c>
      <c r="BO53" s="67">
        <f>IFERROR(X53/J53,"0")</f>
        <v>0.8571428571428571</v>
      </c>
      <c r="BP53" s="67">
        <f>IFERROR(Y53/J53,"0")</f>
        <v>0.8571428571428571</v>
      </c>
    </row>
    <row r="54" spans="1:68" x14ac:dyDescent="0.2">
      <c r="A54" s="294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95"/>
      <c r="P54" s="284" t="s">
        <v>79</v>
      </c>
      <c r="Q54" s="285"/>
      <c r="R54" s="285"/>
      <c r="S54" s="285"/>
      <c r="T54" s="285"/>
      <c r="U54" s="285"/>
      <c r="V54" s="286"/>
      <c r="W54" s="37" t="s">
        <v>70</v>
      </c>
      <c r="X54" s="268">
        <f>IFERROR(SUM(X50:X53),"0")</f>
        <v>192</v>
      </c>
      <c r="Y54" s="268">
        <f>IFERROR(SUM(Y50:Y53),"0")</f>
        <v>192</v>
      </c>
      <c r="Z54" s="268">
        <f>IFERROR(IF(Z50="",0,Z50),"0")+IFERROR(IF(Z51="",0,Z51),"0")+IFERROR(IF(Z52="",0,Z52),"0")+IFERROR(IF(Z53="",0,Z53),"0")</f>
        <v>2.976</v>
      </c>
      <c r="AA54" s="269"/>
      <c r="AB54" s="269"/>
      <c r="AC54" s="269"/>
    </row>
    <row r="55" spans="1:68" x14ac:dyDescent="0.2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95"/>
      <c r="P55" s="284" t="s">
        <v>79</v>
      </c>
      <c r="Q55" s="285"/>
      <c r="R55" s="285"/>
      <c r="S55" s="285"/>
      <c r="T55" s="285"/>
      <c r="U55" s="285"/>
      <c r="V55" s="286"/>
      <c r="W55" s="37" t="s">
        <v>80</v>
      </c>
      <c r="X55" s="268">
        <f>IFERROR(SUMPRODUCT(X50:X53*H50:H53),"0")</f>
        <v>1336.8</v>
      </c>
      <c r="Y55" s="268">
        <f>IFERROR(SUMPRODUCT(Y50:Y53*H50:H53),"0")</f>
        <v>1336.8</v>
      </c>
      <c r="Z55" s="37"/>
      <c r="AA55" s="269"/>
      <c r="AB55" s="269"/>
      <c r="AC55" s="269"/>
    </row>
    <row r="56" spans="1:68" ht="16.5" customHeight="1" x14ac:dyDescent="0.25">
      <c r="A56" s="288" t="s">
        <v>122</v>
      </c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61"/>
      <c r="AB56" s="261"/>
      <c r="AC56" s="261"/>
    </row>
    <row r="57" spans="1:68" ht="14.25" customHeight="1" x14ac:dyDescent="0.25">
      <c r="A57" s="276" t="s">
        <v>64</v>
      </c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62"/>
      <c r="AB57" s="262"/>
      <c r="AC57" s="262"/>
    </row>
    <row r="58" spans="1:68" ht="16.5" customHeight="1" x14ac:dyDescent="0.25">
      <c r="A58" s="54" t="s">
        <v>123</v>
      </c>
      <c r="B58" s="54" t="s">
        <v>124</v>
      </c>
      <c r="C58" s="31">
        <v>4301071073</v>
      </c>
      <c r="D58" s="282">
        <v>4620207490822</v>
      </c>
      <c r="E58" s="283"/>
      <c r="F58" s="265">
        <v>0.43</v>
      </c>
      <c r="G58" s="32">
        <v>8</v>
      </c>
      <c r="H58" s="265">
        <v>3.44</v>
      </c>
      <c r="I58" s="265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45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8" s="271"/>
      <c r="R58" s="271"/>
      <c r="S58" s="271"/>
      <c r="T58" s="272"/>
      <c r="U58" s="34"/>
      <c r="V58" s="34"/>
      <c r="W58" s="35" t="s">
        <v>70</v>
      </c>
      <c r="X58" s="266">
        <v>0</v>
      </c>
      <c r="Y58" s="267">
        <f>IFERROR(IF(X58="","",X58),"")</f>
        <v>0</v>
      </c>
      <c r="Z58" s="36">
        <f>IFERROR(IF(X58="","",X58*0.00866),"")</f>
        <v>0</v>
      </c>
      <c r="AA58" s="56"/>
      <c r="AB58" s="57"/>
      <c r="AC58" s="102" t="s">
        <v>125</v>
      </c>
      <c r="AG58" s="67"/>
      <c r="AJ58" s="71" t="s">
        <v>72</v>
      </c>
      <c r="AK58" s="71">
        <v>1</v>
      </c>
      <c r="BB58" s="103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94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95"/>
      <c r="P59" s="284" t="s">
        <v>79</v>
      </c>
      <c r="Q59" s="285"/>
      <c r="R59" s="285"/>
      <c r="S59" s="285"/>
      <c r="T59" s="285"/>
      <c r="U59" s="285"/>
      <c r="V59" s="286"/>
      <c r="W59" s="37" t="s">
        <v>70</v>
      </c>
      <c r="X59" s="268">
        <f>IFERROR(SUM(X58:X58),"0")</f>
        <v>0</v>
      </c>
      <c r="Y59" s="268">
        <f>IFERROR(SUM(Y58:Y58),"0")</f>
        <v>0</v>
      </c>
      <c r="Z59" s="268">
        <f>IFERROR(IF(Z58="",0,Z58),"0")</f>
        <v>0</v>
      </c>
      <c r="AA59" s="269"/>
      <c r="AB59" s="269"/>
      <c r="AC59" s="269"/>
    </row>
    <row r="60" spans="1:68" x14ac:dyDescent="0.2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95"/>
      <c r="P60" s="284" t="s">
        <v>79</v>
      </c>
      <c r="Q60" s="285"/>
      <c r="R60" s="285"/>
      <c r="S60" s="285"/>
      <c r="T60" s="285"/>
      <c r="U60" s="285"/>
      <c r="V60" s="286"/>
      <c r="W60" s="37" t="s">
        <v>80</v>
      </c>
      <c r="X60" s="268">
        <f>IFERROR(SUMPRODUCT(X58:X58*H58:H58),"0")</f>
        <v>0</v>
      </c>
      <c r="Y60" s="268">
        <f>IFERROR(SUMPRODUCT(Y58:Y58*H58:H58),"0")</f>
        <v>0</v>
      </c>
      <c r="Z60" s="37"/>
      <c r="AA60" s="269"/>
      <c r="AB60" s="269"/>
      <c r="AC60" s="269"/>
    </row>
    <row r="61" spans="1:68" ht="14.25" customHeight="1" x14ac:dyDescent="0.25">
      <c r="A61" s="276" t="s">
        <v>89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62"/>
      <c r="AB61" s="262"/>
      <c r="AC61" s="262"/>
    </row>
    <row r="62" spans="1:68" ht="27" customHeight="1" x14ac:dyDescent="0.25">
      <c r="A62" s="54" t="s">
        <v>126</v>
      </c>
      <c r="B62" s="54" t="s">
        <v>127</v>
      </c>
      <c r="C62" s="31">
        <v>4301132194</v>
      </c>
      <c r="D62" s="282">
        <v>4607111039712</v>
      </c>
      <c r="E62" s="283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92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2" s="271"/>
      <c r="R62" s="271"/>
      <c r="S62" s="271"/>
      <c r="T62" s="272"/>
      <c r="U62" s="34"/>
      <c r="V62" s="34"/>
      <c r="W62" s="35" t="s">
        <v>70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4" t="s">
        <v>128</v>
      </c>
      <c r="AG62" s="67"/>
      <c r="AJ62" s="71" t="s">
        <v>72</v>
      </c>
      <c r="AK62" s="71">
        <v>1</v>
      </c>
      <c r="BB62" s="105" t="s">
        <v>96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4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95"/>
      <c r="P63" s="284" t="s">
        <v>79</v>
      </c>
      <c r="Q63" s="285"/>
      <c r="R63" s="285"/>
      <c r="S63" s="285"/>
      <c r="T63" s="285"/>
      <c r="U63" s="285"/>
      <c r="V63" s="286"/>
      <c r="W63" s="37" t="s">
        <v>70</v>
      </c>
      <c r="X63" s="268">
        <f>IFERROR(SUM(X62:X62),"0")</f>
        <v>0</v>
      </c>
      <c r="Y63" s="268">
        <f>IFERROR(SUM(Y62:Y62),"0")</f>
        <v>0</v>
      </c>
      <c r="Z63" s="268">
        <f>IFERROR(IF(Z62="",0,Z62),"0")</f>
        <v>0</v>
      </c>
      <c r="AA63" s="269"/>
      <c r="AB63" s="269"/>
      <c r="AC63" s="269"/>
    </row>
    <row r="64" spans="1:68" x14ac:dyDescent="0.2">
      <c r="A64" s="277"/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95"/>
      <c r="P64" s="284" t="s">
        <v>79</v>
      </c>
      <c r="Q64" s="285"/>
      <c r="R64" s="285"/>
      <c r="S64" s="285"/>
      <c r="T64" s="285"/>
      <c r="U64" s="285"/>
      <c r="V64" s="286"/>
      <c r="W64" s="37" t="s">
        <v>80</v>
      </c>
      <c r="X64" s="268">
        <f>IFERROR(SUMPRODUCT(X62:X62*H62:H62),"0")</f>
        <v>0</v>
      </c>
      <c r="Y64" s="268">
        <f>IFERROR(SUMPRODUCT(Y62:Y62*H62:H62),"0")</f>
        <v>0</v>
      </c>
      <c r="Z64" s="37"/>
      <c r="AA64" s="269"/>
      <c r="AB64" s="269"/>
      <c r="AC64" s="269"/>
    </row>
    <row r="65" spans="1:68" ht="14.25" customHeight="1" x14ac:dyDescent="0.25">
      <c r="A65" s="276" t="s">
        <v>129</v>
      </c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62"/>
      <c r="AB65" s="262"/>
      <c r="AC65" s="262"/>
    </row>
    <row r="66" spans="1:68" ht="16.5" customHeight="1" x14ac:dyDescent="0.25">
      <c r="A66" s="54" t="s">
        <v>130</v>
      </c>
      <c r="B66" s="54" t="s">
        <v>131</v>
      </c>
      <c r="C66" s="31">
        <v>4301136018</v>
      </c>
      <c r="D66" s="282">
        <v>4607111037008</v>
      </c>
      <c r="E66" s="283"/>
      <c r="F66" s="265">
        <v>0.36</v>
      </c>
      <c r="G66" s="32">
        <v>4</v>
      </c>
      <c r="H66" s="265">
        <v>1.44</v>
      </c>
      <c r="I66" s="265">
        <v>1.74</v>
      </c>
      <c r="J66" s="32">
        <v>140</v>
      </c>
      <c r="K66" s="32" t="s">
        <v>92</v>
      </c>
      <c r="L66" s="32" t="s">
        <v>68</v>
      </c>
      <c r="M66" s="33" t="s">
        <v>69</v>
      </c>
      <c r="N66" s="33"/>
      <c r="O66" s="32">
        <v>365</v>
      </c>
      <c r="P66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271"/>
      <c r="R66" s="271"/>
      <c r="S66" s="271"/>
      <c r="T66" s="272"/>
      <c r="U66" s="34"/>
      <c r="V66" s="34"/>
      <c r="W66" s="35" t="s">
        <v>70</v>
      </c>
      <c r="X66" s="266">
        <v>0</v>
      </c>
      <c r="Y66" s="267">
        <f>IFERROR(IF(X66="","",X66),"")</f>
        <v>0</v>
      </c>
      <c r="Z66" s="36">
        <f>IFERROR(IF(X66="","",X66*0.00941),"")</f>
        <v>0</v>
      </c>
      <c r="AA66" s="56"/>
      <c r="AB66" s="57"/>
      <c r="AC66" s="106" t="s">
        <v>132</v>
      </c>
      <c r="AG66" s="67"/>
      <c r="AJ66" s="71" t="s">
        <v>72</v>
      </c>
      <c r="AK66" s="71">
        <v>1</v>
      </c>
      <c r="BB66" s="107" t="s">
        <v>96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16.5" customHeight="1" x14ac:dyDescent="0.25">
      <c r="A67" s="54" t="s">
        <v>133</v>
      </c>
      <c r="B67" s="54" t="s">
        <v>134</v>
      </c>
      <c r="C67" s="31">
        <v>4301136015</v>
      </c>
      <c r="D67" s="282">
        <v>4607111037398</v>
      </c>
      <c r="E67" s="283"/>
      <c r="F67" s="265">
        <v>0.09</v>
      </c>
      <c r="G67" s="32">
        <v>24</v>
      </c>
      <c r="H67" s="265">
        <v>2.16</v>
      </c>
      <c r="I67" s="265">
        <v>4.0199999999999996</v>
      </c>
      <c r="J67" s="32">
        <v>126</v>
      </c>
      <c r="K67" s="32" t="s">
        <v>92</v>
      </c>
      <c r="L67" s="32" t="s">
        <v>68</v>
      </c>
      <c r="M67" s="33" t="s">
        <v>69</v>
      </c>
      <c r="N67" s="33"/>
      <c r="O67" s="32">
        <v>365</v>
      </c>
      <c r="P67" s="43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7" s="271"/>
      <c r="R67" s="271"/>
      <c r="S67" s="271"/>
      <c r="T67" s="272"/>
      <c r="U67" s="34"/>
      <c r="V67" s="34"/>
      <c r="W67" s="35" t="s">
        <v>70</v>
      </c>
      <c r="X67" s="266">
        <v>0</v>
      </c>
      <c r="Y67" s="267">
        <f>IFERROR(IF(X67="","",X67),"")</f>
        <v>0</v>
      </c>
      <c r="Z67" s="36">
        <f>IFERROR(IF(X67="","",X67*0.00936),"")</f>
        <v>0</v>
      </c>
      <c r="AA67" s="56"/>
      <c r="AB67" s="57"/>
      <c r="AC67" s="108" t="s">
        <v>132</v>
      </c>
      <c r="AG67" s="67"/>
      <c r="AJ67" s="71" t="s">
        <v>72</v>
      </c>
      <c r="AK67" s="71">
        <v>1</v>
      </c>
      <c r="BB67" s="109" t="s">
        <v>96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294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95"/>
      <c r="P68" s="284" t="s">
        <v>79</v>
      </c>
      <c r="Q68" s="285"/>
      <c r="R68" s="285"/>
      <c r="S68" s="285"/>
      <c r="T68" s="285"/>
      <c r="U68" s="285"/>
      <c r="V68" s="286"/>
      <c r="W68" s="37" t="s">
        <v>70</v>
      </c>
      <c r="X68" s="268">
        <f>IFERROR(SUM(X66:X67),"0")</f>
        <v>0</v>
      </c>
      <c r="Y68" s="268">
        <f>IFERROR(SUM(Y66:Y67),"0")</f>
        <v>0</v>
      </c>
      <c r="Z68" s="268">
        <f>IFERROR(IF(Z66="",0,Z66),"0")+IFERROR(IF(Z67="",0,Z67),"0")</f>
        <v>0</v>
      </c>
      <c r="AA68" s="269"/>
      <c r="AB68" s="269"/>
      <c r="AC68" s="269"/>
    </row>
    <row r="69" spans="1:68" x14ac:dyDescent="0.2">
      <c r="A69" s="277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95"/>
      <c r="P69" s="284" t="s">
        <v>79</v>
      </c>
      <c r="Q69" s="285"/>
      <c r="R69" s="285"/>
      <c r="S69" s="285"/>
      <c r="T69" s="285"/>
      <c r="U69" s="285"/>
      <c r="V69" s="286"/>
      <c r="W69" s="37" t="s">
        <v>80</v>
      </c>
      <c r="X69" s="268">
        <f>IFERROR(SUMPRODUCT(X66:X67*H66:H67),"0")</f>
        <v>0</v>
      </c>
      <c r="Y69" s="268">
        <f>IFERROR(SUMPRODUCT(Y66:Y67*H66:H67),"0")</f>
        <v>0</v>
      </c>
      <c r="Z69" s="37"/>
      <c r="AA69" s="269"/>
      <c r="AB69" s="269"/>
      <c r="AC69" s="269"/>
    </row>
    <row r="70" spans="1:68" ht="14.25" customHeight="1" x14ac:dyDescent="0.25">
      <c r="A70" s="276" t="s">
        <v>135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62"/>
      <c r="AB70" s="262"/>
      <c r="AC70" s="262"/>
    </row>
    <row r="71" spans="1:68" ht="27" customHeight="1" x14ac:dyDescent="0.25">
      <c r="A71" s="54" t="s">
        <v>136</v>
      </c>
      <c r="B71" s="54" t="s">
        <v>137</v>
      </c>
      <c r="C71" s="31">
        <v>4301135664</v>
      </c>
      <c r="D71" s="282">
        <v>4607111039705</v>
      </c>
      <c r="E71" s="283"/>
      <c r="F71" s="265">
        <v>0.2</v>
      </c>
      <c r="G71" s="32">
        <v>6</v>
      </c>
      <c r="H71" s="265">
        <v>1.2</v>
      </c>
      <c r="I71" s="265">
        <v>1.56</v>
      </c>
      <c r="J71" s="32">
        <v>140</v>
      </c>
      <c r="K71" s="32" t="s">
        <v>92</v>
      </c>
      <c r="L71" s="32" t="s">
        <v>68</v>
      </c>
      <c r="M71" s="33" t="s">
        <v>69</v>
      </c>
      <c r="N71" s="33"/>
      <c r="O71" s="32">
        <v>365</v>
      </c>
      <c r="P71" s="45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1" s="271"/>
      <c r="R71" s="271"/>
      <c r="S71" s="271"/>
      <c r="T71" s="272"/>
      <c r="U71" s="34"/>
      <c r="V71" s="34"/>
      <c r="W71" s="35" t="s">
        <v>70</v>
      </c>
      <c r="X71" s="266">
        <v>0</v>
      </c>
      <c r="Y71" s="267">
        <f>IFERROR(IF(X71="","",X71),"")</f>
        <v>0</v>
      </c>
      <c r="Z71" s="36">
        <f>IFERROR(IF(X71="","",X71*0.00941),"")</f>
        <v>0</v>
      </c>
      <c r="AA71" s="56"/>
      <c r="AB71" s="57"/>
      <c r="AC71" s="110" t="s">
        <v>132</v>
      </c>
      <c r="AG71" s="67"/>
      <c r="AJ71" s="71" t="s">
        <v>72</v>
      </c>
      <c r="AK71" s="71">
        <v>1</v>
      </c>
      <c r="BB71" s="111" t="s">
        <v>96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138</v>
      </c>
      <c r="B72" s="54" t="s">
        <v>139</v>
      </c>
      <c r="C72" s="31">
        <v>4301135665</v>
      </c>
      <c r="D72" s="282">
        <v>4607111039729</v>
      </c>
      <c r="E72" s="283"/>
      <c r="F72" s="265">
        <v>0.2</v>
      </c>
      <c r="G72" s="32">
        <v>6</v>
      </c>
      <c r="H72" s="265">
        <v>1.2</v>
      </c>
      <c r="I72" s="265">
        <v>1.56</v>
      </c>
      <c r="J72" s="32">
        <v>140</v>
      </c>
      <c r="K72" s="32" t="s">
        <v>92</v>
      </c>
      <c r="L72" s="32" t="s">
        <v>105</v>
      </c>
      <c r="M72" s="33" t="s">
        <v>69</v>
      </c>
      <c r="N72" s="33"/>
      <c r="O72" s="32">
        <v>365</v>
      </c>
      <c r="P72" s="44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2" s="271"/>
      <c r="R72" s="271"/>
      <c r="S72" s="271"/>
      <c r="T72" s="272"/>
      <c r="U72" s="34"/>
      <c r="V72" s="34"/>
      <c r="W72" s="35" t="s">
        <v>70</v>
      </c>
      <c r="X72" s="266">
        <v>28</v>
      </c>
      <c r="Y72" s="267">
        <f>IFERROR(IF(X72="","",X72),"")</f>
        <v>28</v>
      </c>
      <c r="Z72" s="36">
        <f>IFERROR(IF(X72="","",X72*0.00941),"")</f>
        <v>0.26347999999999999</v>
      </c>
      <c r="AA72" s="56"/>
      <c r="AB72" s="57"/>
      <c r="AC72" s="112" t="s">
        <v>140</v>
      </c>
      <c r="AG72" s="67"/>
      <c r="AJ72" s="71" t="s">
        <v>107</v>
      </c>
      <c r="AK72" s="71">
        <v>14</v>
      </c>
      <c r="BB72" s="113" t="s">
        <v>96</v>
      </c>
      <c r="BM72" s="67">
        <f>IFERROR(X72*I72,"0")</f>
        <v>43.68</v>
      </c>
      <c r="BN72" s="67">
        <f>IFERROR(Y72*I72,"0")</f>
        <v>43.68</v>
      </c>
      <c r="BO72" s="67">
        <f>IFERROR(X72/J72,"0")</f>
        <v>0.2</v>
      </c>
      <c r="BP72" s="67">
        <f>IFERROR(Y72/J72,"0")</f>
        <v>0.2</v>
      </c>
    </row>
    <row r="73" spans="1:68" ht="27" customHeight="1" x14ac:dyDescent="0.25">
      <c r="A73" s="54" t="s">
        <v>141</v>
      </c>
      <c r="B73" s="54" t="s">
        <v>142</v>
      </c>
      <c r="C73" s="31">
        <v>4301135702</v>
      </c>
      <c r="D73" s="282">
        <v>4620207490228</v>
      </c>
      <c r="E73" s="283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92</v>
      </c>
      <c r="L73" s="32" t="s">
        <v>105</v>
      </c>
      <c r="M73" s="33" t="s">
        <v>69</v>
      </c>
      <c r="N73" s="33"/>
      <c r="O73" s="32">
        <v>365</v>
      </c>
      <c r="P73" s="27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140</v>
      </c>
      <c r="AG73" s="67"/>
      <c r="AJ73" s="71" t="s">
        <v>107</v>
      </c>
      <c r="AK73" s="71">
        <v>14</v>
      </c>
      <c r="BB73" s="115" t="s">
        <v>96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x14ac:dyDescent="0.2">
      <c r="A74" s="294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95"/>
      <c r="P74" s="284" t="s">
        <v>79</v>
      </c>
      <c r="Q74" s="285"/>
      <c r="R74" s="285"/>
      <c r="S74" s="285"/>
      <c r="T74" s="285"/>
      <c r="U74" s="285"/>
      <c r="V74" s="286"/>
      <c r="W74" s="37" t="s">
        <v>70</v>
      </c>
      <c r="X74" s="268">
        <f>IFERROR(SUM(X71:X73),"0")</f>
        <v>28</v>
      </c>
      <c r="Y74" s="268">
        <f>IFERROR(SUM(Y71:Y73),"0")</f>
        <v>28</v>
      </c>
      <c r="Z74" s="268">
        <f>IFERROR(IF(Z71="",0,Z71),"0")+IFERROR(IF(Z72="",0,Z72),"0")+IFERROR(IF(Z73="",0,Z73),"0")</f>
        <v>0.26347999999999999</v>
      </c>
      <c r="AA74" s="269"/>
      <c r="AB74" s="269"/>
      <c r="AC74" s="269"/>
    </row>
    <row r="75" spans="1:68" x14ac:dyDescent="0.2">
      <c r="A75" s="277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95"/>
      <c r="P75" s="284" t="s">
        <v>79</v>
      </c>
      <c r="Q75" s="285"/>
      <c r="R75" s="285"/>
      <c r="S75" s="285"/>
      <c r="T75" s="285"/>
      <c r="U75" s="285"/>
      <c r="V75" s="286"/>
      <c r="W75" s="37" t="s">
        <v>80</v>
      </c>
      <c r="X75" s="268">
        <f>IFERROR(SUMPRODUCT(X71:X73*H71:H73),"0")</f>
        <v>33.6</v>
      </c>
      <c r="Y75" s="268">
        <f>IFERROR(SUMPRODUCT(Y71:Y73*H71:H73),"0")</f>
        <v>33.6</v>
      </c>
      <c r="Z75" s="37"/>
      <c r="AA75" s="269"/>
      <c r="AB75" s="269"/>
      <c r="AC75" s="269"/>
    </row>
    <row r="76" spans="1:68" ht="16.5" customHeight="1" x14ac:dyDescent="0.25">
      <c r="A76" s="288" t="s">
        <v>143</v>
      </c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61"/>
      <c r="AB76" s="261"/>
      <c r="AC76" s="261"/>
    </row>
    <row r="77" spans="1:68" ht="14.25" customHeight="1" x14ac:dyDescent="0.25">
      <c r="A77" s="276" t="s">
        <v>64</v>
      </c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62"/>
      <c r="AB77" s="262"/>
      <c r="AC77" s="262"/>
    </row>
    <row r="78" spans="1:68" ht="27" customHeight="1" x14ac:dyDescent="0.25">
      <c r="A78" s="54" t="s">
        <v>144</v>
      </c>
      <c r="B78" s="54" t="s">
        <v>145</v>
      </c>
      <c r="C78" s="31">
        <v>4301070977</v>
      </c>
      <c r="D78" s="282">
        <v>4607111037411</v>
      </c>
      <c r="E78" s="283"/>
      <c r="F78" s="265">
        <v>2.7</v>
      </c>
      <c r="G78" s="32">
        <v>1</v>
      </c>
      <c r="H78" s="265">
        <v>2.7</v>
      </c>
      <c r="I78" s="265">
        <v>2.8132000000000001</v>
      </c>
      <c r="J78" s="32">
        <v>234</v>
      </c>
      <c r="K78" s="32" t="s">
        <v>146</v>
      </c>
      <c r="L78" s="32" t="s">
        <v>105</v>
      </c>
      <c r="M78" s="33" t="s">
        <v>69</v>
      </c>
      <c r="N78" s="33"/>
      <c r="O78" s="32">
        <v>180</v>
      </c>
      <c r="P78" s="34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271"/>
      <c r="R78" s="271"/>
      <c r="S78" s="271"/>
      <c r="T78" s="272"/>
      <c r="U78" s="34"/>
      <c r="V78" s="34"/>
      <c r="W78" s="35" t="s">
        <v>70</v>
      </c>
      <c r="X78" s="266">
        <v>0</v>
      </c>
      <c r="Y78" s="267">
        <f>IFERROR(IF(X78="","",X78),"")</f>
        <v>0</v>
      </c>
      <c r="Z78" s="36">
        <f>IFERROR(IF(X78="","",X78*0.00502),"")</f>
        <v>0</v>
      </c>
      <c r="AA78" s="56"/>
      <c r="AB78" s="57"/>
      <c r="AC78" s="116" t="s">
        <v>147</v>
      </c>
      <c r="AG78" s="67"/>
      <c r="AJ78" s="71" t="s">
        <v>107</v>
      </c>
      <c r="AK78" s="71">
        <v>18</v>
      </c>
      <c r="BB78" s="117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148</v>
      </c>
      <c r="B79" s="54" t="s">
        <v>149</v>
      </c>
      <c r="C79" s="31">
        <v>4301070981</v>
      </c>
      <c r="D79" s="282">
        <v>4607111036728</v>
      </c>
      <c r="E79" s="283"/>
      <c r="F79" s="265">
        <v>5</v>
      </c>
      <c r="G79" s="32">
        <v>1</v>
      </c>
      <c r="H79" s="265">
        <v>5</v>
      </c>
      <c r="I79" s="265">
        <v>5.2131999999999996</v>
      </c>
      <c r="J79" s="32">
        <v>144</v>
      </c>
      <c r="K79" s="32" t="s">
        <v>67</v>
      </c>
      <c r="L79" s="32" t="s">
        <v>93</v>
      </c>
      <c r="M79" s="33" t="s">
        <v>69</v>
      </c>
      <c r="N79" s="33"/>
      <c r="O79" s="32">
        <v>180</v>
      </c>
      <c r="P79" s="2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271"/>
      <c r="R79" s="271"/>
      <c r="S79" s="271"/>
      <c r="T79" s="272"/>
      <c r="U79" s="34"/>
      <c r="V79" s="34"/>
      <c r="W79" s="35" t="s">
        <v>70</v>
      </c>
      <c r="X79" s="266">
        <v>360</v>
      </c>
      <c r="Y79" s="267">
        <f>IFERROR(IF(X79="","",X79),"")</f>
        <v>360</v>
      </c>
      <c r="Z79" s="36">
        <f>IFERROR(IF(X79="","",X79*0.00866),"")</f>
        <v>3.1175999999999999</v>
      </c>
      <c r="AA79" s="56"/>
      <c r="AB79" s="57"/>
      <c r="AC79" s="118" t="s">
        <v>147</v>
      </c>
      <c r="AG79" s="67"/>
      <c r="AJ79" s="71" t="s">
        <v>95</v>
      </c>
      <c r="AK79" s="71">
        <v>144</v>
      </c>
      <c r="BB79" s="119" t="s">
        <v>1</v>
      </c>
      <c r="BM79" s="67">
        <f>IFERROR(X79*I79,"0")</f>
        <v>1876.752</v>
      </c>
      <c r="BN79" s="67">
        <f>IFERROR(Y79*I79,"0")</f>
        <v>1876.752</v>
      </c>
      <c r="BO79" s="67">
        <f>IFERROR(X79/J79,"0")</f>
        <v>2.5</v>
      </c>
      <c r="BP79" s="67">
        <f>IFERROR(Y79/J79,"0")</f>
        <v>2.5</v>
      </c>
    </row>
    <row r="80" spans="1:68" x14ac:dyDescent="0.2">
      <c r="A80" s="294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95"/>
      <c r="P80" s="284" t="s">
        <v>79</v>
      </c>
      <c r="Q80" s="285"/>
      <c r="R80" s="285"/>
      <c r="S80" s="285"/>
      <c r="T80" s="285"/>
      <c r="U80" s="285"/>
      <c r="V80" s="286"/>
      <c r="W80" s="37" t="s">
        <v>70</v>
      </c>
      <c r="X80" s="268">
        <f>IFERROR(SUM(X78:X79),"0")</f>
        <v>360</v>
      </c>
      <c r="Y80" s="268">
        <f>IFERROR(SUM(Y78:Y79),"0")</f>
        <v>360</v>
      </c>
      <c r="Z80" s="268">
        <f>IFERROR(IF(Z78="",0,Z78),"0")+IFERROR(IF(Z79="",0,Z79),"0")</f>
        <v>3.1175999999999999</v>
      </c>
      <c r="AA80" s="269"/>
      <c r="AB80" s="269"/>
      <c r="AC80" s="269"/>
    </row>
    <row r="81" spans="1:68" x14ac:dyDescent="0.2">
      <c r="A81" s="277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95"/>
      <c r="P81" s="284" t="s">
        <v>79</v>
      </c>
      <c r="Q81" s="285"/>
      <c r="R81" s="285"/>
      <c r="S81" s="285"/>
      <c r="T81" s="285"/>
      <c r="U81" s="285"/>
      <c r="V81" s="286"/>
      <c r="W81" s="37" t="s">
        <v>80</v>
      </c>
      <c r="X81" s="268">
        <f>IFERROR(SUMPRODUCT(X78:X79*H78:H79),"0")</f>
        <v>1800</v>
      </c>
      <c r="Y81" s="268">
        <f>IFERROR(SUMPRODUCT(Y78:Y79*H78:H79),"0")</f>
        <v>1800</v>
      </c>
      <c r="Z81" s="37"/>
      <c r="AA81" s="269"/>
      <c r="AB81" s="269"/>
      <c r="AC81" s="269"/>
    </row>
    <row r="82" spans="1:68" ht="16.5" customHeight="1" x14ac:dyDescent="0.25">
      <c r="A82" s="288" t="s">
        <v>150</v>
      </c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61"/>
      <c r="AB82" s="261"/>
      <c r="AC82" s="261"/>
    </row>
    <row r="83" spans="1:68" ht="14.25" customHeight="1" x14ac:dyDescent="0.25">
      <c r="A83" s="276" t="s">
        <v>135</v>
      </c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62"/>
      <c r="AB83" s="262"/>
      <c r="AC83" s="262"/>
    </row>
    <row r="84" spans="1:68" ht="27" customHeight="1" x14ac:dyDescent="0.25">
      <c r="A84" s="54" t="s">
        <v>151</v>
      </c>
      <c r="B84" s="54" t="s">
        <v>152</v>
      </c>
      <c r="C84" s="31">
        <v>4301135574</v>
      </c>
      <c r="D84" s="282">
        <v>4607111033659</v>
      </c>
      <c r="E84" s="283"/>
      <c r="F84" s="265">
        <v>0.3</v>
      </c>
      <c r="G84" s="32">
        <v>12</v>
      </c>
      <c r="H84" s="265">
        <v>3.6</v>
      </c>
      <c r="I84" s="265">
        <v>4.3036000000000003</v>
      </c>
      <c r="J84" s="32">
        <v>70</v>
      </c>
      <c r="K84" s="32" t="s">
        <v>92</v>
      </c>
      <c r="L84" s="32" t="s">
        <v>105</v>
      </c>
      <c r="M84" s="33" t="s">
        <v>69</v>
      </c>
      <c r="N84" s="33"/>
      <c r="O84" s="32">
        <v>180</v>
      </c>
      <c r="P84" s="40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4" s="271"/>
      <c r="R84" s="271"/>
      <c r="S84" s="271"/>
      <c r="T84" s="272"/>
      <c r="U84" s="34"/>
      <c r="V84" s="34"/>
      <c r="W84" s="35" t="s">
        <v>70</v>
      </c>
      <c r="X84" s="266">
        <v>14</v>
      </c>
      <c r="Y84" s="267">
        <f>IFERROR(IF(X84="","",X84),"")</f>
        <v>14</v>
      </c>
      <c r="Z84" s="36">
        <f>IFERROR(IF(X84="","",X84*0.01788),"")</f>
        <v>0.25031999999999999</v>
      </c>
      <c r="AA84" s="56"/>
      <c r="AB84" s="57"/>
      <c r="AC84" s="120" t="s">
        <v>153</v>
      </c>
      <c r="AG84" s="67"/>
      <c r="AJ84" s="71" t="s">
        <v>107</v>
      </c>
      <c r="AK84" s="71">
        <v>14</v>
      </c>
      <c r="BB84" s="121" t="s">
        <v>96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294"/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95"/>
      <c r="P85" s="284" t="s">
        <v>79</v>
      </c>
      <c r="Q85" s="285"/>
      <c r="R85" s="285"/>
      <c r="S85" s="285"/>
      <c r="T85" s="285"/>
      <c r="U85" s="285"/>
      <c r="V85" s="286"/>
      <c r="W85" s="37" t="s">
        <v>70</v>
      </c>
      <c r="X85" s="268">
        <f>IFERROR(SUM(X84:X84),"0")</f>
        <v>14</v>
      </c>
      <c r="Y85" s="268">
        <f>IFERROR(SUM(Y84:Y84),"0")</f>
        <v>14</v>
      </c>
      <c r="Z85" s="268">
        <f>IFERROR(IF(Z84="",0,Z84),"0")</f>
        <v>0.25031999999999999</v>
      </c>
      <c r="AA85" s="269"/>
      <c r="AB85" s="269"/>
      <c r="AC85" s="269"/>
    </row>
    <row r="86" spans="1:68" x14ac:dyDescent="0.2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95"/>
      <c r="P86" s="284" t="s">
        <v>79</v>
      </c>
      <c r="Q86" s="285"/>
      <c r="R86" s="285"/>
      <c r="S86" s="285"/>
      <c r="T86" s="285"/>
      <c r="U86" s="285"/>
      <c r="V86" s="286"/>
      <c r="W86" s="37" t="s">
        <v>80</v>
      </c>
      <c r="X86" s="268">
        <f>IFERROR(SUMPRODUCT(X84:X84*H84:H84),"0")</f>
        <v>50.4</v>
      </c>
      <c r="Y86" s="268">
        <f>IFERROR(SUMPRODUCT(Y84:Y84*H84:H84),"0")</f>
        <v>50.4</v>
      </c>
      <c r="Z86" s="37"/>
      <c r="AA86" s="269"/>
      <c r="AB86" s="269"/>
      <c r="AC86" s="269"/>
    </row>
    <row r="87" spans="1:68" ht="16.5" customHeight="1" x14ac:dyDescent="0.25">
      <c r="A87" s="288" t="s">
        <v>154</v>
      </c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61"/>
      <c r="AB87" s="261"/>
      <c r="AC87" s="261"/>
    </row>
    <row r="88" spans="1:68" ht="14.25" customHeight="1" x14ac:dyDescent="0.25">
      <c r="A88" s="276" t="s">
        <v>155</v>
      </c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62"/>
      <c r="AB88" s="262"/>
      <c r="AC88" s="262"/>
    </row>
    <row r="89" spans="1:68" ht="27" customHeight="1" x14ac:dyDescent="0.25">
      <c r="A89" s="54" t="s">
        <v>156</v>
      </c>
      <c r="B89" s="54" t="s">
        <v>157</v>
      </c>
      <c r="C89" s="31">
        <v>4301131047</v>
      </c>
      <c r="D89" s="282">
        <v>4607111034120</v>
      </c>
      <c r="E89" s="283"/>
      <c r="F89" s="265">
        <v>0.3</v>
      </c>
      <c r="G89" s="32">
        <v>12</v>
      </c>
      <c r="H89" s="265">
        <v>3.6</v>
      </c>
      <c r="I89" s="265">
        <v>4.3036000000000003</v>
      </c>
      <c r="J89" s="32">
        <v>70</v>
      </c>
      <c r="K89" s="32" t="s">
        <v>92</v>
      </c>
      <c r="L89" s="32" t="s">
        <v>105</v>
      </c>
      <c r="M89" s="33" t="s">
        <v>69</v>
      </c>
      <c r="N89" s="33"/>
      <c r="O89" s="32">
        <v>180</v>
      </c>
      <c r="P89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9" s="271"/>
      <c r="R89" s="271"/>
      <c r="S89" s="271"/>
      <c r="T89" s="272"/>
      <c r="U89" s="34"/>
      <c r="V89" s="34"/>
      <c r="W89" s="35" t="s">
        <v>70</v>
      </c>
      <c r="X89" s="266">
        <v>28</v>
      </c>
      <c r="Y89" s="267">
        <f>IFERROR(IF(X89="","",X89),"")</f>
        <v>28</v>
      </c>
      <c r="Z89" s="36">
        <f>IFERROR(IF(X89="","",X89*0.01788),"")</f>
        <v>0.50063999999999997</v>
      </c>
      <c r="AA89" s="56"/>
      <c r="AB89" s="57"/>
      <c r="AC89" s="122" t="s">
        <v>158</v>
      </c>
      <c r="AG89" s="67"/>
      <c r="AJ89" s="71" t="s">
        <v>107</v>
      </c>
      <c r="AK89" s="71">
        <v>14</v>
      </c>
      <c r="BB89" s="123" t="s">
        <v>96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ht="27" customHeight="1" x14ac:dyDescent="0.25">
      <c r="A90" s="54" t="s">
        <v>159</v>
      </c>
      <c r="B90" s="54" t="s">
        <v>160</v>
      </c>
      <c r="C90" s="31">
        <v>4301131046</v>
      </c>
      <c r="D90" s="282">
        <v>4607111034137</v>
      </c>
      <c r="E90" s="283"/>
      <c r="F90" s="265">
        <v>0.3</v>
      </c>
      <c r="G90" s="32">
        <v>12</v>
      </c>
      <c r="H90" s="265">
        <v>3.6</v>
      </c>
      <c r="I90" s="265">
        <v>4.3036000000000003</v>
      </c>
      <c r="J90" s="32">
        <v>70</v>
      </c>
      <c r="K90" s="32" t="s">
        <v>92</v>
      </c>
      <c r="L90" s="32" t="s">
        <v>105</v>
      </c>
      <c r="M90" s="33" t="s">
        <v>69</v>
      </c>
      <c r="N90" s="33"/>
      <c r="O90" s="32">
        <v>180</v>
      </c>
      <c r="P90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0" s="271"/>
      <c r="R90" s="271"/>
      <c r="S90" s="271"/>
      <c r="T90" s="272"/>
      <c r="U90" s="34"/>
      <c r="V90" s="34"/>
      <c r="W90" s="35" t="s">
        <v>70</v>
      </c>
      <c r="X90" s="266">
        <v>14</v>
      </c>
      <c r="Y90" s="267">
        <f>IFERROR(IF(X90="","",X90),"")</f>
        <v>14</v>
      </c>
      <c r="Z90" s="36">
        <f>IFERROR(IF(X90="","",X90*0.01788),"")</f>
        <v>0.25031999999999999</v>
      </c>
      <c r="AA90" s="56"/>
      <c r="AB90" s="57"/>
      <c r="AC90" s="124" t="s">
        <v>161</v>
      </c>
      <c r="AG90" s="67"/>
      <c r="AJ90" s="71" t="s">
        <v>107</v>
      </c>
      <c r="AK90" s="71">
        <v>14</v>
      </c>
      <c r="BB90" s="125" t="s">
        <v>96</v>
      </c>
      <c r="BM90" s="67">
        <f>IFERROR(X90*I90,"0")</f>
        <v>60.250400000000006</v>
      </c>
      <c r="BN90" s="67">
        <f>IFERROR(Y90*I90,"0")</f>
        <v>60.250400000000006</v>
      </c>
      <c r="BO90" s="67">
        <f>IFERROR(X90/J90,"0")</f>
        <v>0.2</v>
      </c>
      <c r="BP90" s="67">
        <f>IFERROR(Y90/J90,"0")</f>
        <v>0.2</v>
      </c>
    </row>
    <row r="91" spans="1:68" x14ac:dyDescent="0.2">
      <c r="A91" s="294"/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95"/>
      <c r="P91" s="284" t="s">
        <v>79</v>
      </c>
      <c r="Q91" s="285"/>
      <c r="R91" s="285"/>
      <c r="S91" s="285"/>
      <c r="T91" s="285"/>
      <c r="U91" s="285"/>
      <c r="V91" s="286"/>
      <c r="W91" s="37" t="s">
        <v>70</v>
      </c>
      <c r="X91" s="268">
        <f>IFERROR(SUM(X89:X90),"0")</f>
        <v>42</v>
      </c>
      <c r="Y91" s="268">
        <f>IFERROR(SUM(Y89:Y90),"0")</f>
        <v>42</v>
      </c>
      <c r="Z91" s="268">
        <f>IFERROR(IF(Z89="",0,Z89),"0")+IFERROR(IF(Z90="",0,Z90),"0")</f>
        <v>0.75095999999999996</v>
      </c>
      <c r="AA91" s="269"/>
      <c r="AB91" s="269"/>
      <c r="AC91" s="269"/>
    </row>
    <row r="92" spans="1:68" x14ac:dyDescent="0.2">
      <c r="A92" s="277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95"/>
      <c r="P92" s="284" t="s">
        <v>79</v>
      </c>
      <c r="Q92" s="285"/>
      <c r="R92" s="285"/>
      <c r="S92" s="285"/>
      <c r="T92" s="285"/>
      <c r="U92" s="285"/>
      <c r="V92" s="286"/>
      <c r="W92" s="37" t="s">
        <v>80</v>
      </c>
      <c r="X92" s="268">
        <f>IFERROR(SUMPRODUCT(X89:X90*H89:H90),"0")</f>
        <v>151.19999999999999</v>
      </c>
      <c r="Y92" s="268">
        <f>IFERROR(SUMPRODUCT(Y89:Y90*H89:H90),"0")</f>
        <v>151.19999999999999</v>
      </c>
      <c r="Z92" s="37"/>
      <c r="AA92" s="269"/>
      <c r="AB92" s="269"/>
      <c r="AC92" s="269"/>
    </row>
    <row r="93" spans="1:68" ht="16.5" customHeight="1" x14ac:dyDescent="0.25">
      <c r="A93" s="288" t="s">
        <v>162</v>
      </c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61"/>
      <c r="AB93" s="261"/>
      <c r="AC93" s="261"/>
    </row>
    <row r="94" spans="1:68" ht="14.25" customHeight="1" x14ac:dyDescent="0.25">
      <c r="A94" s="276" t="s">
        <v>135</v>
      </c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62"/>
      <c r="AB94" s="262"/>
      <c r="AC94" s="262"/>
    </row>
    <row r="95" spans="1:68" ht="27" customHeight="1" x14ac:dyDescent="0.25">
      <c r="A95" s="54" t="s">
        <v>163</v>
      </c>
      <c r="B95" s="54" t="s">
        <v>164</v>
      </c>
      <c r="C95" s="31">
        <v>4301135763</v>
      </c>
      <c r="D95" s="282">
        <v>4620207491027</v>
      </c>
      <c r="E95" s="283"/>
      <c r="F95" s="265">
        <v>0.24</v>
      </c>
      <c r="G95" s="32">
        <v>12</v>
      </c>
      <c r="H95" s="265">
        <v>2.88</v>
      </c>
      <c r="I95" s="265">
        <v>3.5836000000000001</v>
      </c>
      <c r="J95" s="32">
        <v>70</v>
      </c>
      <c r="K95" s="32" t="s">
        <v>92</v>
      </c>
      <c r="L95" s="32" t="s">
        <v>105</v>
      </c>
      <c r="M95" s="33" t="s">
        <v>69</v>
      </c>
      <c r="N95" s="33"/>
      <c r="O95" s="32">
        <v>180</v>
      </c>
      <c r="P95" s="3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5" s="271"/>
      <c r="R95" s="271"/>
      <c r="S95" s="271"/>
      <c r="T95" s="272"/>
      <c r="U95" s="34"/>
      <c r="V95" s="34"/>
      <c r="W95" s="35" t="s">
        <v>70</v>
      </c>
      <c r="X95" s="266">
        <v>14</v>
      </c>
      <c r="Y95" s="267">
        <f t="shared" ref="Y95:Y100" si="0">IFERROR(IF(X95="","",X95),"")</f>
        <v>14</v>
      </c>
      <c r="Z95" s="36">
        <f t="shared" ref="Z95:Z100" si="1">IFERROR(IF(X95="","",X95*0.01788),"")</f>
        <v>0.25031999999999999</v>
      </c>
      <c r="AA95" s="56"/>
      <c r="AB95" s="57"/>
      <c r="AC95" s="126" t="s">
        <v>153</v>
      </c>
      <c r="AG95" s="67"/>
      <c r="AJ95" s="71" t="s">
        <v>107</v>
      </c>
      <c r="AK95" s="71">
        <v>14</v>
      </c>
      <c r="BB95" s="127" t="s">
        <v>96</v>
      </c>
      <c r="BM95" s="67">
        <f t="shared" ref="BM95:BM100" si="2">IFERROR(X95*I95,"0")</f>
        <v>50.170400000000001</v>
      </c>
      <c r="BN95" s="67">
        <f t="shared" ref="BN95:BN100" si="3">IFERROR(Y95*I95,"0")</f>
        <v>50.170400000000001</v>
      </c>
      <c r="BO95" s="67">
        <f t="shared" ref="BO95:BO100" si="4">IFERROR(X95/J95,"0")</f>
        <v>0.2</v>
      </c>
      <c r="BP95" s="67">
        <f t="shared" ref="BP95:BP100" si="5">IFERROR(Y95/J95,"0")</f>
        <v>0.2</v>
      </c>
    </row>
    <row r="96" spans="1:68" ht="27" customHeight="1" x14ac:dyDescent="0.25">
      <c r="A96" s="54" t="s">
        <v>165</v>
      </c>
      <c r="B96" s="54" t="s">
        <v>166</v>
      </c>
      <c r="C96" s="31">
        <v>4301135793</v>
      </c>
      <c r="D96" s="282">
        <v>4620207491003</v>
      </c>
      <c r="E96" s="283"/>
      <c r="F96" s="265">
        <v>0.24</v>
      </c>
      <c r="G96" s="32">
        <v>12</v>
      </c>
      <c r="H96" s="265">
        <v>2.88</v>
      </c>
      <c r="I96" s="265">
        <v>3.5836000000000001</v>
      </c>
      <c r="J96" s="32">
        <v>70</v>
      </c>
      <c r="K96" s="32" t="s">
        <v>92</v>
      </c>
      <c r="L96" s="32" t="s">
        <v>93</v>
      </c>
      <c r="M96" s="33" t="s">
        <v>69</v>
      </c>
      <c r="N96" s="33"/>
      <c r="O96" s="32">
        <v>180</v>
      </c>
      <c r="P96" s="39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271"/>
      <c r="R96" s="271"/>
      <c r="S96" s="271"/>
      <c r="T96" s="272"/>
      <c r="U96" s="34"/>
      <c r="V96" s="34"/>
      <c r="W96" s="35" t="s">
        <v>70</v>
      </c>
      <c r="X96" s="266">
        <v>70</v>
      </c>
      <c r="Y96" s="267">
        <f t="shared" si="0"/>
        <v>70</v>
      </c>
      <c r="Z96" s="36">
        <f t="shared" si="1"/>
        <v>1.2516</v>
      </c>
      <c r="AA96" s="56"/>
      <c r="AB96" s="57"/>
      <c r="AC96" s="128" t="s">
        <v>153</v>
      </c>
      <c r="AG96" s="67"/>
      <c r="AJ96" s="71" t="s">
        <v>95</v>
      </c>
      <c r="AK96" s="71">
        <v>70</v>
      </c>
      <c r="BB96" s="129" t="s">
        <v>96</v>
      </c>
      <c r="BM96" s="67">
        <f t="shared" si="2"/>
        <v>250.852</v>
      </c>
      <c r="BN96" s="67">
        <f t="shared" si="3"/>
        <v>250.852</v>
      </c>
      <c r="BO96" s="67">
        <f t="shared" si="4"/>
        <v>1</v>
      </c>
      <c r="BP96" s="67">
        <f t="shared" si="5"/>
        <v>1</v>
      </c>
    </row>
    <row r="97" spans="1:68" ht="27" customHeight="1" x14ac:dyDescent="0.25">
      <c r="A97" s="54" t="s">
        <v>167</v>
      </c>
      <c r="B97" s="54" t="s">
        <v>168</v>
      </c>
      <c r="C97" s="31">
        <v>4301135768</v>
      </c>
      <c r="D97" s="282">
        <v>4620207491034</v>
      </c>
      <c r="E97" s="283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92</v>
      </c>
      <c r="L97" s="32" t="s">
        <v>68</v>
      </c>
      <c r="M97" s="33" t="s">
        <v>69</v>
      </c>
      <c r="N97" s="33"/>
      <c r="O97" s="32">
        <v>180</v>
      </c>
      <c r="P97" s="33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6">
        <v>0</v>
      </c>
      <c r="Y97" s="267">
        <f t="shared" si="0"/>
        <v>0</v>
      </c>
      <c r="Z97" s="36">
        <f t="shared" si="1"/>
        <v>0</v>
      </c>
      <c r="AA97" s="56"/>
      <c r="AB97" s="57"/>
      <c r="AC97" s="130" t="s">
        <v>169</v>
      </c>
      <c r="AG97" s="67"/>
      <c r="AJ97" s="71" t="s">
        <v>72</v>
      </c>
      <c r="AK97" s="71">
        <v>1</v>
      </c>
      <c r="BB97" s="131" t="s">
        <v>96</v>
      </c>
      <c r="BM97" s="67">
        <f t="shared" si="2"/>
        <v>0</v>
      </c>
      <c r="BN97" s="67">
        <f t="shared" si="3"/>
        <v>0</v>
      </c>
      <c r="BO97" s="67">
        <f t="shared" si="4"/>
        <v>0</v>
      </c>
      <c r="BP97" s="67">
        <f t="shared" si="5"/>
        <v>0</v>
      </c>
    </row>
    <row r="98" spans="1:68" ht="27" customHeight="1" x14ac:dyDescent="0.25">
      <c r="A98" s="54" t="s">
        <v>170</v>
      </c>
      <c r="B98" s="54" t="s">
        <v>171</v>
      </c>
      <c r="C98" s="31">
        <v>4301135760</v>
      </c>
      <c r="D98" s="282">
        <v>4620207491010</v>
      </c>
      <c r="E98" s="283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92</v>
      </c>
      <c r="L98" s="32" t="s">
        <v>93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6">
        <v>84</v>
      </c>
      <c r="Y98" s="267">
        <f t="shared" si="0"/>
        <v>84</v>
      </c>
      <c r="Z98" s="36">
        <f t="shared" si="1"/>
        <v>1.5019199999999999</v>
      </c>
      <c r="AA98" s="56"/>
      <c r="AB98" s="57"/>
      <c r="AC98" s="132" t="s">
        <v>153</v>
      </c>
      <c r="AG98" s="67"/>
      <c r="AJ98" s="71" t="s">
        <v>95</v>
      </c>
      <c r="AK98" s="71">
        <v>70</v>
      </c>
      <c r="BB98" s="133" t="s">
        <v>96</v>
      </c>
      <c r="BM98" s="67">
        <f t="shared" si="2"/>
        <v>301.0224</v>
      </c>
      <c r="BN98" s="67">
        <f t="shared" si="3"/>
        <v>301.0224</v>
      </c>
      <c r="BO98" s="67">
        <f t="shared" si="4"/>
        <v>1.2</v>
      </c>
      <c r="BP98" s="67">
        <f t="shared" si="5"/>
        <v>1.2</v>
      </c>
    </row>
    <row r="99" spans="1:68" ht="27" customHeight="1" x14ac:dyDescent="0.25">
      <c r="A99" s="54" t="s">
        <v>172</v>
      </c>
      <c r="B99" s="54" t="s">
        <v>173</v>
      </c>
      <c r="C99" s="31">
        <v>4301135571</v>
      </c>
      <c r="D99" s="282">
        <v>4607111035028</v>
      </c>
      <c r="E99" s="283"/>
      <c r="F99" s="265">
        <v>0.48</v>
      </c>
      <c r="G99" s="32">
        <v>8</v>
      </c>
      <c r="H99" s="265">
        <v>3.84</v>
      </c>
      <c r="I99" s="265">
        <v>4.4488000000000003</v>
      </c>
      <c r="J99" s="32">
        <v>70</v>
      </c>
      <c r="K99" s="32" t="s">
        <v>92</v>
      </c>
      <c r="L99" s="32" t="s">
        <v>68</v>
      </c>
      <c r="M99" s="33" t="s">
        <v>69</v>
      </c>
      <c r="N99" s="33"/>
      <c r="O99" s="32">
        <v>180</v>
      </c>
      <c r="P99" s="30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6">
        <v>0</v>
      </c>
      <c r="Y99" s="267">
        <f t="shared" si="0"/>
        <v>0</v>
      </c>
      <c r="Z99" s="36">
        <f t="shared" si="1"/>
        <v>0</v>
      </c>
      <c r="AA99" s="56"/>
      <c r="AB99" s="57"/>
      <c r="AC99" s="134" t="s">
        <v>153</v>
      </c>
      <c r="AG99" s="67"/>
      <c r="AJ99" s="71" t="s">
        <v>72</v>
      </c>
      <c r="AK99" s="71">
        <v>1</v>
      </c>
      <c r="BB99" s="135" t="s">
        <v>96</v>
      </c>
      <c r="BM99" s="67">
        <f t="shared" si="2"/>
        <v>0</v>
      </c>
      <c r="BN99" s="67">
        <f t="shared" si="3"/>
        <v>0</v>
      </c>
      <c r="BO99" s="67">
        <f t="shared" si="4"/>
        <v>0</v>
      </c>
      <c r="BP99" s="67">
        <f t="shared" si="5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4301135285</v>
      </c>
      <c r="D100" s="282">
        <v>4607111036407</v>
      </c>
      <c r="E100" s="283"/>
      <c r="F100" s="265">
        <v>0.3</v>
      </c>
      <c r="G100" s="32">
        <v>14</v>
      </c>
      <c r="H100" s="265">
        <v>4.2</v>
      </c>
      <c r="I100" s="265">
        <v>4.5292000000000003</v>
      </c>
      <c r="J100" s="32">
        <v>70</v>
      </c>
      <c r="K100" s="32" t="s">
        <v>92</v>
      </c>
      <c r="L100" s="32" t="s">
        <v>105</v>
      </c>
      <c r="M100" s="33" t="s">
        <v>69</v>
      </c>
      <c r="N100" s="33"/>
      <c r="O100" s="32">
        <v>180</v>
      </c>
      <c r="P100" s="31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271"/>
      <c r="R100" s="271"/>
      <c r="S100" s="271"/>
      <c r="T100" s="272"/>
      <c r="U100" s="34"/>
      <c r="V100" s="34"/>
      <c r="W100" s="35" t="s">
        <v>70</v>
      </c>
      <c r="X100" s="266">
        <v>14</v>
      </c>
      <c r="Y100" s="267">
        <f t="shared" si="0"/>
        <v>14</v>
      </c>
      <c r="Z100" s="36">
        <f t="shared" si="1"/>
        <v>0.25031999999999999</v>
      </c>
      <c r="AA100" s="56"/>
      <c r="AB100" s="57"/>
      <c r="AC100" s="136" t="s">
        <v>176</v>
      </c>
      <c r="AG100" s="67"/>
      <c r="AJ100" s="71" t="s">
        <v>107</v>
      </c>
      <c r="AK100" s="71">
        <v>14</v>
      </c>
      <c r="BB100" s="137" t="s">
        <v>96</v>
      </c>
      <c r="BM100" s="67">
        <f t="shared" si="2"/>
        <v>63.408800000000006</v>
      </c>
      <c r="BN100" s="67">
        <f t="shared" si="3"/>
        <v>63.408800000000006</v>
      </c>
      <c r="BO100" s="67">
        <f t="shared" si="4"/>
        <v>0.2</v>
      </c>
      <c r="BP100" s="67">
        <f t="shared" si="5"/>
        <v>0.2</v>
      </c>
    </row>
    <row r="101" spans="1:68" x14ac:dyDescent="0.2">
      <c r="A101" s="294"/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95"/>
      <c r="P101" s="284" t="s">
        <v>79</v>
      </c>
      <c r="Q101" s="285"/>
      <c r="R101" s="285"/>
      <c r="S101" s="285"/>
      <c r="T101" s="285"/>
      <c r="U101" s="285"/>
      <c r="V101" s="286"/>
      <c r="W101" s="37" t="s">
        <v>70</v>
      </c>
      <c r="X101" s="268">
        <f>IFERROR(SUM(X95:X100),"0")</f>
        <v>182</v>
      </c>
      <c r="Y101" s="268">
        <f>IFERROR(SUM(Y95:Y100),"0")</f>
        <v>182</v>
      </c>
      <c r="Z101" s="268">
        <f>IFERROR(IF(Z95="",0,Z95),"0")+IFERROR(IF(Z96="",0,Z96),"0")+IFERROR(IF(Z97="",0,Z97),"0")+IFERROR(IF(Z98="",0,Z98),"0")+IFERROR(IF(Z99="",0,Z99),"0")+IFERROR(IF(Z100="",0,Z100),"0")</f>
        <v>3.2541600000000002</v>
      </c>
      <c r="AA101" s="269"/>
      <c r="AB101" s="269"/>
      <c r="AC101" s="269"/>
    </row>
    <row r="102" spans="1:68" x14ac:dyDescent="0.2">
      <c r="A102" s="277"/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95"/>
      <c r="P102" s="284" t="s">
        <v>79</v>
      </c>
      <c r="Q102" s="285"/>
      <c r="R102" s="285"/>
      <c r="S102" s="285"/>
      <c r="T102" s="285"/>
      <c r="U102" s="285"/>
      <c r="V102" s="286"/>
      <c r="W102" s="37" t="s">
        <v>80</v>
      </c>
      <c r="X102" s="268">
        <f>IFERROR(SUMPRODUCT(X95:X100*H95:H100),"0")</f>
        <v>542.64</v>
      </c>
      <c r="Y102" s="268">
        <f>IFERROR(SUMPRODUCT(Y95:Y100*H95:H100),"0")</f>
        <v>542.64</v>
      </c>
      <c r="Z102" s="37"/>
      <c r="AA102" s="269"/>
      <c r="AB102" s="269"/>
      <c r="AC102" s="269"/>
    </row>
    <row r="103" spans="1:68" ht="16.5" customHeight="1" x14ac:dyDescent="0.25">
      <c r="A103" s="288" t="s">
        <v>177</v>
      </c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61"/>
      <c r="AB103" s="261"/>
      <c r="AC103" s="261"/>
    </row>
    <row r="104" spans="1:68" ht="14.25" customHeight="1" x14ac:dyDescent="0.25">
      <c r="A104" s="276" t="s">
        <v>129</v>
      </c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62"/>
      <c r="AB104" s="262"/>
      <c r="AC104" s="262"/>
    </row>
    <row r="105" spans="1:68" ht="27" customHeight="1" x14ac:dyDescent="0.25">
      <c r="A105" s="54" t="s">
        <v>178</v>
      </c>
      <c r="B105" s="54" t="s">
        <v>179</v>
      </c>
      <c r="C105" s="31">
        <v>4301136070</v>
      </c>
      <c r="D105" s="282">
        <v>4607025784012</v>
      </c>
      <c r="E105" s="283"/>
      <c r="F105" s="265">
        <v>0.09</v>
      </c>
      <c r="G105" s="32">
        <v>24</v>
      </c>
      <c r="H105" s="265">
        <v>2.16</v>
      </c>
      <c r="I105" s="265">
        <v>2.4912000000000001</v>
      </c>
      <c r="J105" s="32">
        <v>126</v>
      </c>
      <c r="K105" s="32" t="s">
        <v>92</v>
      </c>
      <c r="L105" s="32" t="s">
        <v>105</v>
      </c>
      <c r="M105" s="33" t="s">
        <v>69</v>
      </c>
      <c r="N105" s="33"/>
      <c r="O105" s="32">
        <v>180</v>
      </c>
      <c r="P105" s="42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271"/>
      <c r="R105" s="271"/>
      <c r="S105" s="271"/>
      <c r="T105" s="272"/>
      <c r="U105" s="34"/>
      <c r="V105" s="34"/>
      <c r="W105" s="35" t="s">
        <v>70</v>
      </c>
      <c r="X105" s="266">
        <v>14</v>
      </c>
      <c r="Y105" s="267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38" t="s">
        <v>180</v>
      </c>
      <c r="AG105" s="67"/>
      <c r="AJ105" s="71" t="s">
        <v>107</v>
      </c>
      <c r="AK105" s="71">
        <v>14</v>
      </c>
      <c r="BB105" s="139" t="s">
        <v>96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customHeight="1" x14ac:dyDescent="0.25">
      <c r="A106" s="54" t="s">
        <v>181</v>
      </c>
      <c r="B106" s="54" t="s">
        <v>182</v>
      </c>
      <c r="C106" s="31">
        <v>4301136079</v>
      </c>
      <c r="D106" s="282">
        <v>4607025784319</v>
      </c>
      <c r="E106" s="283"/>
      <c r="F106" s="265">
        <v>0.36</v>
      </c>
      <c r="G106" s="32">
        <v>10</v>
      </c>
      <c r="H106" s="265">
        <v>3.6</v>
      </c>
      <c r="I106" s="265">
        <v>4.2439999999999998</v>
      </c>
      <c r="J106" s="32">
        <v>70</v>
      </c>
      <c r="K106" s="32" t="s">
        <v>92</v>
      </c>
      <c r="L106" s="32" t="s">
        <v>68</v>
      </c>
      <c r="M106" s="33" t="s">
        <v>69</v>
      </c>
      <c r="N106" s="33"/>
      <c r="O106" s="32">
        <v>180</v>
      </c>
      <c r="P106" s="41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271"/>
      <c r="R106" s="271"/>
      <c r="S106" s="271"/>
      <c r="T106" s="272"/>
      <c r="U106" s="34"/>
      <c r="V106" s="34"/>
      <c r="W106" s="35" t="s">
        <v>70</v>
      </c>
      <c r="X106" s="266">
        <v>0</v>
      </c>
      <c r="Y106" s="267">
        <f>IFERROR(IF(X106="","",X106),"")</f>
        <v>0</v>
      </c>
      <c r="Z106" s="36">
        <f>IFERROR(IF(X106="","",X106*0.01788),"")</f>
        <v>0</v>
      </c>
      <c r="AA106" s="56"/>
      <c r="AB106" s="57"/>
      <c r="AC106" s="140" t="s">
        <v>153</v>
      </c>
      <c r="AG106" s="67"/>
      <c r="AJ106" s="71" t="s">
        <v>72</v>
      </c>
      <c r="AK106" s="71">
        <v>1</v>
      </c>
      <c r="BB106" s="141" t="s">
        <v>96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294"/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95"/>
      <c r="P107" s="284" t="s">
        <v>79</v>
      </c>
      <c r="Q107" s="285"/>
      <c r="R107" s="285"/>
      <c r="S107" s="285"/>
      <c r="T107" s="285"/>
      <c r="U107" s="285"/>
      <c r="V107" s="286"/>
      <c r="W107" s="37" t="s">
        <v>70</v>
      </c>
      <c r="X107" s="268">
        <f>IFERROR(SUM(X105:X106),"0")</f>
        <v>14</v>
      </c>
      <c r="Y107" s="268">
        <f>IFERROR(SUM(Y105:Y106),"0")</f>
        <v>14</v>
      </c>
      <c r="Z107" s="268">
        <f>IFERROR(IF(Z105="",0,Z105),"0")+IFERROR(IF(Z106="",0,Z106),"0")</f>
        <v>0.13103999999999999</v>
      </c>
      <c r="AA107" s="269"/>
      <c r="AB107" s="269"/>
      <c r="AC107" s="269"/>
    </row>
    <row r="108" spans="1:68" x14ac:dyDescent="0.2">
      <c r="A108" s="277"/>
      <c r="B108" s="277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95"/>
      <c r="P108" s="284" t="s">
        <v>79</v>
      </c>
      <c r="Q108" s="285"/>
      <c r="R108" s="285"/>
      <c r="S108" s="285"/>
      <c r="T108" s="285"/>
      <c r="U108" s="285"/>
      <c r="V108" s="286"/>
      <c r="W108" s="37" t="s">
        <v>80</v>
      </c>
      <c r="X108" s="268">
        <f>IFERROR(SUMPRODUCT(X105:X106*H105:H106),"0")</f>
        <v>30.240000000000002</v>
      </c>
      <c r="Y108" s="268">
        <f>IFERROR(SUMPRODUCT(Y105:Y106*H105:H106),"0")</f>
        <v>30.240000000000002</v>
      </c>
      <c r="Z108" s="37"/>
      <c r="AA108" s="269"/>
      <c r="AB108" s="269"/>
      <c r="AC108" s="269"/>
    </row>
    <row r="109" spans="1:68" ht="16.5" customHeight="1" x14ac:dyDescent="0.25">
      <c r="A109" s="288" t="s">
        <v>183</v>
      </c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61"/>
      <c r="AB109" s="261"/>
      <c r="AC109" s="261"/>
    </row>
    <row r="110" spans="1:68" ht="14.25" customHeight="1" x14ac:dyDescent="0.25">
      <c r="A110" s="276" t="s">
        <v>64</v>
      </c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62"/>
      <c r="AB110" s="262"/>
      <c r="AC110" s="262"/>
    </row>
    <row r="111" spans="1:68" ht="27" customHeight="1" x14ac:dyDescent="0.25">
      <c r="A111" s="54" t="s">
        <v>184</v>
      </c>
      <c r="B111" s="54" t="s">
        <v>185</v>
      </c>
      <c r="C111" s="31">
        <v>4301071121</v>
      </c>
      <c r="D111" s="282">
        <v>4620207491393</v>
      </c>
      <c r="E111" s="283"/>
      <c r="F111" s="265">
        <v>0.4</v>
      </c>
      <c r="G111" s="32">
        <v>16</v>
      </c>
      <c r="H111" s="265">
        <v>6.4</v>
      </c>
      <c r="I111" s="265">
        <v>6.71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41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71"/>
      <c r="R111" s="271"/>
      <c r="S111" s="271"/>
      <c r="T111" s="272"/>
      <c r="U111" s="34"/>
      <c r="V111" s="34"/>
      <c r="W111" s="35" t="s">
        <v>70</v>
      </c>
      <c r="X111" s="266">
        <v>0</v>
      </c>
      <c r="Y111" s="267">
        <f t="shared" ref="Y111:Y119" si="6">IFERROR(IF(X111="","",X111),"")</f>
        <v>0</v>
      </c>
      <c r="Z111" s="36">
        <f t="shared" ref="Z111:Z119" si="7">IFERROR(IF(X111="","",X111*0.0155),"")</f>
        <v>0</v>
      </c>
      <c r="AA111" s="56"/>
      <c r="AB111" s="57" t="s">
        <v>186</v>
      </c>
      <c r="AC111" s="142" t="s">
        <v>187</v>
      </c>
      <c r="AG111" s="67"/>
      <c r="AJ111" s="71" t="s">
        <v>72</v>
      </c>
      <c r="AK111" s="71">
        <v>1</v>
      </c>
      <c r="BB111" s="143" t="s">
        <v>1</v>
      </c>
      <c r="BM111" s="67">
        <f t="shared" ref="BM111:BM119" si="8">IFERROR(X111*I111,"0")</f>
        <v>0</v>
      </c>
      <c r="BN111" s="67">
        <f t="shared" ref="BN111:BN119" si="9">IFERROR(Y111*I111,"0")</f>
        <v>0</v>
      </c>
      <c r="BO111" s="67">
        <f t="shared" ref="BO111:BO119" si="10">IFERROR(X111/J111,"0")</f>
        <v>0</v>
      </c>
      <c r="BP111" s="67">
        <f t="shared" ref="BP111:BP119" si="11">IFERROR(Y111/J111,"0")</f>
        <v>0</v>
      </c>
    </row>
    <row r="112" spans="1:68" ht="27" customHeight="1" x14ac:dyDescent="0.25">
      <c r="A112" s="54" t="s">
        <v>188</v>
      </c>
      <c r="B112" s="54" t="s">
        <v>189</v>
      </c>
      <c r="C112" s="31">
        <v>4301071074</v>
      </c>
      <c r="D112" s="282">
        <v>4620207491157</v>
      </c>
      <c r="E112" s="283"/>
      <c r="F112" s="265">
        <v>0.7</v>
      </c>
      <c r="G112" s="32">
        <v>10</v>
      </c>
      <c r="H112" s="265">
        <v>7</v>
      </c>
      <c r="I112" s="265">
        <v>7.28</v>
      </c>
      <c r="J112" s="32">
        <v>84</v>
      </c>
      <c r="K112" s="32" t="s">
        <v>67</v>
      </c>
      <c r="L112" s="32" t="s">
        <v>105</v>
      </c>
      <c r="M112" s="33" t="s">
        <v>69</v>
      </c>
      <c r="N112" s="33"/>
      <c r="O112" s="32">
        <v>180</v>
      </c>
      <c r="P112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2" s="271"/>
      <c r="R112" s="271"/>
      <c r="S112" s="271"/>
      <c r="T112" s="272"/>
      <c r="U112" s="34"/>
      <c r="V112" s="34"/>
      <c r="W112" s="35" t="s">
        <v>70</v>
      </c>
      <c r="X112" s="266">
        <v>48</v>
      </c>
      <c r="Y112" s="267">
        <f t="shared" si="6"/>
        <v>48</v>
      </c>
      <c r="Z112" s="36">
        <f t="shared" si="7"/>
        <v>0.74399999999999999</v>
      </c>
      <c r="AA112" s="56"/>
      <c r="AB112" s="57"/>
      <c r="AC112" s="144" t="s">
        <v>190</v>
      </c>
      <c r="AG112" s="67"/>
      <c r="AJ112" s="71" t="s">
        <v>107</v>
      </c>
      <c r="AK112" s="71">
        <v>12</v>
      </c>
      <c r="BB112" s="145" t="s">
        <v>1</v>
      </c>
      <c r="BM112" s="67">
        <f t="shared" si="8"/>
        <v>349.44</v>
      </c>
      <c r="BN112" s="67">
        <f t="shared" si="9"/>
        <v>349.44</v>
      </c>
      <c r="BO112" s="67">
        <f t="shared" si="10"/>
        <v>0.5714285714285714</v>
      </c>
      <c r="BP112" s="67">
        <f t="shared" si="11"/>
        <v>0.5714285714285714</v>
      </c>
    </row>
    <row r="113" spans="1:68" ht="27" customHeight="1" x14ac:dyDescent="0.25">
      <c r="A113" s="54" t="s">
        <v>191</v>
      </c>
      <c r="B113" s="54" t="s">
        <v>192</v>
      </c>
      <c r="C113" s="31">
        <v>4301071051</v>
      </c>
      <c r="D113" s="282">
        <v>4607111039262</v>
      </c>
      <c r="E113" s="283"/>
      <c r="F113" s="265">
        <v>0.4</v>
      </c>
      <c r="G113" s="32">
        <v>16</v>
      </c>
      <c r="H113" s="265">
        <v>6.4</v>
      </c>
      <c r="I113" s="265">
        <v>6.7195999999999998</v>
      </c>
      <c r="J113" s="32">
        <v>84</v>
      </c>
      <c r="K113" s="32" t="s">
        <v>67</v>
      </c>
      <c r="L113" s="32" t="s">
        <v>105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6">
        <v>48</v>
      </c>
      <c r="Y113" s="267">
        <f t="shared" si="6"/>
        <v>48</v>
      </c>
      <c r="Z113" s="36">
        <f t="shared" si="7"/>
        <v>0.74399999999999999</v>
      </c>
      <c r="AA113" s="56"/>
      <c r="AB113" s="57"/>
      <c r="AC113" s="146" t="s">
        <v>147</v>
      </c>
      <c r="AG113" s="67"/>
      <c r="AJ113" s="71" t="s">
        <v>107</v>
      </c>
      <c r="AK113" s="71">
        <v>12</v>
      </c>
      <c r="BB113" s="147" t="s">
        <v>1</v>
      </c>
      <c r="BM113" s="67">
        <f t="shared" si="8"/>
        <v>322.54079999999999</v>
      </c>
      <c r="BN113" s="67">
        <f t="shared" si="9"/>
        <v>322.54079999999999</v>
      </c>
      <c r="BO113" s="67">
        <f t="shared" si="10"/>
        <v>0.5714285714285714</v>
      </c>
      <c r="BP113" s="67">
        <f t="shared" si="11"/>
        <v>0.5714285714285714</v>
      </c>
    </row>
    <row r="114" spans="1:68" ht="27" customHeight="1" x14ac:dyDescent="0.25">
      <c r="A114" s="54" t="s">
        <v>193</v>
      </c>
      <c r="B114" s="54" t="s">
        <v>194</v>
      </c>
      <c r="C114" s="31">
        <v>4301071038</v>
      </c>
      <c r="D114" s="282">
        <v>4607111039248</v>
      </c>
      <c r="E114" s="283"/>
      <c r="F114" s="265">
        <v>0.7</v>
      </c>
      <c r="G114" s="32">
        <v>10</v>
      </c>
      <c r="H114" s="265">
        <v>7</v>
      </c>
      <c r="I114" s="265">
        <v>7.3</v>
      </c>
      <c r="J114" s="32">
        <v>84</v>
      </c>
      <c r="K114" s="32" t="s">
        <v>67</v>
      </c>
      <c r="L114" s="32" t="s">
        <v>93</v>
      </c>
      <c r="M114" s="33" t="s">
        <v>69</v>
      </c>
      <c r="N114" s="33"/>
      <c r="O114" s="32">
        <v>180</v>
      </c>
      <c r="P114" s="4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6">
        <v>120</v>
      </c>
      <c r="Y114" s="267">
        <f t="shared" si="6"/>
        <v>120</v>
      </c>
      <c r="Z114" s="36">
        <f t="shared" si="7"/>
        <v>1.8599999999999999</v>
      </c>
      <c r="AA114" s="56"/>
      <c r="AB114" s="57"/>
      <c r="AC114" s="148" t="s">
        <v>147</v>
      </c>
      <c r="AG114" s="67"/>
      <c r="AJ114" s="71" t="s">
        <v>95</v>
      </c>
      <c r="AK114" s="71">
        <v>84</v>
      </c>
      <c r="BB114" s="149" t="s">
        <v>1</v>
      </c>
      <c r="BM114" s="67">
        <f t="shared" si="8"/>
        <v>876</v>
      </c>
      <c r="BN114" s="67">
        <f t="shared" si="9"/>
        <v>876</v>
      </c>
      <c r="BO114" s="67">
        <f t="shared" si="10"/>
        <v>1.4285714285714286</v>
      </c>
      <c r="BP114" s="67">
        <f t="shared" si="11"/>
        <v>1.4285714285714286</v>
      </c>
    </row>
    <row r="115" spans="1:68" ht="27" customHeight="1" x14ac:dyDescent="0.25">
      <c r="A115" s="54" t="s">
        <v>195</v>
      </c>
      <c r="B115" s="54" t="s">
        <v>196</v>
      </c>
      <c r="C115" s="31">
        <v>4301070979</v>
      </c>
      <c r="D115" s="282">
        <v>4607111037145</v>
      </c>
      <c r="E115" s="283"/>
      <c r="F115" s="265">
        <v>0.8</v>
      </c>
      <c r="G115" s="32">
        <v>8</v>
      </c>
      <c r="H115" s="265">
        <v>6.4</v>
      </c>
      <c r="I115" s="265">
        <v>6.6748000000000003</v>
      </c>
      <c r="J115" s="32">
        <v>84</v>
      </c>
      <c r="K115" s="32" t="s">
        <v>67</v>
      </c>
      <c r="L115" s="32" t="s">
        <v>68</v>
      </c>
      <c r="M115" s="33" t="s">
        <v>69</v>
      </c>
      <c r="N115" s="33"/>
      <c r="O115" s="32">
        <v>180</v>
      </c>
      <c r="P115" s="38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6">
        <v>0</v>
      </c>
      <c r="Y115" s="267">
        <f t="shared" si="6"/>
        <v>0</v>
      </c>
      <c r="Z115" s="36">
        <f t="shared" si="7"/>
        <v>0</v>
      </c>
      <c r="AA115" s="56"/>
      <c r="AB115" s="57"/>
      <c r="AC115" s="150" t="s">
        <v>197</v>
      </c>
      <c r="AG115" s="67"/>
      <c r="AJ115" s="71" t="s">
        <v>72</v>
      </c>
      <c r="AK115" s="71">
        <v>1</v>
      </c>
      <c r="BB115" s="151" t="s">
        <v>1</v>
      </c>
      <c r="BM115" s="67">
        <f t="shared" si="8"/>
        <v>0</v>
      </c>
      <c r="BN115" s="67">
        <f t="shared" si="9"/>
        <v>0</v>
      </c>
      <c r="BO115" s="67">
        <f t="shared" si="10"/>
        <v>0</v>
      </c>
      <c r="BP115" s="67">
        <f t="shared" si="11"/>
        <v>0</v>
      </c>
    </row>
    <row r="116" spans="1:68" ht="27" customHeight="1" x14ac:dyDescent="0.25">
      <c r="A116" s="54" t="s">
        <v>198</v>
      </c>
      <c r="B116" s="54" t="s">
        <v>199</v>
      </c>
      <c r="C116" s="31">
        <v>4301071049</v>
      </c>
      <c r="D116" s="282">
        <v>4607111039293</v>
      </c>
      <c r="E116" s="283"/>
      <c r="F116" s="265">
        <v>0.4</v>
      </c>
      <c r="G116" s="32">
        <v>16</v>
      </c>
      <c r="H116" s="265">
        <v>6.4</v>
      </c>
      <c r="I116" s="265">
        <v>6.7195999999999998</v>
      </c>
      <c r="J116" s="32">
        <v>84</v>
      </c>
      <c r="K116" s="32" t="s">
        <v>67</v>
      </c>
      <c r="L116" s="32" t="s">
        <v>105</v>
      </c>
      <c r="M116" s="33" t="s">
        <v>69</v>
      </c>
      <c r="N116" s="33"/>
      <c r="O116" s="32">
        <v>180</v>
      </c>
      <c r="P116" s="33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6">
        <v>48</v>
      </c>
      <c r="Y116" s="267">
        <f t="shared" si="6"/>
        <v>48</v>
      </c>
      <c r="Z116" s="36">
        <f t="shared" si="7"/>
        <v>0.74399999999999999</v>
      </c>
      <c r="AA116" s="56"/>
      <c r="AB116" s="57"/>
      <c r="AC116" s="152" t="s">
        <v>147</v>
      </c>
      <c r="AG116" s="67"/>
      <c r="AJ116" s="71" t="s">
        <v>107</v>
      </c>
      <c r="AK116" s="71">
        <v>12</v>
      </c>
      <c r="BB116" s="153" t="s">
        <v>1</v>
      </c>
      <c r="BM116" s="67">
        <f t="shared" si="8"/>
        <v>322.54079999999999</v>
      </c>
      <c r="BN116" s="67">
        <f t="shared" si="9"/>
        <v>322.54079999999999</v>
      </c>
      <c r="BO116" s="67">
        <f t="shared" si="10"/>
        <v>0.5714285714285714</v>
      </c>
      <c r="BP116" s="67">
        <f t="shared" si="11"/>
        <v>0.5714285714285714</v>
      </c>
    </row>
    <row r="117" spans="1:68" ht="27" customHeight="1" x14ac:dyDescent="0.25">
      <c r="A117" s="54" t="s">
        <v>200</v>
      </c>
      <c r="B117" s="54" t="s">
        <v>201</v>
      </c>
      <c r="C117" s="31">
        <v>4301071039</v>
      </c>
      <c r="D117" s="282">
        <v>4607111039279</v>
      </c>
      <c r="E117" s="283"/>
      <c r="F117" s="265">
        <v>0.7</v>
      </c>
      <c r="G117" s="32">
        <v>10</v>
      </c>
      <c r="H117" s="265">
        <v>7</v>
      </c>
      <c r="I117" s="265">
        <v>7.3</v>
      </c>
      <c r="J117" s="32">
        <v>84</v>
      </c>
      <c r="K117" s="32" t="s">
        <v>67</v>
      </c>
      <c r="L117" s="32" t="s">
        <v>93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6">
        <v>180</v>
      </c>
      <c r="Y117" s="267">
        <f t="shared" si="6"/>
        <v>180</v>
      </c>
      <c r="Z117" s="36">
        <f t="shared" si="7"/>
        <v>2.79</v>
      </c>
      <c r="AA117" s="56"/>
      <c r="AB117" s="57"/>
      <c r="AC117" s="154" t="s">
        <v>147</v>
      </c>
      <c r="AG117" s="67"/>
      <c r="AJ117" s="71" t="s">
        <v>95</v>
      </c>
      <c r="AK117" s="71">
        <v>84</v>
      </c>
      <c r="BB117" s="155" t="s">
        <v>1</v>
      </c>
      <c r="BM117" s="67">
        <f t="shared" si="8"/>
        <v>1314</v>
      </c>
      <c r="BN117" s="67">
        <f t="shared" si="9"/>
        <v>1314</v>
      </c>
      <c r="BO117" s="67">
        <f t="shared" si="10"/>
        <v>2.1428571428571428</v>
      </c>
      <c r="BP117" s="67">
        <f t="shared" si="11"/>
        <v>2.1428571428571428</v>
      </c>
    </row>
    <row r="118" spans="1:68" ht="27" customHeight="1" x14ac:dyDescent="0.25">
      <c r="A118" s="54" t="s">
        <v>202</v>
      </c>
      <c r="B118" s="54" t="s">
        <v>203</v>
      </c>
      <c r="C118" s="31">
        <v>4301070978</v>
      </c>
      <c r="D118" s="282">
        <v>4607111037435</v>
      </c>
      <c r="E118" s="283"/>
      <c r="F118" s="265">
        <v>0.8</v>
      </c>
      <c r="G118" s="32">
        <v>8</v>
      </c>
      <c r="H118" s="265">
        <v>6.4</v>
      </c>
      <c r="I118" s="265">
        <v>6.6859999999999999</v>
      </c>
      <c r="J118" s="32">
        <v>84</v>
      </c>
      <c r="K118" s="32" t="s">
        <v>67</v>
      </c>
      <c r="L118" s="32" t="s">
        <v>68</v>
      </c>
      <c r="M118" s="33" t="s">
        <v>69</v>
      </c>
      <c r="N118" s="33"/>
      <c r="O118" s="32">
        <v>180</v>
      </c>
      <c r="P118" s="35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6">
        <v>0</v>
      </c>
      <c r="Y118" s="267">
        <f t="shared" si="6"/>
        <v>0</v>
      </c>
      <c r="Z118" s="36">
        <f t="shared" si="7"/>
        <v>0</v>
      </c>
      <c r="AA118" s="56"/>
      <c r="AB118" s="57"/>
      <c r="AC118" s="156" t="s">
        <v>204</v>
      </c>
      <c r="AG118" s="67"/>
      <c r="AJ118" s="71" t="s">
        <v>72</v>
      </c>
      <c r="AK118" s="71">
        <v>1</v>
      </c>
      <c r="BB118" s="157" t="s">
        <v>1</v>
      </c>
      <c r="BM118" s="67">
        <f t="shared" si="8"/>
        <v>0</v>
      </c>
      <c r="BN118" s="67">
        <f t="shared" si="9"/>
        <v>0</v>
      </c>
      <c r="BO118" s="67">
        <f t="shared" si="10"/>
        <v>0</v>
      </c>
      <c r="BP118" s="67">
        <f t="shared" si="11"/>
        <v>0</v>
      </c>
    </row>
    <row r="119" spans="1:68" ht="27" customHeight="1" x14ac:dyDescent="0.25">
      <c r="A119" s="54" t="s">
        <v>205</v>
      </c>
      <c r="B119" s="54" t="s">
        <v>206</v>
      </c>
      <c r="C119" s="31">
        <v>4301071075</v>
      </c>
      <c r="D119" s="282">
        <v>4620207491102</v>
      </c>
      <c r="E119" s="283"/>
      <c r="F119" s="265">
        <v>0.7</v>
      </c>
      <c r="G119" s="32">
        <v>10</v>
      </c>
      <c r="H119" s="265">
        <v>7</v>
      </c>
      <c r="I119" s="265">
        <v>7.23</v>
      </c>
      <c r="J119" s="32">
        <v>84</v>
      </c>
      <c r="K119" s="32" t="s">
        <v>67</v>
      </c>
      <c r="L119" s="32" t="s">
        <v>68</v>
      </c>
      <c r="M119" s="33" t="s">
        <v>69</v>
      </c>
      <c r="N119" s="33"/>
      <c r="O119" s="32">
        <v>180</v>
      </c>
      <c r="P119" s="35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6">
        <v>36</v>
      </c>
      <c r="Y119" s="267">
        <f t="shared" si="6"/>
        <v>36</v>
      </c>
      <c r="Z119" s="36">
        <f t="shared" si="7"/>
        <v>0.55800000000000005</v>
      </c>
      <c r="AA119" s="56"/>
      <c r="AB119" s="57"/>
      <c r="AC119" s="158" t="s">
        <v>207</v>
      </c>
      <c r="AG119" s="67"/>
      <c r="AJ119" s="71" t="s">
        <v>72</v>
      </c>
      <c r="AK119" s="71">
        <v>1</v>
      </c>
      <c r="BB119" s="159" t="s">
        <v>1</v>
      </c>
      <c r="BM119" s="67">
        <f t="shared" si="8"/>
        <v>260.28000000000003</v>
      </c>
      <c r="BN119" s="67">
        <f t="shared" si="9"/>
        <v>260.28000000000003</v>
      </c>
      <c r="BO119" s="67">
        <f t="shared" si="10"/>
        <v>0.42857142857142855</v>
      </c>
      <c r="BP119" s="67">
        <f t="shared" si="11"/>
        <v>0.42857142857142855</v>
      </c>
    </row>
    <row r="120" spans="1:68" x14ac:dyDescent="0.2">
      <c r="A120" s="294"/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95"/>
      <c r="P120" s="284" t="s">
        <v>79</v>
      </c>
      <c r="Q120" s="285"/>
      <c r="R120" s="285"/>
      <c r="S120" s="285"/>
      <c r="T120" s="285"/>
      <c r="U120" s="285"/>
      <c r="V120" s="286"/>
      <c r="W120" s="37" t="s">
        <v>70</v>
      </c>
      <c r="X120" s="268">
        <f>IFERROR(SUM(X111:X119),"0")</f>
        <v>480</v>
      </c>
      <c r="Y120" s="268">
        <f>IFERROR(SUM(Y111:Y119),"0")</f>
        <v>480</v>
      </c>
      <c r="Z120" s="268">
        <f>IFERROR(IF(Z111="",0,Z111),"0")+IFERROR(IF(Z112="",0,Z112),"0")+IFERROR(IF(Z113="",0,Z113),"0")+IFERROR(IF(Z114="",0,Z114),"0")+IFERROR(IF(Z115="",0,Z115),"0")+IFERROR(IF(Z116="",0,Z116),"0")+IFERROR(IF(Z117="",0,Z117),"0")+IFERROR(IF(Z118="",0,Z118),"0")+IFERROR(IF(Z119="",0,Z119),"0")</f>
        <v>7.4399999999999995</v>
      </c>
      <c r="AA120" s="269"/>
      <c r="AB120" s="269"/>
      <c r="AC120" s="269"/>
    </row>
    <row r="121" spans="1:68" x14ac:dyDescent="0.2">
      <c r="A121" s="277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95"/>
      <c r="P121" s="284" t="s">
        <v>79</v>
      </c>
      <c r="Q121" s="285"/>
      <c r="R121" s="285"/>
      <c r="S121" s="285"/>
      <c r="T121" s="285"/>
      <c r="U121" s="285"/>
      <c r="V121" s="286"/>
      <c r="W121" s="37" t="s">
        <v>80</v>
      </c>
      <c r="X121" s="268">
        <f>IFERROR(SUMPRODUCT(X111:X119*H111:H119),"0")</f>
        <v>3302.4</v>
      </c>
      <c r="Y121" s="268">
        <f>IFERROR(SUMPRODUCT(Y111:Y119*H111:H119),"0")</f>
        <v>3302.4</v>
      </c>
      <c r="Z121" s="37"/>
      <c r="AA121" s="269"/>
      <c r="AB121" s="269"/>
      <c r="AC121" s="269"/>
    </row>
    <row r="122" spans="1:68" ht="14.25" customHeight="1" x14ac:dyDescent="0.25">
      <c r="A122" s="276" t="s">
        <v>135</v>
      </c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62"/>
      <c r="AB122" s="262"/>
      <c r="AC122" s="262"/>
    </row>
    <row r="123" spans="1:68" ht="27" customHeight="1" x14ac:dyDescent="0.25">
      <c r="A123" s="54" t="s">
        <v>208</v>
      </c>
      <c r="B123" s="54" t="s">
        <v>209</v>
      </c>
      <c r="C123" s="31">
        <v>4301135826</v>
      </c>
      <c r="D123" s="282">
        <v>4620207490983</v>
      </c>
      <c r="E123" s="283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92</v>
      </c>
      <c r="L123" s="32" t="s">
        <v>68</v>
      </c>
      <c r="M123" s="33" t="s">
        <v>69</v>
      </c>
      <c r="N123" s="33"/>
      <c r="O123" s="32">
        <v>180</v>
      </c>
      <c r="P123" s="44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210</v>
      </c>
      <c r="AG123" s="67"/>
      <c r="AJ123" s="71" t="s">
        <v>72</v>
      </c>
      <c r="AK123" s="71">
        <v>1</v>
      </c>
      <c r="BB123" s="161" t="s">
        <v>96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94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95"/>
      <c r="P124" s="284" t="s">
        <v>79</v>
      </c>
      <c r="Q124" s="285"/>
      <c r="R124" s="285"/>
      <c r="S124" s="285"/>
      <c r="T124" s="285"/>
      <c r="U124" s="285"/>
      <c r="V124" s="286"/>
      <c r="W124" s="37" t="s">
        <v>70</v>
      </c>
      <c r="X124" s="268">
        <f>IFERROR(SUM(X123:X123),"0")</f>
        <v>0</v>
      </c>
      <c r="Y124" s="268">
        <f>IFERROR(SUM(Y123:Y123),"0")</f>
        <v>0</v>
      </c>
      <c r="Z124" s="268">
        <f>IFERROR(IF(Z123="",0,Z123),"0")</f>
        <v>0</v>
      </c>
      <c r="AA124" s="269"/>
      <c r="AB124" s="269"/>
      <c r="AC124" s="269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95"/>
      <c r="P125" s="284" t="s">
        <v>79</v>
      </c>
      <c r="Q125" s="285"/>
      <c r="R125" s="285"/>
      <c r="S125" s="285"/>
      <c r="T125" s="285"/>
      <c r="U125" s="285"/>
      <c r="V125" s="286"/>
      <c r="W125" s="37" t="s">
        <v>80</v>
      </c>
      <c r="X125" s="268">
        <f>IFERROR(SUMPRODUCT(X123:X123*H123:H123),"0")</f>
        <v>0</v>
      </c>
      <c r="Y125" s="268">
        <f>IFERROR(SUMPRODUCT(Y123:Y123*H123:H123),"0")</f>
        <v>0</v>
      </c>
      <c r="Z125" s="37"/>
      <c r="AA125" s="269"/>
      <c r="AB125" s="269"/>
      <c r="AC125" s="269"/>
    </row>
    <row r="126" spans="1:68" ht="14.25" customHeight="1" x14ac:dyDescent="0.25">
      <c r="A126" s="276" t="s">
        <v>211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2"/>
      <c r="AB126" s="262"/>
      <c r="AC126" s="262"/>
    </row>
    <row r="127" spans="1:68" ht="27" customHeight="1" x14ac:dyDescent="0.25">
      <c r="A127" s="54" t="s">
        <v>212</v>
      </c>
      <c r="B127" s="54" t="s">
        <v>213</v>
      </c>
      <c r="C127" s="31">
        <v>4301071094</v>
      </c>
      <c r="D127" s="282">
        <v>4620207491140</v>
      </c>
      <c r="E127" s="283"/>
      <c r="F127" s="265">
        <v>0.6</v>
      </c>
      <c r="G127" s="32">
        <v>10</v>
      </c>
      <c r="H127" s="265">
        <v>6</v>
      </c>
      <c r="I127" s="265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3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1"/>
      <c r="R127" s="271"/>
      <c r="S127" s="271"/>
      <c r="T127" s="272"/>
      <c r="U127" s="34"/>
      <c r="V127" s="34"/>
      <c r="W127" s="35" t="s">
        <v>70</v>
      </c>
      <c r="X127" s="266">
        <v>0</v>
      </c>
      <c r="Y127" s="26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214</v>
      </c>
      <c r="AG127" s="67"/>
      <c r="AJ127" s="71" t="s">
        <v>72</v>
      </c>
      <c r="AK127" s="71">
        <v>1</v>
      </c>
      <c r="BB127" s="163" t="s">
        <v>96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4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95"/>
      <c r="P128" s="284" t="s">
        <v>79</v>
      </c>
      <c r="Q128" s="285"/>
      <c r="R128" s="285"/>
      <c r="S128" s="285"/>
      <c r="T128" s="285"/>
      <c r="U128" s="285"/>
      <c r="V128" s="286"/>
      <c r="W128" s="37" t="s">
        <v>70</v>
      </c>
      <c r="X128" s="268">
        <f>IFERROR(SUM(X127:X127),"0")</f>
        <v>0</v>
      </c>
      <c r="Y128" s="268">
        <f>IFERROR(SUM(Y127:Y127),"0")</f>
        <v>0</v>
      </c>
      <c r="Z128" s="268">
        <f>IFERROR(IF(Z127="",0,Z127),"0")</f>
        <v>0</v>
      </c>
      <c r="AA128" s="269"/>
      <c r="AB128" s="269"/>
      <c r="AC128" s="269"/>
    </row>
    <row r="129" spans="1:68" x14ac:dyDescent="0.2">
      <c r="A129" s="277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95"/>
      <c r="P129" s="284" t="s">
        <v>79</v>
      </c>
      <c r="Q129" s="285"/>
      <c r="R129" s="285"/>
      <c r="S129" s="285"/>
      <c r="T129" s="285"/>
      <c r="U129" s="285"/>
      <c r="V129" s="286"/>
      <c r="W129" s="37" t="s">
        <v>80</v>
      </c>
      <c r="X129" s="268">
        <f>IFERROR(SUMPRODUCT(X127:X127*H127:H127),"0")</f>
        <v>0</v>
      </c>
      <c r="Y129" s="268">
        <f>IFERROR(SUMPRODUCT(Y127:Y127*H127:H127),"0")</f>
        <v>0</v>
      </c>
      <c r="Z129" s="37"/>
      <c r="AA129" s="269"/>
      <c r="AB129" s="269"/>
      <c r="AC129" s="269"/>
    </row>
    <row r="130" spans="1:68" ht="16.5" customHeight="1" x14ac:dyDescent="0.25">
      <c r="A130" s="288" t="s">
        <v>215</v>
      </c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  <c r="AA130" s="261"/>
      <c r="AB130" s="261"/>
      <c r="AC130" s="261"/>
    </row>
    <row r="131" spans="1:68" ht="14.25" customHeight="1" x14ac:dyDescent="0.25">
      <c r="A131" s="276" t="s">
        <v>135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62"/>
      <c r="AB131" s="262"/>
      <c r="AC131" s="262"/>
    </row>
    <row r="132" spans="1:68" ht="27" customHeight="1" x14ac:dyDescent="0.25">
      <c r="A132" s="54" t="s">
        <v>216</v>
      </c>
      <c r="B132" s="54" t="s">
        <v>217</v>
      </c>
      <c r="C132" s="31">
        <v>4301135555</v>
      </c>
      <c r="D132" s="282">
        <v>4607111034014</v>
      </c>
      <c r="E132" s="283"/>
      <c r="F132" s="265">
        <v>0.25</v>
      </c>
      <c r="G132" s="32">
        <v>12</v>
      </c>
      <c r="H132" s="265">
        <v>3</v>
      </c>
      <c r="I132" s="265">
        <v>3.7035999999999998</v>
      </c>
      <c r="J132" s="32">
        <v>70</v>
      </c>
      <c r="K132" s="32" t="s">
        <v>92</v>
      </c>
      <c r="L132" s="32" t="s">
        <v>93</v>
      </c>
      <c r="M132" s="33" t="s">
        <v>69</v>
      </c>
      <c r="N132" s="33"/>
      <c r="O132" s="32">
        <v>180</v>
      </c>
      <c r="P132" s="36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1"/>
      <c r="R132" s="271"/>
      <c r="S132" s="271"/>
      <c r="T132" s="272"/>
      <c r="U132" s="34"/>
      <c r="V132" s="34"/>
      <c r="W132" s="35" t="s">
        <v>70</v>
      </c>
      <c r="X132" s="266">
        <v>112</v>
      </c>
      <c r="Y132" s="267">
        <f>IFERROR(IF(X132="","",X132),"")</f>
        <v>112</v>
      </c>
      <c r="Z132" s="36">
        <f>IFERROR(IF(X132="","",X132*0.01788),"")</f>
        <v>2.0025599999999999</v>
      </c>
      <c r="AA132" s="56"/>
      <c r="AB132" s="57"/>
      <c r="AC132" s="164" t="s">
        <v>218</v>
      </c>
      <c r="AG132" s="67"/>
      <c r="AJ132" s="71" t="s">
        <v>95</v>
      </c>
      <c r="AK132" s="71">
        <v>70</v>
      </c>
      <c r="BB132" s="165" t="s">
        <v>96</v>
      </c>
      <c r="BM132" s="67">
        <f>IFERROR(X132*I132,"0")</f>
        <v>414.80319999999995</v>
      </c>
      <c r="BN132" s="67">
        <f>IFERROR(Y132*I132,"0")</f>
        <v>414.80319999999995</v>
      </c>
      <c r="BO132" s="67">
        <f>IFERROR(X132/J132,"0")</f>
        <v>1.6</v>
      </c>
      <c r="BP132" s="67">
        <f>IFERROR(Y132/J132,"0")</f>
        <v>1.6</v>
      </c>
    </row>
    <row r="133" spans="1:68" ht="27" customHeight="1" x14ac:dyDescent="0.25">
      <c r="A133" s="54" t="s">
        <v>219</v>
      </c>
      <c r="B133" s="54" t="s">
        <v>220</v>
      </c>
      <c r="C133" s="31">
        <v>4301135532</v>
      </c>
      <c r="D133" s="282">
        <v>4607111033994</v>
      </c>
      <c r="E133" s="283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92</v>
      </c>
      <c r="L133" s="32" t="s">
        <v>93</v>
      </c>
      <c r="M133" s="33" t="s">
        <v>69</v>
      </c>
      <c r="N133" s="33"/>
      <c r="O133" s="32">
        <v>180</v>
      </c>
      <c r="P133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6">
        <v>196</v>
      </c>
      <c r="Y133" s="267">
        <f>IFERROR(IF(X133="","",X133),"")</f>
        <v>196</v>
      </c>
      <c r="Z133" s="36">
        <f>IFERROR(IF(X133="","",X133*0.01788),"")</f>
        <v>3.50448</v>
      </c>
      <c r="AA133" s="56"/>
      <c r="AB133" s="57"/>
      <c r="AC133" s="166" t="s">
        <v>153</v>
      </c>
      <c r="AG133" s="67"/>
      <c r="AJ133" s="71" t="s">
        <v>95</v>
      </c>
      <c r="AK133" s="71">
        <v>70</v>
      </c>
      <c r="BB133" s="167" t="s">
        <v>96</v>
      </c>
      <c r="BM133" s="67">
        <f>IFERROR(X133*I133,"0")</f>
        <v>725.90559999999994</v>
      </c>
      <c r="BN133" s="67">
        <f>IFERROR(Y133*I133,"0")</f>
        <v>725.90559999999994</v>
      </c>
      <c r="BO133" s="67">
        <f>IFERROR(X133/J133,"0")</f>
        <v>2.8</v>
      </c>
      <c r="BP133" s="67">
        <f>IFERROR(Y133/J133,"0")</f>
        <v>2.8</v>
      </c>
    </row>
    <row r="134" spans="1:68" x14ac:dyDescent="0.2">
      <c r="A134" s="294"/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95"/>
      <c r="P134" s="284" t="s">
        <v>79</v>
      </c>
      <c r="Q134" s="285"/>
      <c r="R134" s="285"/>
      <c r="S134" s="285"/>
      <c r="T134" s="285"/>
      <c r="U134" s="285"/>
      <c r="V134" s="286"/>
      <c r="W134" s="37" t="s">
        <v>70</v>
      </c>
      <c r="X134" s="268">
        <f>IFERROR(SUM(X132:X133),"0")</f>
        <v>308</v>
      </c>
      <c r="Y134" s="268">
        <f>IFERROR(SUM(Y132:Y133),"0")</f>
        <v>308</v>
      </c>
      <c r="Z134" s="268">
        <f>IFERROR(IF(Z132="",0,Z132),"0")+IFERROR(IF(Z133="",0,Z133),"0")</f>
        <v>5.5070399999999999</v>
      </c>
      <c r="AA134" s="269"/>
      <c r="AB134" s="269"/>
      <c r="AC134" s="269"/>
    </row>
    <row r="135" spans="1:68" x14ac:dyDescent="0.2">
      <c r="A135" s="277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95"/>
      <c r="P135" s="284" t="s">
        <v>79</v>
      </c>
      <c r="Q135" s="285"/>
      <c r="R135" s="285"/>
      <c r="S135" s="285"/>
      <c r="T135" s="285"/>
      <c r="U135" s="285"/>
      <c r="V135" s="286"/>
      <c r="W135" s="37" t="s">
        <v>80</v>
      </c>
      <c r="X135" s="268">
        <f>IFERROR(SUMPRODUCT(X132:X133*H132:H133),"0")</f>
        <v>924</v>
      </c>
      <c r="Y135" s="268">
        <f>IFERROR(SUMPRODUCT(Y132:Y133*H132:H133),"0")</f>
        <v>924</v>
      </c>
      <c r="Z135" s="37"/>
      <c r="AA135" s="269"/>
      <c r="AB135" s="269"/>
      <c r="AC135" s="269"/>
    </row>
    <row r="136" spans="1:68" ht="16.5" customHeight="1" x14ac:dyDescent="0.25">
      <c r="A136" s="288" t="s">
        <v>221</v>
      </c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  <c r="AA136" s="261"/>
      <c r="AB136" s="261"/>
      <c r="AC136" s="261"/>
    </row>
    <row r="137" spans="1:68" ht="14.25" customHeight="1" x14ac:dyDescent="0.25">
      <c r="A137" s="276" t="s">
        <v>135</v>
      </c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62"/>
      <c r="AB137" s="262"/>
      <c r="AC137" s="262"/>
    </row>
    <row r="138" spans="1:68" ht="27" customHeight="1" x14ac:dyDescent="0.25">
      <c r="A138" s="54" t="s">
        <v>222</v>
      </c>
      <c r="B138" s="54" t="s">
        <v>223</v>
      </c>
      <c r="C138" s="31">
        <v>4301135824</v>
      </c>
      <c r="D138" s="282">
        <v>4607111039095</v>
      </c>
      <c r="E138" s="283"/>
      <c r="F138" s="265">
        <v>0.25</v>
      </c>
      <c r="G138" s="32">
        <v>12</v>
      </c>
      <c r="H138" s="265">
        <v>3</v>
      </c>
      <c r="I138" s="265">
        <v>3.7480000000000002</v>
      </c>
      <c r="J138" s="32">
        <v>70</v>
      </c>
      <c r="K138" s="32" t="s">
        <v>92</v>
      </c>
      <c r="L138" s="32" t="s">
        <v>68</v>
      </c>
      <c r="M138" s="33" t="s">
        <v>69</v>
      </c>
      <c r="N138" s="33"/>
      <c r="O138" s="32">
        <v>180</v>
      </c>
      <c r="P138" s="37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1"/>
      <c r="R138" s="271"/>
      <c r="S138" s="271"/>
      <c r="T138" s="272"/>
      <c r="U138" s="34"/>
      <c r="V138" s="34"/>
      <c r="W138" s="35" t="s">
        <v>70</v>
      </c>
      <c r="X138" s="266">
        <v>42</v>
      </c>
      <c r="Y138" s="267">
        <f>IFERROR(IF(X138="","",X138),"")</f>
        <v>42</v>
      </c>
      <c r="Z138" s="36">
        <f>IFERROR(IF(X138="","",X138*0.01788),"")</f>
        <v>0.75095999999999996</v>
      </c>
      <c r="AA138" s="56"/>
      <c r="AB138" s="57"/>
      <c r="AC138" s="168" t="s">
        <v>224</v>
      </c>
      <c r="AG138" s="67"/>
      <c r="AJ138" s="71" t="s">
        <v>72</v>
      </c>
      <c r="AK138" s="71">
        <v>1</v>
      </c>
      <c r="BB138" s="169" t="s">
        <v>96</v>
      </c>
      <c r="BM138" s="67">
        <f>IFERROR(X138*I138,"0")</f>
        <v>157.416</v>
      </c>
      <c r="BN138" s="67">
        <f>IFERROR(Y138*I138,"0")</f>
        <v>157.416</v>
      </c>
      <c r="BO138" s="67">
        <f>IFERROR(X138/J138,"0")</f>
        <v>0.6</v>
      </c>
      <c r="BP138" s="67">
        <f>IFERROR(Y138/J138,"0")</f>
        <v>0.6</v>
      </c>
    </row>
    <row r="139" spans="1:68" ht="16.5" customHeight="1" x14ac:dyDescent="0.25">
      <c r="A139" s="54" t="s">
        <v>225</v>
      </c>
      <c r="B139" s="54" t="s">
        <v>226</v>
      </c>
      <c r="C139" s="31">
        <v>4301135550</v>
      </c>
      <c r="D139" s="282">
        <v>4607111034199</v>
      </c>
      <c r="E139" s="283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92</v>
      </c>
      <c r="L139" s="32" t="s">
        <v>93</v>
      </c>
      <c r="M139" s="33" t="s">
        <v>69</v>
      </c>
      <c r="N139" s="33"/>
      <c r="O139" s="32">
        <v>180</v>
      </c>
      <c r="P139" s="42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6">
        <v>70</v>
      </c>
      <c r="Y139" s="267">
        <f>IFERROR(IF(X139="","",X139),"")</f>
        <v>70</v>
      </c>
      <c r="Z139" s="36">
        <f>IFERROR(IF(X139="","",X139*0.01788),"")</f>
        <v>1.2516</v>
      </c>
      <c r="AA139" s="56"/>
      <c r="AB139" s="57"/>
      <c r="AC139" s="170" t="s">
        <v>227</v>
      </c>
      <c r="AG139" s="67"/>
      <c r="AJ139" s="71" t="s">
        <v>95</v>
      </c>
      <c r="AK139" s="71">
        <v>70</v>
      </c>
      <c r="BB139" s="171" t="s">
        <v>96</v>
      </c>
      <c r="BM139" s="67">
        <f>IFERROR(X139*I139,"0")</f>
        <v>259.25200000000001</v>
      </c>
      <c r="BN139" s="67">
        <f>IFERROR(Y139*I139,"0")</f>
        <v>259.25200000000001</v>
      </c>
      <c r="BO139" s="67">
        <f>IFERROR(X139/J139,"0")</f>
        <v>1</v>
      </c>
      <c r="BP139" s="67">
        <f>IFERROR(Y139/J139,"0")</f>
        <v>1</v>
      </c>
    </row>
    <row r="140" spans="1:68" x14ac:dyDescent="0.2">
      <c r="A140" s="294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95"/>
      <c r="P140" s="284" t="s">
        <v>79</v>
      </c>
      <c r="Q140" s="285"/>
      <c r="R140" s="285"/>
      <c r="S140" s="285"/>
      <c r="T140" s="285"/>
      <c r="U140" s="285"/>
      <c r="V140" s="286"/>
      <c r="W140" s="37" t="s">
        <v>70</v>
      </c>
      <c r="X140" s="268">
        <f>IFERROR(SUM(X138:X139),"0")</f>
        <v>112</v>
      </c>
      <c r="Y140" s="268">
        <f>IFERROR(SUM(Y138:Y139),"0")</f>
        <v>112</v>
      </c>
      <c r="Z140" s="268">
        <f>IFERROR(IF(Z138="",0,Z138),"0")+IFERROR(IF(Z139="",0,Z139),"0")</f>
        <v>2.0025599999999999</v>
      </c>
      <c r="AA140" s="269"/>
      <c r="AB140" s="269"/>
      <c r="AC140" s="269"/>
    </row>
    <row r="141" spans="1:68" x14ac:dyDescent="0.2">
      <c r="A141" s="277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95"/>
      <c r="P141" s="284" t="s">
        <v>79</v>
      </c>
      <c r="Q141" s="285"/>
      <c r="R141" s="285"/>
      <c r="S141" s="285"/>
      <c r="T141" s="285"/>
      <c r="U141" s="285"/>
      <c r="V141" s="286"/>
      <c r="W141" s="37" t="s">
        <v>80</v>
      </c>
      <c r="X141" s="268">
        <f>IFERROR(SUMPRODUCT(X138:X139*H138:H139),"0")</f>
        <v>336</v>
      </c>
      <c r="Y141" s="268">
        <f>IFERROR(SUMPRODUCT(Y138:Y139*H138:H139),"0")</f>
        <v>336</v>
      </c>
      <c r="Z141" s="37"/>
      <c r="AA141" s="269"/>
      <c r="AB141" s="269"/>
      <c r="AC141" s="269"/>
    </row>
    <row r="142" spans="1:68" ht="16.5" customHeight="1" x14ac:dyDescent="0.25">
      <c r="A142" s="288" t="s">
        <v>228</v>
      </c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  <c r="AA142" s="261"/>
      <c r="AB142" s="261"/>
      <c r="AC142" s="261"/>
    </row>
    <row r="143" spans="1:68" ht="14.25" customHeight="1" x14ac:dyDescent="0.25">
      <c r="A143" s="276" t="s">
        <v>135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2"/>
      <c r="AB143" s="262"/>
      <c r="AC143" s="262"/>
    </row>
    <row r="144" spans="1:68" ht="27" customHeight="1" x14ac:dyDescent="0.25">
      <c r="A144" s="54" t="s">
        <v>229</v>
      </c>
      <c r="B144" s="54" t="s">
        <v>230</v>
      </c>
      <c r="C144" s="31">
        <v>4301135753</v>
      </c>
      <c r="D144" s="282">
        <v>4620207490914</v>
      </c>
      <c r="E144" s="283"/>
      <c r="F144" s="265">
        <v>0.2</v>
      </c>
      <c r="G144" s="32">
        <v>12</v>
      </c>
      <c r="H144" s="265">
        <v>2.4</v>
      </c>
      <c r="I144" s="265">
        <v>2.68</v>
      </c>
      <c r="J144" s="32">
        <v>70</v>
      </c>
      <c r="K144" s="32" t="s">
        <v>92</v>
      </c>
      <c r="L144" s="32" t="s">
        <v>68</v>
      </c>
      <c r="M144" s="33" t="s">
        <v>69</v>
      </c>
      <c r="N144" s="33"/>
      <c r="O144" s="32">
        <v>180</v>
      </c>
      <c r="P144" s="27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1"/>
      <c r="R144" s="271"/>
      <c r="S144" s="271"/>
      <c r="T144" s="272"/>
      <c r="U144" s="34"/>
      <c r="V144" s="34"/>
      <c r="W144" s="35" t="s">
        <v>70</v>
      </c>
      <c r="X144" s="266">
        <v>28</v>
      </c>
      <c r="Y144" s="267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72" t="s">
        <v>218</v>
      </c>
      <c r="AG144" s="67"/>
      <c r="AJ144" s="71" t="s">
        <v>72</v>
      </c>
      <c r="AK144" s="71">
        <v>1</v>
      </c>
      <c r="BB144" s="173" t="s">
        <v>96</v>
      </c>
      <c r="BM144" s="67">
        <f>IFERROR(X144*I144,"0")</f>
        <v>75.040000000000006</v>
      </c>
      <c r="BN144" s="67">
        <f>IFERROR(Y144*I144,"0")</f>
        <v>75.040000000000006</v>
      </c>
      <c r="BO144" s="67">
        <f>IFERROR(X144/J144,"0")</f>
        <v>0.4</v>
      </c>
      <c r="BP144" s="67">
        <f>IFERROR(Y144/J144,"0")</f>
        <v>0.4</v>
      </c>
    </row>
    <row r="145" spans="1:68" ht="27" customHeight="1" x14ac:dyDescent="0.25">
      <c r="A145" s="54" t="s">
        <v>231</v>
      </c>
      <c r="B145" s="54" t="s">
        <v>232</v>
      </c>
      <c r="C145" s="31">
        <v>4301135778</v>
      </c>
      <c r="D145" s="282">
        <v>4620207490853</v>
      </c>
      <c r="E145" s="283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92</v>
      </c>
      <c r="L145" s="32" t="s">
        <v>105</v>
      </c>
      <c r="M145" s="33" t="s">
        <v>69</v>
      </c>
      <c r="N145" s="33"/>
      <c r="O145" s="32">
        <v>180</v>
      </c>
      <c r="P145" s="3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6">
        <v>14</v>
      </c>
      <c r="Y145" s="267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218</v>
      </c>
      <c r="AG145" s="67"/>
      <c r="AJ145" s="71" t="s">
        <v>107</v>
      </c>
      <c r="AK145" s="71">
        <v>14</v>
      </c>
      <c r="BB145" s="175" t="s">
        <v>96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294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95"/>
      <c r="P146" s="284" t="s">
        <v>79</v>
      </c>
      <c r="Q146" s="285"/>
      <c r="R146" s="285"/>
      <c r="S146" s="285"/>
      <c r="T146" s="285"/>
      <c r="U146" s="285"/>
      <c r="V146" s="286"/>
      <c r="W146" s="37" t="s">
        <v>70</v>
      </c>
      <c r="X146" s="268">
        <f>IFERROR(SUM(X144:X145),"0")</f>
        <v>42</v>
      </c>
      <c r="Y146" s="268">
        <f>IFERROR(SUM(Y144:Y145),"0")</f>
        <v>42</v>
      </c>
      <c r="Z146" s="268">
        <f>IFERROR(IF(Z144="",0,Z144),"0")+IFERROR(IF(Z145="",0,Z145),"0")</f>
        <v>0.75095999999999996</v>
      </c>
      <c r="AA146" s="269"/>
      <c r="AB146" s="269"/>
      <c r="AC146" s="269"/>
    </row>
    <row r="147" spans="1:68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95"/>
      <c r="P147" s="284" t="s">
        <v>79</v>
      </c>
      <c r="Q147" s="285"/>
      <c r="R147" s="285"/>
      <c r="S147" s="285"/>
      <c r="T147" s="285"/>
      <c r="U147" s="285"/>
      <c r="V147" s="286"/>
      <c r="W147" s="37" t="s">
        <v>80</v>
      </c>
      <c r="X147" s="268">
        <f>IFERROR(SUMPRODUCT(X144:X145*H144:H145),"0")</f>
        <v>100.80000000000001</v>
      </c>
      <c r="Y147" s="268">
        <f>IFERROR(SUMPRODUCT(Y144:Y145*H144:H145),"0")</f>
        <v>100.80000000000001</v>
      </c>
      <c r="Z147" s="37"/>
      <c r="AA147" s="269"/>
      <c r="AB147" s="269"/>
      <c r="AC147" s="269"/>
    </row>
    <row r="148" spans="1:68" ht="16.5" customHeight="1" x14ac:dyDescent="0.25">
      <c r="A148" s="288" t="s">
        <v>233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1"/>
      <c r="AB148" s="261"/>
      <c r="AC148" s="261"/>
    </row>
    <row r="149" spans="1:68" ht="14.25" customHeight="1" x14ac:dyDescent="0.25">
      <c r="A149" s="276" t="s">
        <v>135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2"/>
      <c r="AB149" s="262"/>
      <c r="AC149" s="262"/>
    </row>
    <row r="150" spans="1:68" ht="27" customHeight="1" x14ac:dyDescent="0.25">
      <c r="A150" s="54" t="s">
        <v>234</v>
      </c>
      <c r="B150" s="54" t="s">
        <v>235</v>
      </c>
      <c r="C150" s="31">
        <v>4301135570</v>
      </c>
      <c r="D150" s="282">
        <v>4607111035806</v>
      </c>
      <c r="E150" s="283"/>
      <c r="F150" s="265">
        <v>0.25</v>
      </c>
      <c r="G150" s="32">
        <v>12</v>
      </c>
      <c r="H150" s="265">
        <v>3</v>
      </c>
      <c r="I150" s="265">
        <v>3.7035999999999998</v>
      </c>
      <c r="J150" s="32">
        <v>70</v>
      </c>
      <c r="K150" s="32" t="s">
        <v>92</v>
      </c>
      <c r="L150" s="32" t="s">
        <v>105</v>
      </c>
      <c r="M150" s="33" t="s">
        <v>69</v>
      </c>
      <c r="N150" s="33"/>
      <c r="O150" s="32">
        <v>180</v>
      </c>
      <c r="P150" s="29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1"/>
      <c r="R150" s="271"/>
      <c r="S150" s="271"/>
      <c r="T150" s="272"/>
      <c r="U150" s="34"/>
      <c r="V150" s="34"/>
      <c r="W150" s="35" t="s">
        <v>70</v>
      </c>
      <c r="X150" s="266">
        <v>14</v>
      </c>
      <c r="Y150" s="267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76" t="s">
        <v>236</v>
      </c>
      <c r="AG150" s="67"/>
      <c r="AJ150" s="71" t="s">
        <v>107</v>
      </c>
      <c r="AK150" s="71">
        <v>14</v>
      </c>
      <c r="BB150" s="177" t="s">
        <v>96</v>
      </c>
      <c r="BM150" s="67">
        <f>IFERROR(X150*I150,"0")</f>
        <v>51.850399999999993</v>
      </c>
      <c r="BN150" s="67">
        <f>IFERROR(Y150*I150,"0")</f>
        <v>51.850399999999993</v>
      </c>
      <c r="BO150" s="67">
        <f>IFERROR(X150/J150,"0")</f>
        <v>0.2</v>
      </c>
      <c r="BP150" s="67">
        <f>IFERROR(Y150/J150,"0")</f>
        <v>0.2</v>
      </c>
    </row>
    <row r="151" spans="1:68" x14ac:dyDescent="0.2">
      <c r="A151" s="294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95"/>
      <c r="P151" s="284" t="s">
        <v>79</v>
      </c>
      <c r="Q151" s="285"/>
      <c r="R151" s="285"/>
      <c r="S151" s="285"/>
      <c r="T151" s="285"/>
      <c r="U151" s="285"/>
      <c r="V151" s="286"/>
      <c r="W151" s="37" t="s">
        <v>70</v>
      </c>
      <c r="X151" s="268">
        <f>IFERROR(SUM(X150:X150),"0")</f>
        <v>14</v>
      </c>
      <c r="Y151" s="268">
        <f>IFERROR(SUM(Y150:Y150),"0")</f>
        <v>14</v>
      </c>
      <c r="Z151" s="268">
        <f>IFERROR(IF(Z150="",0,Z150),"0")</f>
        <v>0.25031999999999999</v>
      </c>
      <c r="AA151" s="269"/>
      <c r="AB151" s="269"/>
      <c r="AC151" s="269"/>
    </row>
    <row r="152" spans="1:68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95"/>
      <c r="P152" s="284" t="s">
        <v>79</v>
      </c>
      <c r="Q152" s="285"/>
      <c r="R152" s="285"/>
      <c r="S152" s="285"/>
      <c r="T152" s="285"/>
      <c r="U152" s="285"/>
      <c r="V152" s="286"/>
      <c r="W152" s="37" t="s">
        <v>80</v>
      </c>
      <c r="X152" s="268">
        <f>IFERROR(SUMPRODUCT(X150:X150*H150:H150),"0")</f>
        <v>42</v>
      </c>
      <c r="Y152" s="268">
        <f>IFERROR(SUMPRODUCT(Y150:Y150*H150:H150),"0")</f>
        <v>42</v>
      </c>
      <c r="Z152" s="37"/>
      <c r="AA152" s="269"/>
      <c r="AB152" s="269"/>
      <c r="AC152" s="269"/>
    </row>
    <row r="153" spans="1:68" ht="16.5" customHeight="1" x14ac:dyDescent="0.25">
      <c r="A153" s="288" t="s">
        <v>237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1"/>
      <c r="AB153" s="261"/>
      <c r="AC153" s="261"/>
    </row>
    <row r="154" spans="1:68" ht="14.25" customHeight="1" x14ac:dyDescent="0.25">
      <c r="A154" s="276" t="s">
        <v>135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2"/>
      <c r="AB154" s="262"/>
      <c r="AC154" s="262"/>
    </row>
    <row r="155" spans="1:68" ht="16.5" customHeight="1" x14ac:dyDescent="0.25">
      <c r="A155" s="54" t="s">
        <v>238</v>
      </c>
      <c r="B155" s="54" t="s">
        <v>239</v>
      </c>
      <c r="C155" s="31">
        <v>4301135607</v>
      </c>
      <c r="D155" s="282">
        <v>4607111039613</v>
      </c>
      <c r="E155" s="283"/>
      <c r="F155" s="265">
        <v>0.09</v>
      </c>
      <c r="G155" s="32">
        <v>30</v>
      </c>
      <c r="H155" s="265">
        <v>2.7</v>
      </c>
      <c r="I155" s="265">
        <v>3.09</v>
      </c>
      <c r="J155" s="32">
        <v>126</v>
      </c>
      <c r="K155" s="32" t="s">
        <v>92</v>
      </c>
      <c r="L155" s="32" t="s">
        <v>105</v>
      </c>
      <c r="M155" s="33" t="s">
        <v>69</v>
      </c>
      <c r="N155" s="33"/>
      <c r="O155" s="32">
        <v>180</v>
      </c>
      <c r="P155" s="28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1"/>
      <c r="R155" s="271"/>
      <c r="S155" s="271"/>
      <c r="T155" s="272"/>
      <c r="U155" s="34"/>
      <c r="V155" s="34"/>
      <c r="W155" s="35" t="s">
        <v>70</v>
      </c>
      <c r="X155" s="266">
        <v>0</v>
      </c>
      <c r="Y155" s="267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224</v>
      </c>
      <c r="AG155" s="67"/>
      <c r="AJ155" s="71" t="s">
        <v>107</v>
      </c>
      <c r="AK155" s="71">
        <v>14</v>
      </c>
      <c r="BB155" s="179" t="s">
        <v>96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94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95"/>
      <c r="P156" s="284" t="s">
        <v>79</v>
      </c>
      <c r="Q156" s="285"/>
      <c r="R156" s="285"/>
      <c r="S156" s="285"/>
      <c r="T156" s="285"/>
      <c r="U156" s="285"/>
      <c r="V156" s="286"/>
      <c r="W156" s="37" t="s">
        <v>70</v>
      </c>
      <c r="X156" s="268">
        <f>IFERROR(SUM(X155:X155),"0")</f>
        <v>0</v>
      </c>
      <c r="Y156" s="268">
        <f>IFERROR(SUM(Y155:Y155),"0")</f>
        <v>0</v>
      </c>
      <c r="Z156" s="268">
        <f>IFERROR(IF(Z155="",0,Z155),"0")</f>
        <v>0</v>
      </c>
      <c r="AA156" s="269"/>
      <c r="AB156" s="269"/>
      <c r="AC156" s="269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95"/>
      <c r="P157" s="284" t="s">
        <v>79</v>
      </c>
      <c r="Q157" s="285"/>
      <c r="R157" s="285"/>
      <c r="S157" s="285"/>
      <c r="T157" s="285"/>
      <c r="U157" s="285"/>
      <c r="V157" s="286"/>
      <c r="W157" s="37" t="s">
        <v>80</v>
      </c>
      <c r="X157" s="268">
        <f>IFERROR(SUMPRODUCT(X155:X155*H155:H155),"0")</f>
        <v>0</v>
      </c>
      <c r="Y157" s="268">
        <f>IFERROR(SUMPRODUCT(Y155:Y155*H155:H155),"0")</f>
        <v>0</v>
      </c>
      <c r="Z157" s="37"/>
      <c r="AA157" s="269"/>
      <c r="AB157" s="269"/>
      <c r="AC157" s="269"/>
    </row>
    <row r="158" spans="1:68" ht="16.5" customHeight="1" x14ac:dyDescent="0.25">
      <c r="A158" s="288" t="s">
        <v>240</v>
      </c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  <c r="AA158" s="261"/>
      <c r="AB158" s="261"/>
      <c r="AC158" s="261"/>
    </row>
    <row r="159" spans="1:68" ht="14.25" customHeight="1" x14ac:dyDescent="0.25">
      <c r="A159" s="276" t="s">
        <v>211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2"/>
      <c r="AB159" s="262"/>
      <c r="AC159" s="262"/>
    </row>
    <row r="160" spans="1:68" ht="27" customHeight="1" x14ac:dyDescent="0.25">
      <c r="A160" s="54" t="s">
        <v>241</v>
      </c>
      <c r="B160" s="54" t="s">
        <v>242</v>
      </c>
      <c r="C160" s="31">
        <v>4301135540</v>
      </c>
      <c r="D160" s="282">
        <v>4607111035646</v>
      </c>
      <c r="E160" s="283"/>
      <c r="F160" s="265">
        <v>0.2</v>
      </c>
      <c r="G160" s="32">
        <v>8</v>
      </c>
      <c r="H160" s="265">
        <v>1.6</v>
      </c>
      <c r="I160" s="265">
        <v>2.12</v>
      </c>
      <c r="J160" s="32">
        <v>72</v>
      </c>
      <c r="K160" s="32" t="s">
        <v>243</v>
      </c>
      <c r="L160" s="32" t="s">
        <v>68</v>
      </c>
      <c r="M160" s="33" t="s">
        <v>69</v>
      </c>
      <c r="N160" s="33"/>
      <c r="O160" s="32">
        <v>180</v>
      </c>
      <c r="P160" s="30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1"/>
      <c r="R160" s="271"/>
      <c r="S160" s="271"/>
      <c r="T160" s="272"/>
      <c r="U160" s="34"/>
      <c r="V160" s="34"/>
      <c r="W160" s="35" t="s">
        <v>70</v>
      </c>
      <c r="X160" s="266">
        <v>0</v>
      </c>
      <c r="Y160" s="267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244</v>
      </c>
      <c r="AG160" s="67"/>
      <c r="AJ160" s="71" t="s">
        <v>72</v>
      </c>
      <c r="AK160" s="71">
        <v>1</v>
      </c>
      <c r="BB160" s="181" t="s">
        <v>96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94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95"/>
      <c r="P161" s="284" t="s">
        <v>79</v>
      </c>
      <c r="Q161" s="285"/>
      <c r="R161" s="285"/>
      <c r="S161" s="285"/>
      <c r="T161" s="285"/>
      <c r="U161" s="285"/>
      <c r="V161" s="286"/>
      <c r="W161" s="37" t="s">
        <v>70</v>
      </c>
      <c r="X161" s="268">
        <f>IFERROR(SUM(X160:X160),"0")</f>
        <v>0</v>
      </c>
      <c r="Y161" s="268">
        <f>IFERROR(SUM(Y160:Y160),"0")</f>
        <v>0</v>
      </c>
      <c r="Z161" s="268">
        <f>IFERROR(IF(Z160="",0,Z160),"0")</f>
        <v>0</v>
      </c>
      <c r="AA161" s="269"/>
      <c r="AB161" s="269"/>
      <c r="AC161" s="269"/>
    </row>
    <row r="162" spans="1:68" x14ac:dyDescent="0.2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95"/>
      <c r="P162" s="284" t="s">
        <v>79</v>
      </c>
      <c r="Q162" s="285"/>
      <c r="R162" s="285"/>
      <c r="S162" s="285"/>
      <c r="T162" s="285"/>
      <c r="U162" s="285"/>
      <c r="V162" s="286"/>
      <c r="W162" s="37" t="s">
        <v>80</v>
      </c>
      <c r="X162" s="268">
        <f>IFERROR(SUMPRODUCT(X160:X160*H160:H160),"0")</f>
        <v>0</v>
      </c>
      <c r="Y162" s="268">
        <f>IFERROR(SUMPRODUCT(Y160:Y160*H160:H160),"0")</f>
        <v>0</v>
      </c>
      <c r="Z162" s="37"/>
      <c r="AA162" s="269"/>
      <c r="AB162" s="269"/>
      <c r="AC162" s="269"/>
    </row>
    <row r="163" spans="1:68" ht="16.5" customHeight="1" x14ac:dyDescent="0.25">
      <c r="A163" s="288" t="s">
        <v>245</v>
      </c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  <c r="AA163" s="261"/>
      <c r="AB163" s="261"/>
      <c r="AC163" s="261"/>
    </row>
    <row r="164" spans="1:68" ht="14.25" customHeight="1" x14ac:dyDescent="0.25">
      <c r="A164" s="276" t="s">
        <v>135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62"/>
      <c r="AB164" s="262"/>
      <c r="AC164" s="262"/>
    </row>
    <row r="165" spans="1:68" ht="27" customHeight="1" x14ac:dyDescent="0.25">
      <c r="A165" s="54" t="s">
        <v>246</v>
      </c>
      <c r="B165" s="54" t="s">
        <v>247</v>
      </c>
      <c r="C165" s="31">
        <v>4301135591</v>
      </c>
      <c r="D165" s="282">
        <v>4607111036568</v>
      </c>
      <c r="E165" s="283"/>
      <c r="F165" s="265">
        <v>0.28000000000000003</v>
      </c>
      <c r="G165" s="32">
        <v>6</v>
      </c>
      <c r="H165" s="265">
        <v>1.68</v>
      </c>
      <c r="I165" s="265">
        <v>2.1017999999999999</v>
      </c>
      <c r="J165" s="32">
        <v>140</v>
      </c>
      <c r="K165" s="32" t="s">
        <v>92</v>
      </c>
      <c r="L165" s="32" t="s">
        <v>68</v>
      </c>
      <c r="M165" s="33" t="s">
        <v>69</v>
      </c>
      <c r="N165" s="33"/>
      <c r="O165" s="32">
        <v>180</v>
      </c>
      <c r="P165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1"/>
      <c r="R165" s="271"/>
      <c r="S165" s="271"/>
      <c r="T165" s="272"/>
      <c r="U165" s="34"/>
      <c r="V165" s="34"/>
      <c r="W165" s="35" t="s">
        <v>70</v>
      </c>
      <c r="X165" s="266">
        <v>0</v>
      </c>
      <c r="Y165" s="267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248</v>
      </c>
      <c r="AG165" s="67"/>
      <c r="AJ165" s="71" t="s">
        <v>72</v>
      </c>
      <c r="AK165" s="71">
        <v>1</v>
      </c>
      <c r="BB165" s="183" t="s">
        <v>96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294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95"/>
      <c r="P166" s="284" t="s">
        <v>79</v>
      </c>
      <c r="Q166" s="285"/>
      <c r="R166" s="285"/>
      <c r="S166" s="285"/>
      <c r="T166" s="285"/>
      <c r="U166" s="285"/>
      <c r="V166" s="286"/>
      <c r="W166" s="37" t="s">
        <v>70</v>
      </c>
      <c r="X166" s="268">
        <f>IFERROR(SUM(X165:X165),"0")</f>
        <v>0</v>
      </c>
      <c r="Y166" s="268">
        <f>IFERROR(SUM(Y165:Y165),"0")</f>
        <v>0</v>
      </c>
      <c r="Z166" s="268">
        <f>IFERROR(IF(Z165="",0,Z165),"0")</f>
        <v>0</v>
      </c>
      <c r="AA166" s="269"/>
      <c r="AB166" s="269"/>
      <c r="AC166" s="269"/>
    </row>
    <row r="167" spans="1:68" x14ac:dyDescent="0.2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95"/>
      <c r="P167" s="284" t="s">
        <v>79</v>
      </c>
      <c r="Q167" s="285"/>
      <c r="R167" s="285"/>
      <c r="S167" s="285"/>
      <c r="T167" s="285"/>
      <c r="U167" s="285"/>
      <c r="V167" s="286"/>
      <c r="W167" s="37" t="s">
        <v>80</v>
      </c>
      <c r="X167" s="268">
        <f>IFERROR(SUMPRODUCT(X165:X165*H165:H165),"0")</f>
        <v>0</v>
      </c>
      <c r="Y167" s="268">
        <f>IFERROR(SUMPRODUCT(Y165:Y165*H165:H165),"0")</f>
        <v>0</v>
      </c>
      <c r="Z167" s="37"/>
      <c r="AA167" s="269"/>
      <c r="AB167" s="269"/>
      <c r="AC167" s="269"/>
    </row>
    <row r="168" spans="1:68" ht="27.75" customHeight="1" x14ac:dyDescent="0.2">
      <c r="A168" s="278" t="s">
        <v>249</v>
      </c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  <c r="AA168" s="48"/>
      <c r="AB168" s="48"/>
      <c r="AC168" s="48"/>
    </row>
    <row r="169" spans="1:68" ht="16.5" customHeight="1" x14ac:dyDescent="0.25">
      <c r="A169" s="288" t="s">
        <v>250</v>
      </c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  <c r="AA169" s="261"/>
      <c r="AB169" s="261"/>
      <c r="AC169" s="261"/>
    </row>
    <row r="170" spans="1:68" ht="14.25" customHeight="1" x14ac:dyDescent="0.25">
      <c r="A170" s="276" t="s">
        <v>64</v>
      </c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62"/>
      <c r="AB170" s="262"/>
      <c r="AC170" s="262"/>
    </row>
    <row r="171" spans="1:68" ht="16.5" customHeight="1" x14ac:dyDescent="0.25">
      <c r="A171" s="54" t="s">
        <v>251</v>
      </c>
      <c r="B171" s="54" t="s">
        <v>252</v>
      </c>
      <c r="C171" s="31">
        <v>4301071062</v>
      </c>
      <c r="D171" s="282">
        <v>4607111036384</v>
      </c>
      <c r="E171" s="283"/>
      <c r="F171" s="265">
        <v>5</v>
      </c>
      <c r="G171" s="32">
        <v>1</v>
      </c>
      <c r="H171" s="265">
        <v>5</v>
      </c>
      <c r="I171" s="265">
        <v>5.2106000000000003</v>
      </c>
      <c r="J171" s="32">
        <v>144</v>
      </c>
      <c r="K171" s="32" t="s">
        <v>67</v>
      </c>
      <c r="L171" s="32" t="s">
        <v>105</v>
      </c>
      <c r="M171" s="33" t="s">
        <v>69</v>
      </c>
      <c r="N171" s="33"/>
      <c r="O171" s="32">
        <v>180</v>
      </c>
      <c r="P171" s="3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1"/>
      <c r="R171" s="271"/>
      <c r="S171" s="271"/>
      <c r="T171" s="272"/>
      <c r="U171" s="34"/>
      <c r="V171" s="34"/>
      <c r="W171" s="35" t="s">
        <v>70</v>
      </c>
      <c r="X171" s="266">
        <v>0</v>
      </c>
      <c r="Y171" s="267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253</v>
      </c>
      <c r="AG171" s="67"/>
      <c r="AJ171" s="71" t="s">
        <v>107</v>
      </c>
      <c r="AK171" s="71">
        <v>12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254</v>
      </c>
      <c r="B172" s="54" t="s">
        <v>255</v>
      </c>
      <c r="C172" s="31">
        <v>4301071050</v>
      </c>
      <c r="D172" s="282">
        <v>4607111036216</v>
      </c>
      <c r="E172" s="283"/>
      <c r="F172" s="265">
        <v>5</v>
      </c>
      <c r="G172" s="32">
        <v>1</v>
      </c>
      <c r="H172" s="265">
        <v>5</v>
      </c>
      <c r="I172" s="265">
        <v>5.2131999999999996</v>
      </c>
      <c r="J172" s="32">
        <v>144</v>
      </c>
      <c r="K172" s="32" t="s">
        <v>67</v>
      </c>
      <c r="L172" s="32" t="s">
        <v>105</v>
      </c>
      <c r="M172" s="33" t="s">
        <v>69</v>
      </c>
      <c r="N172" s="33"/>
      <c r="O172" s="32">
        <v>180</v>
      </c>
      <c r="P172" s="29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6">
        <v>60</v>
      </c>
      <c r="Y172" s="267">
        <f>IFERROR(IF(X172="","",X172),"")</f>
        <v>60</v>
      </c>
      <c r="Z172" s="36">
        <f>IFERROR(IF(X172="","",X172*0.00866),"")</f>
        <v>0.51959999999999995</v>
      </c>
      <c r="AA172" s="56"/>
      <c r="AB172" s="57"/>
      <c r="AC172" s="186" t="s">
        <v>256</v>
      </c>
      <c r="AG172" s="67"/>
      <c r="AJ172" s="71" t="s">
        <v>107</v>
      </c>
      <c r="AK172" s="71">
        <v>12</v>
      </c>
      <c r="BB172" s="187" t="s">
        <v>1</v>
      </c>
      <c r="BM172" s="67">
        <f>IFERROR(X172*I172,"0")</f>
        <v>312.79199999999997</v>
      </c>
      <c r="BN172" s="67">
        <f>IFERROR(Y172*I172,"0")</f>
        <v>312.79199999999997</v>
      </c>
      <c r="BO172" s="67">
        <f>IFERROR(X172/J172,"0")</f>
        <v>0.41666666666666669</v>
      </c>
      <c r="BP172" s="67">
        <f>IFERROR(Y172/J172,"0")</f>
        <v>0.41666666666666669</v>
      </c>
    </row>
    <row r="173" spans="1:68" x14ac:dyDescent="0.2">
      <c r="A173" s="294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95"/>
      <c r="P173" s="284" t="s">
        <v>79</v>
      </c>
      <c r="Q173" s="285"/>
      <c r="R173" s="285"/>
      <c r="S173" s="285"/>
      <c r="T173" s="285"/>
      <c r="U173" s="285"/>
      <c r="V173" s="286"/>
      <c r="W173" s="37" t="s">
        <v>70</v>
      </c>
      <c r="X173" s="268">
        <f>IFERROR(SUM(X171:X172),"0")</f>
        <v>60</v>
      </c>
      <c r="Y173" s="268">
        <f>IFERROR(SUM(Y171:Y172),"0")</f>
        <v>60</v>
      </c>
      <c r="Z173" s="268">
        <f>IFERROR(IF(Z171="",0,Z171),"0")+IFERROR(IF(Z172="",0,Z172),"0")</f>
        <v>0.51959999999999995</v>
      </c>
      <c r="AA173" s="269"/>
      <c r="AB173" s="269"/>
      <c r="AC173" s="269"/>
    </row>
    <row r="174" spans="1:68" x14ac:dyDescent="0.2">
      <c r="A174" s="277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95"/>
      <c r="P174" s="284" t="s">
        <v>79</v>
      </c>
      <c r="Q174" s="285"/>
      <c r="R174" s="285"/>
      <c r="S174" s="285"/>
      <c r="T174" s="285"/>
      <c r="U174" s="285"/>
      <c r="V174" s="286"/>
      <c r="W174" s="37" t="s">
        <v>80</v>
      </c>
      <c r="X174" s="268">
        <f>IFERROR(SUMPRODUCT(X171:X172*H171:H172),"0")</f>
        <v>300</v>
      </c>
      <c r="Y174" s="268">
        <f>IFERROR(SUMPRODUCT(Y171:Y172*H171:H172),"0")</f>
        <v>300</v>
      </c>
      <c r="Z174" s="37"/>
      <c r="AA174" s="269"/>
      <c r="AB174" s="269"/>
      <c r="AC174" s="269"/>
    </row>
    <row r="175" spans="1:68" ht="27.75" customHeight="1" x14ac:dyDescent="0.2">
      <c r="A175" s="278" t="s">
        <v>257</v>
      </c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  <c r="AA175" s="48"/>
      <c r="AB175" s="48"/>
      <c r="AC175" s="48"/>
    </row>
    <row r="176" spans="1:68" ht="16.5" customHeight="1" x14ac:dyDescent="0.25">
      <c r="A176" s="288" t="s">
        <v>258</v>
      </c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  <c r="AA176" s="261"/>
      <c r="AB176" s="261"/>
      <c r="AC176" s="261"/>
    </row>
    <row r="177" spans="1:68" ht="14.25" customHeight="1" x14ac:dyDescent="0.25">
      <c r="A177" s="276" t="s">
        <v>89</v>
      </c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62"/>
      <c r="AB177" s="262"/>
      <c r="AC177" s="262"/>
    </row>
    <row r="178" spans="1:68" ht="16.5" customHeight="1" x14ac:dyDescent="0.25">
      <c r="A178" s="54" t="s">
        <v>259</v>
      </c>
      <c r="B178" s="54" t="s">
        <v>260</v>
      </c>
      <c r="C178" s="31">
        <v>4301132179</v>
      </c>
      <c r="D178" s="282">
        <v>4607111035691</v>
      </c>
      <c r="E178" s="283"/>
      <c r="F178" s="265">
        <v>0.25</v>
      </c>
      <c r="G178" s="32">
        <v>12</v>
      </c>
      <c r="H178" s="265">
        <v>3</v>
      </c>
      <c r="I178" s="265">
        <v>3.3879999999999999</v>
      </c>
      <c r="J178" s="32">
        <v>70</v>
      </c>
      <c r="K178" s="32" t="s">
        <v>92</v>
      </c>
      <c r="L178" s="32" t="s">
        <v>93</v>
      </c>
      <c r="M178" s="33" t="s">
        <v>69</v>
      </c>
      <c r="N178" s="33"/>
      <c r="O178" s="32">
        <v>365</v>
      </c>
      <c r="P178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1"/>
      <c r="R178" s="271"/>
      <c r="S178" s="271"/>
      <c r="T178" s="272"/>
      <c r="U178" s="34"/>
      <c r="V178" s="34"/>
      <c r="W178" s="35" t="s">
        <v>70</v>
      </c>
      <c r="X178" s="266">
        <v>98</v>
      </c>
      <c r="Y178" s="267">
        <f>IFERROR(IF(X178="","",X178),"")</f>
        <v>98</v>
      </c>
      <c r="Z178" s="36">
        <f>IFERROR(IF(X178="","",X178*0.01788),"")</f>
        <v>1.75224</v>
      </c>
      <c r="AA178" s="56"/>
      <c r="AB178" s="57"/>
      <c r="AC178" s="188" t="s">
        <v>261</v>
      </c>
      <c r="AG178" s="67"/>
      <c r="AJ178" s="71" t="s">
        <v>95</v>
      </c>
      <c r="AK178" s="71">
        <v>70</v>
      </c>
      <c r="BB178" s="189" t="s">
        <v>96</v>
      </c>
      <c r="BM178" s="67">
        <f>IFERROR(X178*I178,"0")</f>
        <v>332.024</v>
      </c>
      <c r="BN178" s="67">
        <f>IFERROR(Y178*I178,"0")</f>
        <v>332.024</v>
      </c>
      <c r="BO178" s="67">
        <f>IFERROR(X178/J178,"0")</f>
        <v>1.4</v>
      </c>
      <c r="BP178" s="67">
        <f>IFERROR(Y178/J178,"0")</f>
        <v>1.4</v>
      </c>
    </row>
    <row r="179" spans="1:68" ht="27" customHeight="1" x14ac:dyDescent="0.25">
      <c r="A179" s="54" t="s">
        <v>262</v>
      </c>
      <c r="B179" s="54" t="s">
        <v>263</v>
      </c>
      <c r="C179" s="31">
        <v>4301132182</v>
      </c>
      <c r="D179" s="282">
        <v>4607111035721</v>
      </c>
      <c r="E179" s="283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92</v>
      </c>
      <c r="L179" s="32" t="s">
        <v>93</v>
      </c>
      <c r="M179" s="33" t="s">
        <v>69</v>
      </c>
      <c r="N179" s="33"/>
      <c r="O179" s="32">
        <v>365</v>
      </c>
      <c r="P179" s="38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6">
        <v>70</v>
      </c>
      <c r="Y179" s="267">
        <f>IFERROR(IF(X179="","",X179),"")</f>
        <v>70</v>
      </c>
      <c r="Z179" s="36">
        <f>IFERROR(IF(X179="","",X179*0.01788),"")</f>
        <v>1.2516</v>
      </c>
      <c r="AA179" s="56"/>
      <c r="AB179" s="57"/>
      <c r="AC179" s="190" t="s">
        <v>264</v>
      </c>
      <c r="AG179" s="67"/>
      <c r="AJ179" s="71" t="s">
        <v>95</v>
      </c>
      <c r="AK179" s="71">
        <v>70</v>
      </c>
      <c r="BB179" s="191" t="s">
        <v>96</v>
      </c>
      <c r="BM179" s="67">
        <f>IFERROR(X179*I179,"0")</f>
        <v>237.16</v>
      </c>
      <c r="BN179" s="67">
        <f>IFERROR(Y179*I179,"0")</f>
        <v>237.16</v>
      </c>
      <c r="BO179" s="67">
        <f>IFERROR(X179/J179,"0")</f>
        <v>1</v>
      </c>
      <c r="BP179" s="67">
        <f>IFERROR(Y179/J179,"0")</f>
        <v>1</v>
      </c>
    </row>
    <row r="180" spans="1:68" ht="27" customHeight="1" x14ac:dyDescent="0.25">
      <c r="A180" s="54" t="s">
        <v>265</v>
      </c>
      <c r="B180" s="54" t="s">
        <v>266</v>
      </c>
      <c r="C180" s="31">
        <v>4301132170</v>
      </c>
      <c r="D180" s="282">
        <v>4607111038487</v>
      </c>
      <c r="E180" s="283"/>
      <c r="F180" s="265">
        <v>0.25</v>
      </c>
      <c r="G180" s="32">
        <v>12</v>
      </c>
      <c r="H180" s="265">
        <v>3</v>
      </c>
      <c r="I180" s="265">
        <v>3.7360000000000002</v>
      </c>
      <c r="J180" s="32">
        <v>70</v>
      </c>
      <c r="K180" s="32" t="s">
        <v>92</v>
      </c>
      <c r="L180" s="32" t="s">
        <v>93</v>
      </c>
      <c r="M180" s="33" t="s">
        <v>69</v>
      </c>
      <c r="N180" s="33"/>
      <c r="O180" s="32">
        <v>180</v>
      </c>
      <c r="P180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6">
        <v>84</v>
      </c>
      <c r="Y180" s="267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267</v>
      </c>
      <c r="AG180" s="67"/>
      <c r="AJ180" s="71" t="s">
        <v>95</v>
      </c>
      <c r="AK180" s="71">
        <v>70</v>
      </c>
      <c r="BB180" s="193" t="s">
        <v>96</v>
      </c>
      <c r="BM180" s="67">
        <f>IFERROR(X180*I180,"0")</f>
        <v>313.82400000000001</v>
      </c>
      <c r="BN180" s="67">
        <f>IFERROR(Y180*I180,"0")</f>
        <v>313.82400000000001</v>
      </c>
      <c r="BO180" s="67">
        <f>IFERROR(X180/J180,"0")</f>
        <v>1.2</v>
      </c>
      <c r="BP180" s="67">
        <f>IFERROR(Y180/J180,"0")</f>
        <v>1.2</v>
      </c>
    </row>
    <row r="181" spans="1:68" x14ac:dyDescent="0.2">
      <c r="A181" s="294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95"/>
      <c r="P181" s="284" t="s">
        <v>79</v>
      </c>
      <c r="Q181" s="285"/>
      <c r="R181" s="285"/>
      <c r="S181" s="285"/>
      <c r="T181" s="285"/>
      <c r="U181" s="285"/>
      <c r="V181" s="286"/>
      <c r="W181" s="37" t="s">
        <v>70</v>
      </c>
      <c r="X181" s="268">
        <f>IFERROR(SUM(X178:X180),"0")</f>
        <v>252</v>
      </c>
      <c r="Y181" s="268">
        <f>IFERROR(SUM(Y178:Y180),"0")</f>
        <v>252</v>
      </c>
      <c r="Z181" s="268">
        <f>IFERROR(IF(Z178="",0,Z178),"0")+IFERROR(IF(Z179="",0,Z179),"0")+IFERROR(IF(Z180="",0,Z180),"0")</f>
        <v>4.5057600000000004</v>
      </c>
      <c r="AA181" s="269"/>
      <c r="AB181" s="269"/>
      <c r="AC181" s="269"/>
    </row>
    <row r="182" spans="1:68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95"/>
      <c r="P182" s="284" t="s">
        <v>79</v>
      </c>
      <c r="Q182" s="285"/>
      <c r="R182" s="285"/>
      <c r="S182" s="285"/>
      <c r="T182" s="285"/>
      <c r="U182" s="285"/>
      <c r="V182" s="286"/>
      <c r="W182" s="37" t="s">
        <v>80</v>
      </c>
      <c r="X182" s="268">
        <f>IFERROR(SUMPRODUCT(X178:X180*H178:H180),"0")</f>
        <v>756</v>
      </c>
      <c r="Y182" s="268">
        <f>IFERROR(SUMPRODUCT(Y178:Y180*H178:H180),"0")</f>
        <v>756</v>
      </c>
      <c r="Z182" s="37"/>
      <c r="AA182" s="269"/>
      <c r="AB182" s="269"/>
      <c r="AC182" s="269"/>
    </row>
    <row r="183" spans="1:68" ht="14.25" customHeight="1" x14ac:dyDescent="0.25">
      <c r="A183" s="276" t="s">
        <v>268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2"/>
      <c r="AB183" s="262"/>
      <c r="AC183" s="262"/>
    </row>
    <row r="184" spans="1:68" ht="27" customHeight="1" x14ac:dyDescent="0.25">
      <c r="A184" s="54" t="s">
        <v>269</v>
      </c>
      <c r="B184" s="54" t="s">
        <v>270</v>
      </c>
      <c r="C184" s="31">
        <v>4301051855</v>
      </c>
      <c r="D184" s="282">
        <v>4680115885875</v>
      </c>
      <c r="E184" s="283"/>
      <c r="F184" s="265">
        <v>1</v>
      </c>
      <c r="G184" s="32">
        <v>9</v>
      </c>
      <c r="H184" s="265">
        <v>9</v>
      </c>
      <c r="I184" s="265">
        <v>9.41</v>
      </c>
      <c r="J184" s="32">
        <v>64</v>
      </c>
      <c r="K184" s="32" t="s">
        <v>271</v>
      </c>
      <c r="L184" s="32" t="s">
        <v>68</v>
      </c>
      <c r="M184" s="33" t="s">
        <v>272</v>
      </c>
      <c r="N184" s="33"/>
      <c r="O184" s="32">
        <v>365</v>
      </c>
      <c r="P184" s="325" t="s">
        <v>273</v>
      </c>
      <c r="Q184" s="271"/>
      <c r="R184" s="271"/>
      <c r="S184" s="271"/>
      <c r="T184" s="272"/>
      <c r="U184" s="34"/>
      <c r="V184" s="34"/>
      <c r="W184" s="35" t="s">
        <v>70</v>
      </c>
      <c r="X184" s="266">
        <v>0</v>
      </c>
      <c r="Y184" s="267">
        <f>IFERROR(IF(X184="","",X184),"")</f>
        <v>0</v>
      </c>
      <c r="Z184" s="36">
        <f>IFERROR(IF(X184="","",X184*0.01898),"")</f>
        <v>0</v>
      </c>
      <c r="AA184" s="56"/>
      <c r="AB184" s="57"/>
      <c r="AC184" s="194" t="s">
        <v>274</v>
      </c>
      <c r="AG184" s="67"/>
      <c r="AJ184" s="71" t="s">
        <v>72</v>
      </c>
      <c r="AK184" s="71">
        <v>1</v>
      </c>
      <c r="BB184" s="195" t="s">
        <v>275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x14ac:dyDescent="0.2">
      <c r="A185" s="294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95"/>
      <c r="P185" s="284" t="s">
        <v>79</v>
      </c>
      <c r="Q185" s="285"/>
      <c r="R185" s="285"/>
      <c r="S185" s="285"/>
      <c r="T185" s="285"/>
      <c r="U185" s="285"/>
      <c r="V185" s="286"/>
      <c r="W185" s="37" t="s">
        <v>70</v>
      </c>
      <c r="X185" s="268">
        <f>IFERROR(SUM(X184:X184),"0")</f>
        <v>0</v>
      </c>
      <c r="Y185" s="268">
        <f>IFERROR(SUM(Y184:Y184),"0")</f>
        <v>0</v>
      </c>
      <c r="Z185" s="268">
        <f>IFERROR(IF(Z184="",0,Z184),"0")</f>
        <v>0</v>
      </c>
      <c r="AA185" s="269"/>
      <c r="AB185" s="269"/>
      <c r="AC185" s="269"/>
    </row>
    <row r="186" spans="1:68" x14ac:dyDescent="0.2">
      <c r="A186" s="277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95"/>
      <c r="P186" s="284" t="s">
        <v>79</v>
      </c>
      <c r="Q186" s="285"/>
      <c r="R186" s="285"/>
      <c r="S186" s="285"/>
      <c r="T186" s="285"/>
      <c r="U186" s="285"/>
      <c r="V186" s="286"/>
      <c r="W186" s="37" t="s">
        <v>80</v>
      </c>
      <c r="X186" s="268">
        <f>IFERROR(SUMPRODUCT(X184:X184*H184:H184),"0")</f>
        <v>0</v>
      </c>
      <c r="Y186" s="268">
        <f>IFERROR(SUMPRODUCT(Y184:Y184*H184:H184),"0")</f>
        <v>0</v>
      </c>
      <c r="Z186" s="37"/>
      <c r="AA186" s="269"/>
      <c r="AB186" s="269"/>
      <c r="AC186" s="269"/>
    </row>
    <row r="187" spans="1:68" ht="27.75" customHeight="1" x14ac:dyDescent="0.2">
      <c r="A187" s="278" t="s">
        <v>276</v>
      </c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  <c r="AA187" s="48"/>
      <c r="AB187" s="48"/>
      <c r="AC187" s="48"/>
    </row>
    <row r="188" spans="1:68" ht="16.5" customHeight="1" x14ac:dyDescent="0.25">
      <c r="A188" s="288" t="s">
        <v>277</v>
      </c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  <c r="AA188" s="261"/>
      <c r="AB188" s="261"/>
      <c r="AC188" s="261"/>
    </row>
    <row r="189" spans="1:68" ht="14.25" customHeight="1" x14ac:dyDescent="0.25">
      <c r="A189" s="276" t="s">
        <v>89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62"/>
      <c r="AB189" s="262"/>
      <c r="AC189" s="262"/>
    </row>
    <row r="190" spans="1:68" ht="27" customHeight="1" x14ac:dyDescent="0.25">
      <c r="A190" s="54" t="s">
        <v>278</v>
      </c>
      <c r="B190" s="54" t="s">
        <v>279</v>
      </c>
      <c r="C190" s="31">
        <v>4301132227</v>
      </c>
      <c r="D190" s="282">
        <v>4620207491133</v>
      </c>
      <c r="E190" s="283"/>
      <c r="F190" s="265">
        <v>0.23</v>
      </c>
      <c r="G190" s="32">
        <v>12</v>
      </c>
      <c r="H190" s="265">
        <v>2.76</v>
      </c>
      <c r="I190" s="265">
        <v>2.98</v>
      </c>
      <c r="J190" s="32">
        <v>70</v>
      </c>
      <c r="K190" s="32" t="s">
        <v>92</v>
      </c>
      <c r="L190" s="32" t="s">
        <v>105</v>
      </c>
      <c r="M190" s="33" t="s">
        <v>69</v>
      </c>
      <c r="N190" s="33"/>
      <c r="O190" s="32">
        <v>180</v>
      </c>
      <c r="P190" s="41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0" s="271"/>
      <c r="R190" s="271"/>
      <c r="S190" s="271"/>
      <c r="T190" s="272"/>
      <c r="U190" s="34"/>
      <c r="V190" s="34"/>
      <c r="W190" s="35" t="s">
        <v>70</v>
      </c>
      <c r="X190" s="266">
        <v>0</v>
      </c>
      <c r="Y190" s="267">
        <f>IFERROR(IF(X190="","",X190),"")</f>
        <v>0</v>
      </c>
      <c r="Z190" s="36">
        <f>IFERROR(IF(X190="","",X190*0.01788),"")</f>
        <v>0</v>
      </c>
      <c r="AA190" s="56"/>
      <c r="AB190" s="57"/>
      <c r="AC190" s="196" t="s">
        <v>280</v>
      </c>
      <c r="AG190" s="67"/>
      <c r="AJ190" s="71" t="s">
        <v>107</v>
      </c>
      <c r="AK190" s="71">
        <v>14</v>
      </c>
      <c r="BB190" s="197" t="s">
        <v>96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294"/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95"/>
      <c r="P191" s="284" t="s">
        <v>79</v>
      </c>
      <c r="Q191" s="285"/>
      <c r="R191" s="285"/>
      <c r="S191" s="285"/>
      <c r="T191" s="285"/>
      <c r="U191" s="285"/>
      <c r="V191" s="286"/>
      <c r="W191" s="37" t="s">
        <v>70</v>
      </c>
      <c r="X191" s="268">
        <f>IFERROR(SUM(X190:X190),"0")</f>
        <v>0</v>
      </c>
      <c r="Y191" s="268">
        <f>IFERROR(SUM(Y190:Y190),"0")</f>
        <v>0</v>
      </c>
      <c r="Z191" s="268">
        <f>IFERROR(IF(Z190="",0,Z190),"0")</f>
        <v>0</v>
      </c>
      <c r="AA191" s="269"/>
      <c r="AB191" s="269"/>
      <c r="AC191" s="269"/>
    </row>
    <row r="192" spans="1:68" x14ac:dyDescent="0.2">
      <c r="A192" s="277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95"/>
      <c r="P192" s="284" t="s">
        <v>79</v>
      </c>
      <c r="Q192" s="285"/>
      <c r="R192" s="285"/>
      <c r="S192" s="285"/>
      <c r="T192" s="285"/>
      <c r="U192" s="285"/>
      <c r="V192" s="286"/>
      <c r="W192" s="37" t="s">
        <v>80</v>
      </c>
      <c r="X192" s="268">
        <f>IFERROR(SUMPRODUCT(X190:X190*H190:H190),"0")</f>
        <v>0</v>
      </c>
      <c r="Y192" s="268">
        <f>IFERROR(SUMPRODUCT(Y190:Y190*H190:H190),"0")</f>
        <v>0</v>
      </c>
      <c r="Z192" s="37"/>
      <c r="AA192" s="269"/>
      <c r="AB192" s="269"/>
      <c r="AC192" s="269"/>
    </row>
    <row r="193" spans="1:68" ht="14.25" customHeight="1" x14ac:dyDescent="0.25">
      <c r="A193" s="276" t="s">
        <v>135</v>
      </c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  <c r="AA193" s="262"/>
      <c r="AB193" s="262"/>
      <c r="AC193" s="262"/>
    </row>
    <row r="194" spans="1:68" ht="27" customHeight="1" x14ac:dyDescent="0.25">
      <c r="A194" s="54" t="s">
        <v>281</v>
      </c>
      <c r="B194" s="54" t="s">
        <v>282</v>
      </c>
      <c r="C194" s="31">
        <v>4301135707</v>
      </c>
      <c r="D194" s="282">
        <v>4620207490198</v>
      </c>
      <c r="E194" s="283"/>
      <c r="F194" s="265">
        <v>0.2</v>
      </c>
      <c r="G194" s="32">
        <v>12</v>
      </c>
      <c r="H194" s="265">
        <v>2.4</v>
      </c>
      <c r="I194" s="265">
        <v>3.1036000000000001</v>
      </c>
      <c r="J194" s="32">
        <v>70</v>
      </c>
      <c r="K194" s="32" t="s">
        <v>92</v>
      </c>
      <c r="L194" s="32" t="s">
        <v>105</v>
      </c>
      <c r="M194" s="33" t="s">
        <v>69</v>
      </c>
      <c r="N194" s="33"/>
      <c r="O194" s="32">
        <v>180</v>
      </c>
      <c r="P194" s="34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4" s="271"/>
      <c r="R194" s="271"/>
      <c r="S194" s="271"/>
      <c r="T194" s="272"/>
      <c r="U194" s="34"/>
      <c r="V194" s="34"/>
      <c r="W194" s="35" t="s">
        <v>70</v>
      </c>
      <c r="X194" s="266">
        <v>0</v>
      </c>
      <c r="Y194" s="267">
        <f>IFERROR(IF(X194="","",X194),"")</f>
        <v>0</v>
      </c>
      <c r="Z194" s="36">
        <f>IFERROR(IF(X194="","",X194*0.01788),"")</f>
        <v>0</v>
      </c>
      <c r="AA194" s="56"/>
      <c r="AB194" s="57"/>
      <c r="AC194" s="198" t="s">
        <v>283</v>
      </c>
      <c r="AG194" s="67"/>
      <c r="AJ194" s="71" t="s">
        <v>107</v>
      </c>
      <c r="AK194" s="71">
        <v>14</v>
      </c>
      <c r="BB194" s="199" t="s">
        <v>96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4301135829</v>
      </c>
      <c r="D195" s="282">
        <v>4620207490235</v>
      </c>
      <c r="E195" s="283"/>
      <c r="F195" s="265">
        <v>0.2</v>
      </c>
      <c r="G195" s="32">
        <v>12</v>
      </c>
      <c r="H195" s="265">
        <v>2.4</v>
      </c>
      <c r="I195" s="265">
        <v>3.1036000000000001</v>
      </c>
      <c r="J195" s="32">
        <v>70</v>
      </c>
      <c r="K195" s="32" t="s">
        <v>92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5" s="271"/>
      <c r="R195" s="271"/>
      <c r="S195" s="271"/>
      <c r="T195" s="272"/>
      <c r="U195" s="34"/>
      <c r="V195" s="34"/>
      <c r="W195" s="35" t="s">
        <v>70</v>
      </c>
      <c r="X195" s="266">
        <v>0</v>
      </c>
      <c r="Y195" s="267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286</v>
      </c>
      <c r="AG195" s="67"/>
      <c r="AJ195" s="71" t="s">
        <v>72</v>
      </c>
      <c r="AK195" s="71">
        <v>1</v>
      </c>
      <c r="BB195" s="201" t="s">
        <v>96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287</v>
      </c>
      <c r="B196" s="54" t="s">
        <v>288</v>
      </c>
      <c r="C196" s="31">
        <v>4301135697</v>
      </c>
      <c r="D196" s="282">
        <v>4620207490259</v>
      </c>
      <c r="E196" s="283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92</v>
      </c>
      <c r="L196" s="32" t="s">
        <v>105</v>
      </c>
      <c r="M196" s="33" t="s">
        <v>69</v>
      </c>
      <c r="N196" s="33"/>
      <c r="O196" s="32">
        <v>180</v>
      </c>
      <c r="P196" s="4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283</v>
      </c>
      <c r="AG196" s="67"/>
      <c r="AJ196" s="71" t="s">
        <v>107</v>
      </c>
      <c r="AK196" s="71">
        <v>14</v>
      </c>
      <c r="BB196" s="203" t="s">
        <v>96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289</v>
      </c>
      <c r="B197" s="54" t="s">
        <v>290</v>
      </c>
      <c r="C197" s="31">
        <v>4301135681</v>
      </c>
      <c r="D197" s="282">
        <v>4620207490143</v>
      </c>
      <c r="E197" s="283"/>
      <c r="F197" s="265">
        <v>0.22</v>
      </c>
      <c r="G197" s="32">
        <v>12</v>
      </c>
      <c r="H197" s="265">
        <v>2.64</v>
      </c>
      <c r="I197" s="265">
        <v>3.3435999999999999</v>
      </c>
      <c r="J197" s="32">
        <v>70</v>
      </c>
      <c r="K197" s="32" t="s">
        <v>92</v>
      </c>
      <c r="L197" s="32" t="s">
        <v>68</v>
      </c>
      <c r="M197" s="33" t="s">
        <v>69</v>
      </c>
      <c r="N197" s="33"/>
      <c r="O197" s="32">
        <v>180</v>
      </c>
      <c r="P197" s="36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291</v>
      </c>
      <c r="AG197" s="67"/>
      <c r="AJ197" s="71" t="s">
        <v>72</v>
      </c>
      <c r="AK197" s="71">
        <v>1</v>
      </c>
      <c r="BB197" s="205" t="s">
        <v>96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4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95"/>
      <c r="P198" s="284" t="s">
        <v>79</v>
      </c>
      <c r="Q198" s="285"/>
      <c r="R198" s="285"/>
      <c r="S198" s="285"/>
      <c r="T198" s="285"/>
      <c r="U198" s="285"/>
      <c r="V198" s="286"/>
      <c r="W198" s="37" t="s">
        <v>70</v>
      </c>
      <c r="X198" s="268">
        <f>IFERROR(SUM(X194:X197),"0")</f>
        <v>0</v>
      </c>
      <c r="Y198" s="268">
        <f>IFERROR(SUM(Y194:Y197),"0")</f>
        <v>0</v>
      </c>
      <c r="Z198" s="268">
        <f>IFERROR(IF(Z194="",0,Z194),"0")+IFERROR(IF(Z195="",0,Z195),"0")+IFERROR(IF(Z196="",0,Z196),"0")+IFERROR(IF(Z197="",0,Z197),"0")</f>
        <v>0</v>
      </c>
      <c r="AA198" s="269"/>
      <c r="AB198" s="269"/>
      <c r="AC198" s="269"/>
    </row>
    <row r="199" spans="1:68" x14ac:dyDescent="0.2">
      <c r="A199" s="277"/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95"/>
      <c r="P199" s="284" t="s">
        <v>79</v>
      </c>
      <c r="Q199" s="285"/>
      <c r="R199" s="285"/>
      <c r="S199" s="285"/>
      <c r="T199" s="285"/>
      <c r="U199" s="285"/>
      <c r="V199" s="286"/>
      <c r="W199" s="37" t="s">
        <v>80</v>
      </c>
      <c r="X199" s="268">
        <f>IFERROR(SUMPRODUCT(X194:X197*H194:H197),"0")</f>
        <v>0</v>
      </c>
      <c r="Y199" s="268">
        <f>IFERROR(SUMPRODUCT(Y194:Y197*H194:H197),"0")</f>
        <v>0</v>
      </c>
      <c r="Z199" s="37"/>
      <c r="AA199" s="269"/>
      <c r="AB199" s="269"/>
      <c r="AC199" s="269"/>
    </row>
    <row r="200" spans="1:68" ht="16.5" customHeight="1" x14ac:dyDescent="0.25">
      <c r="A200" s="288" t="s">
        <v>292</v>
      </c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61"/>
      <c r="AB200" s="261"/>
      <c r="AC200" s="261"/>
    </row>
    <row r="201" spans="1:68" ht="14.25" customHeight="1" x14ac:dyDescent="0.25">
      <c r="A201" s="276" t="s">
        <v>64</v>
      </c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  <c r="AA201" s="262"/>
      <c r="AB201" s="262"/>
      <c r="AC201" s="262"/>
    </row>
    <row r="202" spans="1:68" ht="27" customHeight="1" x14ac:dyDescent="0.25">
      <c r="A202" s="54" t="s">
        <v>293</v>
      </c>
      <c r="B202" s="54" t="s">
        <v>294</v>
      </c>
      <c r="C202" s="31">
        <v>4301071097</v>
      </c>
      <c r="D202" s="282">
        <v>4620207491096</v>
      </c>
      <c r="E202" s="283"/>
      <c r="F202" s="265">
        <v>1</v>
      </c>
      <c r="G202" s="32">
        <v>5</v>
      </c>
      <c r="H202" s="265">
        <v>5</v>
      </c>
      <c r="I202" s="265">
        <v>5.23</v>
      </c>
      <c r="J202" s="32">
        <v>84</v>
      </c>
      <c r="K202" s="32" t="s">
        <v>67</v>
      </c>
      <c r="L202" s="32" t="s">
        <v>105</v>
      </c>
      <c r="M202" s="33" t="s">
        <v>69</v>
      </c>
      <c r="N202" s="33"/>
      <c r="O202" s="32">
        <v>180</v>
      </c>
      <c r="P202" s="45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2" s="271"/>
      <c r="R202" s="271"/>
      <c r="S202" s="271"/>
      <c r="T202" s="272"/>
      <c r="U202" s="34"/>
      <c r="V202" s="34"/>
      <c r="W202" s="35" t="s">
        <v>70</v>
      </c>
      <c r="X202" s="266">
        <v>36</v>
      </c>
      <c r="Y202" s="267">
        <f>IFERROR(IF(X202="","",X202),"")</f>
        <v>36</v>
      </c>
      <c r="Z202" s="36">
        <f>IFERROR(IF(X202="","",X202*0.0155),"")</f>
        <v>0.55800000000000005</v>
      </c>
      <c r="AA202" s="56"/>
      <c r="AB202" s="57"/>
      <c r="AC202" s="206" t="s">
        <v>295</v>
      </c>
      <c r="AG202" s="67"/>
      <c r="AJ202" s="71" t="s">
        <v>107</v>
      </c>
      <c r="AK202" s="71">
        <v>12</v>
      </c>
      <c r="BB202" s="207" t="s">
        <v>1</v>
      </c>
      <c r="BM202" s="67">
        <f>IFERROR(X202*I202,"0")</f>
        <v>188.28000000000003</v>
      </c>
      <c r="BN202" s="67">
        <f>IFERROR(Y202*I202,"0")</f>
        <v>188.28000000000003</v>
      </c>
      <c r="BO202" s="67">
        <f>IFERROR(X202/J202,"0")</f>
        <v>0.42857142857142855</v>
      </c>
      <c r="BP202" s="67">
        <f>IFERROR(Y202/J202,"0")</f>
        <v>0.42857142857142855</v>
      </c>
    </row>
    <row r="203" spans="1:68" x14ac:dyDescent="0.2">
      <c r="A203" s="294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95"/>
      <c r="P203" s="284" t="s">
        <v>79</v>
      </c>
      <c r="Q203" s="285"/>
      <c r="R203" s="285"/>
      <c r="S203" s="285"/>
      <c r="T203" s="285"/>
      <c r="U203" s="285"/>
      <c r="V203" s="286"/>
      <c r="W203" s="37" t="s">
        <v>70</v>
      </c>
      <c r="X203" s="268">
        <f>IFERROR(SUM(X202:X202),"0")</f>
        <v>36</v>
      </c>
      <c r="Y203" s="268">
        <f>IFERROR(SUM(Y202:Y202),"0")</f>
        <v>36</v>
      </c>
      <c r="Z203" s="268">
        <f>IFERROR(IF(Z202="",0,Z202),"0")</f>
        <v>0.55800000000000005</v>
      </c>
      <c r="AA203" s="269"/>
      <c r="AB203" s="269"/>
      <c r="AC203" s="269"/>
    </row>
    <row r="204" spans="1:68" x14ac:dyDescent="0.2">
      <c r="A204" s="277"/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95"/>
      <c r="P204" s="284" t="s">
        <v>79</v>
      </c>
      <c r="Q204" s="285"/>
      <c r="R204" s="285"/>
      <c r="S204" s="285"/>
      <c r="T204" s="285"/>
      <c r="U204" s="285"/>
      <c r="V204" s="286"/>
      <c r="W204" s="37" t="s">
        <v>80</v>
      </c>
      <c r="X204" s="268">
        <f>IFERROR(SUMPRODUCT(X202:X202*H202:H202),"0")</f>
        <v>180</v>
      </c>
      <c r="Y204" s="268">
        <f>IFERROR(SUMPRODUCT(Y202:Y202*H202:H202),"0")</f>
        <v>180</v>
      </c>
      <c r="Z204" s="37"/>
      <c r="AA204" s="269"/>
      <c r="AB204" s="269"/>
      <c r="AC204" s="269"/>
    </row>
    <row r="205" spans="1:68" ht="16.5" customHeight="1" x14ac:dyDescent="0.25">
      <c r="A205" s="288" t="s">
        <v>296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1"/>
      <c r="AB205" s="261"/>
      <c r="AC205" s="261"/>
    </row>
    <row r="206" spans="1:68" ht="14.25" customHeight="1" x14ac:dyDescent="0.25">
      <c r="A206" s="276" t="s">
        <v>64</v>
      </c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  <c r="AA206" s="262"/>
      <c r="AB206" s="262"/>
      <c r="AC206" s="262"/>
    </row>
    <row r="207" spans="1:68" ht="27" customHeight="1" x14ac:dyDescent="0.25">
      <c r="A207" s="54" t="s">
        <v>297</v>
      </c>
      <c r="B207" s="54" t="s">
        <v>298</v>
      </c>
      <c r="C207" s="31">
        <v>4301071093</v>
      </c>
      <c r="D207" s="282">
        <v>4620207490709</v>
      </c>
      <c r="E207" s="283"/>
      <c r="F207" s="265">
        <v>0.65</v>
      </c>
      <c r="G207" s="32">
        <v>8</v>
      </c>
      <c r="H207" s="265">
        <v>5.2</v>
      </c>
      <c r="I207" s="265">
        <v>5.47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39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7" s="271"/>
      <c r="R207" s="271"/>
      <c r="S207" s="271"/>
      <c r="T207" s="272"/>
      <c r="U207" s="34"/>
      <c r="V207" s="34"/>
      <c r="W207" s="35" t="s">
        <v>70</v>
      </c>
      <c r="X207" s="266">
        <v>0</v>
      </c>
      <c r="Y207" s="267">
        <f>IFERROR(IF(X207="","",X207),"")</f>
        <v>0</v>
      </c>
      <c r="Z207" s="36">
        <f>IFERROR(IF(X207="","",X207*0.0155),"")</f>
        <v>0</v>
      </c>
      <c r="AA207" s="56"/>
      <c r="AB207" s="57"/>
      <c r="AC207" s="208" t="s">
        <v>299</v>
      </c>
      <c r="AG207" s="67"/>
      <c r="AJ207" s="71" t="s">
        <v>72</v>
      </c>
      <c r="AK207" s="71">
        <v>1</v>
      </c>
      <c r="BB207" s="209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x14ac:dyDescent="0.2">
      <c r="A208" s="294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95"/>
      <c r="P208" s="284" t="s">
        <v>79</v>
      </c>
      <c r="Q208" s="285"/>
      <c r="R208" s="285"/>
      <c r="S208" s="285"/>
      <c r="T208" s="285"/>
      <c r="U208" s="285"/>
      <c r="V208" s="286"/>
      <c r="W208" s="37" t="s">
        <v>70</v>
      </c>
      <c r="X208" s="268">
        <f>IFERROR(SUM(X207:X207),"0")</f>
        <v>0</v>
      </c>
      <c r="Y208" s="268">
        <f>IFERROR(SUM(Y207:Y207),"0")</f>
        <v>0</v>
      </c>
      <c r="Z208" s="268">
        <f>IFERROR(IF(Z207="",0,Z207),"0")</f>
        <v>0</v>
      </c>
      <c r="AA208" s="269"/>
      <c r="AB208" s="269"/>
      <c r="AC208" s="269"/>
    </row>
    <row r="209" spans="1:68" x14ac:dyDescent="0.2">
      <c r="A209" s="277"/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95"/>
      <c r="P209" s="284" t="s">
        <v>79</v>
      </c>
      <c r="Q209" s="285"/>
      <c r="R209" s="285"/>
      <c r="S209" s="285"/>
      <c r="T209" s="285"/>
      <c r="U209" s="285"/>
      <c r="V209" s="286"/>
      <c r="W209" s="37" t="s">
        <v>80</v>
      </c>
      <c r="X209" s="268">
        <f>IFERROR(SUMPRODUCT(X207:X207*H207:H207),"0")</f>
        <v>0</v>
      </c>
      <c r="Y209" s="268">
        <f>IFERROR(SUMPRODUCT(Y207:Y207*H207:H207),"0")</f>
        <v>0</v>
      </c>
      <c r="Z209" s="37"/>
      <c r="AA209" s="269"/>
      <c r="AB209" s="269"/>
      <c r="AC209" s="269"/>
    </row>
    <row r="210" spans="1:68" ht="14.25" customHeight="1" x14ac:dyDescent="0.25">
      <c r="A210" s="276" t="s">
        <v>135</v>
      </c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62"/>
      <c r="AB210" s="262"/>
      <c r="AC210" s="262"/>
    </row>
    <row r="211" spans="1:68" ht="27" customHeight="1" x14ac:dyDescent="0.25">
      <c r="A211" s="54" t="s">
        <v>300</v>
      </c>
      <c r="B211" s="54" t="s">
        <v>301</v>
      </c>
      <c r="C211" s="31">
        <v>4301135692</v>
      </c>
      <c r="D211" s="282">
        <v>4620207490570</v>
      </c>
      <c r="E211" s="283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92</v>
      </c>
      <c r="L211" s="32" t="s">
        <v>68</v>
      </c>
      <c r="M211" s="33" t="s">
        <v>69</v>
      </c>
      <c r="N211" s="33"/>
      <c r="O211" s="32">
        <v>180</v>
      </c>
      <c r="P211" s="38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1" s="271"/>
      <c r="R211" s="271"/>
      <c r="S211" s="271"/>
      <c r="T211" s="272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302</v>
      </c>
      <c r="AG211" s="67"/>
      <c r="AJ211" s="71" t="s">
        <v>72</v>
      </c>
      <c r="AK211" s="71">
        <v>1</v>
      </c>
      <c r="BB211" s="211" t="s">
        <v>96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303</v>
      </c>
      <c r="B212" s="54" t="s">
        <v>304</v>
      </c>
      <c r="C212" s="31">
        <v>4301135691</v>
      </c>
      <c r="D212" s="282">
        <v>4620207490549</v>
      </c>
      <c r="E212" s="283"/>
      <c r="F212" s="265">
        <v>0.2</v>
      </c>
      <c r="G212" s="32">
        <v>12</v>
      </c>
      <c r="H212" s="265">
        <v>2.4</v>
      </c>
      <c r="I212" s="265">
        <v>3.1036000000000001</v>
      </c>
      <c r="J212" s="32">
        <v>70</v>
      </c>
      <c r="K212" s="32" t="s">
        <v>92</v>
      </c>
      <c r="L212" s="32" t="s">
        <v>68</v>
      </c>
      <c r="M212" s="33" t="s">
        <v>69</v>
      </c>
      <c r="N212" s="33"/>
      <c r="O212" s="32">
        <v>180</v>
      </c>
      <c r="P212" s="39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2" s="271"/>
      <c r="R212" s="271"/>
      <c r="S212" s="271"/>
      <c r="T212" s="272"/>
      <c r="U212" s="34"/>
      <c r="V212" s="34"/>
      <c r="W212" s="35" t="s">
        <v>70</v>
      </c>
      <c r="X212" s="266">
        <v>0</v>
      </c>
      <c r="Y212" s="267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302</v>
      </c>
      <c r="AG212" s="67"/>
      <c r="AJ212" s="71" t="s">
        <v>72</v>
      </c>
      <c r="AK212" s="71">
        <v>1</v>
      </c>
      <c r="BB212" s="213" t="s">
        <v>96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customHeight="1" x14ac:dyDescent="0.25">
      <c r="A213" s="54" t="s">
        <v>305</v>
      </c>
      <c r="B213" s="54" t="s">
        <v>306</v>
      </c>
      <c r="C213" s="31">
        <v>4301135694</v>
      </c>
      <c r="D213" s="282">
        <v>4620207490501</v>
      </c>
      <c r="E213" s="283"/>
      <c r="F213" s="265">
        <v>0.2</v>
      </c>
      <c r="G213" s="32">
        <v>12</v>
      </c>
      <c r="H213" s="265">
        <v>2.4</v>
      </c>
      <c r="I213" s="265">
        <v>3.1036000000000001</v>
      </c>
      <c r="J213" s="32">
        <v>70</v>
      </c>
      <c r="K213" s="32" t="s">
        <v>92</v>
      </c>
      <c r="L213" s="32" t="s">
        <v>68</v>
      </c>
      <c r="M213" s="33" t="s">
        <v>69</v>
      </c>
      <c r="N213" s="33"/>
      <c r="O213" s="32">
        <v>180</v>
      </c>
      <c r="P213" s="28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3" s="271"/>
      <c r="R213" s="271"/>
      <c r="S213" s="271"/>
      <c r="T213" s="272"/>
      <c r="U213" s="34"/>
      <c r="V213" s="34"/>
      <c r="W213" s="35" t="s">
        <v>70</v>
      </c>
      <c r="X213" s="266">
        <v>0</v>
      </c>
      <c r="Y213" s="267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302</v>
      </c>
      <c r="AG213" s="67"/>
      <c r="AJ213" s="71" t="s">
        <v>72</v>
      </c>
      <c r="AK213" s="71">
        <v>1</v>
      </c>
      <c r="BB213" s="215" t="s">
        <v>96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x14ac:dyDescent="0.2">
      <c r="A214" s="294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95"/>
      <c r="P214" s="284" t="s">
        <v>79</v>
      </c>
      <c r="Q214" s="285"/>
      <c r="R214" s="285"/>
      <c r="S214" s="285"/>
      <c r="T214" s="285"/>
      <c r="U214" s="285"/>
      <c r="V214" s="286"/>
      <c r="W214" s="37" t="s">
        <v>70</v>
      </c>
      <c r="X214" s="268">
        <f>IFERROR(SUM(X211:X213),"0")</f>
        <v>0</v>
      </c>
      <c r="Y214" s="268">
        <f>IFERROR(SUM(Y211:Y213),"0")</f>
        <v>0</v>
      </c>
      <c r="Z214" s="268">
        <f>IFERROR(IF(Z211="",0,Z211),"0")+IFERROR(IF(Z212="",0,Z212),"0")+IFERROR(IF(Z213="",0,Z213),"0")</f>
        <v>0</v>
      </c>
      <c r="AA214" s="269"/>
      <c r="AB214" s="269"/>
      <c r="AC214" s="269"/>
    </row>
    <row r="215" spans="1:68" x14ac:dyDescent="0.2">
      <c r="A215" s="277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95"/>
      <c r="P215" s="284" t="s">
        <v>79</v>
      </c>
      <c r="Q215" s="285"/>
      <c r="R215" s="285"/>
      <c r="S215" s="285"/>
      <c r="T215" s="285"/>
      <c r="U215" s="285"/>
      <c r="V215" s="286"/>
      <c r="W215" s="37" t="s">
        <v>80</v>
      </c>
      <c r="X215" s="268">
        <f>IFERROR(SUMPRODUCT(X211:X213*H211:H213),"0")</f>
        <v>0</v>
      </c>
      <c r="Y215" s="268">
        <f>IFERROR(SUMPRODUCT(Y211:Y213*H211:H213),"0")</f>
        <v>0</v>
      </c>
      <c r="Z215" s="37"/>
      <c r="AA215" s="269"/>
      <c r="AB215" s="269"/>
      <c r="AC215" s="269"/>
    </row>
    <row r="216" spans="1:68" ht="27.75" customHeight="1" x14ac:dyDescent="0.2">
      <c r="A216" s="278" t="s">
        <v>307</v>
      </c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  <c r="AA216" s="48"/>
      <c r="AB216" s="48"/>
      <c r="AC216" s="48"/>
    </row>
    <row r="217" spans="1:68" ht="16.5" customHeight="1" x14ac:dyDescent="0.25">
      <c r="A217" s="288" t="s">
        <v>308</v>
      </c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  <c r="AA217" s="261"/>
      <c r="AB217" s="261"/>
      <c r="AC217" s="261"/>
    </row>
    <row r="218" spans="1:68" ht="14.25" customHeight="1" x14ac:dyDescent="0.25">
      <c r="A218" s="276" t="s">
        <v>64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62"/>
      <c r="AB218" s="262"/>
      <c r="AC218" s="262"/>
    </row>
    <row r="219" spans="1:68" ht="27" customHeight="1" x14ac:dyDescent="0.25">
      <c r="A219" s="54" t="s">
        <v>309</v>
      </c>
      <c r="B219" s="54" t="s">
        <v>310</v>
      </c>
      <c r="C219" s="31">
        <v>4301071036</v>
      </c>
      <c r="D219" s="282">
        <v>4607111036162</v>
      </c>
      <c r="E219" s="283"/>
      <c r="F219" s="265">
        <v>0.8</v>
      </c>
      <c r="G219" s="32">
        <v>8</v>
      </c>
      <c r="H219" s="265">
        <v>6.4</v>
      </c>
      <c r="I219" s="265">
        <v>6.6811999999999996</v>
      </c>
      <c r="J219" s="32">
        <v>84</v>
      </c>
      <c r="K219" s="32" t="s">
        <v>67</v>
      </c>
      <c r="L219" s="32" t="s">
        <v>68</v>
      </c>
      <c r="M219" s="33" t="s">
        <v>69</v>
      </c>
      <c r="N219" s="33"/>
      <c r="O219" s="32">
        <v>90</v>
      </c>
      <c r="P219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9" s="271"/>
      <c r="R219" s="271"/>
      <c r="S219" s="271"/>
      <c r="T219" s="272"/>
      <c r="U219" s="34"/>
      <c r="V219" s="34"/>
      <c r="W219" s="35" t="s">
        <v>70</v>
      </c>
      <c r="X219" s="266">
        <v>0</v>
      </c>
      <c r="Y219" s="267">
        <f>IFERROR(IF(X219="","",X219),"")</f>
        <v>0</v>
      </c>
      <c r="Z219" s="36">
        <f>IFERROR(IF(X219="","",X219*0.0155),"")</f>
        <v>0</v>
      </c>
      <c r="AA219" s="56"/>
      <c r="AB219" s="57"/>
      <c r="AC219" s="216" t="s">
        <v>311</v>
      </c>
      <c r="AG219" s="67"/>
      <c r="AJ219" s="71" t="s">
        <v>72</v>
      </c>
      <c r="AK219" s="71">
        <v>1</v>
      </c>
      <c r="BB219" s="217" t="s">
        <v>1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x14ac:dyDescent="0.2">
      <c r="A220" s="294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95"/>
      <c r="P220" s="284" t="s">
        <v>79</v>
      </c>
      <c r="Q220" s="285"/>
      <c r="R220" s="285"/>
      <c r="S220" s="285"/>
      <c r="T220" s="285"/>
      <c r="U220" s="285"/>
      <c r="V220" s="286"/>
      <c r="W220" s="37" t="s">
        <v>70</v>
      </c>
      <c r="X220" s="268">
        <f>IFERROR(SUM(X219:X219),"0")</f>
        <v>0</v>
      </c>
      <c r="Y220" s="268">
        <f>IFERROR(SUM(Y219:Y219),"0")</f>
        <v>0</v>
      </c>
      <c r="Z220" s="268">
        <f>IFERROR(IF(Z219="",0,Z219),"0")</f>
        <v>0</v>
      </c>
      <c r="AA220" s="269"/>
      <c r="AB220" s="269"/>
      <c r="AC220" s="269"/>
    </row>
    <row r="221" spans="1:68" x14ac:dyDescent="0.2">
      <c r="A221" s="277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95"/>
      <c r="P221" s="284" t="s">
        <v>79</v>
      </c>
      <c r="Q221" s="285"/>
      <c r="R221" s="285"/>
      <c r="S221" s="285"/>
      <c r="T221" s="285"/>
      <c r="U221" s="285"/>
      <c r="V221" s="286"/>
      <c r="W221" s="37" t="s">
        <v>80</v>
      </c>
      <c r="X221" s="268">
        <f>IFERROR(SUMPRODUCT(X219:X219*H219:H219),"0")</f>
        <v>0</v>
      </c>
      <c r="Y221" s="268">
        <f>IFERROR(SUMPRODUCT(Y219:Y219*H219:H219),"0")</f>
        <v>0</v>
      </c>
      <c r="Z221" s="37"/>
      <c r="AA221" s="269"/>
      <c r="AB221" s="269"/>
      <c r="AC221" s="269"/>
    </row>
    <row r="222" spans="1:68" ht="27.75" customHeight="1" x14ac:dyDescent="0.2">
      <c r="A222" s="278" t="s">
        <v>312</v>
      </c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  <c r="AA222" s="48"/>
      <c r="AB222" s="48"/>
      <c r="AC222" s="48"/>
    </row>
    <row r="223" spans="1:68" ht="16.5" customHeight="1" x14ac:dyDescent="0.25">
      <c r="A223" s="288" t="s">
        <v>313</v>
      </c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  <c r="AA223" s="261"/>
      <c r="AB223" s="261"/>
      <c r="AC223" s="261"/>
    </row>
    <row r="224" spans="1:68" ht="14.25" customHeight="1" x14ac:dyDescent="0.25">
      <c r="A224" s="276" t="s">
        <v>64</v>
      </c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62"/>
      <c r="AB224" s="262"/>
      <c r="AC224" s="262"/>
    </row>
    <row r="225" spans="1:68" ht="27" customHeight="1" x14ac:dyDescent="0.25">
      <c r="A225" s="54" t="s">
        <v>314</v>
      </c>
      <c r="B225" s="54" t="s">
        <v>315</v>
      </c>
      <c r="C225" s="31">
        <v>4301071029</v>
      </c>
      <c r="D225" s="282">
        <v>4607111035899</v>
      </c>
      <c r="E225" s="283"/>
      <c r="F225" s="265">
        <v>1</v>
      </c>
      <c r="G225" s="32">
        <v>5</v>
      </c>
      <c r="H225" s="265">
        <v>5</v>
      </c>
      <c r="I225" s="265">
        <v>5.2619999999999996</v>
      </c>
      <c r="J225" s="32">
        <v>84</v>
      </c>
      <c r="K225" s="32" t="s">
        <v>67</v>
      </c>
      <c r="L225" s="32" t="s">
        <v>93</v>
      </c>
      <c r="M225" s="33" t="s">
        <v>69</v>
      </c>
      <c r="N225" s="33"/>
      <c r="O225" s="32">
        <v>180</v>
      </c>
      <c r="P225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5" s="271"/>
      <c r="R225" s="271"/>
      <c r="S225" s="271"/>
      <c r="T225" s="272"/>
      <c r="U225" s="34"/>
      <c r="V225" s="34"/>
      <c r="W225" s="35" t="s">
        <v>70</v>
      </c>
      <c r="X225" s="266">
        <v>180</v>
      </c>
      <c r="Y225" s="267">
        <f>IFERROR(IF(X225="","",X225),"")</f>
        <v>180</v>
      </c>
      <c r="Z225" s="36">
        <f>IFERROR(IF(X225="","",X225*0.0155),"")</f>
        <v>2.79</v>
      </c>
      <c r="AA225" s="56"/>
      <c r="AB225" s="57"/>
      <c r="AC225" s="218" t="s">
        <v>256</v>
      </c>
      <c r="AG225" s="67"/>
      <c r="AJ225" s="71" t="s">
        <v>95</v>
      </c>
      <c r="AK225" s="71">
        <v>84</v>
      </c>
      <c r="BB225" s="219" t="s">
        <v>1</v>
      </c>
      <c r="BM225" s="67">
        <f>IFERROR(X225*I225,"0")</f>
        <v>947.16</v>
      </c>
      <c r="BN225" s="67">
        <f>IFERROR(Y225*I225,"0")</f>
        <v>947.16</v>
      </c>
      <c r="BO225" s="67">
        <f>IFERROR(X225/J225,"0")</f>
        <v>2.1428571428571428</v>
      </c>
      <c r="BP225" s="67">
        <f>IFERROR(Y225/J225,"0")</f>
        <v>2.1428571428571428</v>
      </c>
    </row>
    <row r="226" spans="1:68" x14ac:dyDescent="0.2">
      <c r="A226" s="294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95"/>
      <c r="P226" s="284" t="s">
        <v>79</v>
      </c>
      <c r="Q226" s="285"/>
      <c r="R226" s="285"/>
      <c r="S226" s="285"/>
      <c r="T226" s="285"/>
      <c r="U226" s="285"/>
      <c r="V226" s="286"/>
      <c r="W226" s="37" t="s">
        <v>70</v>
      </c>
      <c r="X226" s="268">
        <f>IFERROR(SUM(X225:X225),"0")</f>
        <v>180</v>
      </c>
      <c r="Y226" s="268">
        <f>IFERROR(SUM(Y225:Y225),"0")</f>
        <v>180</v>
      </c>
      <c r="Z226" s="268">
        <f>IFERROR(IF(Z225="",0,Z225),"0")</f>
        <v>2.79</v>
      </c>
      <c r="AA226" s="269"/>
      <c r="AB226" s="269"/>
      <c r="AC226" s="269"/>
    </row>
    <row r="227" spans="1:68" x14ac:dyDescent="0.2">
      <c r="A227" s="277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95"/>
      <c r="P227" s="284" t="s">
        <v>79</v>
      </c>
      <c r="Q227" s="285"/>
      <c r="R227" s="285"/>
      <c r="S227" s="285"/>
      <c r="T227" s="285"/>
      <c r="U227" s="285"/>
      <c r="V227" s="286"/>
      <c r="W227" s="37" t="s">
        <v>80</v>
      </c>
      <c r="X227" s="268">
        <f>IFERROR(SUMPRODUCT(X225:X225*H225:H225),"0")</f>
        <v>900</v>
      </c>
      <c r="Y227" s="268">
        <f>IFERROR(SUMPRODUCT(Y225:Y225*H225:H225),"0")</f>
        <v>900</v>
      </c>
      <c r="Z227" s="37"/>
      <c r="AA227" s="269"/>
      <c r="AB227" s="269"/>
      <c r="AC227" s="269"/>
    </row>
    <row r="228" spans="1:68" ht="27.75" customHeight="1" x14ac:dyDescent="0.2">
      <c r="A228" s="278" t="s">
        <v>316</v>
      </c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  <c r="AA228" s="48"/>
      <c r="AB228" s="48"/>
      <c r="AC228" s="48"/>
    </row>
    <row r="229" spans="1:68" ht="16.5" customHeight="1" x14ac:dyDescent="0.25">
      <c r="A229" s="288" t="s">
        <v>317</v>
      </c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  <c r="AA229" s="261"/>
      <c r="AB229" s="261"/>
      <c r="AC229" s="261"/>
    </row>
    <row r="230" spans="1:68" ht="14.25" customHeight="1" x14ac:dyDescent="0.25">
      <c r="A230" s="276" t="s">
        <v>318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62"/>
      <c r="AB230" s="262"/>
      <c r="AC230" s="262"/>
    </row>
    <row r="231" spans="1:68" ht="27" customHeight="1" x14ac:dyDescent="0.25">
      <c r="A231" s="54" t="s">
        <v>319</v>
      </c>
      <c r="B231" s="54" t="s">
        <v>320</v>
      </c>
      <c r="C231" s="31">
        <v>4301133004</v>
      </c>
      <c r="D231" s="282">
        <v>4607111039774</v>
      </c>
      <c r="E231" s="283"/>
      <c r="F231" s="265">
        <v>0.25</v>
      </c>
      <c r="G231" s="32">
        <v>12</v>
      </c>
      <c r="H231" s="265">
        <v>3</v>
      </c>
      <c r="I231" s="265">
        <v>3.22</v>
      </c>
      <c r="J231" s="32">
        <v>70</v>
      </c>
      <c r="K231" s="32" t="s">
        <v>92</v>
      </c>
      <c r="L231" s="32" t="s">
        <v>68</v>
      </c>
      <c r="M231" s="33" t="s">
        <v>69</v>
      </c>
      <c r="N231" s="33"/>
      <c r="O231" s="32">
        <v>180</v>
      </c>
      <c r="P231" s="27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1" s="271"/>
      <c r="R231" s="271"/>
      <c r="S231" s="271"/>
      <c r="T231" s="272"/>
      <c r="U231" s="34"/>
      <c r="V231" s="34"/>
      <c r="W231" s="35" t="s">
        <v>70</v>
      </c>
      <c r="X231" s="266">
        <v>0</v>
      </c>
      <c r="Y231" s="267">
        <f>IFERROR(IF(X231="","",X231),"")</f>
        <v>0</v>
      </c>
      <c r="Z231" s="36">
        <f>IFERROR(IF(X231="","",X231*0.01788),"")</f>
        <v>0</v>
      </c>
      <c r="AA231" s="56"/>
      <c r="AB231" s="57"/>
      <c r="AC231" s="220" t="s">
        <v>321</v>
      </c>
      <c r="AG231" s="67"/>
      <c r="AJ231" s="71" t="s">
        <v>72</v>
      </c>
      <c r="AK231" s="71">
        <v>1</v>
      </c>
      <c r="BB231" s="221" t="s">
        <v>96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4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95"/>
      <c r="P232" s="284" t="s">
        <v>79</v>
      </c>
      <c r="Q232" s="285"/>
      <c r="R232" s="285"/>
      <c r="S232" s="285"/>
      <c r="T232" s="285"/>
      <c r="U232" s="285"/>
      <c r="V232" s="286"/>
      <c r="W232" s="37" t="s">
        <v>70</v>
      </c>
      <c r="X232" s="268">
        <f>IFERROR(SUM(X231:X231),"0")</f>
        <v>0</v>
      </c>
      <c r="Y232" s="268">
        <f>IFERROR(SUM(Y231:Y231),"0")</f>
        <v>0</v>
      </c>
      <c r="Z232" s="268">
        <f>IFERROR(IF(Z231="",0,Z231),"0")</f>
        <v>0</v>
      </c>
      <c r="AA232" s="269"/>
      <c r="AB232" s="269"/>
      <c r="AC232" s="269"/>
    </row>
    <row r="233" spans="1:68" x14ac:dyDescent="0.2">
      <c r="A233" s="277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95"/>
      <c r="P233" s="284" t="s">
        <v>79</v>
      </c>
      <c r="Q233" s="285"/>
      <c r="R233" s="285"/>
      <c r="S233" s="285"/>
      <c r="T233" s="285"/>
      <c r="U233" s="285"/>
      <c r="V233" s="286"/>
      <c r="W233" s="37" t="s">
        <v>80</v>
      </c>
      <c r="X233" s="268">
        <f>IFERROR(SUMPRODUCT(X231:X231*H231:H231),"0")</f>
        <v>0</v>
      </c>
      <c r="Y233" s="268">
        <f>IFERROR(SUMPRODUCT(Y231:Y231*H231:H231),"0")</f>
        <v>0</v>
      </c>
      <c r="Z233" s="37"/>
      <c r="AA233" s="269"/>
      <c r="AB233" s="269"/>
      <c r="AC233" s="269"/>
    </row>
    <row r="234" spans="1:68" ht="14.25" customHeight="1" x14ac:dyDescent="0.25">
      <c r="A234" s="276" t="s">
        <v>135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2"/>
      <c r="AB234" s="262"/>
      <c r="AC234" s="262"/>
    </row>
    <row r="235" spans="1:68" ht="37.5" customHeight="1" x14ac:dyDescent="0.25">
      <c r="A235" s="54" t="s">
        <v>322</v>
      </c>
      <c r="B235" s="54" t="s">
        <v>323</v>
      </c>
      <c r="C235" s="31">
        <v>4301135400</v>
      </c>
      <c r="D235" s="282">
        <v>4607111039361</v>
      </c>
      <c r="E235" s="283"/>
      <c r="F235" s="265">
        <v>0.25</v>
      </c>
      <c r="G235" s="32">
        <v>12</v>
      </c>
      <c r="H235" s="265">
        <v>3</v>
      </c>
      <c r="I235" s="265">
        <v>3.7035999999999998</v>
      </c>
      <c r="J235" s="32">
        <v>70</v>
      </c>
      <c r="K235" s="32" t="s">
        <v>92</v>
      </c>
      <c r="L235" s="32" t="s">
        <v>68</v>
      </c>
      <c r="M235" s="33" t="s">
        <v>69</v>
      </c>
      <c r="N235" s="33"/>
      <c r="O235" s="32">
        <v>180</v>
      </c>
      <c r="P235" s="39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5" s="271"/>
      <c r="R235" s="271"/>
      <c r="S235" s="271"/>
      <c r="T235" s="272"/>
      <c r="U235" s="34"/>
      <c r="V235" s="34"/>
      <c r="W235" s="35" t="s">
        <v>70</v>
      </c>
      <c r="X235" s="266">
        <v>0</v>
      </c>
      <c r="Y235" s="267">
        <f>IFERROR(IF(X235="","",X235),"")</f>
        <v>0</v>
      </c>
      <c r="Z235" s="36">
        <f>IFERROR(IF(X235="","",X235*0.01788),"")</f>
        <v>0</v>
      </c>
      <c r="AA235" s="56"/>
      <c r="AB235" s="57"/>
      <c r="AC235" s="222" t="s">
        <v>321</v>
      </c>
      <c r="AG235" s="67"/>
      <c r="AJ235" s="71" t="s">
        <v>72</v>
      </c>
      <c r="AK235" s="71">
        <v>1</v>
      </c>
      <c r="BB235" s="223" t="s">
        <v>96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94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95"/>
      <c r="P236" s="284" t="s">
        <v>79</v>
      </c>
      <c r="Q236" s="285"/>
      <c r="R236" s="285"/>
      <c r="S236" s="285"/>
      <c r="T236" s="285"/>
      <c r="U236" s="285"/>
      <c r="V236" s="286"/>
      <c r="W236" s="37" t="s">
        <v>70</v>
      </c>
      <c r="X236" s="268">
        <f>IFERROR(SUM(X235:X235),"0")</f>
        <v>0</v>
      </c>
      <c r="Y236" s="268">
        <f>IFERROR(SUM(Y235:Y235),"0")</f>
        <v>0</v>
      </c>
      <c r="Z236" s="268">
        <f>IFERROR(IF(Z235="",0,Z235),"0")</f>
        <v>0</v>
      </c>
      <c r="AA236" s="269"/>
      <c r="AB236" s="269"/>
      <c r="AC236" s="269"/>
    </row>
    <row r="237" spans="1:68" x14ac:dyDescent="0.2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95"/>
      <c r="P237" s="284" t="s">
        <v>79</v>
      </c>
      <c r="Q237" s="285"/>
      <c r="R237" s="285"/>
      <c r="S237" s="285"/>
      <c r="T237" s="285"/>
      <c r="U237" s="285"/>
      <c r="V237" s="286"/>
      <c r="W237" s="37" t="s">
        <v>80</v>
      </c>
      <c r="X237" s="268">
        <f>IFERROR(SUMPRODUCT(X235:X235*H235:H235),"0")</f>
        <v>0</v>
      </c>
      <c r="Y237" s="268">
        <f>IFERROR(SUMPRODUCT(Y235:Y235*H235:H235),"0")</f>
        <v>0</v>
      </c>
      <c r="Z237" s="37"/>
      <c r="AA237" s="269"/>
      <c r="AB237" s="269"/>
      <c r="AC237" s="269"/>
    </row>
    <row r="238" spans="1:68" ht="27.75" customHeight="1" x14ac:dyDescent="0.2">
      <c r="A238" s="278" t="s">
        <v>324</v>
      </c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  <c r="AA238" s="48"/>
      <c r="AB238" s="48"/>
      <c r="AC238" s="48"/>
    </row>
    <row r="239" spans="1:68" ht="16.5" customHeight="1" x14ac:dyDescent="0.25">
      <c r="A239" s="288" t="s">
        <v>324</v>
      </c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  <c r="AA239" s="261"/>
      <c r="AB239" s="261"/>
      <c r="AC239" s="261"/>
    </row>
    <row r="240" spans="1:68" ht="14.25" customHeight="1" x14ac:dyDescent="0.25">
      <c r="A240" s="276" t="s">
        <v>64</v>
      </c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62"/>
      <c r="AB240" s="262"/>
      <c r="AC240" s="262"/>
    </row>
    <row r="241" spans="1:68" ht="27" customHeight="1" x14ac:dyDescent="0.25">
      <c r="A241" s="54" t="s">
        <v>325</v>
      </c>
      <c r="B241" s="54" t="s">
        <v>326</v>
      </c>
      <c r="C241" s="31">
        <v>4301071014</v>
      </c>
      <c r="D241" s="282">
        <v>4640242181264</v>
      </c>
      <c r="E241" s="283"/>
      <c r="F241" s="265">
        <v>0.7</v>
      </c>
      <c r="G241" s="32">
        <v>10</v>
      </c>
      <c r="H241" s="265">
        <v>7</v>
      </c>
      <c r="I241" s="265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1" s="271"/>
      <c r="R241" s="271"/>
      <c r="S241" s="271"/>
      <c r="T241" s="272"/>
      <c r="U241" s="34"/>
      <c r="V241" s="34"/>
      <c r="W241" s="35" t="s">
        <v>70</v>
      </c>
      <c r="X241" s="266">
        <v>0</v>
      </c>
      <c r="Y241" s="267">
        <f>IFERROR(IF(X241="","",X241),"")</f>
        <v>0</v>
      </c>
      <c r="Z241" s="36">
        <f>IFERROR(IF(X241="","",X241*0.0155),"")</f>
        <v>0</v>
      </c>
      <c r="AA241" s="56"/>
      <c r="AB241" s="57"/>
      <c r="AC241" s="224" t="s">
        <v>327</v>
      </c>
      <c r="AG241" s="67"/>
      <c r="AJ241" s="71" t="s">
        <v>72</v>
      </c>
      <c r="AK241" s="71">
        <v>1</v>
      </c>
      <c r="BB241" s="225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t="27" customHeight="1" x14ac:dyDescent="0.25">
      <c r="A242" s="54" t="s">
        <v>328</v>
      </c>
      <c r="B242" s="54" t="s">
        <v>329</v>
      </c>
      <c r="C242" s="31">
        <v>4301071021</v>
      </c>
      <c r="D242" s="282">
        <v>4640242181325</v>
      </c>
      <c r="E242" s="283"/>
      <c r="F242" s="265">
        <v>0.7</v>
      </c>
      <c r="G242" s="32">
        <v>10</v>
      </c>
      <c r="H242" s="265">
        <v>7</v>
      </c>
      <c r="I242" s="265">
        <v>7.28</v>
      </c>
      <c r="J242" s="32">
        <v>84</v>
      </c>
      <c r="K242" s="32" t="s">
        <v>67</v>
      </c>
      <c r="L242" s="32" t="s">
        <v>68</v>
      </c>
      <c r="M242" s="33" t="s">
        <v>69</v>
      </c>
      <c r="N242" s="33"/>
      <c r="O242" s="32">
        <v>180</v>
      </c>
      <c r="P242" s="32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2" s="271"/>
      <c r="R242" s="271"/>
      <c r="S242" s="271"/>
      <c r="T242" s="272"/>
      <c r="U242" s="34"/>
      <c r="V242" s="34"/>
      <c r="W242" s="35" t="s">
        <v>70</v>
      </c>
      <c r="X242" s="266">
        <v>0</v>
      </c>
      <c r="Y242" s="267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327</v>
      </c>
      <c r="AG242" s="67"/>
      <c r="AJ242" s="71" t="s">
        <v>72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4"/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95"/>
      <c r="P243" s="284" t="s">
        <v>79</v>
      </c>
      <c r="Q243" s="285"/>
      <c r="R243" s="285"/>
      <c r="S243" s="285"/>
      <c r="T243" s="285"/>
      <c r="U243" s="285"/>
      <c r="V243" s="286"/>
      <c r="W243" s="37" t="s">
        <v>70</v>
      </c>
      <c r="X243" s="268">
        <f>IFERROR(SUM(X241:X242),"0")</f>
        <v>0</v>
      </c>
      <c r="Y243" s="268">
        <f>IFERROR(SUM(Y241:Y242),"0")</f>
        <v>0</v>
      </c>
      <c r="Z243" s="268">
        <f>IFERROR(IF(Z241="",0,Z241),"0")+IFERROR(IF(Z242="",0,Z242),"0")</f>
        <v>0</v>
      </c>
      <c r="AA243" s="269"/>
      <c r="AB243" s="269"/>
      <c r="AC243" s="269"/>
    </row>
    <row r="244" spans="1:68" x14ac:dyDescent="0.2">
      <c r="A244" s="277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95"/>
      <c r="P244" s="284" t="s">
        <v>79</v>
      </c>
      <c r="Q244" s="285"/>
      <c r="R244" s="285"/>
      <c r="S244" s="285"/>
      <c r="T244" s="285"/>
      <c r="U244" s="285"/>
      <c r="V244" s="286"/>
      <c r="W244" s="37" t="s">
        <v>80</v>
      </c>
      <c r="X244" s="268">
        <f>IFERROR(SUMPRODUCT(X241:X242*H241:H242),"0")</f>
        <v>0</v>
      </c>
      <c r="Y244" s="268">
        <f>IFERROR(SUMPRODUCT(Y241:Y242*H241:H242),"0")</f>
        <v>0</v>
      </c>
      <c r="Z244" s="37"/>
      <c r="AA244" s="269"/>
      <c r="AB244" s="269"/>
      <c r="AC244" s="269"/>
    </row>
    <row r="245" spans="1:68" ht="14.25" customHeight="1" x14ac:dyDescent="0.25">
      <c r="A245" s="276" t="s">
        <v>89</v>
      </c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  <c r="AA245" s="262"/>
      <c r="AB245" s="262"/>
      <c r="AC245" s="262"/>
    </row>
    <row r="246" spans="1:68" ht="27" customHeight="1" x14ac:dyDescent="0.25">
      <c r="A246" s="54" t="s">
        <v>330</v>
      </c>
      <c r="B246" s="54" t="s">
        <v>331</v>
      </c>
      <c r="C246" s="31">
        <v>4301132080</v>
      </c>
      <c r="D246" s="282">
        <v>4640242180397</v>
      </c>
      <c r="E246" s="283"/>
      <c r="F246" s="265">
        <v>1</v>
      </c>
      <c r="G246" s="32">
        <v>6</v>
      </c>
      <c r="H246" s="265">
        <v>6</v>
      </c>
      <c r="I246" s="265">
        <v>6.26</v>
      </c>
      <c r="J246" s="32">
        <v>84</v>
      </c>
      <c r="K246" s="32" t="s">
        <v>67</v>
      </c>
      <c r="L246" s="32" t="s">
        <v>93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6" s="271"/>
      <c r="R246" s="271"/>
      <c r="S246" s="271"/>
      <c r="T246" s="272"/>
      <c r="U246" s="34"/>
      <c r="V246" s="34"/>
      <c r="W246" s="35" t="s">
        <v>70</v>
      </c>
      <c r="X246" s="266">
        <v>132</v>
      </c>
      <c r="Y246" s="267">
        <f>IFERROR(IF(X246="","",X246),"")</f>
        <v>132</v>
      </c>
      <c r="Z246" s="36">
        <f>IFERROR(IF(X246="","",X246*0.0155),"")</f>
        <v>2.0459999999999998</v>
      </c>
      <c r="AA246" s="56"/>
      <c r="AB246" s="57"/>
      <c r="AC246" s="228" t="s">
        <v>332</v>
      </c>
      <c r="AG246" s="67"/>
      <c r="AJ246" s="71" t="s">
        <v>95</v>
      </c>
      <c r="AK246" s="71">
        <v>84</v>
      </c>
      <c r="BB246" s="229" t="s">
        <v>96</v>
      </c>
      <c r="BM246" s="67">
        <f>IFERROR(X246*I246,"0")</f>
        <v>826.31999999999994</v>
      </c>
      <c r="BN246" s="67">
        <f>IFERROR(Y246*I246,"0")</f>
        <v>826.31999999999994</v>
      </c>
      <c r="BO246" s="67">
        <f>IFERROR(X246/J246,"0")</f>
        <v>1.5714285714285714</v>
      </c>
      <c r="BP246" s="67">
        <f>IFERROR(Y246/J246,"0")</f>
        <v>1.5714285714285714</v>
      </c>
    </row>
    <row r="247" spans="1:68" ht="27" customHeight="1" x14ac:dyDescent="0.25">
      <c r="A247" s="54" t="s">
        <v>333</v>
      </c>
      <c r="B247" s="54" t="s">
        <v>334</v>
      </c>
      <c r="C247" s="31">
        <v>4301132104</v>
      </c>
      <c r="D247" s="282">
        <v>4640242181219</v>
      </c>
      <c r="E247" s="283"/>
      <c r="F247" s="265">
        <v>0.3</v>
      </c>
      <c r="G247" s="32">
        <v>9</v>
      </c>
      <c r="H247" s="265">
        <v>2.7</v>
      </c>
      <c r="I247" s="265">
        <v>2.8450000000000002</v>
      </c>
      <c r="J247" s="32">
        <v>234</v>
      </c>
      <c r="K247" s="32" t="s">
        <v>146</v>
      </c>
      <c r="L247" s="32" t="s">
        <v>105</v>
      </c>
      <c r="M247" s="33" t="s">
        <v>69</v>
      </c>
      <c r="N247" s="33"/>
      <c r="O247" s="32">
        <v>180</v>
      </c>
      <c r="P247" s="423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7" s="271"/>
      <c r="R247" s="271"/>
      <c r="S247" s="271"/>
      <c r="T247" s="272"/>
      <c r="U247" s="34"/>
      <c r="V247" s="34"/>
      <c r="W247" s="35" t="s">
        <v>70</v>
      </c>
      <c r="X247" s="266">
        <v>0</v>
      </c>
      <c r="Y247" s="267">
        <f>IFERROR(IF(X247="","",X247),"")</f>
        <v>0</v>
      </c>
      <c r="Z247" s="36">
        <f>IFERROR(IF(X247="","",X247*0.00502),"")</f>
        <v>0</v>
      </c>
      <c r="AA247" s="56"/>
      <c r="AB247" s="57"/>
      <c r="AC247" s="230" t="s">
        <v>332</v>
      </c>
      <c r="AG247" s="67"/>
      <c r="AJ247" s="71" t="s">
        <v>107</v>
      </c>
      <c r="AK247" s="71">
        <v>18</v>
      </c>
      <c r="BB247" s="231" t="s">
        <v>96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4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95"/>
      <c r="P248" s="284" t="s">
        <v>79</v>
      </c>
      <c r="Q248" s="285"/>
      <c r="R248" s="285"/>
      <c r="S248" s="285"/>
      <c r="T248" s="285"/>
      <c r="U248" s="285"/>
      <c r="V248" s="286"/>
      <c r="W248" s="37" t="s">
        <v>70</v>
      </c>
      <c r="X248" s="268">
        <f>IFERROR(SUM(X246:X247),"0")</f>
        <v>132</v>
      </c>
      <c r="Y248" s="268">
        <f>IFERROR(SUM(Y246:Y247),"0")</f>
        <v>132</v>
      </c>
      <c r="Z248" s="268">
        <f>IFERROR(IF(Z246="",0,Z246),"0")+IFERROR(IF(Z247="",0,Z247),"0")</f>
        <v>2.0459999999999998</v>
      </c>
      <c r="AA248" s="269"/>
      <c r="AB248" s="269"/>
      <c r="AC248" s="269"/>
    </row>
    <row r="249" spans="1:68" x14ac:dyDescent="0.2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95"/>
      <c r="P249" s="284" t="s">
        <v>79</v>
      </c>
      <c r="Q249" s="285"/>
      <c r="R249" s="285"/>
      <c r="S249" s="285"/>
      <c r="T249" s="285"/>
      <c r="U249" s="285"/>
      <c r="V249" s="286"/>
      <c r="W249" s="37" t="s">
        <v>80</v>
      </c>
      <c r="X249" s="268">
        <f>IFERROR(SUMPRODUCT(X246:X247*H246:H247),"0")</f>
        <v>792</v>
      </c>
      <c r="Y249" s="268">
        <f>IFERROR(SUMPRODUCT(Y246:Y247*H246:H247),"0")</f>
        <v>792</v>
      </c>
      <c r="Z249" s="37"/>
      <c r="AA249" s="269"/>
      <c r="AB249" s="269"/>
      <c r="AC249" s="269"/>
    </row>
    <row r="250" spans="1:68" ht="14.25" customHeight="1" x14ac:dyDescent="0.25">
      <c r="A250" s="276" t="s">
        <v>129</v>
      </c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  <c r="AA250" s="262"/>
      <c r="AB250" s="262"/>
      <c r="AC250" s="262"/>
    </row>
    <row r="251" spans="1:68" ht="27" customHeight="1" x14ac:dyDescent="0.25">
      <c r="A251" s="54" t="s">
        <v>335</v>
      </c>
      <c r="B251" s="54" t="s">
        <v>336</v>
      </c>
      <c r="C251" s="31">
        <v>4301136051</v>
      </c>
      <c r="D251" s="282">
        <v>4640242180304</v>
      </c>
      <c r="E251" s="283"/>
      <c r="F251" s="265">
        <v>2.7</v>
      </c>
      <c r="G251" s="32">
        <v>1</v>
      </c>
      <c r="H251" s="265">
        <v>2.7</v>
      </c>
      <c r="I251" s="265">
        <v>2.8906000000000001</v>
      </c>
      <c r="J251" s="32">
        <v>126</v>
      </c>
      <c r="K251" s="32" t="s">
        <v>92</v>
      </c>
      <c r="L251" s="32" t="s">
        <v>105</v>
      </c>
      <c r="M251" s="33" t="s">
        <v>69</v>
      </c>
      <c r="N251" s="33"/>
      <c r="O251" s="32">
        <v>180</v>
      </c>
      <c r="P25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271"/>
      <c r="R251" s="271"/>
      <c r="S251" s="271"/>
      <c r="T251" s="272"/>
      <c r="U251" s="34"/>
      <c r="V251" s="34"/>
      <c r="W251" s="35" t="s">
        <v>70</v>
      </c>
      <c r="X251" s="266">
        <v>0</v>
      </c>
      <c r="Y251" s="267">
        <f>IFERROR(IF(X251="","",X251),"")</f>
        <v>0</v>
      </c>
      <c r="Z251" s="36">
        <f>IFERROR(IF(X251="","",X251*0.00936),"")</f>
        <v>0</v>
      </c>
      <c r="AA251" s="56"/>
      <c r="AB251" s="57"/>
      <c r="AC251" s="232" t="s">
        <v>337</v>
      </c>
      <c r="AG251" s="67"/>
      <c r="AJ251" s="71" t="s">
        <v>107</v>
      </c>
      <c r="AK251" s="71">
        <v>14</v>
      </c>
      <c r="BB251" s="233" t="s">
        <v>96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338</v>
      </c>
      <c r="B252" s="54" t="s">
        <v>339</v>
      </c>
      <c r="C252" s="31">
        <v>4301136053</v>
      </c>
      <c r="D252" s="282">
        <v>4640242180236</v>
      </c>
      <c r="E252" s="283"/>
      <c r="F252" s="265">
        <v>5</v>
      </c>
      <c r="G252" s="32">
        <v>1</v>
      </c>
      <c r="H252" s="265">
        <v>5</v>
      </c>
      <c r="I252" s="265">
        <v>5.2350000000000003</v>
      </c>
      <c r="J252" s="32">
        <v>84</v>
      </c>
      <c r="K252" s="32" t="s">
        <v>67</v>
      </c>
      <c r="L252" s="32" t="s">
        <v>93</v>
      </c>
      <c r="M252" s="33" t="s">
        <v>69</v>
      </c>
      <c r="N252" s="33"/>
      <c r="O252" s="32">
        <v>180</v>
      </c>
      <c r="P252" s="30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271"/>
      <c r="R252" s="271"/>
      <c r="S252" s="271"/>
      <c r="T252" s="272"/>
      <c r="U252" s="34"/>
      <c r="V252" s="34"/>
      <c r="W252" s="35" t="s">
        <v>70</v>
      </c>
      <c r="X252" s="266">
        <v>156</v>
      </c>
      <c r="Y252" s="267">
        <f>IFERROR(IF(X252="","",X252),"")</f>
        <v>156</v>
      </c>
      <c r="Z252" s="36">
        <f>IFERROR(IF(X252="","",X252*0.0155),"")</f>
        <v>2.4180000000000001</v>
      </c>
      <c r="AA252" s="56"/>
      <c r="AB252" s="57"/>
      <c r="AC252" s="234" t="s">
        <v>337</v>
      </c>
      <c r="AG252" s="67"/>
      <c r="AJ252" s="71" t="s">
        <v>95</v>
      </c>
      <c r="AK252" s="71">
        <v>84</v>
      </c>
      <c r="BB252" s="235" t="s">
        <v>96</v>
      </c>
      <c r="BM252" s="67">
        <f>IFERROR(X252*I252,"0")</f>
        <v>816.66000000000008</v>
      </c>
      <c r="BN252" s="67">
        <f>IFERROR(Y252*I252,"0")</f>
        <v>816.66000000000008</v>
      </c>
      <c r="BO252" s="67">
        <f>IFERROR(X252/J252,"0")</f>
        <v>1.8571428571428572</v>
      </c>
      <c r="BP252" s="67">
        <f>IFERROR(Y252/J252,"0")</f>
        <v>1.8571428571428572</v>
      </c>
    </row>
    <row r="253" spans="1:68" ht="27" customHeight="1" x14ac:dyDescent="0.25">
      <c r="A253" s="54" t="s">
        <v>340</v>
      </c>
      <c r="B253" s="54" t="s">
        <v>341</v>
      </c>
      <c r="C253" s="31">
        <v>4301136052</v>
      </c>
      <c r="D253" s="282">
        <v>4640242180410</v>
      </c>
      <c r="E253" s="283"/>
      <c r="F253" s="265">
        <v>2.2400000000000002</v>
      </c>
      <c r="G253" s="32">
        <v>1</v>
      </c>
      <c r="H253" s="265">
        <v>2.2400000000000002</v>
      </c>
      <c r="I253" s="265">
        <v>2.4319999999999999</v>
      </c>
      <c r="J253" s="32">
        <v>126</v>
      </c>
      <c r="K253" s="32" t="s">
        <v>92</v>
      </c>
      <c r="L253" s="32" t="s">
        <v>105</v>
      </c>
      <c r="M253" s="33" t="s">
        <v>69</v>
      </c>
      <c r="N253" s="33"/>
      <c r="O253" s="32">
        <v>180</v>
      </c>
      <c r="P253" s="4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271"/>
      <c r="R253" s="271"/>
      <c r="S253" s="271"/>
      <c r="T253" s="272"/>
      <c r="U253" s="34"/>
      <c r="V253" s="34"/>
      <c r="W253" s="35" t="s">
        <v>70</v>
      </c>
      <c r="X253" s="266">
        <v>70</v>
      </c>
      <c r="Y253" s="267">
        <f>IFERROR(IF(X253="","",X253),"")</f>
        <v>70</v>
      </c>
      <c r="Z253" s="36">
        <f>IFERROR(IF(X253="","",X253*0.00936),"")</f>
        <v>0.6552</v>
      </c>
      <c r="AA253" s="56"/>
      <c r="AB253" s="57"/>
      <c r="AC253" s="236" t="s">
        <v>337</v>
      </c>
      <c r="AG253" s="67"/>
      <c r="AJ253" s="71" t="s">
        <v>107</v>
      </c>
      <c r="AK253" s="71">
        <v>14</v>
      </c>
      <c r="BB253" s="237" t="s">
        <v>96</v>
      </c>
      <c r="BM253" s="67">
        <f>IFERROR(X253*I253,"0")</f>
        <v>170.24</v>
      </c>
      <c r="BN253" s="67">
        <f>IFERROR(Y253*I253,"0")</f>
        <v>170.24</v>
      </c>
      <c r="BO253" s="67">
        <f>IFERROR(X253/J253,"0")</f>
        <v>0.55555555555555558</v>
      </c>
      <c r="BP253" s="67">
        <f>IFERROR(Y253/J253,"0")</f>
        <v>0.55555555555555558</v>
      </c>
    </row>
    <row r="254" spans="1:68" x14ac:dyDescent="0.2">
      <c r="A254" s="294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95"/>
      <c r="P254" s="284" t="s">
        <v>79</v>
      </c>
      <c r="Q254" s="285"/>
      <c r="R254" s="285"/>
      <c r="S254" s="285"/>
      <c r="T254" s="285"/>
      <c r="U254" s="285"/>
      <c r="V254" s="286"/>
      <c r="W254" s="37" t="s">
        <v>70</v>
      </c>
      <c r="X254" s="268">
        <f>IFERROR(SUM(X251:X253),"0")</f>
        <v>226</v>
      </c>
      <c r="Y254" s="268">
        <f>IFERROR(SUM(Y251:Y253),"0")</f>
        <v>226</v>
      </c>
      <c r="Z254" s="268">
        <f>IFERROR(IF(Z251="",0,Z251),"0")+IFERROR(IF(Z252="",0,Z252),"0")+IFERROR(IF(Z253="",0,Z253),"0")</f>
        <v>3.0731999999999999</v>
      </c>
      <c r="AA254" s="269"/>
      <c r="AB254" s="269"/>
      <c r="AC254" s="269"/>
    </row>
    <row r="255" spans="1:68" x14ac:dyDescent="0.2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95"/>
      <c r="P255" s="284" t="s">
        <v>79</v>
      </c>
      <c r="Q255" s="285"/>
      <c r="R255" s="285"/>
      <c r="S255" s="285"/>
      <c r="T255" s="285"/>
      <c r="U255" s="285"/>
      <c r="V255" s="286"/>
      <c r="W255" s="37" t="s">
        <v>80</v>
      </c>
      <c r="X255" s="268">
        <f>IFERROR(SUMPRODUCT(X251:X253*H251:H253),"0")</f>
        <v>936.8</v>
      </c>
      <c r="Y255" s="268">
        <f>IFERROR(SUMPRODUCT(Y251:Y253*H251:H253),"0")</f>
        <v>936.8</v>
      </c>
      <c r="Z255" s="37"/>
      <c r="AA255" s="269"/>
      <c r="AB255" s="269"/>
      <c r="AC255" s="269"/>
    </row>
    <row r="256" spans="1:68" ht="14.25" customHeight="1" x14ac:dyDescent="0.25">
      <c r="A256" s="276" t="s">
        <v>135</v>
      </c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  <c r="AA256" s="262"/>
      <c r="AB256" s="262"/>
      <c r="AC256" s="262"/>
    </row>
    <row r="257" spans="1:68" ht="37.5" customHeight="1" x14ac:dyDescent="0.25">
      <c r="A257" s="54" t="s">
        <v>342</v>
      </c>
      <c r="B257" s="54" t="s">
        <v>343</v>
      </c>
      <c r="C257" s="31">
        <v>4301135504</v>
      </c>
      <c r="D257" s="282">
        <v>4640242181554</v>
      </c>
      <c r="E257" s="283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92</v>
      </c>
      <c r="L257" s="32" t="s">
        <v>68</v>
      </c>
      <c r="M257" s="33" t="s">
        <v>69</v>
      </c>
      <c r="N257" s="33"/>
      <c r="O257" s="32">
        <v>180</v>
      </c>
      <c r="P257" s="40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271"/>
      <c r="R257" s="271"/>
      <c r="S257" s="271"/>
      <c r="T257" s="272"/>
      <c r="U257" s="34"/>
      <c r="V257" s="34"/>
      <c r="W257" s="35" t="s">
        <v>70</v>
      </c>
      <c r="X257" s="266">
        <v>0</v>
      </c>
      <c r="Y257" s="267">
        <f t="shared" ref="Y257:Y266" si="12">IFERROR(IF(X257="","",X257),"")</f>
        <v>0</v>
      </c>
      <c r="Z257" s="36">
        <f>IFERROR(IF(X257="","",X257*0.00936),"")</f>
        <v>0</v>
      </c>
      <c r="AA257" s="56"/>
      <c r="AB257" s="57"/>
      <c r="AC257" s="238" t="s">
        <v>344</v>
      </c>
      <c r="AG257" s="67"/>
      <c r="AJ257" s="71" t="s">
        <v>72</v>
      </c>
      <c r="AK257" s="71">
        <v>1</v>
      </c>
      <c r="BB257" s="239" t="s">
        <v>96</v>
      </c>
      <c r="BM257" s="67">
        <f t="shared" ref="BM257:BM266" si="13">IFERROR(X257*I257,"0")</f>
        <v>0</v>
      </c>
      <c r="BN257" s="67">
        <f t="shared" ref="BN257:BN266" si="14">IFERROR(Y257*I257,"0")</f>
        <v>0</v>
      </c>
      <c r="BO257" s="67">
        <f t="shared" ref="BO257:BO266" si="15">IFERROR(X257/J257,"0")</f>
        <v>0</v>
      </c>
      <c r="BP257" s="67">
        <f t="shared" ref="BP257:BP266" si="16">IFERROR(Y257/J257,"0")</f>
        <v>0</v>
      </c>
    </row>
    <row r="258" spans="1:68" ht="27" customHeight="1" x14ac:dyDescent="0.25">
      <c r="A258" s="54" t="s">
        <v>345</v>
      </c>
      <c r="B258" s="54" t="s">
        <v>346</v>
      </c>
      <c r="C258" s="31">
        <v>4301135518</v>
      </c>
      <c r="D258" s="282">
        <v>4640242181561</v>
      </c>
      <c r="E258" s="283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92</v>
      </c>
      <c r="L258" s="32" t="s">
        <v>105</v>
      </c>
      <c r="M258" s="33" t="s">
        <v>69</v>
      </c>
      <c r="N258" s="33"/>
      <c r="O258" s="32">
        <v>180</v>
      </c>
      <c r="P258" s="34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6">
        <v>0</v>
      </c>
      <c r="Y258" s="267">
        <f t="shared" si="12"/>
        <v>0</v>
      </c>
      <c r="Z258" s="36">
        <f>IFERROR(IF(X258="","",X258*0.00936),"")</f>
        <v>0</v>
      </c>
      <c r="AA258" s="56"/>
      <c r="AB258" s="57"/>
      <c r="AC258" s="240" t="s">
        <v>347</v>
      </c>
      <c r="AG258" s="67"/>
      <c r="AJ258" s="71" t="s">
        <v>107</v>
      </c>
      <c r="AK258" s="71">
        <v>14</v>
      </c>
      <c r="BB258" s="241" t="s">
        <v>96</v>
      </c>
      <c r="BM258" s="67">
        <f t="shared" si="13"/>
        <v>0</v>
      </c>
      <c r="BN258" s="67">
        <f t="shared" si="14"/>
        <v>0</v>
      </c>
      <c r="BO258" s="67">
        <f t="shared" si="15"/>
        <v>0</v>
      </c>
      <c r="BP258" s="67">
        <f t="shared" si="16"/>
        <v>0</v>
      </c>
    </row>
    <row r="259" spans="1:68" ht="27" customHeight="1" x14ac:dyDescent="0.25">
      <c r="A259" s="54" t="s">
        <v>348</v>
      </c>
      <c r="B259" s="54" t="s">
        <v>349</v>
      </c>
      <c r="C259" s="31">
        <v>4301135374</v>
      </c>
      <c r="D259" s="282">
        <v>4640242181424</v>
      </c>
      <c r="E259" s="283"/>
      <c r="F259" s="265">
        <v>5.5</v>
      </c>
      <c r="G259" s="32">
        <v>1</v>
      </c>
      <c r="H259" s="265">
        <v>5.5</v>
      </c>
      <c r="I259" s="265">
        <v>5.7350000000000003</v>
      </c>
      <c r="J259" s="32">
        <v>84</v>
      </c>
      <c r="K259" s="32" t="s">
        <v>67</v>
      </c>
      <c r="L259" s="32" t="s">
        <v>105</v>
      </c>
      <c r="M259" s="33" t="s">
        <v>69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271"/>
      <c r="R259" s="271"/>
      <c r="S259" s="271"/>
      <c r="T259" s="272"/>
      <c r="U259" s="34"/>
      <c r="V259" s="34"/>
      <c r="W259" s="35" t="s">
        <v>70</v>
      </c>
      <c r="X259" s="266">
        <v>24</v>
      </c>
      <c r="Y259" s="267">
        <f t="shared" si="12"/>
        <v>24</v>
      </c>
      <c r="Z259" s="36">
        <f>IFERROR(IF(X259="","",X259*0.0155),"")</f>
        <v>0.372</v>
      </c>
      <c r="AA259" s="56"/>
      <c r="AB259" s="57"/>
      <c r="AC259" s="242" t="s">
        <v>344</v>
      </c>
      <c r="AG259" s="67"/>
      <c r="AJ259" s="71" t="s">
        <v>107</v>
      </c>
      <c r="AK259" s="71">
        <v>12</v>
      </c>
      <c r="BB259" s="243" t="s">
        <v>96</v>
      </c>
      <c r="BM259" s="67">
        <f t="shared" si="13"/>
        <v>137.64000000000001</v>
      </c>
      <c r="BN259" s="67">
        <f t="shared" si="14"/>
        <v>137.64000000000001</v>
      </c>
      <c r="BO259" s="67">
        <f t="shared" si="15"/>
        <v>0.2857142857142857</v>
      </c>
      <c r="BP259" s="67">
        <f t="shared" si="16"/>
        <v>0.2857142857142857</v>
      </c>
    </row>
    <row r="260" spans="1:68" ht="27" customHeight="1" x14ac:dyDescent="0.25">
      <c r="A260" s="54" t="s">
        <v>350</v>
      </c>
      <c r="B260" s="54" t="s">
        <v>351</v>
      </c>
      <c r="C260" s="31">
        <v>4301135405</v>
      </c>
      <c r="D260" s="282">
        <v>4640242181523</v>
      </c>
      <c r="E260" s="283"/>
      <c r="F260" s="265">
        <v>3</v>
      </c>
      <c r="G260" s="32">
        <v>1</v>
      </c>
      <c r="H260" s="265">
        <v>3</v>
      </c>
      <c r="I260" s="265">
        <v>3.1920000000000002</v>
      </c>
      <c r="J260" s="32">
        <v>126</v>
      </c>
      <c r="K260" s="32" t="s">
        <v>92</v>
      </c>
      <c r="L260" s="32" t="s">
        <v>105</v>
      </c>
      <c r="M260" s="33" t="s">
        <v>69</v>
      </c>
      <c r="N260" s="33"/>
      <c r="O260" s="32">
        <v>180</v>
      </c>
      <c r="P260" s="3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271"/>
      <c r="R260" s="271"/>
      <c r="S260" s="271"/>
      <c r="T260" s="272"/>
      <c r="U260" s="34"/>
      <c r="V260" s="34"/>
      <c r="W260" s="35" t="s">
        <v>70</v>
      </c>
      <c r="X260" s="266">
        <v>196</v>
      </c>
      <c r="Y260" s="267">
        <f t="shared" si="12"/>
        <v>196</v>
      </c>
      <c r="Z260" s="36">
        <f t="shared" ref="Z260:Z265" si="17">IFERROR(IF(X260="","",X260*0.00936),"")</f>
        <v>1.83456</v>
      </c>
      <c r="AA260" s="56"/>
      <c r="AB260" s="57"/>
      <c r="AC260" s="244" t="s">
        <v>347</v>
      </c>
      <c r="AG260" s="67"/>
      <c r="AJ260" s="71" t="s">
        <v>107</v>
      </c>
      <c r="AK260" s="71">
        <v>14</v>
      </c>
      <c r="BB260" s="245" t="s">
        <v>96</v>
      </c>
      <c r="BM260" s="67">
        <f t="shared" si="13"/>
        <v>625.63200000000006</v>
      </c>
      <c r="BN260" s="67">
        <f t="shared" si="14"/>
        <v>625.63200000000006</v>
      </c>
      <c r="BO260" s="67">
        <f t="shared" si="15"/>
        <v>1.5555555555555556</v>
      </c>
      <c r="BP260" s="67">
        <f t="shared" si="16"/>
        <v>1.5555555555555556</v>
      </c>
    </row>
    <row r="261" spans="1:68" ht="27" customHeight="1" x14ac:dyDescent="0.25">
      <c r="A261" s="54" t="s">
        <v>352</v>
      </c>
      <c r="B261" s="54" t="s">
        <v>353</v>
      </c>
      <c r="C261" s="31">
        <v>4301135375</v>
      </c>
      <c r="D261" s="282">
        <v>4640242181486</v>
      </c>
      <c r="E261" s="283"/>
      <c r="F261" s="265">
        <v>3.7</v>
      </c>
      <c r="G261" s="32">
        <v>1</v>
      </c>
      <c r="H261" s="265">
        <v>3.7</v>
      </c>
      <c r="I261" s="265">
        <v>3.8919999999999999</v>
      </c>
      <c r="J261" s="32">
        <v>126</v>
      </c>
      <c r="K261" s="32" t="s">
        <v>92</v>
      </c>
      <c r="L261" s="32" t="s">
        <v>105</v>
      </c>
      <c r="M261" s="33" t="s">
        <v>69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271"/>
      <c r="R261" s="271"/>
      <c r="S261" s="271"/>
      <c r="T261" s="272"/>
      <c r="U261" s="34"/>
      <c r="V261" s="34"/>
      <c r="W261" s="35" t="s">
        <v>70</v>
      </c>
      <c r="X261" s="266">
        <v>14</v>
      </c>
      <c r="Y261" s="267">
        <f t="shared" si="12"/>
        <v>14</v>
      </c>
      <c r="Z261" s="36">
        <f t="shared" si="17"/>
        <v>0.13103999999999999</v>
      </c>
      <c r="AA261" s="56"/>
      <c r="AB261" s="57"/>
      <c r="AC261" s="246" t="s">
        <v>344</v>
      </c>
      <c r="AG261" s="67"/>
      <c r="AJ261" s="71" t="s">
        <v>107</v>
      </c>
      <c r="AK261" s="71">
        <v>14</v>
      </c>
      <c r="BB261" s="247" t="s">
        <v>96</v>
      </c>
      <c r="BM261" s="67">
        <f t="shared" si="13"/>
        <v>54.488</v>
      </c>
      <c r="BN261" s="67">
        <f t="shared" si="14"/>
        <v>54.488</v>
      </c>
      <c r="BO261" s="67">
        <f t="shared" si="15"/>
        <v>0.1111111111111111</v>
      </c>
      <c r="BP261" s="67">
        <f t="shared" si="16"/>
        <v>0.1111111111111111</v>
      </c>
    </row>
    <row r="262" spans="1:68" ht="37.5" customHeight="1" x14ac:dyDescent="0.25">
      <c r="A262" s="54" t="s">
        <v>354</v>
      </c>
      <c r="B262" s="54" t="s">
        <v>355</v>
      </c>
      <c r="C262" s="31">
        <v>4301135402</v>
      </c>
      <c r="D262" s="282">
        <v>4640242181493</v>
      </c>
      <c r="E262" s="283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92</v>
      </c>
      <c r="L262" s="32" t="s">
        <v>68</v>
      </c>
      <c r="M262" s="33" t="s">
        <v>69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271"/>
      <c r="R262" s="271"/>
      <c r="S262" s="271"/>
      <c r="T262" s="272"/>
      <c r="U262" s="34"/>
      <c r="V262" s="34"/>
      <c r="W262" s="35" t="s">
        <v>70</v>
      </c>
      <c r="X262" s="266">
        <v>0</v>
      </c>
      <c r="Y262" s="267">
        <f t="shared" si="12"/>
        <v>0</v>
      </c>
      <c r="Z262" s="36">
        <f t="shared" si="17"/>
        <v>0</v>
      </c>
      <c r="AA262" s="56"/>
      <c r="AB262" s="57"/>
      <c r="AC262" s="248" t="s">
        <v>344</v>
      </c>
      <c r="AG262" s="67"/>
      <c r="AJ262" s="71" t="s">
        <v>72</v>
      </c>
      <c r="AK262" s="71">
        <v>1</v>
      </c>
      <c r="BB262" s="249" t="s">
        <v>96</v>
      </c>
      <c r="BM262" s="67">
        <f t="shared" si="13"/>
        <v>0</v>
      </c>
      <c r="BN262" s="67">
        <f t="shared" si="14"/>
        <v>0</v>
      </c>
      <c r="BO262" s="67">
        <f t="shared" si="15"/>
        <v>0</v>
      </c>
      <c r="BP262" s="67">
        <f t="shared" si="16"/>
        <v>0</v>
      </c>
    </row>
    <row r="263" spans="1:68" ht="37.5" customHeight="1" x14ac:dyDescent="0.25">
      <c r="A263" s="54" t="s">
        <v>356</v>
      </c>
      <c r="B263" s="54" t="s">
        <v>357</v>
      </c>
      <c r="C263" s="31">
        <v>4301135403</v>
      </c>
      <c r="D263" s="282">
        <v>4640242181509</v>
      </c>
      <c r="E263" s="283"/>
      <c r="F263" s="265">
        <v>3.7</v>
      </c>
      <c r="G263" s="32">
        <v>1</v>
      </c>
      <c r="H263" s="265">
        <v>3.7</v>
      </c>
      <c r="I263" s="265">
        <v>3.8919999999999999</v>
      </c>
      <c r="J263" s="32">
        <v>126</v>
      </c>
      <c r="K263" s="32" t="s">
        <v>92</v>
      </c>
      <c r="L263" s="32" t="s">
        <v>68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271"/>
      <c r="R263" s="271"/>
      <c r="S263" s="271"/>
      <c r="T263" s="272"/>
      <c r="U263" s="34"/>
      <c r="V263" s="34"/>
      <c r="W263" s="35" t="s">
        <v>70</v>
      </c>
      <c r="X263" s="266">
        <v>0</v>
      </c>
      <c r="Y263" s="267">
        <f t="shared" si="12"/>
        <v>0</v>
      </c>
      <c r="Z263" s="36">
        <f t="shared" si="17"/>
        <v>0</v>
      </c>
      <c r="AA263" s="56"/>
      <c r="AB263" s="57"/>
      <c r="AC263" s="250" t="s">
        <v>344</v>
      </c>
      <c r="AG263" s="67"/>
      <c r="AJ263" s="71" t="s">
        <v>72</v>
      </c>
      <c r="AK263" s="71">
        <v>1</v>
      </c>
      <c r="BB263" s="251" t="s">
        <v>96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358</v>
      </c>
      <c r="B264" s="54" t="s">
        <v>359</v>
      </c>
      <c r="C264" s="31">
        <v>4301135304</v>
      </c>
      <c r="D264" s="282">
        <v>4640242181240</v>
      </c>
      <c r="E264" s="283"/>
      <c r="F264" s="265">
        <v>0.3</v>
      </c>
      <c r="G264" s="32">
        <v>9</v>
      </c>
      <c r="H264" s="265">
        <v>2.7</v>
      </c>
      <c r="I264" s="265">
        <v>2.88</v>
      </c>
      <c r="J264" s="32">
        <v>126</v>
      </c>
      <c r="K264" s="32" t="s">
        <v>92</v>
      </c>
      <c r="L264" s="32" t="s">
        <v>68</v>
      </c>
      <c r="M264" s="33" t="s">
        <v>69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271"/>
      <c r="R264" s="271"/>
      <c r="S264" s="271"/>
      <c r="T264" s="272"/>
      <c r="U264" s="34"/>
      <c r="V264" s="34"/>
      <c r="W264" s="35" t="s">
        <v>70</v>
      </c>
      <c r="X264" s="266">
        <v>0</v>
      </c>
      <c r="Y264" s="267">
        <f t="shared" si="12"/>
        <v>0</v>
      </c>
      <c r="Z264" s="36">
        <f t="shared" si="17"/>
        <v>0</v>
      </c>
      <c r="AA264" s="56"/>
      <c r="AB264" s="57"/>
      <c r="AC264" s="252" t="s">
        <v>344</v>
      </c>
      <c r="AG264" s="67"/>
      <c r="AJ264" s="71" t="s">
        <v>72</v>
      </c>
      <c r="AK264" s="71">
        <v>1</v>
      </c>
      <c r="BB264" s="253" t="s">
        <v>96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360</v>
      </c>
      <c r="B265" s="54" t="s">
        <v>361</v>
      </c>
      <c r="C265" s="31">
        <v>4301135610</v>
      </c>
      <c r="D265" s="282">
        <v>4640242181318</v>
      </c>
      <c r="E265" s="283"/>
      <c r="F265" s="265">
        <v>0.3</v>
      </c>
      <c r="G265" s="32">
        <v>9</v>
      </c>
      <c r="H265" s="265">
        <v>2.7</v>
      </c>
      <c r="I265" s="265">
        <v>2.988</v>
      </c>
      <c r="J265" s="32">
        <v>126</v>
      </c>
      <c r="K265" s="32" t="s">
        <v>92</v>
      </c>
      <c r="L265" s="32" t="s">
        <v>68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271"/>
      <c r="R265" s="271"/>
      <c r="S265" s="271"/>
      <c r="T265" s="272"/>
      <c r="U265" s="34"/>
      <c r="V265" s="34"/>
      <c r="W265" s="35" t="s">
        <v>70</v>
      </c>
      <c r="X265" s="266">
        <v>0</v>
      </c>
      <c r="Y265" s="267">
        <f t="shared" si="12"/>
        <v>0</v>
      </c>
      <c r="Z265" s="36">
        <f t="shared" si="17"/>
        <v>0</v>
      </c>
      <c r="AA265" s="56"/>
      <c r="AB265" s="57"/>
      <c r="AC265" s="254" t="s">
        <v>347</v>
      </c>
      <c r="AG265" s="67"/>
      <c r="AJ265" s="71" t="s">
        <v>72</v>
      </c>
      <c r="AK265" s="71">
        <v>1</v>
      </c>
      <c r="BB265" s="255" t="s">
        <v>96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4301135306</v>
      </c>
      <c r="D266" s="282">
        <v>4640242181387</v>
      </c>
      <c r="E266" s="283"/>
      <c r="F266" s="265">
        <v>0.3</v>
      </c>
      <c r="G266" s="32">
        <v>9</v>
      </c>
      <c r="H266" s="265">
        <v>2.7</v>
      </c>
      <c r="I266" s="265">
        <v>2.8450000000000002</v>
      </c>
      <c r="J266" s="32">
        <v>234</v>
      </c>
      <c r="K266" s="32" t="s">
        <v>146</v>
      </c>
      <c r="L266" s="32" t="s">
        <v>68</v>
      </c>
      <c r="M266" s="33" t="s">
        <v>69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271"/>
      <c r="R266" s="271"/>
      <c r="S266" s="271"/>
      <c r="T266" s="272"/>
      <c r="U266" s="34"/>
      <c r="V266" s="34"/>
      <c r="W266" s="35" t="s">
        <v>70</v>
      </c>
      <c r="X266" s="266">
        <v>0</v>
      </c>
      <c r="Y266" s="267">
        <f t="shared" si="12"/>
        <v>0</v>
      </c>
      <c r="Z266" s="36">
        <f>IFERROR(IF(X266="","",X266*0.00502),"")</f>
        <v>0</v>
      </c>
      <c r="AA266" s="56"/>
      <c r="AB266" s="57"/>
      <c r="AC266" s="256" t="s">
        <v>344</v>
      </c>
      <c r="AG266" s="67"/>
      <c r="AJ266" s="71" t="s">
        <v>72</v>
      </c>
      <c r="AK266" s="71">
        <v>1</v>
      </c>
      <c r="BB266" s="257" t="s">
        <v>96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x14ac:dyDescent="0.2">
      <c r="A267" s="294"/>
      <c r="B267" s="277"/>
      <c r="C267" s="277"/>
      <c r="D267" s="277"/>
      <c r="E267" s="277"/>
      <c r="F267" s="277"/>
      <c r="G267" s="277"/>
      <c r="H267" s="277"/>
      <c r="I267" s="277"/>
      <c r="J267" s="277"/>
      <c r="K267" s="277"/>
      <c r="L267" s="277"/>
      <c r="M267" s="277"/>
      <c r="N267" s="277"/>
      <c r="O267" s="295"/>
      <c r="P267" s="284" t="s">
        <v>79</v>
      </c>
      <c r="Q267" s="285"/>
      <c r="R267" s="285"/>
      <c r="S267" s="285"/>
      <c r="T267" s="285"/>
      <c r="U267" s="285"/>
      <c r="V267" s="286"/>
      <c r="W267" s="37" t="s">
        <v>70</v>
      </c>
      <c r="X267" s="268">
        <f>IFERROR(SUM(X257:X266),"0")</f>
        <v>234</v>
      </c>
      <c r="Y267" s="268">
        <f>IFERROR(SUM(Y257:Y266),"0")</f>
        <v>234</v>
      </c>
      <c r="Z267" s="268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2.3376000000000001</v>
      </c>
      <c r="AA267" s="269"/>
      <c r="AB267" s="269"/>
      <c r="AC267" s="269"/>
    </row>
    <row r="268" spans="1:68" x14ac:dyDescent="0.2">
      <c r="A268" s="277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95"/>
      <c r="P268" s="284" t="s">
        <v>79</v>
      </c>
      <c r="Q268" s="285"/>
      <c r="R268" s="285"/>
      <c r="S268" s="285"/>
      <c r="T268" s="285"/>
      <c r="U268" s="285"/>
      <c r="V268" s="286"/>
      <c r="W268" s="37" t="s">
        <v>80</v>
      </c>
      <c r="X268" s="268">
        <f>IFERROR(SUMPRODUCT(X257:X266*H257:H266),"0")</f>
        <v>771.8</v>
      </c>
      <c r="Y268" s="268">
        <f>IFERROR(SUMPRODUCT(Y257:Y266*H257:H266),"0")</f>
        <v>771.8</v>
      </c>
      <c r="Z268" s="37"/>
      <c r="AA268" s="269"/>
      <c r="AB268" s="269"/>
      <c r="AC268" s="269"/>
    </row>
    <row r="269" spans="1:68" ht="15" customHeight="1" x14ac:dyDescent="0.2">
      <c r="A269" s="339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340"/>
      <c r="P269" s="322" t="s">
        <v>364</v>
      </c>
      <c r="Q269" s="323"/>
      <c r="R269" s="323"/>
      <c r="S269" s="323"/>
      <c r="T269" s="323"/>
      <c r="U269" s="323"/>
      <c r="V269" s="324"/>
      <c r="W269" s="37" t="s">
        <v>80</v>
      </c>
      <c r="X269" s="268">
        <f>IFERROR(X25+X32+X40+X45+X49+X54+X60+X66+X71+X77+X87+X93+X106+X110+X114+X120+X126+X132+X137+X142+X147+X152+X159+X167+X171+X177+X184+X189+X194+X200+X206+X212+X218+X222+X229+X234+X240+X253+X262+X268,"0")</f>
        <v>2098.6</v>
      </c>
      <c r="Y269" s="268">
        <f>IFERROR(Y25+Y32+Y40+Y45+Y49+Y54+Y60+Y66+Y71+Y77+Y87+Y93+Y106+Y110+Y114+Y120+Y126+Y132+Y137+Y142+Y147+Y152+Y159+Y167+Y171+Y177+Y184+Y189+Y194+Y200+Y206+Y212+Y218+Y222+Y229+Y234+Y240+Y253+Y262+Y268,"0")</f>
        <v>2098.6</v>
      </c>
      <c r="Z269" s="37"/>
      <c r="AA269" s="269"/>
      <c r="AB269" s="269"/>
      <c r="AC269" s="269"/>
    </row>
    <row r="270" spans="1:68" x14ac:dyDescent="0.2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340"/>
      <c r="P270" s="322" t="s">
        <v>365</v>
      </c>
      <c r="Q270" s="323"/>
      <c r="R270" s="323"/>
      <c r="S270" s="323"/>
      <c r="T270" s="323"/>
      <c r="U270" s="323"/>
      <c r="V270" s="324"/>
      <c r="W270" s="37" t="s">
        <v>80</v>
      </c>
      <c r="X270" s="268">
        <f>IFERROR(SUM(BM22:BM266),"0")</f>
        <v>15171.723999999998</v>
      </c>
      <c r="Y270" s="268">
        <f>IFERROR(SUM(BN22:BN266),"0")</f>
        <v>15171.723999999998</v>
      </c>
      <c r="Z270" s="37"/>
      <c r="AA270" s="269"/>
      <c r="AB270" s="269"/>
      <c r="AC270" s="269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340"/>
      <c r="P271" s="322" t="s">
        <v>366</v>
      </c>
      <c r="Q271" s="323"/>
      <c r="R271" s="323"/>
      <c r="S271" s="323"/>
      <c r="T271" s="323"/>
      <c r="U271" s="323"/>
      <c r="V271" s="324"/>
      <c r="W271" s="37" t="s">
        <v>367</v>
      </c>
      <c r="X271" s="38">
        <f>ROUNDUP(SUM(BO22:BO266),0)</f>
        <v>36</v>
      </c>
      <c r="Y271" s="38">
        <f>ROUNDUP(SUM(BP22:BP266),0)</f>
        <v>36</v>
      </c>
      <c r="Z271" s="37"/>
      <c r="AA271" s="269"/>
      <c r="AB271" s="269"/>
      <c r="AC271" s="269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340"/>
      <c r="P272" s="322" t="s">
        <v>368</v>
      </c>
      <c r="Q272" s="323"/>
      <c r="R272" s="323"/>
      <c r="S272" s="323"/>
      <c r="T272" s="323"/>
      <c r="U272" s="323"/>
      <c r="V272" s="324"/>
      <c r="W272" s="37" t="s">
        <v>80</v>
      </c>
      <c r="X272" s="268">
        <f>GrossWeightTotal+PalletQtyTotal*25</f>
        <v>16071.723999999998</v>
      </c>
      <c r="Y272" s="268">
        <f>GrossWeightTotalR+PalletQtyTotalR*25</f>
        <v>16071.723999999998</v>
      </c>
      <c r="Z272" s="37"/>
      <c r="AA272" s="269"/>
      <c r="AB272" s="269"/>
      <c r="AC272" s="269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340"/>
      <c r="P273" s="322" t="s">
        <v>369</v>
      </c>
      <c r="Q273" s="323"/>
      <c r="R273" s="323"/>
      <c r="S273" s="323"/>
      <c r="T273" s="323"/>
      <c r="U273" s="323"/>
      <c r="V273" s="324"/>
      <c r="W273" s="37" t="s">
        <v>367</v>
      </c>
      <c r="X273" s="268">
        <f>IFERROR(X24+X31+X39+X44+X48+X53+X59+X65+X70+X76+X86+X92+X105+X109+X113+X119+X125+X131+X136+X141+X146+X151+X158+X166+X170+X176+X183+X188+X193+X199+X205+X211+X217+X221+X228+X233+X239+X252+X261+X267,"0")</f>
        <v>1319.6</v>
      </c>
      <c r="Y273" s="268">
        <f>IFERROR(Y24+Y31+Y39+Y44+Y48+Y53+Y59+Y65+Y70+Y76+Y86+Y92+Y105+Y109+Y113+Y119+Y125+Y131+Y136+Y141+Y146+Y151+Y158+Y166+Y170+Y176+Y183+Y188+Y193+Y199+Y205+Y211+Y217+Y221+Y228+Y233+Y239+Y252+Y261+Y267,"0")</f>
        <v>1319.6</v>
      </c>
      <c r="Z273" s="37"/>
      <c r="AA273" s="269"/>
      <c r="AB273" s="269"/>
      <c r="AC273" s="269"/>
    </row>
    <row r="274" spans="1:32" ht="14.25" customHeight="1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40"/>
      <c r="P274" s="322" t="s">
        <v>370</v>
      </c>
      <c r="Q274" s="323"/>
      <c r="R274" s="323"/>
      <c r="S274" s="323"/>
      <c r="T274" s="323"/>
      <c r="U274" s="323"/>
      <c r="V274" s="324"/>
      <c r="W274" s="39" t="s">
        <v>371</v>
      </c>
      <c r="X274" s="37"/>
      <c r="Y274" s="37"/>
      <c r="Z274" s="37">
        <f>IFERROR(Z24+Z31+Z39+Z44+Z48+Z53+Z59+Z65+Z70+Z76+Z86+Z92+Z105+Z109+Z113+Z119+Z125+Z131+Z136+Z141+Z146+Z151+Z158+Z166+Z170+Z176+Z183+Z188+Z193+Z199+Z205+Z211+Z217+Z221+Z228+Z233+Z239+Z252+Z261+Z267,"0")</f>
        <v>9.9403600000000001</v>
      </c>
      <c r="AA274" s="269"/>
      <c r="AB274" s="269"/>
      <c r="AC274" s="269"/>
    </row>
    <row r="275" spans="1:32" ht="13.5" customHeight="1" thickBot="1" x14ac:dyDescent="0.25"/>
    <row r="276" spans="1:32" ht="27" customHeight="1" thickTop="1" thickBot="1" x14ac:dyDescent="0.25">
      <c r="A276" s="40" t="s">
        <v>372</v>
      </c>
      <c r="B276" s="296" t="s">
        <v>87</v>
      </c>
      <c r="C276" s="365"/>
      <c r="D276" s="365"/>
      <c r="E276" s="365"/>
      <c r="F276" s="365"/>
      <c r="G276" s="365"/>
      <c r="H276" s="365"/>
      <c r="I276" s="365"/>
      <c r="J276" s="365"/>
      <c r="K276" s="365"/>
      <c r="L276" s="365"/>
      <c r="M276" s="365"/>
      <c r="N276" s="365"/>
      <c r="O276" s="365"/>
      <c r="P276" s="365"/>
      <c r="Q276" s="365"/>
      <c r="R276" s="365"/>
      <c r="S276" s="297"/>
      <c r="T276" s="263" t="s">
        <v>249</v>
      </c>
      <c r="U276" s="263" t="s">
        <v>257</v>
      </c>
      <c r="V276" s="296" t="s">
        <v>276</v>
      </c>
      <c r="W276" s="365"/>
      <c r="X276" s="297"/>
      <c r="Y276" s="263" t="s">
        <v>307</v>
      </c>
      <c r="Z276" s="263" t="s">
        <v>312</v>
      </c>
      <c r="AA276" s="263" t="s">
        <v>316</v>
      </c>
      <c r="AB276" s="263" t="s">
        <v>324</v>
      </c>
      <c r="AC276" s="296" t="s">
        <v>63</v>
      </c>
      <c r="AD276" s="297"/>
      <c r="AF276" s="264"/>
    </row>
    <row r="277" spans="1:32" ht="14.25" customHeight="1" thickTop="1" x14ac:dyDescent="0.2">
      <c r="A277" s="376" t="s">
        <v>373</v>
      </c>
      <c r="B277" s="296" t="s">
        <v>88</v>
      </c>
      <c r="C277" s="296" t="s">
        <v>99</v>
      </c>
      <c r="D277" s="296" t="s">
        <v>111</v>
      </c>
      <c r="E277" s="296" t="s">
        <v>122</v>
      </c>
      <c r="F277" s="296" t="s">
        <v>143</v>
      </c>
      <c r="G277" s="296" t="s">
        <v>150</v>
      </c>
      <c r="H277" s="296" t="s">
        <v>154</v>
      </c>
      <c r="I277" s="296" t="s">
        <v>162</v>
      </c>
      <c r="J277" s="296" t="s">
        <v>177</v>
      </c>
      <c r="K277" s="296" t="s">
        <v>183</v>
      </c>
      <c r="L277" s="296" t="s">
        <v>215</v>
      </c>
      <c r="M277" s="296" t="s">
        <v>221</v>
      </c>
      <c r="N277" s="264"/>
      <c r="O277" s="296" t="s">
        <v>228</v>
      </c>
      <c r="P277" s="296" t="s">
        <v>233</v>
      </c>
      <c r="Q277" s="296" t="s">
        <v>237</v>
      </c>
      <c r="R277" s="296" t="s">
        <v>240</v>
      </c>
      <c r="S277" s="296" t="s">
        <v>245</v>
      </c>
      <c r="T277" s="296" t="s">
        <v>250</v>
      </c>
      <c r="U277" s="296" t="s">
        <v>258</v>
      </c>
      <c r="V277" s="296" t="s">
        <v>277</v>
      </c>
      <c r="W277" s="296" t="s">
        <v>292</v>
      </c>
      <c r="X277" s="296" t="s">
        <v>296</v>
      </c>
      <c r="Y277" s="296" t="s">
        <v>308</v>
      </c>
      <c r="Z277" s="296" t="s">
        <v>313</v>
      </c>
      <c r="AA277" s="296" t="s">
        <v>317</v>
      </c>
      <c r="AB277" s="296" t="s">
        <v>324</v>
      </c>
      <c r="AC277" s="296" t="s">
        <v>63</v>
      </c>
      <c r="AD277" s="296" t="s">
        <v>81</v>
      </c>
      <c r="AF277" s="264"/>
    </row>
    <row r="278" spans="1:32" ht="13.5" customHeight="1" thickBot="1" x14ac:dyDescent="0.25">
      <c r="A278" s="377"/>
      <c r="B278" s="302"/>
      <c r="C278" s="302"/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264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2"/>
      <c r="AF278" s="264"/>
    </row>
    <row r="279" spans="1:32" ht="18" customHeight="1" thickTop="1" thickBot="1" x14ac:dyDescent="0.25">
      <c r="A279" s="40" t="s">
        <v>374</v>
      </c>
      <c r="B279" s="46">
        <f>IFERROR(X22*H22,"0")+IFERROR(X23*H23,"0")</f>
        <v>432</v>
      </c>
      <c r="C279" s="46">
        <f>IFERROR(X28*H28,"0")+IFERROR(X29*H29,"0")+IFERROR(X30*H30,"0")</f>
        <v>0</v>
      </c>
      <c r="D279" s="46">
        <f>IFERROR(X35*H35,"0")+IFERROR(X36*H36,"0")+IFERROR(X37*H37,"0")+IFERROR(X38*H38,"0")</f>
        <v>210</v>
      </c>
      <c r="E279" s="46">
        <f>IFERROR(X43*H43,"0")+IFERROR(X47*H47,"0")+IFERROR(X51*H51,"0")+IFERROR(X52*H52,"0")+IFERROR(X56*H56,"0")+IFERROR(X57*H57,"0")+IFERROR(X58*H58,"0")</f>
        <v>664.8</v>
      </c>
      <c r="F279" s="46">
        <f>IFERROR(X63*H63,"0")+IFERROR(X64*H64,"0")</f>
        <v>0</v>
      </c>
      <c r="G279" s="46">
        <f>IFERROR(X69*H69,"0")</f>
        <v>0</v>
      </c>
      <c r="H279" s="46">
        <f>IFERROR(X74*H74,"0")+IFERROR(X75*H75,"0")</f>
        <v>0</v>
      </c>
      <c r="I279" s="46">
        <f>IFERROR(X80*H80,"0")+IFERROR(X81*H81,"0")+IFERROR(X82*H82,"0")+IFERROR(X83*H83,"0")+IFERROR(X84*H84,"0")+IFERROR(X85*H85,"0")</f>
        <v>50.4</v>
      </c>
      <c r="J279" s="46">
        <f>IFERROR(X90*H90,"0")+IFERROR(X91*H91,"0")</f>
        <v>50.4</v>
      </c>
      <c r="K279" s="46">
        <f>IFERROR(X96*H96,"0")+IFERROR(X97*H97,"0")+IFERROR(X98*H98,"0")+IFERROR(X99*H99,"0")+IFERROR(X100*H100,"0")+IFERROR(X101*H101,"0")+IFERROR(X102*H102,"0")+IFERROR(X103*H103,"0")+IFERROR(X104*H104,"0")+IFERROR(X108*H108,"0")+IFERROR(X112*H112,"0")</f>
        <v>838.31999999999994</v>
      </c>
      <c r="L279" s="46">
        <f>IFERROR(X117*H117,"0")+IFERROR(X118*H118,"0")</f>
        <v>1260</v>
      </c>
      <c r="M279" s="46">
        <f>IFERROR(X123*H123,"0")+IFERROR(X124*H124,"0")</f>
        <v>0</v>
      </c>
      <c r="N279" s="264"/>
      <c r="O279" s="46">
        <f>IFERROR(X129*H129,"0")+IFERROR(X130*H130,"0")</f>
        <v>0</v>
      </c>
      <c r="P279" s="46">
        <f>IFERROR(X135*H135,"0")</f>
        <v>0</v>
      </c>
      <c r="Q279" s="46">
        <f>IFERROR(X140*H140,"0")</f>
        <v>0</v>
      </c>
      <c r="R279" s="46">
        <f>IFERROR(X145*H145,"0")</f>
        <v>33.6</v>
      </c>
      <c r="S279" s="46">
        <f>IFERROR(X150*H150,"0")</f>
        <v>42</v>
      </c>
      <c r="T279" s="46">
        <f>IFERROR(X156*H156,"0")+IFERROR(X157*H157,"0")</f>
        <v>0</v>
      </c>
      <c r="U279" s="46">
        <f>IFERROR(X163*H163,"0")+IFERROR(X164*H164,"0")+IFERROR(X165*H165,"0")+IFERROR(X169*H169,"0")</f>
        <v>0</v>
      </c>
      <c r="V279" s="46">
        <f>IFERROR(X175*H175,"0")+IFERROR(X179*H179,"0")+IFERROR(X180*H180,"0")+IFERROR(X181*H181,"0")+IFERROR(X182*H182,"0")</f>
        <v>462</v>
      </c>
      <c r="W279" s="46">
        <f>IFERROR(X187*H187,"0")</f>
        <v>0</v>
      </c>
      <c r="X279" s="46">
        <f>IFERROR(X192*H192,"0")+IFERROR(X196*H196,"0")+IFERROR(X197*H197,"0")+IFERROR(X198*H198,"0")</f>
        <v>0</v>
      </c>
      <c r="Y279" s="46">
        <f>IFERROR(X204*H204,"0")</f>
        <v>0</v>
      </c>
      <c r="Z279" s="46">
        <f>IFERROR(X210*H210,"0")</f>
        <v>0</v>
      </c>
      <c r="AA279" s="46">
        <f>IFERROR(X216*H216,"0")+IFERROR(X220*H220,"0")</f>
        <v>0</v>
      </c>
      <c r="AB279" s="46">
        <f>IFERROR(X226*H226,"0")+IFERROR(X227*H227,"0")+IFERROR(X231*H231,"0")+IFERROR(X232*H232,"0")+IFERROR(X236*H236,"0")+IFERROR(X237*H237,"0")+IFERROR(X238*H238,"0")+IFERROR(X242*H242,"0")+IFERROR(X243*H243,"0")+IFERROR(X244*H244,"0")+IFERROR(X245*H245,"0")+IFERROR(X246*H246,"0")+IFERROR(X247*H247,"0")+IFERROR(X248*H248,"0")+IFERROR(X249*H249,"0")+IFERROR(X250*H250,"0")+IFERROR(X251*H251,"0")</f>
        <v>792</v>
      </c>
      <c r="AC279" s="46">
        <f>IFERROR(X257*H257,"0")+IFERROR(X258*H258,"0")+IFERROR(X259*H259,"0")+IFERROR(X260*H260,"0")</f>
        <v>720</v>
      </c>
      <c r="AD279" s="46">
        <f>IFERROR(X265*H265,"0")+IFERROR(X266*H266,"0")</f>
        <v>0</v>
      </c>
      <c r="AF279" s="264"/>
    </row>
    <row r="280" spans="1:32" ht="13.5" customHeight="1" thickTop="1" x14ac:dyDescent="0.2">
      <c r="C280" s="264"/>
    </row>
    <row r="281" spans="1:32" ht="19.5" customHeight="1" x14ac:dyDescent="0.2">
      <c r="A281" s="58" t="s">
        <v>375</v>
      </c>
      <c r="B281" s="58" t="s">
        <v>376</v>
      </c>
      <c r="C281" s="58" t="s">
        <v>377</v>
      </c>
    </row>
    <row r="282" spans="1:32" x14ac:dyDescent="0.2">
      <c r="A282" s="59">
        <f>SUMPRODUCT(--(BB:BB="ЗПФ"),--(W:W="кор"),H:H,Y:Y)+SUMPRODUCT(--(BB:BB="ЗПФ"),--(W:W="кг"),Y:Y)</f>
        <v>8318.4</v>
      </c>
      <c r="B282" s="60">
        <f>SUMPRODUCT(--(BB:BB="ПГП"),--(W:W="кор"),H:H,Y:Y)+SUMPRODUCT(--(BB:BB="ПГП"),--(W:W="кг"),Y:Y)</f>
        <v>5677.48</v>
      </c>
      <c r="C282" s="60">
        <f>SUMPRODUCT(--(BB:BB="КИЗ"),--(W:W="кор"),H:H,Y:Y)+SUMPRODUCT(--(BB:BB="КИЗ"),--(W:W="кг"),Y:Y)</f>
        <v>0</v>
      </c>
    </row>
  </sheetData>
  <sheetProtection algorithmName="SHA-512" hashValue="3N/2PyWs6qM8K23VtvygBTNfeLqHmanz6dNSFp2vIcINpAACYhDFfoUA/ju5JeAAp6E/lFA9rGPexq3JlYFAYw==" saltValue="+V3mFf+0eAQV/Xidx2Em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8">
    <mergeCell ref="L277:L278"/>
    <mergeCell ref="D266:E266"/>
    <mergeCell ref="D95:E95"/>
    <mergeCell ref="P74:V74"/>
    <mergeCell ref="U17:V17"/>
    <mergeCell ref="Y17:Y18"/>
    <mergeCell ref="A8:C8"/>
    <mergeCell ref="M277:M278"/>
    <mergeCell ref="A153:Z153"/>
    <mergeCell ref="O277:O278"/>
    <mergeCell ref="D97:E97"/>
    <mergeCell ref="A10:C10"/>
    <mergeCell ref="A217:Z217"/>
    <mergeCell ref="P69:V69"/>
    <mergeCell ref="P140:V140"/>
    <mergeCell ref="A136:Z136"/>
    <mergeCell ref="A21:Z21"/>
    <mergeCell ref="D184:E184"/>
    <mergeCell ref="A57:Z57"/>
    <mergeCell ref="D17:E18"/>
    <mergeCell ref="A151:O152"/>
    <mergeCell ref="P71:T71"/>
    <mergeCell ref="A131:Z131"/>
    <mergeCell ref="P202:T202"/>
    <mergeCell ref="D123:E123"/>
    <mergeCell ref="AD17:AF18"/>
    <mergeCell ref="A39:O40"/>
    <mergeCell ref="P167:V167"/>
    <mergeCell ref="F5:G5"/>
    <mergeCell ref="P55:V55"/>
    <mergeCell ref="P67:T67"/>
    <mergeCell ref="G277:G278"/>
    <mergeCell ref="P253:T253"/>
    <mergeCell ref="A223:Z223"/>
    <mergeCell ref="V11:W11"/>
    <mergeCell ref="D165:E165"/>
    <mergeCell ref="D23:E23"/>
    <mergeCell ref="D265:E265"/>
    <mergeCell ref="A134:O135"/>
    <mergeCell ref="A20:Z20"/>
    <mergeCell ref="D252:E252"/>
    <mergeCell ref="P123:T123"/>
    <mergeCell ref="D247:E247"/>
    <mergeCell ref="A176:Z176"/>
    <mergeCell ref="AB277:AB278"/>
    <mergeCell ref="P68:V68"/>
    <mergeCell ref="A101:O102"/>
    <mergeCell ref="P262:T262"/>
    <mergeCell ref="D105:E105"/>
    <mergeCell ref="E277:E278"/>
    <mergeCell ref="A175:Z175"/>
    <mergeCell ref="A26:O27"/>
    <mergeCell ref="P196:T196"/>
    <mergeCell ref="P62:T62"/>
    <mergeCell ref="P2:W3"/>
    <mergeCell ref="P133:T133"/>
    <mergeCell ref="P127:T127"/>
    <mergeCell ref="D241:E241"/>
    <mergeCell ref="A170:Z170"/>
    <mergeCell ref="D10:E10"/>
    <mergeCell ref="F10:G10"/>
    <mergeCell ref="A181:O182"/>
    <mergeCell ref="D99:E99"/>
    <mergeCell ref="A130:Z130"/>
    <mergeCell ref="A201:Z201"/>
    <mergeCell ref="Z277:Z278"/>
    <mergeCell ref="P72:T72"/>
    <mergeCell ref="N17:N18"/>
    <mergeCell ref="Q5:R5"/>
    <mergeCell ref="D242:E242"/>
    <mergeCell ref="F17:F18"/>
    <mergeCell ref="D277:D278"/>
    <mergeCell ref="P263:T263"/>
    <mergeCell ref="V276:X276"/>
    <mergeCell ref="D155:E155"/>
    <mergeCell ref="D22:E22"/>
    <mergeCell ref="A222:Z222"/>
    <mergeCell ref="P255:V255"/>
    <mergeCell ref="P178:T178"/>
    <mergeCell ref="P105:T105"/>
    <mergeCell ref="D257:E257"/>
    <mergeCell ref="D213:E213"/>
    <mergeCell ref="P192:V192"/>
    <mergeCell ref="A191:O192"/>
    <mergeCell ref="A166:O167"/>
    <mergeCell ref="D150:E150"/>
    <mergeCell ref="P129:V129"/>
    <mergeCell ref="P63:V63"/>
    <mergeCell ref="A128:O129"/>
    <mergeCell ref="P174:V174"/>
    <mergeCell ref="A104:Z104"/>
    <mergeCell ref="D171:E171"/>
    <mergeCell ref="A124:O125"/>
    <mergeCell ref="P81:V81"/>
    <mergeCell ref="P208:V208"/>
    <mergeCell ref="D196:E196"/>
    <mergeCell ref="D25:E25"/>
    <mergeCell ref="P273:V273"/>
    <mergeCell ref="D231:E231"/>
    <mergeCell ref="P39:V39"/>
    <mergeCell ref="P32:V32"/>
    <mergeCell ref="P134:V134"/>
    <mergeCell ref="P268:V268"/>
    <mergeCell ref="A93:Z93"/>
    <mergeCell ref="Q13:R13"/>
    <mergeCell ref="P139:T139"/>
    <mergeCell ref="P47:V47"/>
    <mergeCell ref="P247:T247"/>
    <mergeCell ref="P114:T114"/>
    <mergeCell ref="P241:T241"/>
    <mergeCell ref="D84:E84"/>
    <mergeCell ref="M17:M18"/>
    <mergeCell ref="O17:O18"/>
    <mergeCell ref="P272:V272"/>
    <mergeCell ref="D133:E133"/>
    <mergeCell ref="A206:Z206"/>
    <mergeCell ref="A35:Z35"/>
    <mergeCell ref="P185:V185"/>
    <mergeCell ref="A28:Z28"/>
    <mergeCell ref="D262:E262"/>
    <mergeCell ref="A245:Z245"/>
    <mergeCell ref="H5:M5"/>
    <mergeCell ref="A56:Z56"/>
    <mergeCell ref="A154:Z154"/>
    <mergeCell ref="P98:T98"/>
    <mergeCell ref="D212:E212"/>
    <mergeCell ref="P225:T225"/>
    <mergeCell ref="D6:M6"/>
    <mergeCell ref="P106:T106"/>
    <mergeCell ref="D207:E207"/>
    <mergeCell ref="P120:V120"/>
    <mergeCell ref="G17:G18"/>
    <mergeCell ref="A143:Z143"/>
    <mergeCell ref="P121:V121"/>
    <mergeCell ref="A169:Z169"/>
    <mergeCell ref="P190:T190"/>
    <mergeCell ref="P111:T111"/>
    <mergeCell ref="D225:E225"/>
    <mergeCell ref="A9:C9"/>
    <mergeCell ref="D202:E202"/>
    <mergeCell ref="D58:E58"/>
    <mergeCell ref="P112:T112"/>
    <mergeCell ref="Q6:R6"/>
    <mergeCell ref="V12:W12"/>
    <mergeCell ref="P25:T25"/>
    <mergeCell ref="V6:W9"/>
    <mergeCell ref="P38:T38"/>
    <mergeCell ref="A226:O227"/>
    <mergeCell ref="P84:T84"/>
    <mergeCell ref="P22:T22"/>
    <mergeCell ref="P236:V236"/>
    <mergeCell ref="A61:Z61"/>
    <mergeCell ref="P92:V92"/>
    <mergeCell ref="A88:Z88"/>
    <mergeCell ref="P54:V54"/>
    <mergeCell ref="D194:E194"/>
    <mergeCell ref="Z17:Z18"/>
    <mergeCell ref="P173:V173"/>
    <mergeCell ref="A41:Z41"/>
    <mergeCell ref="A230:Z230"/>
    <mergeCell ref="A236:O237"/>
    <mergeCell ref="A103:Z103"/>
    <mergeCell ref="P58:T58"/>
    <mergeCell ref="X17:X18"/>
    <mergeCell ref="D50:E50"/>
    <mergeCell ref="D44:E44"/>
    <mergeCell ref="AA17:AA18"/>
    <mergeCell ref="H10:M10"/>
    <mergeCell ref="P107:V107"/>
    <mergeCell ref="AC17:AC18"/>
    <mergeCell ref="P101:V101"/>
    <mergeCell ref="A122:Z122"/>
    <mergeCell ref="A224:Z224"/>
    <mergeCell ref="D89:E89"/>
    <mergeCell ref="Q277:Q278"/>
    <mergeCell ref="P209:V209"/>
    <mergeCell ref="S277:S278"/>
    <mergeCell ref="P147:V147"/>
    <mergeCell ref="P251:T251"/>
    <mergeCell ref="P45:T45"/>
    <mergeCell ref="P257:T257"/>
    <mergeCell ref="AB17:AB18"/>
    <mergeCell ref="P271:V271"/>
    <mergeCell ref="P277:P278"/>
    <mergeCell ref="R277:R278"/>
    <mergeCell ref="P237:V237"/>
    <mergeCell ref="Y277:Y278"/>
    <mergeCell ref="AA277:AA278"/>
    <mergeCell ref="A243:O244"/>
    <mergeCell ref="J277:J278"/>
    <mergeCell ref="P152:V152"/>
    <mergeCell ref="A82:Z82"/>
    <mergeCell ref="P96:T96"/>
    <mergeCell ref="H17:H18"/>
    <mergeCell ref="A220:O221"/>
    <mergeCell ref="P90:T90"/>
    <mergeCell ref="P261:T261"/>
    <mergeCell ref="A158:Z158"/>
    <mergeCell ref="A80:O81"/>
    <mergeCell ref="P212:T212"/>
    <mergeCell ref="AD277:AD278"/>
    <mergeCell ref="P80:V80"/>
    <mergeCell ref="P151:V151"/>
    <mergeCell ref="P24:T24"/>
    <mergeCell ref="D132:E132"/>
    <mergeCell ref="P211:T211"/>
    <mergeCell ref="P89:T89"/>
    <mergeCell ref="P260:T260"/>
    <mergeCell ref="D178:E178"/>
    <mergeCell ref="D172:E172"/>
    <mergeCell ref="A156:O157"/>
    <mergeCell ref="P51:T51"/>
    <mergeCell ref="K277:K278"/>
    <mergeCell ref="P227:V227"/>
    <mergeCell ref="T277:T278"/>
    <mergeCell ref="A59:O60"/>
    <mergeCell ref="A94:Z94"/>
    <mergeCell ref="P244:V244"/>
    <mergeCell ref="P115:T115"/>
    <mergeCell ref="A256:Z256"/>
    <mergeCell ref="A232:O233"/>
    <mergeCell ref="A183:Z183"/>
    <mergeCell ref="A193:Z193"/>
    <mergeCell ref="P179:T179"/>
    <mergeCell ref="T5:U5"/>
    <mergeCell ref="D119:E119"/>
    <mergeCell ref="D190:E190"/>
    <mergeCell ref="D246:E246"/>
    <mergeCell ref="A48:Z48"/>
    <mergeCell ref="V5:W5"/>
    <mergeCell ref="D111:E111"/>
    <mergeCell ref="I277:I278"/>
    <mergeCell ref="A142:Z142"/>
    <mergeCell ref="Q8:R8"/>
    <mergeCell ref="A277:A278"/>
    <mergeCell ref="D219:E219"/>
    <mergeCell ref="P254:V254"/>
    <mergeCell ref="T6:U9"/>
    <mergeCell ref="Q10:R10"/>
    <mergeCell ref="P85:V85"/>
    <mergeCell ref="A137:Z137"/>
    <mergeCell ref="P60:V60"/>
    <mergeCell ref="D43:E43"/>
    <mergeCell ref="A210:Z210"/>
    <mergeCell ref="P124:V124"/>
    <mergeCell ref="A13:M13"/>
    <mergeCell ref="A15:M15"/>
    <mergeCell ref="A54:O55"/>
    <mergeCell ref="AC277:AC278"/>
    <mergeCell ref="P132:T132"/>
    <mergeCell ref="P75:V75"/>
    <mergeCell ref="P146:V146"/>
    <mergeCell ref="P181:V181"/>
    <mergeCell ref="D96:E96"/>
    <mergeCell ref="D52:E52"/>
    <mergeCell ref="P15:T16"/>
    <mergeCell ref="D116:E116"/>
    <mergeCell ref="A177:Z177"/>
    <mergeCell ref="P219:T219"/>
    <mergeCell ref="P23:T23"/>
    <mergeCell ref="A164:Z164"/>
    <mergeCell ref="A267:O268"/>
    <mergeCell ref="D106:E106"/>
    <mergeCell ref="A146:O147"/>
    <mergeCell ref="D264:E264"/>
    <mergeCell ref="P199:V199"/>
    <mergeCell ref="A198:O199"/>
    <mergeCell ref="A42:Z42"/>
    <mergeCell ref="P43:T43"/>
    <mergeCell ref="A188:Z188"/>
    <mergeCell ref="A126:Z126"/>
    <mergeCell ref="D251:E251"/>
    <mergeCell ref="A5:C5"/>
    <mergeCell ref="A107:O108"/>
    <mergeCell ref="A110:Z110"/>
    <mergeCell ref="P64:V64"/>
    <mergeCell ref="P135:V135"/>
    <mergeCell ref="P191:V191"/>
    <mergeCell ref="A187:Z187"/>
    <mergeCell ref="D179:E179"/>
    <mergeCell ref="H277:H278"/>
    <mergeCell ref="P128:V128"/>
    <mergeCell ref="P195:T195"/>
    <mergeCell ref="A17:A18"/>
    <mergeCell ref="A189:Z189"/>
    <mergeCell ref="C17:C18"/>
    <mergeCell ref="K17:K18"/>
    <mergeCell ref="A238:Z238"/>
    <mergeCell ref="D37:E37"/>
    <mergeCell ref="A208:O209"/>
    <mergeCell ref="P66:T66"/>
    <mergeCell ref="D180:E180"/>
    <mergeCell ref="D9:E9"/>
    <mergeCell ref="P197:T197"/>
    <mergeCell ref="D118:E118"/>
    <mergeCell ref="P53:T53"/>
    <mergeCell ref="A6:C6"/>
    <mergeCell ref="D113:E113"/>
    <mergeCell ref="P180:T180"/>
    <mergeCell ref="P118:T118"/>
    <mergeCell ref="P117:T117"/>
    <mergeCell ref="D115:E115"/>
    <mergeCell ref="P102:V102"/>
    <mergeCell ref="A203:O204"/>
    <mergeCell ref="Q12:R12"/>
    <mergeCell ref="D90:E90"/>
    <mergeCell ref="A68:O69"/>
    <mergeCell ref="P119:T119"/>
    <mergeCell ref="P198:V198"/>
    <mergeCell ref="F9:G9"/>
    <mergeCell ref="P186:V186"/>
    <mergeCell ref="D38:E38"/>
    <mergeCell ref="A185:O186"/>
    <mergeCell ref="P204:V204"/>
    <mergeCell ref="A29:Z29"/>
    <mergeCell ref="A12:M12"/>
    <mergeCell ref="A109:Z109"/>
    <mergeCell ref="A19:Z19"/>
    <mergeCell ref="A14:M14"/>
    <mergeCell ref="P138:T138"/>
    <mergeCell ref="U277:U278"/>
    <mergeCell ref="W277:W278"/>
    <mergeCell ref="P203:V203"/>
    <mergeCell ref="D72:E72"/>
    <mergeCell ref="D235:E235"/>
    <mergeCell ref="A239:Z239"/>
    <mergeCell ref="P270:V270"/>
    <mergeCell ref="P214:V214"/>
    <mergeCell ref="Q9:R9"/>
    <mergeCell ref="P267:V267"/>
    <mergeCell ref="A159:Z159"/>
    <mergeCell ref="B277:B278"/>
    <mergeCell ref="P78:T78"/>
    <mergeCell ref="D24:E24"/>
    <mergeCell ref="Q11:R11"/>
    <mergeCell ref="D260:E260"/>
    <mergeCell ref="D261:E261"/>
    <mergeCell ref="P246:T246"/>
    <mergeCell ref="A250:Z250"/>
    <mergeCell ref="A254:O255"/>
    <mergeCell ref="A248:O249"/>
    <mergeCell ref="P264:T264"/>
    <mergeCell ref="B276:S276"/>
    <mergeCell ref="A240:Z240"/>
    <mergeCell ref="A269:O274"/>
    <mergeCell ref="A148:Z148"/>
    <mergeCell ref="P194:T194"/>
    <mergeCell ref="P50:T50"/>
    <mergeCell ref="D31:E31"/>
    <mergeCell ref="P258:T258"/>
    <mergeCell ref="P52:T52"/>
    <mergeCell ref="A168:Z168"/>
    <mergeCell ref="D160:E160"/>
    <mergeCell ref="P243:V243"/>
    <mergeCell ref="D112:E112"/>
    <mergeCell ref="D62:E62"/>
    <mergeCell ref="D127:E127"/>
    <mergeCell ref="P37:T37"/>
    <mergeCell ref="D114:E114"/>
    <mergeCell ref="P220:V220"/>
    <mergeCell ref="D51:E51"/>
    <mergeCell ref="P235:T235"/>
    <mergeCell ref="P86:V86"/>
    <mergeCell ref="P157:V157"/>
    <mergeCell ref="P249:V249"/>
    <mergeCell ref="P207:T207"/>
    <mergeCell ref="P221:V221"/>
    <mergeCell ref="D138:E138"/>
    <mergeCell ref="C277:C278"/>
    <mergeCell ref="P108:V108"/>
    <mergeCell ref="A161:O162"/>
    <mergeCell ref="P31:T31"/>
    <mergeCell ref="D139:E139"/>
    <mergeCell ref="A70:Z70"/>
    <mergeCell ref="A228:Z228"/>
    <mergeCell ref="P266:T266"/>
    <mergeCell ref="P95:T95"/>
    <mergeCell ref="P182:V182"/>
    <mergeCell ref="P274:V274"/>
    <mergeCell ref="D259:E259"/>
    <mergeCell ref="P40:V40"/>
    <mergeCell ref="A163:Z163"/>
    <mergeCell ref="V277:V278"/>
    <mergeCell ref="A76:Z76"/>
    <mergeCell ref="X277:X278"/>
    <mergeCell ref="P184:T184"/>
    <mergeCell ref="D117:E117"/>
    <mergeCell ref="P171:T171"/>
    <mergeCell ref="P242:T242"/>
    <mergeCell ref="D67:E67"/>
    <mergeCell ref="A214:O215"/>
    <mergeCell ref="A32:O33"/>
    <mergeCell ref="F277:F278"/>
    <mergeCell ref="D258:E258"/>
    <mergeCell ref="P252:T252"/>
    <mergeCell ref="D195:E195"/>
    <mergeCell ref="V10:W10"/>
    <mergeCell ref="A173:O174"/>
    <mergeCell ref="P99:T99"/>
    <mergeCell ref="P145:T145"/>
    <mergeCell ref="D66:E66"/>
    <mergeCell ref="D197:E197"/>
    <mergeCell ref="D253:E253"/>
    <mergeCell ref="D53:E53"/>
    <mergeCell ref="P232:V232"/>
    <mergeCell ref="P160:T160"/>
    <mergeCell ref="A149:Z149"/>
    <mergeCell ref="W17:W18"/>
    <mergeCell ref="P161:V161"/>
    <mergeCell ref="P27:V27"/>
    <mergeCell ref="A120:O121"/>
    <mergeCell ref="P91:V91"/>
    <mergeCell ref="D79:E79"/>
    <mergeCell ref="P156:V156"/>
    <mergeCell ref="D144:E144"/>
    <mergeCell ref="P100:T100"/>
    <mergeCell ref="AC276:AD276"/>
    <mergeCell ref="P165:T165"/>
    <mergeCell ref="A46:O47"/>
    <mergeCell ref="D98:E98"/>
    <mergeCell ref="D73:E73"/>
    <mergeCell ref="P30:T30"/>
    <mergeCell ref="A200:Z200"/>
    <mergeCell ref="P166:V166"/>
    <mergeCell ref="P141:V141"/>
    <mergeCell ref="A140:O141"/>
    <mergeCell ref="P233:V233"/>
    <mergeCell ref="A63:O64"/>
    <mergeCell ref="P248:V248"/>
    <mergeCell ref="P265:T265"/>
    <mergeCell ref="P44:T44"/>
    <mergeCell ref="D30:E30"/>
    <mergeCell ref="P259:T259"/>
    <mergeCell ref="P162:V162"/>
    <mergeCell ref="P33:V33"/>
    <mergeCell ref="P226:V226"/>
    <mergeCell ref="P269:V269"/>
    <mergeCell ref="A216:Z216"/>
    <mergeCell ref="A87:Z87"/>
    <mergeCell ref="D145:E145"/>
    <mergeCell ref="D263:E263"/>
    <mergeCell ref="A65:Z65"/>
    <mergeCell ref="D78:E78"/>
    <mergeCell ref="P213:T213"/>
    <mergeCell ref="P172:T172"/>
    <mergeCell ref="R1:T1"/>
    <mergeCell ref="P150:T150"/>
    <mergeCell ref="D71:E71"/>
    <mergeCell ref="A74:O75"/>
    <mergeCell ref="B17:B18"/>
    <mergeCell ref="D7:M7"/>
    <mergeCell ref="D8:M8"/>
    <mergeCell ref="H1:Q1"/>
    <mergeCell ref="D5:E5"/>
    <mergeCell ref="A218:Z218"/>
    <mergeCell ref="P116:T116"/>
    <mergeCell ref="P97:T97"/>
    <mergeCell ref="P59:V59"/>
    <mergeCell ref="D211:E211"/>
    <mergeCell ref="D1:F1"/>
    <mergeCell ref="P46:V46"/>
    <mergeCell ref="A234:Z234"/>
    <mergeCell ref="J17:J18"/>
    <mergeCell ref="A91:O92"/>
    <mergeCell ref="P79:T79"/>
    <mergeCell ref="P73:T73"/>
    <mergeCell ref="P144:T144"/>
    <mergeCell ref="P231:T231"/>
    <mergeCell ref="A83:Z83"/>
    <mergeCell ref="A34:Z34"/>
    <mergeCell ref="H9:I9"/>
    <mergeCell ref="D45:E45"/>
    <mergeCell ref="A49:Z49"/>
    <mergeCell ref="A36:Z36"/>
    <mergeCell ref="P26:V26"/>
    <mergeCell ref="P155:T155"/>
    <mergeCell ref="A205:Z205"/>
    <mergeCell ref="L17:L18"/>
    <mergeCell ref="A85:O86"/>
    <mergeCell ref="P125:V125"/>
    <mergeCell ref="D100:E100"/>
    <mergeCell ref="P113:T113"/>
    <mergeCell ref="A229:Z229"/>
    <mergeCell ref="P17:T18"/>
    <mergeCell ref="A77:Z77"/>
    <mergeCell ref="I17:I18"/>
    <mergeCell ref="J9:M9"/>
    <mergeCell ref="P215:V21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5 X30:X31 X38 X43 X45 X58 X62 X66:X67 X71 X97 X99 X106 X111 X115 X118:X119 X123 X127 X138 X144 X160 X165 X184 X195 X197 X207 X211:X213 X219 X231 X235 X241:X242 X257 X262:X266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7 X53 X79 X96 X98 X114 X117 X132:X133 X139 X178:X180 X225 X246 X252" xr:uid="{00000000-0002-0000-0000-000012000000}">
      <formula1>IF(AK37&gt;0,OR(X37=0,AND(IF(X37-AK37&gt;=0,TRUE,FALSE),X37&gt;0,IF(X37/J37=ROUND(X37/J37,0),TRUE,FALSE))),FALSE)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 X50:X52 X72:X73 X78 X84 X89:X90 X95 X100 X105 X112:X113 X116 X145 X150 X155 X171:X172 X190 X194 X196 X202 X247 X251 X253 X258:X261" xr:uid="{00000000-0002-0000-0000-000013000000}">
      <formula1>IF(AK44&gt;0,OR(X44=0,AND(IF(X44-AK44&gt;=0,TRUE,FALSE),X44&gt;0,IF(X44/K44=ROUND(X44/K44,0),TRUE,FALSE))),FALSE)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380</v>
      </c>
      <c r="D6" s="47" t="s">
        <v>381</v>
      </c>
      <c r="E6" s="47"/>
    </row>
    <row r="8" spans="2:8" x14ac:dyDescent="0.2">
      <c r="B8" s="47" t="s">
        <v>19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6Jk3dHTwx9mNkvD5mF+8maKxchXPHt1MLwUfTGVbyZQHQSQRHMgPczjbcyVIHOPF4qI2R9sBDU1zI1VLufJV+w==" saltValue="JRgXiOwEN/9VLvVcoreNw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2025-11-27T10:59:59Z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