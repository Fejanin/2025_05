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0B2A637B-EF2A-4C43-806B-76F5F25E5EB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Z498" i="1" s="1"/>
  <c r="P485" i="1"/>
  <c r="X482" i="1"/>
  <c r="X481" i="1"/>
  <c r="BO480" i="1"/>
  <c r="BM480" i="1"/>
  <c r="Y480" i="1"/>
  <c r="BP480" i="1" s="1"/>
  <c r="P480" i="1"/>
  <c r="BO479" i="1"/>
  <c r="BM479" i="1"/>
  <c r="Y479" i="1"/>
  <c r="Y481" i="1" s="1"/>
  <c r="P479" i="1"/>
  <c r="X477" i="1"/>
  <c r="X476" i="1"/>
  <c r="BO475" i="1"/>
  <c r="BM475" i="1"/>
  <c r="Y475" i="1"/>
  <c r="Y477" i="1" s="1"/>
  <c r="P475" i="1"/>
  <c r="X473" i="1"/>
  <c r="X472" i="1"/>
  <c r="BO471" i="1"/>
  <c r="BM471" i="1"/>
  <c r="Y471" i="1"/>
  <c r="BP471" i="1" s="1"/>
  <c r="P471" i="1"/>
  <c r="BP470" i="1"/>
  <c r="BO470" i="1"/>
  <c r="BN470" i="1"/>
  <c r="BM470" i="1"/>
  <c r="Z470" i="1"/>
  <c r="Y470" i="1"/>
  <c r="Y473" i="1" s="1"/>
  <c r="P470" i="1"/>
  <c r="X468" i="1"/>
  <c r="X467" i="1"/>
  <c r="BP466" i="1"/>
  <c r="BO466" i="1"/>
  <c r="BN466" i="1"/>
  <c r="BM466" i="1"/>
  <c r="Z466" i="1"/>
  <c r="Y466" i="1"/>
  <c r="P466" i="1"/>
  <c r="BO465" i="1"/>
  <c r="BM465" i="1"/>
  <c r="Y465" i="1"/>
  <c r="Y467" i="1" s="1"/>
  <c r="P465" i="1"/>
  <c r="BP464" i="1"/>
  <c r="BO464" i="1"/>
  <c r="BN464" i="1"/>
  <c r="BM464" i="1"/>
  <c r="Z464" i="1"/>
  <c r="Y464" i="1"/>
  <c r="Y468" i="1" s="1"/>
  <c r="P464" i="1"/>
  <c r="X462" i="1"/>
  <c r="X461" i="1"/>
  <c r="BP460" i="1"/>
  <c r="BO460" i="1"/>
  <c r="BN460" i="1"/>
  <c r="BM460" i="1"/>
  <c r="Z460" i="1"/>
  <c r="Y460" i="1"/>
  <c r="P460" i="1"/>
  <c r="BO459" i="1"/>
  <c r="BM459" i="1"/>
  <c r="Y459" i="1"/>
  <c r="BP459" i="1" s="1"/>
  <c r="P459" i="1"/>
  <c r="BP458" i="1"/>
  <c r="BO458" i="1"/>
  <c r="BN458" i="1"/>
  <c r="BM458" i="1"/>
  <c r="Z458" i="1"/>
  <c r="Y458" i="1"/>
  <c r="P458" i="1"/>
  <c r="BO457" i="1"/>
  <c r="BM457" i="1"/>
  <c r="Y457" i="1"/>
  <c r="Y461" i="1" s="1"/>
  <c r="P457" i="1"/>
  <c r="X453" i="1"/>
  <c r="X452" i="1"/>
  <c r="BO451" i="1"/>
  <c r="BM451" i="1"/>
  <c r="Y451" i="1"/>
  <c r="BP451" i="1" s="1"/>
  <c r="P451" i="1"/>
  <c r="BP450" i="1"/>
  <c r="BO450" i="1"/>
  <c r="BN450" i="1"/>
  <c r="BM450" i="1"/>
  <c r="Z450" i="1"/>
  <c r="Y450" i="1"/>
  <c r="P450" i="1"/>
  <c r="BO449" i="1"/>
  <c r="BM449" i="1"/>
  <c r="Y449" i="1"/>
  <c r="Y453" i="1" s="1"/>
  <c r="P449" i="1"/>
  <c r="X447" i="1"/>
  <c r="X446" i="1"/>
  <c r="BO445" i="1"/>
  <c r="BM445" i="1"/>
  <c r="Y445" i="1"/>
  <c r="BP445" i="1" s="1"/>
  <c r="P445" i="1"/>
  <c r="BP444" i="1"/>
  <c r="BO444" i="1"/>
  <c r="BN444" i="1"/>
  <c r="BM444" i="1"/>
  <c r="Z444" i="1"/>
  <c r="Y444" i="1"/>
  <c r="P444" i="1"/>
  <c r="BO443" i="1"/>
  <c r="BM443" i="1"/>
  <c r="Y443" i="1"/>
  <c r="BP443" i="1" s="1"/>
  <c r="P443" i="1"/>
  <c r="BP442" i="1"/>
  <c r="BO442" i="1"/>
  <c r="BN442" i="1"/>
  <c r="BM442" i="1"/>
  <c r="Z442" i="1"/>
  <c r="Y442" i="1"/>
  <c r="P442" i="1"/>
  <c r="BO441" i="1"/>
  <c r="BM441" i="1"/>
  <c r="Y441" i="1"/>
  <c r="BP441" i="1" s="1"/>
  <c r="P441" i="1"/>
  <c r="BP440" i="1"/>
  <c r="BO440" i="1"/>
  <c r="BN440" i="1"/>
  <c r="BM440" i="1"/>
  <c r="Z440" i="1"/>
  <c r="Y440" i="1"/>
  <c r="Y447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Y437" i="1" s="1"/>
  <c r="P435" i="1"/>
  <c r="BP434" i="1"/>
  <c r="BO434" i="1"/>
  <c r="BN434" i="1"/>
  <c r="BM434" i="1"/>
  <c r="Z434" i="1"/>
  <c r="Y434" i="1"/>
  <c r="Y438" i="1" s="1"/>
  <c r="P434" i="1"/>
  <c r="X432" i="1"/>
  <c r="X431" i="1"/>
  <c r="BP430" i="1"/>
  <c r="BO430" i="1"/>
  <c r="BN430" i="1"/>
  <c r="BM430" i="1"/>
  <c r="Z430" i="1"/>
  <c r="Y430" i="1"/>
  <c r="P430" i="1"/>
  <c r="BO429" i="1"/>
  <c r="BM429" i="1"/>
  <c r="Y429" i="1"/>
  <c r="BP429" i="1" s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BP420" i="1"/>
  <c r="BO420" i="1"/>
  <c r="BN420" i="1"/>
  <c r="BM420" i="1"/>
  <c r="Z420" i="1"/>
  <c r="Y420" i="1"/>
  <c r="P420" i="1"/>
  <c r="X416" i="1"/>
  <c r="X415" i="1"/>
  <c r="BO414" i="1"/>
  <c r="BM414" i="1"/>
  <c r="Y414" i="1"/>
  <c r="Y415" i="1" s="1"/>
  <c r="P414" i="1"/>
  <c r="X411" i="1"/>
  <c r="X410" i="1"/>
  <c r="BO409" i="1"/>
  <c r="BM409" i="1"/>
  <c r="Y409" i="1"/>
  <c r="BP409" i="1" s="1"/>
  <c r="P409" i="1"/>
  <c r="BP408" i="1"/>
  <c r="BO408" i="1"/>
  <c r="BN408" i="1"/>
  <c r="BM408" i="1"/>
  <c r="Z408" i="1"/>
  <c r="Y408" i="1"/>
  <c r="P408" i="1"/>
  <c r="BO407" i="1"/>
  <c r="BM407" i="1"/>
  <c r="Y407" i="1"/>
  <c r="BP407" i="1" s="1"/>
  <c r="P407" i="1"/>
  <c r="BP406" i="1"/>
  <c r="BO406" i="1"/>
  <c r="BN406" i="1"/>
  <c r="BM406" i="1"/>
  <c r="Z406" i="1"/>
  <c r="Y406" i="1"/>
  <c r="Y411" i="1" s="1"/>
  <c r="P406" i="1"/>
  <c r="X404" i="1"/>
  <c r="Y403" i="1"/>
  <c r="X403" i="1"/>
  <c r="BP402" i="1"/>
  <c r="BO402" i="1"/>
  <c r="BN402" i="1"/>
  <c r="BM402" i="1"/>
  <c r="Z402" i="1"/>
  <c r="Z403" i="1" s="1"/>
  <c r="Y402" i="1"/>
  <c r="V498" i="1" s="1"/>
  <c r="P402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BP392" i="1" s="1"/>
  <c r="P392" i="1"/>
  <c r="BP391" i="1"/>
  <c r="BO391" i="1"/>
  <c r="BN391" i="1"/>
  <c r="BM391" i="1"/>
  <c r="Z391" i="1"/>
  <c r="Y391" i="1"/>
  <c r="P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BO388" i="1"/>
  <c r="BM388" i="1"/>
  <c r="Y388" i="1"/>
  <c r="BP388" i="1" s="1"/>
  <c r="P388" i="1"/>
  <c r="BP387" i="1"/>
  <c r="BO387" i="1"/>
  <c r="BN387" i="1"/>
  <c r="BM387" i="1"/>
  <c r="Z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P385" i="1"/>
  <c r="BO384" i="1"/>
  <c r="BM384" i="1"/>
  <c r="Y384" i="1"/>
  <c r="U498" i="1" s="1"/>
  <c r="P384" i="1"/>
  <c r="X380" i="1"/>
  <c r="X379" i="1"/>
  <c r="BO378" i="1"/>
  <c r="BM378" i="1"/>
  <c r="Y378" i="1"/>
  <c r="Y380" i="1" s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Y370" i="1" s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Y359" i="1" s="1"/>
  <c r="P357" i="1"/>
  <c r="X355" i="1"/>
  <c r="X354" i="1"/>
  <c r="BO353" i="1"/>
  <c r="BM353" i="1"/>
  <c r="Y353" i="1"/>
  <c r="Y355" i="1" s="1"/>
  <c r="P353" i="1"/>
  <c r="BP352" i="1"/>
  <c r="BO352" i="1"/>
  <c r="BN352" i="1"/>
  <c r="BM352" i="1"/>
  <c r="Z352" i="1"/>
  <c r="Y352" i="1"/>
  <c r="Y354" i="1" s="1"/>
  <c r="P352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P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BP343" i="1" s="1"/>
  <c r="P343" i="1"/>
  <c r="BP342" i="1"/>
  <c r="BO342" i="1"/>
  <c r="BN342" i="1"/>
  <c r="BM342" i="1"/>
  <c r="Z342" i="1"/>
  <c r="Y342" i="1"/>
  <c r="P342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Y337" i="1" s="1"/>
  <c r="P335" i="1"/>
  <c r="BP334" i="1"/>
  <c r="BO334" i="1"/>
  <c r="BN334" i="1"/>
  <c r="BM334" i="1"/>
  <c r="Z334" i="1"/>
  <c r="Y334" i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Y330" i="1" s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Y324" i="1" s="1"/>
  <c r="P320" i="1"/>
  <c r="X318" i="1"/>
  <c r="X317" i="1"/>
  <c r="BO316" i="1"/>
  <c r="BM316" i="1"/>
  <c r="Y316" i="1"/>
  <c r="BP316" i="1" s="1"/>
  <c r="P316" i="1"/>
  <c r="BP315" i="1"/>
  <c r="BO315" i="1"/>
  <c r="BN315" i="1"/>
  <c r="BM315" i="1"/>
  <c r="Z315" i="1"/>
  <c r="Y315" i="1"/>
  <c r="P315" i="1"/>
  <c r="BO314" i="1"/>
  <c r="BM314" i="1"/>
  <c r="Y314" i="1"/>
  <c r="Y318" i="1" s="1"/>
  <c r="P314" i="1"/>
  <c r="X312" i="1"/>
  <c r="X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Y312" i="1" s="1"/>
  <c r="P308" i="1"/>
  <c r="BP307" i="1"/>
  <c r="BO307" i="1"/>
  <c r="BN307" i="1"/>
  <c r="BM307" i="1"/>
  <c r="Z307" i="1"/>
  <c r="Y307" i="1"/>
  <c r="Y311" i="1" s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Y305" i="1" s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Y268" i="1" s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X221" i="1"/>
  <c r="X220" i="1"/>
  <c r="BO219" i="1"/>
  <c r="BM219" i="1"/>
  <c r="Y219" i="1"/>
  <c r="Y221" i="1" s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Y215" i="1" s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P196" i="1"/>
  <c r="BO195" i="1"/>
  <c r="BM195" i="1"/>
  <c r="Y195" i="1"/>
  <c r="Y203" i="1" s="1"/>
  <c r="P195" i="1"/>
  <c r="X193" i="1"/>
  <c r="X192" i="1"/>
  <c r="BO191" i="1"/>
  <c r="BM191" i="1"/>
  <c r="Y191" i="1"/>
  <c r="Y193" i="1" s="1"/>
  <c r="P191" i="1"/>
  <c r="BP190" i="1"/>
  <c r="BO190" i="1"/>
  <c r="BN190" i="1"/>
  <c r="BM190" i="1"/>
  <c r="Z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J498" i="1" s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78" i="1" s="1"/>
  <c r="P174" i="1"/>
  <c r="X172" i="1"/>
  <c r="X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P162" i="1"/>
  <c r="BO161" i="1"/>
  <c r="BM161" i="1"/>
  <c r="Y161" i="1"/>
  <c r="Y172" i="1" s="1"/>
  <c r="P161" i="1"/>
  <c r="X159" i="1"/>
  <c r="X158" i="1"/>
  <c r="BO157" i="1"/>
  <c r="BM157" i="1"/>
  <c r="Y157" i="1"/>
  <c r="I498" i="1" s="1"/>
  <c r="P157" i="1"/>
  <c r="X153" i="1"/>
  <c r="X152" i="1"/>
  <c r="BO151" i="1"/>
  <c r="BM151" i="1"/>
  <c r="Y151" i="1"/>
  <c r="Y153" i="1" s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Y148" i="1" s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H498" i="1" s="1"/>
  <c r="P140" i="1"/>
  <c r="X137" i="1"/>
  <c r="X136" i="1"/>
  <c r="BO135" i="1"/>
  <c r="BM135" i="1"/>
  <c r="Y135" i="1"/>
  <c r="Y137" i="1" s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Y127" i="1" s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Y110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Y104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5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498" i="1" s="1"/>
  <c r="P85" i="1"/>
  <c r="X82" i="1"/>
  <c r="X81" i="1"/>
  <c r="BO80" i="1"/>
  <c r="BM80" i="1"/>
  <c r="Y80" i="1"/>
  <c r="Y82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8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Y43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1" i="1" s="1"/>
  <c r="P27" i="1"/>
  <c r="BP26" i="1"/>
  <c r="BO26" i="1"/>
  <c r="BN26" i="1"/>
  <c r="BM26" i="1"/>
  <c r="Z26" i="1"/>
  <c r="Y26" i="1"/>
  <c r="Y32" i="1" s="1"/>
  <c r="P26" i="1"/>
  <c r="X24" i="1"/>
  <c r="X488" i="1" s="1"/>
  <c r="Y23" i="1"/>
  <c r="X23" i="1"/>
  <c r="BP22" i="1"/>
  <c r="BO22" i="1"/>
  <c r="BN22" i="1"/>
  <c r="BM22" i="1"/>
  <c r="Z22" i="1"/>
  <c r="Z23" i="1" s="1"/>
  <c r="Y22" i="1"/>
  <c r="P22" i="1"/>
  <c r="H10" i="1"/>
  <c r="A9" i="1"/>
  <c r="F10" i="1" s="1"/>
  <c r="D7" i="1"/>
  <c r="Q6" i="1"/>
  <c r="P2" i="1"/>
  <c r="H9" i="1" l="1"/>
  <c r="A10" i="1"/>
  <c r="B498" i="1"/>
  <c r="X489" i="1"/>
  <c r="X490" i="1"/>
  <c r="X492" i="1"/>
  <c r="Y24" i="1"/>
  <c r="Z27" i="1"/>
  <c r="Z31" i="1" s="1"/>
  <c r="BN27" i="1"/>
  <c r="BP27" i="1"/>
  <c r="Z29" i="1"/>
  <c r="BN29" i="1"/>
  <c r="C498" i="1"/>
  <c r="Z41" i="1"/>
  <c r="Z43" i="1" s="1"/>
  <c r="BN41" i="1"/>
  <c r="BP41" i="1"/>
  <c r="Y44" i="1"/>
  <c r="D498" i="1"/>
  <c r="Z52" i="1"/>
  <c r="Z57" i="1" s="1"/>
  <c r="BN52" i="1"/>
  <c r="BP52" i="1"/>
  <c r="Z54" i="1"/>
  <c r="BN54" i="1"/>
  <c r="Z56" i="1"/>
  <c r="BN56" i="1"/>
  <c r="Y57" i="1"/>
  <c r="Z60" i="1"/>
  <c r="BN60" i="1"/>
  <c r="BP60" i="1"/>
  <c r="Z62" i="1"/>
  <c r="BN62" i="1"/>
  <c r="Y63" i="1"/>
  <c r="Z66" i="1"/>
  <c r="BN66" i="1"/>
  <c r="BP66" i="1"/>
  <c r="Z68" i="1"/>
  <c r="BN68" i="1"/>
  <c r="Y69" i="1"/>
  <c r="Z72" i="1"/>
  <c r="BN72" i="1"/>
  <c r="BP72" i="1"/>
  <c r="Z74" i="1"/>
  <c r="BN74" i="1"/>
  <c r="Y77" i="1"/>
  <c r="Z80" i="1"/>
  <c r="Z81" i="1" s="1"/>
  <c r="BN80" i="1"/>
  <c r="BP80" i="1"/>
  <c r="Z85" i="1"/>
  <c r="Z88" i="1" s="1"/>
  <c r="BN85" i="1"/>
  <c r="BP85" i="1"/>
  <c r="Z87" i="1"/>
  <c r="BN87" i="1"/>
  <c r="Y88" i="1"/>
  <c r="Z91" i="1"/>
  <c r="Z95" i="1" s="1"/>
  <c r="BN91" i="1"/>
  <c r="BP91" i="1"/>
  <c r="Z93" i="1"/>
  <c r="BN93" i="1"/>
  <c r="Y96" i="1"/>
  <c r="F498" i="1"/>
  <c r="Z100" i="1"/>
  <c r="Z103" i="1" s="1"/>
  <c r="BN100" i="1"/>
  <c r="BP100" i="1"/>
  <c r="Z102" i="1"/>
  <c r="BN102" i="1"/>
  <c r="Y103" i="1"/>
  <c r="Z106" i="1"/>
  <c r="BN106" i="1"/>
  <c r="BP106" i="1"/>
  <c r="Z108" i="1"/>
  <c r="BN108" i="1"/>
  <c r="Y109" i="1"/>
  <c r="Z112" i="1"/>
  <c r="BN112" i="1"/>
  <c r="BP112" i="1"/>
  <c r="Z114" i="1"/>
  <c r="BN114" i="1"/>
  <c r="Y117" i="1"/>
  <c r="G498" i="1"/>
  <c r="Z125" i="1"/>
  <c r="Z126" i="1" s="1"/>
  <c r="BN125" i="1"/>
  <c r="BP125" i="1"/>
  <c r="Y126" i="1"/>
  <c r="Z129" i="1"/>
  <c r="Z131" i="1" s="1"/>
  <c r="BN129" i="1"/>
  <c r="BP129" i="1"/>
  <c r="Y132" i="1"/>
  <c r="Z135" i="1"/>
  <c r="Z136" i="1" s="1"/>
  <c r="BN135" i="1"/>
  <c r="BP135" i="1"/>
  <c r="Z140" i="1"/>
  <c r="Z142" i="1" s="1"/>
  <c r="BN140" i="1"/>
  <c r="BP140" i="1"/>
  <c r="Y143" i="1"/>
  <c r="Z146" i="1"/>
  <c r="Z148" i="1" s="1"/>
  <c r="BN146" i="1"/>
  <c r="BP146" i="1"/>
  <c r="Z151" i="1"/>
  <c r="Z152" i="1" s="1"/>
  <c r="BN151" i="1"/>
  <c r="BP151" i="1"/>
  <c r="Y152" i="1"/>
  <c r="Z157" i="1"/>
  <c r="Z158" i="1" s="1"/>
  <c r="BN157" i="1"/>
  <c r="BP157" i="1"/>
  <c r="Y158" i="1"/>
  <c r="Z161" i="1"/>
  <c r="Z171" i="1" s="1"/>
  <c r="BN161" i="1"/>
  <c r="BP161" i="1"/>
  <c r="Z163" i="1"/>
  <c r="BN163" i="1"/>
  <c r="Z166" i="1"/>
  <c r="BN166" i="1"/>
  <c r="Z168" i="1"/>
  <c r="BN168" i="1"/>
  <c r="Z170" i="1"/>
  <c r="BN170" i="1"/>
  <c r="Y171" i="1"/>
  <c r="Z174" i="1"/>
  <c r="Z177" i="1" s="1"/>
  <c r="BN174" i="1"/>
  <c r="BP174" i="1"/>
  <c r="Z176" i="1"/>
  <c r="BN176" i="1"/>
  <c r="Y177" i="1"/>
  <c r="Z180" i="1"/>
  <c r="Z181" i="1" s="1"/>
  <c r="BN180" i="1"/>
  <c r="BP180" i="1"/>
  <c r="Y181" i="1"/>
  <c r="Z185" i="1"/>
  <c r="Z187" i="1" s="1"/>
  <c r="BN185" i="1"/>
  <c r="BP185" i="1"/>
  <c r="Y188" i="1"/>
  <c r="Z191" i="1"/>
  <c r="Z192" i="1" s="1"/>
  <c r="BN191" i="1"/>
  <c r="BP191" i="1"/>
  <c r="Z195" i="1"/>
  <c r="BN195" i="1"/>
  <c r="Y489" i="1" s="1"/>
  <c r="BP195" i="1"/>
  <c r="Z197" i="1"/>
  <c r="BN197" i="1"/>
  <c r="Z199" i="1"/>
  <c r="BN199" i="1"/>
  <c r="Z201" i="1"/>
  <c r="BN201" i="1"/>
  <c r="Y204" i="1"/>
  <c r="Z207" i="1"/>
  <c r="Z215" i="1" s="1"/>
  <c r="BN207" i="1"/>
  <c r="BP207" i="1"/>
  <c r="Z209" i="1"/>
  <c r="BN209" i="1"/>
  <c r="Z211" i="1"/>
  <c r="BN211" i="1"/>
  <c r="Z213" i="1"/>
  <c r="BN213" i="1"/>
  <c r="Z219" i="1"/>
  <c r="Z220" i="1" s="1"/>
  <c r="BN219" i="1"/>
  <c r="BP219" i="1"/>
  <c r="Z224" i="1"/>
  <c r="BN224" i="1"/>
  <c r="Z226" i="1"/>
  <c r="BN226" i="1"/>
  <c r="Z228" i="1"/>
  <c r="BN228" i="1"/>
  <c r="Z230" i="1"/>
  <c r="BN230" i="1"/>
  <c r="Z232" i="1"/>
  <c r="BN232" i="1"/>
  <c r="Y251" i="1"/>
  <c r="BP248" i="1"/>
  <c r="BN248" i="1"/>
  <c r="Z248" i="1"/>
  <c r="BP257" i="1"/>
  <c r="BN257" i="1"/>
  <c r="Z257" i="1"/>
  <c r="BP266" i="1"/>
  <c r="BN266" i="1"/>
  <c r="Z266" i="1"/>
  <c r="O498" i="1"/>
  <c r="Y274" i="1"/>
  <c r="BP271" i="1"/>
  <c r="BN271" i="1"/>
  <c r="Z271" i="1"/>
  <c r="Z294" i="1"/>
  <c r="BP290" i="1"/>
  <c r="BN290" i="1"/>
  <c r="Z290" i="1"/>
  <c r="Y294" i="1"/>
  <c r="Y304" i="1"/>
  <c r="BP298" i="1"/>
  <c r="BN298" i="1"/>
  <c r="Z298" i="1"/>
  <c r="Z304" i="1" s="1"/>
  <c r="F9" i="1"/>
  <c r="J9" i="1"/>
  <c r="Y89" i="1"/>
  <c r="Y142" i="1"/>
  <c r="Y492" i="1" s="1"/>
  <c r="Y159" i="1"/>
  <c r="Y187" i="1"/>
  <c r="K498" i="1"/>
  <c r="Y235" i="1"/>
  <c r="Y234" i="1"/>
  <c r="BP246" i="1"/>
  <c r="Y490" i="1" s="1"/>
  <c r="BN246" i="1"/>
  <c r="Z246" i="1"/>
  <c r="Z250" i="1" s="1"/>
  <c r="Y250" i="1"/>
  <c r="Z259" i="1"/>
  <c r="BP255" i="1"/>
  <c r="BN255" i="1"/>
  <c r="Z255" i="1"/>
  <c r="Y259" i="1"/>
  <c r="BP264" i="1"/>
  <c r="BN264" i="1"/>
  <c r="Z264" i="1"/>
  <c r="Z267" i="1" s="1"/>
  <c r="BP273" i="1"/>
  <c r="BN273" i="1"/>
  <c r="Z273" i="1"/>
  <c r="Y275" i="1"/>
  <c r="P498" i="1"/>
  <c r="Y281" i="1"/>
  <c r="BP278" i="1"/>
  <c r="BN278" i="1"/>
  <c r="Z278" i="1"/>
  <c r="Z280" i="1" s="1"/>
  <c r="BP292" i="1"/>
  <c r="BN292" i="1"/>
  <c r="Z292" i="1"/>
  <c r="Z349" i="1"/>
  <c r="L498" i="1"/>
  <c r="Y260" i="1"/>
  <c r="M498" i="1"/>
  <c r="Y267" i="1"/>
  <c r="Q498" i="1"/>
  <c r="Y295" i="1"/>
  <c r="Z300" i="1"/>
  <c r="BN300" i="1"/>
  <c r="Z302" i="1"/>
  <c r="BN302" i="1"/>
  <c r="Z308" i="1"/>
  <c r="BN308" i="1"/>
  <c r="BP308" i="1"/>
  <c r="Z310" i="1"/>
  <c r="Z311" i="1" s="1"/>
  <c r="BN310" i="1"/>
  <c r="Z314" i="1"/>
  <c r="Z317" i="1" s="1"/>
  <c r="BN314" i="1"/>
  <c r="BP314" i="1"/>
  <c r="Z316" i="1"/>
  <c r="BN316" i="1"/>
  <c r="Y317" i="1"/>
  <c r="Z320" i="1"/>
  <c r="Z324" i="1" s="1"/>
  <c r="BN320" i="1"/>
  <c r="BP320" i="1"/>
  <c r="Z322" i="1"/>
  <c r="BN322" i="1"/>
  <c r="Y325" i="1"/>
  <c r="Z328" i="1"/>
  <c r="Z330" i="1" s="1"/>
  <c r="BN328" i="1"/>
  <c r="BP328" i="1"/>
  <c r="R498" i="1"/>
  <c r="Z335" i="1"/>
  <c r="Z337" i="1" s="1"/>
  <c r="BN335" i="1"/>
  <c r="BP335" i="1"/>
  <c r="Y338" i="1"/>
  <c r="S498" i="1"/>
  <c r="Z343" i="1"/>
  <c r="BN343" i="1"/>
  <c r="Z345" i="1"/>
  <c r="BN345" i="1"/>
  <c r="Z347" i="1"/>
  <c r="BN347" i="1"/>
  <c r="Y350" i="1"/>
  <c r="Z353" i="1"/>
  <c r="Z354" i="1" s="1"/>
  <c r="BN353" i="1"/>
  <c r="BP353" i="1"/>
  <c r="Z357" i="1"/>
  <c r="Z359" i="1" s="1"/>
  <c r="BN357" i="1"/>
  <c r="BP357" i="1"/>
  <c r="Y360" i="1"/>
  <c r="T498" i="1"/>
  <c r="Z368" i="1"/>
  <c r="Z369" i="1" s="1"/>
  <c r="BN368" i="1"/>
  <c r="BP368" i="1"/>
  <c r="Y369" i="1"/>
  <c r="Z372" i="1"/>
  <c r="Z374" i="1" s="1"/>
  <c r="BN372" i="1"/>
  <c r="BP372" i="1"/>
  <c r="Y375" i="1"/>
  <c r="Z378" i="1"/>
  <c r="Z379" i="1" s="1"/>
  <c r="BN378" i="1"/>
  <c r="BP378" i="1"/>
  <c r="Z384" i="1"/>
  <c r="BN384" i="1"/>
  <c r="BP384" i="1"/>
  <c r="Z386" i="1"/>
  <c r="BN386" i="1"/>
  <c r="Z388" i="1"/>
  <c r="BN388" i="1"/>
  <c r="Z390" i="1"/>
  <c r="BN390" i="1"/>
  <c r="Z392" i="1"/>
  <c r="BN392" i="1"/>
  <c r="Y393" i="1"/>
  <c r="Z396" i="1"/>
  <c r="Z398" i="1" s="1"/>
  <c r="BN396" i="1"/>
  <c r="BP396" i="1"/>
  <c r="Y399" i="1"/>
  <c r="Y404" i="1"/>
  <c r="Z407" i="1"/>
  <c r="Z410" i="1" s="1"/>
  <c r="BN407" i="1"/>
  <c r="Z409" i="1"/>
  <c r="BN409" i="1"/>
  <c r="Y410" i="1"/>
  <c r="Z414" i="1"/>
  <c r="Z415" i="1" s="1"/>
  <c r="BN414" i="1"/>
  <c r="BP414" i="1"/>
  <c r="X498" i="1"/>
  <c r="BP423" i="1"/>
  <c r="BN423" i="1"/>
  <c r="Z423" i="1"/>
  <c r="BP427" i="1"/>
  <c r="BN427" i="1"/>
  <c r="Z427" i="1"/>
  <c r="Y349" i="1"/>
  <c r="Y394" i="1"/>
  <c r="W498" i="1"/>
  <c r="Y416" i="1"/>
  <c r="BP421" i="1"/>
  <c r="BN421" i="1"/>
  <c r="Z421" i="1"/>
  <c r="Z431" i="1" s="1"/>
  <c r="BP425" i="1"/>
  <c r="BN425" i="1"/>
  <c r="Z425" i="1"/>
  <c r="Z437" i="1"/>
  <c r="Z467" i="1"/>
  <c r="Z429" i="1"/>
  <c r="BN429" i="1"/>
  <c r="Y432" i="1"/>
  <c r="Z435" i="1"/>
  <c r="BN435" i="1"/>
  <c r="BP435" i="1"/>
  <c r="Z441" i="1"/>
  <c r="Z446" i="1" s="1"/>
  <c r="BN441" i="1"/>
  <c r="Z443" i="1"/>
  <c r="BN443" i="1"/>
  <c r="Z445" i="1"/>
  <c r="BN445" i="1"/>
  <c r="Y446" i="1"/>
  <c r="Z449" i="1"/>
  <c r="BN449" i="1"/>
  <c r="BP449" i="1"/>
  <c r="Z451" i="1"/>
  <c r="BN451" i="1"/>
  <c r="Y452" i="1"/>
  <c r="Z457" i="1"/>
  <c r="BN457" i="1"/>
  <c r="BP457" i="1"/>
  <c r="Z459" i="1"/>
  <c r="BN459" i="1"/>
  <c r="Y462" i="1"/>
  <c r="Z465" i="1"/>
  <c r="BN465" i="1"/>
  <c r="BP465" i="1"/>
  <c r="Z471" i="1"/>
  <c r="Z472" i="1" s="1"/>
  <c r="BN471" i="1"/>
  <c r="Y472" i="1"/>
  <c r="Z475" i="1"/>
  <c r="Z476" i="1" s="1"/>
  <c r="BN475" i="1"/>
  <c r="BP475" i="1"/>
  <c r="Y476" i="1"/>
  <c r="Z479" i="1"/>
  <c r="BN479" i="1"/>
  <c r="BP479" i="1"/>
  <c r="Y482" i="1"/>
  <c r="Y487" i="1"/>
  <c r="Y498" i="1"/>
  <c r="Y431" i="1"/>
  <c r="Z480" i="1"/>
  <c r="BN480" i="1"/>
  <c r="Z485" i="1"/>
  <c r="Z486" i="1" s="1"/>
  <c r="BN485" i="1"/>
  <c r="BP485" i="1"/>
  <c r="Y486" i="1"/>
  <c r="Y491" i="1" l="1"/>
  <c r="Z481" i="1"/>
  <c r="Z461" i="1"/>
  <c r="Z452" i="1"/>
  <c r="Z393" i="1"/>
  <c r="Z274" i="1"/>
  <c r="Z234" i="1"/>
  <c r="Z203" i="1"/>
  <c r="Z116" i="1"/>
  <c r="Z109" i="1"/>
  <c r="Z76" i="1"/>
  <c r="Z69" i="1"/>
  <c r="Z63" i="1"/>
  <c r="Z493" i="1" s="1"/>
  <c r="Y488" i="1"/>
  <c r="X491" i="1"/>
</calcChain>
</file>

<file path=xl/sharedStrings.xml><?xml version="1.0" encoding="utf-8"?>
<sst xmlns="http://schemas.openxmlformats.org/spreadsheetml/2006/main" count="2268" uniqueCount="760">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</sst>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69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1"/>
      <c r="F1" s="571"/>
      <c r="G1" s="12" t="s">
        <v>1</v>
      </c>
      <c r="H1" s="61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70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8"/>
      <c r="C5" s="629"/>
      <c r="D5" s="617"/>
      <c r="E5" s="618"/>
      <c r="F5" s="822" t="s">
        <v>9</v>
      </c>
      <c r="G5" s="629"/>
      <c r="H5" s="617"/>
      <c r="I5" s="761"/>
      <c r="J5" s="761"/>
      <c r="K5" s="761"/>
      <c r="L5" s="761"/>
      <c r="M5" s="618"/>
      <c r="N5" s="58"/>
      <c r="P5" s="24" t="s">
        <v>10</v>
      </c>
      <c r="Q5" s="836">
        <v>45984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8"/>
      <c r="C6" s="629"/>
      <c r="D6" s="764" t="s">
        <v>14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15</v>
      </c>
      <c r="Q6" s="844" t="str">
        <f>IF(Q5=0," ",CHOOSE(WEEKDAY(Q5,2),"Понедельник","Вторник","Среда","Четверг","Пятница","Суббота","Воскресенье"))</f>
        <v>Воскресенье</v>
      </c>
      <c r="R6" s="547"/>
      <c r="T6" s="704" t="s">
        <v>16</v>
      </c>
      <c r="U6" s="700"/>
      <c r="V6" s="747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3"/>
      <c r="U7" s="700"/>
      <c r="V7" s="748"/>
      <c r="W7" s="749"/>
      <c r="AB7" s="51"/>
      <c r="AC7" s="51"/>
      <c r="AD7" s="51"/>
      <c r="AE7" s="51"/>
    </row>
    <row r="8" spans="1:32" s="533" customFormat="1" ht="25.5" customHeight="1" x14ac:dyDescent="0.2">
      <c r="A8" s="857" t="s">
        <v>18</v>
      </c>
      <c r="B8" s="558"/>
      <c r="C8" s="559"/>
      <c r="D8" s="609" t="s">
        <v>19</v>
      </c>
      <c r="E8" s="610"/>
      <c r="F8" s="610"/>
      <c r="G8" s="610"/>
      <c r="H8" s="610"/>
      <c r="I8" s="610"/>
      <c r="J8" s="610"/>
      <c r="K8" s="610"/>
      <c r="L8" s="610"/>
      <c r="M8" s="611"/>
      <c r="N8" s="61"/>
      <c r="P8" s="24" t="s">
        <v>20</v>
      </c>
      <c r="Q8" s="658">
        <v>0.375</v>
      </c>
      <c r="R8" s="598"/>
      <c r="T8" s="553"/>
      <c r="U8" s="700"/>
      <c r="V8" s="748"/>
      <c r="W8" s="749"/>
      <c r="AB8" s="51"/>
      <c r="AC8" s="51"/>
      <c r="AD8" s="51"/>
      <c r="AE8" s="51"/>
    </row>
    <row r="9" spans="1:32" s="533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69"/>
      <c r="E9" s="556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0"/>
      <c r="W9" s="751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69"/>
      <c r="E10" s="556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1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7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58"/>
      <c r="R12" s="598"/>
      <c r="S12" s="23"/>
      <c r="U12" s="24"/>
      <c r="V12" s="571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87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8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1" t="s">
        <v>35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6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3" t="s">
        <v>51</v>
      </c>
      <c r="V17" s="629"/>
      <c r="W17" s="581" t="s">
        <v>52</v>
      </c>
      <c r="X17" s="581" t="s">
        <v>53</v>
      </c>
      <c r="Y17" s="854" t="s">
        <v>54</v>
      </c>
      <c r="Z17" s="759" t="s">
        <v>55</v>
      </c>
      <c r="AA17" s="738" t="s">
        <v>56</v>
      </c>
      <c r="AB17" s="738" t="s">
        <v>57</v>
      </c>
      <c r="AC17" s="738" t="s">
        <v>58</v>
      </c>
      <c r="AD17" s="738" t="s">
        <v>59</v>
      </c>
      <c r="AE17" s="816"/>
      <c r="AF17" s="817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5"/>
      <c r="Z18" s="760"/>
      <c r="AA18" s="739"/>
      <c r="AB18" s="739"/>
      <c r="AC18" s="739"/>
      <c r="AD18" s="818"/>
      <c r="AE18" s="819"/>
      <c r="AF18" s="820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7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8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8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7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8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8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7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8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8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200</v>
      </c>
      <c r="Y40" s="540">
        <f>IFERROR(IF(X40="",0,CEILING((X40/$H40),1)*$H40),"")</f>
        <v>205.20000000000002</v>
      </c>
      <c r="Z40" s="36">
        <f>IFERROR(IF(Y40=0,"",ROUNDUP(Y40/H40,0)*0.01898),"")</f>
        <v>0.36062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207.59259259259258</v>
      </c>
      <c r="BN40" s="64">
        <f>IFERROR(Y40*I40/H40,"0")</f>
        <v>212.99</v>
      </c>
      <c r="BO40" s="64">
        <f>IFERROR(1/J40*(X40/H40),"0")</f>
        <v>0.28935185185185186</v>
      </c>
      <c r="BP40" s="64">
        <f>IFERROR(1/J40*(Y40/H40),"0")</f>
        <v>0.296875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200</v>
      </c>
      <c r="Y41" s="540">
        <f>IFERROR(IF(X41="",0,CEILING((X41/$H41),1)*$H41),"")</f>
        <v>200</v>
      </c>
      <c r="Z41" s="36">
        <f>IFERROR(IF(Y41=0,"",ROUNDUP(Y41/H41,0)*0.00902),"")</f>
        <v>0.45100000000000001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209.50000000000003</v>
      </c>
      <c r="BN41" s="64">
        <f>IFERROR(Y41*I41/H41,"0")</f>
        <v>209.50000000000003</v>
      </c>
      <c r="BO41" s="64">
        <f>IFERROR(1/J41*(X41/H41),"0")</f>
        <v>0.37878787878787878</v>
      </c>
      <c r="BP41" s="64">
        <f>IFERROR(1/J41*(Y41/H41),"0")</f>
        <v>0.37878787878787878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7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8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68.518518518518519</v>
      </c>
      <c r="Y43" s="541">
        <f>IFERROR(Y40/H40,"0")+IFERROR(Y41/H41,"0")+IFERROR(Y42/H42,"0")</f>
        <v>69</v>
      </c>
      <c r="Z43" s="541">
        <f>IFERROR(IF(Z40="",0,Z40),"0")+IFERROR(IF(Z41="",0,Z41),"0")+IFERROR(IF(Z42="",0,Z42),"0")</f>
        <v>0.81162000000000001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8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400</v>
      </c>
      <c r="Y44" s="541">
        <f>IFERROR(SUM(Y40:Y42),"0")</f>
        <v>405.20000000000005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7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8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8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116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200</v>
      </c>
      <c r="Y52" s="540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360</v>
      </c>
      <c r="Y56" s="540">
        <f t="shared" si="0"/>
        <v>360</v>
      </c>
      <c r="Z56" s="36">
        <f>IFERROR(IF(Y56=0,"",ROUNDUP(Y56/H56,0)*0.00902),"")</f>
        <v>0.72160000000000002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375.20000000000005</v>
      </c>
      <c r="BN56" s="64">
        <f t="shared" si="2"/>
        <v>375.20000000000005</v>
      </c>
      <c r="BO56" s="64">
        <f t="shared" si="3"/>
        <v>0.60606060606060608</v>
      </c>
      <c r="BP56" s="64">
        <f t="shared" si="4"/>
        <v>0.60606060606060608</v>
      </c>
    </row>
    <row r="57" spans="1:68" x14ac:dyDescent="0.2">
      <c r="A57" s="567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8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98.518518518518519</v>
      </c>
      <c r="Y57" s="541">
        <f>IFERROR(Y51/H51,"0")+IFERROR(Y52/H52,"0")+IFERROR(Y53/H53,"0")+IFERROR(Y54/H54,"0")+IFERROR(Y55/H55,"0")+IFERROR(Y56/H56,"0")</f>
        <v>99</v>
      </c>
      <c r="Z57" s="541">
        <f>IFERROR(IF(Z51="",0,Z51),"0")+IFERROR(IF(Z52="",0,Z52),"0")+IFERROR(IF(Z53="",0,Z53),"0")+IFERROR(IF(Z54="",0,Z54),"0")+IFERROR(IF(Z55="",0,Z55),"0")+IFERROR(IF(Z56="",0,Z56),"0")</f>
        <v>1.08222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8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560</v>
      </c>
      <c r="Y58" s="541">
        <f>IFERROR(SUM(Y51:Y56),"0")</f>
        <v>565.20000000000005</v>
      </c>
      <c r="Z58" s="37"/>
      <c r="AA58" s="542"/>
      <c r="AB58" s="542"/>
      <c r="AC58" s="542"/>
    </row>
    <row r="59" spans="1:68" ht="14.25" customHeight="1" x14ac:dyDescent="0.25">
      <c r="A59" s="554" t="s">
        <v>135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200</v>
      </c>
      <c r="Y60" s="540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207.59259259259258</v>
      </c>
      <c r="BN60" s="64">
        <f>IFERROR(Y60*I60/H60,"0")</f>
        <v>212.99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135</v>
      </c>
      <c r="Y62" s="540">
        <f>IFERROR(IF(X62="",0,CEILING((X62/$H62),1)*$H62),"")</f>
        <v>135</v>
      </c>
      <c r="Z62" s="36">
        <f>IFERROR(IF(Y62=0,"",ROUNDUP(Y62/H62,0)*0.00651),"")</f>
        <v>0.32550000000000001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144</v>
      </c>
      <c r="BN62" s="64">
        <f>IFERROR(Y62*I62/H62,"0")</f>
        <v>144</v>
      </c>
      <c r="BO62" s="64">
        <f>IFERROR(1/J62*(X62/H62),"0")</f>
        <v>0.27472527472527475</v>
      </c>
      <c r="BP62" s="64">
        <f>IFERROR(1/J62*(Y62/H62),"0")</f>
        <v>0.27472527472527475</v>
      </c>
    </row>
    <row r="63" spans="1:68" x14ac:dyDescent="0.2">
      <c r="A63" s="567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8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68.518518518518519</v>
      </c>
      <c r="Y63" s="541">
        <f>IFERROR(Y60/H60,"0")+IFERROR(Y61/H61,"0")+IFERROR(Y62/H62,"0")</f>
        <v>69</v>
      </c>
      <c r="Z63" s="541">
        <f>IFERROR(IF(Z60="",0,Z60),"0")+IFERROR(IF(Z61="",0,Z61),"0")+IFERROR(IF(Z62="",0,Z62),"0")</f>
        <v>0.68612000000000006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8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335</v>
      </c>
      <c r="Y64" s="541">
        <f>IFERROR(SUM(Y60:Y62),"0")</f>
        <v>340.20000000000005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7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8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8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7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8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8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163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30</v>
      </c>
      <c r="Y79" s="540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7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8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3.8461538461538463</v>
      </c>
      <c r="Y81" s="541">
        <f>IFERROR(Y79/H79,"0")+IFERROR(Y80/H80,"0")</f>
        <v>4</v>
      </c>
      <c r="Z81" s="541">
        <f>IFERROR(IF(Z79="",0,Z79),"0")+IFERROR(IF(Z80="",0,Z80),"0")</f>
        <v>7.5920000000000001E-2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8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30</v>
      </c>
      <c r="Y82" s="541">
        <f>IFERROR(SUM(Y79:Y80),"0")</f>
        <v>31.2</v>
      </c>
      <c r="Z82" s="37"/>
      <c r="AA82" s="542"/>
      <c r="AB82" s="542"/>
      <c r="AC82" s="542"/>
    </row>
    <row r="83" spans="1:68" ht="16.5" customHeight="1" x14ac:dyDescent="0.25">
      <c r="A83" s="552" t="s">
        <v>170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150</v>
      </c>
      <c r="Y85" s="540">
        <f>IFERROR(IF(X85="",0,CEILING((X85/$H85),1)*$H85),"")</f>
        <v>151.20000000000002</v>
      </c>
      <c r="Z85" s="36">
        <f>IFERROR(IF(Y85=0,"",ROUNDUP(Y85/H85,0)*0.01898),"")</f>
        <v>0.26572000000000001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155.69444444444446</v>
      </c>
      <c r="BN85" s="64">
        <f>IFERROR(Y85*I85/H85,"0")</f>
        <v>156.94</v>
      </c>
      <c r="BO85" s="64">
        <f>IFERROR(1/J85*(X85/H85),"0")</f>
        <v>0.21701388888888887</v>
      </c>
      <c r="BP85" s="64">
        <f>IFERROR(1/J85*(Y85/H85),"0")</f>
        <v>0.21875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360</v>
      </c>
      <c r="Y87" s="540">
        <f>IFERROR(IF(X87="",0,CEILING((X87/$H87),1)*$H87),"")</f>
        <v>360</v>
      </c>
      <c r="Z87" s="36">
        <f>IFERROR(IF(Y87=0,"",ROUNDUP(Y87/H87,0)*0.00902),"")</f>
        <v>0.72160000000000002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375.20000000000005</v>
      </c>
      <c r="BN87" s="64">
        <f>IFERROR(Y87*I87/H87,"0")</f>
        <v>375.20000000000005</v>
      </c>
      <c r="BO87" s="64">
        <f>IFERROR(1/J87*(X87/H87),"0")</f>
        <v>0.60606060606060608</v>
      </c>
      <c r="BP87" s="64">
        <f>IFERROR(1/J87*(Y87/H87),"0")</f>
        <v>0.60606060606060608</v>
      </c>
    </row>
    <row r="88" spans="1:68" x14ac:dyDescent="0.2">
      <c r="A88" s="567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8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93.888888888888886</v>
      </c>
      <c r="Y88" s="541">
        <f>IFERROR(Y85/H85,"0")+IFERROR(Y86/H86,"0")+IFERROR(Y87/H87,"0")</f>
        <v>94</v>
      </c>
      <c r="Z88" s="541">
        <f>IFERROR(IF(Z85="",0,Z85),"0")+IFERROR(IF(Z86="",0,Z86),"0")+IFERROR(IF(Z87="",0,Z87),"0")</f>
        <v>0.98731999999999998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8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510</v>
      </c>
      <c r="Y89" s="541">
        <f>IFERROR(SUM(Y85:Y87),"0")</f>
        <v>511.20000000000005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300</v>
      </c>
      <c r="Y91" s="540">
        <f>IFERROR(IF(X91="",0,CEILING((X91/$H91),1)*$H91),"")</f>
        <v>307.8</v>
      </c>
      <c r="Z91" s="36">
        <f>IFERROR(IF(Y91=0,"",ROUNDUP(Y91/H91,0)*0.01898),"")</f>
        <v>0.72123999999999999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318.2962962962963</v>
      </c>
      <c r="BN91" s="64">
        <f>IFERROR(Y91*I91/H91,"0")</f>
        <v>326.572</v>
      </c>
      <c r="BO91" s="64">
        <f>IFERROR(1/J91*(X91/H91),"0")</f>
        <v>0.57870370370370372</v>
      </c>
      <c r="BP91" s="64">
        <f>IFERROR(1/J91*(Y91/H91),"0")</f>
        <v>0.59375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315</v>
      </c>
      <c r="Y93" s="540">
        <f>IFERROR(IF(X93="",0,CEILING((X93/$H93),1)*$H93),"")</f>
        <v>315.90000000000003</v>
      </c>
      <c r="Z93" s="36">
        <f>IFERROR(IF(Y93=0,"",ROUNDUP(Y93/H93,0)*0.00651),"")</f>
        <v>0.76167000000000007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344.4</v>
      </c>
      <c r="BN93" s="64">
        <f>IFERROR(Y93*I93/H93,"0")</f>
        <v>345.38400000000001</v>
      </c>
      <c r="BO93" s="64">
        <f>IFERROR(1/J93*(X93/H93),"0")</f>
        <v>0.64102564102564097</v>
      </c>
      <c r="BP93" s="64">
        <f>IFERROR(1/J93*(Y93/H93),"0")</f>
        <v>0.6428571428571429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7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8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153.7037037037037</v>
      </c>
      <c r="Y95" s="541">
        <f>IFERROR(Y91/H91,"0")+IFERROR(Y92/H92,"0")+IFERROR(Y93/H93,"0")+IFERROR(Y94/H94,"0")</f>
        <v>155</v>
      </c>
      <c r="Z95" s="541">
        <f>IFERROR(IF(Z91="",0,Z91),"0")+IFERROR(IF(Z92="",0,Z92),"0")+IFERROR(IF(Z93="",0,Z93),"0")+IFERROR(IF(Z94="",0,Z94),"0")</f>
        <v>1.48291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8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615</v>
      </c>
      <c r="Y96" s="541">
        <f>IFERROR(SUM(Y91:Y94),"0")</f>
        <v>623.70000000000005</v>
      </c>
      <c r="Z96" s="37"/>
      <c r="AA96" s="542"/>
      <c r="AB96" s="542"/>
      <c r="AC96" s="542"/>
    </row>
    <row r="97" spans="1:68" ht="16.5" customHeight="1" x14ac:dyDescent="0.25">
      <c r="A97" s="552" t="s">
        <v>189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50</v>
      </c>
      <c r="Y99" s="540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450</v>
      </c>
      <c r="Y101" s="540">
        <f>IFERROR(IF(X101="",0,CEILING((X101/$H101),1)*$H101),"")</f>
        <v>450</v>
      </c>
      <c r="Z101" s="36">
        <f>IFERROR(IF(Y101=0,"",ROUNDUP(Y101/H101,0)*0.00902),"")</f>
        <v>0.90200000000000002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469</v>
      </c>
      <c r="BN101" s="64">
        <f>IFERROR(Y101*I101/H101,"0")</f>
        <v>469</v>
      </c>
      <c r="BO101" s="64">
        <f>IFERROR(1/J101*(X101/H101),"0")</f>
        <v>0.75757575757575757</v>
      </c>
      <c r="BP101" s="64">
        <f>IFERROR(1/J101*(Y101/H101),"0")</f>
        <v>0.75757575757575757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7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8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104.62962962962963</v>
      </c>
      <c r="Y103" s="541">
        <f>IFERROR(Y99/H99,"0")+IFERROR(Y100/H100,"0")+IFERROR(Y101/H101,"0")+IFERROR(Y102/H102,"0")</f>
        <v>105</v>
      </c>
      <c r="Z103" s="541">
        <f>IFERROR(IF(Z99="",0,Z99),"0")+IFERROR(IF(Z100="",0,Z100),"0")+IFERROR(IF(Z101="",0,Z101),"0")+IFERROR(IF(Z102="",0,Z102),"0")</f>
        <v>0.99690000000000001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8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500</v>
      </c>
      <c r="Y104" s="541">
        <f>IFERROR(SUM(Y99:Y102),"0")</f>
        <v>504</v>
      </c>
      <c r="Z104" s="37"/>
      <c r="AA104" s="542"/>
      <c r="AB104" s="542"/>
      <c r="AC104" s="542"/>
    </row>
    <row r="105" spans="1:68" ht="14.25" customHeight="1" x14ac:dyDescent="0.25">
      <c r="A105" s="554" t="s">
        <v>135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7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8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8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400</v>
      </c>
      <c r="Y112" s="540">
        <f>IFERROR(IF(X112="",0,CEILING((X112/$H112),1)*$H112),"")</f>
        <v>405</v>
      </c>
      <c r="Z112" s="36">
        <f>IFERROR(IF(Y112=0,"",ROUNDUP(Y112/H112,0)*0.01898),"")</f>
        <v>0.94900000000000007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424.09876543209879</v>
      </c>
      <c r="BN112" s="64">
        <f>IFERROR(Y112*I112/H112,"0")</f>
        <v>429.4</v>
      </c>
      <c r="BO112" s="64">
        <f>IFERROR(1/J112*(X112/H112),"0")</f>
        <v>0.77160493827160492</v>
      </c>
      <c r="BP112" s="64">
        <f>IFERROR(1/J112*(Y112/H112),"0")</f>
        <v>0.78125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360</v>
      </c>
      <c r="Y114" s="540">
        <f>IFERROR(IF(X114="",0,CEILING((X114/$H114),1)*$H114),"")</f>
        <v>361.8</v>
      </c>
      <c r="Z114" s="36">
        <f>IFERROR(IF(Y114=0,"",ROUNDUP(Y114/H114,0)*0.00651),"")</f>
        <v>0.87234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393.59999999999997</v>
      </c>
      <c r="BN114" s="64">
        <f>IFERROR(Y114*I114/H114,"0")</f>
        <v>395.56799999999998</v>
      </c>
      <c r="BO114" s="64">
        <f>IFERROR(1/J114*(X114/H114),"0")</f>
        <v>0.73260073260073255</v>
      </c>
      <c r="BP114" s="64">
        <f>IFERROR(1/J114*(Y114/H114),"0")</f>
        <v>0.73626373626373631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213</v>
      </c>
      <c r="M115" s="33" t="s">
        <v>77</v>
      </c>
      <c r="N115" s="33"/>
      <c r="O115" s="32">
        <v>45</v>
      </c>
      <c r="P115" s="71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24</v>
      </c>
      <c r="Y115" s="540">
        <f>IFERROR(IF(X115="",0,CEILING((X115/$H115),1)*$H115),"")</f>
        <v>25.2</v>
      </c>
      <c r="Z115" s="36">
        <f>IFERROR(IF(Y115=0,"",ROUNDUP(Y115/H115,0)*0.00651),"")</f>
        <v>9.1139999999999999E-2</v>
      </c>
      <c r="AA115" s="56"/>
      <c r="AB115" s="57"/>
      <c r="AC115" s="161" t="s">
        <v>216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26.4</v>
      </c>
      <c r="BN115" s="64">
        <f>IFERROR(Y115*I115/H115,"0")</f>
        <v>27.72</v>
      </c>
      <c r="BO115" s="64">
        <f>IFERROR(1/J115*(X115/H115),"0")</f>
        <v>7.3260073260073263E-2</v>
      </c>
      <c r="BP115" s="64">
        <f>IFERROR(1/J115*(Y115/H115),"0")</f>
        <v>7.6923076923076927E-2</v>
      </c>
    </row>
    <row r="116" spans="1:68" x14ac:dyDescent="0.2">
      <c r="A116" s="567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8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196.04938271604937</v>
      </c>
      <c r="Y116" s="541">
        <f>IFERROR(Y112/H112,"0")+IFERROR(Y113/H113,"0")+IFERROR(Y114/H114,"0")+IFERROR(Y115/H115,"0")</f>
        <v>198</v>
      </c>
      <c r="Z116" s="541">
        <f>IFERROR(IF(Z112="",0,Z112),"0")+IFERROR(IF(Z113="",0,Z113),"0")+IFERROR(IF(Z114="",0,Z114),"0")+IFERROR(IF(Z115="",0,Z115),"0")</f>
        <v>1.9124800000000002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8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784</v>
      </c>
      <c r="Y117" s="541">
        <f>IFERROR(SUM(Y112:Y115),"0")</f>
        <v>792</v>
      </c>
      <c r="Z117" s="37"/>
      <c r="AA117" s="542"/>
      <c r="AB117" s="542"/>
      <c r="AC117" s="542"/>
    </row>
    <row r="118" spans="1:68" ht="14.25" customHeight="1" x14ac:dyDescent="0.25">
      <c r="A118" s="554" t="s">
        <v>163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213</v>
      </c>
      <c r="M119" s="33" t="s">
        <v>77</v>
      </c>
      <c r="N119" s="33"/>
      <c r="O119" s="32">
        <v>40</v>
      </c>
      <c r="P11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33</v>
      </c>
      <c r="Y119" s="540">
        <f>IFERROR(IF(X119="",0,CEILING((X119/$H119),1)*$H119),"")</f>
        <v>33.659999999999997</v>
      </c>
      <c r="Z119" s="36">
        <f>IFERROR(IF(Y119=0,"",ROUNDUP(Y119/H119,0)*0.00651),"")</f>
        <v>0.11067</v>
      </c>
      <c r="AA119" s="56"/>
      <c r="AB119" s="57"/>
      <c r="AC119" s="163" t="s">
        <v>219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37.299999999999997</v>
      </c>
      <c r="BN119" s="64">
        <f>IFERROR(Y119*I119/H119,"0")</f>
        <v>38.045999999999992</v>
      </c>
      <c r="BO119" s="64">
        <f>IFERROR(1/J119*(X119/H119),"0")</f>
        <v>9.1575091575091583E-2</v>
      </c>
      <c r="BP119" s="64">
        <f>IFERROR(1/J119*(Y119/H119),"0")</f>
        <v>9.3406593406593408E-2</v>
      </c>
    </row>
    <row r="120" spans="1:68" x14ac:dyDescent="0.2">
      <c r="A120" s="567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8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16.666666666666668</v>
      </c>
      <c r="Y120" s="541">
        <f>IFERROR(Y119/H119,"0")</f>
        <v>17</v>
      </c>
      <c r="Z120" s="541">
        <f>IFERROR(IF(Z119="",0,Z119),"0")</f>
        <v>0.11067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8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33</v>
      </c>
      <c r="Y121" s="541">
        <f>IFERROR(SUM(Y119:Y119),"0")</f>
        <v>33.659999999999997</v>
      </c>
      <c r="Z121" s="37"/>
      <c r="AA121" s="542"/>
      <c r="AB121" s="542"/>
      <c r="AC121" s="542"/>
    </row>
    <row r="122" spans="1:68" ht="16.5" customHeight="1" x14ac:dyDescent="0.25">
      <c r="A122" s="552" t="s">
        <v>220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213</v>
      </c>
      <c r="M124" s="33" t="s">
        <v>94</v>
      </c>
      <c r="N124" s="33"/>
      <c r="O124" s="32">
        <v>90</v>
      </c>
      <c r="P124" s="85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48</v>
      </c>
      <c r="Y124" s="540">
        <f>IFERROR(IF(X124="",0,CEILING((X124/$H124),1)*$H124),"")</f>
        <v>48</v>
      </c>
      <c r="Z124" s="36">
        <f>IFERROR(IF(Y124=0,"",ROUNDUP(Y124/H124,0)*0.00651),"")</f>
        <v>9.7650000000000001E-2</v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50.7</v>
      </c>
      <c r="BN124" s="64">
        <f>IFERROR(Y124*I124/H124,"0")</f>
        <v>50.7</v>
      </c>
      <c r="BO124" s="64">
        <f>IFERROR(1/J124*(X124/H124),"0")</f>
        <v>8.241758241758243E-2</v>
      </c>
      <c r="BP124" s="64">
        <f>IFERROR(1/J124*(Y124/H124),"0")</f>
        <v>8.241758241758243E-2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7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8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15</v>
      </c>
      <c r="Y126" s="541">
        <f>IFERROR(Y124/H124,"0")+IFERROR(Y125/H125,"0")</f>
        <v>15</v>
      </c>
      <c r="Z126" s="541">
        <f>IFERROR(IF(Z124="",0,Z124),"0")+IFERROR(IF(Z125="",0,Z125),"0")</f>
        <v>9.7650000000000001E-2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8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48</v>
      </c>
      <c r="Y127" s="541">
        <f>IFERROR(SUM(Y124:Y125),"0")</f>
        <v>48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213</v>
      </c>
      <c r="M130" s="33" t="s">
        <v>94</v>
      </c>
      <c r="N130" s="33"/>
      <c r="O130" s="32">
        <v>90</v>
      </c>
      <c r="P130" s="7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38.5</v>
      </c>
      <c r="Y130" s="540">
        <f>IFERROR(IF(X130="",0,CEILING((X130/$H130),1)*$H130),"")</f>
        <v>39.199999999999996</v>
      </c>
      <c r="Z130" s="36">
        <f>IFERROR(IF(Y130=0,"",ROUNDUP(Y130/H130,0)*0.00651),"")</f>
        <v>9.1139999999999999E-2</v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42.185000000000009</v>
      </c>
      <c r="BN130" s="64">
        <f>IFERROR(Y130*I130/H130,"0")</f>
        <v>42.951999999999998</v>
      </c>
      <c r="BO130" s="64">
        <f>IFERROR(1/J130*(X130/H130),"0")</f>
        <v>7.5549450549450559E-2</v>
      </c>
      <c r="BP130" s="64">
        <f>IFERROR(1/J130*(Y130/H130),"0")</f>
        <v>7.6923076923076927E-2</v>
      </c>
    </row>
    <row r="131" spans="1:68" x14ac:dyDescent="0.2">
      <c r="A131" s="567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8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13.75</v>
      </c>
      <c r="Y131" s="541">
        <f>IFERROR(Y129/H129,"0")+IFERROR(Y130/H130,"0")</f>
        <v>14</v>
      </c>
      <c r="Z131" s="541">
        <f>IFERROR(IF(Z129="",0,Z129),"0")+IFERROR(IF(Z130="",0,Z130),"0")</f>
        <v>9.1139999999999999E-2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8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38.5</v>
      </c>
      <c r="Y132" s="541">
        <f>IFERROR(SUM(Y129:Y130),"0")</f>
        <v>39.199999999999996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213</v>
      </c>
      <c r="M135" s="33" t="s">
        <v>94</v>
      </c>
      <c r="N135" s="33"/>
      <c r="O135" s="32">
        <v>60</v>
      </c>
      <c r="P135" s="8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39.6</v>
      </c>
      <c r="Y135" s="540">
        <f>IFERROR(IF(X135="",0,CEILING((X135/$H135),1)*$H135),"")</f>
        <v>39.6</v>
      </c>
      <c r="Z135" s="36">
        <f>IFERROR(IF(Y135=0,"",ROUNDUP(Y135/H135,0)*0.00651),"")</f>
        <v>9.7650000000000001E-2</v>
      </c>
      <c r="AA135" s="56"/>
      <c r="AB135" s="57"/>
      <c r="AC135" s="175" t="s">
        <v>223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43.62</v>
      </c>
      <c r="BN135" s="64">
        <f>IFERROR(Y135*I135/H135,"0")</f>
        <v>43.62</v>
      </c>
      <c r="BO135" s="64">
        <f>IFERROR(1/J135*(X135/H135),"0")</f>
        <v>8.241758241758243E-2</v>
      </c>
      <c r="BP135" s="64">
        <f>IFERROR(1/J135*(Y135/H135),"0")</f>
        <v>8.241758241758243E-2</v>
      </c>
    </row>
    <row r="136" spans="1:68" x14ac:dyDescent="0.2">
      <c r="A136" s="567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8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15</v>
      </c>
      <c r="Y136" s="541">
        <f>IFERROR(Y134/H134,"0")+IFERROR(Y135/H135,"0")</f>
        <v>15</v>
      </c>
      <c r="Z136" s="541">
        <f>IFERROR(IF(Z134="",0,Z134),"0")+IFERROR(IF(Z135="",0,Z135),"0")</f>
        <v>9.7650000000000001E-2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8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39.6</v>
      </c>
      <c r="Y137" s="541">
        <f>IFERROR(SUM(Y134:Y135),"0")</f>
        <v>39.6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7"/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68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x14ac:dyDescent="0.2">
      <c r="A143" s="553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8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customHeight="1" x14ac:dyDescent="0.25">
      <c r="A144" s="554" t="s">
        <v>64</v>
      </c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53"/>
      <c r="P144" s="553"/>
      <c r="Q144" s="553"/>
      <c r="R144" s="553"/>
      <c r="S144" s="553"/>
      <c r="T144" s="553"/>
      <c r="U144" s="553"/>
      <c r="V144" s="553"/>
      <c r="W144" s="553"/>
      <c r="X144" s="553"/>
      <c r="Y144" s="553"/>
      <c r="Z144" s="553"/>
      <c r="AA144" s="535"/>
      <c r="AB144" s="535"/>
      <c r="AC144" s="535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6">
        <v>4607091387667</v>
      </c>
      <c r="E145" s="547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8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4"/>
      <c r="R145" s="544"/>
      <c r="S145" s="544"/>
      <c r="T145" s="545"/>
      <c r="U145" s="34"/>
      <c r="V145" s="34"/>
      <c r="W145" s="35" t="s">
        <v>69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6">
        <v>4607091387636</v>
      </c>
      <c r="E146" s="547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2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6">
        <v>4607091382426</v>
      </c>
      <c r="E147" s="547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7"/>
      <c r="B148" s="553"/>
      <c r="C148" s="553"/>
      <c r="D148" s="553"/>
      <c r="E148" s="553"/>
      <c r="F148" s="553"/>
      <c r="G148" s="553"/>
      <c r="H148" s="553"/>
      <c r="I148" s="553"/>
      <c r="J148" s="553"/>
      <c r="K148" s="553"/>
      <c r="L148" s="553"/>
      <c r="M148" s="553"/>
      <c r="N148" s="553"/>
      <c r="O148" s="568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x14ac:dyDescent="0.2">
      <c r="A149" s="553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8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customHeight="1" x14ac:dyDescent="0.25">
      <c r="A150" s="554" t="s">
        <v>73</v>
      </c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53"/>
      <c r="P150" s="553"/>
      <c r="Q150" s="553"/>
      <c r="R150" s="553"/>
      <c r="S150" s="553"/>
      <c r="T150" s="553"/>
      <c r="U150" s="553"/>
      <c r="V150" s="553"/>
      <c r="W150" s="553"/>
      <c r="X150" s="553"/>
      <c r="Y150" s="553"/>
      <c r="Z150" s="553"/>
      <c r="AA150" s="535"/>
      <c r="AB150" s="535"/>
      <c r="AC150" s="535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6">
        <v>4680115887459</v>
      </c>
      <c r="E151" s="547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59" t="s">
        <v>249</v>
      </c>
      <c r="Q151" s="544"/>
      <c r="R151" s="544"/>
      <c r="S151" s="544"/>
      <c r="T151" s="545"/>
      <c r="U151" s="34"/>
      <c r="V151" s="34"/>
      <c r="W151" s="35" t="s">
        <v>69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53"/>
      <c r="C152" s="553"/>
      <c r="D152" s="553"/>
      <c r="E152" s="553"/>
      <c r="F152" s="553"/>
      <c r="G152" s="553"/>
      <c r="H152" s="553"/>
      <c r="I152" s="553"/>
      <c r="J152" s="553"/>
      <c r="K152" s="553"/>
      <c r="L152" s="553"/>
      <c r="M152" s="553"/>
      <c r="N152" s="553"/>
      <c r="O152" s="568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x14ac:dyDescent="0.2">
      <c r="A153" s="553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8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customHeight="1" x14ac:dyDescent="0.2">
      <c r="A154" s="693" t="s">
        <v>251</v>
      </c>
      <c r="B154" s="694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4"/>
      <c r="N154" s="694"/>
      <c r="O154" s="694"/>
      <c r="P154" s="694"/>
      <c r="Q154" s="694"/>
      <c r="R154" s="694"/>
      <c r="S154" s="694"/>
      <c r="T154" s="694"/>
      <c r="U154" s="694"/>
      <c r="V154" s="694"/>
      <c r="W154" s="694"/>
      <c r="X154" s="694"/>
      <c r="Y154" s="694"/>
      <c r="Z154" s="694"/>
      <c r="AA154" s="48"/>
      <c r="AB154" s="48"/>
      <c r="AC154" s="48"/>
    </row>
    <row r="155" spans="1:68" ht="16.5" customHeight="1" x14ac:dyDescent="0.25">
      <c r="A155" s="552" t="s">
        <v>252</v>
      </c>
      <c r="B155" s="553"/>
      <c r="C155" s="553"/>
      <c r="D155" s="553"/>
      <c r="E155" s="553"/>
      <c r="F155" s="553"/>
      <c r="G155" s="553"/>
      <c r="H155" s="553"/>
      <c r="I155" s="553"/>
      <c r="J155" s="553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3"/>
      <c r="W155" s="553"/>
      <c r="X155" s="553"/>
      <c r="Y155" s="553"/>
      <c r="Z155" s="553"/>
      <c r="AA155" s="534"/>
      <c r="AB155" s="534"/>
      <c r="AC155" s="534"/>
    </row>
    <row r="156" spans="1:68" ht="14.25" customHeight="1" x14ac:dyDescent="0.25">
      <c r="A156" s="554" t="s">
        <v>135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5"/>
      <c r="AB156" s="535"/>
      <c r="AC156" s="535"/>
    </row>
    <row r="157" spans="1:68" ht="27" customHeight="1" x14ac:dyDescent="0.25">
      <c r="A157" s="54" t="s">
        <v>253</v>
      </c>
      <c r="B157" s="54" t="s">
        <v>254</v>
      </c>
      <c r="C157" s="31">
        <v>4301020323</v>
      </c>
      <c r="D157" s="546">
        <v>4680115886223</v>
      </c>
      <c r="E157" s="547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4"/>
      <c r="R157" s="544"/>
      <c r="S157" s="544"/>
      <c r="T157" s="545"/>
      <c r="U157" s="34"/>
      <c r="V157" s="34"/>
      <c r="W157" s="35" t="s">
        <v>69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7"/>
      <c r="B158" s="553"/>
      <c r="C158" s="553"/>
      <c r="D158" s="553"/>
      <c r="E158" s="553"/>
      <c r="F158" s="553"/>
      <c r="G158" s="553"/>
      <c r="H158" s="553"/>
      <c r="I158" s="553"/>
      <c r="J158" s="553"/>
      <c r="K158" s="553"/>
      <c r="L158" s="553"/>
      <c r="M158" s="553"/>
      <c r="N158" s="553"/>
      <c r="O158" s="568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x14ac:dyDescent="0.2">
      <c r="A159" s="553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8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customHeight="1" x14ac:dyDescent="0.25">
      <c r="A160" s="554" t="s">
        <v>64</v>
      </c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553"/>
      <c r="S160" s="553"/>
      <c r="T160" s="553"/>
      <c r="U160" s="553"/>
      <c r="V160" s="553"/>
      <c r="W160" s="553"/>
      <c r="X160" s="553"/>
      <c r="Y160" s="553"/>
      <c r="Z160" s="553"/>
      <c r="AA160" s="535"/>
      <c r="AB160" s="535"/>
      <c r="AC160" s="535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6">
        <v>4680115880993</v>
      </c>
      <c r="E161" s="547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4"/>
      <c r="R161" s="544"/>
      <c r="S161" s="544"/>
      <c r="T161" s="545"/>
      <c r="U161" s="34"/>
      <c r="V161" s="34"/>
      <c r="W161" s="35" t="s">
        <v>69</v>
      </c>
      <c r="X161" s="539">
        <v>50</v>
      </c>
      <c r="Y161" s="540">
        <f t="shared" ref="Y161:Y170" si="5">IFERROR(IF(X161="",0,CEILING((X161/$H161),1)*$H161),"")</f>
        <v>50.400000000000006</v>
      </c>
      <c r="Z161" s="36">
        <f>IFERROR(IF(Y161=0,"",ROUNDUP(Y161/H161,0)*0.00902),"")</f>
        <v>0.10824</v>
      </c>
      <c r="AA161" s="56"/>
      <c r="AB161" s="57"/>
      <c r="AC161" s="191" t="s">
        <v>258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52.976190476190474</v>
      </c>
      <c r="BN161" s="64">
        <f t="shared" ref="BN161:BN170" si="7">IFERROR(Y161*I161/H161,"0")</f>
        <v>53.400000000000006</v>
      </c>
      <c r="BO161" s="64">
        <f t="shared" ref="BO161:BO170" si="8">IFERROR(1/J161*(X161/H161),"0")</f>
        <v>9.0187590187590191E-2</v>
      </c>
      <c r="BP161" s="64">
        <f t="shared" ref="BP161:BP170" si="9">IFERROR(1/J161*(Y161/H161),"0")</f>
        <v>9.0909090909090912E-2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6">
        <v>4680115881761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30</v>
      </c>
      <c r="Y162" s="540">
        <f t="shared" si="5"/>
        <v>33.6</v>
      </c>
      <c r="Z162" s="36">
        <f>IFERROR(IF(Y162=0,"",ROUNDUP(Y162/H162,0)*0.00902),"")</f>
        <v>7.2160000000000002E-2</v>
      </c>
      <c r="AA162" s="56"/>
      <c r="AB162" s="57"/>
      <c r="AC162" s="193" t="s">
        <v>261</v>
      </c>
      <c r="AG162" s="64"/>
      <c r="AJ162" s="68" t="s">
        <v>106</v>
      </c>
      <c r="AK162" s="68">
        <v>50.4</v>
      </c>
      <c r="BB162" s="194" t="s">
        <v>1</v>
      </c>
      <c r="BM162" s="64">
        <f t="shared" si="6"/>
        <v>31.785714285714285</v>
      </c>
      <c r="BN162" s="64">
        <f t="shared" si="7"/>
        <v>35.6</v>
      </c>
      <c r="BO162" s="64">
        <f t="shared" si="8"/>
        <v>5.4112554112554112E-2</v>
      </c>
      <c r="BP162" s="64">
        <f t="shared" si="9"/>
        <v>6.0606060606060608E-2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6">
        <v>4680115881563</v>
      </c>
      <c r="E163" s="547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100</v>
      </c>
      <c r="Y163" s="540">
        <f t="shared" si="5"/>
        <v>100.80000000000001</v>
      </c>
      <c r="Z163" s="36">
        <f>IFERROR(IF(Y163=0,"",ROUNDUP(Y163/H163,0)*0.00902),"")</f>
        <v>0.21648000000000001</v>
      </c>
      <c r="AA163" s="56"/>
      <c r="AB163" s="57"/>
      <c r="AC163" s="195" t="s">
        <v>264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104.5238095238095</v>
      </c>
      <c r="BN163" s="64">
        <f t="shared" si="7"/>
        <v>105.36</v>
      </c>
      <c r="BO163" s="64">
        <f t="shared" si="8"/>
        <v>0.18037518037518038</v>
      </c>
      <c r="BP163" s="64">
        <f t="shared" si="9"/>
        <v>0.18181818181818182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6">
        <v>4680115880986</v>
      </c>
      <c r="E164" s="547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77</v>
      </c>
      <c r="Y164" s="540">
        <f t="shared" si="5"/>
        <v>77.7</v>
      </c>
      <c r="Z164" s="36">
        <f>IFERROR(IF(Y164=0,"",ROUNDUP(Y164/H164,0)*0.00502),"")</f>
        <v>0.18574000000000002</v>
      </c>
      <c r="AA164" s="56"/>
      <c r="AB164" s="57"/>
      <c r="AC164" s="197" t="s">
        <v>258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81.766666666666666</v>
      </c>
      <c r="BN164" s="64">
        <f t="shared" si="7"/>
        <v>82.51</v>
      </c>
      <c r="BO164" s="64">
        <f t="shared" si="8"/>
        <v>0.15669515669515671</v>
      </c>
      <c r="BP164" s="64">
        <f t="shared" si="9"/>
        <v>0.15811965811965814</v>
      </c>
    </row>
    <row r="165" spans="1:68" ht="27" customHeight="1" x14ac:dyDescent="0.25">
      <c r="A165" s="54" t="s">
        <v>268</v>
      </c>
      <c r="B165" s="54" t="s">
        <v>269</v>
      </c>
      <c r="C165" s="31">
        <v>4301031443</v>
      </c>
      <c r="D165" s="546">
        <v>4680115887213</v>
      </c>
      <c r="E165" s="547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8" t="s">
        <v>270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87.5</v>
      </c>
      <c r="Y166" s="540">
        <f t="shared" si="5"/>
        <v>88.2</v>
      </c>
      <c r="Z166" s="36">
        <f>IFERROR(IF(Y166=0,"",ROUNDUP(Y166/H166,0)*0.00502),"")</f>
        <v>0.21084</v>
      </c>
      <c r="AA166" s="56"/>
      <c r="AB166" s="57"/>
      <c r="AC166" s="201" t="s">
        <v>261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92.916666666666657</v>
      </c>
      <c r="BN166" s="64">
        <f t="shared" si="7"/>
        <v>93.66</v>
      </c>
      <c r="BO166" s="64">
        <f t="shared" si="8"/>
        <v>0.17806267806267806</v>
      </c>
      <c r="BP166" s="64">
        <f t="shared" si="9"/>
        <v>0.17948717948717952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175</v>
      </c>
      <c r="Y168" s="540">
        <f t="shared" si="5"/>
        <v>176.4</v>
      </c>
      <c r="Z168" s="36">
        <f>IFERROR(IF(Y168=0,"",ROUNDUP(Y168/H168,0)*0.00502),"")</f>
        <v>0.42168</v>
      </c>
      <c r="AA168" s="56"/>
      <c r="AB168" s="57"/>
      <c r="AC168" s="205" t="s">
        <v>264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183.33333333333334</v>
      </c>
      <c r="BN168" s="64">
        <f t="shared" si="7"/>
        <v>184.8</v>
      </c>
      <c r="BO168" s="64">
        <f t="shared" si="8"/>
        <v>0.35612535612535612</v>
      </c>
      <c r="BP168" s="64">
        <f t="shared" si="9"/>
        <v>0.35897435897435903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7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8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204.52380952380952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207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1.2151400000000001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8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IFERROR(SUM(X161:X170),"0")</f>
        <v>519.5</v>
      </c>
      <c r="Y172" s="541">
        <f>IFERROR(SUM(Y161:Y170),"0")</f>
        <v>527.1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14</v>
      </c>
      <c r="Y174" s="540">
        <f>IFERROR(IF(X174="",0,CEILING((X174/$H174),1)*$H174),"")</f>
        <v>15.120000000000001</v>
      </c>
      <c r="Z174" s="36">
        <f>IFERROR(IF(Y174=0,"",ROUNDUP(Y174/H174,0)*0.0059),"")</f>
        <v>7.0800000000000002E-2</v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16.111111111111111</v>
      </c>
      <c r="BN174" s="64">
        <f>IFERROR(Y174*I174/H174,"0")</f>
        <v>17.399999999999999</v>
      </c>
      <c r="BO174" s="64">
        <f>IFERROR(1/J174*(X174/H174),"0")</f>
        <v>5.1440329218106991E-2</v>
      </c>
      <c r="BP174" s="64">
        <f>IFERROR(1/J174*(Y174/H174),"0")</f>
        <v>5.5555555555555552E-2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10.5</v>
      </c>
      <c r="Y175" s="540">
        <f>IFERROR(IF(X175="",0,CEILING((X175/$H175),1)*$H175),"")</f>
        <v>11.34</v>
      </c>
      <c r="Z175" s="36">
        <f>IFERROR(IF(Y175=0,"",ROUNDUP(Y175/H175,0)*0.0059),"")</f>
        <v>5.3100000000000001E-2</v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12.083333333333332</v>
      </c>
      <c r="BN175" s="64">
        <f>IFERROR(Y175*I175/H175,"0")</f>
        <v>13.049999999999999</v>
      </c>
      <c r="BO175" s="64">
        <f>IFERROR(1/J175*(X175/H175),"0")</f>
        <v>3.8580246913580245E-2</v>
      </c>
      <c r="BP175" s="64">
        <f>IFERROR(1/J175*(Y175/H175),"0")</f>
        <v>4.1666666666666664E-2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8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8.4</v>
      </c>
      <c r="Y176" s="540">
        <f>IFERROR(IF(X176="",0,CEILING((X176/$H176),1)*$H176),"")</f>
        <v>8.82</v>
      </c>
      <c r="Z176" s="36">
        <f>IFERROR(IF(Y176=0,"",ROUNDUP(Y176/H176,0)*0.0059),"")</f>
        <v>4.1299999999999996E-2</v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9.6666666666666661</v>
      </c>
      <c r="BN176" s="64">
        <f>IFERROR(Y176*I176/H176,"0")</f>
        <v>10.15</v>
      </c>
      <c r="BO176" s="64">
        <f>IFERROR(1/J176*(X176/H176),"0")</f>
        <v>3.0864197530864196E-2</v>
      </c>
      <c r="BP176" s="64">
        <f>IFERROR(1/J176*(Y176/H176),"0")</f>
        <v>3.2407407407407406E-2</v>
      </c>
    </row>
    <row r="177" spans="1:68" x14ac:dyDescent="0.2">
      <c r="A177" s="567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8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26.111111111111111</v>
      </c>
      <c r="Y177" s="541">
        <f>IFERROR(Y174/H174,"0")+IFERROR(Y175/H175,"0")+IFERROR(Y176/H176,"0")</f>
        <v>28</v>
      </c>
      <c r="Z177" s="541">
        <f>IFERROR(IF(Z174="",0,Z174),"0")+IFERROR(IF(Z175="",0,Z175),"0")+IFERROR(IF(Z176="",0,Z176),"0")</f>
        <v>0.16520000000000001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8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32.9</v>
      </c>
      <c r="Y178" s="541">
        <f>IFERROR(SUM(Y174:Y176),"0")</f>
        <v>35.28</v>
      </c>
      <c r="Z178" s="37"/>
      <c r="AA178" s="542"/>
      <c r="AB178" s="542"/>
      <c r="AC178" s="542"/>
    </row>
    <row r="179" spans="1:68" ht="14.25" customHeight="1" x14ac:dyDescent="0.25">
      <c r="A179" s="554" t="s">
        <v>294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3.5</v>
      </c>
      <c r="Y180" s="540">
        <f>IFERROR(IF(X180="",0,CEILING((X180/$H180),1)*$H180),"")</f>
        <v>3.7800000000000002</v>
      </c>
      <c r="Z180" s="36">
        <f>IFERROR(IF(Y180=0,"",ROUNDUP(Y180/H180,0)*0.0059),"")</f>
        <v>1.77E-2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4.0277777777777777</v>
      </c>
      <c r="BN180" s="64">
        <f>IFERROR(Y180*I180/H180,"0")</f>
        <v>4.3499999999999996</v>
      </c>
      <c r="BO180" s="64">
        <f>IFERROR(1/J180*(X180/H180),"0")</f>
        <v>1.2860082304526748E-2</v>
      </c>
      <c r="BP180" s="64">
        <f>IFERROR(1/J180*(Y180/H180),"0")</f>
        <v>1.3888888888888888E-2</v>
      </c>
    </row>
    <row r="181" spans="1:68" x14ac:dyDescent="0.2">
      <c r="A181" s="567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8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2.7777777777777777</v>
      </c>
      <c r="Y181" s="541">
        <f>IFERROR(Y180/H180,"0")</f>
        <v>3</v>
      </c>
      <c r="Z181" s="541">
        <f>IFERROR(IF(Z180="",0,Z180),"0")</f>
        <v>1.77E-2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8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3.5</v>
      </c>
      <c r="Y182" s="541">
        <f>IFERROR(SUM(Y180:Y180),"0")</f>
        <v>3.7800000000000002</v>
      </c>
      <c r="Z182" s="37"/>
      <c r="AA182" s="542"/>
      <c r="AB182" s="542"/>
      <c r="AC182" s="542"/>
    </row>
    <row r="183" spans="1:68" ht="16.5" customHeight="1" x14ac:dyDescent="0.25">
      <c r="A183" s="552" t="s">
        <v>297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8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8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135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7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8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8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160</v>
      </c>
      <c r="Y195" s="540">
        <f t="shared" ref="Y195:Y202" si="10">IFERROR(IF(X195="",0,CEILING((X195/$H195),1)*$H195),"")</f>
        <v>162</v>
      </c>
      <c r="Z195" s="36">
        <f>IFERROR(IF(Y195=0,"",ROUNDUP(Y195/H195,0)*0.00902),"")</f>
        <v>0.27060000000000001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165.62962962962962</v>
      </c>
      <c r="BN195" s="64">
        <f t="shared" ref="BN195:BN202" si="12">IFERROR(Y195*I195/H195,"0")</f>
        <v>167.7</v>
      </c>
      <c r="BO195" s="64">
        <f t="shared" ref="BO195:BO202" si="13">IFERROR(1/J195*(X195/H195),"0")</f>
        <v>0.22446689113355778</v>
      </c>
      <c r="BP195" s="64">
        <f t="shared" ref="BP195:BP202" si="14">IFERROR(1/J195*(Y195/H195),"0")</f>
        <v>0.22727272727272727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50</v>
      </c>
      <c r="Y196" s="540">
        <f t="shared" si="10"/>
        <v>54</v>
      </c>
      <c r="Z196" s="36">
        <f>IFERROR(IF(Y196=0,"",ROUNDUP(Y196/H196,0)*0.00902),"")</f>
        <v>9.0200000000000002E-2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51.759259259259252</v>
      </c>
      <c r="BN196" s="64">
        <f t="shared" si="12"/>
        <v>55.9</v>
      </c>
      <c r="BO196" s="64">
        <f t="shared" si="13"/>
        <v>7.0145903479236812E-2</v>
      </c>
      <c r="BP196" s="64">
        <f t="shared" si="14"/>
        <v>7.575757575757576E-2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400</v>
      </c>
      <c r="Y197" s="540">
        <f t="shared" si="10"/>
        <v>405</v>
      </c>
      <c r="Z197" s="36">
        <f>IFERROR(IF(Y197=0,"",ROUNDUP(Y197/H197,0)*0.00902),"")</f>
        <v>0.67649999999999999</v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414.07407407407402</v>
      </c>
      <c r="BN197" s="64">
        <f t="shared" si="12"/>
        <v>419.24999999999994</v>
      </c>
      <c r="BO197" s="64">
        <f t="shared" si="13"/>
        <v>0.5611672278338945</v>
      </c>
      <c r="BP197" s="64">
        <f t="shared" si="14"/>
        <v>0.56818181818181823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60</v>
      </c>
      <c r="Y198" s="540">
        <f t="shared" si="10"/>
        <v>64.800000000000011</v>
      </c>
      <c r="Z198" s="36">
        <f>IFERROR(IF(Y198=0,"",ROUNDUP(Y198/H198,0)*0.00902),"")</f>
        <v>0.10824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62.1111111111111</v>
      </c>
      <c r="BN198" s="64">
        <f t="shared" si="12"/>
        <v>67.08</v>
      </c>
      <c r="BO198" s="64">
        <f t="shared" si="13"/>
        <v>8.4175084175084181E-2</v>
      </c>
      <c r="BP198" s="64">
        <f t="shared" si="14"/>
        <v>9.0909090909090925E-2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84</v>
      </c>
      <c r="Y199" s="540">
        <f t="shared" si="10"/>
        <v>84.600000000000009</v>
      </c>
      <c r="Z199" s="36">
        <f>IFERROR(IF(Y199=0,"",ROUNDUP(Y199/H199,0)*0.00502),"")</f>
        <v>0.23594000000000001</v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90.066666666666663</v>
      </c>
      <c r="BN199" s="64">
        <f t="shared" si="12"/>
        <v>90.710000000000008</v>
      </c>
      <c r="BO199" s="64">
        <f t="shared" si="13"/>
        <v>0.19943019943019943</v>
      </c>
      <c r="BP199" s="64">
        <f t="shared" si="14"/>
        <v>0.20085470085470092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51</v>
      </c>
      <c r="Y200" s="540">
        <f t="shared" si="10"/>
        <v>52.2</v>
      </c>
      <c r="Z200" s="36">
        <f>IFERROR(IF(Y200=0,"",ROUNDUP(Y200/H200,0)*0.00502),"")</f>
        <v>0.14558000000000001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53.833333333333329</v>
      </c>
      <c r="BN200" s="64">
        <f t="shared" si="12"/>
        <v>55.1</v>
      </c>
      <c r="BO200" s="64">
        <f t="shared" si="13"/>
        <v>0.12108262108262109</v>
      </c>
      <c r="BP200" s="64">
        <f t="shared" si="14"/>
        <v>0.12393162393162395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267</v>
      </c>
      <c r="M201" s="33" t="s">
        <v>68</v>
      </c>
      <c r="N201" s="33"/>
      <c r="O201" s="32">
        <v>40</v>
      </c>
      <c r="P201" s="7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105</v>
      </c>
      <c r="Y201" s="540">
        <f t="shared" si="10"/>
        <v>106.2</v>
      </c>
      <c r="Z201" s="36">
        <f>IFERROR(IF(Y201=0,"",ROUNDUP(Y201/H201,0)*0.00502),"")</f>
        <v>0.29618</v>
      </c>
      <c r="AA201" s="56"/>
      <c r="AB201" s="57"/>
      <c r="AC201" s="239" t="s">
        <v>316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110.83333333333333</v>
      </c>
      <c r="BN201" s="64">
        <f t="shared" si="12"/>
        <v>112.1</v>
      </c>
      <c r="BO201" s="64">
        <f t="shared" si="13"/>
        <v>0.2492877492877493</v>
      </c>
      <c r="BP201" s="64">
        <f t="shared" si="14"/>
        <v>0.25213675213675218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51</v>
      </c>
      <c r="Y202" s="540">
        <f t="shared" si="10"/>
        <v>52.2</v>
      </c>
      <c r="Z202" s="36">
        <f>IFERROR(IF(Y202=0,"",ROUNDUP(Y202/H202,0)*0.00502),"")</f>
        <v>0.14558000000000001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53.833333333333329</v>
      </c>
      <c r="BN202" s="64">
        <f t="shared" si="12"/>
        <v>55.1</v>
      </c>
      <c r="BO202" s="64">
        <f t="shared" si="13"/>
        <v>0.12108262108262109</v>
      </c>
      <c r="BP202" s="64">
        <f t="shared" si="14"/>
        <v>0.12393162393162395</v>
      </c>
    </row>
    <row r="203" spans="1:68" x14ac:dyDescent="0.2">
      <c r="A203" s="567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8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285.7407407407407</v>
      </c>
      <c r="Y203" s="541">
        <f>IFERROR(Y195/H195,"0")+IFERROR(Y196/H196,"0")+IFERROR(Y197/H197,"0")+IFERROR(Y198/H198,"0")+IFERROR(Y199/H199,"0")+IFERROR(Y200/H200,"0")+IFERROR(Y201/H201,"0")+IFERROR(Y202/H202,"0")</f>
        <v>291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1.9688200000000002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8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961</v>
      </c>
      <c r="Y204" s="541">
        <f>IFERROR(SUM(Y195:Y202),"0")</f>
        <v>981.00000000000011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100</v>
      </c>
      <c r="Y208" s="540">
        <f t="shared" si="15"/>
        <v>104.39999999999999</v>
      </c>
      <c r="Z208" s="36">
        <f>IFERROR(IF(Y208=0,"",ROUNDUP(Y208/H208,0)*0.01898),"")</f>
        <v>0.22776000000000002</v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105.67816091954025</v>
      </c>
      <c r="BN208" s="64">
        <f t="shared" si="17"/>
        <v>110.32800000000002</v>
      </c>
      <c r="BO208" s="64">
        <f t="shared" si="18"/>
        <v>0.1795977011494253</v>
      </c>
      <c r="BP208" s="64">
        <f t="shared" si="19"/>
        <v>0.1875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240</v>
      </c>
      <c r="Y209" s="540">
        <f t="shared" si="15"/>
        <v>240</v>
      </c>
      <c r="Z209" s="36">
        <f t="shared" ref="Z209:Z214" si="20">IFERROR(IF(Y209=0,"",ROUNDUP(Y209/H209,0)*0.00651),"")</f>
        <v>0.65100000000000002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267</v>
      </c>
      <c r="BN209" s="64">
        <f t="shared" si="17"/>
        <v>267</v>
      </c>
      <c r="BO209" s="64">
        <f t="shared" si="18"/>
        <v>0.5494505494505495</v>
      </c>
      <c r="BP209" s="64">
        <f t="shared" si="19"/>
        <v>0.5494505494505495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71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200</v>
      </c>
      <c r="Y211" s="540">
        <f t="shared" si="15"/>
        <v>201.6</v>
      </c>
      <c r="Z211" s="36">
        <f t="shared" si="20"/>
        <v>0.54683999999999999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221</v>
      </c>
      <c r="BN211" s="64">
        <f t="shared" si="17"/>
        <v>222.768</v>
      </c>
      <c r="BO211" s="64">
        <f t="shared" si="18"/>
        <v>0.45787545787545797</v>
      </c>
      <c r="BP211" s="64">
        <f t="shared" si="19"/>
        <v>0.46153846153846156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100</v>
      </c>
      <c r="Y213" s="540">
        <f t="shared" si="15"/>
        <v>100.8</v>
      </c>
      <c r="Z213" s="36">
        <f t="shared" si="20"/>
        <v>0.27342</v>
      </c>
      <c r="AA213" s="56"/>
      <c r="AB213" s="57"/>
      <c r="AC213" s="257" t="s">
        <v>347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110.5</v>
      </c>
      <c r="BN213" s="64">
        <f t="shared" si="17"/>
        <v>111.384</v>
      </c>
      <c r="BO213" s="64">
        <f t="shared" si="18"/>
        <v>0.22893772893772898</v>
      </c>
      <c r="BP213" s="64">
        <f t="shared" si="19"/>
        <v>0.23076923076923078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200</v>
      </c>
      <c r="Y214" s="540">
        <f t="shared" si="15"/>
        <v>201.6</v>
      </c>
      <c r="Z214" s="36">
        <f t="shared" si="20"/>
        <v>0.54683999999999999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221.50000000000003</v>
      </c>
      <c r="BN214" s="64">
        <f t="shared" si="17"/>
        <v>223.27200000000002</v>
      </c>
      <c r="BO214" s="64">
        <f t="shared" si="18"/>
        <v>0.45787545787545797</v>
      </c>
      <c r="BP214" s="64">
        <f t="shared" si="19"/>
        <v>0.46153846153846156</v>
      </c>
    </row>
    <row r="215" spans="1:68" x14ac:dyDescent="0.2">
      <c r="A215" s="567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8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319.82758620689663</v>
      </c>
      <c r="Y215" s="541">
        <f>IFERROR(Y206/H206,"0")+IFERROR(Y207/H207,"0")+IFERROR(Y208/H208,"0")+IFERROR(Y209/H209,"0")+IFERROR(Y210/H210,"0")+IFERROR(Y211/H211,"0")+IFERROR(Y212/H212,"0")+IFERROR(Y213/H213,"0")+IFERROR(Y214/H214,"0")</f>
        <v>322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2.24586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8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840</v>
      </c>
      <c r="Y216" s="541">
        <f>IFERROR(SUM(Y206:Y214),"0")</f>
        <v>848.4</v>
      </c>
      <c r="Z216" s="37"/>
      <c r="AA216" s="542"/>
      <c r="AB216" s="542"/>
      <c r="AC216" s="542"/>
    </row>
    <row r="217" spans="1:68" ht="14.25" customHeight="1" x14ac:dyDescent="0.25">
      <c r="A217" s="554" t="s">
        <v>163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213</v>
      </c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24</v>
      </c>
      <c r="Y218" s="540">
        <f>IFERROR(IF(X218="",0,CEILING((X218/$H218),1)*$H218),"")</f>
        <v>24</v>
      </c>
      <c r="Z218" s="36">
        <f>IFERROR(IF(Y218=0,"",ROUNDUP(Y218/H218,0)*0.00651),"")</f>
        <v>6.5100000000000005E-2</v>
      </c>
      <c r="AA218" s="56"/>
      <c r="AB218" s="57"/>
      <c r="AC218" s="261" t="s">
        <v>352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26.520000000000003</v>
      </c>
      <c r="BN218" s="64">
        <f>IFERROR(Y218*I218/H218,"0")</f>
        <v>26.520000000000003</v>
      </c>
      <c r="BO218" s="64">
        <f>IFERROR(1/J218*(X218/H218),"0")</f>
        <v>5.4945054945054951E-2</v>
      </c>
      <c r="BP218" s="64">
        <f>IFERROR(1/J218*(Y218/H218),"0")</f>
        <v>5.4945054945054951E-2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213</v>
      </c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24</v>
      </c>
      <c r="Y219" s="540">
        <f>IFERROR(IF(X219="",0,CEILING((X219/$H219),1)*$H219),"")</f>
        <v>24</v>
      </c>
      <c r="Z219" s="36">
        <f>IFERROR(IF(Y219=0,"",ROUNDUP(Y219/H219,0)*0.00651),"")</f>
        <v>6.5100000000000005E-2</v>
      </c>
      <c r="AA219" s="56"/>
      <c r="AB219" s="57"/>
      <c r="AC219" s="263" t="s">
        <v>355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26.520000000000003</v>
      </c>
      <c r="BN219" s="64">
        <f>IFERROR(Y219*I219/H219,"0")</f>
        <v>26.520000000000003</v>
      </c>
      <c r="BO219" s="64">
        <f>IFERROR(1/J219*(X219/H219),"0")</f>
        <v>5.4945054945054951E-2</v>
      </c>
      <c r="BP219" s="64">
        <f>IFERROR(1/J219*(Y219/H219),"0")</f>
        <v>5.4945054945054951E-2</v>
      </c>
    </row>
    <row r="220" spans="1:68" x14ac:dyDescent="0.2">
      <c r="A220" s="567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8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20</v>
      </c>
      <c r="Y220" s="541">
        <f>IFERROR(Y218/H218,"0")+IFERROR(Y219/H219,"0")</f>
        <v>20</v>
      </c>
      <c r="Z220" s="541">
        <f>IFERROR(IF(Z218="",0,Z218),"0")+IFERROR(IF(Z219="",0,Z219),"0")</f>
        <v>0.13020000000000001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8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48</v>
      </c>
      <c r="Y221" s="541">
        <f>IFERROR(SUM(Y218:Y219),"0")</f>
        <v>48</v>
      </c>
      <c r="Z221" s="37"/>
      <c r="AA221" s="542"/>
      <c r="AB221" s="542"/>
      <c r="AC221" s="542"/>
    </row>
    <row r="222" spans="1:68" ht="16.5" customHeight="1" x14ac:dyDescent="0.25">
      <c r="A222" s="552" t="s">
        <v>356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20</v>
      </c>
      <c r="Y224" s="540">
        <f t="shared" ref="Y224:Y233" si="21">IFERROR(IF(X224="",0,CEILING((X224/$H224),1)*$H224),"")</f>
        <v>23.2</v>
      </c>
      <c r="Z224" s="36">
        <f>IFERROR(IF(Y224=0,"",ROUNDUP(Y224/H224,0)*0.01898),"")</f>
        <v>3.7960000000000001E-2</v>
      </c>
      <c r="AA224" s="56"/>
      <c r="AB224" s="57"/>
      <c r="AC224" s="265" t="s">
        <v>359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20.706896551724139</v>
      </c>
      <c r="BN224" s="64">
        <f t="shared" ref="BN224:BN233" si="23">IFERROR(Y224*I224/H224,"0")</f>
        <v>24.02</v>
      </c>
      <c r="BO224" s="64">
        <f t="shared" ref="BO224:BO233" si="24">IFERROR(1/J224*(X224/H224),"0")</f>
        <v>2.6939655172413795E-2</v>
      </c>
      <c r="BP224" s="64">
        <f t="shared" ref="BP224:BP233" si="25">IFERROR(1/J224*(Y224/H224),"0")</f>
        <v>3.125E-2</v>
      </c>
    </row>
    <row r="225" spans="1:68" ht="27" customHeight="1" x14ac:dyDescent="0.25">
      <c r="A225" s="54" t="s">
        <v>360</v>
      </c>
      <c r="B225" s="54" t="s">
        <v>361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80</v>
      </c>
      <c r="Y226" s="540">
        <f t="shared" si="21"/>
        <v>81.2</v>
      </c>
      <c r="Z226" s="36">
        <f>IFERROR(IF(Y226=0,"",ROUNDUP(Y226/H226,0)*0.01898),"")</f>
        <v>0.13286000000000001</v>
      </c>
      <c r="AA226" s="56"/>
      <c r="AB226" s="57"/>
      <c r="AC226" s="269" t="s">
        <v>365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82.827586206896555</v>
      </c>
      <c r="BN226" s="64">
        <f t="shared" si="23"/>
        <v>84.070000000000007</v>
      </c>
      <c r="BO226" s="64">
        <f t="shared" si="24"/>
        <v>0.10775862068965518</v>
      </c>
      <c r="BP226" s="64">
        <f t="shared" si="25"/>
        <v>0.10937500000000001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110</v>
      </c>
      <c r="M227" s="33" t="s">
        <v>104</v>
      </c>
      <c r="N227" s="33"/>
      <c r="O227" s="32">
        <v>55</v>
      </c>
      <c r="P227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60</v>
      </c>
      <c r="Y227" s="540">
        <f t="shared" si="21"/>
        <v>60</v>
      </c>
      <c r="Z227" s="36">
        <f>IFERROR(IF(Y227=0,"",ROUNDUP(Y227/H227,0)*0.00902),"")</f>
        <v>0.1353</v>
      </c>
      <c r="AA227" s="56"/>
      <c r="AB227" s="57"/>
      <c r="AC227" s="271" t="s">
        <v>359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62.850000000000009</v>
      </c>
      <c r="BN227" s="64">
        <f t="shared" si="23"/>
        <v>62.850000000000009</v>
      </c>
      <c r="BO227" s="64">
        <f t="shared" si="24"/>
        <v>0.11363636363636365</v>
      </c>
      <c r="BP227" s="64">
        <f t="shared" si="25"/>
        <v>0.11363636363636365</v>
      </c>
    </row>
    <row r="228" spans="1:68" ht="27" customHeight="1" x14ac:dyDescent="0.25">
      <c r="A228" s="54" t="s">
        <v>366</v>
      </c>
      <c r="B228" s="54" t="s">
        <v>368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370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40</v>
      </c>
      <c r="Y232" s="540">
        <f t="shared" si="21"/>
        <v>40</v>
      </c>
      <c r="Z232" s="36">
        <f>IFERROR(IF(Y232=0,"",ROUNDUP(Y232/H232,0)*0.00902),"")</f>
        <v>9.0200000000000002E-2</v>
      </c>
      <c r="AA232" s="56"/>
      <c r="AB232" s="57"/>
      <c r="AC232" s="281" t="s">
        <v>365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41.900000000000006</v>
      </c>
      <c r="BN232" s="64">
        <f t="shared" si="23"/>
        <v>41.900000000000006</v>
      </c>
      <c r="BO232" s="64">
        <f t="shared" si="24"/>
        <v>7.575757575757576E-2</v>
      </c>
      <c r="BP232" s="64">
        <f t="shared" si="25"/>
        <v>7.575757575757576E-2</v>
      </c>
    </row>
    <row r="233" spans="1:68" ht="27" customHeight="1" x14ac:dyDescent="0.25">
      <c r="A233" s="54" t="s">
        <v>376</v>
      </c>
      <c r="B233" s="54" t="s">
        <v>378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7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8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33.620689655172413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34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0.39632000000000001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8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200</v>
      </c>
      <c r="Y235" s="541">
        <f>IFERROR(SUM(Y224:Y233),"0")</f>
        <v>204.4</v>
      </c>
      <c r="Z235" s="37"/>
      <c r="AA235" s="542"/>
      <c r="AB235" s="542"/>
      <c r="AC235" s="542"/>
    </row>
    <row r="236" spans="1:68" ht="14.25" customHeight="1" x14ac:dyDescent="0.25">
      <c r="A236" s="554" t="s">
        <v>135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379</v>
      </c>
      <c r="B237" s="54" t="s">
        <v>380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7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8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8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382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7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8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8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386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387</v>
      </c>
      <c r="B245" s="54" t="s">
        <v>388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3.5</v>
      </c>
      <c r="Y246" s="540">
        <f>IFERROR(IF(X246="",0,CEILING((X246/$H246),1)*$H246),"")</f>
        <v>3.6</v>
      </c>
      <c r="Z246" s="36">
        <f>IFERROR(IF(Y246=0,"",ROUNDUP(Y246/H246,0)*0.0059),"")</f>
        <v>1.18E-2</v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3.8402777777777781</v>
      </c>
      <c r="BN246" s="64">
        <f>IFERROR(Y246*I246/H246,"0")</f>
        <v>3.95</v>
      </c>
      <c r="BO246" s="64">
        <f>IFERROR(1/J246*(X246/H246),"0")</f>
        <v>9.0020576131687232E-3</v>
      </c>
      <c r="BP246" s="64">
        <f>IFERROR(1/J246*(Y246/H246),"0")</f>
        <v>9.2592592592592587E-3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7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8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1.9444444444444444</v>
      </c>
      <c r="Y250" s="541">
        <f>IFERROR(Y245/H245,"0")+IFERROR(Y246/H246,"0")+IFERROR(Y247/H247,"0")+IFERROR(Y248/H248,"0")+IFERROR(Y249/H249,"0")</f>
        <v>2</v>
      </c>
      <c r="Z250" s="541">
        <f>IFERROR(IF(Z245="",0,Z245),"0")+IFERROR(IF(Z246="",0,Z246),"0")+IFERROR(IF(Z247="",0,Z247),"0")+IFERROR(IF(Z248="",0,Z248),"0")+IFERROR(IF(Z249="",0,Z249),"0")</f>
        <v>1.18E-2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8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3.5</v>
      </c>
      <c r="Y251" s="541">
        <f>IFERROR(SUM(Y245:Y249),"0")</f>
        <v>3.6</v>
      </c>
      <c r="Z251" s="37"/>
      <c r="AA251" s="542"/>
      <c r="AB251" s="542"/>
      <c r="AC251" s="542"/>
    </row>
    <row r="252" spans="1:68" ht="16.5" customHeight="1" x14ac:dyDescent="0.25">
      <c r="A252" s="552" t="s">
        <v>398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402</v>
      </c>
      <c r="B255" s="54" t="s">
        <v>403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7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8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8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414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415</v>
      </c>
      <c r="B263" s="54" t="s">
        <v>416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417</v>
      </c>
      <c r="B264" s="54" t="s">
        <v>418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422</v>
      </c>
      <c r="B266" s="54" t="s">
        <v>423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7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8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8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425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426</v>
      </c>
      <c r="B271" s="54" t="s">
        <v>427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60</v>
      </c>
      <c r="Y272" s="540">
        <f>IFERROR(IF(X272="",0,CEILING((X272/$H272),1)*$H272),"")</f>
        <v>60</v>
      </c>
      <c r="Z272" s="36">
        <f>IFERROR(IF(Y272=0,"",ROUNDUP(Y272/H272,0)*0.00651),"")</f>
        <v>0.16275000000000001</v>
      </c>
      <c r="AA272" s="56"/>
      <c r="AB272" s="57"/>
      <c r="AC272" s="319" t="s">
        <v>431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66.300000000000011</v>
      </c>
      <c r="BN272" s="64">
        <f>IFERROR(Y272*I272/H272,"0")</f>
        <v>66.300000000000011</v>
      </c>
      <c r="BO272" s="64">
        <f>IFERROR(1/J272*(X272/H272),"0")</f>
        <v>0.13736263736263737</v>
      </c>
      <c r="BP272" s="64">
        <f>IFERROR(1/J272*(Y272/H272),"0")</f>
        <v>0.13736263736263737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120</v>
      </c>
      <c r="Y273" s="540">
        <f>IFERROR(IF(X273="",0,CEILING((X273/$H273),1)*$H273),"")</f>
        <v>120</v>
      </c>
      <c r="Z273" s="36">
        <f>IFERROR(IF(Y273=0,"",ROUNDUP(Y273/H273,0)*0.00651),"")</f>
        <v>0.32550000000000001</v>
      </c>
      <c r="AA273" s="56"/>
      <c r="AB273" s="57"/>
      <c r="AC273" s="321" t="s">
        <v>428</v>
      </c>
      <c r="AG273" s="64"/>
      <c r="AJ273" s="68"/>
      <c r="AK273" s="68">
        <v>0</v>
      </c>
      <c r="BB273" s="322" t="s">
        <v>1</v>
      </c>
      <c r="BM273" s="64">
        <f>IFERROR(X273*I273/H273,"0")</f>
        <v>129.00000000000003</v>
      </c>
      <c r="BN273" s="64">
        <f>IFERROR(Y273*I273/H273,"0")</f>
        <v>129.00000000000003</v>
      </c>
      <c r="BO273" s="64">
        <f>IFERROR(1/J273*(X273/H273),"0")</f>
        <v>0.27472527472527475</v>
      </c>
      <c r="BP273" s="64">
        <f>IFERROR(1/J273*(Y273/H273),"0")</f>
        <v>0.27472527472527475</v>
      </c>
    </row>
    <row r="274" spans="1:68" x14ac:dyDescent="0.2">
      <c r="A274" s="567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8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75</v>
      </c>
      <c r="Y274" s="541">
        <f>IFERROR(Y271/H271,"0")+IFERROR(Y272/H272,"0")+IFERROR(Y273/H273,"0")</f>
        <v>75</v>
      </c>
      <c r="Z274" s="541">
        <f>IFERROR(IF(Z271="",0,Z271),"0")+IFERROR(IF(Z272="",0,Z272),"0")+IFERROR(IF(Z273="",0,Z273),"0")</f>
        <v>0.48825000000000002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8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180</v>
      </c>
      <c r="Y275" s="541">
        <f>IFERROR(SUM(Y271:Y273),"0")</f>
        <v>180</v>
      </c>
      <c r="Z275" s="37"/>
      <c r="AA275" s="542"/>
      <c r="AB275" s="542"/>
      <c r="AC275" s="542"/>
    </row>
    <row r="276" spans="1:68" ht="16.5" customHeight="1" x14ac:dyDescent="0.25">
      <c r="A276" s="552" t="s">
        <v>434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435</v>
      </c>
      <c r="B278" s="54" t="s">
        <v>436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12</v>
      </c>
      <c r="Y279" s="540">
        <f>IFERROR(IF(X279="",0,CEILING((X279/$H279),1)*$H279),"")</f>
        <v>12</v>
      </c>
      <c r="Z279" s="36">
        <f>IFERROR(IF(Y279=0,"",ROUNDUP(Y279/H279,0)*0.00651),"")</f>
        <v>3.2550000000000003E-2</v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12.9</v>
      </c>
      <c r="BN279" s="64">
        <f>IFERROR(Y279*I279/H279,"0")</f>
        <v>12.9</v>
      </c>
      <c r="BO279" s="64">
        <f>IFERROR(1/J279*(X279/H279),"0")</f>
        <v>2.7472527472527476E-2</v>
      </c>
      <c r="BP279" s="64">
        <f>IFERROR(1/J279*(Y279/H279),"0")</f>
        <v>2.7472527472527476E-2</v>
      </c>
    </row>
    <row r="280" spans="1:68" x14ac:dyDescent="0.2">
      <c r="A280" s="567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8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5</v>
      </c>
      <c r="Y280" s="541">
        <f>IFERROR(Y278/H278,"0")+IFERROR(Y279/H279,"0")</f>
        <v>5</v>
      </c>
      <c r="Z280" s="541">
        <f>IFERROR(IF(Z278="",0,Z278),"0")+IFERROR(IF(Z279="",0,Z279),"0")</f>
        <v>3.2550000000000003E-2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8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12</v>
      </c>
      <c r="Y281" s="541">
        <f>IFERROR(SUM(Y278:Y279),"0")</f>
        <v>12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444</v>
      </c>
      <c r="B284" s="54" t="s">
        <v>445</v>
      </c>
      <c r="C284" s="31">
        <v>4301052057</v>
      </c>
      <c r="D284" s="546">
        <v>4680115887114</v>
      </c>
      <c r="E284" s="547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3" t="s">
        <v>446</v>
      </c>
      <c r="Q284" s="544"/>
      <c r="R284" s="544"/>
      <c r="S284" s="544"/>
      <c r="T284" s="545"/>
      <c r="U284" s="34"/>
      <c r="V284" s="34"/>
      <c r="W284" s="35" t="s">
        <v>69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8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x14ac:dyDescent="0.2">
      <c r="A286" s="553"/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68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customHeight="1" x14ac:dyDescent="0.25">
      <c r="A287" s="552" t="s">
        <v>448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4"/>
      <c r="AB287" s="534"/>
      <c r="AC287" s="534"/>
    </row>
    <row r="288" spans="1:68" ht="14.25" customHeight="1" x14ac:dyDescent="0.25">
      <c r="A288" s="554" t="s">
        <v>99</v>
      </c>
      <c r="B288" s="553"/>
      <c r="C288" s="553"/>
      <c r="D288" s="553"/>
      <c r="E288" s="553"/>
      <c r="F288" s="553"/>
      <c r="G288" s="553"/>
      <c r="H288" s="553"/>
      <c r="I288" s="553"/>
      <c r="J288" s="553"/>
      <c r="K288" s="553"/>
      <c r="L288" s="553"/>
      <c r="M288" s="553"/>
      <c r="N288" s="553"/>
      <c r="O288" s="553"/>
      <c r="P288" s="553"/>
      <c r="Q288" s="553"/>
      <c r="R288" s="553"/>
      <c r="S288" s="553"/>
      <c r="T288" s="553"/>
      <c r="U288" s="553"/>
      <c r="V288" s="553"/>
      <c r="W288" s="553"/>
      <c r="X288" s="553"/>
      <c r="Y288" s="553"/>
      <c r="Z288" s="553"/>
      <c r="AA288" s="535"/>
      <c r="AB288" s="535"/>
      <c r="AC288" s="535"/>
    </row>
    <row r="289" spans="1:68" ht="27" customHeight="1" x14ac:dyDescent="0.25">
      <c r="A289" s="54" t="s">
        <v>449</v>
      </c>
      <c r="B289" s="54" t="s">
        <v>450</v>
      </c>
      <c r="C289" s="31">
        <v>4301012024</v>
      </c>
      <c r="D289" s="546">
        <v>4680115885615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452</v>
      </c>
      <c r="B290" s="54" t="s">
        <v>453</v>
      </c>
      <c r="C290" s="31">
        <v>4301011858</v>
      </c>
      <c r="D290" s="546">
        <v>4680115885646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4301012016</v>
      </c>
      <c r="D291" s="546">
        <v>4680115885554</v>
      </c>
      <c r="E291" s="547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4301011857</v>
      </c>
      <c r="D292" s="546">
        <v>4680115885622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460</v>
      </c>
      <c r="B293" s="54" t="s">
        <v>461</v>
      </c>
      <c r="C293" s="31">
        <v>4301011859</v>
      </c>
      <c r="D293" s="546">
        <v>4680115885608</v>
      </c>
      <c r="E293" s="547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4"/>
      <c r="R293" s="544"/>
      <c r="S293" s="544"/>
      <c r="T293" s="545"/>
      <c r="U293" s="34"/>
      <c r="V293" s="34"/>
      <c r="W293" s="35" t="s">
        <v>69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7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8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x14ac:dyDescent="0.2">
      <c r="A295" s="553"/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68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customHeight="1" x14ac:dyDescent="0.25">
      <c r="A296" s="554" t="s">
        <v>64</v>
      </c>
      <c r="B296" s="553"/>
      <c r="C296" s="553"/>
      <c r="D296" s="553"/>
      <c r="E296" s="553"/>
      <c r="F296" s="553"/>
      <c r="G296" s="553"/>
      <c r="H296" s="553"/>
      <c r="I296" s="553"/>
      <c r="J296" s="553"/>
      <c r="K296" s="553"/>
      <c r="L296" s="553"/>
      <c r="M296" s="553"/>
      <c r="N296" s="553"/>
      <c r="O296" s="553"/>
      <c r="P296" s="553"/>
      <c r="Q296" s="553"/>
      <c r="R296" s="553"/>
      <c r="S296" s="553"/>
      <c r="T296" s="553"/>
      <c r="U296" s="553"/>
      <c r="V296" s="553"/>
      <c r="W296" s="553"/>
      <c r="X296" s="553"/>
      <c r="Y296" s="553"/>
      <c r="Z296" s="553"/>
      <c r="AA296" s="535"/>
      <c r="AB296" s="535"/>
      <c r="AC296" s="535"/>
    </row>
    <row r="297" spans="1:68" ht="27" customHeight="1" x14ac:dyDescent="0.25">
      <c r="A297" s="54" t="s">
        <v>463</v>
      </c>
      <c r="B297" s="54" t="s">
        <v>464</v>
      </c>
      <c r="C297" s="31">
        <v>4301030878</v>
      </c>
      <c r="D297" s="546">
        <v>4607091387193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6">
        <v>4607091387230</v>
      </c>
      <c r="E298" s="547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4301031154</v>
      </c>
      <c r="D299" s="546">
        <v>4607091387292</v>
      </c>
      <c r="E299" s="547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4301031152</v>
      </c>
      <c r="D300" s="546">
        <v>4607091387285</v>
      </c>
      <c r="E300" s="547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67</v>
      </c>
      <c r="L300" s="32" t="s">
        <v>267</v>
      </c>
      <c r="M300" s="33" t="s">
        <v>68</v>
      </c>
      <c r="N300" s="33"/>
      <c r="O300" s="32">
        <v>40</v>
      </c>
      <c r="P300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6">
        <v>4607091389845</v>
      </c>
      <c r="E301" s="547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175</v>
      </c>
      <c r="Y301" s="540">
        <f t="shared" si="26"/>
        <v>176.4</v>
      </c>
      <c r="Z301" s="36">
        <f>IFERROR(IF(Y301=0,"",ROUNDUP(Y301/H301,0)*0.00502),"")</f>
        <v>0.42168</v>
      </c>
      <c r="AA301" s="56"/>
      <c r="AB301" s="57"/>
      <c r="AC301" s="349" t="s">
        <v>476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183.33333333333334</v>
      </c>
      <c r="BN301" s="64">
        <f t="shared" si="28"/>
        <v>184.8</v>
      </c>
      <c r="BO301" s="64">
        <f t="shared" si="29"/>
        <v>0.35612535612535612</v>
      </c>
      <c r="BP301" s="64">
        <f t="shared" si="30"/>
        <v>0.35897435897435903</v>
      </c>
    </row>
    <row r="302" spans="1:68" ht="27" customHeight="1" x14ac:dyDescent="0.25">
      <c r="A302" s="54" t="s">
        <v>477</v>
      </c>
      <c r="B302" s="54" t="s">
        <v>478</v>
      </c>
      <c r="C302" s="31">
        <v>4301031306</v>
      </c>
      <c r="D302" s="546">
        <v>4680115882881</v>
      </c>
      <c r="E302" s="547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6">
        <v>4607091383836</v>
      </c>
      <c r="E303" s="547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76</v>
      </c>
      <c r="L303" s="32" t="s">
        <v>213</v>
      </c>
      <c r="M303" s="33" t="s">
        <v>68</v>
      </c>
      <c r="N303" s="33"/>
      <c r="O303" s="32">
        <v>40</v>
      </c>
      <c r="P303" s="6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4"/>
      <c r="R303" s="544"/>
      <c r="S303" s="544"/>
      <c r="T303" s="545"/>
      <c r="U303" s="34"/>
      <c r="V303" s="34"/>
      <c r="W303" s="35" t="s">
        <v>69</v>
      </c>
      <c r="X303" s="539">
        <v>21</v>
      </c>
      <c r="Y303" s="540">
        <f t="shared" si="26"/>
        <v>21.6</v>
      </c>
      <c r="Z303" s="36">
        <f>IFERROR(IF(Y303=0,"",ROUNDUP(Y303/H303,0)*0.00651),"")</f>
        <v>7.8119999999999995E-2</v>
      </c>
      <c r="AA303" s="56"/>
      <c r="AB303" s="57"/>
      <c r="AC303" s="353" t="s">
        <v>481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23.66</v>
      </c>
      <c r="BN303" s="64">
        <f t="shared" si="28"/>
        <v>24.335999999999999</v>
      </c>
      <c r="BO303" s="64">
        <f t="shared" si="29"/>
        <v>6.4102564102564111E-2</v>
      </c>
      <c r="BP303" s="64">
        <f t="shared" si="30"/>
        <v>6.5934065934065936E-2</v>
      </c>
    </row>
    <row r="304" spans="1:68" x14ac:dyDescent="0.2">
      <c r="A304" s="567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8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1">
        <f>IFERROR(X297/H297,"0")+IFERROR(X298/H298,"0")+IFERROR(X299/H299,"0")+IFERROR(X300/H300,"0")+IFERROR(X301/H301,"0")+IFERROR(X302/H302,"0")+IFERROR(X303/H303,"0")</f>
        <v>95</v>
      </c>
      <c r="Y304" s="541">
        <f>IFERROR(Y297/H297,"0")+IFERROR(Y298/H298,"0")+IFERROR(Y299/H299,"0")+IFERROR(Y300/H300,"0")+IFERROR(Y301/H301,"0")+IFERROR(Y302/H302,"0")+IFERROR(Y303/H303,"0")</f>
        <v>96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0.49980000000000002</v>
      </c>
      <c r="AA304" s="542"/>
      <c r="AB304" s="542"/>
      <c r="AC304" s="542"/>
    </row>
    <row r="305" spans="1:68" x14ac:dyDescent="0.2">
      <c r="A305" s="553"/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68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1">
        <f>IFERROR(SUM(X297:X303),"0")</f>
        <v>196</v>
      </c>
      <c r="Y305" s="541">
        <f>IFERROR(SUM(Y297:Y303),"0")</f>
        <v>198</v>
      </c>
      <c r="Z305" s="37"/>
      <c r="AA305" s="542"/>
      <c r="AB305" s="542"/>
      <c r="AC305" s="542"/>
    </row>
    <row r="306" spans="1:68" ht="14.25" customHeight="1" x14ac:dyDescent="0.25">
      <c r="A306" s="554" t="s">
        <v>73</v>
      </c>
      <c r="B306" s="553"/>
      <c r="C306" s="553"/>
      <c r="D306" s="553"/>
      <c r="E306" s="553"/>
      <c r="F306" s="553"/>
      <c r="G306" s="553"/>
      <c r="H306" s="553"/>
      <c r="I306" s="553"/>
      <c r="J306" s="553"/>
      <c r="K306" s="553"/>
      <c r="L306" s="553"/>
      <c r="M306" s="553"/>
      <c r="N306" s="553"/>
      <c r="O306" s="553"/>
      <c r="P306" s="553"/>
      <c r="Q306" s="553"/>
      <c r="R306" s="553"/>
      <c r="S306" s="553"/>
      <c r="T306" s="553"/>
      <c r="U306" s="553"/>
      <c r="V306" s="553"/>
      <c r="W306" s="553"/>
      <c r="X306" s="553"/>
      <c r="Y306" s="553"/>
      <c r="Z306" s="553"/>
      <c r="AA306" s="535"/>
      <c r="AB306" s="535"/>
      <c r="AC306" s="535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6">
        <v>4607091387766</v>
      </c>
      <c r="E307" s="547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4301051818</v>
      </c>
      <c r="D308" s="546">
        <v>4607091387957</v>
      </c>
      <c r="E308" s="547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4301051819</v>
      </c>
      <c r="D309" s="546">
        <v>4607091387964</v>
      </c>
      <c r="E309" s="547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4301051734</v>
      </c>
      <c r="D310" s="546">
        <v>4680115884588</v>
      </c>
      <c r="E310" s="547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8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8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163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20</v>
      </c>
      <c r="Y314" s="540">
        <f>IFERROR(IF(X314="",0,CEILING((X314/$H314),1)*$H314),"")</f>
        <v>25.200000000000003</v>
      </c>
      <c r="Z314" s="36">
        <f>IFERROR(IF(Y314=0,"",ROUNDUP(Y314/H314,0)*0.01898),"")</f>
        <v>5.6940000000000004E-2</v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21.176190476190474</v>
      </c>
      <c r="BN314" s="64">
        <f>IFERROR(Y314*I314/H314,"0")</f>
        <v>26.682000000000002</v>
      </c>
      <c r="BO314" s="64">
        <f>IFERROR(1/J314*(X314/H314),"0")</f>
        <v>3.7202380952380952E-2</v>
      </c>
      <c r="BP314" s="64">
        <f>IFERROR(1/J314*(Y314/H314),"0")</f>
        <v>4.6875E-2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400</v>
      </c>
      <c r="Y315" s="540">
        <f>IFERROR(IF(X315="",0,CEILING((X315/$H315),1)*$H315),"")</f>
        <v>405.59999999999997</v>
      </c>
      <c r="Z315" s="36">
        <f>IFERROR(IF(Y315=0,"",ROUNDUP(Y315/H315,0)*0.01898),"")</f>
        <v>0.98696000000000006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425.33333333333337</v>
      </c>
      <c r="BN315" s="64">
        <f>IFERROR(Y315*I315/H315,"0")</f>
        <v>431.28799999999995</v>
      </c>
      <c r="BO315" s="64">
        <f>IFERROR(1/J315*(X315/H315),"0")</f>
        <v>0.80128205128205132</v>
      </c>
      <c r="BP315" s="64">
        <f>IFERROR(1/J315*(Y315/H315),"0")</f>
        <v>0.8125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200</v>
      </c>
      <c r="Y316" s="540">
        <f>IFERROR(IF(X316="",0,CEILING((X316/$H316),1)*$H316),"")</f>
        <v>201.60000000000002</v>
      </c>
      <c r="Z316" s="36">
        <f>IFERROR(IF(Y316=0,"",ROUNDUP(Y316/H316,0)*0.01898),"")</f>
        <v>0.45552000000000004</v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211.76190476190476</v>
      </c>
      <c r="BN316" s="64">
        <f>IFERROR(Y316*I316/H316,"0")</f>
        <v>213.45600000000002</v>
      </c>
      <c r="BO316" s="64">
        <f>IFERROR(1/J316*(X316/H316),"0")</f>
        <v>0.37202380952380953</v>
      </c>
      <c r="BP316" s="64">
        <f>IFERROR(1/J316*(Y316/H316),"0")</f>
        <v>0.375</v>
      </c>
    </row>
    <row r="317" spans="1:68" x14ac:dyDescent="0.2">
      <c r="A317" s="567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8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77.472527472527474</v>
      </c>
      <c r="Y317" s="541">
        <f>IFERROR(Y314/H314,"0")+IFERROR(Y315/H315,"0")+IFERROR(Y316/H316,"0")</f>
        <v>79</v>
      </c>
      <c r="Z317" s="541">
        <f>IFERROR(IF(Z314="",0,Z314),"0")+IFERROR(IF(Z315="",0,Z315),"0")+IFERROR(IF(Z316="",0,Z316),"0")</f>
        <v>1.4994200000000002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8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620</v>
      </c>
      <c r="Y318" s="541">
        <f>IFERROR(SUM(Y314:Y316),"0")</f>
        <v>632.4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503</v>
      </c>
      <c r="B320" s="54" t="s">
        <v>504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506</v>
      </c>
      <c r="B321" s="54" t="s">
        <v>507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213</v>
      </c>
      <c r="M322" s="33" t="s">
        <v>94</v>
      </c>
      <c r="N322" s="33"/>
      <c r="O322" s="32">
        <v>180</v>
      </c>
      <c r="P322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510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213</v>
      </c>
      <c r="M323" s="33" t="s">
        <v>94</v>
      </c>
      <c r="N323" s="33"/>
      <c r="O323" s="32">
        <v>180</v>
      </c>
      <c r="P323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7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8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8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513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514</v>
      </c>
      <c r="B327" s="54" t="s">
        <v>515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213</v>
      </c>
      <c r="M327" s="33" t="s">
        <v>516</v>
      </c>
      <c r="N327" s="33"/>
      <c r="O327" s="32">
        <v>730</v>
      </c>
      <c r="P327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517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518</v>
      </c>
      <c r="B328" s="54" t="s">
        <v>519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516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517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520</v>
      </c>
      <c r="B329" s="54" t="s">
        <v>521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213</v>
      </c>
      <c r="M329" s="33" t="s">
        <v>516</v>
      </c>
      <c r="N329" s="33"/>
      <c r="O329" s="32">
        <v>730</v>
      </c>
      <c r="P329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517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7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8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8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52" t="s">
        <v>522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523</v>
      </c>
      <c r="B334" s="54" t="s">
        <v>524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525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526</v>
      </c>
      <c r="B335" s="54" t="s">
        <v>527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213</v>
      </c>
      <c r="M335" s="33" t="s">
        <v>77</v>
      </c>
      <c r="N335" s="33"/>
      <c r="O335" s="32">
        <v>45</v>
      </c>
      <c r="P335" s="7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840</v>
      </c>
      <c r="Y335" s="540">
        <f>IFERROR(IF(X335="",0,CEILING((X335/$H335),1)*$H335),"")</f>
        <v>840</v>
      </c>
      <c r="Z335" s="36">
        <f>IFERROR(IF(Y335=0,"",ROUNDUP(Y335/H335,0)*0.00651),"")</f>
        <v>2.6040000000000001</v>
      </c>
      <c r="AA335" s="56"/>
      <c r="AB335" s="57"/>
      <c r="AC335" s="385" t="s">
        <v>528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940.79999999999984</v>
      </c>
      <c r="BN335" s="64">
        <f>IFERROR(Y335*I335/H335,"0")</f>
        <v>940.79999999999984</v>
      </c>
      <c r="BO335" s="64">
        <f>IFERROR(1/J335*(X335/H335),"0")</f>
        <v>2.197802197802198</v>
      </c>
      <c r="BP335" s="64">
        <f>IFERROR(1/J335*(Y335/H335),"0")</f>
        <v>2.197802197802198</v>
      </c>
    </row>
    <row r="336" spans="1:68" ht="27" customHeight="1" x14ac:dyDescent="0.25">
      <c r="A336" s="54" t="s">
        <v>529</v>
      </c>
      <c r="B336" s="54" t="s">
        <v>530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213</v>
      </c>
      <c r="M336" s="33" t="s">
        <v>84</v>
      </c>
      <c r="N336" s="33"/>
      <c r="O336" s="32">
        <v>40</v>
      </c>
      <c r="P336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350</v>
      </c>
      <c r="Y336" s="540">
        <f>IFERROR(IF(X336="",0,CEILING((X336/$H336),1)*$H336),"")</f>
        <v>350.7</v>
      </c>
      <c r="Z336" s="36">
        <f>IFERROR(IF(Y336=0,"",ROUNDUP(Y336/H336,0)*0.00651),"")</f>
        <v>1.08717</v>
      </c>
      <c r="AA336" s="56"/>
      <c r="AB336" s="57"/>
      <c r="AC336" s="387" t="s">
        <v>531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390</v>
      </c>
      <c r="BN336" s="64">
        <f>IFERROR(Y336*I336/H336,"0")</f>
        <v>390.78</v>
      </c>
      <c r="BO336" s="64">
        <f>IFERROR(1/J336*(X336/H336),"0")</f>
        <v>0.91575091575091572</v>
      </c>
      <c r="BP336" s="64">
        <f>IFERROR(1/J336*(Y336/H336),"0")</f>
        <v>0.91758241758241765</v>
      </c>
    </row>
    <row r="337" spans="1:68" x14ac:dyDescent="0.2">
      <c r="A337" s="567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8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566.66666666666663</v>
      </c>
      <c r="Y337" s="541">
        <f>IFERROR(Y334/H334,"0")+IFERROR(Y335/H335,"0")+IFERROR(Y336/H336,"0")</f>
        <v>567</v>
      </c>
      <c r="Z337" s="541">
        <f>IFERROR(IF(Z334="",0,Z334),"0")+IFERROR(IF(Z335="",0,Z335),"0")+IFERROR(IF(Z336="",0,Z336),"0")</f>
        <v>3.6911700000000001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8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1190</v>
      </c>
      <c r="Y338" s="541">
        <f>IFERROR(SUM(Y334:Y336),"0")</f>
        <v>1190.7</v>
      </c>
      <c r="Z338" s="37"/>
      <c r="AA338" s="542"/>
      <c r="AB338" s="542"/>
      <c r="AC338" s="542"/>
    </row>
    <row r="339" spans="1:68" ht="27.75" customHeight="1" x14ac:dyDescent="0.2">
      <c r="A339" s="693" t="s">
        <v>532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533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534</v>
      </c>
      <c r="B342" s="54" t="s">
        <v>535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2100</v>
      </c>
      <c r="Y342" s="540">
        <f t="shared" ref="Y342:Y348" si="31">IFERROR(IF(X342="",0,CEILING((X342/$H342),1)*$H342),"")</f>
        <v>2100</v>
      </c>
      <c r="Z342" s="36">
        <f>IFERROR(IF(Y342=0,"",ROUNDUP(Y342/H342,0)*0.02175),"")</f>
        <v>3.0449999999999999</v>
      </c>
      <c r="AA342" s="56"/>
      <c r="AB342" s="57"/>
      <c r="AC342" s="389" t="s">
        <v>536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2165.8000000000002</v>
      </c>
      <c r="BN342" s="64">
        <f t="shared" ref="BN342:BN348" si="33">IFERROR(Y342*I342/H342,"0")</f>
        <v>2165.8000000000002</v>
      </c>
      <c r="BO342" s="64">
        <f t="shared" ref="BO342:BO348" si="34">IFERROR(1/J342*(X342/H342),"0")</f>
        <v>2.9166666666666665</v>
      </c>
      <c r="BP342" s="64">
        <f t="shared" ref="BP342:BP348" si="35">IFERROR(1/J342*(Y342/H342),"0")</f>
        <v>2.9166666666666665</v>
      </c>
    </row>
    <row r="343" spans="1:68" ht="27" customHeight="1" x14ac:dyDescent="0.25">
      <c r="A343" s="54" t="s">
        <v>537</v>
      </c>
      <c r="B343" s="54" t="s">
        <v>538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1000</v>
      </c>
      <c r="Y343" s="540">
        <f t="shared" si="31"/>
        <v>1005</v>
      </c>
      <c r="Z343" s="36">
        <f>IFERROR(IF(Y343=0,"",ROUNDUP(Y343/H343,0)*0.02175),"")</f>
        <v>1.4572499999999999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si="32"/>
        <v>1031.3333333333333</v>
      </c>
      <c r="BN343" s="64">
        <f t="shared" si="33"/>
        <v>1036.49</v>
      </c>
      <c r="BO343" s="64">
        <f t="shared" si="34"/>
        <v>1.3888888888888888</v>
      </c>
      <c r="BP343" s="64">
        <f t="shared" si="35"/>
        <v>1.3958333333333333</v>
      </c>
    </row>
    <row r="344" spans="1:68" ht="37.5" customHeight="1" x14ac:dyDescent="0.25">
      <c r="A344" s="54" t="s">
        <v>540</v>
      </c>
      <c r="B344" s="54" t="s">
        <v>541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1400</v>
      </c>
      <c r="Y344" s="540">
        <f t="shared" si="31"/>
        <v>1410</v>
      </c>
      <c r="Z344" s="36">
        <f>IFERROR(IF(Y344=0,"",ROUNDUP(Y344/H344,0)*0.02175),"")</f>
        <v>2.0444999999999998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2"/>
        <v>1443.8666666666666</v>
      </c>
      <c r="BN344" s="64">
        <f t="shared" si="33"/>
        <v>1454.18</v>
      </c>
      <c r="BO344" s="64">
        <f t="shared" si="34"/>
        <v>1.9444444444444442</v>
      </c>
      <c r="BP344" s="64">
        <f t="shared" si="35"/>
        <v>1.9583333333333333</v>
      </c>
    </row>
    <row r="345" spans="1:68" ht="27" customHeight="1" x14ac:dyDescent="0.25">
      <c r="A345" s="54" t="s">
        <v>543</v>
      </c>
      <c r="B345" s="54" t="s">
        <v>544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280</v>
      </c>
      <c r="Y345" s="540">
        <f t="shared" si="31"/>
        <v>285</v>
      </c>
      <c r="Z345" s="36">
        <f>IFERROR(IF(Y345=0,"",ROUNDUP(Y345/H345,0)*0.02175),"")</f>
        <v>0.41324999999999995</v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2"/>
        <v>288.77333333333337</v>
      </c>
      <c r="BN345" s="64">
        <f t="shared" si="33"/>
        <v>293.93</v>
      </c>
      <c r="BO345" s="64">
        <f t="shared" si="34"/>
        <v>0.3888888888888889</v>
      </c>
      <c r="BP345" s="64">
        <f t="shared" si="35"/>
        <v>0.39583333333333331</v>
      </c>
    </row>
    <row r="346" spans="1:68" ht="27" customHeight="1" x14ac:dyDescent="0.25">
      <c r="A346" s="54" t="s">
        <v>546</v>
      </c>
      <c r="B346" s="54" t="s">
        <v>547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549</v>
      </c>
      <c r="B347" s="54" t="s">
        <v>550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539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551</v>
      </c>
      <c r="B348" s="54" t="s">
        <v>552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50</v>
      </c>
      <c r="Y348" s="540">
        <f t="shared" si="31"/>
        <v>50</v>
      </c>
      <c r="Z348" s="36">
        <f>IFERROR(IF(Y348=0,"",ROUNDUP(Y348/H348,0)*0.00902),"")</f>
        <v>9.0200000000000002E-2</v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51.9</v>
      </c>
      <c r="BN348" s="64">
        <f t="shared" si="33"/>
        <v>51.9</v>
      </c>
      <c r="BO348" s="64">
        <f t="shared" si="34"/>
        <v>7.575757575757576E-2</v>
      </c>
      <c r="BP348" s="64">
        <f t="shared" si="35"/>
        <v>7.575757575757576E-2</v>
      </c>
    </row>
    <row r="349" spans="1:68" x14ac:dyDescent="0.2">
      <c r="A349" s="567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8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328.66666666666669</v>
      </c>
      <c r="Y349" s="541">
        <f>IFERROR(Y342/H342,"0")+IFERROR(Y343/H343,"0")+IFERROR(Y344/H344,"0")+IFERROR(Y345/H345,"0")+IFERROR(Y346/H346,"0")+IFERROR(Y347/H347,"0")+IFERROR(Y348/H348,"0")</f>
        <v>330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7.0501999999999994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8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4830</v>
      </c>
      <c r="Y350" s="541">
        <f>IFERROR(SUM(Y342:Y348),"0")</f>
        <v>4850</v>
      </c>
      <c r="Z350" s="37"/>
      <c r="AA350" s="542"/>
      <c r="AB350" s="542"/>
      <c r="AC350" s="542"/>
    </row>
    <row r="351" spans="1:68" ht="14.25" customHeight="1" x14ac:dyDescent="0.25">
      <c r="A351" s="554" t="s">
        <v>135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553</v>
      </c>
      <c r="B352" s="54" t="s">
        <v>554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1000</v>
      </c>
      <c r="Y352" s="540">
        <f>IFERROR(IF(X352="",0,CEILING((X352/$H352),1)*$H352),"")</f>
        <v>1005</v>
      </c>
      <c r="Z352" s="36">
        <f>IFERROR(IF(Y352=0,"",ROUNDUP(Y352/H352,0)*0.02175),"")</f>
        <v>1.4572499999999999</v>
      </c>
      <c r="AA352" s="56"/>
      <c r="AB352" s="57"/>
      <c r="AC352" s="403" t="s">
        <v>555</v>
      </c>
      <c r="AG352" s="64"/>
      <c r="AJ352" s="68"/>
      <c r="AK352" s="68">
        <v>0</v>
      </c>
      <c r="BB352" s="404" t="s">
        <v>1</v>
      </c>
      <c r="BM352" s="64">
        <f>IFERROR(X352*I352/H352,"0")</f>
        <v>1031.3333333333333</v>
      </c>
      <c r="BN352" s="64">
        <f>IFERROR(Y352*I352/H352,"0")</f>
        <v>1036.49</v>
      </c>
      <c r="BO352" s="64">
        <f>IFERROR(1/J352*(X352/H352),"0")</f>
        <v>1.3888888888888888</v>
      </c>
      <c r="BP352" s="64">
        <f>IFERROR(1/J352*(Y352/H352),"0")</f>
        <v>1.3958333333333333</v>
      </c>
    </row>
    <row r="353" spans="1:68" ht="16.5" customHeight="1" x14ac:dyDescent="0.25">
      <c r="A353" s="54" t="s">
        <v>556</v>
      </c>
      <c r="B353" s="54" t="s">
        <v>557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12</v>
      </c>
      <c r="Y353" s="540">
        <f>IFERROR(IF(X353="",0,CEILING((X353/$H353),1)*$H353),"")</f>
        <v>12</v>
      </c>
      <c r="Z353" s="36">
        <f>IFERROR(IF(Y353=0,"",ROUNDUP(Y353/H353,0)*0.00902),"")</f>
        <v>2.7060000000000001E-2</v>
      </c>
      <c r="AA353" s="56"/>
      <c r="AB353" s="57"/>
      <c r="AC353" s="405" t="s">
        <v>555</v>
      </c>
      <c r="AG353" s="64"/>
      <c r="AJ353" s="68"/>
      <c r="AK353" s="68">
        <v>0</v>
      </c>
      <c r="BB353" s="406" t="s">
        <v>1</v>
      </c>
      <c r="BM353" s="64">
        <f>IFERROR(X353*I353/H353,"0")</f>
        <v>12.57</v>
      </c>
      <c r="BN353" s="64">
        <f>IFERROR(Y353*I353/H353,"0")</f>
        <v>12.57</v>
      </c>
      <c r="BO353" s="64">
        <f>IFERROR(1/J353*(X353/H353),"0")</f>
        <v>2.2727272727272728E-2</v>
      </c>
      <c r="BP353" s="64">
        <f>IFERROR(1/J353*(Y353/H353),"0")</f>
        <v>2.2727272727272728E-2</v>
      </c>
    </row>
    <row r="354" spans="1:68" x14ac:dyDescent="0.2">
      <c r="A354" s="567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8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69.666666666666671</v>
      </c>
      <c r="Y354" s="541">
        <f>IFERROR(Y352/H352,"0")+IFERROR(Y353/H353,"0")</f>
        <v>70</v>
      </c>
      <c r="Z354" s="541">
        <f>IFERROR(IF(Z352="",0,Z352),"0")+IFERROR(IF(Z353="",0,Z353),"0")</f>
        <v>1.48431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8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1012</v>
      </c>
      <c r="Y355" s="541">
        <f>IFERROR(SUM(Y352:Y353),"0")</f>
        <v>1017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558</v>
      </c>
      <c r="B357" s="54" t="s">
        <v>559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561</v>
      </c>
      <c r="B358" s="54" t="s">
        <v>562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30</v>
      </c>
      <c r="Y358" s="540">
        <f>IFERROR(IF(X358="",0,CEILING((X358/$H358),1)*$H358),"")</f>
        <v>36</v>
      </c>
      <c r="Z358" s="36">
        <f>IFERROR(IF(Y358=0,"",ROUNDUP(Y358/H358,0)*0.01898),"")</f>
        <v>7.5920000000000001E-2</v>
      </c>
      <c r="AA358" s="56"/>
      <c r="AB358" s="57"/>
      <c r="AC358" s="409" t="s">
        <v>563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31.646666666666665</v>
      </c>
      <c r="BN358" s="64">
        <f>IFERROR(Y358*I358/H358,"0")</f>
        <v>37.975999999999999</v>
      </c>
      <c r="BO358" s="64">
        <f>IFERROR(1/J358*(X358/H358),"0")</f>
        <v>5.2083333333333336E-2</v>
      </c>
      <c r="BP358" s="64">
        <f>IFERROR(1/J358*(Y358/H358),"0")</f>
        <v>6.25E-2</v>
      </c>
    </row>
    <row r="359" spans="1:68" x14ac:dyDescent="0.2">
      <c r="A359" s="567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8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3.3333333333333335</v>
      </c>
      <c r="Y359" s="541">
        <f>IFERROR(Y357/H357,"0")+IFERROR(Y358/H358,"0")</f>
        <v>4</v>
      </c>
      <c r="Z359" s="541">
        <f>IFERROR(IF(Z357="",0,Z357),"0")+IFERROR(IF(Z358="",0,Z358),"0")</f>
        <v>7.5920000000000001E-2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8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30</v>
      </c>
      <c r="Y360" s="541">
        <f>IFERROR(SUM(Y357:Y358),"0")</f>
        <v>36</v>
      </c>
      <c r="Z360" s="37"/>
      <c r="AA360" s="542"/>
      <c r="AB360" s="542"/>
      <c r="AC360" s="542"/>
    </row>
    <row r="361" spans="1:68" ht="14.25" customHeight="1" x14ac:dyDescent="0.25">
      <c r="A361" s="554" t="s">
        <v>163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564</v>
      </c>
      <c r="B362" s="54" t="s">
        <v>565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20</v>
      </c>
      <c r="Y362" s="540">
        <f>IFERROR(IF(X362="",0,CEILING((X362/$H362),1)*$H362),"")</f>
        <v>27</v>
      </c>
      <c r="Z362" s="36">
        <f>IFERROR(IF(Y362=0,"",ROUNDUP(Y362/H362,0)*0.01898),"")</f>
        <v>5.6940000000000004E-2</v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21.097777777777779</v>
      </c>
      <c r="BN362" s="64">
        <f>IFERROR(Y362*I362/H362,"0")</f>
        <v>28.481999999999996</v>
      </c>
      <c r="BO362" s="64">
        <f>IFERROR(1/J362*(X362/H362),"0")</f>
        <v>3.4722222222222224E-2</v>
      </c>
      <c r="BP362" s="64">
        <f>IFERROR(1/J362*(Y362/H362),"0")</f>
        <v>4.6875E-2</v>
      </c>
    </row>
    <row r="363" spans="1:68" x14ac:dyDescent="0.2">
      <c r="A363" s="567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8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2.2222222222222223</v>
      </c>
      <c r="Y363" s="541">
        <f>IFERROR(Y362/H362,"0")</f>
        <v>3</v>
      </c>
      <c r="Z363" s="541">
        <f>IFERROR(IF(Z362="",0,Z362),"0")</f>
        <v>5.6940000000000004E-2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8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20</v>
      </c>
      <c r="Y364" s="541">
        <f>IFERROR(SUM(Y362:Y362),"0")</f>
        <v>27</v>
      </c>
      <c r="Z364" s="37"/>
      <c r="AA364" s="542"/>
      <c r="AB364" s="542"/>
      <c r="AC364" s="542"/>
    </row>
    <row r="365" spans="1:68" ht="16.5" customHeight="1" x14ac:dyDescent="0.25">
      <c r="A365" s="552" t="s">
        <v>567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568</v>
      </c>
      <c r="B367" s="54" t="s">
        <v>569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50</v>
      </c>
      <c r="Y367" s="540">
        <f>IFERROR(IF(X367="",0,CEILING((X367/$H367),1)*$H367),"")</f>
        <v>60</v>
      </c>
      <c r="Z367" s="36">
        <f>IFERROR(IF(Y367=0,"",ROUNDUP(Y367/H367,0)*0.01898),"")</f>
        <v>9.4899999999999998E-2</v>
      </c>
      <c r="AA367" s="56"/>
      <c r="AB367" s="57"/>
      <c r="AC367" s="413" t="s">
        <v>570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51.708333333333336</v>
      </c>
      <c r="BN367" s="64">
        <f>IFERROR(Y367*I367/H367,"0")</f>
        <v>62.050000000000004</v>
      </c>
      <c r="BO367" s="64">
        <f>IFERROR(1/J367*(X367/H367),"0")</f>
        <v>6.5104166666666671E-2</v>
      </c>
      <c r="BP367" s="64">
        <f>IFERROR(1/J367*(Y367/H367),"0")</f>
        <v>7.8125E-2</v>
      </c>
    </row>
    <row r="368" spans="1:68" ht="37.5" customHeight="1" x14ac:dyDescent="0.25">
      <c r="A368" s="54" t="s">
        <v>571</v>
      </c>
      <c r="B368" s="54" t="s">
        <v>572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8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4.166666666666667</v>
      </c>
      <c r="Y369" s="541">
        <f>IFERROR(Y367/H367,"0")+IFERROR(Y368/H368,"0")</f>
        <v>5</v>
      </c>
      <c r="Z369" s="541">
        <f>IFERROR(IF(Z367="",0,Z367),"0")+IFERROR(IF(Z368="",0,Z368),"0")</f>
        <v>9.4899999999999998E-2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8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50</v>
      </c>
      <c r="Y370" s="541">
        <f>IFERROR(SUM(Y367:Y368),"0")</f>
        <v>60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573</v>
      </c>
      <c r="B372" s="54" t="s">
        <v>574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573</v>
      </c>
      <c r="B373" s="54" t="s">
        <v>576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8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8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578</v>
      </c>
      <c r="B377" s="54" t="s">
        <v>579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20</v>
      </c>
      <c r="Y377" s="540">
        <f>IFERROR(IF(X377="",0,CEILING((X377/$H377),1)*$H377),"")</f>
        <v>27</v>
      </c>
      <c r="Z377" s="36">
        <f>IFERROR(IF(Y377=0,"",ROUNDUP(Y377/H377,0)*0.01898),"")</f>
        <v>5.6940000000000004E-2</v>
      </c>
      <c r="AA377" s="56"/>
      <c r="AB377" s="57"/>
      <c r="AC377" s="421" t="s">
        <v>580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21.097777777777779</v>
      </c>
      <c r="BN377" s="64">
        <f>IFERROR(Y377*I377/H377,"0")</f>
        <v>28.481999999999996</v>
      </c>
      <c r="BO377" s="64">
        <f>IFERROR(1/J377*(X377/H377),"0")</f>
        <v>3.4722222222222224E-2</v>
      </c>
      <c r="BP377" s="64">
        <f>IFERROR(1/J377*(Y377/H377),"0")</f>
        <v>4.6875E-2</v>
      </c>
    </row>
    <row r="378" spans="1:68" ht="27" customHeight="1" x14ac:dyDescent="0.25">
      <c r="A378" s="54" t="s">
        <v>581</v>
      </c>
      <c r="B378" s="54" t="s">
        <v>582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8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2.2222222222222223</v>
      </c>
      <c r="Y379" s="541">
        <f>IFERROR(Y377/H377,"0")+IFERROR(Y378/H378,"0")</f>
        <v>3</v>
      </c>
      <c r="Z379" s="541">
        <f>IFERROR(IF(Z377="",0,Z377),"0")+IFERROR(IF(Z378="",0,Z378),"0")</f>
        <v>5.6940000000000004E-2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8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20</v>
      </c>
      <c r="Y380" s="541">
        <f>IFERROR(SUM(Y377:Y378),"0")</f>
        <v>27</v>
      </c>
      <c r="Z380" s="37"/>
      <c r="AA380" s="542"/>
      <c r="AB380" s="542"/>
      <c r="AC380" s="542"/>
    </row>
    <row r="381" spans="1:68" ht="27.75" customHeight="1" x14ac:dyDescent="0.2">
      <c r="A381" s="693" t="s">
        <v>583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584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585</v>
      </c>
      <c r="B384" s="54" t="s">
        <v>586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587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588</v>
      </c>
      <c r="B385" s="54" t="s">
        <v>589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587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267</v>
      </c>
      <c r="M388" s="33" t="s">
        <v>68</v>
      </c>
      <c r="N388" s="33"/>
      <c r="O388" s="32">
        <v>50</v>
      </c>
      <c r="P388" s="7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587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598</v>
      </c>
      <c r="B389" s="54" t="s">
        <v>599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267</v>
      </c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10.5</v>
      </c>
      <c r="Y389" s="540">
        <f t="shared" si="36"/>
        <v>10.5</v>
      </c>
      <c r="Z389" s="36">
        <f t="shared" si="41"/>
        <v>2.5100000000000001E-2</v>
      </c>
      <c r="AA389" s="56"/>
      <c r="AB389" s="57"/>
      <c r="AC389" s="435" t="s">
        <v>600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11.149999999999999</v>
      </c>
      <c r="BN389" s="64">
        <f t="shared" si="38"/>
        <v>11.149999999999999</v>
      </c>
      <c r="BO389" s="64">
        <f t="shared" si="39"/>
        <v>2.1367521367521368E-2</v>
      </c>
      <c r="BP389" s="64">
        <f t="shared" si="40"/>
        <v>2.1367521367521368E-2</v>
      </c>
    </row>
    <row r="390" spans="1:68" ht="27" customHeight="1" x14ac:dyDescent="0.25">
      <c r="A390" s="54" t="s">
        <v>601</v>
      </c>
      <c r="B390" s="54" t="s">
        <v>602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267</v>
      </c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35</v>
      </c>
      <c r="Y391" s="540">
        <f t="shared" si="36"/>
        <v>35.700000000000003</v>
      </c>
      <c r="Z391" s="36">
        <f t="shared" si="41"/>
        <v>8.5339999999999999E-2</v>
      </c>
      <c r="AA391" s="56"/>
      <c r="AB391" s="57"/>
      <c r="AC391" s="439" t="s">
        <v>606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37.166666666666664</v>
      </c>
      <c r="BN391" s="64">
        <f t="shared" si="38"/>
        <v>37.910000000000004</v>
      </c>
      <c r="BO391" s="64">
        <f t="shared" si="39"/>
        <v>7.1225071225071226E-2</v>
      </c>
      <c r="BP391" s="64">
        <f t="shared" si="40"/>
        <v>7.2649572649572655E-2</v>
      </c>
    </row>
    <row r="392" spans="1:68" ht="37.5" customHeight="1" x14ac:dyDescent="0.25">
      <c r="A392" s="54" t="s">
        <v>607</v>
      </c>
      <c r="B392" s="54" t="s">
        <v>608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7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8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21.666666666666664</v>
      </c>
      <c r="Y393" s="541">
        <f>IFERROR(Y384/H384,"0")+IFERROR(Y385/H385,"0")+IFERROR(Y386/H386,"0")+IFERROR(Y387/H387,"0")+IFERROR(Y388/H388,"0")+IFERROR(Y389/H389,"0")+IFERROR(Y390/H390,"0")+IFERROR(Y391/H391,"0")+IFERROR(Y392/H392,"0")</f>
        <v>22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0.11044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8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45.5</v>
      </c>
      <c r="Y394" s="541">
        <f>IFERROR(SUM(Y384:Y392),"0")</f>
        <v>46.2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609</v>
      </c>
      <c r="B396" s="54" t="s">
        <v>610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611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612</v>
      </c>
      <c r="B397" s="54" t="s">
        <v>613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7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8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8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615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135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616</v>
      </c>
      <c r="B402" s="54" t="s">
        <v>617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618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7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8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8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619</v>
      </c>
      <c r="B406" s="54" t="s">
        <v>620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621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622</v>
      </c>
      <c r="B407" s="54" t="s">
        <v>623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624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625</v>
      </c>
      <c r="B408" s="54" t="s">
        <v>626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7</v>
      </c>
      <c r="Y409" s="540">
        <f>IFERROR(IF(X409="",0,CEILING((X409/$H409),1)*$H409),"")</f>
        <v>8.4</v>
      </c>
      <c r="Z409" s="36">
        <f>IFERROR(IF(Y409=0,"",ROUNDUP(Y409/H409,0)*0.00502),"")</f>
        <v>2.0080000000000001E-2</v>
      </c>
      <c r="AA409" s="56"/>
      <c r="AB409" s="57"/>
      <c r="AC409" s="455" t="s">
        <v>627</v>
      </c>
      <c r="AG409" s="64"/>
      <c r="AJ409" s="68"/>
      <c r="AK409" s="68">
        <v>0</v>
      </c>
      <c r="BB409" s="456" t="s">
        <v>1</v>
      </c>
      <c r="BM409" s="64">
        <f>IFERROR(X409*I409/H409,"0")</f>
        <v>7.4333333333333327</v>
      </c>
      <c r="BN409" s="64">
        <f>IFERROR(Y409*I409/H409,"0")</f>
        <v>8.92</v>
      </c>
      <c r="BO409" s="64">
        <f>IFERROR(1/J409*(X409/H409),"0")</f>
        <v>1.4245014245014245E-2</v>
      </c>
      <c r="BP409" s="64">
        <f>IFERROR(1/J409*(Y409/H409),"0")</f>
        <v>1.7094017094017096E-2</v>
      </c>
    </row>
    <row r="410" spans="1:68" x14ac:dyDescent="0.2">
      <c r="A410" s="567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8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3.333333333333333</v>
      </c>
      <c r="Y410" s="541">
        <f>IFERROR(Y406/H406,"0")+IFERROR(Y407/H407,"0")+IFERROR(Y408/H408,"0")+IFERROR(Y409/H409,"0")</f>
        <v>4</v>
      </c>
      <c r="Z410" s="541">
        <f>IFERROR(IF(Z406="",0,Z406),"0")+IFERROR(IF(Z407="",0,Z407),"0")+IFERROR(IF(Z408="",0,Z408),"0")+IFERROR(IF(Z409="",0,Z409),"0")</f>
        <v>2.0080000000000001E-2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8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7</v>
      </c>
      <c r="Y411" s="541">
        <f>IFERROR(SUM(Y406:Y409),"0")</f>
        <v>8.4</v>
      </c>
      <c r="Z411" s="37"/>
      <c r="AA411" s="542"/>
      <c r="AB411" s="542"/>
      <c r="AC411" s="542"/>
    </row>
    <row r="412" spans="1:68" ht="16.5" customHeight="1" x14ac:dyDescent="0.25">
      <c r="A412" s="552" t="s">
        <v>630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631</v>
      </c>
      <c r="B414" s="54" t="s">
        <v>632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213</v>
      </c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20</v>
      </c>
      <c r="Y414" s="540">
        <f>IFERROR(IF(X414="",0,CEILING((X414/$H414),1)*$H414),"")</f>
        <v>20.399999999999999</v>
      </c>
      <c r="Z414" s="36">
        <f>IFERROR(IF(Y414=0,"",ROUNDUP(Y414/H414,0)*0.00651),"")</f>
        <v>0.11067</v>
      </c>
      <c r="AA414" s="56"/>
      <c r="AB414" s="57"/>
      <c r="AC414" s="457" t="s">
        <v>633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35</v>
      </c>
      <c r="BN414" s="64">
        <f>IFERROR(Y414*I414/H414,"0")</f>
        <v>35.699999999999996</v>
      </c>
      <c r="BO414" s="64">
        <f>IFERROR(1/J414*(X414/H414),"0")</f>
        <v>9.1575091575091583E-2</v>
      </c>
      <c r="BP414" s="64">
        <f>IFERROR(1/J414*(Y414/H414),"0")</f>
        <v>9.3406593406593408E-2</v>
      </c>
    </row>
    <row r="415" spans="1:68" x14ac:dyDescent="0.2">
      <c r="A415" s="567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8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16.666666666666668</v>
      </c>
      <c r="Y415" s="541">
        <f>IFERROR(Y414/H414,"0")</f>
        <v>17</v>
      </c>
      <c r="Z415" s="541">
        <f>IFERROR(IF(Z414="",0,Z414),"0")</f>
        <v>0.11067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8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20</v>
      </c>
      <c r="Y416" s="541">
        <f>IFERROR(SUM(Y414:Y414),"0")</f>
        <v>20.399999999999999</v>
      </c>
      <c r="Z416" s="37"/>
      <c r="AA416" s="542"/>
      <c r="AB416" s="542"/>
      <c r="AC416" s="542"/>
    </row>
    <row r="417" spans="1:68" ht="27.75" customHeight="1" x14ac:dyDescent="0.2">
      <c r="A417" s="693" t="s">
        <v>634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634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635</v>
      </c>
      <c r="B420" s="54" t="s">
        <v>636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80</v>
      </c>
      <c r="Y420" s="540">
        <f t="shared" ref="Y420:Y430" si="42">IFERROR(IF(X420="",0,CEILING((X420/$H420),1)*$H420),"")</f>
        <v>84.48</v>
      </c>
      <c r="Z420" s="36">
        <f t="shared" ref="Z420:Z425" si="43">IFERROR(IF(Y420=0,"",ROUNDUP(Y420/H420,0)*0.01196),"")</f>
        <v>0.19136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85.303030303030297</v>
      </c>
      <c r="BN420" s="64">
        <f t="shared" ref="BN420:BN430" si="45">IFERROR(Y420*I420/H420,"0")</f>
        <v>90.08</v>
      </c>
      <c r="BO420" s="64">
        <f t="shared" ref="BO420:BO430" si="46">IFERROR(1/J420*(X420/H420),"0")</f>
        <v>0.14568764568764569</v>
      </c>
      <c r="BP420" s="64">
        <f t="shared" ref="BP420:BP430" si="47">IFERROR(1/J420*(Y420/H420),"0")</f>
        <v>0.15384615384615385</v>
      </c>
    </row>
    <row r="421" spans="1:68" ht="27" customHeight="1" x14ac:dyDescent="0.25">
      <c r="A421" s="54" t="s">
        <v>637</v>
      </c>
      <c r="B421" s="54" t="s">
        <v>638</v>
      </c>
      <c r="C421" s="31">
        <v>4301012145</v>
      </c>
      <c r="D421" s="546">
        <v>4607091383522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639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640</v>
      </c>
      <c r="B422" s="54" t="s">
        <v>641</v>
      </c>
      <c r="C422" s="31">
        <v>4301011961</v>
      </c>
      <c r="D422" s="546">
        <v>4680115885271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4301011376</v>
      </c>
      <c r="D423" s="546">
        <v>4680115885226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100</v>
      </c>
      <c r="Y423" s="540">
        <f t="shared" si="42"/>
        <v>100.32000000000001</v>
      </c>
      <c r="Z423" s="36">
        <f t="shared" si="43"/>
        <v>0.22724</v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106.62878787878788</v>
      </c>
      <c r="BN423" s="64">
        <f t="shared" si="45"/>
        <v>106.97</v>
      </c>
      <c r="BO423" s="64">
        <f t="shared" si="46"/>
        <v>0.18210955710955709</v>
      </c>
      <c r="BP423" s="64">
        <f t="shared" si="47"/>
        <v>0.18269230769230771</v>
      </c>
    </row>
    <row r="424" spans="1:68" ht="16.5" customHeight="1" x14ac:dyDescent="0.25">
      <c r="A424" s="54" t="s">
        <v>646</v>
      </c>
      <c r="B424" s="54" t="s">
        <v>647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649</v>
      </c>
      <c r="B425" s="54" t="s">
        <v>650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150</v>
      </c>
      <c r="Y425" s="540">
        <f t="shared" si="42"/>
        <v>153.12</v>
      </c>
      <c r="Z425" s="36">
        <f t="shared" si="43"/>
        <v>0.34683999999999998</v>
      </c>
      <c r="AA425" s="56"/>
      <c r="AB425" s="57"/>
      <c r="AC425" s="469" t="s">
        <v>651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159.94318181818181</v>
      </c>
      <c r="BN425" s="64">
        <f t="shared" si="45"/>
        <v>163.26999999999998</v>
      </c>
      <c r="BO425" s="64">
        <f t="shared" si="46"/>
        <v>0.27316433566433568</v>
      </c>
      <c r="BP425" s="64">
        <f t="shared" si="47"/>
        <v>0.27884615384615385</v>
      </c>
    </row>
    <row r="426" spans="1:68" ht="27" customHeight="1" x14ac:dyDescent="0.25">
      <c r="A426" s="54" t="s">
        <v>652</v>
      </c>
      <c r="B426" s="54" t="s">
        <v>653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90</v>
      </c>
      <c r="Y427" s="540">
        <f t="shared" si="42"/>
        <v>91.2</v>
      </c>
      <c r="Z427" s="36">
        <f>IFERROR(IF(Y427=0,"",ROUNDUP(Y427/H427,0)*0.00902),"")</f>
        <v>0.17138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129.5625</v>
      </c>
      <c r="BN427" s="64">
        <f t="shared" si="45"/>
        <v>131.29000000000002</v>
      </c>
      <c r="BO427" s="64">
        <f t="shared" si="46"/>
        <v>0.14204545454545456</v>
      </c>
      <c r="BP427" s="64">
        <f t="shared" si="47"/>
        <v>0.14393939393939395</v>
      </c>
    </row>
    <row r="428" spans="1:68" ht="27" customHeight="1" x14ac:dyDescent="0.25">
      <c r="A428" s="54" t="s">
        <v>656</v>
      </c>
      <c r="B428" s="54" t="s">
        <v>657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120</v>
      </c>
      <c r="Y430" s="540">
        <f t="shared" si="42"/>
        <v>120</v>
      </c>
      <c r="Z430" s="36">
        <f>IFERROR(IF(Y430=0,"",ROUNDUP(Y430/H430,0)*0.00902),"")</f>
        <v>0.22550000000000001</v>
      </c>
      <c r="AA430" s="56"/>
      <c r="AB430" s="57"/>
      <c r="AC430" s="479" t="s">
        <v>651</v>
      </c>
      <c r="AG430" s="64"/>
      <c r="AJ430" s="68"/>
      <c r="AK430" s="68">
        <v>0</v>
      </c>
      <c r="BB430" s="480" t="s">
        <v>1</v>
      </c>
      <c r="BM430" s="64">
        <f t="shared" si="44"/>
        <v>172.75000000000003</v>
      </c>
      <c r="BN430" s="64">
        <f t="shared" si="45"/>
        <v>172.75000000000003</v>
      </c>
      <c r="BO430" s="64">
        <f t="shared" si="46"/>
        <v>0.18939393939393939</v>
      </c>
      <c r="BP430" s="64">
        <f t="shared" si="47"/>
        <v>0.18939393939393939</v>
      </c>
    </row>
    <row r="431" spans="1:68" x14ac:dyDescent="0.2">
      <c r="A431" s="567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8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106.25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108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1.1623199999999998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8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540</v>
      </c>
      <c r="Y432" s="541">
        <f>IFERROR(SUM(Y420:Y430),"0")</f>
        <v>549.12</v>
      </c>
      <c r="Z432" s="37"/>
      <c r="AA432" s="542"/>
      <c r="AB432" s="542"/>
      <c r="AC432" s="542"/>
    </row>
    <row r="433" spans="1:68" ht="14.25" customHeight="1" x14ac:dyDescent="0.25">
      <c r="A433" s="554" t="s">
        <v>135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663</v>
      </c>
      <c r="B434" s="54" t="s">
        <v>664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120</v>
      </c>
      <c r="Y434" s="540">
        <f>IFERROR(IF(X434="",0,CEILING((X434/$H434),1)*$H434),"")</f>
        <v>121.44000000000001</v>
      </c>
      <c r="Z434" s="36">
        <f>IFERROR(IF(Y434=0,"",ROUNDUP(Y434/H434,0)*0.01196),"")</f>
        <v>0.27507999999999999</v>
      </c>
      <c r="AA434" s="56"/>
      <c r="AB434" s="57"/>
      <c r="AC434" s="481" t="s">
        <v>665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127.95454545454545</v>
      </c>
      <c r="BN434" s="64">
        <f>IFERROR(Y434*I434/H434,"0")</f>
        <v>129.49</v>
      </c>
      <c r="BO434" s="64">
        <f>IFERROR(1/J434*(X434/H434),"0")</f>
        <v>0.21853146853146854</v>
      </c>
      <c r="BP434" s="64">
        <f>IFERROR(1/J434*(Y434/H434),"0")</f>
        <v>0.22115384615384617</v>
      </c>
    </row>
    <row r="435" spans="1:68" ht="16.5" customHeight="1" x14ac:dyDescent="0.25">
      <c r="A435" s="54" t="s">
        <v>666</v>
      </c>
      <c r="B435" s="54" t="s">
        <v>667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665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668</v>
      </c>
      <c r="B436" s="54" t="s">
        <v>669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665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7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8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22.727272727272727</v>
      </c>
      <c r="Y437" s="541">
        <f>IFERROR(Y434/H434,"0")+IFERROR(Y435/H435,"0")+IFERROR(Y436/H436,"0")</f>
        <v>23</v>
      </c>
      <c r="Z437" s="541">
        <f>IFERROR(IF(Z434="",0,Z434),"0")+IFERROR(IF(Z435="",0,Z435),"0")+IFERROR(IF(Z436="",0,Z436),"0")</f>
        <v>0.27507999999999999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8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120</v>
      </c>
      <c r="Y438" s="541">
        <f>IFERROR(SUM(Y434:Y436),"0")</f>
        <v>121.44000000000001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670</v>
      </c>
      <c r="B440" s="54" t="s">
        <v>671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30</v>
      </c>
      <c r="Y440" s="540">
        <f t="shared" ref="Y440:Y445" si="48">IFERROR(IF(X440="",0,CEILING((X440/$H440),1)*$H440),"")</f>
        <v>31.68</v>
      </c>
      <c r="Z440" s="36">
        <f>IFERROR(IF(Y440=0,"",ROUNDUP(Y440/H440,0)*0.01196),"")</f>
        <v>7.1760000000000004E-2</v>
      </c>
      <c r="AA440" s="56"/>
      <c r="AB440" s="57"/>
      <c r="AC440" s="487" t="s">
        <v>672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31.988636363636363</v>
      </c>
      <c r="BN440" s="64">
        <f t="shared" ref="BN440:BN445" si="50">IFERROR(Y440*I440/H440,"0")</f>
        <v>33.779999999999994</v>
      </c>
      <c r="BO440" s="64">
        <f t="shared" ref="BO440:BO445" si="51">IFERROR(1/J440*(X440/H440),"0")</f>
        <v>5.4632867132867136E-2</v>
      </c>
      <c r="BP440" s="64">
        <f t="shared" ref="BP440:BP445" si="52">IFERROR(1/J440*(Y440/H440),"0")</f>
        <v>5.7692307692307696E-2</v>
      </c>
    </row>
    <row r="441" spans="1:68" ht="27" customHeight="1" x14ac:dyDescent="0.25">
      <c r="A441" s="54" t="s">
        <v>673</v>
      </c>
      <c r="B441" s="54" t="s">
        <v>674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70</v>
      </c>
      <c r="Y441" s="540">
        <f t="shared" si="48"/>
        <v>73.92</v>
      </c>
      <c r="Z441" s="36">
        <f>IFERROR(IF(Y441=0,"",ROUNDUP(Y441/H441,0)*0.01196),"")</f>
        <v>0.16744000000000001</v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74.640151515151501</v>
      </c>
      <c r="BN441" s="64">
        <f t="shared" si="50"/>
        <v>78.819999999999993</v>
      </c>
      <c r="BO441" s="64">
        <f t="shared" si="51"/>
        <v>0.12747668997668998</v>
      </c>
      <c r="BP441" s="64">
        <f t="shared" si="52"/>
        <v>0.13461538461538464</v>
      </c>
    </row>
    <row r="442" spans="1:68" ht="27" customHeight="1" x14ac:dyDescent="0.25">
      <c r="A442" s="54" t="s">
        <v>676</v>
      </c>
      <c r="B442" s="54" t="s">
        <v>677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70</v>
      </c>
      <c r="Y442" s="540">
        <f t="shared" si="48"/>
        <v>73.92</v>
      </c>
      <c r="Z442" s="36">
        <f>IFERROR(IF(Y442=0,"",ROUNDUP(Y442/H442,0)*0.01196),"")</f>
        <v>0.16744000000000001</v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74.640151515151501</v>
      </c>
      <c r="BN442" s="64">
        <f t="shared" si="50"/>
        <v>78.819999999999993</v>
      </c>
      <c r="BO442" s="64">
        <f t="shared" si="51"/>
        <v>0.12747668997668998</v>
      </c>
      <c r="BP442" s="64">
        <f t="shared" si="52"/>
        <v>0.13461538461538464</v>
      </c>
    </row>
    <row r="443" spans="1:68" ht="27" customHeight="1" x14ac:dyDescent="0.25">
      <c r="A443" s="54" t="s">
        <v>679</v>
      </c>
      <c r="B443" s="54" t="s">
        <v>680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110</v>
      </c>
      <c r="M443" s="33" t="s">
        <v>104</v>
      </c>
      <c r="N443" s="33"/>
      <c r="O443" s="32">
        <v>70</v>
      </c>
      <c r="P443" s="5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48</v>
      </c>
      <c r="Y443" s="540">
        <f t="shared" si="48"/>
        <v>48</v>
      </c>
      <c r="Z443" s="36">
        <f>IFERROR(IF(Y443=0,"",ROUNDUP(Y443/H443,0)*0.00902),"")</f>
        <v>9.0200000000000002E-2</v>
      </c>
      <c r="AA443" s="56"/>
      <c r="AB443" s="57"/>
      <c r="AC443" s="493" t="s">
        <v>672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69.100000000000009</v>
      </c>
      <c r="BN443" s="64">
        <f t="shared" si="50"/>
        <v>69.100000000000009</v>
      </c>
      <c r="BO443" s="64">
        <f t="shared" si="51"/>
        <v>7.575757575757576E-2</v>
      </c>
      <c r="BP443" s="64">
        <f t="shared" si="52"/>
        <v>7.575757575757576E-2</v>
      </c>
    </row>
    <row r="444" spans="1:68" ht="27" customHeight="1" x14ac:dyDescent="0.25">
      <c r="A444" s="54" t="s">
        <v>681</v>
      </c>
      <c r="B444" s="54" t="s">
        <v>682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110</v>
      </c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18</v>
      </c>
      <c r="Y444" s="540">
        <f t="shared" si="48"/>
        <v>19.2</v>
      </c>
      <c r="Z444" s="36">
        <f>IFERROR(IF(Y444=0,"",ROUNDUP(Y444/H444,0)*0.00902),"")</f>
        <v>3.6080000000000001E-2</v>
      </c>
      <c r="AA444" s="56"/>
      <c r="AB444" s="57"/>
      <c r="AC444" s="495" t="s">
        <v>675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25.012500000000003</v>
      </c>
      <c r="BN444" s="64">
        <f t="shared" si="50"/>
        <v>26.68</v>
      </c>
      <c r="BO444" s="64">
        <f t="shared" si="51"/>
        <v>2.8409090909090912E-2</v>
      </c>
      <c r="BP444" s="64">
        <f t="shared" si="52"/>
        <v>3.0303030303030304E-2</v>
      </c>
    </row>
    <row r="445" spans="1:68" ht="27" customHeight="1" x14ac:dyDescent="0.25">
      <c r="A445" s="54" t="s">
        <v>683</v>
      </c>
      <c r="B445" s="54" t="s">
        <v>684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110</v>
      </c>
      <c r="M445" s="33" t="s">
        <v>68</v>
      </c>
      <c r="N445" s="33"/>
      <c r="O445" s="32">
        <v>70</v>
      </c>
      <c r="P445" s="5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60</v>
      </c>
      <c r="Y445" s="540">
        <f t="shared" si="48"/>
        <v>62.4</v>
      </c>
      <c r="Z445" s="36">
        <f>IFERROR(IF(Y445=0,"",ROUNDUP(Y445/H445,0)*0.00902),"")</f>
        <v>0.11726</v>
      </c>
      <c r="AA445" s="56"/>
      <c r="AB445" s="57"/>
      <c r="AC445" s="497" t="s">
        <v>678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83.375</v>
      </c>
      <c r="BN445" s="64">
        <f t="shared" si="50"/>
        <v>86.71</v>
      </c>
      <c r="BO445" s="64">
        <f t="shared" si="51"/>
        <v>9.4696969696969696E-2</v>
      </c>
      <c r="BP445" s="64">
        <f t="shared" si="52"/>
        <v>9.8484848484848481E-2</v>
      </c>
    </row>
    <row r="446" spans="1:68" x14ac:dyDescent="0.2">
      <c r="A446" s="567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8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58.446969696969695</v>
      </c>
      <c r="Y446" s="541">
        <f>IFERROR(Y440/H440,"0")+IFERROR(Y441/H441,"0")+IFERROR(Y442/H442,"0")+IFERROR(Y443/H443,"0")+IFERROR(Y444/H444,"0")+IFERROR(Y445/H445,"0")</f>
        <v>61</v>
      </c>
      <c r="Z446" s="541">
        <f>IFERROR(IF(Z440="",0,Z440),"0")+IFERROR(IF(Z441="",0,Z441),"0")+IFERROR(IF(Z442="",0,Z442),"0")+IFERROR(IF(Z443="",0,Z443),"0")+IFERROR(IF(Z444="",0,Z444),"0")+IFERROR(IF(Z445="",0,Z445),"0")</f>
        <v>0.65018000000000009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8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296</v>
      </c>
      <c r="Y447" s="541">
        <f>IFERROR(SUM(Y440:Y445),"0")</f>
        <v>309.11999999999995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685</v>
      </c>
      <c r="B449" s="54" t="s">
        <v>686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687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688</v>
      </c>
      <c r="B450" s="54" t="s">
        <v>689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691</v>
      </c>
      <c r="B451" s="54" t="s">
        <v>692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0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7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8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8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694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694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695</v>
      </c>
      <c r="B457" s="54" t="s">
        <v>696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697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698</v>
      </c>
      <c r="B458" s="54" t="s">
        <v>699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700</v>
      </c>
      <c r="Y459" s="540">
        <f>IFERROR(IF(X459="",0,CEILING((X459/$H459),1)*$H459),"")</f>
        <v>708</v>
      </c>
      <c r="Z459" s="36">
        <f>IFERROR(IF(Y459=0,"",ROUNDUP(Y459/H459,0)*0.01898),"")</f>
        <v>1.11982</v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723.91666666666663</v>
      </c>
      <c r="BN459" s="64">
        <f>IFERROR(Y459*I459/H459,"0")</f>
        <v>732.19</v>
      </c>
      <c r="BO459" s="64">
        <f>IFERROR(1/J459*(X459/H459),"0")</f>
        <v>0.91145833333333337</v>
      </c>
      <c r="BP459" s="64">
        <f>IFERROR(1/J459*(Y459/H459),"0")</f>
        <v>0.921875</v>
      </c>
    </row>
    <row r="460" spans="1:68" ht="27" customHeight="1" x14ac:dyDescent="0.25">
      <c r="A460" s="54" t="s">
        <v>704</v>
      </c>
      <c r="B460" s="54" t="s">
        <v>705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697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7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8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58.333333333333336</v>
      </c>
      <c r="Y461" s="541">
        <f>IFERROR(Y457/H457,"0")+IFERROR(Y458/H458,"0")+IFERROR(Y459/H459,"0")+IFERROR(Y460/H460,"0")</f>
        <v>59</v>
      </c>
      <c r="Z461" s="541">
        <f>IFERROR(IF(Z457="",0,Z457),"0")+IFERROR(IF(Z458="",0,Z458),"0")+IFERROR(IF(Z459="",0,Z459),"0")+IFERROR(IF(Z460="",0,Z460),"0")</f>
        <v>1.11982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8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700</v>
      </c>
      <c r="Y462" s="541">
        <f>IFERROR(SUM(Y457:Y460),"0")</f>
        <v>708</v>
      </c>
      <c r="Z462" s="37"/>
      <c r="AA462" s="542"/>
      <c r="AB462" s="542"/>
      <c r="AC462" s="542"/>
    </row>
    <row r="463" spans="1:68" ht="14.25" customHeight="1" x14ac:dyDescent="0.25">
      <c r="A463" s="554" t="s">
        <v>135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706</v>
      </c>
      <c r="B464" s="54" t="s">
        <v>707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708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709</v>
      </c>
      <c r="B465" s="54" t="s">
        <v>710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7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8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8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715</v>
      </c>
      <c r="B470" s="54" t="s">
        <v>716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9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718</v>
      </c>
      <c r="B471" s="54" t="s">
        <v>719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7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8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8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721</v>
      </c>
      <c r="B475" s="54" t="s">
        <v>722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1100</v>
      </c>
      <c r="Y475" s="540">
        <f>IFERROR(IF(X475="",0,CEILING((X475/$H475),1)*$H475),"")</f>
        <v>1107</v>
      </c>
      <c r="Z475" s="36">
        <f>IFERROR(IF(Y475=0,"",ROUNDUP(Y475/H475,0)*0.01898),"")</f>
        <v>2.3345400000000001</v>
      </c>
      <c r="AA475" s="56"/>
      <c r="AB475" s="57"/>
      <c r="AC475" s="523" t="s">
        <v>723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1160.3777777777777</v>
      </c>
      <c r="BN475" s="64">
        <f>IFERROR(Y475*I475/H475,"0")</f>
        <v>1167.7619999999999</v>
      </c>
      <c r="BO475" s="64">
        <f>IFERROR(1/J475*(X475/H475),"0")</f>
        <v>1.9097222222222223</v>
      </c>
      <c r="BP475" s="64">
        <f>IFERROR(1/J475*(Y475/H475),"0")</f>
        <v>1.921875</v>
      </c>
    </row>
    <row r="476" spans="1:68" x14ac:dyDescent="0.2">
      <c r="A476" s="567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8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122.22222222222223</v>
      </c>
      <c r="Y476" s="541">
        <f>IFERROR(Y475/H475,"0")</f>
        <v>123</v>
      </c>
      <c r="Z476" s="541">
        <f>IFERROR(IF(Z475="",0,Z475),"0")</f>
        <v>2.3345400000000001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8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1100</v>
      </c>
      <c r="Y477" s="541">
        <f>IFERROR(SUM(Y475:Y475),"0")</f>
        <v>1107</v>
      </c>
      <c r="Z477" s="37"/>
      <c r="AA477" s="542"/>
      <c r="AB477" s="542"/>
      <c r="AC477" s="542"/>
    </row>
    <row r="478" spans="1:68" ht="14.25" customHeight="1" x14ac:dyDescent="0.25">
      <c r="A478" s="554" t="s">
        <v>163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724</v>
      </c>
      <c r="B479" s="54" t="s">
        <v>725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726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727</v>
      </c>
      <c r="B480" s="54" t="s">
        <v>728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7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8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8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730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135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731</v>
      </c>
      <c r="B485" s="54" t="s">
        <v>732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733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7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8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8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6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7" t="s">
        <v>734</v>
      </c>
      <c r="Q488" s="628"/>
      <c r="R488" s="628"/>
      <c r="S488" s="628"/>
      <c r="T488" s="628"/>
      <c r="U488" s="628"/>
      <c r="V488" s="629"/>
      <c r="W488" s="37" t="s">
        <v>69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17490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17684.5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7" t="s">
        <v>735</v>
      </c>
      <c r="Q489" s="628"/>
      <c r="R489" s="628"/>
      <c r="S489" s="628"/>
      <c r="T489" s="628"/>
      <c r="U489" s="628"/>
      <c r="V489" s="629"/>
      <c r="W489" s="37" t="s">
        <v>69</v>
      </c>
      <c r="X489" s="541">
        <f>IFERROR(SUM(BM22:BM485),"0")</f>
        <v>18568.957200633551</v>
      </c>
      <c r="Y489" s="541">
        <f>IFERROR(SUM(BN22:BN485),"0")</f>
        <v>18775.547999999999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7" t="s">
        <v>736</v>
      </c>
      <c r="Q490" s="628"/>
      <c r="R490" s="628"/>
      <c r="S490" s="628"/>
      <c r="T490" s="628"/>
      <c r="U490" s="628"/>
      <c r="V490" s="629"/>
      <c r="W490" s="37" t="s">
        <v>737</v>
      </c>
      <c r="X490" s="38">
        <f>ROUNDUP(SUM(BO22:BO485),0)</f>
        <v>31</v>
      </c>
      <c r="Y490" s="38">
        <f>ROUNDUP(SUM(BP22:BP485),0)</f>
        <v>31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7" t="s">
        <v>738</v>
      </c>
      <c r="Q491" s="628"/>
      <c r="R491" s="628"/>
      <c r="S491" s="628"/>
      <c r="T491" s="628"/>
      <c r="U491" s="628"/>
      <c r="V491" s="629"/>
      <c r="W491" s="37" t="s">
        <v>69</v>
      </c>
      <c r="X491" s="541">
        <f>GrossWeightTotal+PalletQtyTotal*25</f>
        <v>19343.957200633551</v>
      </c>
      <c r="Y491" s="541">
        <f>GrossWeightTotalR+PalletQtyTotalR*25</f>
        <v>19550.547999999999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7" t="s">
        <v>739</v>
      </c>
      <c r="Q492" s="628"/>
      <c r="R492" s="628"/>
      <c r="S492" s="628"/>
      <c r="T492" s="628"/>
      <c r="U492" s="628"/>
      <c r="V492" s="629"/>
      <c r="W492" s="37" t="s">
        <v>737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3381.6995770300359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3415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7" t="s">
        <v>740</v>
      </c>
      <c r="Q493" s="628"/>
      <c r="R493" s="628"/>
      <c r="S493" s="628"/>
      <c r="T493" s="628"/>
      <c r="U493" s="628"/>
      <c r="V493" s="629"/>
      <c r="W493" s="39" t="s">
        <v>741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35.397169999999996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742</v>
      </c>
      <c r="B495" s="536" t="s">
        <v>63</v>
      </c>
      <c r="C495" s="576" t="s">
        <v>97</v>
      </c>
      <c r="D495" s="594"/>
      <c r="E495" s="594"/>
      <c r="F495" s="594"/>
      <c r="G495" s="594"/>
      <c r="H495" s="595"/>
      <c r="I495" s="576" t="s">
        <v>251</v>
      </c>
      <c r="J495" s="594"/>
      <c r="K495" s="594"/>
      <c r="L495" s="594"/>
      <c r="M495" s="594"/>
      <c r="N495" s="594"/>
      <c r="O495" s="594"/>
      <c r="P495" s="594"/>
      <c r="Q495" s="594"/>
      <c r="R495" s="595"/>
      <c r="S495" s="576" t="s">
        <v>532</v>
      </c>
      <c r="T495" s="595"/>
      <c r="U495" s="576" t="s">
        <v>583</v>
      </c>
      <c r="V495" s="594"/>
      <c r="W495" s="595"/>
      <c r="X495" s="536" t="s">
        <v>634</v>
      </c>
      <c r="Y495" s="576" t="s">
        <v>694</v>
      </c>
      <c r="Z495" s="595"/>
      <c r="AB495" s="52"/>
      <c r="AC495" s="52"/>
      <c r="AF495" s="537"/>
    </row>
    <row r="496" spans="1:68" ht="14.25" customHeight="1" thickTop="1" x14ac:dyDescent="0.2">
      <c r="A496" s="599" t="s">
        <v>743</v>
      </c>
      <c r="B496" s="576" t="s">
        <v>63</v>
      </c>
      <c r="C496" s="576" t="s">
        <v>98</v>
      </c>
      <c r="D496" s="576" t="s">
        <v>116</v>
      </c>
      <c r="E496" s="576" t="s">
        <v>170</v>
      </c>
      <c r="F496" s="576" t="s">
        <v>189</v>
      </c>
      <c r="G496" s="576" t="s">
        <v>220</v>
      </c>
      <c r="H496" s="576" t="s">
        <v>97</v>
      </c>
      <c r="I496" s="576" t="s">
        <v>252</v>
      </c>
      <c r="J496" s="576" t="s">
        <v>297</v>
      </c>
      <c r="K496" s="576" t="s">
        <v>356</v>
      </c>
      <c r="L496" s="576" t="s">
        <v>398</v>
      </c>
      <c r="M496" s="576" t="s">
        <v>414</v>
      </c>
      <c r="N496" s="537"/>
      <c r="O496" s="576" t="s">
        <v>425</v>
      </c>
      <c r="P496" s="576" t="s">
        <v>434</v>
      </c>
      <c r="Q496" s="576" t="s">
        <v>448</v>
      </c>
      <c r="R496" s="576" t="s">
        <v>522</v>
      </c>
      <c r="S496" s="576" t="s">
        <v>533</v>
      </c>
      <c r="T496" s="576" t="s">
        <v>567</v>
      </c>
      <c r="U496" s="576" t="s">
        <v>584</v>
      </c>
      <c r="V496" s="576" t="s">
        <v>615</v>
      </c>
      <c r="W496" s="576" t="s">
        <v>630</v>
      </c>
      <c r="X496" s="576" t="s">
        <v>634</v>
      </c>
      <c r="Y496" s="576" t="s">
        <v>694</v>
      </c>
      <c r="Z496" s="576" t="s">
        <v>730</v>
      </c>
      <c r="AB496" s="52"/>
      <c r="AC496" s="52"/>
      <c r="AF496" s="537"/>
    </row>
    <row r="497" spans="1:32" ht="13.5" customHeight="1" thickBot="1" x14ac:dyDescent="0.25">
      <c r="A497" s="600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3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B497" s="52"/>
      <c r="AC497" s="52"/>
      <c r="AF497" s="537"/>
    </row>
    <row r="498" spans="1:32" ht="18" customHeight="1" thickTop="1" thickBot="1" x14ac:dyDescent="0.25">
      <c r="A498" s="40" t="s">
        <v>744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405.20000000000005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936.60000000000014</v>
      </c>
      <c r="E498" s="46">
        <f>IFERROR(Y85*1,"0")+IFERROR(Y86*1,"0")+IFERROR(Y87*1,"0")+IFERROR(Y91*1,"0")+IFERROR(Y92*1,"0")+IFERROR(Y93*1,"0")+IFERROR(Y94*1,"0")</f>
        <v>1134.9000000000001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1329.66</v>
      </c>
      <c r="G498" s="46">
        <f>IFERROR(Y124*1,"0")+IFERROR(Y125*1,"0")+IFERROR(Y129*1,"0")+IFERROR(Y130*1,"0")+IFERROR(Y134*1,"0")+IFERROR(Y135*1,"0")</f>
        <v>126.79999999999998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566.16000000000008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1877.3999999999999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208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180</v>
      </c>
      <c r="P498" s="46">
        <f>IFERROR(Y278*1,"0")+IFERROR(Y279*1,"0")+IFERROR(Y283*1,"0")+IFERROR(Y284*1,"0")</f>
        <v>12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830.4</v>
      </c>
      <c r="R498" s="46">
        <f>IFERROR(Y334*1,"0")+IFERROR(Y335*1,"0")+IFERROR(Y336*1,"0")</f>
        <v>1190.7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5930</v>
      </c>
      <c r="T498" s="46">
        <f>IFERROR(Y367*1,"0")+IFERROR(Y368*1,"0")+IFERROR(Y372*1,"0")+IFERROR(Y373*1,"0")+IFERROR(Y377*1,"0")+IFERROR(Y378*1,"0")</f>
        <v>87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46.2</v>
      </c>
      <c r="V498" s="46">
        <f>IFERROR(Y402*1,"0")+IFERROR(Y406*1,"0")+IFERROR(Y407*1,"0")+IFERROR(Y408*1,"0")+IFERROR(Y409*1,"0")</f>
        <v>8.4</v>
      </c>
      <c r="W498" s="46">
        <f>IFERROR(Y414*1,"0")</f>
        <v>20.399999999999999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979.68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1815</v>
      </c>
      <c r="Z498" s="46">
        <f>IFERROR(Y485*1,"0")</f>
        <v>0</v>
      </c>
      <c r="AB498" s="52"/>
      <c r="AC498" s="52"/>
      <c r="AF498" s="537"/>
    </row>
  </sheetData>
  <sheetProtection algorithmName="SHA-512" hashValue="W+O4siZ4YXqSEc5N34jhOgSS5DeTPwp7FDdNyN6JAAgMF/lk6l0HOp1QrZu8KnX3Sl2e/XS87xNuxAUX55tBUw==" saltValue="zYwnMC9l+1epbj79IcWAG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X17:X18"/>
    <mergeCell ref="D408:E408"/>
    <mergeCell ref="P216:V216"/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307:T307"/>
    <mergeCell ref="P444:T444"/>
    <mergeCell ref="D421:E421"/>
    <mergeCell ref="P23:V23"/>
    <mergeCell ref="A262:Z262"/>
    <mergeCell ref="A333:Z333"/>
    <mergeCell ref="D54:E54"/>
    <mergeCell ref="D271:E271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132:V132"/>
    <mergeCell ref="P72:T72"/>
    <mergeCell ref="A31:O32"/>
    <mergeCell ref="A478:Z478"/>
    <mergeCell ref="P436:T436"/>
    <mergeCell ref="P379:V379"/>
    <mergeCell ref="A33:Z33"/>
    <mergeCell ref="D196:E196"/>
    <mergeCell ref="A269:Z269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102:T102"/>
    <mergeCell ref="P196:T196"/>
    <mergeCell ref="P281:V281"/>
    <mergeCell ref="D226:E226"/>
    <mergeCell ref="D164:E164"/>
    <mergeCell ref="P62:T62"/>
    <mergeCell ref="P420:T420"/>
    <mergeCell ref="P146:T146"/>
    <mergeCell ref="D323:E323"/>
    <mergeCell ref="A136:O137"/>
    <mergeCell ref="A192:O193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384:E384"/>
    <mergeCell ref="D213:E213"/>
    <mergeCell ref="P192:V192"/>
    <mergeCell ref="D151:E151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A155:Z155"/>
    <mergeCell ref="P268:V268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Z496:Z497"/>
    <mergeCell ref="A454:Z454"/>
    <mergeCell ref="D389:E389"/>
    <mergeCell ref="S495:T495"/>
    <mergeCell ref="D299:E299"/>
    <mergeCell ref="D85:E85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A17:AA18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H17:H18"/>
    <mergeCell ref="A220:O221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P327:T327"/>
    <mergeCell ref="A160:Z160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51:T51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P126:V126"/>
    <mergeCell ref="D424:E424"/>
    <mergeCell ref="P224:T224"/>
    <mergeCell ref="P322:T322"/>
    <mergeCell ref="A285:O286"/>
    <mergeCell ref="P211:T211"/>
    <mergeCell ref="P309:T309"/>
    <mergeCell ref="T496:T497"/>
    <mergeCell ref="Q496:Q497"/>
    <mergeCell ref="S496:S497"/>
    <mergeCell ref="A418:Z418"/>
    <mergeCell ref="D283:E283"/>
    <mergeCell ref="A356:Z356"/>
    <mergeCell ref="D112:E112"/>
    <mergeCell ref="P441:T441"/>
    <mergeCell ref="A431:O432"/>
    <mergeCell ref="P152:V152"/>
    <mergeCell ref="D140:E140"/>
    <mergeCell ref="A340:Z340"/>
    <mergeCell ref="D425:E425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283:T283"/>
    <mergeCell ref="D264:E264"/>
    <mergeCell ref="D93:E93"/>
    <mergeCell ref="D391:E391"/>
    <mergeCell ref="P370:V370"/>
    <mergeCell ref="A369:O370"/>
    <mergeCell ref="D328:E328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82:V82"/>
    <mergeCell ref="P303:T303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A376:Z376"/>
    <mergeCell ref="A105:Z105"/>
    <mergeCell ref="D224:E224"/>
    <mergeCell ref="A398:O399"/>
    <mergeCell ref="P230:T230"/>
    <mergeCell ref="D211:E211"/>
    <mergeCell ref="P168:T16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Y495:Z49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P329:T329"/>
    <mergeCell ref="A148:O149"/>
    <mergeCell ref="W17:W18"/>
    <mergeCell ref="P96:V96"/>
    <mergeCell ref="P325:V325"/>
    <mergeCell ref="A150:Z150"/>
    <mergeCell ref="I495:R495"/>
    <mergeCell ref="A144:Z144"/>
    <mergeCell ref="A120:O121"/>
    <mergeCell ref="D378:E378"/>
    <mergeCell ref="D129:E129"/>
    <mergeCell ref="D406:E406"/>
    <mergeCell ref="P251:V251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P157:T157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D134:E134"/>
    <mergeCell ref="A379:O380"/>
    <mergeCell ref="A330:O331"/>
    <mergeCell ref="P249:T249"/>
    <mergeCell ref="A365:Z365"/>
    <mergeCell ref="D357:E357"/>
    <mergeCell ref="D258:E258"/>
    <mergeCell ref="P235:V235"/>
    <mergeCell ref="P402:T402"/>
    <mergeCell ref="D301:E301"/>
    <mergeCell ref="D245:E245"/>
    <mergeCell ref="P188:V188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1:X164 X166 X168 X195:X202 X208:X209 X211 X213:X214 X218:X219 X224 X226:X227 X232 X272 X300:X301 X303 X314:X316 X322:X323 X327 X329 X335:X336 X358 X367 X377 X388:X389 X391 X414 X420 X423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745</v>
      </c>
      <c r="H1" s="52"/>
    </row>
    <row r="3" spans="2:8" x14ac:dyDescent="0.2">
      <c r="B3" s="47" t="s">
        <v>746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747</v>
      </c>
      <c r="D6" s="47" t="s">
        <v>748</v>
      </c>
      <c r="E6" s="47"/>
    </row>
    <row r="8" spans="2:8" x14ac:dyDescent="0.2">
      <c r="B8" s="47" t="s">
        <v>19</v>
      </c>
      <c r="C8" s="47" t="s">
        <v>747</v>
      </c>
      <c r="D8" s="47"/>
      <c r="E8" s="47"/>
    </row>
    <row r="10" spans="2:8" x14ac:dyDescent="0.2">
      <c r="B10" s="47" t="s">
        <v>749</v>
      </c>
      <c r="C10" s="47"/>
      <c r="D10" s="47"/>
      <c r="E10" s="47"/>
    </row>
    <row r="11" spans="2:8" x14ac:dyDescent="0.2">
      <c r="B11" s="47" t="s">
        <v>750</v>
      </c>
      <c r="C11" s="47"/>
      <c r="D11" s="47"/>
      <c r="E11" s="47"/>
    </row>
    <row r="12" spans="2:8" x14ac:dyDescent="0.2">
      <c r="B12" s="47" t="s">
        <v>751</v>
      </c>
      <c r="C12" s="47"/>
      <c r="D12" s="47"/>
      <c r="E12" s="47"/>
    </row>
    <row r="13" spans="2:8" x14ac:dyDescent="0.2">
      <c r="B13" s="47" t="s">
        <v>752</v>
      </c>
      <c r="C13" s="47"/>
      <c r="D13" s="47"/>
      <c r="E13" s="47"/>
    </row>
    <row r="14" spans="2:8" x14ac:dyDescent="0.2">
      <c r="B14" s="47" t="s">
        <v>753</v>
      </c>
      <c r="C14" s="47"/>
      <c r="D14" s="47"/>
      <c r="E14" s="47"/>
    </row>
    <row r="15" spans="2:8" x14ac:dyDescent="0.2">
      <c r="B15" s="47" t="s">
        <v>754</v>
      </c>
      <c r="C15" s="47"/>
      <c r="D15" s="47"/>
      <c r="E15" s="47"/>
    </row>
    <row r="16" spans="2:8" x14ac:dyDescent="0.2">
      <c r="B16" s="47" t="s">
        <v>755</v>
      </c>
      <c r="C16" s="47"/>
      <c r="D16" s="47"/>
      <c r="E16" s="47"/>
    </row>
    <row r="17" spans="2:5" x14ac:dyDescent="0.2">
      <c r="B17" s="47" t="s">
        <v>756</v>
      </c>
      <c r="C17" s="47"/>
      <c r="D17" s="47"/>
      <c r="E17" s="47"/>
    </row>
    <row r="18" spans="2:5" x14ac:dyDescent="0.2">
      <c r="B18" s="47" t="s">
        <v>757</v>
      </c>
      <c r="C18" s="47"/>
      <c r="D18" s="47"/>
      <c r="E18" s="47"/>
    </row>
    <row r="19" spans="2:5" x14ac:dyDescent="0.2">
      <c r="B19" s="47" t="s">
        <v>758</v>
      </c>
      <c r="C19" s="47"/>
      <c r="D19" s="47"/>
      <c r="E19" s="47"/>
    </row>
    <row r="20" spans="2:5" x14ac:dyDescent="0.2">
      <c r="B20" s="47" t="s">
        <v>759</v>
      </c>
      <c r="C20" s="47"/>
      <c r="D20" s="47"/>
      <c r="E20" s="47"/>
    </row>
  </sheetData>
  <sheetProtection algorithmName="SHA-512" hashValue="LxWtGco2CWqg5YHYdCqbo6vhExLfVtMbOEKQY0MNvurS4GEwy8P7bkBvSsDOthwkdl0Kg458e+ih5RmbTSevYA==" saltValue="aVk9yet3IEWJlbRV+Fgm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2025-11-26T09:12:01Z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