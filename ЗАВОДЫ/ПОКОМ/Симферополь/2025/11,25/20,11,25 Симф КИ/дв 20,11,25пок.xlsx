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Симф КИ\"/>
    </mc:Choice>
  </mc:AlternateContent>
  <xr:revisionPtr revIDLastSave="0" documentId="13_ncr:1_{C1AC65EF-7734-4C36-A490-1FA90B2CAE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6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W22" i="1"/>
  <c r="Z22" i="1" s="1"/>
  <c r="W23" i="1"/>
  <c r="Z23" i="1" s="1"/>
  <c r="W25" i="1"/>
  <c r="Z25" i="1" s="1"/>
  <c r="W27" i="1"/>
  <c r="Z27" i="1" s="1"/>
  <c r="W29" i="1"/>
  <c r="Z29" i="1" s="1"/>
  <c r="W31" i="1"/>
  <c r="Z31" i="1" s="1"/>
  <c r="W33" i="1"/>
  <c r="Z33" i="1" s="1"/>
  <c r="W35" i="1"/>
  <c r="Z35" i="1" s="1"/>
  <c r="W37" i="1"/>
  <c r="Z37" i="1" s="1"/>
  <c r="W39" i="1"/>
  <c r="Z39" i="1" s="1"/>
  <c r="W41" i="1"/>
  <c r="Z41" i="1" s="1"/>
  <c r="W43" i="1"/>
  <c r="Z43" i="1" s="1"/>
  <c r="W45" i="1"/>
  <c r="Z45" i="1" s="1"/>
  <c r="W47" i="1"/>
  <c r="Z47" i="1" s="1"/>
  <c r="W49" i="1"/>
  <c r="Z49" i="1" s="1"/>
  <c r="W51" i="1"/>
  <c r="Z51" i="1" s="1"/>
  <c r="W53" i="1"/>
  <c r="Z53" i="1" s="1"/>
  <c r="W55" i="1"/>
  <c r="Z55" i="1" s="1"/>
  <c r="W57" i="1"/>
  <c r="Z57" i="1" s="1"/>
  <c r="W59" i="1"/>
  <c r="Z59" i="1" s="1"/>
  <c r="W61" i="1"/>
  <c r="Z61" i="1" s="1"/>
  <c r="W63" i="1"/>
  <c r="Z63" i="1" s="1"/>
  <c r="W65" i="1"/>
  <c r="Z65" i="1" s="1"/>
  <c r="W67" i="1"/>
  <c r="Z67" i="1" s="1"/>
  <c r="W69" i="1"/>
  <c r="Z69" i="1" s="1"/>
  <c r="W71" i="1"/>
  <c r="Z71" i="1" s="1"/>
  <c r="W73" i="1"/>
  <c r="Z73" i="1" s="1"/>
  <c r="W75" i="1"/>
  <c r="Z75" i="1" s="1"/>
  <c r="W77" i="1"/>
  <c r="Z77" i="1" s="1"/>
  <c r="W79" i="1"/>
  <c r="Z79" i="1" s="1"/>
  <c r="W81" i="1"/>
  <c r="Z81" i="1" s="1"/>
  <c r="W83" i="1"/>
  <c r="Z83" i="1" s="1"/>
  <c r="W85" i="1"/>
  <c r="Z85" i="1" s="1"/>
  <c r="W87" i="1"/>
  <c r="Z87" i="1" s="1"/>
  <c r="W89" i="1"/>
  <c r="Z89" i="1" s="1"/>
  <c r="W91" i="1"/>
  <c r="Z91" i="1" s="1"/>
  <c r="W93" i="1"/>
  <c r="Z93" i="1" s="1"/>
  <c r="W95" i="1"/>
  <c r="Z95" i="1" s="1"/>
  <c r="W97" i="1"/>
  <c r="Z97" i="1" s="1"/>
  <c r="W99" i="1"/>
  <c r="Z99" i="1" s="1"/>
  <c r="W101" i="1"/>
  <c r="Z101" i="1" s="1"/>
  <c r="W103" i="1"/>
  <c r="Z103" i="1" s="1"/>
  <c r="W105" i="1"/>
  <c r="Z105" i="1" s="1"/>
  <c r="W107" i="1"/>
  <c r="Z107" i="1" s="1"/>
  <c r="AC8" i="1"/>
  <c r="W8" i="1" s="1"/>
  <c r="Z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3" i="1"/>
  <c r="AC24" i="1"/>
  <c r="W24" i="1" s="1"/>
  <c r="Z24" i="1" s="1"/>
  <c r="AC25" i="1"/>
  <c r="AC26" i="1"/>
  <c r="W26" i="1" s="1"/>
  <c r="Z26" i="1" s="1"/>
  <c r="AC27" i="1"/>
  <c r="AC28" i="1"/>
  <c r="W28" i="1" s="1"/>
  <c r="Z28" i="1" s="1"/>
  <c r="AC29" i="1"/>
  <c r="AC30" i="1"/>
  <c r="W30" i="1" s="1"/>
  <c r="Z30" i="1" s="1"/>
  <c r="AC31" i="1"/>
  <c r="AC32" i="1"/>
  <c r="W32" i="1" s="1"/>
  <c r="Z32" i="1" s="1"/>
  <c r="AC33" i="1"/>
  <c r="AC34" i="1"/>
  <c r="W34" i="1" s="1"/>
  <c r="Z34" i="1" s="1"/>
  <c r="AC35" i="1"/>
  <c r="AC36" i="1"/>
  <c r="W36" i="1" s="1"/>
  <c r="Z36" i="1" s="1"/>
  <c r="AC37" i="1"/>
  <c r="AC38" i="1"/>
  <c r="W38" i="1" s="1"/>
  <c r="Z38" i="1" s="1"/>
  <c r="AC39" i="1"/>
  <c r="AC40" i="1"/>
  <c r="W40" i="1" s="1"/>
  <c r="Z40" i="1" s="1"/>
  <c r="AC41" i="1"/>
  <c r="AC42" i="1"/>
  <c r="W42" i="1" s="1"/>
  <c r="Z42" i="1" s="1"/>
  <c r="AC43" i="1"/>
  <c r="AC44" i="1"/>
  <c r="W44" i="1" s="1"/>
  <c r="Z44" i="1" s="1"/>
  <c r="AC45" i="1"/>
  <c r="AC46" i="1"/>
  <c r="W46" i="1" s="1"/>
  <c r="Z46" i="1" s="1"/>
  <c r="AC47" i="1"/>
  <c r="AC48" i="1"/>
  <c r="W48" i="1" s="1"/>
  <c r="Z48" i="1" s="1"/>
  <c r="AC49" i="1"/>
  <c r="AC50" i="1"/>
  <c r="W50" i="1" s="1"/>
  <c r="Z50" i="1" s="1"/>
  <c r="AC51" i="1"/>
  <c r="AC52" i="1"/>
  <c r="W52" i="1" s="1"/>
  <c r="Z52" i="1" s="1"/>
  <c r="AC53" i="1"/>
  <c r="AC54" i="1"/>
  <c r="W54" i="1" s="1"/>
  <c r="Z54" i="1" s="1"/>
  <c r="AC55" i="1"/>
  <c r="AC56" i="1"/>
  <c r="W56" i="1" s="1"/>
  <c r="Z56" i="1" s="1"/>
  <c r="AC57" i="1"/>
  <c r="AC58" i="1"/>
  <c r="W58" i="1" s="1"/>
  <c r="Z58" i="1" s="1"/>
  <c r="AC59" i="1"/>
  <c r="AC60" i="1"/>
  <c r="W60" i="1" s="1"/>
  <c r="Z60" i="1" s="1"/>
  <c r="AC61" i="1"/>
  <c r="AC62" i="1"/>
  <c r="W62" i="1" s="1"/>
  <c r="Z62" i="1" s="1"/>
  <c r="AC63" i="1"/>
  <c r="AC64" i="1"/>
  <c r="W64" i="1" s="1"/>
  <c r="Z64" i="1" s="1"/>
  <c r="AC65" i="1"/>
  <c r="AC66" i="1"/>
  <c r="W66" i="1" s="1"/>
  <c r="Z66" i="1" s="1"/>
  <c r="AC67" i="1"/>
  <c r="AC68" i="1"/>
  <c r="W68" i="1" s="1"/>
  <c r="Z68" i="1" s="1"/>
  <c r="AC69" i="1"/>
  <c r="AC70" i="1"/>
  <c r="W70" i="1" s="1"/>
  <c r="Z70" i="1" s="1"/>
  <c r="AC71" i="1"/>
  <c r="AC72" i="1"/>
  <c r="W72" i="1" s="1"/>
  <c r="Z72" i="1" s="1"/>
  <c r="AC73" i="1"/>
  <c r="AC74" i="1"/>
  <c r="W74" i="1" s="1"/>
  <c r="Z74" i="1" s="1"/>
  <c r="AC75" i="1"/>
  <c r="AC76" i="1"/>
  <c r="W76" i="1" s="1"/>
  <c r="Z76" i="1" s="1"/>
  <c r="AC77" i="1"/>
  <c r="AC78" i="1"/>
  <c r="W78" i="1" s="1"/>
  <c r="Z78" i="1" s="1"/>
  <c r="AC79" i="1"/>
  <c r="AC80" i="1"/>
  <c r="W80" i="1" s="1"/>
  <c r="Z80" i="1" s="1"/>
  <c r="AC81" i="1"/>
  <c r="AC82" i="1"/>
  <c r="W82" i="1" s="1"/>
  <c r="Z82" i="1" s="1"/>
  <c r="AC83" i="1"/>
  <c r="AC84" i="1"/>
  <c r="W84" i="1" s="1"/>
  <c r="Z84" i="1" s="1"/>
  <c r="AC85" i="1"/>
  <c r="AC86" i="1"/>
  <c r="W86" i="1" s="1"/>
  <c r="Z86" i="1" s="1"/>
  <c r="AC87" i="1"/>
  <c r="AC88" i="1"/>
  <c r="W88" i="1" s="1"/>
  <c r="Z88" i="1" s="1"/>
  <c r="AC89" i="1"/>
  <c r="AC90" i="1"/>
  <c r="W90" i="1" s="1"/>
  <c r="Z90" i="1" s="1"/>
  <c r="AC91" i="1"/>
  <c r="AC92" i="1"/>
  <c r="W92" i="1" s="1"/>
  <c r="Z92" i="1" s="1"/>
  <c r="AC93" i="1"/>
  <c r="AC94" i="1"/>
  <c r="W94" i="1" s="1"/>
  <c r="Z94" i="1" s="1"/>
  <c r="AC95" i="1"/>
  <c r="AC96" i="1"/>
  <c r="W96" i="1" s="1"/>
  <c r="Z96" i="1" s="1"/>
  <c r="AC97" i="1"/>
  <c r="AC98" i="1"/>
  <c r="W98" i="1" s="1"/>
  <c r="Z98" i="1" s="1"/>
  <c r="AC99" i="1"/>
  <c r="AC100" i="1"/>
  <c r="W100" i="1" s="1"/>
  <c r="Z100" i="1" s="1"/>
  <c r="AC101" i="1"/>
  <c r="AC102" i="1"/>
  <c r="W102" i="1" s="1"/>
  <c r="Z102" i="1" s="1"/>
  <c r="AC103" i="1"/>
  <c r="AC104" i="1"/>
  <c r="W104" i="1" s="1"/>
  <c r="Z104" i="1" s="1"/>
  <c r="AC105" i="1"/>
  <c r="AC106" i="1"/>
  <c r="W106" i="1" s="1"/>
  <c r="Z106" i="1" s="1"/>
  <c r="AC107" i="1"/>
  <c r="AC108" i="1"/>
  <c r="W108" i="1" s="1"/>
  <c r="Z108" i="1" s="1"/>
  <c r="AC109" i="1"/>
  <c r="W109" i="1" s="1"/>
  <c r="Z109" i="1" s="1"/>
  <c r="AC7" i="1"/>
  <c r="W7" i="1" s="1"/>
  <c r="Z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Y21" i="1" s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Y37" i="1" s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Y53" i="1" s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Y69" i="1" s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Y85" i="1" s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Y101" i="1" s="1"/>
  <c r="M102" i="1"/>
  <c r="M103" i="1"/>
  <c r="M104" i="1"/>
  <c r="M105" i="1"/>
  <c r="M106" i="1"/>
  <c r="M107" i="1"/>
  <c r="M108" i="1"/>
  <c r="M109" i="1"/>
  <c r="M7" i="1"/>
  <c r="L8" i="1"/>
  <c r="Y8" i="1" s="1"/>
  <c r="L9" i="1"/>
  <c r="L10" i="1"/>
  <c r="Y10" i="1" s="1"/>
  <c r="L11" i="1"/>
  <c r="L12" i="1"/>
  <c r="Y12" i="1" s="1"/>
  <c r="L13" i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7" i="1"/>
  <c r="Y7" i="1" s="1"/>
  <c r="K11" i="1"/>
  <c r="K15" i="1"/>
  <c r="K19" i="1"/>
  <c r="K23" i="1"/>
  <c r="K27" i="1"/>
  <c r="K31" i="1"/>
  <c r="K35" i="1"/>
  <c r="K39" i="1"/>
  <c r="K43" i="1"/>
  <c r="K47" i="1"/>
  <c r="K51" i="1"/>
  <c r="K55" i="1"/>
  <c r="K59" i="1"/>
  <c r="K63" i="1"/>
  <c r="K67" i="1"/>
  <c r="K71" i="1"/>
  <c r="K75" i="1"/>
  <c r="K79" i="1"/>
  <c r="K83" i="1"/>
  <c r="K87" i="1"/>
  <c r="K91" i="1"/>
  <c r="K95" i="1"/>
  <c r="K99" i="1"/>
  <c r="K103" i="1"/>
  <c r="K107" i="1"/>
  <c r="K109" i="1"/>
  <c r="J8" i="1"/>
  <c r="K8" i="1" s="1"/>
  <c r="J9" i="1"/>
  <c r="K9" i="1" s="1"/>
  <c r="J10" i="1"/>
  <c r="K10" i="1" s="1"/>
  <c r="J11" i="1"/>
  <c r="J12" i="1"/>
  <c r="K12" i="1" s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30" i="1"/>
  <c r="K30" i="1" s="1"/>
  <c r="J31" i="1"/>
  <c r="J32" i="1"/>
  <c r="K32" i="1" s="1"/>
  <c r="J33" i="1"/>
  <c r="K33" i="1" s="1"/>
  <c r="J34" i="1"/>
  <c r="K34" i="1" s="1"/>
  <c r="J35" i="1"/>
  <c r="J36" i="1"/>
  <c r="K36" i="1" s="1"/>
  <c r="J37" i="1"/>
  <c r="K37" i="1" s="1"/>
  <c r="J38" i="1"/>
  <c r="K38" i="1" s="1"/>
  <c r="J39" i="1"/>
  <c r="J40" i="1"/>
  <c r="K40" i="1" s="1"/>
  <c r="J41" i="1"/>
  <c r="K41" i="1" s="1"/>
  <c r="J42" i="1"/>
  <c r="K42" i="1" s="1"/>
  <c r="J43" i="1"/>
  <c r="J44" i="1"/>
  <c r="K44" i="1" s="1"/>
  <c r="J45" i="1"/>
  <c r="K45" i="1" s="1"/>
  <c r="J46" i="1"/>
  <c r="K46" i="1" s="1"/>
  <c r="J47" i="1"/>
  <c r="J48" i="1"/>
  <c r="K48" i="1" s="1"/>
  <c r="J49" i="1"/>
  <c r="K49" i="1" s="1"/>
  <c r="J50" i="1"/>
  <c r="K50" i="1" s="1"/>
  <c r="J51" i="1"/>
  <c r="J52" i="1"/>
  <c r="K52" i="1" s="1"/>
  <c r="J53" i="1"/>
  <c r="K53" i="1" s="1"/>
  <c r="J54" i="1"/>
  <c r="K54" i="1" s="1"/>
  <c r="J55" i="1"/>
  <c r="J56" i="1"/>
  <c r="K56" i="1" s="1"/>
  <c r="J57" i="1"/>
  <c r="K57" i="1" s="1"/>
  <c r="J58" i="1"/>
  <c r="K58" i="1" s="1"/>
  <c r="J59" i="1"/>
  <c r="J60" i="1"/>
  <c r="K60" i="1" s="1"/>
  <c r="J61" i="1"/>
  <c r="K61" i="1" s="1"/>
  <c r="J62" i="1"/>
  <c r="K62" i="1" s="1"/>
  <c r="J63" i="1"/>
  <c r="J64" i="1"/>
  <c r="K64" i="1" s="1"/>
  <c r="J65" i="1"/>
  <c r="K65" i="1" s="1"/>
  <c r="J66" i="1"/>
  <c r="K66" i="1" s="1"/>
  <c r="J67" i="1"/>
  <c r="J68" i="1"/>
  <c r="K68" i="1" s="1"/>
  <c r="J69" i="1"/>
  <c r="K69" i="1" s="1"/>
  <c r="J70" i="1"/>
  <c r="K70" i="1" s="1"/>
  <c r="J71" i="1"/>
  <c r="J72" i="1"/>
  <c r="K72" i="1" s="1"/>
  <c r="J73" i="1"/>
  <c r="K73" i="1" s="1"/>
  <c r="J74" i="1"/>
  <c r="K74" i="1" s="1"/>
  <c r="J75" i="1"/>
  <c r="J76" i="1"/>
  <c r="K76" i="1" s="1"/>
  <c r="J77" i="1"/>
  <c r="K77" i="1" s="1"/>
  <c r="J78" i="1"/>
  <c r="K78" i="1" s="1"/>
  <c r="J79" i="1"/>
  <c r="J80" i="1"/>
  <c r="K80" i="1" s="1"/>
  <c r="J81" i="1"/>
  <c r="K81" i="1" s="1"/>
  <c r="J82" i="1"/>
  <c r="K82" i="1" s="1"/>
  <c r="J83" i="1"/>
  <c r="J84" i="1"/>
  <c r="K84" i="1" s="1"/>
  <c r="J85" i="1"/>
  <c r="K85" i="1" s="1"/>
  <c r="J86" i="1"/>
  <c r="K86" i="1" s="1"/>
  <c r="J87" i="1"/>
  <c r="J88" i="1"/>
  <c r="K88" i="1" s="1"/>
  <c r="J89" i="1"/>
  <c r="K89" i="1" s="1"/>
  <c r="J90" i="1"/>
  <c r="K90" i="1" s="1"/>
  <c r="J91" i="1"/>
  <c r="J92" i="1"/>
  <c r="K92" i="1" s="1"/>
  <c r="J93" i="1"/>
  <c r="K93" i="1" s="1"/>
  <c r="J94" i="1"/>
  <c r="K94" i="1" s="1"/>
  <c r="J95" i="1"/>
  <c r="J96" i="1"/>
  <c r="K96" i="1" s="1"/>
  <c r="J97" i="1"/>
  <c r="K97" i="1" s="1"/>
  <c r="J98" i="1"/>
  <c r="K98" i="1" s="1"/>
  <c r="J99" i="1"/>
  <c r="J100" i="1"/>
  <c r="K100" i="1" s="1"/>
  <c r="J101" i="1"/>
  <c r="K101" i="1" s="1"/>
  <c r="J102" i="1"/>
  <c r="K102" i="1" s="1"/>
  <c r="J103" i="1"/>
  <c r="J104" i="1"/>
  <c r="K104" i="1" s="1"/>
  <c r="J105" i="1"/>
  <c r="K105" i="1" s="1"/>
  <c r="J106" i="1"/>
  <c r="K106" i="1" s="1"/>
  <c r="J107" i="1"/>
  <c r="J108" i="1"/>
  <c r="K108" i="1" s="1"/>
  <c r="J109" i="1"/>
  <c r="J7" i="1"/>
  <c r="K7" i="1" s="1"/>
  <c r="AB6" i="1"/>
  <c r="AD6" i="1"/>
  <c r="AE6" i="1"/>
  <c r="AA6" i="1"/>
  <c r="N6" i="1"/>
  <c r="O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Y109" i="1" l="1"/>
  <c r="Y105" i="1"/>
  <c r="Y97" i="1"/>
  <c r="Y93" i="1"/>
  <c r="Y89" i="1"/>
  <c r="Y81" i="1"/>
  <c r="Y77" i="1"/>
  <c r="Y73" i="1"/>
  <c r="Y65" i="1"/>
  <c r="Y61" i="1"/>
  <c r="Y57" i="1"/>
  <c r="Y49" i="1"/>
  <c r="Y45" i="1"/>
  <c r="Y41" i="1"/>
  <c r="Y33" i="1"/>
  <c r="Y29" i="1"/>
  <c r="Y25" i="1"/>
  <c r="Y17" i="1"/>
  <c r="Y13" i="1"/>
  <c r="Y9" i="1"/>
  <c r="L6" i="1"/>
  <c r="AH6" i="1"/>
  <c r="W6" i="1"/>
  <c r="AJ94" i="1"/>
  <c r="AJ78" i="1"/>
  <c r="AJ62" i="1"/>
  <c r="AJ46" i="1"/>
  <c r="AJ30" i="1"/>
  <c r="AJ14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AJ11" i="1"/>
  <c r="AG6" i="1"/>
  <c r="AF6" i="1"/>
  <c r="AC6" i="1"/>
  <c r="M6" i="1"/>
  <c r="K6" i="1"/>
  <c r="J6" i="1"/>
  <c r="AJ6" i="1" l="1"/>
</calcChain>
</file>

<file path=xl/sharedStrings.xml><?xml version="1.0" encoding="utf-8"?>
<sst xmlns="http://schemas.openxmlformats.org/spreadsheetml/2006/main" count="255" uniqueCount="138">
  <si>
    <t>Период: 13.11.2025 - 20.11.2025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</si>
  <si>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</si>
  <si>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</si>
  <si>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</si>
  <si>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</si>
  <si>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</si>
  <si>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</si>
  <si>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</si>
  <si>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</si>
  <si>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</si>
  <si>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</si>
  <si>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</si>
  <si>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</si>
  <si>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</si>
  <si>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</si>
  <si>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</si>
  <si>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</si>
  <si>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</si>
  <si>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</si>
  <si>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</si>
  <si>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</si>
  <si>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</si>
  <si>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</si>
  <si>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</si>
  <si>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</si>
  <si>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</si>
  <si>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</si>
  <si>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</si>
  <si>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</si>
  <si>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</si>
  <si>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</si>
  <si>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</si>
  <si>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</si>
  <si>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</si>
  <si>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</si>
  <si>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</si>
  <si>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</si>
  <si>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</si>
  <si>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</si>
  <si>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</si>
  <si>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</si>
  <si>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</si>
  <si>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</si>
  <si>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</si>
  <si>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</si>
  <si>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</si>
  <si>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</si>
  <si>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</si>
  <si>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</si>
  <si>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</si>
  <si>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</si>
  <si>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</si>
  <si>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</si>
  <si>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</si>
  <si>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</si>
  <si>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</si>
  <si>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</si>
  <si>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</si>
  <si>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</si>
  <si>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</si>
  <si>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</si>
  <si>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</si>
  <si>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</si>
  <si>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</si>
  <si>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</si>
  <si>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</si>
  <si>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</si>
  <si>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</si>
  <si>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</si>
  <si>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</si>
  <si>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</si>
  <si>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</si>
  <si>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</si>
  <si>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</si>
  <si>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</si>
  <si>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</si>
  <si>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</si>
  <si>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</si>
  <si>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</si>
  <si>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</si>
  <si>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</si>
  <si>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</si>
  <si>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</si>
  <si>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</si>
  <si>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</si>
  <si>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</si>
  <si>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</si>
  <si>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</si>
  <si>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</si>
  <si>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</si>
  <si>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</si>
  <si>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</si>
  <si>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</si>
  <si>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</si>
  <si>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</si>
  <si>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</si>
  <si>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</si>
  <si>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</si>
  <si>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</si>
  <si>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</si>
  <si>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</si>
  <si>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</si>
  <si>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</si>
  <si>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</si>
  <si>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</si>
  <si>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</si>
  <si>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</si>
  <si>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</si>
  <si>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</si>
  <si>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</si>
  <si>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</si>
  <si>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505  Ветчина Стародворская ТМ Стародворье брикет 0,33 кг.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</si>
  <si>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</si>
  <si>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</si>
  <si>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</si>
  <si>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</si>
  <si>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</si>
  <si>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</si>
  <si>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</si>
  <si>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</si>
  <si>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</si>
  <si>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</si>
  <si>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</si>
  <si>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</si>
  <si>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</si>
  <si>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</si>
  <si>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</si>
  <si>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</si>
  <si>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24,11,</t>
  </si>
  <si>
    <t>25,11,</t>
  </si>
  <si>
    <t>16,1т</t>
  </si>
  <si>
    <t>26,11,</t>
  </si>
  <si>
    <t>24,10,</t>
  </si>
  <si>
    <t>31,10,</t>
  </si>
  <si>
    <t>07,11,</t>
  </si>
  <si>
    <t>14,11,</t>
  </si>
  <si>
    <t>20,11,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</si>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</sst>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  <xf numFmtId="164" fontId="0" fillId="0" borderId="3" xfId="0" applyNumberFormat="1" applyBorder="1" applyAlignment="1">
      <alignment horizontal="left"/>
    </xf>
    <xf numFmtId="164" fontId="0" fillId="5" borderId="0" xfId="0" applyNumberFormat="1" applyFill="1" applyAlignment="1">
      <alignment horizontal="left"/>
    </xf>
    <xf numFmtId="164" fontId="7" fillId="5" borderId="0" xfId="0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164" fontId="6" fillId="5" borderId="0" xfId="0" applyNumberFormat="1" applyFont="1" applyFill="1" applyAlignment="1">
      <alignment horizontal="left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9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4-20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0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12.11.2025 - 19.11.2025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20,11,</v>
          </cell>
          <cell r="T5" t="str">
            <v>24,11,</v>
          </cell>
          <cell r="V5" t="str">
            <v>24,11,</v>
          </cell>
          <cell r="X5" t="str">
            <v>25,11,</v>
          </cell>
          <cell r="AD5" t="str">
            <v>24,10,</v>
          </cell>
          <cell r="AE5" t="str">
            <v>31,10,</v>
          </cell>
          <cell r="AF5" t="str">
            <v>07,11,</v>
          </cell>
          <cell r="AG5" t="str">
            <v>14,11,</v>
          </cell>
          <cell r="AH5" t="str">
            <v>19,11,</v>
          </cell>
        </row>
        <row r="6">
          <cell r="E6">
            <v>140372.927</v>
          </cell>
          <cell r="F6">
            <v>96704.894999999975</v>
          </cell>
          <cell r="J6">
            <v>141764.155</v>
          </cell>
          <cell r="K6">
            <v>-1391.228000000001</v>
          </cell>
          <cell r="L6">
            <v>27550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5978</v>
          </cell>
          <cell r="U6">
            <v>0</v>
          </cell>
          <cell r="V6">
            <v>23430</v>
          </cell>
          <cell r="W6">
            <v>24728.071799999998</v>
          </cell>
          <cell r="X6">
            <v>28240</v>
          </cell>
          <cell r="AA6">
            <v>0</v>
          </cell>
          <cell r="AB6">
            <v>0</v>
          </cell>
          <cell r="AC6">
            <v>16732.567999999999</v>
          </cell>
          <cell r="AD6">
            <v>24520.541999999998</v>
          </cell>
          <cell r="AE6">
            <v>24315.114600000001</v>
          </cell>
          <cell r="AF6">
            <v>26444.387800000008</v>
          </cell>
          <cell r="AG6">
            <v>24884.171199999997</v>
          </cell>
          <cell r="AH6">
            <v>28052.607999999997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716.17100000000005</v>
          </cell>
          <cell r="D7">
            <v>450.65899999999999</v>
          </cell>
          <cell r="E7">
            <v>473.03899999999999</v>
          </cell>
          <cell r="F7">
            <v>678.99099999999999</v>
          </cell>
          <cell r="G7" t="str">
            <v>н</v>
          </cell>
          <cell r="H7">
            <v>1</v>
          </cell>
          <cell r="I7">
            <v>45</v>
          </cell>
          <cell r="J7">
            <v>474.83300000000003</v>
          </cell>
          <cell r="K7">
            <v>-1.7940000000000396</v>
          </cell>
          <cell r="L7">
            <v>50</v>
          </cell>
          <cell r="V7">
            <v>100</v>
          </cell>
          <cell r="W7">
            <v>94.607799999999997</v>
          </cell>
          <cell r="X7">
            <v>100</v>
          </cell>
          <cell r="Y7">
            <v>9.8193912129866678</v>
          </cell>
          <cell r="Z7">
            <v>7.1769029614894331</v>
          </cell>
          <cell r="AC7">
            <v>0</v>
          </cell>
          <cell r="AD7">
            <v>84.582799999999992</v>
          </cell>
          <cell r="AE7">
            <v>87.911199999999994</v>
          </cell>
          <cell r="AF7">
            <v>94.776800000000009</v>
          </cell>
          <cell r="AG7">
            <v>87.2042</v>
          </cell>
          <cell r="AH7">
            <v>130.68199999999999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403.83300000000003</v>
          </cell>
          <cell r="D8">
            <v>2267.172</v>
          </cell>
          <cell r="E8">
            <v>1409.173</v>
          </cell>
          <cell r="F8">
            <v>1233.3420000000001</v>
          </cell>
          <cell r="G8" t="str">
            <v>ябл</v>
          </cell>
          <cell r="H8">
            <v>1</v>
          </cell>
          <cell r="I8">
            <v>45</v>
          </cell>
          <cell r="J8">
            <v>1419.797</v>
          </cell>
          <cell r="K8">
            <v>-10.624000000000024</v>
          </cell>
          <cell r="L8">
            <v>150</v>
          </cell>
          <cell r="V8">
            <v>250</v>
          </cell>
          <cell r="W8">
            <v>281.83460000000002</v>
          </cell>
          <cell r="X8">
            <v>320</v>
          </cell>
          <cell r="Y8">
            <v>6.930809772824202</v>
          </cell>
          <cell r="Z8">
            <v>4.3761198944345372</v>
          </cell>
          <cell r="AC8">
            <v>0</v>
          </cell>
          <cell r="AD8">
            <v>100.5042</v>
          </cell>
          <cell r="AE8">
            <v>119.49480000000001</v>
          </cell>
          <cell r="AF8">
            <v>323.37479999999999</v>
          </cell>
          <cell r="AG8">
            <v>273.2912</v>
          </cell>
          <cell r="AH8">
            <v>273.85000000000002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687.81700000000001</v>
          </cell>
          <cell r="D9">
            <v>2385.8980000000001</v>
          </cell>
          <cell r="E9">
            <v>1593.5619999999999</v>
          </cell>
          <cell r="F9">
            <v>1454.5909999999999</v>
          </cell>
          <cell r="G9">
            <v>0</v>
          </cell>
          <cell r="H9">
            <v>1</v>
          </cell>
          <cell r="I9">
            <v>45</v>
          </cell>
          <cell r="J9">
            <v>1615.575</v>
          </cell>
          <cell r="K9">
            <v>-22.013000000000147</v>
          </cell>
          <cell r="L9">
            <v>300</v>
          </cell>
          <cell r="V9">
            <v>100</v>
          </cell>
          <cell r="W9">
            <v>318.7124</v>
          </cell>
          <cell r="X9">
            <v>360</v>
          </cell>
          <cell r="Y9">
            <v>6.9485561277189083</v>
          </cell>
          <cell r="Z9">
            <v>4.563961113530568</v>
          </cell>
          <cell r="AC9">
            <v>0</v>
          </cell>
          <cell r="AD9">
            <v>415.6112</v>
          </cell>
          <cell r="AE9">
            <v>431.65020000000004</v>
          </cell>
          <cell r="AF9">
            <v>369.14879999999999</v>
          </cell>
          <cell r="AG9">
            <v>355.94439999999997</v>
          </cell>
          <cell r="AH9">
            <v>325.88299999999998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477</v>
          </cell>
          <cell r="D10">
            <v>3204</v>
          </cell>
          <cell r="E10">
            <v>2243</v>
          </cell>
          <cell r="F10">
            <v>1407</v>
          </cell>
          <cell r="G10" t="str">
            <v>ябл</v>
          </cell>
          <cell r="H10">
            <v>0.4</v>
          </cell>
          <cell r="I10">
            <v>45</v>
          </cell>
          <cell r="J10">
            <v>2261</v>
          </cell>
          <cell r="K10">
            <v>-18</v>
          </cell>
          <cell r="L10">
            <v>350</v>
          </cell>
          <cell r="T10">
            <v>500</v>
          </cell>
          <cell r="V10">
            <v>600</v>
          </cell>
          <cell r="W10">
            <v>418.6</v>
          </cell>
          <cell r="X10">
            <v>550</v>
          </cell>
          <cell r="Y10">
            <v>6.944577161968466</v>
          </cell>
          <cell r="Z10">
            <v>3.3612040133779262</v>
          </cell>
          <cell r="AC10">
            <v>150</v>
          </cell>
          <cell r="AD10">
            <v>444.2</v>
          </cell>
          <cell r="AE10">
            <v>402.2</v>
          </cell>
          <cell r="AF10">
            <v>397.6</v>
          </cell>
          <cell r="AG10">
            <v>395.8</v>
          </cell>
          <cell r="AH10">
            <v>557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1663</v>
          </cell>
          <cell r="D11">
            <v>6002</v>
          </cell>
          <cell r="E11">
            <v>5082</v>
          </cell>
          <cell r="F11">
            <v>2528</v>
          </cell>
          <cell r="G11">
            <v>0</v>
          </cell>
          <cell r="H11">
            <v>0.45</v>
          </cell>
          <cell r="I11">
            <v>45</v>
          </cell>
          <cell r="J11">
            <v>5116</v>
          </cell>
          <cell r="K11">
            <v>-34</v>
          </cell>
          <cell r="L11">
            <v>1100</v>
          </cell>
          <cell r="T11">
            <v>804</v>
          </cell>
          <cell r="V11">
            <v>500</v>
          </cell>
          <cell r="W11">
            <v>716.4</v>
          </cell>
          <cell r="X11">
            <v>850</v>
          </cell>
          <cell r="Y11">
            <v>6.9486320491345621</v>
          </cell>
          <cell r="Z11">
            <v>3.5287548855388051</v>
          </cell>
          <cell r="AC11">
            <v>1500</v>
          </cell>
          <cell r="AD11">
            <v>882.6</v>
          </cell>
          <cell r="AE11">
            <v>795.6</v>
          </cell>
          <cell r="AF11">
            <v>785.4</v>
          </cell>
          <cell r="AG11">
            <v>732.8</v>
          </cell>
          <cell r="AH11">
            <v>755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897</v>
          </cell>
          <cell r="D12">
            <v>6706</v>
          </cell>
          <cell r="E12">
            <v>4130</v>
          </cell>
          <cell r="F12">
            <v>3410</v>
          </cell>
          <cell r="G12">
            <v>0</v>
          </cell>
          <cell r="H12">
            <v>0.45</v>
          </cell>
          <cell r="I12">
            <v>45</v>
          </cell>
          <cell r="J12">
            <v>4177</v>
          </cell>
          <cell r="K12">
            <v>-47</v>
          </cell>
          <cell r="L12">
            <v>700</v>
          </cell>
          <cell r="V12">
            <v>200</v>
          </cell>
          <cell r="W12">
            <v>685.6</v>
          </cell>
          <cell r="X12">
            <v>450</v>
          </cell>
          <cell r="Y12">
            <v>6.942823803967328</v>
          </cell>
          <cell r="Z12">
            <v>4.9737456242707117</v>
          </cell>
          <cell r="AC12">
            <v>702</v>
          </cell>
          <cell r="AD12">
            <v>644.20000000000005</v>
          </cell>
          <cell r="AE12">
            <v>649.4</v>
          </cell>
          <cell r="AF12">
            <v>807.8</v>
          </cell>
          <cell r="AG12">
            <v>763.4</v>
          </cell>
          <cell r="AH12">
            <v>837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43</v>
          </cell>
          <cell r="D13">
            <v>102</v>
          </cell>
          <cell r="E13">
            <v>59</v>
          </cell>
          <cell r="F13">
            <v>86</v>
          </cell>
          <cell r="G13">
            <v>0</v>
          </cell>
          <cell r="H13">
            <v>0.4</v>
          </cell>
          <cell r="I13">
            <v>50</v>
          </cell>
          <cell r="J13">
            <v>59</v>
          </cell>
          <cell r="K13">
            <v>0</v>
          </cell>
          <cell r="L13">
            <v>0</v>
          </cell>
          <cell r="W13">
            <v>11.8</v>
          </cell>
          <cell r="X13">
            <v>20</v>
          </cell>
          <cell r="Y13">
            <v>8.9830508474576263</v>
          </cell>
          <cell r="Z13">
            <v>7.2881355932203382</v>
          </cell>
          <cell r="AC13">
            <v>0</v>
          </cell>
          <cell r="AD13">
            <v>12</v>
          </cell>
          <cell r="AE13">
            <v>14.6</v>
          </cell>
          <cell r="AF13">
            <v>19.399999999999999</v>
          </cell>
          <cell r="AG13">
            <v>12.8</v>
          </cell>
          <cell r="AH13">
            <v>11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402</v>
          </cell>
          <cell r="D14">
            <v>516</v>
          </cell>
          <cell r="E14">
            <v>306</v>
          </cell>
          <cell r="F14">
            <v>609</v>
          </cell>
          <cell r="G14">
            <v>0</v>
          </cell>
          <cell r="H14">
            <v>0.17</v>
          </cell>
          <cell r="I14">
            <v>180</v>
          </cell>
          <cell r="J14">
            <v>310</v>
          </cell>
          <cell r="K14">
            <v>-4</v>
          </cell>
          <cell r="L14">
            <v>0</v>
          </cell>
          <cell r="W14">
            <v>61.2</v>
          </cell>
          <cell r="Y14">
            <v>9.9509803921568629</v>
          </cell>
          <cell r="Z14">
            <v>9.9509803921568629</v>
          </cell>
          <cell r="AC14">
            <v>0</v>
          </cell>
          <cell r="AD14">
            <v>55.2</v>
          </cell>
          <cell r="AE14">
            <v>60.4</v>
          </cell>
          <cell r="AF14">
            <v>77</v>
          </cell>
          <cell r="AG14">
            <v>68.599999999999994</v>
          </cell>
          <cell r="AH14">
            <v>86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136</v>
          </cell>
          <cell r="D15">
            <v>498</v>
          </cell>
          <cell r="E15">
            <v>363</v>
          </cell>
          <cell r="F15">
            <v>265</v>
          </cell>
          <cell r="G15">
            <v>0</v>
          </cell>
          <cell r="H15">
            <v>0.3</v>
          </cell>
          <cell r="I15">
            <v>40</v>
          </cell>
          <cell r="J15">
            <v>370</v>
          </cell>
          <cell r="K15">
            <v>-7</v>
          </cell>
          <cell r="L15">
            <v>60</v>
          </cell>
          <cell r="V15">
            <v>90</v>
          </cell>
          <cell r="W15">
            <v>72.599999999999994</v>
          </cell>
          <cell r="X15">
            <v>90</v>
          </cell>
          <cell r="Y15">
            <v>6.9559228650137745</v>
          </cell>
          <cell r="Z15">
            <v>3.6501377410468323</v>
          </cell>
          <cell r="AC15">
            <v>0</v>
          </cell>
          <cell r="AD15">
            <v>76.2</v>
          </cell>
          <cell r="AE15">
            <v>80.599999999999994</v>
          </cell>
          <cell r="AF15">
            <v>81.400000000000006</v>
          </cell>
          <cell r="AG15">
            <v>68</v>
          </cell>
          <cell r="AH15">
            <v>69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2084</v>
          </cell>
          <cell r="D16">
            <v>2041</v>
          </cell>
          <cell r="E16">
            <v>1310</v>
          </cell>
          <cell r="F16">
            <v>2793</v>
          </cell>
          <cell r="G16">
            <v>0</v>
          </cell>
          <cell r="H16">
            <v>0.17</v>
          </cell>
          <cell r="I16">
            <v>180</v>
          </cell>
          <cell r="J16">
            <v>1354</v>
          </cell>
          <cell r="K16">
            <v>-44</v>
          </cell>
          <cell r="L16">
            <v>0</v>
          </cell>
          <cell r="W16">
            <v>262</v>
          </cell>
          <cell r="Y16">
            <v>10.66030534351145</v>
          </cell>
          <cell r="Z16">
            <v>10.66030534351145</v>
          </cell>
          <cell r="AC16">
            <v>0</v>
          </cell>
          <cell r="AD16">
            <v>268.60000000000002</v>
          </cell>
          <cell r="AE16">
            <v>272</v>
          </cell>
          <cell r="AF16">
            <v>335.6</v>
          </cell>
          <cell r="AG16">
            <v>268.2</v>
          </cell>
          <cell r="AH16">
            <v>304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579</v>
          </cell>
          <cell r="D17">
            <v>355</v>
          </cell>
          <cell r="E17">
            <v>334</v>
          </cell>
          <cell r="F17">
            <v>587</v>
          </cell>
          <cell r="G17">
            <v>0</v>
          </cell>
          <cell r="H17">
            <v>0.35</v>
          </cell>
          <cell r="I17">
            <v>45</v>
          </cell>
          <cell r="J17">
            <v>338</v>
          </cell>
          <cell r="K17">
            <v>-4</v>
          </cell>
          <cell r="L17">
            <v>0</v>
          </cell>
          <cell r="V17">
            <v>50</v>
          </cell>
          <cell r="W17">
            <v>66.8</v>
          </cell>
          <cell r="X17">
            <v>40</v>
          </cell>
          <cell r="Y17">
            <v>10.134730538922156</v>
          </cell>
          <cell r="Z17">
            <v>8.7874251497005993</v>
          </cell>
          <cell r="AC17">
            <v>0</v>
          </cell>
          <cell r="AD17">
            <v>48.8</v>
          </cell>
          <cell r="AE17">
            <v>70</v>
          </cell>
          <cell r="AF17">
            <v>73.400000000000006</v>
          </cell>
          <cell r="AG17">
            <v>64.2</v>
          </cell>
          <cell r="AH17">
            <v>61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78</v>
          </cell>
          <cell r="D18">
            <v>152</v>
          </cell>
          <cell r="E18">
            <v>100</v>
          </cell>
          <cell r="F18">
            <v>128</v>
          </cell>
          <cell r="G18" t="str">
            <v>н</v>
          </cell>
          <cell r="H18">
            <v>0.35</v>
          </cell>
          <cell r="I18">
            <v>45</v>
          </cell>
          <cell r="J18">
            <v>102</v>
          </cell>
          <cell r="K18">
            <v>-2</v>
          </cell>
          <cell r="L18">
            <v>0</v>
          </cell>
          <cell r="W18">
            <v>20</v>
          </cell>
          <cell r="X18">
            <v>20</v>
          </cell>
          <cell r="Y18">
            <v>7.4</v>
          </cell>
          <cell r="Z18">
            <v>6.4</v>
          </cell>
          <cell r="AC18">
            <v>0</v>
          </cell>
          <cell r="AD18">
            <v>21.6</v>
          </cell>
          <cell r="AE18">
            <v>17.8</v>
          </cell>
          <cell r="AF18">
            <v>27.2</v>
          </cell>
          <cell r="AG18">
            <v>15.8</v>
          </cell>
          <cell r="AH18">
            <v>23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275</v>
          </cell>
          <cell r="D19">
            <v>471</v>
          </cell>
          <cell r="E19">
            <v>455</v>
          </cell>
          <cell r="F19">
            <v>288</v>
          </cell>
          <cell r="G19">
            <v>0</v>
          </cell>
          <cell r="H19">
            <v>0.35</v>
          </cell>
          <cell r="I19">
            <v>45</v>
          </cell>
          <cell r="J19">
            <v>457</v>
          </cell>
          <cell r="K19">
            <v>-2</v>
          </cell>
          <cell r="L19">
            <v>100</v>
          </cell>
          <cell r="V19">
            <v>140</v>
          </cell>
          <cell r="W19">
            <v>91</v>
          </cell>
          <cell r="X19">
            <v>100</v>
          </cell>
          <cell r="Y19">
            <v>6.9010989010989015</v>
          </cell>
          <cell r="Z19">
            <v>3.1648351648351647</v>
          </cell>
          <cell r="AC19">
            <v>0</v>
          </cell>
          <cell r="AD19">
            <v>27.8</v>
          </cell>
          <cell r="AE19">
            <v>28.8</v>
          </cell>
          <cell r="AF19">
            <v>85.8</v>
          </cell>
          <cell r="AG19">
            <v>75</v>
          </cell>
          <cell r="AH19">
            <v>86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338</v>
          </cell>
          <cell r="D20">
            <v>572</v>
          </cell>
          <cell r="E20">
            <v>580</v>
          </cell>
          <cell r="F20">
            <v>316</v>
          </cell>
          <cell r="G20">
            <v>0</v>
          </cell>
          <cell r="H20">
            <v>0.35</v>
          </cell>
          <cell r="I20">
            <v>45</v>
          </cell>
          <cell r="J20">
            <v>589</v>
          </cell>
          <cell r="K20">
            <v>-9</v>
          </cell>
          <cell r="L20">
            <v>300</v>
          </cell>
          <cell r="V20">
            <v>100</v>
          </cell>
          <cell r="W20">
            <v>116</v>
          </cell>
          <cell r="X20">
            <v>100</v>
          </cell>
          <cell r="Y20">
            <v>7.0344827586206895</v>
          </cell>
          <cell r="Z20">
            <v>2.7241379310344827</v>
          </cell>
          <cell r="AC20">
            <v>0</v>
          </cell>
          <cell r="AD20">
            <v>99.8</v>
          </cell>
          <cell r="AE20">
            <v>105</v>
          </cell>
          <cell r="AF20">
            <v>111.2</v>
          </cell>
          <cell r="AG20">
            <v>115.8</v>
          </cell>
          <cell r="AH20">
            <v>114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193.852</v>
          </cell>
          <cell r="D21">
            <v>931.64200000000005</v>
          </cell>
          <cell r="E21">
            <v>646.75900000000001</v>
          </cell>
          <cell r="F21">
            <v>474.31599999999997</v>
          </cell>
          <cell r="G21">
            <v>0</v>
          </cell>
          <cell r="H21">
            <v>1</v>
          </cell>
          <cell r="I21">
            <v>50</v>
          </cell>
          <cell r="J21">
            <v>629.26499999999999</v>
          </cell>
          <cell r="K21">
            <v>17.494000000000028</v>
          </cell>
          <cell r="L21">
            <v>130</v>
          </cell>
          <cell r="V21">
            <v>130</v>
          </cell>
          <cell r="W21">
            <v>129.3518</v>
          </cell>
          <cell r="X21">
            <v>160</v>
          </cell>
          <cell r="Y21">
            <v>6.9138272525005453</v>
          </cell>
          <cell r="Z21">
            <v>3.6668681842850273</v>
          </cell>
          <cell r="AC21">
            <v>0</v>
          </cell>
          <cell r="AD21">
            <v>129.5308</v>
          </cell>
          <cell r="AE21">
            <v>120.2912</v>
          </cell>
          <cell r="AF21">
            <v>114.94680000000001</v>
          </cell>
          <cell r="AG21">
            <v>128.3184</v>
          </cell>
          <cell r="AH21">
            <v>125.325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3261.8389999999999</v>
          </cell>
          <cell r="D22">
            <v>5416.0550000000003</v>
          </cell>
          <cell r="E22">
            <v>5609.7560000000003</v>
          </cell>
          <cell r="F22">
            <v>3030.6210000000001</v>
          </cell>
          <cell r="G22">
            <v>0</v>
          </cell>
          <cell r="H22">
            <v>1</v>
          </cell>
          <cell r="I22">
            <v>50</v>
          </cell>
          <cell r="J22">
            <v>5674.375</v>
          </cell>
          <cell r="K22">
            <v>-64.618999999999687</v>
          </cell>
          <cell r="L22">
            <v>1500</v>
          </cell>
          <cell r="T22">
            <v>150</v>
          </cell>
          <cell r="V22">
            <v>1700</v>
          </cell>
          <cell r="W22">
            <v>1100.9626000000001</v>
          </cell>
          <cell r="X22">
            <v>1400</v>
          </cell>
          <cell r="Y22">
            <v>6.9308630465739709</v>
          </cell>
          <cell r="Z22">
            <v>2.7527011362602143</v>
          </cell>
          <cell r="AC22">
            <v>104.943</v>
          </cell>
          <cell r="AD22">
            <v>984.81000000000006</v>
          </cell>
          <cell r="AE22">
            <v>1017.8922</v>
          </cell>
          <cell r="AF22">
            <v>958.80060000000014</v>
          </cell>
          <cell r="AG22">
            <v>996.44439999999997</v>
          </cell>
          <cell r="AH22">
            <v>1201.4179999999999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72.545000000000002</v>
          </cell>
          <cell r="D23">
            <v>528.89300000000003</v>
          </cell>
          <cell r="E23">
            <v>315.245</v>
          </cell>
          <cell r="F23">
            <v>275.58</v>
          </cell>
          <cell r="G23">
            <v>0</v>
          </cell>
          <cell r="H23">
            <v>1</v>
          </cell>
          <cell r="I23">
            <v>50</v>
          </cell>
          <cell r="J23">
            <v>309.92899999999997</v>
          </cell>
          <cell r="K23">
            <v>5.3160000000000309</v>
          </cell>
          <cell r="L23">
            <v>60</v>
          </cell>
          <cell r="V23">
            <v>50</v>
          </cell>
          <cell r="W23">
            <v>63.048999999999999</v>
          </cell>
          <cell r="X23">
            <v>60</v>
          </cell>
          <cell r="Y23">
            <v>7.0672017002648735</v>
          </cell>
          <cell r="Z23">
            <v>4.3708861361797968</v>
          </cell>
          <cell r="AC23">
            <v>0</v>
          </cell>
          <cell r="AD23">
            <v>66.6798</v>
          </cell>
          <cell r="AE23">
            <v>68.246200000000002</v>
          </cell>
          <cell r="AF23">
            <v>62.67</v>
          </cell>
          <cell r="AG23">
            <v>67.574399999999997</v>
          </cell>
          <cell r="AH23">
            <v>91.787000000000006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101.508</v>
          </cell>
          <cell r="D24">
            <v>12.694000000000001</v>
          </cell>
          <cell r="E24">
            <v>132.191</v>
          </cell>
          <cell r="F24">
            <v>-17.989000000000001</v>
          </cell>
          <cell r="G24">
            <v>0</v>
          </cell>
          <cell r="H24">
            <v>0</v>
          </cell>
          <cell r="I24">
            <v>60</v>
          </cell>
          <cell r="J24">
            <v>303.3</v>
          </cell>
          <cell r="K24">
            <v>-171.10900000000001</v>
          </cell>
          <cell r="L24">
            <v>0</v>
          </cell>
          <cell r="W24">
            <v>26.438200000000002</v>
          </cell>
          <cell r="Y24">
            <v>-0.6804169724111323</v>
          </cell>
          <cell r="Z24">
            <v>-0.6804169724111323</v>
          </cell>
          <cell r="AC24">
            <v>0</v>
          </cell>
          <cell r="AD24">
            <v>431.96559999999999</v>
          </cell>
          <cell r="AE24">
            <v>463.44719999999995</v>
          </cell>
          <cell r="AF24">
            <v>417.33920000000001</v>
          </cell>
          <cell r="AG24">
            <v>347.28960000000001</v>
          </cell>
          <cell r="AH24">
            <v>10.032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195.928</v>
          </cell>
          <cell r="D25">
            <v>1039.403</v>
          </cell>
          <cell r="E25">
            <v>693.14700000000005</v>
          </cell>
          <cell r="F25">
            <v>531.61699999999996</v>
          </cell>
          <cell r="G25">
            <v>0</v>
          </cell>
          <cell r="H25">
            <v>1</v>
          </cell>
          <cell r="I25">
            <v>50</v>
          </cell>
          <cell r="J25">
            <v>675.77700000000004</v>
          </cell>
          <cell r="K25">
            <v>17.370000000000005</v>
          </cell>
          <cell r="L25">
            <v>130</v>
          </cell>
          <cell r="V25">
            <v>130</v>
          </cell>
          <cell r="W25">
            <v>138.6294</v>
          </cell>
          <cell r="X25">
            <v>160</v>
          </cell>
          <cell r="Y25">
            <v>6.8644674217734476</v>
          </cell>
          <cell r="Z25">
            <v>3.834807046701493</v>
          </cell>
          <cell r="AC25">
            <v>0</v>
          </cell>
          <cell r="AD25">
            <v>125.70099999999999</v>
          </cell>
          <cell r="AE25">
            <v>130.32900000000001</v>
          </cell>
          <cell r="AF25">
            <v>139.90299999999999</v>
          </cell>
          <cell r="AG25">
            <v>140.46440000000001</v>
          </cell>
          <cell r="AH25">
            <v>147.185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63.548999999999999</v>
          </cell>
          <cell r="D26">
            <v>277.51900000000001</v>
          </cell>
          <cell r="E26">
            <v>186.81299999999999</v>
          </cell>
          <cell r="F26">
            <v>151.62299999999999</v>
          </cell>
          <cell r="G26">
            <v>0</v>
          </cell>
          <cell r="H26">
            <v>1</v>
          </cell>
          <cell r="I26">
            <v>60</v>
          </cell>
          <cell r="J26">
            <v>180.32</v>
          </cell>
          <cell r="K26">
            <v>6.492999999999995</v>
          </cell>
          <cell r="L26">
            <v>0</v>
          </cell>
          <cell r="V26">
            <v>70</v>
          </cell>
          <cell r="W26">
            <v>37.3626</v>
          </cell>
          <cell r="X26">
            <v>40</v>
          </cell>
          <cell r="Y26">
            <v>7.0022696493284728</v>
          </cell>
          <cell r="Z26">
            <v>4.0581490581490582</v>
          </cell>
          <cell r="AC26">
            <v>0</v>
          </cell>
          <cell r="AD26">
            <v>34.070399999999999</v>
          </cell>
          <cell r="AE26">
            <v>31.187799999999999</v>
          </cell>
          <cell r="AF26">
            <v>37.2498</v>
          </cell>
          <cell r="AG26">
            <v>34.3508</v>
          </cell>
          <cell r="AH26">
            <v>60.761000000000003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188.911</v>
          </cell>
          <cell r="D27">
            <v>526.16099999999994</v>
          </cell>
          <cell r="E27">
            <v>400.875</v>
          </cell>
          <cell r="F27">
            <v>311.55399999999997</v>
          </cell>
          <cell r="G27">
            <v>0</v>
          </cell>
          <cell r="H27">
            <v>1</v>
          </cell>
          <cell r="I27">
            <v>60</v>
          </cell>
          <cell r="J27">
            <v>384.12700000000001</v>
          </cell>
          <cell r="K27">
            <v>16.74799999999999</v>
          </cell>
          <cell r="L27">
            <v>50</v>
          </cell>
          <cell r="V27">
            <v>100</v>
          </cell>
          <cell r="W27">
            <v>80.174999999999997</v>
          </cell>
          <cell r="X27">
            <v>100</v>
          </cell>
          <cell r="Y27">
            <v>7.0041035235422511</v>
          </cell>
          <cell r="Z27">
            <v>3.8859245400685998</v>
          </cell>
          <cell r="AC27">
            <v>0</v>
          </cell>
          <cell r="AD27">
            <v>92.053200000000004</v>
          </cell>
          <cell r="AE27">
            <v>80.45320000000001</v>
          </cell>
          <cell r="AF27">
            <v>89.840599999999995</v>
          </cell>
          <cell r="AG27">
            <v>77.135799999999989</v>
          </cell>
          <cell r="AH27">
            <v>96.680999999999997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161.50399999999999</v>
          </cell>
          <cell r="D28">
            <v>512.67100000000005</v>
          </cell>
          <cell r="E28">
            <v>345.94400000000002</v>
          </cell>
          <cell r="F28">
            <v>325.62299999999999</v>
          </cell>
          <cell r="G28">
            <v>0</v>
          </cell>
          <cell r="H28">
            <v>1</v>
          </cell>
          <cell r="I28">
            <v>60</v>
          </cell>
          <cell r="J28">
            <v>332.09899999999999</v>
          </cell>
          <cell r="K28">
            <v>13.845000000000027</v>
          </cell>
          <cell r="L28">
            <v>40</v>
          </cell>
          <cell r="V28">
            <v>40</v>
          </cell>
          <cell r="W28">
            <v>69.188800000000001</v>
          </cell>
          <cell r="X28">
            <v>70</v>
          </cell>
          <cell r="Y28">
            <v>6.8742773396850358</v>
          </cell>
          <cell r="Z28">
            <v>4.7062963947922203</v>
          </cell>
          <cell r="AC28">
            <v>0</v>
          </cell>
          <cell r="AD28">
            <v>64.119200000000006</v>
          </cell>
          <cell r="AE28">
            <v>69.344000000000008</v>
          </cell>
          <cell r="AF28">
            <v>90.138199999999998</v>
          </cell>
          <cell r="AG28">
            <v>73.119600000000005</v>
          </cell>
          <cell r="AH28">
            <v>60.37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58.469000000000001</v>
          </cell>
          <cell r="D29">
            <v>134.196</v>
          </cell>
          <cell r="E29">
            <v>100.70099999999999</v>
          </cell>
          <cell r="F29">
            <v>90.471000000000004</v>
          </cell>
          <cell r="G29">
            <v>0</v>
          </cell>
          <cell r="H29">
            <v>1</v>
          </cell>
          <cell r="I29">
            <v>30</v>
          </cell>
          <cell r="J29">
            <v>97.114000000000004</v>
          </cell>
          <cell r="K29">
            <v>3.5869999999999891</v>
          </cell>
          <cell r="L29">
            <v>0</v>
          </cell>
          <cell r="V29">
            <v>20</v>
          </cell>
          <cell r="W29">
            <v>20.1402</v>
          </cell>
          <cell r="X29">
            <v>30</v>
          </cell>
          <cell r="Y29">
            <v>6.9746576498743806</v>
          </cell>
          <cell r="Z29">
            <v>4.4920606548097837</v>
          </cell>
          <cell r="AC29">
            <v>0</v>
          </cell>
          <cell r="AD29">
            <v>24.480799999999999</v>
          </cell>
          <cell r="AE29">
            <v>18.97</v>
          </cell>
          <cell r="AF29">
            <v>23.8978</v>
          </cell>
          <cell r="AG29">
            <v>18.1812</v>
          </cell>
          <cell r="AH29">
            <v>19.757999999999999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46.384</v>
          </cell>
          <cell r="D30">
            <v>275.26100000000002</v>
          </cell>
          <cell r="E30">
            <v>155.30500000000001</v>
          </cell>
          <cell r="F30">
            <v>163.37100000000001</v>
          </cell>
          <cell r="G30" t="str">
            <v>н</v>
          </cell>
          <cell r="H30">
            <v>1</v>
          </cell>
          <cell r="I30">
            <v>30</v>
          </cell>
          <cell r="J30">
            <v>150.11099999999999</v>
          </cell>
          <cell r="K30">
            <v>5.1940000000000168</v>
          </cell>
          <cell r="L30">
            <v>30</v>
          </cell>
          <cell r="W30">
            <v>31.061</v>
          </cell>
          <cell r="X30">
            <v>20</v>
          </cell>
          <cell r="Y30">
            <v>6.869418241524742</v>
          </cell>
          <cell r="Z30">
            <v>5.2596825601236281</v>
          </cell>
          <cell r="AC30">
            <v>0</v>
          </cell>
          <cell r="AD30">
            <v>31.802</v>
          </cell>
          <cell r="AE30">
            <v>28.157999999999998</v>
          </cell>
          <cell r="AF30">
            <v>26.245800000000003</v>
          </cell>
          <cell r="AG30">
            <v>35.097200000000001</v>
          </cell>
          <cell r="AH30">
            <v>36.322000000000003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739.25900000000001</v>
          </cell>
          <cell r="D31">
            <v>2418.4949999999999</v>
          </cell>
          <cell r="E31">
            <v>1787.499</v>
          </cell>
          <cell r="F31">
            <v>1358.3620000000001</v>
          </cell>
          <cell r="G31">
            <v>0</v>
          </cell>
          <cell r="H31">
            <v>1</v>
          </cell>
          <cell r="I31">
            <v>30</v>
          </cell>
          <cell r="J31">
            <v>1794.0360000000001</v>
          </cell>
          <cell r="K31">
            <v>-6.5370000000000346</v>
          </cell>
          <cell r="L31">
            <v>300</v>
          </cell>
          <cell r="V31">
            <v>500</v>
          </cell>
          <cell r="W31">
            <v>357.49979999999999</v>
          </cell>
          <cell r="X31">
            <v>400</v>
          </cell>
          <cell r="Y31">
            <v>7.1562613461601936</v>
          </cell>
          <cell r="Z31">
            <v>3.7996161116733496</v>
          </cell>
          <cell r="AC31">
            <v>0</v>
          </cell>
          <cell r="AD31">
            <v>299.11279999999999</v>
          </cell>
          <cell r="AE31">
            <v>285.83479999999997</v>
          </cell>
          <cell r="AF31">
            <v>333.99520000000001</v>
          </cell>
          <cell r="AG31">
            <v>338.21</v>
          </cell>
          <cell r="AH31">
            <v>458.79700000000003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55.991999999999997</v>
          </cell>
          <cell r="D32">
            <v>162.67699999999999</v>
          </cell>
          <cell r="E32">
            <v>83.475999999999999</v>
          </cell>
          <cell r="F32">
            <v>135.19300000000001</v>
          </cell>
          <cell r="G32">
            <v>0</v>
          </cell>
          <cell r="H32">
            <v>1</v>
          </cell>
          <cell r="I32">
            <v>40</v>
          </cell>
          <cell r="J32">
            <v>79.25</v>
          </cell>
          <cell r="K32">
            <v>4.2259999999999991</v>
          </cell>
          <cell r="L32">
            <v>0</v>
          </cell>
          <cell r="W32">
            <v>16.6952</v>
          </cell>
          <cell r="Y32">
            <v>8.0977167089942022</v>
          </cell>
          <cell r="Z32">
            <v>8.0977167089942022</v>
          </cell>
          <cell r="AC32">
            <v>0</v>
          </cell>
          <cell r="AD32">
            <v>12.873799999999999</v>
          </cell>
          <cell r="AE32">
            <v>15.5458</v>
          </cell>
          <cell r="AF32">
            <v>26.287799999999997</v>
          </cell>
          <cell r="AG32">
            <v>12.058</v>
          </cell>
          <cell r="AH32">
            <v>10.257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81.361000000000004</v>
          </cell>
          <cell r="D33">
            <v>152.95400000000001</v>
          </cell>
          <cell r="E33">
            <v>93.328000000000003</v>
          </cell>
          <cell r="F33">
            <v>138.00700000000001</v>
          </cell>
          <cell r="G33" t="str">
            <v>н</v>
          </cell>
          <cell r="H33">
            <v>1</v>
          </cell>
          <cell r="I33">
            <v>35</v>
          </cell>
          <cell r="J33">
            <v>94.5</v>
          </cell>
          <cell r="K33">
            <v>-1.171999999999997</v>
          </cell>
          <cell r="L33">
            <v>20</v>
          </cell>
          <cell r="W33">
            <v>18.665600000000001</v>
          </cell>
          <cell r="Y33">
            <v>8.4651444368249606</v>
          </cell>
          <cell r="Z33">
            <v>7.3936546374078516</v>
          </cell>
          <cell r="AC33">
            <v>0</v>
          </cell>
          <cell r="AD33">
            <v>19.1478</v>
          </cell>
          <cell r="AE33">
            <v>24.717599999999997</v>
          </cell>
          <cell r="AF33">
            <v>14.8332</v>
          </cell>
          <cell r="AG33">
            <v>20.881599999999999</v>
          </cell>
          <cell r="AH33">
            <v>17.632999999999999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313.97300000000001</v>
          </cell>
          <cell r="D34">
            <v>1881.597</v>
          </cell>
          <cell r="E34">
            <v>1092.9290000000001</v>
          </cell>
          <cell r="F34">
            <v>1080.807</v>
          </cell>
          <cell r="G34">
            <v>0</v>
          </cell>
          <cell r="H34">
            <v>1</v>
          </cell>
          <cell r="I34">
            <v>30</v>
          </cell>
          <cell r="J34">
            <v>1058.0650000000001</v>
          </cell>
          <cell r="K34">
            <v>34.864000000000033</v>
          </cell>
          <cell r="L34">
            <v>200</v>
          </cell>
          <cell r="W34">
            <v>218.58580000000001</v>
          </cell>
          <cell r="X34">
            <v>230</v>
          </cell>
          <cell r="Y34">
            <v>6.9117344310563631</v>
          </cell>
          <cell r="Z34">
            <v>4.944543515635508</v>
          </cell>
          <cell r="AC34">
            <v>0</v>
          </cell>
          <cell r="AD34">
            <v>217.14540000000002</v>
          </cell>
          <cell r="AE34">
            <v>215.05100000000002</v>
          </cell>
          <cell r="AF34">
            <v>257.40559999999999</v>
          </cell>
          <cell r="AG34">
            <v>241.36799999999999</v>
          </cell>
          <cell r="AH34">
            <v>244.28899999999999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16.428000000000001</v>
          </cell>
          <cell r="D35">
            <v>21.681000000000001</v>
          </cell>
          <cell r="E35">
            <v>6.38</v>
          </cell>
          <cell r="F35">
            <v>31.728999999999999</v>
          </cell>
          <cell r="G35" t="str">
            <v>н</v>
          </cell>
          <cell r="H35">
            <v>1</v>
          </cell>
          <cell r="I35">
            <v>45</v>
          </cell>
          <cell r="J35">
            <v>7.1</v>
          </cell>
          <cell r="K35">
            <v>-0.71999999999999975</v>
          </cell>
          <cell r="L35">
            <v>0</v>
          </cell>
          <cell r="W35">
            <v>1.276</v>
          </cell>
          <cell r="Y35">
            <v>24.865987460815045</v>
          </cell>
          <cell r="Z35">
            <v>24.865987460815045</v>
          </cell>
          <cell r="AC35">
            <v>0</v>
          </cell>
          <cell r="AD35">
            <v>3.6136000000000004</v>
          </cell>
          <cell r="AE35">
            <v>1.4474</v>
          </cell>
          <cell r="AF35">
            <v>0.88719999999999999</v>
          </cell>
          <cell r="AG35">
            <v>3.6496000000000004</v>
          </cell>
          <cell r="AH35">
            <v>0.89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8.9239999999999995</v>
          </cell>
          <cell r="E36">
            <v>5.3650000000000002</v>
          </cell>
          <cell r="F36">
            <v>3.5590000000000002</v>
          </cell>
          <cell r="G36" t="str">
            <v>н</v>
          </cell>
          <cell r="H36">
            <v>1</v>
          </cell>
          <cell r="I36">
            <v>45</v>
          </cell>
          <cell r="J36">
            <v>5</v>
          </cell>
          <cell r="K36">
            <v>0.36500000000000021</v>
          </cell>
          <cell r="L36">
            <v>0</v>
          </cell>
          <cell r="V36">
            <v>10</v>
          </cell>
          <cell r="W36">
            <v>1.073</v>
          </cell>
          <cell r="Y36">
            <v>12.636533084808949</v>
          </cell>
          <cell r="Z36">
            <v>3.3168685927306618</v>
          </cell>
          <cell r="AC36">
            <v>0</v>
          </cell>
          <cell r="AD36">
            <v>0.71460000000000001</v>
          </cell>
          <cell r="AE36">
            <v>0.35980000000000001</v>
          </cell>
          <cell r="AF36">
            <v>0.36280000000000001</v>
          </cell>
          <cell r="AG36">
            <v>1.0746</v>
          </cell>
          <cell r="AH36">
            <v>0.89700000000000002</v>
          </cell>
          <cell r="AI36">
            <v>0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9.6929999999999996</v>
          </cell>
          <cell r="D37">
            <v>21.626999999999999</v>
          </cell>
          <cell r="E37">
            <v>3.5550000000000002</v>
          </cell>
          <cell r="F37">
            <v>27.765000000000001</v>
          </cell>
          <cell r="G37" t="str">
            <v>н</v>
          </cell>
          <cell r="H37">
            <v>1</v>
          </cell>
          <cell r="I37">
            <v>45</v>
          </cell>
          <cell r="J37">
            <v>5.1100000000000003</v>
          </cell>
          <cell r="K37">
            <v>-1.5550000000000002</v>
          </cell>
          <cell r="L37">
            <v>0</v>
          </cell>
          <cell r="W37">
            <v>0.71100000000000008</v>
          </cell>
          <cell r="Y37">
            <v>39.050632911392398</v>
          </cell>
          <cell r="Z37">
            <v>39.050632911392398</v>
          </cell>
          <cell r="AC37">
            <v>0</v>
          </cell>
          <cell r="AD37">
            <v>3.4386000000000001</v>
          </cell>
          <cell r="AE37">
            <v>1.4361999999999999</v>
          </cell>
          <cell r="AF37">
            <v>1.4232</v>
          </cell>
          <cell r="AG37">
            <v>3.1859999999999999</v>
          </cell>
          <cell r="AH37">
            <v>0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959</v>
          </cell>
          <cell r="D38">
            <v>2750</v>
          </cell>
          <cell r="E38">
            <v>2810</v>
          </cell>
          <cell r="F38">
            <v>857</v>
          </cell>
          <cell r="G38">
            <v>0</v>
          </cell>
          <cell r="H38">
            <v>0.35</v>
          </cell>
          <cell r="I38">
            <v>40</v>
          </cell>
          <cell r="J38">
            <v>2848</v>
          </cell>
          <cell r="K38">
            <v>-38</v>
          </cell>
          <cell r="L38">
            <v>500</v>
          </cell>
          <cell r="V38">
            <v>700</v>
          </cell>
          <cell r="W38">
            <v>367.6</v>
          </cell>
          <cell r="X38">
            <v>500</v>
          </cell>
          <cell r="Y38">
            <v>6.9559303590859622</v>
          </cell>
          <cell r="Z38">
            <v>2.3313384113166484</v>
          </cell>
          <cell r="AC38">
            <v>972</v>
          </cell>
          <cell r="AD38">
            <v>244.2</v>
          </cell>
          <cell r="AE38">
            <v>255.4</v>
          </cell>
          <cell r="AF38">
            <v>291</v>
          </cell>
          <cell r="AG38">
            <v>293.2</v>
          </cell>
          <cell r="AH38">
            <v>488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655</v>
          </cell>
          <cell r="D39">
            <v>6061</v>
          </cell>
          <cell r="E39">
            <v>3898</v>
          </cell>
          <cell r="F39">
            <v>2771</v>
          </cell>
          <cell r="G39">
            <v>0</v>
          </cell>
          <cell r="H39">
            <v>0.4</v>
          </cell>
          <cell r="I39">
            <v>40</v>
          </cell>
          <cell r="J39">
            <v>3947</v>
          </cell>
          <cell r="K39">
            <v>-49</v>
          </cell>
          <cell r="L39">
            <v>500</v>
          </cell>
          <cell r="T39">
            <v>504</v>
          </cell>
          <cell r="V39">
            <v>500</v>
          </cell>
          <cell r="W39">
            <v>648.79999999999995</v>
          </cell>
          <cell r="X39">
            <v>700</v>
          </cell>
          <cell r="Y39">
            <v>6.8911837237977807</v>
          </cell>
          <cell r="Z39">
            <v>4.2709617755856968</v>
          </cell>
          <cell r="AC39">
            <v>654</v>
          </cell>
          <cell r="AD39">
            <v>596.4</v>
          </cell>
          <cell r="AE39">
            <v>566.20000000000005</v>
          </cell>
          <cell r="AF39">
            <v>727.6</v>
          </cell>
          <cell r="AG39">
            <v>660.8</v>
          </cell>
          <cell r="AH39">
            <v>699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803</v>
          </cell>
          <cell r="D40">
            <v>12366</v>
          </cell>
          <cell r="E40">
            <v>9480</v>
          </cell>
          <cell r="F40">
            <v>3648</v>
          </cell>
          <cell r="G40">
            <v>0</v>
          </cell>
          <cell r="H40">
            <v>0.45</v>
          </cell>
          <cell r="I40">
            <v>45</v>
          </cell>
          <cell r="J40">
            <v>9508</v>
          </cell>
          <cell r="K40">
            <v>-28</v>
          </cell>
          <cell r="L40">
            <v>1300</v>
          </cell>
          <cell r="T40">
            <v>1500</v>
          </cell>
          <cell r="V40">
            <v>1300</v>
          </cell>
          <cell r="W40">
            <v>1096</v>
          </cell>
          <cell r="X40">
            <v>1300</v>
          </cell>
          <cell r="Y40">
            <v>6.8868613138686134</v>
          </cell>
          <cell r="Z40">
            <v>3.3284671532846715</v>
          </cell>
          <cell r="AC40">
            <v>4000</v>
          </cell>
          <cell r="AD40">
            <v>773.8</v>
          </cell>
          <cell r="AE40">
            <v>882.6</v>
          </cell>
          <cell r="AF40">
            <v>1069.4000000000001</v>
          </cell>
          <cell r="AG40">
            <v>1088</v>
          </cell>
          <cell r="AH40">
            <v>1267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372.31</v>
          </cell>
          <cell r="D41">
            <v>675.12800000000004</v>
          </cell>
          <cell r="E41">
            <v>538.57399999999996</v>
          </cell>
          <cell r="F41">
            <v>503.13</v>
          </cell>
          <cell r="G41">
            <v>0</v>
          </cell>
          <cell r="H41">
            <v>1</v>
          </cell>
          <cell r="I41">
            <v>40</v>
          </cell>
          <cell r="J41">
            <v>528.399</v>
          </cell>
          <cell r="K41">
            <v>10.174999999999955</v>
          </cell>
          <cell r="L41">
            <v>100</v>
          </cell>
          <cell r="W41">
            <v>107.7148</v>
          </cell>
          <cell r="X41">
            <v>120</v>
          </cell>
          <cell r="Y41">
            <v>6.7133764348074729</v>
          </cell>
          <cell r="Z41">
            <v>4.6709458681629634</v>
          </cell>
          <cell r="AC41">
            <v>0</v>
          </cell>
          <cell r="AD41">
            <v>279.22719999999998</v>
          </cell>
          <cell r="AE41">
            <v>271.0308</v>
          </cell>
          <cell r="AF41">
            <v>134.76479999999998</v>
          </cell>
          <cell r="AG41">
            <v>114.26679999999999</v>
          </cell>
          <cell r="AH41">
            <v>109.52800000000001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720</v>
          </cell>
          <cell r="D42">
            <v>2528</v>
          </cell>
          <cell r="E42">
            <v>962</v>
          </cell>
          <cell r="F42">
            <v>2264</v>
          </cell>
          <cell r="G42">
            <v>0</v>
          </cell>
          <cell r="H42">
            <v>0.1</v>
          </cell>
          <cell r="I42">
            <v>730</v>
          </cell>
          <cell r="J42">
            <v>986</v>
          </cell>
          <cell r="K42">
            <v>-24</v>
          </cell>
          <cell r="L42">
            <v>0</v>
          </cell>
          <cell r="W42">
            <v>192.4</v>
          </cell>
          <cell r="Y42">
            <v>11.767151767151766</v>
          </cell>
          <cell r="Z42">
            <v>11.767151767151766</v>
          </cell>
          <cell r="AC42">
            <v>0</v>
          </cell>
          <cell r="AD42">
            <v>174.4</v>
          </cell>
          <cell r="AE42">
            <v>173.2</v>
          </cell>
          <cell r="AF42">
            <v>247</v>
          </cell>
          <cell r="AG42">
            <v>223.2</v>
          </cell>
          <cell r="AH42">
            <v>200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370</v>
          </cell>
          <cell r="D43">
            <v>1550</v>
          </cell>
          <cell r="E43">
            <v>972</v>
          </cell>
          <cell r="F43">
            <v>922</v>
          </cell>
          <cell r="G43">
            <v>0</v>
          </cell>
          <cell r="H43">
            <v>0.35</v>
          </cell>
          <cell r="I43">
            <v>40</v>
          </cell>
          <cell r="J43">
            <v>993</v>
          </cell>
          <cell r="K43">
            <v>-21</v>
          </cell>
          <cell r="L43">
            <v>120</v>
          </cell>
          <cell r="V43">
            <v>80</v>
          </cell>
          <cell r="W43">
            <v>194.4</v>
          </cell>
          <cell r="X43">
            <v>200</v>
          </cell>
          <cell r="Y43">
            <v>6.8004115226337447</v>
          </cell>
          <cell r="Z43">
            <v>4.7427983539094649</v>
          </cell>
          <cell r="AC43">
            <v>0</v>
          </cell>
          <cell r="AD43">
            <v>212.8</v>
          </cell>
          <cell r="AE43">
            <v>181.2</v>
          </cell>
          <cell r="AF43">
            <v>260.2</v>
          </cell>
          <cell r="AG43">
            <v>203.4</v>
          </cell>
          <cell r="AH43">
            <v>222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102.494</v>
          </cell>
          <cell r="D44">
            <v>364.63900000000001</v>
          </cell>
          <cell r="E44">
            <v>250.62799999999999</v>
          </cell>
          <cell r="F44">
            <v>212.88200000000001</v>
          </cell>
          <cell r="G44">
            <v>0</v>
          </cell>
          <cell r="H44">
            <v>1</v>
          </cell>
          <cell r="I44">
            <v>40</v>
          </cell>
          <cell r="J44">
            <v>259.99</v>
          </cell>
          <cell r="K44">
            <v>-9.3620000000000232</v>
          </cell>
          <cell r="L44">
            <v>60</v>
          </cell>
          <cell r="V44">
            <v>20</v>
          </cell>
          <cell r="W44">
            <v>50.125599999999999</v>
          </cell>
          <cell r="X44">
            <v>60</v>
          </cell>
          <cell r="Y44">
            <v>7.0399556314537888</v>
          </cell>
          <cell r="Z44">
            <v>4.246971607322406</v>
          </cell>
          <cell r="AC44">
            <v>0</v>
          </cell>
          <cell r="AD44">
            <v>44.755600000000001</v>
          </cell>
          <cell r="AE44">
            <v>42.6492</v>
          </cell>
          <cell r="AF44">
            <v>59.303200000000004</v>
          </cell>
          <cell r="AG44">
            <v>50.9422</v>
          </cell>
          <cell r="AH44">
            <v>57.15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296</v>
          </cell>
          <cell r="D45">
            <v>975</v>
          </cell>
          <cell r="E45">
            <v>776</v>
          </cell>
          <cell r="F45">
            <v>486</v>
          </cell>
          <cell r="G45">
            <v>0</v>
          </cell>
          <cell r="H45">
            <v>0.4</v>
          </cell>
          <cell r="I45">
            <v>35</v>
          </cell>
          <cell r="J45">
            <v>784</v>
          </cell>
          <cell r="K45">
            <v>-8</v>
          </cell>
          <cell r="L45">
            <v>100</v>
          </cell>
          <cell r="V45">
            <v>280</v>
          </cell>
          <cell r="W45">
            <v>155.19999999999999</v>
          </cell>
          <cell r="X45">
            <v>200</v>
          </cell>
          <cell r="Y45">
            <v>6.8685567010309283</v>
          </cell>
          <cell r="Z45">
            <v>3.1314432989690726</v>
          </cell>
          <cell r="AC45">
            <v>0</v>
          </cell>
          <cell r="AD45">
            <v>137.19999999999999</v>
          </cell>
          <cell r="AE45">
            <v>128.80000000000001</v>
          </cell>
          <cell r="AF45">
            <v>170.8</v>
          </cell>
          <cell r="AG45">
            <v>137</v>
          </cell>
          <cell r="AH45">
            <v>173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573</v>
          </cell>
          <cell r="D46">
            <v>2544</v>
          </cell>
          <cell r="E46">
            <v>1723</v>
          </cell>
          <cell r="F46">
            <v>1385</v>
          </cell>
          <cell r="G46">
            <v>0</v>
          </cell>
          <cell r="H46">
            <v>0.4</v>
          </cell>
          <cell r="I46">
            <v>40</v>
          </cell>
          <cell r="J46">
            <v>1716</v>
          </cell>
          <cell r="K46">
            <v>7</v>
          </cell>
          <cell r="L46">
            <v>300</v>
          </cell>
          <cell r="V46">
            <v>300</v>
          </cell>
          <cell r="W46">
            <v>344.6</v>
          </cell>
          <cell r="X46">
            <v>400</v>
          </cell>
          <cell r="Y46">
            <v>6.9210679048171793</v>
          </cell>
          <cell r="Z46">
            <v>4.0191526407428899</v>
          </cell>
          <cell r="AC46">
            <v>0</v>
          </cell>
          <cell r="AD46">
            <v>337.6</v>
          </cell>
          <cell r="AE46">
            <v>339.8</v>
          </cell>
          <cell r="AF46">
            <v>388</v>
          </cell>
          <cell r="AG46">
            <v>348.2</v>
          </cell>
          <cell r="AH46">
            <v>391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68.488</v>
          </cell>
          <cell r="D47">
            <v>229.62799999999999</v>
          </cell>
          <cell r="E47">
            <v>166.84200000000001</v>
          </cell>
          <cell r="F47">
            <v>130.54300000000001</v>
          </cell>
          <cell r="G47" t="str">
            <v>лид, я</v>
          </cell>
          <cell r="H47">
            <v>1</v>
          </cell>
          <cell r="I47">
            <v>40</v>
          </cell>
          <cell r="J47">
            <v>167.7</v>
          </cell>
          <cell r="K47">
            <v>-0.85799999999997567</v>
          </cell>
          <cell r="L47">
            <v>40</v>
          </cell>
          <cell r="V47">
            <v>30</v>
          </cell>
          <cell r="W47">
            <v>33.368400000000001</v>
          </cell>
          <cell r="X47">
            <v>40</v>
          </cell>
          <cell r="Y47">
            <v>7.2087064408242529</v>
          </cell>
          <cell r="Z47">
            <v>3.9121743925390491</v>
          </cell>
          <cell r="AC47">
            <v>0</v>
          </cell>
          <cell r="AD47">
            <v>28.909199999999998</v>
          </cell>
          <cell r="AE47">
            <v>29.4846</v>
          </cell>
          <cell r="AF47">
            <v>32.495800000000003</v>
          </cell>
          <cell r="AG47">
            <v>32.205799999999996</v>
          </cell>
          <cell r="AH47">
            <v>37.639000000000003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300.37</v>
          </cell>
          <cell r="D48">
            <v>752.92200000000003</v>
          </cell>
          <cell r="E48">
            <v>569.06899999999996</v>
          </cell>
          <cell r="F48">
            <v>475.57299999999998</v>
          </cell>
          <cell r="G48">
            <v>0</v>
          </cell>
          <cell r="H48">
            <v>1</v>
          </cell>
          <cell r="I48">
            <v>40</v>
          </cell>
          <cell r="J48">
            <v>580.26</v>
          </cell>
          <cell r="K48">
            <v>-11.191000000000031</v>
          </cell>
          <cell r="L48">
            <v>150</v>
          </cell>
          <cell r="V48">
            <v>50</v>
          </cell>
          <cell r="W48">
            <v>113.81379999999999</v>
          </cell>
          <cell r="X48">
            <v>120</v>
          </cell>
          <cell r="Y48">
            <v>6.9901277349495414</v>
          </cell>
          <cell r="Z48">
            <v>4.1785178950180031</v>
          </cell>
          <cell r="AC48">
            <v>0</v>
          </cell>
          <cell r="AD48">
            <v>131.483</v>
          </cell>
          <cell r="AE48">
            <v>130.7636</v>
          </cell>
          <cell r="AF48">
            <v>126.36060000000001</v>
          </cell>
          <cell r="AG48">
            <v>121.46579999999999</v>
          </cell>
          <cell r="AH48">
            <v>91.028000000000006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437</v>
          </cell>
          <cell r="D49">
            <v>1738</v>
          </cell>
          <cell r="E49">
            <v>1328</v>
          </cell>
          <cell r="F49">
            <v>827</v>
          </cell>
          <cell r="G49" t="str">
            <v>лид, я</v>
          </cell>
          <cell r="H49">
            <v>0.35</v>
          </cell>
          <cell r="I49">
            <v>40</v>
          </cell>
          <cell r="J49">
            <v>1359</v>
          </cell>
          <cell r="K49">
            <v>-31</v>
          </cell>
          <cell r="L49">
            <v>300</v>
          </cell>
          <cell r="V49">
            <v>350</v>
          </cell>
          <cell r="W49">
            <v>265.60000000000002</v>
          </cell>
          <cell r="X49">
            <v>350</v>
          </cell>
          <cell r="Y49">
            <v>6.8787650602409629</v>
          </cell>
          <cell r="Z49">
            <v>3.1137048192771082</v>
          </cell>
          <cell r="AC49">
            <v>0</v>
          </cell>
          <cell r="AD49">
            <v>249.6</v>
          </cell>
          <cell r="AE49">
            <v>215.4</v>
          </cell>
          <cell r="AF49">
            <v>271.2</v>
          </cell>
          <cell r="AG49">
            <v>247.4</v>
          </cell>
          <cell r="AH49">
            <v>289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427</v>
          </cell>
          <cell r="D50">
            <v>3199</v>
          </cell>
          <cell r="E50">
            <v>2117</v>
          </cell>
          <cell r="F50">
            <v>1471</v>
          </cell>
          <cell r="G50">
            <v>0</v>
          </cell>
          <cell r="H50">
            <v>0.35</v>
          </cell>
          <cell r="I50">
            <v>40</v>
          </cell>
          <cell r="J50">
            <v>2154</v>
          </cell>
          <cell r="K50">
            <v>-37</v>
          </cell>
          <cell r="L50">
            <v>500</v>
          </cell>
          <cell r="V50">
            <v>450</v>
          </cell>
          <cell r="W50">
            <v>423.4</v>
          </cell>
          <cell r="X50">
            <v>500</v>
          </cell>
          <cell r="Y50">
            <v>6.8989135569201707</v>
          </cell>
          <cell r="Z50">
            <v>3.474256022673595</v>
          </cell>
          <cell r="AC50">
            <v>0</v>
          </cell>
          <cell r="AD50">
            <v>363.4</v>
          </cell>
          <cell r="AE50">
            <v>337.6</v>
          </cell>
          <cell r="AF50">
            <v>449.6</v>
          </cell>
          <cell r="AG50">
            <v>415.4</v>
          </cell>
          <cell r="AH50">
            <v>454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464</v>
          </cell>
          <cell r="D51">
            <v>1625</v>
          </cell>
          <cell r="E51">
            <v>1154</v>
          </cell>
          <cell r="F51">
            <v>920</v>
          </cell>
          <cell r="G51">
            <v>0</v>
          </cell>
          <cell r="H51">
            <v>0.4</v>
          </cell>
          <cell r="I51">
            <v>35</v>
          </cell>
          <cell r="J51">
            <v>1172</v>
          </cell>
          <cell r="K51">
            <v>-18</v>
          </cell>
          <cell r="L51">
            <v>140</v>
          </cell>
          <cell r="V51">
            <v>250</v>
          </cell>
          <cell r="W51">
            <v>230.8</v>
          </cell>
          <cell r="X51">
            <v>300</v>
          </cell>
          <cell r="Y51">
            <v>6.9757365684575383</v>
          </cell>
          <cell r="Z51">
            <v>3.9861351819757362</v>
          </cell>
          <cell r="AC51">
            <v>0</v>
          </cell>
          <cell r="AD51">
            <v>234.4</v>
          </cell>
          <cell r="AE51">
            <v>220.4</v>
          </cell>
          <cell r="AF51">
            <v>258.8</v>
          </cell>
          <cell r="AG51">
            <v>219.8</v>
          </cell>
          <cell r="AH51">
            <v>266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157.679</v>
          </cell>
          <cell r="D52">
            <v>1413.05</v>
          </cell>
          <cell r="E52">
            <v>879.57600000000002</v>
          </cell>
          <cell r="F52">
            <v>672.36300000000006</v>
          </cell>
          <cell r="G52">
            <v>0</v>
          </cell>
          <cell r="H52">
            <v>1</v>
          </cell>
          <cell r="I52">
            <v>50</v>
          </cell>
          <cell r="J52">
            <v>887.68899999999996</v>
          </cell>
          <cell r="K52">
            <v>-8.1129999999999427</v>
          </cell>
          <cell r="L52">
            <v>160</v>
          </cell>
          <cell r="V52">
            <v>180</v>
          </cell>
          <cell r="W52">
            <v>175.9152</v>
          </cell>
          <cell r="X52">
            <v>200</v>
          </cell>
          <cell r="Y52">
            <v>6.8917467052307027</v>
          </cell>
          <cell r="Z52">
            <v>3.8220858686458024</v>
          </cell>
          <cell r="AC52">
            <v>0</v>
          </cell>
          <cell r="AD52">
            <v>162.78479999999999</v>
          </cell>
          <cell r="AE52">
            <v>158.79159999999999</v>
          </cell>
          <cell r="AF52">
            <v>182.1566</v>
          </cell>
          <cell r="AG52">
            <v>171.2534</v>
          </cell>
          <cell r="AH52">
            <v>214.476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201.714</v>
          </cell>
          <cell r="D53">
            <v>908.88</v>
          </cell>
          <cell r="E53">
            <v>621.34299999999996</v>
          </cell>
          <cell r="F53">
            <v>452.49900000000002</v>
          </cell>
          <cell r="G53" t="str">
            <v>н</v>
          </cell>
          <cell r="H53">
            <v>1</v>
          </cell>
          <cell r="I53">
            <v>50</v>
          </cell>
          <cell r="J53">
            <v>642.70399999999995</v>
          </cell>
          <cell r="K53">
            <v>-21.36099999999999</v>
          </cell>
          <cell r="L53">
            <v>240</v>
          </cell>
          <cell r="V53">
            <v>50</v>
          </cell>
          <cell r="W53">
            <v>124.26859999999999</v>
          </cell>
          <cell r="X53">
            <v>120</v>
          </cell>
          <cell r="Y53">
            <v>6.9406028554276791</v>
          </cell>
          <cell r="Z53">
            <v>3.6412979626389936</v>
          </cell>
          <cell r="AC53">
            <v>0</v>
          </cell>
          <cell r="AD53">
            <v>141.30500000000001</v>
          </cell>
          <cell r="AE53">
            <v>145.9974</v>
          </cell>
          <cell r="AF53">
            <v>158.88640000000001</v>
          </cell>
          <cell r="AG53">
            <v>133.54159999999999</v>
          </cell>
          <cell r="AH53">
            <v>137.06100000000001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32.784999999999997</v>
          </cell>
          <cell r="E54">
            <v>0</v>
          </cell>
          <cell r="F54">
            <v>32.784999999999997</v>
          </cell>
          <cell r="G54" t="str">
            <v>выв24,10,</v>
          </cell>
          <cell r="H54">
            <v>0</v>
          </cell>
          <cell r="I54">
            <v>50</v>
          </cell>
          <cell r="J54">
            <v>19.2</v>
          </cell>
          <cell r="K54">
            <v>-19.2</v>
          </cell>
          <cell r="L54">
            <v>0</v>
          </cell>
          <cell r="W54">
            <v>0</v>
          </cell>
          <cell r="Y54" t="e">
            <v>#DIV/0!</v>
          </cell>
          <cell r="Z54" t="e">
            <v>#DIV/0!</v>
          </cell>
          <cell r="AC54">
            <v>0</v>
          </cell>
          <cell r="AD54">
            <v>5.7248000000000001</v>
          </cell>
          <cell r="AE54">
            <v>4.2081999999999997</v>
          </cell>
          <cell r="AF54">
            <v>5.1107999999999993</v>
          </cell>
          <cell r="AG54">
            <v>0.89879999999999993</v>
          </cell>
          <cell r="AH54">
            <v>0</v>
          </cell>
          <cell r="AI54" t="str">
            <v>увел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1101.046</v>
          </cell>
          <cell r="D55">
            <v>6993.7960000000003</v>
          </cell>
          <cell r="E55">
            <v>4707.1949999999997</v>
          </cell>
          <cell r="F55">
            <v>3345.6129999999998</v>
          </cell>
          <cell r="G55">
            <v>0</v>
          </cell>
          <cell r="H55">
            <v>1</v>
          </cell>
          <cell r="I55">
            <v>40</v>
          </cell>
          <cell r="J55">
            <v>4726.6930000000002</v>
          </cell>
          <cell r="K55">
            <v>-19.498000000000502</v>
          </cell>
          <cell r="L55">
            <v>1100</v>
          </cell>
          <cell r="V55">
            <v>1000</v>
          </cell>
          <cell r="W55">
            <v>941.43899999999996</v>
          </cell>
          <cell r="X55">
            <v>1100</v>
          </cell>
          <cell r="Y55">
            <v>6.9527744229843886</v>
          </cell>
          <cell r="Z55">
            <v>3.5537225460173203</v>
          </cell>
          <cell r="AC55">
            <v>0</v>
          </cell>
          <cell r="AD55">
            <v>1001.78</v>
          </cell>
          <cell r="AE55">
            <v>958.94159999999988</v>
          </cell>
          <cell r="AF55">
            <v>940.26700000000005</v>
          </cell>
          <cell r="AG55">
            <v>953.20319999999992</v>
          </cell>
          <cell r="AH55">
            <v>1058.2950000000001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556</v>
          </cell>
          <cell r="D56">
            <v>4379</v>
          </cell>
          <cell r="E56">
            <v>3028</v>
          </cell>
          <cell r="F56">
            <v>1860</v>
          </cell>
          <cell r="G56">
            <v>0</v>
          </cell>
          <cell r="H56">
            <v>0.45</v>
          </cell>
          <cell r="I56">
            <v>50</v>
          </cell>
          <cell r="J56">
            <v>3077</v>
          </cell>
          <cell r="K56">
            <v>-49</v>
          </cell>
          <cell r="L56">
            <v>600</v>
          </cell>
          <cell r="V56">
            <v>400</v>
          </cell>
          <cell r="W56">
            <v>485.6</v>
          </cell>
          <cell r="X56">
            <v>500</v>
          </cell>
          <cell r="Y56">
            <v>6.9192751235584842</v>
          </cell>
          <cell r="Z56">
            <v>3.8303130148270181</v>
          </cell>
          <cell r="AC56">
            <v>600</v>
          </cell>
          <cell r="AD56">
            <v>440.6</v>
          </cell>
          <cell r="AE56">
            <v>471.2</v>
          </cell>
          <cell r="AF56">
            <v>520.6</v>
          </cell>
          <cell r="AG56">
            <v>494.6</v>
          </cell>
          <cell r="AH56">
            <v>513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3144</v>
          </cell>
          <cell r="D57">
            <v>5727</v>
          </cell>
          <cell r="E57">
            <v>5719</v>
          </cell>
          <cell r="F57">
            <v>3080</v>
          </cell>
          <cell r="G57">
            <v>0</v>
          </cell>
          <cell r="H57">
            <v>0.45</v>
          </cell>
          <cell r="I57">
            <v>50</v>
          </cell>
          <cell r="J57">
            <v>5795</v>
          </cell>
          <cell r="K57">
            <v>-76</v>
          </cell>
          <cell r="L57">
            <v>500</v>
          </cell>
          <cell r="T57">
            <v>1500</v>
          </cell>
          <cell r="V57">
            <v>1200</v>
          </cell>
          <cell r="W57">
            <v>843.8</v>
          </cell>
          <cell r="X57">
            <v>1100</v>
          </cell>
          <cell r="Y57">
            <v>6.9684759421663909</v>
          </cell>
          <cell r="Z57">
            <v>3.6501540649442998</v>
          </cell>
          <cell r="AC57">
            <v>1500</v>
          </cell>
          <cell r="AD57">
            <v>723.2</v>
          </cell>
          <cell r="AE57">
            <v>719.8</v>
          </cell>
          <cell r="AF57">
            <v>850</v>
          </cell>
          <cell r="AG57">
            <v>769</v>
          </cell>
          <cell r="AH57">
            <v>1060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246</v>
          </cell>
          <cell r="D58">
            <v>2628</v>
          </cell>
          <cell r="E58">
            <v>1379</v>
          </cell>
          <cell r="F58">
            <v>1473</v>
          </cell>
          <cell r="G58">
            <v>0</v>
          </cell>
          <cell r="H58">
            <v>0.45</v>
          </cell>
          <cell r="I58">
            <v>50</v>
          </cell>
          <cell r="J58">
            <v>1393</v>
          </cell>
          <cell r="K58">
            <v>-14</v>
          </cell>
          <cell r="L58">
            <v>100</v>
          </cell>
          <cell r="V58">
            <v>50</v>
          </cell>
          <cell r="W58">
            <v>275.8</v>
          </cell>
          <cell r="X58">
            <v>300</v>
          </cell>
          <cell r="Y58">
            <v>6.9724437998549673</v>
          </cell>
          <cell r="Z58">
            <v>5.340826686004351</v>
          </cell>
          <cell r="AC58">
            <v>0</v>
          </cell>
          <cell r="AD58">
            <v>289.2</v>
          </cell>
          <cell r="AE58">
            <v>266.2</v>
          </cell>
          <cell r="AF58">
            <v>349.2</v>
          </cell>
          <cell r="AG58">
            <v>300.39999999999998</v>
          </cell>
          <cell r="AH58">
            <v>350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94</v>
          </cell>
          <cell r="D59">
            <v>470</v>
          </cell>
          <cell r="E59">
            <v>265</v>
          </cell>
          <cell r="F59">
            <v>288</v>
          </cell>
          <cell r="G59">
            <v>0</v>
          </cell>
          <cell r="H59">
            <v>0.4</v>
          </cell>
          <cell r="I59">
            <v>40</v>
          </cell>
          <cell r="J59">
            <v>280</v>
          </cell>
          <cell r="K59">
            <v>-15</v>
          </cell>
          <cell r="L59">
            <v>50</v>
          </cell>
          <cell r="W59">
            <v>53</v>
          </cell>
          <cell r="X59">
            <v>40</v>
          </cell>
          <cell r="Y59">
            <v>7.132075471698113</v>
          </cell>
          <cell r="Z59">
            <v>5.4339622641509431</v>
          </cell>
          <cell r="AC59">
            <v>0</v>
          </cell>
          <cell r="AD59">
            <v>60.6</v>
          </cell>
          <cell r="AE59">
            <v>55.8</v>
          </cell>
          <cell r="AF59">
            <v>65.599999999999994</v>
          </cell>
          <cell r="AG59">
            <v>62</v>
          </cell>
          <cell r="AH59">
            <v>82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72</v>
          </cell>
          <cell r="D60">
            <v>517</v>
          </cell>
          <cell r="E60">
            <v>275</v>
          </cell>
          <cell r="F60">
            <v>291</v>
          </cell>
          <cell r="G60">
            <v>0</v>
          </cell>
          <cell r="H60">
            <v>0.4</v>
          </cell>
          <cell r="I60">
            <v>40</v>
          </cell>
          <cell r="J60">
            <v>301</v>
          </cell>
          <cell r="K60">
            <v>-26</v>
          </cell>
          <cell r="L60">
            <v>100</v>
          </cell>
          <cell r="W60">
            <v>55</v>
          </cell>
          <cell r="Y60">
            <v>7.1090909090909093</v>
          </cell>
          <cell r="Z60">
            <v>5.290909090909091</v>
          </cell>
          <cell r="AC60">
            <v>0</v>
          </cell>
          <cell r="AD60">
            <v>55.4</v>
          </cell>
          <cell r="AE60">
            <v>51.4</v>
          </cell>
          <cell r="AF60">
            <v>54.2</v>
          </cell>
          <cell r="AG60">
            <v>67.8</v>
          </cell>
          <cell r="AH60">
            <v>66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101.081</v>
          </cell>
          <cell r="D61">
            <v>1452.6780000000001</v>
          </cell>
          <cell r="E61">
            <v>868.26300000000003</v>
          </cell>
          <cell r="F61">
            <v>680.10500000000002</v>
          </cell>
          <cell r="G61">
            <v>0</v>
          </cell>
          <cell r="H61">
            <v>1</v>
          </cell>
          <cell r="I61">
            <v>50</v>
          </cell>
          <cell r="J61">
            <v>854.31299999999999</v>
          </cell>
          <cell r="K61">
            <v>13.950000000000045</v>
          </cell>
          <cell r="L61">
            <v>100</v>
          </cell>
          <cell r="V61">
            <v>200</v>
          </cell>
          <cell r="W61">
            <v>173.65260000000001</v>
          </cell>
          <cell r="X61">
            <v>220</v>
          </cell>
          <cell r="Y61">
            <v>6.9109532480365967</v>
          </cell>
          <cell r="Z61">
            <v>3.9164688579382054</v>
          </cell>
          <cell r="AC61">
            <v>0</v>
          </cell>
          <cell r="AD61">
            <v>150.10219999999998</v>
          </cell>
          <cell r="AE61">
            <v>152.75139999999999</v>
          </cell>
          <cell r="AF61">
            <v>191.50619999999998</v>
          </cell>
          <cell r="AG61">
            <v>170.3758</v>
          </cell>
          <cell r="AH61">
            <v>201.50899999999999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489</v>
          </cell>
          <cell r="D62">
            <v>1223</v>
          </cell>
          <cell r="E62">
            <v>677</v>
          </cell>
          <cell r="F62">
            <v>1016</v>
          </cell>
          <cell r="G62">
            <v>0</v>
          </cell>
          <cell r="H62">
            <v>0.1</v>
          </cell>
          <cell r="I62">
            <v>730</v>
          </cell>
          <cell r="J62">
            <v>695</v>
          </cell>
          <cell r="K62">
            <v>-18</v>
          </cell>
          <cell r="L62">
            <v>0</v>
          </cell>
          <cell r="W62">
            <v>135.4</v>
          </cell>
          <cell r="Y62">
            <v>7.5036927621861151</v>
          </cell>
          <cell r="Z62">
            <v>7.5036927621861151</v>
          </cell>
          <cell r="AC62">
            <v>0</v>
          </cell>
          <cell r="AD62">
            <v>104.8</v>
          </cell>
          <cell r="AE62">
            <v>107.2</v>
          </cell>
          <cell r="AF62">
            <v>123</v>
          </cell>
          <cell r="AG62">
            <v>162.6</v>
          </cell>
          <cell r="AH62">
            <v>127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321.452</v>
          </cell>
          <cell r="D63">
            <v>185.36600000000001</v>
          </cell>
          <cell r="E63">
            <v>289.34699999999998</v>
          </cell>
          <cell r="F63">
            <v>214.78800000000001</v>
          </cell>
          <cell r="G63">
            <v>0</v>
          </cell>
          <cell r="H63">
            <v>1</v>
          </cell>
          <cell r="I63">
            <v>50</v>
          </cell>
          <cell r="J63">
            <v>290.37</v>
          </cell>
          <cell r="K63">
            <v>-1.0230000000000246</v>
          </cell>
          <cell r="L63">
            <v>30</v>
          </cell>
          <cell r="V63">
            <v>80</v>
          </cell>
          <cell r="W63">
            <v>57.869399999999999</v>
          </cell>
          <cell r="X63">
            <v>70</v>
          </cell>
          <cell r="Y63">
            <v>6.8220510321517072</v>
          </cell>
          <cell r="Z63">
            <v>3.7115988760899548</v>
          </cell>
          <cell r="AC63">
            <v>0</v>
          </cell>
          <cell r="AD63">
            <v>192.26159999999999</v>
          </cell>
          <cell r="AE63">
            <v>163.58420000000001</v>
          </cell>
          <cell r="AF63">
            <v>52.838800000000006</v>
          </cell>
          <cell r="AG63">
            <v>52.894000000000005</v>
          </cell>
          <cell r="AH63">
            <v>57.625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711</v>
          </cell>
          <cell r="D64">
            <v>4961</v>
          </cell>
          <cell r="E64">
            <v>3587</v>
          </cell>
          <cell r="F64">
            <v>2064</v>
          </cell>
          <cell r="G64">
            <v>0</v>
          </cell>
          <cell r="H64">
            <v>0.4</v>
          </cell>
          <cell r="I64">
            <v>40</v>
          </cell>
          <cell r="J64">
            <v>3601</v>
          </cell>
          <cell r="K64">
            <v>-14</v>
          </cell>
          <cell r="L64">
            <v>600</v>
          </cell>
          <cell r="T64">
            <v>600</v>
          </cell>
          <cell r="V64">
            <v>650</v>
          </cell>
          <cell r="W64">
            <v>586.6</v>
          </cell>
          <cell r="X64">
            <v>700</v>
          </cell>
          <cell r="Y64">
            <v>6.8428230480736447</v>
          </cell>
          <cell r="Z64">
            <v>3.5185816570064778</v>
          </cell>
          <cell r="AC64">
            <v>654</v>
          </cell>
          <cell r="AD64">
            <v>556.4</v>
          </cell>
          <cell r="AE64">
            <v>516.6</v>
          </cell>
          <cell r="AF64">
            <v>648.79999999999995</v>
          </cell>
          <cell r="AG64">
            <v>577.20000000000005</v>
          </cell>
          <cell r="AH64">
            <v>695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701</v>
          </cell>
          <cell r="D65">
            <v>3471</v>
          </cell>
          <cell r="E65">
            <v>2386</v>
          </cell>
          <cell r="F65">
            <v>1768</v>
          </cell>
          <cell r="G65">
            <v>0</v>
          </cell>
          <cell r="H65">
            <v>0.4</v>
          </cell>
          <cell r="I65">
            <v>40</v>
          </cell>
          <cell r="J65">
            <v>2404</v>
          </cell>
          <cell r="K65">
            <v>-18</v>
          </cell>
          <cell r="L65">
            <v>500</v>
          </cell>
          <cell r="V65">
            <v>450</v>
          </cell>
          <cell r="W65">
            <v>477.2</v>
          </cell>
          <cell r="X65">
            <v>550</v>
          </cell>
          <cell r="Y65">
            <v>6.8482816429170157</v>
          </cell>
          <cell r="Z65">
            <v>3.7049455155071249</v>
          </cell>
          <cell r="AC65">
            <v>0</v>
          </cell>
          <cell r="AD65">
            <v>470.8</v>
          </cell>
          <cell r="AE65">
            <v>450.8</v>
          </cell>
          <cell r="AF65">
            <v>529.6</v>
          </cell>
          <cell r="AG65">
            <v>483.6</v>
          </cell>
          <cell r="AH65">
            <v>590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121.557</v>
          </cell>
          <cell r="D66">
            <v>848.34900000000005</v>
          </cell>
          <cell r="E66">
            <v>510.02499999999998</v>
          </cell>
          <cell r="F66">
            <v>449.96899999999999</v>
          </cell>
          <cell r="G66" t="str">
            <v>ябл</v>
          </cell>
          <cell r="H66">
            <v>1</v>
          </cell>
          <cell r="I66">
            <v>40</v>
          </cell>
          <cell r="J66">
            <v>484.65499999999997</v>
          </cell>
          <cell r="K66">
            <v>25.370000000000005</v>
          </cell>
          <cell r="L66">
            <v>100</v>
          </cell>
          <cell r="V66">
            <v>50</v>
          </cell>
          <cell r="W66">
            <v>102.005</v>
          </cell>
          <cell r="X66">
            <v>100</v>
          </cell>
          <cell r="Y66">
            <v>6.8621047987843742</v>
          </cell>
          <cell r="Z66">
            <v>4.4112445468359391</v>
          </cell>
          <cell r="AC66">
            <v>0</v>
          </cell>
          <cell r="AD66">
            <v>99.512199999999993</v>
          </cell>
          <cell r="AE66">
            <v>99.333399999999997</v>
          </cell>
          <cell r="AF66">
            <v>122.34939999999999</v>
          </cell>
          <cell r="AG66">
            <v>106.08540000000001</v>
          </cell>
          <cell r="AH66">
            <v>113.86499999999999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86.441000000000003</v>
          </cell>
          <cell r="D67">
            <v>335.87799999999999</v>
          </cell>
          <cell r="E67">
            <v>251.13399999999999</v>
          </cell>
          <cell r="F67">
            <v>164.845</v>
          </cell>
          <cell r="G67">
            <v>0</v>
          </cell>
          <cell r="H67">
            <v>1</v>
          </cell>
          <cell r="I67">
            <v>40</v>
          </cell>
          <cell r="J67">
            <v>244.732</v>
          </cell>
          <cell r="K67">
            <v>6.4019999999999868</v>
          </cell>
          <cell r="L67">
            <v>60</v>
          </cell>
          <cell r="V67">
            <v>60</v>
          </cell>
          <cell r="W67">
            <v>50.226799999999997</v>
          </cell>
          <cell r="X67">
            <v>60</v>
          </cell>
          <cell r="Y67">
            <v>6.865756926581029</v>
          </cell>
          <cell r="Z67">
            <v>3.2820127899846301</v>
          </cell>
          <cell r="AC67">
            <v>0</v>
          </cell>
          <cell r="AD67">
            <v>50.002600000000001</v>
          </cell>
          <cell r="AE67">
            <v>49.067999999999998</v>
          </cell>
          <cell r="AF67">
            <v>40.853200000000001</v>
          </cell>
          <cell r="AG67">
            <v>45.351199999999999</v>
          </cell>
          <cell r="AH67">
            <v>52.250999999999998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315.97300000000001</v>
          </cell>
          <cell r="D68">
            <v>3120.913</v>
          </cell>
          <cell r="E68">
            <v>2004.4010000000001</v>
          </cell>
          <cell r="F68">
            <v>1402.6130000000001</v>
          </cell>
          <cell r="G68" t="str">
            <v>ябл</v>
          </cell>
          <cell r="H68">
            <v>1</v>
          </cell>
          <cell r="I68">
            <v>40</v>
          </cell>
          <cell r="J68">
            <v>1920.04</v>
          </cell>
          <cell r="K68">
            <v>84.361000000000104</v>
          </cell>
          <cell r="L68">
            <v>550</v>
          </cell>
          <cell r="V68">
            <v>330</v>
          </cell>
          <cell r="W68">
            <v>400.8802</v>
          </cell>
          <cell r="X68">
            <v>480</v>
          </cell>
          <cell r="Y68">
            <v>6.8913680446178196</v>
          </cell>
          <cell r="Z68">
            <v>3.4988333172853139</v>
          </cell>
          <cell r="AC68">
            <v>0</v>
          </cell>
          <cell r="AD68">
            <v>391.85520000000002</v>
          </cell>
          <cell r="AE68">
            <v>375.33479999999997</v>
          </cell>
          <cell r="AF68">
            <v>377.1354</v>
          </cell>
          <cell r="AG68">
            <v>404.81299999999999</v>
          </cell>
          <cell r="AH68">
            <v>433.90499999999997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54.356999999999999</v>
          </cell>
          <cell r="D69">
            <v>478.14600000000002</v>
          </cell>
          <cell r="E69">
            <v>308.416</v>
          </cell>
          <cell r="F69">
            <v>215.92400000000001</v>
          </cell>
          <cell r="G69">
            <v>0</v>
          </cell>
          <cell r="H69">
            <v>1</v>
          </cell>
          <cell r="I69">
            <v>40</v>
          </cell>
          <cell r="J69">
            <v>296.601</v>
          </cell>
          <cell r="K69">
            <v>11.814999999999998</v>
          </cell>
          <cell r="L69">
            <v>70</v>
          </cell>
          <cell r="V69">
            <v>70</v>
          </cell>
          <cell r="W69">
            <v>61.683199999999999</v>
          </cell>
          <cell r="X69">
            <v>70</v>
          </cell>
          <cell r="Y69">
            <v>6.9050243826520026</v>
          </cell>
          <cell r="Z69">
            <v>3.5005317493255865</v>
          </cell>
          <cell r="AC69">
            <v>0</v>
          </cell>
          <cell r="AD69">
            <v>56.339800000000004</v>
          </cell>
          <cell r="AE69">
            <v>55.565999999999995</v>
          </cell>
          <cell r="AF69">
            <v>58.0124</v>
          </cell>
          <cell r="AG69">
            <v>57.260199999999998</v>
          </cell>
          <cell r="AH69">
            <v>61.911999999999999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51</v>
          </cell>
          <cell r="D70">
            <v>204</v>
          </cell>
          <cell r="E70">
            <v>106</v>
          </cell>
          <cell r="F70">
            <v>147</v>
          </cell>
          <cell r="G70" t="str">
            <v>дк</v>
          </cell>
          <cell r="H70">
            <v>0.6</v>
          </cell>
          <cell r="I70">
            <v>60</v>
          </cell>
          <cell r="J70">
            <v>108</v>
          </cell>
          <cell r="K70">
            <v>-2</v>
          </cell>
          <cell r="L70">
            <v>20</v>
          </cell>
          <cell r="W70">
            <v>21.2</v>
          </cell>
          <cell r="Y70">
            <v>7.8773584905660377</v>
          </cell>
          <cell r="Z70">
            <v>6.933962264150944</v>
          </cell>
          <cell r="AC70">
            <v>0</v>
          </cell>
          <cell r="AD70">
            <v>25.6</v>
          </cell>
          <cell r="AE70">
            <v>21.8</v>
          </cell>
          <cell r="AF70">
            <v>28.2</v>
          </cell>
          <cell r="AG70">
            <v>24.2</v>
          </cell>
          <cell r="AH70">
            <v>22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74</v>
          </cell>
          <cell r="D71">
            <v>569</v>
          </cell>
          <cell r="E71">
            <v>431</v>
          </cell>
          <cell r="F71">
            <v>211</v>
          </cell>
          <cell r="G71" t="str">
            <v>ябл</v>
          </cell>
          <cell r="H71">
            <v>0.6</v>
          </cell>
          <cell r="I71">
            <v>60</v>
          </cell>
          <cell r="J71">
            <v>410</v>
          </cell>
          <cell r="K71">
            <v>21</v>
          </cell>
          <cell r="L71">
            <v>30</v>
          </cell>
          <cell r="V71">
            <v>220</v>
          </cell>
          <cell r="W71">
            <v>86.2</v>
          </cell>
          <cell r="X71">
            <v>130</v>
          </cell>
          <cell r="Y71">
            <v>6.8561484918793498</v>
          </cell>
          <cell r="Z71">
            <v>2.447795823665893</v>
          </cell>
          <cell r="AC71">
            <v>0</v>
          </cell>
          <cell r="AD71">
            <v>79.599999999999994</v>
          </cell>
          <cell r="AE71">
            <v>75.599999999999994</v>
          </cell>
          <cell r="AF71">
            <v>74.599999999999994</v>
          </cell>
          <cell r="AG71">
            <v>66.400000000000006</v>
          </cell>
          <cell r="AH71">
            <v>113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114</v>
          </cell>
          <cell r="D72">
            <v>875</v>
          </cell>
          <cell r="E72">
            <v>546</v>
          </cell>
          <cell r="F72">
            <v>440</v>
          </cell>
          <cell r="G72" t="str">
            <v>ябл</v>
          </cell>
          <cell r="H72">
            <v>0.6</v>
          </cell>
          <cell r="I72">
            <v>60</v>
          </cell>
          <cell r="J72">
            <v>526</v>
          </cell>
          <cell r="K72">
            <v>20</v>
          </cell>
          <cell r="L72">
            <v>190</v>
          </cell>
          <cell r="W72">
            <v>109.2</v>
          </cell>
          <cell r="X72">
            <v>120</v>
          </cell>
          <cell r="Y72">
            <v>6.8681318681318677</v>
          </cell>
          <cell r="Z72">
            <v>4.0293040293040292</v>
          </cell>
          <cell r="AC72">
            <v>0</v>
          </cell>
          <cell r="AD72">
            <v>101.8</v>
          </cell>
          <cell r="AE72">
            <v>93</v>
          </cell>
          <cell r="AF72">
            <v>116.6</v>
          </cell>
          <cell r="AG72">
            <v>119.8</v>
          </cell>
          <cell r="AH72">
            <v>98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15.646000000000001</v>
          </cell>
          <cell r="D73">
            <v>249.459</v>
          </cell>
          <cell r="E73">
            <v>188.53299999999999</v>
          </cell>
          <cell r="F73">
            <v>68.585999999999999</v>
          </cell>
          <cell r="G73">
            <v>0</v>
          </cell>
          <cell r="H73">
            <v>1</v>
          </cell>
          <cell r="I73">
            <v>30</v>
          </cell>
          <cell r="J73">
            <v>190.851</v>
          </cell>
          <cell r="K73">
            <v>-2.3180000000000121</v>
          </cell>
          <cell r="L73">
            <v>30</v>
          </cell>
          <cell r="V73">
            <v>90</v>
          </cell>
          <cell r="W73">
            <v>37.706599999999995</v>
          </cell>
          <cell r="X73">
            <v>50</v>
          </cell>
          <cell r="Y73">
            <v>6.3274333936233988</v>
          </cell>
          <cell r="Z73">
            <v>1.8189388595100064</v>
          </cell>
          <cell r="AC73">
            <v>0</v>
          </cell>
          <cell r="AD73">
            <v>26.766000000000002</v>
          </cell>
          <cell r="AE73">
            <v>30.602399999999999</v>
          </cell>
          <cell r="AF73">
            <v>30.446800000000003</v>
          </cell>
          <cell r="AG73">
            <v>28.325400000000002</v>
          </cell>
          <cell r="AH73">
            <v>32.71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381</v>
          </cell>
          <cell r="D74">
            <v>821</v>
          </cell>
          <cell r="E74">
            <v>728</v>
          </cell>
          <cell r="F74">
            <v>465</v>
          </cell>
          <cell r="G74" t="str">
            <v>ябл,дк</v>
          </cell>
          <cell r="H74">
            <v>0.6</v>
          </cell>
          <cell r="I74">
            <v>60</v>
          </cell>
          <cell r="J74">
            <v>707</v>
          </cell>
          <cell r="K74">
            <v>21</v>
          </cell>
          <cell r="L74">
            <v>150</v>
          </cell>
          <cell r="V74">
            <v>220</v>
          </cell>
          <cell r="W74">
            <v>145.6</v>
          </cell>
          <cell r="X74">
            <v>170</v>
          </cell>
          <cell r="Y74">
            <v>6.9024725274725274</v>
          </cell>
          <cell r="Z74">
            <v>3.1936813186813189</v>
          </cell>
          <cell r="AC74">
            <v>0</v>
          </cell>
          <cell r="AD74">
            <v>110.8</v>
          </cell>
          <cell r="AE74">
            <v>115.4</v>
          </cell>
          <cell r="AF74">
            <v>146.6</v>
          </cell>
          <cell r="AG74">
            <v>135.4</v>
          </cell>
          <cell r="AH74">
            <v>206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549</v>
          </cell>
          <cell r="D75">
            <v>941</v>
          </cell>
          <cell r="E75">
            <v>1128</v>
          </cell>
          <cell r="F75">
            <v>354</v>
          </cell>
          <cell r="G75" t="str">
            <v>ябл,дк</v>
          </cell>
          <cell r="H75">
            <v>0.6</v>
          </cell>
          <cell r="I75">
            <v>60</v>
          </cell>
          <cell r="J75">
            <v>1089</v>
          </cell>
          <cell r="K75">
            <v>39</v>
          </cell>
          <cell r="L75">
            <v>400</v>
          </cell>
          <cell r="V75">
            <v>450</v>
          </cell>
          <cell r="W75">
            <v>225.6</v>
          </cell>
          <cell r="X75">
            <v>330</v>
          </cell>
          <cell r="Y75">
            <v>6.7996453900709222</v>
          </cell>
          <cell r="Z75">
            <v>1.5691489361702129</v>
          </cell>
          <cell r="AC75">
            <v>0</v>
          </cell>
          <cell r="AD75">
            <v>184.4</v>
          </cell>
          <cell r="AE75">
            <v>192.2</v>
          </cell>
          <cell r="AF75">
            <v>198</v>
          </cell>
          <cell r="AG75">
            <v>187.2</v>
          </cell>
          <cell r="AH75">
            <v>276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183</v>
          </cell>
          <cell r="D76">
            <v>1162</v>
          </cell>
          <cell r="E76">
            <v>633</v>
          </cell>
          <cell r="F76">
            <v>691</v>
          </cell>
          <cell r="G76">
            <v>0</v>
          </cell>
          <cell r="H76">
            <v>0.4</v>
          </cell>
          <cell r="I76" t="e">
            <v>#N/A</v>
          </cell>
          <cell r="J76">
            <v>653</v>
          </cell>
          <cell r="K76">
            <v>-20</v>
          </cell>
          <cell r="L76">
            <v>190</v>
          </cell>
          <cell r="W76">
            <v>126.6</v>
          </cell>
          <cell r="Y76">
            <v>6.9589257503949451</v>
          </cell>
          <cell r="Z76">
            <v>5.4581358609794632</v>
          </cell>
          <cell r="AC76">
            <v>0</v>
          </cell>
          <cell r="AD76">
            <v>142.6</v>
          </cell>
          <cell r="AE76">
            <v>127.6</v>
          </cell>
          <cell r="AF76">
            <v>146</v>
          </cell>
          <cell r="AG76">
            <v>152.19999999999999</v>
          </cell>
          <cell r="AH76">
            <v>130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338</v>
          </cell>
          <cell r="D77">
            <v>884</v>
          </cell>
          <cell r="E77">
            <v>735</v>
          </cell>
          <cell r="F77">
            <v>472</v>
          </cell>
          <cell r="G77">
            <v>0</v>
          </cell>
          <cell r="H77">
            <v>0.33</v>
          </cell>
          <cell r="I77">
            <v>60</v>
          </cell>
          <cell r="J77">
            <v>751</v>
          </cell>
          <cell r="K77">
            <v>-16</v>
          </cell>
          <cell r="L77">
            <v>270</v>
          </cell>
          <cell r="V77">
            <v>100</v>
          </cell>
          <cell r="W77">
            <v>147</v>
          </cell>
          <cell r="X77">
            <v>170</v>
          </cell>
          <cell r="Y77">
            <v>6.8843537414965983</v>
          </cell>
          <cell r="Z77">
            <v>3.2108843537414966</v>
          </cell>
          <cell r="AC77">
            <v>0</v>
          </cell>
          <cell r="AD77">
            <v>169.2</v>
          </cell>
          <cell r="AE77">
            <v>136.6</v>
          </cell>
          <cell r="AF77">
            <v>157.80000000000001</v>
          </cell>
          <cell r="AG77">
            <v>143.19999999999999</v>
          </cell>
          <cell r="AH77">
            <v>159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295</v>
          </cell>
          <cell r="D78">
            <v>667</v>
          </cell>
          <cell r="E78">
            <v>605</v>
          </cell>
          <cell r="F78">
            <v>341</v>
          </cell>
          <cell r="G78">
            <v>0</v>
          </cell>
          <cell r="H78">
            <v>0.35</v>
          </cell>
          <cell r="I78" t="e">
            <v>#N/A</v>
          </cell>
          <cell r="J78">
            <v>619</v>
          </cell>
          <cell r="K78">
            <v>-14</v>
          </cell>
          <cell r="L78">
            <v>120</v>
          </cell>
          <cell r="V78">
            <v>150</v>
          </cell>
          <cell r="W78">
            <v>121</v>
          </cell>
          <cell r="X78">
            <v>200</v>
          </cell>
          <cell r="Y78">
            <v>6.7024793388429753</v>
          </cell>
          <cell r="Z78">
            <v>2.8181818181818183</v>
          </cell>
          <cell r="AC78">
            <v>0</v>
          </cell>
          <cell r="AD78">
            <v>123</v>
          </cell>
          <cell r="AE78">
            <v>124.4</v>
          </cell>
          <cell r="AF78">
            <v>127</v>
          </cell>
          <cell r="AG78">
            <v>102</v>
          </cell>
          <cell r="AH78">
            <v>101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292</v>
          </cell>
          <cell r="D79">
            <v>323</v>
          </cell>
          <cell r="E79">
            <v>334</v>
          </cell>
          <cell r="F79">
            <v>278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335</v>
          </cell>
          <cell r="K79">
            <v>-1</v>
          </cell>
          <cell r="L79">
            <v>50</v>
          </cell>
          <cell r="V79">
            <v>60</v>
          </cell>
          <cell r="W79">
            <v>66.8</v>
          </cell>
          <cell r="X79">
            <v>80</v>
          </cell>
          <cell r="Y79">
            <v>7.0059880239520957</v>
          </cell>
          <cell r="Z79">
            <v>4.1616766467065869</v>
          </cell>
          <cell r="AC79">
            <v>0</v>
          </cell>
          <cell r="AD79">
            <v>83.6</v>
          </cell>
          <cell r="AE79">
            <v>85.8</v>
          </cell>
          <cell r="AF79">
            <v>84.2</v>
          </cell>
          <cell r="AG79">
            <v>45.6</v>
          </cell>
          <cell r="AH79">
            <v>55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2422</v>
          </cell>
          <cell r="D80">
            <v>4953</v>
          </cell>
          <cell r="E80">
            <v>4005</v>
          </cell>
          <cell r="F80">
            <v>3285</v>
          </cell>
          <cell r="G80">
            <v>0</v>
          </cell>
          <cell r="H80">
            <v>0.35</v>
          </cell>
          <cell r="I80">
            <v>40</v>
          </cell>
          <cell r="J80">
            <v>4067</v>
          </cell>
          <cell r="K80">
            <v>-62</v>
          </cell>
          <cell r="L80">
            <v>800</v>
          </cell>
          <cell r="V80">
            <v>500</v>
          </cell>
          <cell r="W80">
            <v>801</v>
          </cell>
          <cell r="X80">
            <v>1000</v>
          </cell>
          <cell r="Y80">
            <v>6.9725343320848943</v>
          </cell>
          <cell r="Z80">
            <v>4.1011235955056176</v>
          </cell>
          <cell r="AC80">
            <v>0</v>
          </cell>
          <cell r="AD80">
            <v>1083</v>
          </cell>
          <cell r="AE80">
            <v>1151.2</v>
          </cell>
          <cell r="AF80">
            <v>1078.5999999999999</v>
          </cell>
          <cell r="AG80">
            <v>822.6</v>
          </cell>
          <cell r="AH80">
            <v>967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4656</v>
          </cell>
          <cell r="D81">
            <v>20319</v>
          </cell>
          <cell r="E81">
            <v>17000</v>
          </cell>
          <cell r="F81">
            <v>7723</v>
          </cell>
          <cell r="G81">
            <v>0</v>
          </cell>
          <cell r="H81">
            <v>0.35</v>
          </cell>
          <cell r="I81">
            <v>45</v>
          </cell>
          <cell r="J81">
            <v>17190</v>
          </cell>
          <cell r="K81">
            <v>-190</v>
          </cell>
          <cell r="L81">
            <v>3800</v>
          </cell>
          <cell r="V81">
            <v>2500</v>
          </cell>
          <cell r="W81">
            <v>2500</v>
          </cell>
          <cell r="X81">
            <v>3100</v>
          </cell>
          <cell r="Y81">
            <v>6.8491999999999997</v>
          </cell>
          <cell r="Z81">
            <v>3.0891999999999999</v>
          </cell>
          <cell r="AC81">
            <v>4500</v>
          </cell>
          <cell r="AD81">
            <v>2083.4</v>
          </cell>
          <cell r="AE81">
            <v>2090</v>
          </cell>
          <cell r="AF81">
            <v>2393</v>
          </cell>
          <cell r="AG81">
            <v>2449</v>
          </cell>
          <cell r="AH81">
            <v>2847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230</v>
          </cell>
          <cell r="D82">
            <v>697</v>
          </cell>
          <cell r="E82">
            <v>519</v>
          </cell>
          <cell r="F82">
            <v>395</v>
          </cell>
          <cell r="G82">
            <v>0</v>
          </cell>
          <cell r="H82">
            <v>0.4</v>
          </cell>
          <cell r="I82" t="e">
            <v>#N/A</v>
          </cell>
          <cell r="J82">
            <v>531</v>
          </cell>
          <cell r="K82">
            <v>-12</v>
          </cell>
          <cell r="L82">
            <v>110</v>
          </cell>
          <cell r="V82">
            <v>90</v>
          </cell>
          <cell r="W82">
            <v>103.8</v>
          </cell>
          <cell r="X82">
            <v>120</v>
          </cell>
          <cell r="Y82">
            <v>6.8882466281310215</v>
          </cell>
          <cell r="Z82">
            <v>3.8053949903660889</v>
          </cell>
          <cell r="AC82">
            <v>0</v>
          </cell>
          <cell r="AD82">
            <v>95.8</v>
          </cell>
          <cell r="AE82">
            <v>99.6</v>
          </cell>
          <cell r="AF82">
            <v>121.4</v>
          </cell>
          <cell r="AG82">
            <v>100.6</v>
          </cell>
          <cell r="AH82">
            <v>83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156.93100000000001</v>
          </cell>
          <cell r="D83">
            <v>287.66000000000003</v>
          </cell>
          <cell r="E83">
            <v>172.71299999999999</v>
          </cell>
          <cell r="F83">
            <v>271.87799999999999</v>
          </cell>
          <cell r="G83" t="str">
            <v>н</v>
          </cell>
          <cell r="H83">
            <v>1</v>
          </cell>
          <cell r="I83" t="e">
            <v>#N/A</v>
          </cell>
          <cell r="J83">
            <v>165.512</v>
          </cell>
          <cell r="K83">
            <v>7.2009999999999934</v>
          </cell>
          <cell r="L83">
            <v>20</v>
          </cell>
          <cell r="W83">
            <v>34.5426</v>
          </cell>
          <cell r="Y83">
            <v>8.4497982201687183</v>
          </cell>
          <cell r="Z83">
            <v>7.8708030084591192</v>
          </cell>
          <cell r="AC83">
            <v>0</v>
          </cell>
          <cell r="AD83">
            <v>32.292400000000001</v>
          </cell>
          <cell r="AE83">
            <v>46.625799999999998</v>
          </cell>
          <cell r="AF83">
            <v>55.484400000000008</v>
          </cell>
          <cell r="AG83">
            <v>46.699799999999996</v>
          </cell>
          <cell r="AH83">
            <v>33.076999999999998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203</v>
          </cell>
          <cell r="D84">
            <v>325</v>
          </cell>
          <cell r="E84">
            <v>342</v>
          </cell>
          <cell r="F84">
            <v>182</v>
          </cell>
          <cell r="G84">
            <v>0</v>
          </cell>
          <cell r="H84">
            <v>0.4</v>
          </cell>
          <cell r="I84" t="e">
            <v>#N/A</v>
          </cell>
          <cell r="J84">
            <v>356</v>
          </cell>
          <cell r="K84">
            <v>-14</v>
          </cell>
          <cell r="L84">
            <v>180</v>
          </cell>
          <cell r="V84">
            <v>30</v>
          </cell>
          <cell r="W84">
            <v>68.400000000000006</v>
          </cell>
          <cell r="X84">
            <v>80</v>
          </cell>
          <cell r="Y84">
            <v>6.9005847953216373</v>
          </cell>
          <cell r="Z84">
            <v>2.6608187134502921</v>
          </cell>
          <cell r="AC84">
            <v>0</v>
          </cell>
          <cell r="AD84">
            <v>60.2</v>
          </cell>
          <cell r="AE84">
            <v>53</v>
          </cell>
          <cell r="AF84">
            <v>60.8</v>
          </cell>
          <cell r="AG84">
            <v>69.599999999999994</v>
          </cell>
          <cell r="AH84">
            <v>66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98.355999999999995</v>
          </cell>
          <cell r="D85">
            <v>27.433</v>
          </cell>
          <cell r="E85">
            <v>82.033000000000001</v>
          </cell>
          <cell r="F85">
            <v>43.756</v>
          </cell>
          <cell r="G85">
            <v>0</v>
          </cell>
          <cell r="H85">
            <v>1</v>
          </cell>
          <cell r="I85" t="e">
            <v>#N/A</v>
          </cell>
          <cell r="J85">
            <v>78.400000000000006</v>
          </cell>
          <cell r="K85">
            <v>3.6329999999999956</v>
          </cell>
          <cell r="L85">
            <v>30</v>
          </cell>
          <cell r="V85">
            <v>20</v>
          </cell>
          <cell r="W85">
            <v>16.406600000000001</v>
          </cell>
          <cell r="X85">
            <v>20</v>
          </cell>
          <cell r="Y85">
            <v>6.9335511318615675</v>
          </cell>
          <cell r="Z85">
            <v>2.6669754854753571</v>
          </cell>
          <cell r="AC85">
            <v>0</v>
          </cell>
          <cell r="AD85">
            <v>14.214599999999999</v>
          </cell>
          <cell r="AE85">
            <v>14.442400000000001</v>
          </cell>
          <cell r="AF85">
            <v>13.562200000000001</v>
          </cell>
          <cell r="AG85">
            <v>14.677000000000001</v>
          </cell>
          <cell r="AH85">
            <v>12.958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397</v>
          </cell>
          <cell r="D86">
            <v>838</v>
          </cell>
          <cell r="E86">
            <v>593</v>
          </cell>
          <cell r="F86">
            <v>622</v>
          </cell>
          <cell r="G86">
            <v>0</v>
          </cell>
          <cell r="H86">
            <v>0.2</v>
          </cell>
          <cell r="I86" t="e">
            <v>#N/A</v>
          </cell>
          <cell r="J86">
            <v>618</v>
          </cell>
          <cell r="K86">
            <v>-25</v>
          </cell>
          <cell r="L86">
            <v>100</v>
          </cell>
          <cell r="W86">
            <v>118.6</v>
          </cell>
          <cell r="X86">
            <v>100</v>
          </cell>
          <cell r="Y86">
            <v>6.9308600337268134</v>
          </cell>
          <cell r="Z86">
            <v>5.2445193929173692</v>
          </cell>
          <cell r="AC86">
            <v>0</v>
          </cell>
          <cell r="AD86">
            <v>124.4</v>
          </cell>
          <cell r="AE86">
            <v>112.8</v>
          </cell>
          <cell r="AF86">
            <v>137.4</v>
          </cell>
          <cell r="AG86">
            <v>129.80000000000001</v>
          </cell>
          <cell r="AH86">
            <v>139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96</v>
          </cell>
          <cell r="D87">
            <v>429</v>
          </cell>
          <cell r="E87">
            <v>333</v>
          </cell>
          <cell r="F87">
            <v>191</v>
          </cell>
          <cell r="G87">
            <v>0</v>
          </cell>
          <cell r="H87">
            <v>0.3</v>
          </cell>
          <cell r="I87" t="e">
            <v>#N/A</v>
          </cell>
          <cell r="J87">
            <v>347</v>
          </cell>
          <cell r="K87">
            <v>-14</v>
          </cell>
          <cell r="L87">
            <v>90</v>
          </cell>
          <cell r="V87">
            <v>100</v>
          </cell>
          <cell r="W87">
            <v>66.599999999999994</v>
          </cell>
          <cell r="X87">
            <v>80</v>
          </cell>
          <cell r="Y87">
            <v>6.9219219219219221</v>
          </cell>
          <cell r="Z87">
            <v>2.8678678678678682</v>
          </cell>
          <cell r="AC87">
            <v>0</v>
          </cell>
          <cell r="AD87">
            <v>48.2</v>
          </cell>
          <cell r="AE87">
            <v>49.6</v>
          </cell>
          <cell r="AF87">
            <v>65.400000000000006</v>
          </cell>
          <cell r="AG87">
            <v>64</v>
          </cell>
          <cell r="AH87">
            <v>72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304.52300000000002</v>
          </cell>
          <cell r="D88">
            <v>572.43200000000002</v>
          </cell>
          <cell r="E88">
            <v>517.66800000000001</v>
          </cell>
          <cell r="F88">
            <v>354.17700000000002</v>
          </cell>
          <cell r="G88">
            <v>0</v>
          </cell>
          <cell r="H88">
            <v>1</v>
          </cell>
          <cell r="I88" t="e">
            <v>#N/A</v>
          </cell>
          <cell r="J88">
            <v>515.64499999999998</v>
          </cell>
          <cell r="K88">
            <v>2.0230000000000246</v>
          </cell>
          <cell r="L88">
            <v>150</v>
          </cell>
          <cell r="V88">
            <v>100</v>
          </cell>
          <cell r="W88">
            <v>103.53360000000001</v>
          </cell>
          <cell r="X88">
            <v>120</v>
          </cell>
          <cell r="Y88">
            <v>6.9946085135646783</v>
          </cell>
          <cell r="Z88">
            <v>3.4208894503813254</v>
          </cell>
          <cell r="AC88">
            <v>0</v>
          </cell>
          <cell r="AD88">
            <v>98.308199999999999</v>
          </cell>
          <cell r="AE88">
            <v>78.1708</v>
          </cell>
          <cell r="AF88">
            <v>98.722000000000008</v>
          </cell>
          <cell r="AG88">
            <v>105.10060000000001</v>
          </cell>
          <cell r="AH88">
            <v>81.072000000000003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1659.2470000000001</v>
          </cell>
          <cell r="D89">
            <v>5696.7569999999996</v>
          </cell>
          <cell r="E89">
            <v>4073.2249999999999</v>
          </cell>
          <cell r="F89">
            <v>3245.1390000000001</v>
          </cell>
          <cell r="G89">
            <v>0</v>
          </cell>
          <cell r="H89">
            <v>1</v>
          </cell>
          <cell r="I89" t="e">
            <v>#N/A</v>
          </cell>
          <cell r="J89">
            <v>4118.7060000000001</v>
          </cell>
          <cell r="K89">
            <v>-45.481000000000222</v>
          </cell>
          <cell r="L89">
            <v>1000</v>
          </cell>
          <cell r="V89">
            <v>500</v>
          </cell>
          <cell r="W89">
            <v>814.64499999999998</v>
          </cell>
          <cell r="X89">
            <v>900</v>
          </cell>
          <cell r="Y89">
            <v>6.9295693216063441</v>
          </cell>
          <cell r="Z89">
            <v>3.9835007886870972</v>
          </cell>
          <cell r="AC89">
            <v>0</v>
          </cell>
          <cell r="AD89">
            <v>966.30100000000004</v>
          </cell>
          <cell r="AE89">
            <v>988.82339999999999</v>
          </cell>
          <cell r="AF89">
            <v>849.73719999999992</v>
          </cell>
          <cell r="AG89">
            <v>865.69299999999998</v>
          </cell>
          <cell r="AH89">
            <v>831.40899999999999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4676.9380000000001</v>
          </cell>
          <cell r="D90">
            <v>5505.3729999999996</v>
          </cell>
          <cell r="E90">
            <v>7163.9319999999998</v>
          </cell>
          <cell r="F90">
            <v>2955.3359999999998</v>
          </cell>
          <cell r="G90">
            <v>0</v>
          </cell>
          <cell r="H90">
            <v>1</v>
          </cell>
          <cell r="I90" t="e">
            <v>#N/A</v>
          </cell>
          <cell r="J90">
            <v>7239.9409999999998</v>
          </cell>
          <cell r="K90">
            <v>-76.009000000000015</v>
          </cell>
          <cell r="L90">
            <v>2500</v>
          </cell>
          <cell r="V90">
            <v>2300</v>
          </cell>
          <cell r="W90">
            <v>1415.08</v>
          </cell>
          <cell r="X90">
            <v>1800</v>
          </cell>
          <cell r="Y90">
            <v>6.7525058653927692</v>
          </cell>
          <cell r="Z90">
            <v>2.0884586030471777</v>
          </cell>
          <cell r="AC90">
            <v>88.531999999999996</v>
          </cell>
          <cell r="AD90">
            <v>1000.2540000000001</v>
          </cell>
          <cell r="AE90">
            <v>1028.5565999999999</v>
          </cell>
          <cell r="AF90">
            <v>1122.0304000000001</v>
          </cell>
          <cell r="AG90">
            <v>1250.9821999999999</v>
          </cell>
          <cell r="AH90">
            <v>1562.3889999999999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3204.2550000000001</v>
          </cell>
          <cell r="D91">
            <v>8054.5940000000001</v>
          </cell>
          <cell r="E91">
            <v>6240.7280000000001</v>
          </cell>
          <cell r="F91">
            <v>4920.8059999999996</v>
          </cell>
          <cell r="G91">
            <v>0</v>
          </cell>
          <cell r="H91">
            <v>1</v>
          </cell>
          <cell r="I91" t="e">
            <v>#N/A</v>
          </cell>
          <cell r="J91">
            <v>6359.7340000000004</v>
          </cell>
          <cell r="K91">
            <v>-119.00600000000031</v>
          </cell>
          <cell r="L91">
            <v>1400</v>
          </cell>
          <cell r="V91">
            <v>600</v>
          </cell>
          <cell r="W91">
            <v>1230.327</v>
          </cell>
          <cell r="X91">
            <v>1600</v>
          </cell>
          <cell r="Y91">
            <v>6.925643345224481</v>
          </cell>
          <cell r="Z91">
            <v>3.9995919783927358</v>
          </cell>
          <cell r="AC91">
            <v>89.093000000000004</v>
          </cell>
          <cell r="AD91">
            <v>1537.6201999999998</v>
          </cell>
          <cell r="AE91">
            <v>1549.0896</v>
          </cell>
          <cell r="AF91">
            <v>1357.0478000000001</v>
          </cell>
          <cell r="AG91">
            <v>1260.2991999999999</v>
          </cell>
          <cell r="AH91">
            <v>1251.67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72.792000000000002</v>
          </cell>
          <cell r="D92">
            <v>334.96499999999997</v>
          </cell>
          <cell r="E92">
            <v>188.12700000000001</v>
          </cell>
          <cell r="F92">
            <v>215.607</v>
          </cell>
          <cell r="G92">
            <v>0</v>
          </cell>
          <cell r="H92">
            <v>1</v>
          </cell>
          <cell r="I92" t="e">
            <v>#N/A</v>
          </cell>
          <cell r="J92">
            <v>193.3</v>
          </cell>
          <cell r="K92">
            <v>-5.1730000000000018</v>
          </cell>
          <cell r="L92">
            <v>0</v>
          </cell>
          <cell r="W92">
            <v>37.625399999999999</v>
          </cell>
          <cell r="X92">
            <v>50</v>
          </cell>
          <cell r="Y92">
            <v>7.0592472106608826</v>
          </cell>
          <cell r="Z92">
            <v>5.7303576839050221</v>
          </cell>
          <cell r="AC92">
            <v>0</v>
          </cell>
          <cell r="AD92">
            <v>39.794400000000003</v>
          </cell>
          <cell r="AE92">
            <v>41.135199999999998</v>
          </cell>
          <cell r="AF92">
            <v>41.445</v>
          </cell>
          <cell r="AG92">
            <v>36.643000000000001</v>
          </cell>
          <cell r="AH92">
            <v>43.046999999999997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78</v>
          </cell>
          <cell r="D93">
            <v>150</v>
          </cell>
          <cell r="E93">
            <v>133</v>
          </cell>
          <cell r="F93">
            <v>95</v>
          </cell>
          <cell r="G93">
            <v>0</v>
          </cell>
          <cell r="H93">
            <v>0.5</v>
          </cell>
          <cell r="I93" t="e">
            <v>#N/A</v>
          </cell>
          <cell r="J93">
            <v>135</v>
          </cell>
          <cell r="K93">
            <v>-2</v>
          </cell>
          <cell r="L93">
            <v>20</v>
          </cell>
          <cell r="V93">
            <v>40</v>
          </cell>
          <cell r="W93">
            <v>26.6</v>
          </cell>
          <cell r="X93">
            <v>30</v>
          </cell>
          <cell r="Y93">
            <v>6.954887218045112</v>
          </cell>
          <cell r="Z93">
            <v>3.5714285714285712</v>
          </cell>
          <cell r="AC93">
            <v>0</v>
          </cell>
          <cell r="AD93">
            <v>24.8</v>
          </cell>
          <cell r="AE93">
            <v>24.4</v>
          </cell>
          <cell r="AF93">
            <v>35.4</v>
          </cell>
          <cell r="AG93">
            <v>22.2</v>
          </cell>
          <cell r="AH93">
            <v>23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36.67</v>
          </cell>
          <cell r="E94">
            <v>29.58</v>
          </cell>
          <cell r="F94">
            <v>7.09</v>
          </cell>
          <cell r="G94">
            <v>0</v>
          </cell>
          <cell r="H94">
            <v>1</v>
          </cell>
          <cell r="I94" t="e">
            <v>#N/A</v>
          </cell>
          <cell r="J94">
            <v>29</v>
          </cell>
          <cell r="K94">
            <v>0.57999999999999829</v>
          </cell>
          <cell r="L94">
            <v>0</v>
          </cell>
          <cell r="V94">
            <v>30</v>
          </cell>
          <cell r="W94">
            <v>5.9159999999999995</v>
          </cell>
          <cell r="Y94">
            <v>6.2694388100067622</v>
          </cell>
          <cell r="Z94">
            <v>1.1984448951994591</v>
          </cell>
          <cell r="AC94">
            <v>0</v>
          </cell>
          <cell r="AD94">
            <v>2.6248</v>
          </cell>
          <cell r="AE94">
            <v>5.3487999999999998</v>
          </cell>
          <cell r="AF94">
            <v>2.4050000000000002</v>
          </cell>
          <cell r="AG94">
            <v>1.7504000000000002</v>
          </cell>
          <cell r="AH94">
            <v>4.5030000000000001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375</v>
          </cell>
          <cell r="D95">
            <v>3138</v>
          </cell>
          <cell r="E95">
            <v>2228</v>
          </cell>
          <cell r="F95">
            <v>1267</v>
          </cell>
          <cell r="G95">
            <v>0</v>
          </cell>
          <cell r="H95">
            <v>0.3</v>
          </cell>
          <cell r="I95" t="e">
            <v>#N/A</v>
          </cell>
          <cell r="J95">
            <v>2245</v>
          </cell>
          <cell r="K95">
            <v>-17</v>
          </cell>
          <cell r="L95">
            <v>300</v>
          </cell>
          <cell r="W95">
            <v>265.60000000000002</v>
          </cell>
          <cell r="X95">
            <v>280</v>
          </cell>
          <cell r="Y95">
            <v>6.9540662650602405</v>
          </cell>
          <cell r="Z95">
            <v>4.7703313253012043</v>
          </cell>
          <cell r="AC95">
            <v>900</v>
          </cell>
          <cell r="AD95">
            <v>254.8</v>
          </cell>
          <cell r="AE95">
            <v>241.4</v>
          </cell>
          <cell r="AF95">
            <v>336</v>
          </cell>
          <cell r="AG95">
            <v>291</v>
          </cell>
          <cell r="AH95">
            <v>313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201</v>
          </cell>
          <cell r="D96">
            <v>1175</v>
          </cell>
          <cell r="E96">
            <v>768</v>
          </cell>
          <cell r="F96">
            <v>598</v>
          </cell>
          <cell r="G96">
            <v>0</v>
          </cell>
          <cell r="H96">
            <v>0.3</v>
          </cell>
          <cell r="I96" t="e">
            <v>#N/A</v>
          </cell>
          <cell r="J96">
            <v>776</v>
          </cell>
          <cell r="K96">
            <v>-8</v>
          </cell>
          <cell r="L96">
            <v>100</v>
          </cell>
          <cell r="V96">
            <v>180</v>
          </cell>
          <cell r="W96">
            <v>153.6</v>
          </cell>
          <cell r="X96">
            <v>190</v>
          </cell>
          <cell r="Y96">
            <v>6.953125</v>
          </cell>
          <cell r="Z96">
            <v>3.893229166666667</v>
          </cell>
          <cell r="AC96">
            <v>0</v>
          </cell>
          <cell r="AD96">
            <v>139.80000000000001</v>
          </cell>
          <cell r="AE96">
            <v>128.4</v>
          </cell>
          <cell r="AF96">
            <v>177.4</v>
          </cell>
          <cell r="AG96">
            <v>145.4</v>
          </cell>
          <cell r="AH96">
            <v>179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337</v>
          </cell>
          <cell r="D97">
            <v>1834</v>
          </cell>
          <cell r="E97">
            <v>1343</v>
          </cell>
          <cell r="F97">
            <v>808</v>
          </cell>
          <cell r="G97">
            <v>0</v>
          </cell>
          <cell r="H97">
            <v>0.3</v>
          </cell>
          <cell r="I97" t="e">
            <v>#N/A</v>
          </cell>
          <cell r="J97">
            <v>1357</v>
          </cell>
          <cell r="K97">
            <v>-14</v>
          </cell>
          <cell r="L97">
            <v>200</v>
          </cell>
          <cell r="T97">
            <v>300</v>
          </cell>
          <cell r="V97">
            <v>190</v>
          </cell>
          <cell r="W97">
            <v>208.6</v>
          </cell>
          <cell r="X97">
            <v>250</v>
          </cell>
          <cell r="Y97">
            <v>6.9415148609779482</v>
          </cell>
          <cell r="Z97">
            <v>3.8734419942473637</v>
          </cell>
          <cell r="AC97">
            <v>300</v>
          </cell>
          <cell r="AD97">
            <v>225.8</v>
          </cell>
          <cell r="AE97">
            <v>185</v>
          </cell>
          <cell r="AF97">
            <v>223.6</v>
          </cell>
          <cell r="AG97">
            <v>205.6</v>
          </cell>
          <cell r="AH97">
            <v>245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312</v>
          </cell>
          <cell r="D98">
            <v>932</v>
          </cell>
          <cell r="E98">
            <v>766</v>
          </cell>
          <cell r="F98">
            <v>462</v>
          </cell>
          <cell r="G98">
            <v>0</v>
          </cell>
          <cell r="H98">
            <v>0.3</v>
          </cell>
          <cell r="I98" t="e">
            <v>#N/A</v>
          </cell>
          <cell r="J98">
            <v>773</v>
          </cell>
          <cell r="K98">
            <v>-7</v>
          </cell>
          <cell r="L98">
            <v>140</v>
          </cell>
          <cell r="V98">
            <v>250</v>
          </cell>
          <cell r="W98">
            <v>153.19999999999999</v>
          </cell>
          <cell r="X98">
            <v>220</v>
          </cell>
          <cell r="Y98">
            <v>6.9973890339425591</v>
          </cell>
          <cell r="Z98">
            <v>3.0156657963446478</v>
          </cell>
          <cell r="AC98">
            <v>0</v>
          </cell>
          <cell r="AD98">
            <v>146.6</v>
          </cell>
          <cell r="AE98">
            <v>137.4</v>
          </cell>
          <cell r="AF98">
            <v>156.19999999999999</v>
          </cell>
          <cell r="AG98">
            <v>135</v>
          </cell>
          <cell r="AH98">
            <v>186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18</v>
          </cell>
          <cell r="E99">
            <v>18</v>
          </cell>
          <cell r="G99">
            <v>0</v>
          </cell>
          <cell r="H99">
            <v>0.33</v>
          </cell>
          <cell r="I99" t="e">
            <v>#N/A</v>
          </cell>
          <cell r="J99">
            <v>18</v>
          </cell>
          <cell r="K99">
            <v>0</v>
          </cell>
          <cell r="L99">
            <v>0</v>
          </cell>
          <cell r="T99">
            <v>120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18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153</v>
          </cell>
          <cell r="D100">
            <v>239</v>
          </cell>
          <cell r="E100">
            <v>216</v>
          </cell>
          <cell r="F100">
            <v>168</v>
          </cell>
          <cell r="G100">
            <v>0</v>
          </cell>
          <cell r="H100">
            <v>0.12</v>
          </cell>
          <cell r="I100">
            <v>45</v>
          </cell>
          <cell r="J100">
            <v>225</v>
          </cell>
          <cell r="K100">
            <v>-9</v>
          </cell>
          <cell r="L100">
            <v>70</v>
          </cell>
          <cell r="V100">
            <v>50</v>
          </cell>
          <cell r="W100">
            <v>43.2</v>
          </cell>
          <cell r="X100">
            <v>50</v>
          </cell>
          <cell r="Y100">
            <v>7.8240740740740735</v>
          </cell>
          <cell r="Z100">
            <v>3.8888888888888888</v>
          </cell>
          <cell r="AC100">
            <v>0</v>
          </cell>
          <cell r="AD100">
            <v>50</v>
          </cell>
          <cell r="AE100">
            <v>33</v>
          </cell>
          <cell r="AF100">
            <v>52.4</v>
          </cell>
          <cell r="AG100">
            <v>42.6</v>
          </cell>
          <cell r="AH100">
            <v>64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588</v>
          </cell>
          <cell r="D101">
            <v>446</v>
          </cell>
          <cell r="E101">
            <v>483</v>
          </cell>
          <cell r="F101">
            <v>539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495</v>
          </cell>
          <cell r="K101">
            <v>-12</v>
          </cell>
          <cell r="L101">
            <v>0</v>
          </cell>
          <cell r="V101">
            <v>50</v>
          </cell>
          <cell r="W101">
            <v>96.6</v>
          </cell>
          <cell r="X101">
            <v>150</v>
          </cell>
          <cell r="Y101">
            <v>7.6501035196687379</v>
          </cell>
          <cell r="Z101">
            <v>5.5797101449275361</v>
          </cell>
          <cell r="AC101">
            <v>0</v>
          </cell>
          <cell r="AD101">
            <v>129.4</v>
          </cell>
          <cell r="AE101">
            <v>133.4</v>
          </cell>
          <cell r="AF101">
            <v>102.8</v>
          </cell>
          <cell r="AG101">
            <v>85.4</v>
          </cell>
          <cell r="AH101">
            <v>128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67</v>
          </cell>
          <cell r="D102">
            <v>278</v>
          </cell>
          <cell r="E102">
            <v>255</v>
          </cell>
          <cell r="F102">
            <v>87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281</v>
          </cell>
          <cell r="K102">
            <v>-26</v>
          </cell>
          <cell r="L102">
            <v>70</v>
          </cell>
          <cell r="V102">
            <v>150</v>
          </cell>
          <cell r="W102">
            <v>51</v>
          </cell>
          <cell r="X102">
            <v>80</v>
          </cell>
          <cell r="Y102">
            <v>7.5882352941176467</v>
          </cell>
          <cell r="Z102">
            <v>1.7058823529411764</v>
          </cell>
          <cell r="AC102">
            <v>0</v>
          </cell>
          <cell r="AD102">
            <v>52.6</v>
          </cell>
          <cell r="AE102">
            <v>48.2</v>
          </cell>
          <cell r="AF102">
            <v>59.8</v>
          </cell>
          <cell r="AG102">
            <v>52</v>
          </cell>
          <cell r="AH102">
            <v>83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480</v>
          </cell>
          <cell r="D103">
            <v>604</v>
          </cell>
          <cell r="E103">
            <v>516</v>
          </cell>
          <cell r="F103">
            <v>562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523</v>
          </cell>
          <cell r="K103">
            <v>-7</v>
          </cell>
          <cell r="L103">
            <v>0</v>
          </cell>
          <cell r="V103">
            <v>100</v>
          </cell>
          <cell r="W103">
            <v>103.2</v>
          </cell>
          <cell r="X103">
            <v>150</v>
          </cell>
          <cell r="Y103">
            <v>7.8682170542635657</v>
          </cell>
          <cell r="Z103">
            <v>5.445736434108527</v>
          </cell>
          <cell r="AC103">
            <v>0</v>
          </cell>
          <cell r="AD103">
            <v>104.4</v>
          </cell>
          <cell r="AE103">
            <v>102.6</v>
          </cell>
          <cell r="AF103">
            <v>120.2</v>
          </cell>
          <cell r="AG103">
            <v>88.6</v>
          </cell>
          <cell r="AH103">
            <v>137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617</v>
          </cell>
          <cell r="D104">
            <v>777</v>
          </cell>
          <cell r="E104">
            <v>681</v>
          </cell>
          <cell r="F104">
            <v>698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697</v>
          </cell>
          <cell r="K104">
            <v>-16</v>
          </cell>
          <cell r="L104">
            <v>80</v>
          </cell>
          <cell r="V104">
            <v>100</v>
          </cell>
          <cell r="W104">
            <v>136.19999999999999</v>
          </cell>
          <cell r="X104">
            <v>150</v>
          </cell>
          <cell r="Y104">
            <v>7.5477239353891346</v>
          </cell>
          <cell r="Z104">
            <v>5.1248164464023498</v>
          </cell>
          <cell r="AC104">
            <v>0</v>
          </cell>
          <cell r="AD104">
            <v>137.6</v>
          </cell>
          <cell r="AE104">
            <v>135</v>
          </cell>
          <cell r="AF104">
            <v>158.19999999999999</v>
          </cell>
          <cell r="AG104">
            <v>122.2</v>
          </cell>
          <cell r="AH104">
            <v>185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211</v>
          </cell>
          <cell r="D105">
            <v>503</v>
          </cell>
          <cell r="E105">
            <v>343</v>
          </cell>
          <cell r="F105">
            <v>364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351</v>
          </cell>
          <cell r="K105">
            <v>-8</v>
          </cell>
          <cell r="L105">
            <v>0</v>
          </cell>
          <cell r="V105">
            <v>50</v>
          </cell>
          <cell r="W105">
            <v>68.599999999999994</v>
          </cell>
          <cell r="X105">
            <v>100</v>
          </cell>
          <cell r="Y105">
            <v>7.4927113702623913</v>
          </cell>
          <cell r="Z105">
            <v>5.3061224489795924</v>
          </cell>
          <cell r="AC105">
            <v>0</v>
          </cell>
          <cell r="AD105">
            <v>58.4</v>
          </cell>
          <cell r="AE105">
            <v>48.4</v>
          </cell>
          <cell r="AF105">
            <v>77.599999999999994</v>
          </cell>
          <cell r="AG105">
            <v>58.6</v>
          </cell>
          <cell r="AH105">
            <v>94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286</v>
          </cell>
          <cell r="D106">
            <v>155</v>
          </cell>
          <cell r="E106">
            <v>262</v>
          </cell>
          <cell r="F106">
            <v>172</v>
          </cell>
          <cell r="G106">
            <v>0</v>
          </cell>
          <cell r="H106">
            <v>5.5E-2</v>
          </cell>
          <cell r="I106" t="e">
            <v>#N/A</v>
          </cell>
          <cell r="J106">
            <v>270</v>
          </cell>
          <cell r="K106">
            <v>-8</v>
          </cell>
          <cell r="L106">
            <v>100</v>
          </cell>
          <cell r="V106">
            <v>50</v>
          </cell>
          <cell r="W106">
            <v>52.4</v>
          </cell>
          <cell r="X106">
            <v>100</v>
          </cell>
          <cell r="Y106">
            <v>8.0534351145038165</v>
          </cell>
          <cell r="Z106">
            <v>3.282442748091603</v>
          </cell>
          <cell r="AC106">
            <v>0</v>
          </cell>
          <cell r="AD106">
            <v>39</v>
          </cell>
          <cell r="AE106">
            <v>29.2</v>
          </cell>
          <cell r="AF106">
            <v>46.4</v>
          </cell>
          <cell r="AG106">
            <v>43.2</v>
          </cell>
          <cell r="AH106">
            <v>81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65</v>
          </cell>
          <cell r="E107">
            <v>6</v>
          </cell>
          <cell r="F107">
            <v>59</v>
          </cell>
          <cell r="G107" t="str">
            <v>нов0</v>
          </cell>
          <cell r="H107">
            <v>0.3</v>
          </cell>
          <cell r="I107" t="e">
            <v>#N/A</v>
          </cell>
          <cell r="J107">
            <v>6</v>
          </cell>
          <cell r="K107">
            <v>0</v>
          </cell>
          <cell r="L107">
            <v>0</v>
          </cell>
          <cell r="W107">
            <v>1.2</v>
          </cell>
          <cell r="Y107">
            <v>49.166666666666671</v>
          </cell>
          <cell r="Z107">
            <v>49.166666666666671</v>
          </cell>
          <cell r="AC107">
            <v>0</v>
          </cell>
          <cell r="AD107">
            <v>7.8</v>
          </cell>
          <cell r="AE107">
            <v>8.6</v>
          </cell>
          <cell r="AF107">
            <v>0</v>
          </cell>
          <cell r="AG107">
            <v>3.4</v>
          </cell>
          <cell r="AH107">
            <v>1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187</v>
          </cell>
          <cell r="D108">
            <v>84</v>
          </cell>
          <cell r="E108">
            <v>91</v>
          </cell>
          <cell r="F108">
            <v>180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92</v>
          </cell>
          <cell r="K108">
            <v>-1</v>
          </cell>
          <cell r="L108">
            <v>0</v>
          </cell>
          <cell r="W108">
            <v>18.2</v>
          </cell>
          <cell r="Y108">
            <v>9.8901098901098905</v>
          </cell>
          <cell r="Z108">
            <v>9.8901098901098905</v>
          </cell>
          <cell r="AC108">
            <v>0</v>
          </cell>
          <cell r="AD108">
            <v>0</v>
          </cell>
          <cell r="AE108">
            <v>0</v>
          </cell>
          <cell r="AF108">
            <v>32.6</v>
          </cell>
          <cell r="AG108">
            <v>16.8</v>
          </cell>
          <cell r="AH108">
            <v>14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153.404</v>
          </cell>
          <cell r="D109">
            <v>3346.4009999999998</v>
          </cell>
          <cell r="E109">
            <v>971.53300000000002</v>
          </cell>
          <cell r="F109">
            <v>2525.7550000000001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983.03700000000003</v>
          </cell>
          <cell r="K109">
            <v>-11.504000000000019</v>
          </cell>
          <cell r="L109">
            <v>300</v>
          </cell>
          <cell r="V109">
            <v>200</v>
          </cell>
          <cell r="W109">
            <v>194.3066</v>
          </cell>
          <cell r="X109">
            <v>200</v>
          </cell>
          <cell r="Y109">
            <v>16.601366088439612</v>
          </cell>
          <cell r="Z109">
            <v>12.998812186513479</v>
          </cell>
          <cell r="AC109">
            <v>0</v>
          </cell>
          <cell r="AD109">
            <v>431.96559999999999</v>
          </cell>
          <cell r="AE109">
            <v>463.44719999999995</v>
          </cell>
          <cell r="AF109">
            <v>417.33920000000001</v>
          </cell>
          <cell r="AG109">
            <v>347</v>
          </cell>
          <cell r="AH109">
            <v>358.71199999999999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14.11.2025 - 20.11.2025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2.6429999999999998</v>
          </cell>
          <cell r="F7">
            <v>479.89299999999997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7.85</v>
          </cell>
          <cell r="F8">
            <v>1387.2170000000001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20.9</v>
          </cell>
          <cell r="F9">
            <v>1681.0550000000001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159</v>
          </cell>
          <cell r="F10">
            <v>2305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1519</v>
          </cell>
          <cell r="F11">
            <v>4990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716</v>
          </cell>
          <cell r="F12">
            <v>4158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304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403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</v>
          </cell>
          <cell r="F16">
            <v>1374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440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604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6.4</v>
          </cell>
          <cell r="F21">
            <v>605.50300000000004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187.5</v>
          </cell>
          <cell r="F22">
            <v>5617.3069999999998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319.41199999999998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55.8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2.4</v>
          </cell>
          <cell r="F25">
            <v>678.94899999999996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162.93100000000001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0.8</v>
          </cell>
          <cell r="F27">
            <v>385.26400000000001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356.22699999999998</v>
          </cell>
        </row>
        <row r="29">
          <cell r="A29" t="str">
            <v xml:space="preserve"> 247  Сардельки Нежные, ВЕС.  ПОКОМ</v>
          </cell>
          <cell r="F29">
            <v>92.013000000000005</v>
          </cell>
        </row>
        <row r="30">
          <cell r="A30" t="str">
            <v xml:space="preserve"> 248  Сардельки Сочные ТМ Особый рецепт,   ПОКОМ</v>
          </cell>
          <cell r="F30">
            <v>143.00200000000001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23.6</v>
          </cell>
          <cell r="F31">
            <v>1805.587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121.65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84.25</v>
          </cell>
        </row>
        <row r="34">
          <cell r="A34" t="str">
            <v xml:space="preserve"> 263  Шпикачки Стародворские, ВЕС.  ПОКОМ</v>
          </cell>
          <cell r="D34">
            <v>3.95</v>
          </cell>
          <cell r="F34">
            <v>1095.6559999999999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7.7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3.3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5.81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977</v>
          </cell>
          <cell r="F38">
            <v>2823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662</v>
          </cell>
          <cell r="F39">
            <v>3939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4014</v>
          </cell>
          <cell r="F40">
            <v>9484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519.803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</v>
          </cell>
          <cell r="F43">
            <v>908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3</v>
          </cell>
          <cell r="F44">
            <v>1014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252.32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2</v>
          </cell>
          <cell r="F46">
            <v>801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4</v>
          </cell>
          <cell r="F47">
            <v>1689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172.45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597.81100000000004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4</v>
          </cell>
          <cell r="F51">
            <v>1386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5</v>
          </cell>
          <cell r="F52">
            <v>2223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4</v>
          </cell>
          <cell r="F53">
            <v>1192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21.2</v>
          </cell>
          <cell r="F54">
            <v>922.67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2.6</v>
          </cell>
          <cell r="F55">
            <v>663.95699999999999</v>
          </cell>
        </row>
        <row r="56">
          <cell r="A56" t="str">
            <v xml:space="preserve"> 316  Колбаса Нежная ТМ Зареченские ВЕС  ПОКОМ</v>
          </cell>
          <cell r="F56">
            <v>28</v>
          </cell>
        </row>
        <row r="57">
          <cell r="A57" t="str">
            <v xml:space="preserve"> 318  Сосиски Датские ТМ Зареченские, ВЕС  ПОКОМ</v>
          </cell>
          <cell r="D57">
            <v>22</v>
          </cell>
          <cell r="F57">
            <v>4587.7719999999999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609</v>
          </cell>
          <cell r="F58">
            <v>3115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1530</v>
          </cell>
          <cell r="F59">
            <v>5824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7</v>
          </cell>
          <cell r="F60">
            <v>1363</v>
          </cell>
        </row>
        <row r="61">
          <cell r="A61" t="str">
            <v xml:space="preserve"> 328  Сардельки Сочинки Стародворье ТМ  0,4 кг ПОКОМ</v>
          </cell>
          <cell r="D61">
            <v>3</v>
          </cell>
          <cell r="F61">
            <v>306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5</v>
          </cell>
          <cell r="F62">
            <v>312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24.960999999999999</v>
          </cell>
          <cell r="F63">
            <v>908.66899999999998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3</v>
          </cell>
          <cell r="F64">
            <v>604</v>
          </cell>
        </row>
        <row r="65">
          <cell r="A65" t="str">
            <v xml:space="preserve"> 335  Колбаса Сливушка ТМ Вязанка. ВЕС.  ПОКОМ </v>
          </cell>
          <cell r="D65">
            <v>1.3</v>
          </cell>
          <cell r="F65">
            <v>280.52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659</v>
          </cell>
          <cell r="F66">
            <v>3582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7</v>
          </cell>
          <cell r="F67">
            <v>2385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F68">
            <v>492.79399999999998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F69">
            <v>249.28200000000001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4.3</v>
          </cell>
          <cell r="F70">
            <v>1932.6949999999999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295.48899999999998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111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</v>
          </cell>
          <cell r="F73">
            <v>420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524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178.90100000000001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</v>
          </cell>
          <cell r="F76">
            <v>705</v>
          </cell>
        </row>
        <row r="77">
          <cell r="A77" t="str">
            <v xml:space="preserve"> 377  Колбаса Молочная Дугушка 0,6кг ТМ Стародворье  ПОКОМ</v>
          </cell>
          <cell r="F77">
            <v>1090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13</v>
          </cell>
          <cell r="F78">
            <v>655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2</v>
          </cell>
          <cell r="F79">
            <v>772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9</v>
          </cell>
          <cell r="F80">
            <v>631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356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13</v>
          </cell>
          <cell r="F82">
            <v>4155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4521</v>
          </cell>
          <cell r="F83">
            <v>17334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2</v>
          </cell>
          <cell r="F84">
            <v>533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165.02099999999999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F86">
            <v>341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75.5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2</v>
          </cell>
          <cell r="F88">
            <v>584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349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6.4</v>
          </cell>
          <cell r="F90">
            <v>512.55999999999995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37.5</v>
          </cell>
          <cell r="F91">
            <v>4206.0649999999996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155</v>
          </cell>
          <cell r="F92">
            <v>7121.1530000000002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122.5</v>
          </cell>
          <cell r="F93">
            <v>6297.9430000000002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204.804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141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32.9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903</v>
          </cell>
          <cell r="F97">
            <v>2266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827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300</v>
          </cell>
          <cell r="F99">
            <v>1404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</v>
          </cell>
          <cell r="F100">
            <v>819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254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1</v>
          </cell>
          <cell r="F103">
            <v>501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1</v>
          </cell>
          <cell r="F104">
            <v>293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2</v>
          </cell>
          <cell r="F105">
            <v>508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3</v>
          </cell>
          <cell r="F106">
            <v>695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369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278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103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1258.04</v>
          </cell>
        </row>
        <row r="112">
          <cell r="A112" t="str">
            <v>0447 Сыр Голландский 45% Нарезка 125г ТМ Папа может ОСТАНКИНО</v>
          </cell>
          <cell r="D112">
            <v>31</v>
          </cell>
          <cell r="F112">
            <v>31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55</v>
          </cell>
          <cell r="F113">
            <v>55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90</v>
          </cell>
          <cell r="F114">
            <v>90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102</v>
          </cell>
          <cell r="F115">
            <v>102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736</v>
          </cell>
          <cell r="F117">
            <v>736</v>
          </cell>
        </row>
        <row r="118">
          <cell r="A118" t="str">
            <v>3684 ПРЕСИЖН с/к в/у 1/250 8шт.   ОСТАНКИНО</v>
          </cell>
          <cell r="D118">
            <v>66</v>
          </cell>
          <cell r="F118">
            <v>66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39.700000000000003</v>
          </cell>
          <cell r="F119">
            <v>39.700000000000003</v>
          </cell>
        </row>
        <row r="120">
          <cell r="A120" t="str">
            <v>3986 Ароматная с/к в/у 1/250 ОСТАНКИНО</v>
          </cell>
          <cell r="D120">
            <v>609</v>
          </cell>
          <cell r="F120">
            <v>609</v>
          </cell>
        </row>
        <row r="121">
          <cell r="A121" t="str">
            <v>4063 МЯСНАЯ Папа может вар п/о_Л   ОСТАНКИНО</v>
          </cell>
          <cell r="D121">
            <v>1350.29</v>
          </cell>
          <cell r="F121">
            <v>1350.29</v>
          </cell>
        </row>
        <row r="122">
          <cell r="A122" t="str">
            <v>4117 ЭКСТРА Папа может с/к в/у_Л   ОСТАНКИНО</v>
          </cell>
          <cell r="D122">
            <v>41.6</v>
          </cell>
          <cell r="F122">
            <v>41.6</v>
          </cell>
        </row>
        <row r="123">
          <cell r="A123" t="str">
            <v>4163 Сыр Боккончини копченый 40% 100 гр.  ОСТАНКИНО</v>
          </cell>
          <cell r="D123">
            <v>110</v>
          </cell>
          <cell r="F123">
            <v>110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Чечил свежий 45% 100г/6шт ТМ Папа Может  ОСТАНКИНО</v>
          </cell>
          <cell r="D125">
            <v>267</v>
          </cell>
          <cell r="F125">
            <v>267</v>
          </cell>
        </row>
        <row r="126">
          <cell r="A126" t="str">
            <v>4194 Сыр рассольный жирный Чечил копченый 45% 100 гр  ОСТАНКИНО</v>
          </cell>
          <cell r="D126">
            <v>1</v>
          </cell>
          <cell r="F126">
            <v>1</v>
          </cell>
        </row>
        <row r="127">
          <cell r="A127" t="str">
            <v>4194 Сыр Чечил копченый 43% 100г/6шт ТМ Папа Может  ОСТАНКИНО</v>
          </cell>
          <cell r="D127">
            <v>189</v>
          </cell>
          <cell r="F127">
            <v>189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103.7</v>
          </cell>
          <cell r="F128">
            <v>103.7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458.4</v>
          </cell>
          <cell r="F130">
            <v>458.4</v>
          </cell>
        </row>
        <row r="131">
          <cell r="A131" t="str">
            <v>4819 Сыр "Пармезан" 40% кусок 180 гр  ОСТАНКИНО</v>
          </cell>
          <cell r="D131">
            <v>172</v>
          </cell>
          <cell r="F131">
            <v>172</v>
          </cell>
        </row>
        <row r="132">
          <cell r="A132" t="str">
            <v>4903 Сыр Перлини 40% 100гр (8шт)  ОСТАНКИНО</v>
          </cell>
          <cell r="D132">
            <v>104</v>
          </cell>
          <cell r="F132">
            <v>104</v>
          </cell>
        </row>
        <row r="133">
          <cell r="A133" t="str">
            <v>4910 Сыр Перлини копченый 40% 100гр (8шт)  ОСТАНКИНО</v>
          </cell>
          <cell r="D133">
            <v>57</v>
          </cell>
          <cell r="F133">
            <v>57</v>
          </cell>
        </row>
        <row r="134">
          <cell r="A134" t="str">
            <v>4927 Сыр Перлини со вкусом Васаби 40% 100гр (8шт)  ОСТАНКИНО</v>
          </cell>
          <cell r="D134">
            <v>52</v>
          </cell>
          <cell r="F134">
            <v>52</v>
          </cell>
        </row>
        <row r="135">
          <cell r="A135" t="str">
            <v>4993 САЛЯМИ ИТАЛЬЯНСКАЯ с/к в/у 1/250*8_120c ОСТАНКИНО</v>
          </cell>
          <cell r="D135">
            <v>357</v>
          </cell>
          <cell r="F135">
            <v>357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99.2</v>
          </cell>
          <cell r="F136">
            <v>99.2</v>
          </cell>
        </row>
        <row r="137">
          <cell r="A137" t="str">
            <v>5235 Сыр полутвердый "Голландский" 45%, брус ВЕС  ОСТАНКИНО</v>
          </cell>
          <cell r="D137">
            <v>44.9</v>
          </cell>
          <cell r="F137">
            <v>44.9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48.6</v>
          </cell>
          <cell r="F138">
            <v>48.6</v>
          </cell>
        </row>
        <row r="139">
          <cell r="A139" t="str">
            <v>5246 ДОКТОРСКАЯ ПРЕМИУМ вар б/о мгс_30с ОСТАНКИНО</v>
          </cell>
          <cell r="D139">
            <v>80.400000000000006</v>
          </cell>
          <cell r="F139">
            <v>80.400000000000006</v>
          </cell>
        </row>
        <row r="140">
          <cell r="A140" t="str">
            <v>5247 РУССКАЯ ПРЕМИУМ вар б/о мгс_30с ОСТАНКИНО</v>
          </cell>
          <cell r="D140">
            <v>34.200000000000003</v>
          </cell>
          <cell r="F140">
            <v>34.200000000000003</v>
          </cell>
        </row>
        <row r="141">
          <cell r="A141" t="str">
            <v>5483 ЭКСТРА Папа может с/к в/у 1/250 8шт.   ОСТАНКИНО</v>
          </cell>
          <cell r="D141">
            <v>769</v>
          </cell>
          <cell r="F141">
            <v>769</v>
          </cell>
        </row>
        <row r="142">
          <cell r="A142" t="str">
            <v>5544 Сервелат Финский в/к в/у_45с НОВАЯ ОСТАНКИНО</v>
          </cell>
          <cell r="D142">
            <v>884.9</v>
          </cell>
          <cell r="F142">
            <v>884.9</v>
          </cell>
        </row>
        <row r="143">
          <cell r="A143" t="str">
            <v>5679 САЛЯМИ ИТАЛЬЯНСКАЯ с/к в/у 1/150_60с ОСТАНКИНО</v>
          </cell>
          <cell r="D143">
            <v>289</v>
          </cell>
          <cell r="F143">
            <v>289</v>
          </cell>
        </row>
        <row r="144">
          <cell r="A144" t="str">
            <v>5682 САЛЯМИ МЕЛКОЗЕРНЕНАЯ с/к в/у 1/120_60с   ОСТАНКИНО</v>
          </cell>
          <cell r="D144">
            <v>1809</v>
          </cell>
          <cell r="F144">
            <v>1809</v>
          </cell>
        </row>
        <row r="145">
          <cell r="A145" t="str">
            <v>5708 ПОСОЛЬСКАЯ Папа может с/к в/у ОСТАНКИНО</v>
          </cell>
          <cell r="D145">
            <v>35</v>
          </cell>
          <cell r="F145">
            <v>35</v>
          </cell>
        </row>
        <row r="146">
          <cell r="A146" t="str">
            <v>5851 ЭКСТРА Папа может вар п/о   ОСТАНКИНО</v>
          </cell>
          <cell r="D146">
            <v>230.3</v>
          </cell>
          <cell r="F146">
            <v>230.3</v>
          </cell>
        </row>
        <row r="147">
          <cell r="A147" t="str">
            <v>5931 ОХОТНИЧЬЯ Папа может с/к в/у 1/220 8шт.   ОСТАНКИНО</v>
          </cell>
          <cell r="D147">
            <v>1134</v>
          </cell>
          <cell r="F147">
            <v>1134</v>
          </cell>
        </row>
        <row r="148">
          <cell r="A148" t="str">
            <v>6004 РАГУ СВИНОЕ 1кг 8шт.зам_120с ОСТАНКИНО</v>
          </cell>
          <cell r="D148">
            <v>141</v>
          </cell>
          <cell r="F148">
            <v>141</v>
          </cell>
        </row>
        <row r="149">
          <cell r="A149" t="str">
            <v>6220 ГОВЯЖЬЯ Папа может вар п/о  ОСТАНКИНО</v>
          </cell>
          <cell r="D149">
            <v>13.4</v>
          </cell>
          <cell r="F149">
            <v>13.4</v>
          </cell>
        </row>
        <row r="150">
          <cell r="A150" t="str">
            <v>6221 НЕАПОЛИТАНСКИЙ ДУЭТ с/к с/н мгс 1/90  ОСТАНКИНО</v>
          </cell>
          <cell r="D150">
            <v>536</v>
          </cell>
          <cell r="F150">
            <v>536</v>
          </cell>
        </row>
        <row r="151">
          <cell r="A151" t="str">
            <v>6228 МЯСНОЕ АССОРТИ к/з с/н мгс 1/90 10шт.  ОСТАНКИНО</v>
          </cell>
          <cell r="D151">
            <v>379</v>
          </cell>
          <cell r="F151">
            <v>379</v>
          </cell>
        </row>
        <row r="152">
          <cell r="A152" t="str">
            <v>6247 ДОМАШНЯЯ Папа может вар п/о 0,4кг 8шт.  ОСТАНКИНО</v>
          </cell>
          <cell r="D152">
            <v>99</v>
          </cell>
          <cell r="F152">
            <v>99</v>
          </cell>
        </row>
        <row r="153">
          <cell r="A153" t="str">
            <v>6268 ГОВЯЖЬЯ Папа может вар п/о 0,4кг 8 шт.  ОСТАНКИНО</v>
          </cell>
          <cell r="D153">
            <v>649</v>
          </cell>
          <cell r="F153">
            <v>649</v>
          </cell>
        </row>
        <row r="154">
          <cell r="A154" t="str">
            <v>6279 КОРЕЙКА ПО-ОСТ.к/в в/с с/н в/у 1/150_45с  ОСТАНКИНО</v>
          </cell>
          <cell r="D154">
            <v>489</v>
          </cell>
          <cell r="F154">
            <v>489</v>
          </cell>
        </row>
        <row r="155">
          <cell r="A155" t="str">
            <v>6303 МЯСНЫЕ Папа может сос п/о мгс 1.5*3  ОСТАНКИНО</v>
          </cell>
          <cell r="D155">
            <v>490</v>
          </cell>
          <cell r="F155">
            <v>490</v>
          </cell>
        </row>
        <row r="156">
          <cell r="A156" t="str">
            <v>6324 ДОКТОРСКАЯ ГОСТ вар п/о 0.4кг 8шт.  ОСТАНКИНО</v>
          </cell>
          <cell r="D156">
            <v>46</v>
          </cell>
          <cell r="F156">
            <v>46</v>
          </cell>
        </row>
        <row r="157">
          <cell r="A157" t="str">
            <v>6325 ДОКТОРСКАЯ ПРЕМИУМ вар п/о 0.4кг 8шт.  ОСТАНКИНО</v>
          </cell>
          <cell r="D157">
            <v>1353</v>
          </cell>
          <cell r="F157">
            <v>1353</v>
          </cell>
        </row>
        <row r="158">
          <cell r="A158" t="str">
            <v>6333 МЯСНАЯ Папа может вар п/о 0.4кг 8шт.  ОСТАНКИНО</v>
          </cell>
          <cell r="D158">
            <v>3755</v>
          </cell>
          <cell r="F158">
            <v>3755</v>
          </cell>
        </row>
        <row r="159">
          <cell r="A159" t="str">
            <v>6340 ДОМАШНИЙ РЕЦЕПТ Коровино 0.5кг 8шт.  ОСТАНКИНО</v>
          </cell>
          <cell r="D159">
            <v>325</v>
          </cell>
          <cell r="F159">
            <v>325</v>
          </cell>
        </row>
        <row r="160">
          <cell r="A160" t="str">
            <v>6353 ЭКСТРА Папа может вар п/о 0.4кг 8шт.  ОСТАНКИНО</v>
          </cell>
          <cell r="D160">
            <v>1237</v>
          </cell>
          <cell r="F160">
            <v>1237</v>
          </cell>
        </row>
        <row r="161">
          <cell r="A161" t="str">
            <v>6392 ФИЛЕЙНАЯ Папа может вар п/о 0.4кг. ОСТАНКИНО</v>
          </cell>
          <cell r="D161">
            <v>3297</v>
          </cell>
          <cell r="F161">
            <v>3297</v>
          </cell>
        </row>
        <row r="162">
          <cell r="A162" t="str">
            <v>6448 СВИНИНА МАДЕРА с/к с/н в/у 1/100 10шт.   ОСТАНКИНО</v>
          </cell>
          <cell r="D162">
            <v>148</v>
          </cell>
          <cell r="F162">
            <v>148</v>
          </cell>
        </row>
        <row r="163">
          <cell r="A163" t="str">
            <v>6453 ЭКСТРА Папа может с/к с/н в/у 1/100 14шт.   ОСТАНКИНО</v>
          </cell>
          <cell r="D163">
            <v>1916</v>
          </cell>
          <cell r="F163">
            <v>1916</v>
          </cell>
        </row>
        <row r="164">
          <cell r="A164" t="str">
            <v>6454 АРОМАТНАЯ с/к с/н в/у 1/100 10шт.  ОСТАНКИНО</v>
          </cell>
          <cell r="D164">
            <v>1484</v>
          </cell>
          <cell r="F164">
            <v>1484</v>
          </cell>
        </row>
        <row r="165">
          <cell r="A165" t="str">
            <v>6459 СЕРВЕЛАТ ШВЕЙЦАРСК. в/к с/н в/у 1/100*10  ОСТАНКИНО</v>
          </cell>
          <cell r="D165">
            <v>992</v>
          </cell>
          <cell r="F165">
            <v>992</v>
          </cell>
        </row>
        <row r="166">
          <cell r="A166" t="str">
            <v>6470 ВЕТЧ.МРАМОРНАЯ в/у_45с  ОСТАНКИНО</v>
          </cell>
          <cell r="D166">
            <v>36.1</v>
          </cell>
          <cell r="F166">
            <v>36.1</v>
          </cell>
        </row>
        <row r="167">
          <cell r="A167" t="str">
            <v>6495 ВЕТЧ.МРАМОРНАЯ в/у срез 0.3кг 6шт_45с  ОСТАНКИНО</v>
          </cell>
          <cell r="D167">
            <v>317</v>
          </cell>
          <cell r="F167">
            <v>317</v>
          </cell>
        </row>
        <row r="168">
          <cell r="A168" t="str">
            <v>6527 ШПИКАЧКИ СОЧНЫЕ ПМ сар б/о мгс 1*3 45с ОСТАНКИНО</v>
          </cell>
          <cell r="D168">
            <v>333.5</v>
          </cell>
          <cell r="F168">
            <v>333.5</v>
          </cell>
        </row>
        <row r="169">
          <cell r="A169" t="str">
            <v>6528 ШПИКАЧКИ СОЧНЫЕ ПМ сар б/о мгс 0.4кг 45с  ОСТАНКИНО</v>
          </cell>
          <cell r="D169">
            <v>30</v>
          </cell>
          <cell r="F169">
            <v>30</v>
          </cell>
        </row>
        <row r="170">
          <cell r="A170" t="str">
            <v>6586 МРАМОРНАЯ И БАЛЫКОВАЯ в/к с/н мгс 1/90 ОСТАНКИНО</v>
          </cell>
          <cell r="D170">
            <v>16</v>
          </cell>
          <cell r="F170">
            <v>16</v>
          </cell>
        </row>
        <row r="171">
          <cell r="A171" t="str">
            <v>6609 С ГОВЯДИНОЙ ПМ сар б/о мгс 0.4кг_45с ОСТАНКИНО</v>
          </cell>
          <cell r="D171">
            <v>35</v>
          </cell>
          <cell r="F171">
            <v>35</v>
          </cell>
        </row>
        <row r="172">
          <cell r="A172" t="str">
            <v>6616 МОЛОЧНЫЕ КЛАССИЧЕСКИЕ сос п/о в/у 0.3кг  ОСТАНКИНО</v>
          </cell>
          <cell r="D172">
            <v>2156</v>
          </cell>
          <cell r="F172">
            <v>2156</v>
          </cell>
        </row>
        <row r="173">
          <cell r="A173" t="str">
            <v>6697 СЕРВЕЛАТ ФИНСКИЙ ПМ в/к в/у 0,35кг 8шт.  ОСТАНКИНО</v>
          </cell>
          <cell r="D173">
            <v>4226</v>
          </cell>
          <cell r="F173">
            <v>4226</v>
          </cell>
        </row>
        <row r="174">
          <cell r="A174" t="str">
            <v>6713 СОЧНЫЙ ГРИЛЬ ПМ сос п/о мгс 0.41кг 8шт.  ОСТАНКИНО</v>
          </cell>
          <cell r="D174">
            <v>1587</v>
          </cell>
          <cell r="F174">
            <v>1587</v>
          </cell>
        </row>
        <row r="175">
          <cell r="A175" t="str">
            <v>6724 МОЛОЧНЫЕ ПМ сос п/о мгс 0.41кг 10шт.  ОСТАНКИНО</v>
          </cell>
          <cell r="D175">
            <v>685</v>
          </cell>
          <cell r="F175">
            <v>685</v>
          </cell>
        </row>
        <row r="176">
          <cell r="A176" t="str">
            <v>6765 РУБЛЕНЫЕ сос ц/о мгс 0.36кг 6шт.  ОСТАНКИНО</v>
          </cell>
          <cell r="D176">
            <v>390</v>
          </cell>
          <cell r="F176">
            <v>390</v>
          </cell>
        </row>
        <row r="177">
          <cell r="A177" t="str">
            <v>6785 ВЕНСКАЯ САЛЯМИ п/к в/у 0.33кг 8шт.  ОСТАНКИНО</v>
          </cell>
          <cell r="D177">
            <v>109</v>
          </cell>
          <cell r="F177">
            <v>109</v>
          </cell>
        </row>
        <row r="178">
          <cell r="A178" t="str">
            <v>6787 СЕРВЕЛАТ КРЕМЛЕВСКИЙ в/к в/у 0,33кг 8шт.  ОСТАНКИНО</v>
          </cell>
          <cell r="D178">
            <v>153</v>
          </cell>
          <cell r="F178">
            <v>153</v>
          </cell>
        </row>
        <row r="179">
          <cell r="A179" t="str">
            <v>6793 БАЛЫКОВАЯ в/к в/у 0,33кг 8шт.  ОСТАНКИНО</v>
          </cell>
          <cell r="D179">
            <v>255</v>
          </cell>
          <cell r="F179">
            <v>255</v>
          </cell>
        </row>
        <row r="180">
          <cell r="A180" t="str">
            <v>6829 МОЛОЧНЫЕ КЛАССИЧЕСКИЕ сос п/о мгс 2*4_С  ОСТАНКИНО</v>
          </cell>
          <cell r="D180">
            <v>865</v>
          </cell>
          <cell r="F180">
            <v>865</v>
          </cell>
        </row>
        <row r="181">
          <cell r="A181" t="str">
            <v>6832 АССОРТИ СЫРОКОПЧЕНЫХ КОЛБАС Коровино в/у  ОСТАНКИНО</v>
          </cell>
          <cell r="D181">
            <v>11.6</v>
          </cell>
          <cell r="F181">
            <v>11.6</v>
          </cell>
        </row>
        <row r="182">
          <cell r="A182" t="str">
            <v>6837 ФИЛЕЙНЫЕ Папа Может сос ц/о мгс 0.4кг  ОСТАНКИНО</v>
          </cell>
          <cell r="D182">
            <v>1289</v>
          </cell>
          <cell r="F182">
            <v>1289</v>
          </cell>
        </row>
        <row r="183">
          <cell r="A183" t="str">
            <v>6842 ДЫМОВИЦА ИЗ ОКОРОКА к/в мл/к в/у 0,3кг  ОСТАНКИНО</v>
          </cell>
          <cell r="D183">
            <v>239</v>
          </cell>
          <cell r="F183">
            <v>239</v>
          </cell>
        </row>
        <row r="184">
          <cell r="A184" t="str">
            <v>6861 ДОМАШНИЙ РЕЦЕПТ Коровино вар п/о  ОСТАНКИНО</v>
          </cell>
          <cell r="D184">
            <v>927.1</v>
          </cell>
          <cell r="F184">
            <v>927.1</v>
          </cell>
        </row>
        <row r="185">
          <cell r="A185" t="str">
            <v>6866 ВЕТЧ.НЕЖНАЯ Коровино п/о_Маяк  ОСТАНКИНО</v>
          </cell>
          <cell r="D185">
            <v>195.85499999999999</v>
          </cell>
          <cell r="F185">
            <v>195.85499999999999</v>
          </cell>
        </row>
        <row r="186">
          <cell r="A186" t="str">
            <v>6928 Сыр твердый "Пармезан", с массовой долей жира 35%, цилиндр 1/4  ОСТАНКИНО</v>
          </cell>
          <cell r="D186">
            <v>1</v>
          </cell>
          <cell r="F186">
            <v>1</v>
          </cell>
        </row>
        <row r="187">
          <cell r="A187" t="str">
            <v>7001 КЛАССИЧЕСКИЕ Папа может сар б/о мгс 1*3  ОСТАНКИНО</v>
          </cell>
          <cell r="D187">
            <v>239.2</v>
          </cell>
          <cell r="F187">
            <v>239.2</v>
          </cell>
        </row>
        <row r="188">
          <cell r="A188" t="str">
            <v>7040 С ИНДЕЙКОЙ ПМ сос ц/о в/у 1/270 8шт.  ОСТАНКИНО</v>
          </cell>
          <cell r="D188">
            <v>124</v>
          </cell>
          <cell r="F188">
            <v>124</v>
          </cell>
        </row>
        <row r="189">
          <cell r="A189" t="str">
            <v>7059 ШПИКАЧКИ СОЧНЫЕ С БЕК. п/о мгс 0.3кг_60с  ОСТАНКИНО</v>
          </cell>
          <cell r="D189">
            <v>299</v>
          </cell>
          <cell r="F189">
            <v>299</v>
          </cell>
        </row>
        <row r="190">
          <cell r="A190" t="str">
            <v>7066 СОЧНЫЕ ПМ сос п/о мгс 0.41кг 10шт_50с  ОСТАНКИНО</v>
          </cell>
          <cell r="D190">
            <v>5310</v>
          </cell>
          <cell r="F190">
            <v>5310</v>
          </cell>
        </row>
        <row r="191">
          <cell r="A191" t="str">
            <v>7070 СОЧНЫЕ ПМ сос п/о мгс 1.5*4_А_50с  ОСТАНКИНО</v>
          </cell>
          <cell r="D191">
            <v>2902.4</v>
          </cell>
          <cell r="F191">
            <v>2902.4</v>
          </cell>
        </row>
        <row r="192">
          <cell r="A192" t="str">
            <v>7073 МОЛОЧ.ПРЕМИУМ ПМ сос п/о в/у 1/350_50с  ОСТАНКИНО</v>
          </cell>
          <cell r="D192">
            <v>1552</v>
          </cell>
          <cell r="F192">
            <v>1552</v>
          </cell>
        </row>
        <row r="193">
          <cell r="A193" t="str">
            <v>7075 МОЛОЧ.ПРЕМИУМ ПМ сос п/о мгс 1.5*4_О_50с  ОСТАНКИНО</v>
          </cell>
          <cell r="D193">
            <v>61.5</v>
          </cell>
          <cell r="F193">
            <v>61.5</v>
          </cell>
        </row>
        <row r="194">
          <cell r="A194" t="str">
            <v>7077 МЯСНЫЕ С ГОВЯД.ПМ сос п/о мгс 0.4кг_50с  ОСТАНКИНО</v>
          </cell>
          <cell r="D194">
            <v>1681</v>
          </cell>
          <cell r="F194">
            <v>1681</v>
          </cell>
        </row>
        <row r="195">
          <cell r="A195" t="str">
            <v>7080 СЛИВОЧНЫЕ ПМ сос п/о мгс 0.41кг 10шт. 50с  ОСТАНКИНО</v>
          </cell>
          <cell r="D195">
            <v>3404</v>
          </cell>
          <cell r="F195">
            <v>3404</v>
          </cell>
        </row>
        <row r="196">
          <cell r="A196" t="str">
            <v>7082 СЛИВОЧНЫЕ ПМ сос п/о мгс 1.5*4_50с  ОСТАНКИНО</v>
          </cell>
          <cell r="D196">
            <v>132.6</v>
          </cell>
          <cell r="F196">
            <v>132.6</v>
          </cell>
        </row>
        <row r="197">
          <cell r="A197" t="str">
            <v>7087 ШПИК С ЧЕСНОК.И ПЕРЦЕМ к/в в/у 0.3кг_50с  ОСТАНКИНО</v>
          </cell>
          <cell r="D197">
            <v>278</v>
          </cell>
          <cell r="F197">
            <v>278</v>
          </cell>
        </row>
        <row r="198">
          <cell r="A198" t="str">
            <v>7090 СВИНИНА ПО-ДОМ. к/в мл/к в/у 0.3кг_50с  ОСТАНКИНО</v>
          </cell>
          <cell r="D198">
            <v>563</v>
          </cell>
          <cell r="F198">
            <v>563</v>
          </cell>
        </row>
        <row r="199">
          <cell r="A199" t="str">
            <v>7092 БЕКОН Папа может с/к с/н в/у 1/140_50с  ОСТАНКИНО</v>
          </cell>
          <cell r="D199">
            <v>908</v>
          </cell>
          <cell r="F199">
            <v>913</v>
          </cell>
        </row>
        <row r="200">
          <cell r="A200" t="str">
            <v>7105 МИЛАНО с/к с/н мгс 1/90 12шт.  ОСТАНКИНО</v>
          </cell>
          <cell r="D200">
            <v>5</v>
          </cell>
          <cell r="F200">
            <v>5</v>
          </cell>
        </row>
        <row r="201">
          <cell r="A201" t="str">
            <v>7107 САН-РЕМО с/в с/н мгс 1/90 12шт.  ОСТАНКИНО</v>
          </cell>
          <cell r="D201">
            <v>29</v>
          </cell>
          <cell r="F201">
            <v>29</v>
          </cell>
        </row>
        <row r="202">
          <cell r="A202" t="str">
            <v>7149 БАЛЫКОВАЯ Коровино п/к в/у 0.84кг_50с  ОСТАНКИНО</v>
          </cell>
          <cell r="D202">
            <v>55</v>
          </cell>
          <cell r="F202">
            <v>55</v>
          </cell>
        </row>
        <row r="203">
          <cell r="A203" t="str">
            <v>7154 СЕРВЕЛАТ ЗЕРНИСТЫЙ ПМ в/к в/у 0.35кг_50с  ОСТАНКИНО</v>
          </cell>
          <cell r="D203">
            <v>2574</v>
          </cell>
          <cell r="F203">
            <v>2574</v>
          </cell>
        </row>
        <row r="204">
          <cell r="A204" t="str">
            <v>7157 СЕРВЕЛАТ ЗЕРНИСНЫЙ ПМ в/к в/у_50с  ОСТАНКИНО</v>
          </cell>
          <cell r="D204">
            <v>138.69999999999999</v>
          </cell>
          <cell r="F204">
            <v>138.69999999999999</v>
          </cell>
        </row>
        <row r="205">
          <cell r="A205" t="str">
            <v>7166 СЕРВЕЛТ ОХОТНИЧИЙ ПМ в/к в/у_50с  ОСТАНКИНО</v>
          </cell>
          <cell r="D205">
            <v>433.3</v>
          </cell>
          <cell r="F205">
            <v>433.3</v>
          </cell>
        </row>
        <row r="206">
          <cell r="A206" t="str">
            <v>7169 СЕРВЕЛАТ ОХОТНИЧИЙ ПМ в/к в/у 0.35кг_50с  ОСТАНКИНО</v>
          </cell>
          <cell r="D206">
            <v>3145</v>
          </cell>
          <cell r="F206">
            <v>3145</v>
          </cell>
        </row>
        <row r="207">
          <cell r="A207" t="str">
            <v>7187 ГРУДИНКА ПРЕМИУМ к/в мл/к в/у 0,3кг_50с ОСТАНКИНО</v>
          </cell>
          <cell r="D207">
            <v>838</v>
          </cell>
          <cell r="F207">
            <v>838</v>
          </cell>
        </row>
        <row r="208">
          <cell r="A208" t="str">
            <v>7227 САЛЯМИ ФИНСКАЯ Папа может с/к в/у 1/180  ОСТАНКИНО</v>
          </cell>
          <cell r="D208">
            <v>8</v>
          </cell>
          <cell r="F208">
            <v>8</v>
          </cell>
        </row>
        <row r="209">
          <cell r="A209" t="str">
            <v>7231 КЛАССИЧЕСКАЯ ПМ вар п/о 0,3кг 8шт_209к ОСТАНКИНО</v>
          </cell>
          <cell r="D209">
            <v>1121</v>
          </cell>
          <cell r="F209">
            <v>1121</v>
          </cell>
        </row>
        <row r="210">
          <cell r="A210" t="str">
            <v>7232 БОЯNСКАЯ ПМ п/к в/у 0,28кг 8шт_209к ОСТАНКИНО</v>
          </cell>
          <cell r="D210">
            <v>1344</v>
          </cell>
          <cell r="F210">
            <v>1344</v>
          </cell>
        </row>
        <row r="211">
          <cell r="A211" t="str">
            <v>7235 ВЕТЧ.КЛАССИЧЕСКАЯ ПМ п/о 0,35кг 8шт_209к ОСТАНКИНО</v>
          </cell>
          <cell r="D211">
            <v>57</v>
          </cell>
          <cell r="F211">
            <v>57</v>
          </cell>
        </row>
        <row r="212">
          <cell r="A212" t="str">
            <v>7236 СЕРВЕЛАТ КАРЕЛЬСКИЙ в/к в/у 0,28кг_209к ОСТАНКИНО</v>
          </cell>
          <cell r="D212">
            <v>3829</v>
          </cell>
          <cell r="F212">
            <v>3829</v>
          </cell>
        </row>
        <row r="213">
          <cell r="A213" t="str">
            <v>7241 САЛЯМИ Папа может п/к в/у 0,28кг_209к ОСТАНКИНО</v>
          </cell>
          <cell r="D213">
            <v>1016</v>
          </cell>
          <cell r="F213">
            <v>1016</v>
          </cell>
        </row>
        <row r="214">
          <cell r="A214" t="str">
            <v>7245 ВЕТЧ.ФИЛЕЙНАЯ ПМ п/о 0,4кг 8шт ОСТАНКИНО</v>
          </cell>
          <cell r="D214">
            <v>67</v>
          </cell>
          <cell r="F214">
            <v>67</v>
          </cell>
        </row>
        <row r="215">
          <cell r="A215" t="str">
            <v>7255 МЯСНЫЕ С ГОВЯД. ПМ сос п/о мгс 0,4кг 6шт.  ОСТАНКИНО</v>
          </cell>
          <cell r="D215">
            <v>46</v>
          </cell>
          <cell r="F215">
            <v>46</v>
          </cell>
        </row>
        <row r="216">
          <cell r="A216" t="str">
            <v>7271 МЯСНЫЕ С ГОВЯДИНОЙ ПМ сос п/о мгс 1.5*4 ВЕС  ОСТАНКИНО</v>
          </cell>
          <cell r="D216">
            <v>110.8</v>
          </cell>
          <cell r="F216">
            <v>110.8</v>
          </cell>
        </row>
        <row r="217">
          <cell r="A217" t="str">
            <v>7284 ДЛЯ ДЕТЕЙ сос п/о мгс 0,33кг 6шт  ОСТАНКИНО</v>
          </cell>
          <cell r="D217">
            <v>109</v>
          </cell>
          <cell r="F217">
            <v>109</v>
          </cell>
        </row>
        <row r="218">
          <cell r="A218" t="str">
            <v>7299 НАБОР ДЛЯ ПИЦЦЫ Папа может с/к в/у  ОСТАНКИНО</v>
          </cell>
          <cell r="D218">
            <v>10.1</v>
          </cell>
          <cell r="F218">
            <v>10.1</v>
          </cell>
        </row>
        <row r="219">
          <cell r="A219" t="str">
            <v>7332 БОЯРСКАЯ ПМ п/к в/у 0.28кг_СНГ  ОСТАНКИНО</v>
          </cell>
          <cell r="D219">
            <v>61</v>
          </cell>
          <cell r="F219">
            <v>61</v>
          </cell>
        </row>
        <row r="220">
          <cell r="A220" t="str">
            <v>7333 СЕРВЕЛАТ ОХОТНИЧИЙ ПМ в/к в/у 0.28кг_СНГ  ОСТАНКИНО</v>
          </cell>
          <cell r="D220">
            <v>43</v>
          </cell>
          <cell r="F220">
            <v>43</v>
          </cell>
        </row>
        <row r="221">
          <cell r="A221" t="str">
            <v>7343 СЕЙЧАС СЕЗОН ПМ вар п/о 0,4кг  ОСТАНКИНО</v>
          </cell>
          <cell r="D221">
            <v>1139</v>
          </cell>
          <cell r="F221">
            <v>1139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283</v>
          </cell>
          <cell r="F222">
            <v>283</v>
          </cell>
        </row>
        <row r="223">
          <cell r="A223" t="str">
            <v>8391 Сыр творожный с зеленью 60% Папа может 140 гр.  ОСТАНКИНО</v>
          </cell>
          <cell r="D223">
            <v>146</v>
          </cell>
          <cell r="F223">
            <v>146</v>
          </cell>
        </row>
        <row r="224">
          <cell r="A224" t="str">
            <v>8398 Сыр ПАПА МОЖЕТ "Тильзитер" 45% 180 г  ОСТАНКИНО</v>
          </cell>
          <cell r="D224">
            <v>427</v>
          </cell>
          <cell r="F224">
            <v>427</v>
          </cell>
        </row>
        <row r="225">
          <cell r="A225" t="str">
            <v>8411 Сыр ПАПА МОЖЕТ "Гауда Голд" 45% 180 г  ОСТАНКИНО</v>
          </cell>
          <cell r="D225">
            <v>390</v>
          </cell>
          <cell r="F225">
            <v>390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1176</v>
          </cell>
          <cell r="F226">
            <v>1176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57</v>
          </cell>
          <cell r="F227">
            <v>57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48</v>
          </cell>
          <cell r="F228">
            <v>48</v>
          </cell>
        </row>
        <row r="229">
          <cell r="A229" t="str">
            <v>8452 Сыр колбасный копченый Папа Может 400 гр  ОСТАНКИНО</v>
          </cell>
          <cell r="D229">
            <v>11</v>
          </cell>
          <cell r="F229">
            <v>11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1082</v>
          </cell>
          <cell r="F230">
            <v>1082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7</v>
          </cell>
          <cell r="F231">
            <v>7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60</v>
          </cell>
          <cell r="F232">
            <v>60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135</v>
          </cell>
          <cell r="F233">
            <v>135</v>
          </cell>
        </row>
        <row r="234">
          <cell r="A234" t="str">
            <v>8831 Сыр ПАПА МОЖЕТ "Министерский" 180гр, 45 %  ОСТАНКИНО</v>
          </cell>
          <cell r="D234">
            <v>77</v>
          </cell>
          <cell r="F234">
            <v>77</v>
          </cell>
        </row>
        <row r="235">
          <cell r="A235" t="str">
            <v>8855 Сыр ПАПА МОЖЕТ "Папин завтрак" 180гр, 45 %  ОСТАНКИНО</v>
          </cell>
          <cell r="D235">
            <v>13</v>
          </cell>
          <cell r="F235">
            <v>13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363</v>
          </cell>
          <cell r="F236">
            <v>363</v>
          </cell>
        </row>
        <row r="237">
          <cell r="A237" t="str">
            <v>8967 Масло "Папа может" 82,5% 180гр  ОСТАНКИНО</v>
          </cell>
          <cell r="D237">
            <v>333</v>
          </cell>
          <cell r="F237">
            <v>333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101</v>
          </cell>
          <cell r="F238">
            <v>101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151</v>
          </cell>
          <cell r="F239">
            <v>151</v>
          </cell>
        </row>
        <row r="240">
          <cell r="A240" t="str">
            <v>Балыковая с/к 200 гр. срез "Эликатессе" термоформ.пак.  СПК</v>
          </cell>
          <cell r="D240">
            <v>64</v>
          </cell>
          <cell r="F240">
            <v>64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63</v>
          </cell>
          <cell r="F241">
            <v>63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14</v>
          </cell>
          <cell r="F242">
            <v>14</v>
          </cell>
        </row>
        <row r="243">
          <cell r="A243" t="str">
            <v>БОНУС СОЧНЫЕ Папа может сос п/о мгс 1.5*4 (6954)  ОСТАНКИНО</v>
          </cell>
          <cell r="D243">
            <v>241.5</v>
          </cell>
          <cell r="F243">
            <v>241.5</v>
          </cell>
        </row>
        <row r="244">
          <cell r="A244" t="str">
            <v>БОНУС СОЧНЫЕ сос п/о мгс 0.41кг_UZ (6087)  ОСТАНКИНО</v>
          </cell>
          <cell r="D244">
            <v>170</v>
          </cell>
          <cell r="F244">
            <v>170</v>
          </cell>
        </row>
        <row r="245">
          <cell r="A245" t="str">
            <v>Бутербродная вареная 0,47 кг шт.  СПК</v>
          </cell>
          <cell r="D245">
            <v>20</v>
          </cell>
          <cell r="F245">
            <v>20</v>
          </cell>
        </row>
        <row r="246">
          <cell r="A246" t="str">
            <v>Вацлавская п/к (черева) 390 гр.шт. термоус.пак  СПК</v>
          </cell>
          <cell r="D246">
            <v>13</v>
          </cell>
          <cell r="F246">
            <v>13</v>
          </cell>
        </row>
        <row r="247">
          <cell r="A247" t="str">
            <v>Ветчина Альтаирская Столовая (для ХОРЕКА)  СПК</v>
          </cell>
          <cell r="D247">
            <v>1.234</v>
          </cell>
          <cell r="F247">
            <v>3.6619999999999999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F248">
            <v>340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425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2153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1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969</v>
          </cell>
          <cell r="F252">
            <v>2572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3</v>
          </cell>
          <cell r="F253">
            <v>359</v>
          </cell>
        </row>
        <row r="254">
          <cell r="A254" t="str">
            <v>Гуцульская с/к "КолбасГрад" 160 гр.шт. термоус. пак  СПК</v>
          </cell>
          <cell r="D254">
            <v>43</v>
          </cell>
          <cell r="F254">
            <v>43</v>
          </cell>
        </row>
        <row r="255">
          <cell r="A255" t="str">
            <v>Дельгаро с/в "Эликатессе" 140 гр.шт.  СПК</v>
          </cell>
          <cell r="D255">
            <v>49</v>
          </cell>
          <cell r="F255">
            <v>49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130</v>
          </cell>
          <cell r="F256">
            <v>130</v>
          </cell>
        </row>
        <row r="257">
          <cell r="A257" t="str">
            <v>Докторская вареная в/с 0,47 кг шт.  СПК</v>
          </cell>
          <cell r="D257">
            <v>11</v>
          </cell>
          <cell r="F257">
            <v>11</v>
          </cell>
        </row>
        <row r="258">
          <cell r="A258" t="str">
            <v>Докторская вареная вес. (белк.об.) термоус.пак.  СПК</v>
          </cell>
          <cell r="D258">
            <v>32</v>
          </cell>
          <cell r="F258">
            <v>33.210999999999999</v>
          </cell>
        </row>
        <row r="259">
          <cell r="A259" t="str">
            <v>Докторская вареная термоус.пак. "Высокий вкус"  СПК</v>
          </cell>
          <cell r="D259">
            <v>17</v>
          </cell>
          <cell r="F259">
            <v>17</v>
          </cell>
        </row>
        <row r="260">
          <cell r="A260" t="str">
            <v>Европоддон (невозвратный)</v>
          </cell>
          <cell r="F260">
            <v>340</v>
          </cell>
        </row>
        <row r="261">
          <cell r="A261" t="str">
            <v>ЖАР-ладушки с мясом 0,2кг ТМ Стародворье  ПОКОМ</v>
          </cell>
          <cell r="D261">
            <v>2</v>
          </cell>
          <cell r="F261">
            <v>357</v>
          </cell>
        </row>
        <row r="262">
          <cell r="A262" t="str">
            <v>ЖАР-ладушки с яблоком и грушей ТМ Стародворье 0,2 кг. ПОКОМ</v>
          </cell>
          <cell r="F262">
            <v>9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239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2430</v>
          </cell>
          <cell r="F264">
            <v>2430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2128</v>
          </cell>
          <cell r="F265">
            <v>2128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240</v>
          </cell>
          <cell r="F266">
            <v>240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30.8</v>
          </cell>
          <cell r="F267">
            <v>30.8</v>
          </cell>
        </row>
        <row r="268">
          <cell r="A268" t="str">
            <v>Карбонад Юбилейный термоус.пак.  СПК</v>
          </cell>
          <cell r="D268">
            <v>15.327999999999999</v>
          </cell>
          <cell r="F268">
            <v>15.327999999999999</v>
          </cell>
        </row>
        <row r="269">
          <cell r="A269" t="str">
            <v>Классическая вареная 400 гр.шт.  СПК</v>
          </cell>
          <cell r="D269">
            <v>12</v>
          </cell>
          <cell r="F269">
            <v>12</v>
          </cell>
        </row>
        <row r="270">
          <cell r="A270" t="str">
            <v>Классическая с/к 80 гр.шт.нар. (лоток с ср.защ.атм.)  СПК</v>
          </cell>
          <cell r="D270">
            <v>370</v>
          </cell>
          <cell r="F270">
            <v>370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42</v>
          </cell>
          <cell r="F271">
            <v>42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550</v>
          </cell>
          <cell r="F272">
            <v>550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429</v>
          </cell>
          <cell r="F273">
            <v>429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81</v>
          </cell>
          <cell r="F274">
            <v>81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6</v>
          </cell>
          <cell r="F275">
            <v>720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367</v>
          </cell>
          <cell r="F277">
            <v>1532</v>
          </cell>
        </row>
        <row r="278">
          <cell r="A278" t="str">
            <v>Ла Фаворте с/в "Эликатессе" 140 гр.шт.  СПК</v>
          </cell>
          <cell r="D278">
            <v>106</v>
          </cell>
          <cell r="F278">
            <v>106</v>
          </cell>
        </row>
        <row r="279">
          <cell r="A279" t="str">
            <v>Ливерная Печеночная 250 гр.шт.  СПК</v>
          </cell>
          <cell r="D279">
            <v>49</v>
          </cell>
          <cell r="F279">
            <v>49</v>
          </cell>
        </row>
        <row r="280">
          <cell r="A280" t="str">
            <v>Любительская вареная термоус.пак. "Высокий вкус"  СПК</v>
          </cell>
          <cell r="D280">
            <v>102.2</v>
          </cell>
          <cell r="F280">
            <v>102.2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233.10300000000001</v>
          </cell>
        </row>
        <row r="282">
          <cell r="A282" t="str">
            <v>Мини-чебуречки с мясом ВЕС 5,5кг ТМ Зареченские  ПОКОМ</v>
          </cell>
          <cell r="F282">
            <v>38.5</v>
          </cell>
        </row>
        <row r="283">
          <cell r="A283" t="str">
            <v>Мини-шарики с курочкой и сыром ТМ Зареченские ВЕС  ПОКОМ</v>
          </cell>
          <cell r="D283">
            <v>3</v>
          </cell>
          <cell r="F283">
            <v>783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606</v>
          </cell>
          <cell r="F284">
            <v>2571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246</v>
          </cell>
          <cell r="F285">
            <v>1741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366</v>
          </cell>
          <cell r="F286">
            <v>2129</v>
          </cell>
        </row>
        <row r="287">
          <cell r="A287" t="str">
            <v>Наггетсы с куриным филе и сыром ТМ Вязанка 0,25 кг ПОКОМ</v>
          </cell>
          <cell r="D287">
            <v>727</v>
          </cell>
          <cell r="F287">
            <v>2388</v>
          </cell>
        </row>
        <row r="288">
          <cell r="A288" t="str">
            <v>Наггетсы хрустящие п/ф ЗАО "Мясная галерея" ВЕС ПОКОМ</v>
          </cell>
          <cell r="F288">
            <v>6</v>
          </cell>
        </row>
        <row r="289">
          <cell r="A289" t="str">
            <v>Наггетсы Хрустящие ТМ Зареченские. ВЕС ПОКОМ</v>
          </cell>
          <cell r="D289">
            <v>6</v>
          </cell>
          <cell r="F289">
            <v>1523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344</v>
          </cell>
        </row>
        <row r="291">
          <cell r="A291" t="str">
            <v>Оригинальная с перцем с/к  СПК</v>
          </cell>
          <cell r="D291">
            <v>123.65600000000001</v>
          </cell>
          <cell r="F291">
            <v>123.65600000000001</v>
          </cell>
        </row>
        <row r="292">
          <cell r="A292" t="str">
            <v>Паштет печеночный 140 гр.шт.  СПК</v>
          </cell>
          <cell r="D292">
            <v>42</v>
          </cell>
          <cell r="F292">
            <v>42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337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284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980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193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604</v>
          </cell>
          <cell r="F297">
            <v>1782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4</v>
          </cell>
          <cell r="F298">
            <v>1177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4</v>
          </cell>
          <cell r="F299">
            <v>774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1</v>
          </cell>
          <cell r="F300">
            <v>107</v>
          </cell>
        </row>
        <row r="301">
          <cell r="A301" t="str">
            <v>Пельмени Бульмени с говядиной и свининой Горячая шт. 0,9 кг  ПОКОМ</v>
          </cell>
          <cell r="F301">
            <v>1</v>
          </cell>
        </row>
        <row r="302">
          <cell r="A302" t="str">
            <v>Пельмени Бульмени с говядиной и свининой Наваристые 5кг Горячая штучка ВЕС  ПОКОМ</v>
          </cell>
          <cell r="D302">
            <v>20</v>
          </cell>
          <cell r="F302">
            <v>1748</v>
          </cell>
        </row>
        <row r="303">
          <cell r="A303" t="str">
            <v>Пельмени Бульмени с говядиной и свининой СЕВЕРНАЯ КОЛЛЕКЦИЯ 0,7кг ТМ Горячая штучка сфера  ПОКОМ</v>
          </cell>
          <cell r="F303">
            <v>1078</v>
          </cell>
        </row>
        <row r="304">
          <cell r="A304" t="str">
            <v>Пельмени Бульмени с говядиной и свининой ТМ Горячая штучка. флоу-пак сфера 0,4 кг ПОКОМ</v>
          </cell>
          <cell r="D304">
            <v>5</v>
          </cell>
          <cell r="F304">
            <v>1043</v>
          </cell>
        </row>
        <row r="305">
          <cell r="A305" t="str">
            <v>Пельмени Бульмени с говядиной и свининой ТМ Горячая штучка. флоу-пак сфера 0,7 кг ПОКОМ</v>
          </cell>
          <cell r="D305">
            <v>705</v>
          </cell>
          <cell r="F305">
            <v>2450</v>
          </cell>
        </row>
        <row r="306">
          <cell r="A306" t="str">
            <v>Пельмени Бульмени со сливочным маслом Горячая штучка 0,9 кг  ПОКОМ</v>
          </cell>
          <cell r="F306">
            <v>3</v>
          </cell>
        </row>
        <row r="307">
          <cell r="A307" t="str">
            <v>Пельмени Бульмени со сливочным маслом ТМ Горячая штучка. флоу-пак сфера 0,4 кг. ПОКОМ</v>
          </cell>
          <cell r="D307">
            <v>10</v>
          </cell>
          <cell r="F307">
            <v>1222</v>
          </cell>
        </row>
        <row r="308">
          <cell r="A308" t="str">
            <v>Пельмени Бульмени со сливочным маслом ТМ Горячая штучка.флоу-пак сфера 0,7 кг. ПОКОМ</v>
          </cell>
          <cell r="D308">
            <v>1308</v>
          </cell>
          <cell r="F308">
            <v>4260</v>
          </cell>
        </row>
        <row r="309">
          <cell r="A309" t="str">
            <v>Пельмени Бульмени хрустящие с мясом 0,22 кг ТМ Горячая штучка  ПОКОМ</v>
          </cell>
          <cell r="D309">
            <v>1</v>
          </cell>
          <cell r="F309">
            <v>152</v>
          </cell>
        </row>
        <row r="310">
          <cell r="A310" t="str">
            <v>Пельмени Добросельские со свининой и говядиной ТМ Стародворье флоу-пак клас. форма 0,65 кг.  ПОКОМ</v>
          </cell>
          <cell r="D310">
            <v>1</v>
          </cell>
          <cell r="F310">
            <v>79</v>
          </cell>
        </row>
        <row r="311">
          <cell r="A311" t="str">
            <v>Пельмени Зареченские сфера 5 кг.  ПОКОМ</v>
          </cell>
          <cell r="F311">
            <v>5</v>
          </cell>
        </row>
        <row r="312">
          <cell r="A312" t="str">
            <v>Пельмени Мясные с говядиной ТМ Стародворье сфера флоу-пак 1 кг  ПОКОМ</v>
          </cell>
          <cell r="D312">
            <v>3</v>
          </cell>
          <cell r="F312">
            <v>577</v>
          </cell>
        </row>
        <row r="313">
          <cell r="A313" t="str">
            <v>Пельмени Мясорубские с рубленой грудинкой ТМ Стародворье флоупак  0,7 кг. ПОКОМ</v>
          </cell>
          <cell r="F313">
            <v>1</v>
          </cell>
        </row>
        <row r="314">
          <cell r="A314" t="str">
            <v>Пельмени Отборные из свинины и говядины 0,9 кг ТМ Стародворье ТС Медвежье ушко  ПОКОМ</v>
          </cell>
          <cell r="D314">
            <v>5</v>
          </cell>
          <cell r="F314">
            <v>450</v>
          </cell>
        </row>
        <row r="315">
          <cell r="A315" t="str">
            <v>Пельмени С говядиной и свининой, ВЕС, сфера пуговки Мясная Галерея  ПОКОМ</v>
          </cell>
          <cell r="D315">
            <v>40</v>
          </cell>
          <cell r="F315">
            <v>585</v>
          </cell>
        </row>
        <row r="316">
          <cell r="A316" t="str">
            <v>Пельмени Со свининой и говядиной ТМ Особый рецепт Любимая ложка 1,0 кг  ПОКОМ</v>
          </cell>
          <cell r="D316">
            <v>3</v>
          </cell>
          <cell r="F316">
            <v>993</v>
          </cell>
        </row>
        <row r="317">
          <cell r="A317" t="str">
            <v>Пельмени Сочные сфера 0,8 кг ТМ Стародворье  ПОКОМ</v>
          </cell>
          <cell r="D317">
            <v>5</v>
          </cell>
          <cell r="F317">
            <v>55</v>
          </cell>
        </row>
        <row r="318">
          <cell r="A318" t="str">
            <v>Пирожки с мясом 3,7кг ВЕС ТМ Зареченские  ПОКОМ</v>
          </cell>
          <cell r="F318">
            <v>125.8</v>
          </cell>
        </row>
        <row r="319">
          <cell r="A319" t="str">
            <v>Ричеза с/к 230 гр.шт.  СПК</v>
          </cell>
          <cell r="D319">
            <v>63</v>
          </cell>
          <cell r="F319">
            <v>63</v>
          </cell>
        </row>
        <row r="320">
          <cell r="A320" t="str">
            <v>Сальчетти с/к 230 гр.шт.  СПК</v>
          </cell>
          <cell r="D320">
            <v>126</v>
          </cell>
          <cell r="F320">
            <v>126</v>
          </cell>
        </row>
        <row r="321">
          <cell r="A321" t="str">
            <v>Салями с перчиком с/к "КолбасГрад" 160 гр.шт. термоус. пак.  СПК</v>
          </cell>
          <cell r="D321">
            <v>66</v>
          </cell>
          <cell r="F321">
            <v>66</v>
          </cell>
        </row>
        <row r="322">
          <cell r="A322" t="str">
            <v>Салями с/к 100 гр.шт.нар. (лоток с ср.защ.атм.)  СПК</v>
          </cell>
          <cell r="D322">
            <v>307</v>
          </cell>
          <cell r="F322">
            <v>307</v>
          </cell>
        </row>
        <row r="323">
          <cell r="A323" t="str">
            <v>Салями Трюфель с/в "Эликатессе" 0,16 кг.шт.  СПК</v>
          </cell>
          <cell r="D323">
            <v>99</v>
          </cell>
          <cell r="F323">
            <v>99</v>
          </cell>
        </row>
        <row r="324">
          <cell r="A324" t="str">
            <v>Сардельки "Докторские" (черева) ( в ср.защ.атм.) 1.0 кг. "Высокий вкус"  СПК</v>
          </cell>
          <cell r="D324">
            <v>70.900000000000006</v>
          </cell>
          <cell r="F324">
            <v>70.900000000000006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18</v>
          </cell>
          <cell r="F325">
            <v>18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41</v>
          </cell>
          <cell r="F326">
            <v>41</v>
          </cell>
        </row>
        <row r="327">
          <cell r="A327" t="str">
            <v>Семейная с чесночком Экстра вареная  СПК</v>
          </cell>
          <cell r="D327">
            <v>8</v>
          </cell>
          <cell r="F327">
            <v>8</v>
          </cell>
        </row>
        <row r="328">
          <cell r="A328" t="str">
            <v>Сервелат Европейский в/к, в/с 0,38 кг.шт.термофор.пак  СПК</v>
          </cell>
          <cell r="D328">
            <v>26</v>
          </cell>
          <cell r="F328">
            <v>26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38</v>
          </cell>
          <cell r="F329">
            <v>38</v>
          </cell>
        </row>
        <row r="330">
          <cell r="A330" t="str">
            <v>Сервелат Финский в/к 0,38 кг.шт. термофор.пак.  СПК</v>
          </cell>
          <cell r="D330">
            <v>17</v>
          </cell>
          <cell r="F330">
            <v>17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204</v>
          </cell>
          <cell r="F331">
            <v>204</v>
          </cell>
        </row>
        <row r="332">
          <cell r="A332" t="str">
            <v>Сервелат Фирменный в/к 250 гр.шт. термоформ.пак.  СПК</v>
          </cell>
          <cell r="D332">
            <v>10</v>
          </cell>
          <cell r="F332">
            <v>10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99</v>
          </cell>
          <cell r="F333">
            <v>99</v>
          </cell>
        </row>
        <row r="334">
          <cell r="A334" t="str">
            <v>Сибирская особая с/к 0,235 кг шт.  СПК</v>
          </cell>
          <cell r="D334">
            <v>134</v>
          </cell>
          <cell r="F334">
            <v>134</v>
          </cell>
        </row>
        <row r="335">
          <cell r="A335" t="str">
            <v>Сосиски "Баварские" 0,36 кг.шт. вак.упак.  СПК</v>
          </cell>
          <cell r="D335">
            <v>19</v>
          </cell>
          <cell r="F335">
            <v>19</v>
          </cell>
        </row>
        <row r="336">
          <cell r="A336" t="str">
            <v>Сосиски "Молочные" 0,36 кг.шт. вак.упак.  СПК</v>
          </cell>
          <cell r="D336">
            <v>10</v>
          </cell>
          <cell r="F336">
            <v>10</v>
          </cell>
        </row>
        <row r="337">
          <cell r="A337" t="str">
            <v>Сосиски Классические (в ср.защ.атм.) СПК</v>
          </cell>
          <cell r="D337">
            <v>13</v>
          </cell>
          <cell r="F337">
            <v>13</v>
          </cell>
        </row>
        <row r="338">
          <cell r="A338" t="str">
            <v>Сосиски Мусульманские "Просто выгодно" (в ср.защ.атм.)  СПК</v>
          </cell>
          <cell r="D338">
            <v>13</v>
          </cell>
          <cell r="F338">
            <v>13</v>
          </cell>
        </row>
        <row r="339">
          <cell r="A339" t="str">
            <v>Сосиски Хот-дог подкопченные (лоток с ср.защ.атм.)  СПК</v>
          </cell>
          <cell r="D339">
            <v>15</v>
          </cell>
          <cell r="F339">
            <v>15</v>
          </cell>
        </row>
        <row r="340">
          <cell r="A340" t="str">
            <v>Сочный мегачебурек ТМ Зареченские ВЕС ПОКОМ</v>
          </cell>
          <cell r="F340">
            <v>140.9</v>
          </cell>
        </row>
        <row r="341">
          <cell r="A341" t="str">
            <v>Торо Неро с/в "Эликатессе" 140 гр.шт.  СПК</v>
          </cell>
          <cell r="D341">
            <v>15</v>
          </cell>
          <cell r="F341">
            <v>15</v>
          </cell>
        </row>
        <row r="342">
          <cell r="A342" t="str">
            <v>Утренняя вареная ВЕС СПК</v>
          </cell>
          <cell r="D342">
            <v>2.5</v>
          </cell>
          <cell r="F342">
            <v>2.5</v>
          </cell>
        </row>
        <row r="343">
          <cell r="A343" t="str">
            <v>Уши свиные копченые к пиву 0,15кг нар. д/ф шт.  СПК</v>
          </cell>
          <cell r="D343">
            <v>34</v>
          </cell>
          <cell r="F343">
            <v>34</v>
          </cell>
        </row>
        <row r="344">
          <cell r="A344" t="str">
            <v>Фестивальная пора с/к 100 гр.шт.нар. (лоток с ср.защ.атм.)  СПК</v>
          </cell>
          <cell r="D344">
            <v>112</v>
          </cell>
          <cell r="F344">
            <v>112</v>
          </cell>
        </row>
        <row r="345">
          <cell r="A345" t="str">
            <v>Фестивальная пора с/к 235 гр.шт.  СПК</v>
          </cell>
          <cell r="D345">
            <v>302</v>
          </cell>
          <cell r="F345">
            <v>302</v>
          </cell>
        </row>
        <row r="346">
          <cell r="A346" t="str">
            <v>Фестивальная пора с/к термоус.пак  СПК</v>
          </cell>
          <cell r="D346">
            <v>11.5</v>
          </cell>
          <cell r="F346">
            <v>11.5</v>
          </cell>
        </row>
        <row r="347">
          <cell r="A347" t="str">
            <v>Фирменная с/к 200 гр. срез "Эликатессе" термоформ.пак.  СПК</v>
          </cell>
          <cell r="D347">
            <v>81</v>
          </cell>
          <cell r="F347">
            <v>81</v>
          </cell>
        </row>
        <row r="348">
          <cell r="A348" t="str">
            <v>Фуэт с/в "Эликатессе" 160 гр.шт.  СПК</v>
          </cell>
          <cell r="D348">
            <v>93</v>
          </cell>
          <cell r="F348">
            <v>93</v>
          </cell>
        </row>
        <row r="349">
          <cell r="A349" t="str">
            <v>Хот-догстер ТМ Горячая штучка ТС Хот-Догстер флоу-пак 0,09 кг. ПОКОМ</v>
          </cell>
          <cell r="D349">
            <v>1</v>
          </cell>
          <cell r="F349">
            <v>291</v>
          </cell>
        </row>
        <row r="350">
          <cell r="A350" t="str">
            <v>Хотстеры с сыром 0,25кг ТМ Горячая штучка  ПОКОМ</v>
          </cell>
          <cell r="D350">
            <v>1</v>
          </cell>
          <cell r="F350">
            <v>550</v>
          </cell>
        </row>
        <row r="351">
          <cell r="A351" t="str">
            <v>Хотстеры ТМ Горячая штучка ТС Хотстеры 0,25 кг зам  ПОКОМ</v>
          </cell>
          <cell r="D351">
            <v>847</v>
          </cell>
          <cell r="F351">
            <v>2474</v>
          </cell>
        </row>
        <row r="352">
          <cell r="A352" t="str">
            <v>Хрустящие крылышки острые к пиву ТМ Горячая штучка 0,3кг зам  ПОКОМ</v>
          </cell>
          <cell r="D352">
            <v>6</v>
          </cell>
          <cell r="F352">
            <v>595</v>
          </cell>
        </row>
        <row r="353">
          <cell r="A353" t="str">
            <v>Хрустящие крылышки ТМ Горячая штучка 0,3 кг зам  ПОКОМ</v>
          </cell>
          <cell r="D353">
            <v>5</v>
          </cell>
          <cell r="F353">
            <v>671</v>
          </cell>
        </row>
        <row r="354">
          <cell r="A354" t="str">
            <v>Чебупели Курочка гриль ТМ Горячая штучка, 0,3 кг зам  ПОКОМ</v>
          </cell>
          <cell r="D354">
            <v>2</v>
          </cell>
          <cell r="F354">
            <v>387</v>
          </cell>
        </row>
        <row r="355">
          <cell r="A355" t="str">
            <v>Чебупицца курочка по-итальянски Горячая штучка 0,25 кг зам  ПОКОМ</v>
          </cell>
          <cell r="D355">
            <v>880</v>
          </cell>
          <cell r="F355">
            <v>2972</v>
          </cell>
        </row>
        <row r="356">
          <cell r="A356" t="str">
            <v>Чебупицца Маргарита 0,2кг ТМ Горячая штучка ТС Foodgital  ПОКОМ</v>
          </cell>
          <cell r="D356">
            <v>1</v>
          </cell>
          <cell r="F356">
            <v>342</v>
          </cell>
        </row>
        <row r="357">
          <cell r="A357" t="str">
            <v>Чебупицца Пепперони ТМ Горячая штучка ТС Чебупицца 0.25кг зам  ПОКОМ</v>
          </cell>
          <cell r="D357">
            <v>1840</v>
          </cell>
          <cell r="F357">
            <v>5776</v>
          </cell>
        </row>
        <row r="358">
          <cell r="A358" t="str">
            <v>Чебупицца со вкусом 4 сыра 0,2кг ТМ Горячая штучка ТС Foodgital  ПОКОМ</v>
          </cell>
          <cell r="D358">
            <v>2</v>
          </cell>
          <cell r="F358">
            <v>282</v>
          </cell>
        </row>
        <row r="359">
          <cell r="A359" t="str">
            <v>Чебуреки Мясные вес 2,7 кг ТМ Зареченские ВЕС ПОКОМ</v>
          </cell>
          <cell r="D359">
            <v>5</v>
          </cell>
          <cell r="F359">
            <v>5</v>
          </cell>
        </row>
        <row r="360">
          <cell r="A360" t="str">
            <v>Чебуреки сочные ВЕС ТМ Зареченские  ПОКОМ</v>
          </cell>
          <cell r="F360">
            <v>955.01</v>
          </cell>
        </row>
        <row r="361">
          <cell r="A361" t="str">
            <v>Шпикачки Русские (черева) (в ср.защ.атм.) "Высокий вкус"  СПК</v>
          </cell>
          <cell r="D361">
            <v>46.8</v>
          </cell>
          <cell r="F361">
            <v>46.8</v>
          </cell>
        </row>
        <row r="362">
          <cell r="A362" t="str">
            <v>Эликапреза с/в "Эликатессе" 85 гр.шт. нарезка (лоток с ср.защ.атм.)  СПК</v>
          </cell>
          <cell r="D362">
            <v>34</v>
          </cell>
          <cell r="F362">
            <v>34</v>
          </cell>
        </row>
        <row r="363">
          <cell r="A363" t="str">
            <v>Юбилейная с/к 0,235 кг.шт.  СПК</v>
          </cell>
          <cell r="D363">
            <v>367</v>
          </cell>
          <cell r="F363">
            <v>367</v>
          </cell>
        </row>
        <row r="364">
          <cell r="A364" t="str">
            <v>Итого</v>
          </cell>
          <cell r="D364">
            <v>117878.667</v>
          </cell>
          <cell r="F364">
            <v>289114.96000000002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20.11.2025 - 20.11.2025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40.402000000000001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286.35000000000002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211.44800000000001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323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104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323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84.194000000000003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705.75599999999997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58.067999999999998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119.56100000000001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18.960999999999999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79.972999999999999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76.11</v>
          </cell>
        </row>
        <row r="28">
          <cell r="A28" t="str">
            <v xml:space="preserve"> 247  Сардельки Нежные, ВЕС.  ПОКОМ</v>
          </cell>
          <cell r="D28">
            <v>12.538</v>
          </cell>
        </row>
        <row r="29">
          <cell r="A29" t="str">
            <v xml:space="preserve"> 248  Сардельки Сочные ТМ Особый рецепт,   ПОКОМ</v>
          </cell>
          <cell r="D29">
            <v>25.954999999999998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235.792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49.247999999999998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24.773</v>
          </cell>
        </row>
        <row r="33">
          <cell r="A33" t="str">
            <v xml:space="preserve"> 263  Шпикачки Стародворские, ВЕС.  ПОКОМ</v>
          </cell>
          <cell r="D33">
            <v>292.55900000000003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2.738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0.89600000000000002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1.7509999999999999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215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798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652</v>
          </cell>
        </row>
        <row r="40">
          <cell r="A40" t="str">
            <v xml:space="preserve"> 283  Сосиски Сочинки, ВЕС, ТМ Стародворье ПОКОМ</v>
          </cell>
          <cell r="D40">
            <v>113.342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190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28.97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172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237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29.498999999999999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109.95399999999999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460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307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198.97300000000001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79.832999999999998</v>
          </cell>
        </row>
        <row r="53">
          <cell r="A53" t="str">
            <v xml:space="preserve"> 318  Сосиски Датские ТМ Зареченские, ВЕС  ПОКОМ</v>
          </cell>
          <cell r="D53">
            <v>443.90300000000002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493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694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70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72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144.09800000000001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131</v>
          </cell>
        </row>
        <row r="61">
          <cell r="A61" t="str">
            <v xml:space="preserve"> 335  Колбаса Сливушка ТМ Вязанка. ВЕС.  ПОКОМ </v>
          </cell>
          <cell r="D61">
            <v>43.043999999999997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466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377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105.58199999999999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56.857999999999997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403.63600000000002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64.671000000000006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38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45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76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10.084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87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122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153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163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146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870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2002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115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34.398000000000003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11.494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99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29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58.115000000000002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746.30899999999997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915.76400000000001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1253.337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59.786000000000001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39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6.1070000000000002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333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210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279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189</v>
          </cell>
        </row>
        <row r="97">
          <cell r="A97" t="str">
            <v xml:space="preserve"> 519  Грудинка 0,12 кг нарезка ТМ Стародворье  ПОКОМ</v>
          </cell>
          <cell r="D97">
            <v>74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68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64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83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103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63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3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27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270.08499999999998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14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22</v>
          </cell>
        </row>
        <row r="109">
          <cell r="A109" t="str">
            <v>3215 ВЕТЧ.МЯСНАЯ Папа может п/о 0.4кг 8шт.    ОСТАНКИНО</v>
          </cell>
          <cell r="D109">
            <v>154</v>
          </cell>
        </row>
        <row r="110">
          <cell r="A110" t="str">
            <v>3684 ПРЕСИЖН с/к в/у 1/250 8шт.   ОСТАНКИНО</v>
          </cell>
          <cell r="D110">
            <v>11</v>
          </cell>
        </row>
        <row r="111">
          <cell r="A111" t="str">
            <v>3986 Ароматная с/к в/у 1/250 ОСТАНКИНО</v>
          </cell>
          <cell r="D111">
            <v>118</v>
          </cell>
        </row>
        <row r="112">
          <cell r="A112" t="str">
            <v>4063 МЯСНАЯ Папа может вар п/о_Л   ОСТАНКИНО</v>
          </cell>
          <cell r="D112">
            <v>191.584</v>
          </cell>
        </row>
        <row r="113">
          <cell r="A113" t="str">
            <v>4117 ЭКСТРА Папа может с/к в/у_Л   ОСТАНКИНО</v>
          </cell>
          <cell r="D113">
            <v>5.4619999999999997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21.678000000000001</v>
          </cell>
        </row>
        <row r="115">
          <cell r="A115" t="str">
            <v>4813 ФИЛЕЙНАЯ Папа может вар п/о_Л   ОСТАНКИНО</v>
          </cell>
          <cell r="D115">
            <v>66.305000000000007</v>
          </cell>
        </row>
        <row r="116">
          <cell r="A116" t="str">
            <v>4993 САЛЯМИ ИТАЛЬЯНСКАЯ с/к в/у 1/250*8_120c ОСТАНКИНО</v>
          </cell>
          <cell r="D116">
            <v>59</v>
          </cell>
        </row>
        <row r="117">
          <cell r="A117" t="str">
            <v>5246 ДОКТОРСКАЯ ПРЕМИУМ вар б/о мгс_30с ОСТАНКИНО</v>
          </cell>
          <cell r="D117">
            <v>43.348999999999997</v>
          </cell>
        </row>
        <row r="118">
          <cell r="A118" t="str">
            <v>5247 РУССКАЯ ПРЕМИУМ вар б/о мгс_30с ОСТАНКИНО</v>
          </cell>
          <cell r="D118">
            <v>25.414000000000001</v>
          </cell>
        </row>
        <row r="119">
          <cell r="A119" t="str">
            <v>5483 ЭКСТРА Папа может с/к в/у 1/250 8шт.   ОСТАНКИНО</v>
          </cell>
          <cell r="D119">
            <v>130</v>
          </cell>
        </row>
        <row r="120">
          <cell r="A120" t="str">
            <v>5544 Сервелат Финский в/к в/у_45с НОВАЯ ОСТАНКИНО</v>
          </cell>
          <cell r="D120">
            <v>79.584000000000003</v>
          </cell>
        </row>
        <row r="121">
          <cell r="A121" t="str">
            <v>5679 САЛЯМИ ИТАЛЬЯНСКАЯ с/к в/у 1/150_60с ОСТАНКИНО</v>
          </cell>
          <cell r="D121">
            <v>58</v>
          </cell>
        </row>
        <row r="122">
          <cell r="A122" t="str">
            <v>5682 САЛЯМИ МЕЛКОЗЕРНЕНАЯ с/к в/у 1/120_60с   ОСТАНКИНО</v>
          </cell>
          <cell r="D122">
            <v>256</v>
          </cell>
        </row>
        <row r="123">
          <cell r="A123" t="str">
            <v>5708 ПОСОЛЬСКАЯ Папа может с/к в/у ОСТАНКИНО</v>
          </cell>
          <cell r="D123">
            <v>8.5630000000000006</v>
          </cell>
        </row>
        <row r="124">
          <cell r="A124" t="str">
            <v>5851 ЭКСТРА Папа может вар п/о   ОСТАНКИНО</v>
          </cell>
          <cell r="D124">
            <v>36.636000000000003</v>
          </cell>
        </row>
        <row r="125">
          <cell r="A125" t="str">
            <v>5931 ОХОТНИЧЬЯ Папа может с/к в/у 1/220 8шт.   ОСТАНКИНО</v>
          </cell>
          <cell r="D125">
            <v>204</v>
          </cell>
        </row>
        <row r="126">
          <cell r="A126" t="str">
            <v>6004 РАГУ СВИНОЕ 1кг 8шт.зам_120с ОСТАНКИНО</v>
          </cell>
          <cell r="D126">
            <v>64</v>
          </cell>
        </row>
        <row r="127">
          <cell r="A127" t="str">
            <v>6220 ГОВЯЖЬЯ Папа может вар п/о  ОСТАНКИНО</v>
          </cell>
          <cell r="D127">
            <v>2.6850000000000001</v>
          </cell>
        </row>
        <row r="128">
          <cell r="A128" t="str">
            <v>6221 НЕАПОЛИТАНСКИЙ ДУЭТ с/к с/н мгс 1/90  ОСТАНКИНО</v>
          </cell>
          <cell r="D128">
            <v>32</v>
          </cell>
        </row>
        <row r="129">
          <cell r="A129" t="str">
            <v>6228 МЯСНОЕ АССОРТИ к/з с/н мгс 1/90 10шт.  ОСТАНКИНО</v>
          </cell>
          <cell r="D129">
            <v>57</v>
          </cell>
        </row>
        <row r="130">
          <cell r="A130" t="str">
            <v>6247 ДОМАШНЯЯ Папа может вар п/о 0,4кг 8шт.  ОСТАНКИНО</v>
          </cell>
          <cell r="D130">
            <v>6</v>
          </cell>
        </row>
        <row r="131">
          <cell r="A131" t="str">
            <v>6268 ГОВЯЖЬЯ Папа может вар п/о 0,4кг 8 шт.  ОСТАНКИНО</v>
          </cell>
          <cell r="D131">
            <v>130</v>
          </cell>
        </row>
        <row r="132">
          <cell r="A132" t="str">
            <v>6279 КОРЕЙКА ПО-ОСТ.к/в в/с с/н в/у 1/150_45с  ОСТАНКИНО</v>
          </cell>
          <cell r="D132">
            <v>66</v>
          </cell>
        </row>
        <row r="133">
          <cell r="A133" t="str">
            <v>6303 МЯСНЫЕ Папа может сос п/о мгс 1.5*3  ОСТАНКИНО</v>
          </cell>
          <cell r="D133">
            <v>143.21600000000001</v>
          </cell>
        </row>
        <row r="134">
          <cell r="A134" t="str">
            <v>6324 ДОКТОРСКАЯ ГОСТ вар п/о 0.4кг 8шт.  ОСТАНКИНО</v>
          </cell>
          <cell r="D134">
            <v>1</v>
          </cell>
        </row>
        <row r="135">
          <cell r="A135" t="str">
            <v>6325 ДОКТОРСКАЯ ПРЕМИУМ вар п/о 0.4кг 8шт.  ОСТАНКИНО</v>
          </cell>
          <cell r="D135">
            <v>248</v>
          </cell>
        </row>
        <row r="136">
          <cell r="A136" t="str">
            <v>6333 МЯСНАЯ Папа может вар п/о 0.4кг 8шт.  ОСТАНКИНО</v>
          </cell>
          <cell r="D136">
            <v>462</v>
          </cell>
        </row>
        <row r="137">
          <cell r="A137" t="str">
            <v>6340 ДОМАШНИЙ РЕЦЕПТ Коровино 0.5кг 8шт.  ОСТАНКИНО</v>
          </cell>
          <cell r="D137">
            <v>53</v>
          </cell>
        </row>
        <row r="138">
          <cell r="A138" t="str">
            <v>6353 ЭКСТРА Папа может вар п/о 0.4кг 8шт.  ОСТАНКИНО</v>
          </cell>
          <cell r="D138">
            <v>195</v>
          </cell>
        </row>
        <row r="139">
          <cell r="A139" t="str">
            <v>6392 ФИЛЕЙНАЯ Папа может вар п/о 0.4кг. ОСТАНКИНО</v>
          </cell>
          <cell r="D139">
            <v>463</v>
          </cell>
        </row>
        <row r="140">
          <cell r="A140" t="str">
            <v>6448 СВИНИНА МАДЕРА с/к с/н в/у 1/100 10шт.   ОСТАНКИНО</v>
          </cell>
          <cell r="D140">
            <v>14</v>
          </cell>
        </row>
        <row r="141">
          <cell r="A141" t="str">
            <v>6453 ЭКСТРА Папа может с/к с/н в/у 1/100 14шт.   ОСТАНКИНО</v>
          </cell>
          <cell r="D141">
            <v>353</v>
          </cell>
        </row>
        <row r="142">
          <cell r="A142" t="str">
            <v>6454 АРОМАТНАЯ с/к с/н в/у 1/100 10шт.  ОСТАНКИНО</v>
          </cell>
          <cell r="D142">
            <v>287</v>
          </cell>
        </row>
        <row r="143">
          <cell r="A143" t="str">
            <v>6459 СЕРВЕЛАТ ШВЕЙЦАРСК. в/к с/н в/у 1/100*10  ОСТАНКИНО</v>
          </cell>
          <cell r="D143">
            <v>136</v>
          </cell>
        </row>
        <row r="144">
          <cell r="A144" t="str">
            <v>6470 ВЕТЧ.МРАМОРНАЯ в/у_45с  ОСТАНКИНО</v>
          </cell>
          <cell r="D144">
            <v>4.84</v>
          </cell>
        </row>
        <row r="145">
          <cell r="A145" t="str">
            <v>6495 ВЕТЧ.МРАМОРНАЯ в/у срез 0.3кг 6шт_45с  ОСТАНКИНО</v>
          </cell>
          <cell r="D145">
            <v>61</v>
          </cell>
        </row>
        <row r="146">
          <cell r="A146" t="str">
            <v>6527 ШПИКАЧКИ СОЧНЫЕ ПМ сар б/о мгс 1*3 45с ОСТАНКИНО</v>
          </cell>
          <cell r="D146">
            <v>67.463999999999999</v>
          </cell>
        </row>
        <row r="147">
          <cell r="A147" t="str">
            <v>6528 ШПИКАЧКИ СОЧНЫЕ ПМ сар б/о мгс 0.4кг 45с  ОСТАНКИНО</v>
          </cell>
          <cell r="D147">
            <v>7</v>
          </cell>
        </row>
        <row r="148">
          <cell r="A148" t="str">
            <v>6586 МРАМОРНАЯ И БАЛЫКОВАЯ в/к с/н мгс 1/90 ОСТАНКИНО</v>
          </cell>
          <cell r="D148">
            <v>-1</v>
          </cell>
        </row>
        <row r="149">
          <cell r="A149" t="str">
            <v>6609 С ГОВЯДИНОЙ ПМ сар б/о мгс 0.4кг_45с ОСТАНКИНО</v>
          </cell>
          <cell r="D149">
            <v>1</v>
          </cell>
        </row>
        <row r="150">
          <cell r="A150" t="str">
            <v>6616 МОЛОЧНЫЕ КЛАССИЧЕСКИЕ сос п/о в/у 0.3кг  ОСТАНКИНО</v>
          </cell>
          <cell r="D150">
            <v>199</v>
          </cell>
        </row>
        <row r="151">
          <cell r="A151" t="str">
            <v>6697 СЕРВЕЛАТ ФИНСКИЙ ПМ в/к в/у 0,35кг 8шт.  ОСТАНКИНО</v>
          </cell>
          <cell r="D151">
            <v>544</v>
          </cell>
        </row>
        <row r="152">
          <cell r="A152" t="str">
            <v>6713 СОЧНЫЙ ГРИЛЬ ПМ сос п/о мгс 0.41кг 8шт.  ОСТАНКИНО</v>
          </cell>
          <cell r="D152">
            <v>111</v>
          </cell>
        </row>
        <row r="153">
          <cell r="A153" t="str">
            <v>6724 МОЛОЧНЫЕ ПМ сос п/о мгс 0.41кг 10шт.  ОСТАНКИНО</v>
          </cell>
          <cell r="D153">
            <v>116</v>
          </cell>
        </row>
        <row r="154">
          <cell r="A154" t="str">
            <v>6765 РУБЛЕНЫЕ сос ц/о мгс 0.36кг 6шт.  ОСТАНКИНО</v>
          </cell>
          <cell r="D154">
            <v>98</v>
          </cell>
        </row>
        <row r="155">
          <cell r="A155" t="str">
            <v>6785 ВЕНСКАЯ САЛЯМИ п/к в/у 0.33кг 8шт.  ОСТАНКИНО</v>
          </cell>
          <cell r="D155">
            <v>28</v>
          </cell>
        </row>
        <row r="156">
          <cell r="A156" t="str">
            <v>6787 СЕРВЕЛАТ КРЕМЛЕВСКИЙ в/к в/у 0,33кг 8шт.  ОСТАНКИНО</v>
          </cell>
          <cell r="D156">
            <v>16</v>
          </cell>
        </row>
        <row r="157">
          <cell r="A157" t="str">
            <v>6793 БАЛЫКОВАЯ в/к в/у 0,33кг 8шт.  ОСТАНКИНО</v>
          </cell>
          <cell r="D157">
            <v>36</v>
          </cell>
        </row>
        <row r="158">
          <cell r="A158" t="str">
            <v>6829 МОЛОЧНЫЕ КЛАССИЧЕСКИЕ сос п/о мгс 2*4_С  ОСТАНКИНО</v>
          </cell>
          <cell r="D158">
            <v>85.863</v>
          </cell>
        </row>
        <row r="159">
          <cell r="A159" t="str">
            <v>6837 ФИЛЕЙНЫЕ Папа Может сос ц/о мгс 0.4кг  ОСТАНКИНО</v>
          </cell>
          <cell r="D159">
            <v>130</v>
          </cell>
        </row>
        <row r="160">
          <cell r="A160" t="str">
            <v>6842 ДЫМОВИЦА ИЗ ОКОРОКА к/в мл/к в/у 0,3кг  ОСТАНКИНО</v>
          </cell>
        </row>
        <row r="161">
          <cell r="A161" t="str">
            <v>6861 ДОМАШНИЙ РЕЦЕПТ Коровино вар п/о  ОСТАНКИНО</v>
          </cell>
          <cell r="D161">
            <v>13.914</v>
          </cell>
        </row>
        <row r="162">
          <cell r="A162" t="str">
            <v>6866 ВЕТЧ.НЕЖНАЯ Коровино п/о_Маяк  ОСТАНКИНО</v>
          </cell>
          <cell r="D162">
            <v>13.59</v>
          </cell>
        </row>
        <row r="163">
          <cell r="A163" t="str">
            <v>7001 КЛАССИЧЕСКИЕ Папа может сар б/о мгс 1*3  ОСТАНКИНО</v>
          </cell>
          <cell r="D163">
            <v>38.993000000000002</v>
          </cell>
        </row>
        <row r="164">
          <cell r="A164" t="str">
            <v>7040 С ИНДЕЙКОЙ ПМ сос ц/о в/у 1/270 8шт.  ОСТАНКИНО</v>
          </cell>
          <cell r="D164">
            <v>27</v>
          </cell>
        </row>
        <row r="165">
          <cell r="A165" t="str">
            <v>7059 ШПИКАЧКИ СОЧНЫЕ С БЕК. п/о мгс 0.3кг_60с  ОСТАНКИНО</v>
          </cell>
          <cell r="D165">
            <v>48</v>
          </cell>
        </row>
        <row r="166">
          <cell r="A166" t="str">
            <v>7066 СОЧНЫЕ ПМ сос п/о мгс 0.41кг 10шт_50с  ОСТАНКИНО</v>
          </cell>
          <cell r="D166">
            <v>518</v>
          </cell>
        </row>
        <row r="167">
          <cell r="A167" t="str">
            <v>7070 СОЧНЫЕ ПМ сос п/о мгс 1.5*4_А_50с  ОСТАНКИНО</v>
          </cell>
          <cell r="D167">
            <v>290.464</v>
          </cell>
        </row>
        <row r="168">
          <cell r="A168" t="str">
            <v>7073 МОЛОЧ.ПРЕМИУМ ПМ сос п/о в/у 1/350_50с  ОСТАНКИНО</v>
          </cell>
          <cell r="D168">
            <v>201</v>
          </cell>
        </row>
        <row r="169">
          <cell r="A169" t="str">
            <v>7075 МОЛОЧ.ПРЕМИУМ ПМ сос п/о мгс 1.5*4_О_50с  ОСТАНКИНО</v>
          </cell>
          <cell r="D169">
            <v>14.058</v>
          </cell>
        </row>
        <row r="170">
          <cell r="A170" t="str">
            <v>7077 МЯСНЫЕ С ГОВЯД.ПМ сос п/о мгс 0.4кг_50с  ОСТАНКИНО</v>
          </cell>
          <cell r="D170">
            <v>266</v>
          </cell>
        </row>
        <row r="171">
          <cell r="A171" t="str">
            <v>7080 СЛИВОЧНЫЕ ПМ сос п/о мгс 0.41кг 10шт. 50с  ОСТАНКИНО</v>
          </cell>
          <cell r="D171">
            <v>418</v>
          </cell>
        </row>
        <row r="172">
          <cell r="A172" t="str">
            <v>7082 СЛИВОЧНЫЕ ПМ сос п/о мгс 1.5*4_50с  ОСТАНКИНО</v>
          </cell>
          <cell r="D172">
            <v>31.268000000000001</v>
          </cell>
        </row>
        <row r="173">
          <cell r="A173" t="str">
            <v>7087 ШПИК С ЧЕСНОК.И ПЕРЦЕМ к/в в/у 0.3кг_50с  ОСТАНКИНО</v>
          </cell>
          <cell r="D173">
            <v>34</v>
          </cell>
        </row>
        <row r="174">
          <cell r="A174" t="str">
            <v>7090 СВИНИНА ПО-ДОМ. к/в мл/к в/у 0.3кг_50с  ОСТАНКИНО</v>
          </cell>
          <cell r="D174">
            <v>70</v>
          </cell>
        </row>
        <row r="175">
          <cell r="A175" t="str">
            <v>7092 БЕКОН Папа может с/к с/н в/у 1/140_50с  ОСТАНКИНО</v>
          </cell>
          <cell r="D175">
            <v>172</v>
          </cell>
        </row>
        <row r="176">
          <cell r="A176" t="str">
            <v>7149 БАЛЫКОВАЯ Коровино п/к в/у 0.84кг_50с  ОСТАНКИНО</v>
          </cell>
          <cell r="D176">
            <v>10</v>
          </cell>
        </row>
        <row r="177">
          <cell r="A177" t="str">
            <v>7154 СЕРВЕЛАТ ЗЕРНИСТЫЙ ПМ в/к в/у 0.35кг_50с  ОСТАНКИНО</v>
          </cell>
          <cell r="D177">
            <v>408</v>
          </cell>
        </row>
        <row r="178">
          <cell r="A178" t="str">
            <v>7157 СЕРВЕЛАТ ЗЕРНИСНЫЙ ПМ в/к в/у_50с  ОСТАНКИНО</v>
          </cell>
          <cell r="D178">
            <v>22.201000000000001</v>
          </cell>
        </row>
        <row r="179">
          <cell r="A179" t="str">
            <v>7166 СЕРВЕЛТ ОХОТНИЧИЙ ПМ в/к в/у_50с  ОСТАНКИНО</v>
          </cell>
          <cell r="D179">
            <v>51.048999999999999</v>
          </cell>
        </row>
        <row r="180">
          <cell r="A180" t="str">
            <v>7169 СЕРВЕЛАТ ОХОТНИЧИЙ ПМ в/к в/у 0.35кг_50с  ОСТАНКИНО</v>
          </cell>
          <cell r="D180">
            <v>434</v>
          </cell>
        </row>
        <row r="181">
          <cell r="A181" t="str">
            <v>7187 ГРУДИНКА ПРЕМИУМ к/в мл/к в/у 0,3кг_50с ОСТАНКИНО</v>
          </cell>
          <cell r="D181">
            <v>71</v>
          </cell>
        </row>
        <row r="182">
          <cell r="A182" t="str">
            <v>7231 КЛАССИЧЕСКАЯ ПМ вар п/о 0,3кг 8шт_209к ОСТАНКИНО</v>
          </cell>
          <cell r="D182">
            <v>88</v>
          </cell>
        </row>
        <row r="183">
          <cell r="A183" t="str">
            <v>7232 БОЯNСКАЯ ПМ п/к в/у 0,28кг 8шт_209к ОСТАНКИНО</v>
          </cell>
          <cell r="D183">
            <v>242</v>
          </cell>
        </row>
        <row r="184">
          <cell r="A184" t="str">
            <v>7235 ВЕТЧ.КЛАССИЧЕСКАЯ ПМ п/о 0,35кг 8шт_209к ОСТАНКИНО</v>
          </cell>
          <cell r="D184">
            <v>10</v>
          </cell>
        </row>
        <row r="185">
          <cell r="A185" t="str">
            <v>7236 СЕРВЕЛАТ КАРЕЛЬСКИЙ в/к в/у 0,28кг_209к ОСТАНКИНО</v>
          </cell>
          <cell r="D185">
            <v>466</v>
          </cell>
        </row>
        <row r="186">
          <cell r="A186" t="str">
            <v>7241 САЛЯМИ Папа может п/к в/у 0,28кг_209к ОСТАНКИНО</v>
          </cell>
          <cell r="D186">
            <v>163</v>
          </cell>
        </row>
        <row r="187">
          <cell r="A187" t="str">
            <v>7245 ВЕТЧ.ФИЛЕЙНАЯ ПМ п/о 0,4кг 8шт ОСТАНКИНО</v>
          </cell>
          <cell r="D187">
            <v>10</v>
          </cell>
        </row>
        <row r="188">
          <cell r="A188" t="str">
            <v>7255 МЯСНЫЕ С ГОВЯД. ПМ сос п/о мгс 0,4кг 6шт.  ОСТАНКИНО</v>
          </cell>
          <cell r="D188">
            <v>7</v>
          </cell>
        </row>
        <row r="189">
          <cell r="A189" t="str">
            <v>7271 МЯСНЫЕ С ГОВЯДИНОЙ ПМ сос п/о мгс 1.5*4 ВЕС  ОСТАНКИНО</v>
          </cell>
          <cell r="D189">
            <v>23.117000000000001</v>
          </cell>
        </row>
        <row r="190">
          <cell r="A190" t="str">
            <v>7284 ДЛЯ ДЕТЕЙ сос п/о мгс 0,33кг 6шт  ОСТАНКИНО</v>
          </cell>
          <cell r="D190">
            <v>28</v>
          </cell>
        </row>
        <row r="191">
          <cell r="A191" t="str">
            <v>7299 НАБОР ДЛЯ ПИЦЦЫ Папа может с/к в/у  ОСТАНКИНО</v>
          </cell>
          <cell r="D191">
            <v>0.39200000000000002</v>
          </cell>
        </row>
        <row r="192">
          <cell r="A192" t="str">
            <v>7332 БОЯРСКАЯ ПМ п/к в/у 0.28кг_СНГ  ОСТАНКИНО</v>
          </cell>
          <cell r="D192">
            <v>4</v>
          </cell>
        </row>
        <row r="193">
          <cell r="A193" t="str">
            <v>7333 СЕРВЕЛАТ ОХОТНИЧИЙ ПМ в/к в/у 0.28кг_СНГ  ОСТАНКИНО</v>
          </cell>
          <cell r="D193">
            <v>13</v>
          </cell>
        </row>
        <row r="194">
          <cell r="A194" t="str">
            <v>7343 СЕЙЧАС СЕЗОН ПМ вар п/о 0,4кг  ОСТАНКИНО</v>
          </cell>
          <cell r="D194">
            <v>31</v>
          </cell>
        </row>
        <row r="195">
          <cell r="A195" t="str">
            <v>8950 Масло сливочное ПАПА МОЖЕТ 72,5%, фас. в фольгу, 180гр  ОСТАНКИНО</v>
          </cell>
          <cell r="D195">
            <v>61</v>
          </cell>
        </row>
        <row r="196">
          <cell r="A196" t="str">
            <v>8967 Масло "Папа может" 82,5% 180гр  ОСТАНКИНО</v>
          </cell>
          <cell r="D196">
            <v>53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12</v>
          </cell>
        </row>
        <row r="198">
          <cell r="A198" t="str">
            <v>Балыковая с/к 200 гр. срез "Эликатессе" термоформ.пак.  СПК</v>
          </cell>
          <cell r="D198">
            <v>11</v>
          </cell>
        </row>
        <row r="199">
          <cell r="A199" t="str">
            <v>БОНУС МОЛОЧНЫЕ КЛАССИЧЕСКИЕ сос п/о в/у 0.3кг (6084)  ОСТАНКИНО</v>
          </cell>
          <cell r="D199">
            <v>16</v>
          </cell>
        </row>
        <row r="200">
          <cell r="A200" t="str">
            <v>БОНУС МОЛОЧНЫЕ КЛАССИЧЕСКИЕ сос п/о мгс 2*4_С (4980)  ОСТАНКИНО</v>
          </cell>
          <cell r="D200">
            <v>4.165</v>
          </cell>
        </row>
        <row r="201">
          <cell r="A201" t="str">
            <v>БОНУС СОЧНЫЕ Папа может сос п/о мгс 1.5*4 (6954)  ОСТАНКИНО</v>
          </cell>
          <cell r="D201">
            <v>1.583</v>
          </cell>
        </row>
        <row r="202">
          <cell r="A202" t="str">
            <v>БОНУС СОЧНЫЕ сос п/о мгс 0.41кг_UZ (6087)  ОСТАНКИНО</v>
          </cell>
          <cell r="D202">
            <v>29</v>
          </cell>
        </row>
        <row r="203">
          <cell r="A203" t="str">
            <v>Вацлавская п/к (черева) 390 гр.шт. термоус.пак  СПК</v>
          </cell>
          <cell r="D203">
            <v>5</v>
          </cell>
        </row>
        <row r="204">
          <cell r="A204" t="str">
            <v>Готовые бельмеши сочные с мясом ТМ Горячая штучка 0,3кг зам  ПОКОМ</v>
          </cell>
          <cell r="D204">
            <v>85</v>
          </cell>
        </row>
        <row r="205">
          <cell r="A205" t="str">
            <v>Готовые чебупели острые с мясом 0,24кг ТМ Горячая штучка  ПОКОМ</v>
          </cell>
          <cell r="D205">
            <v>91</v>
          </cell>
        </row>
        <row r="206">
          <cell r="A206" t="str">
            <v>Готовые чебупели с ветчиной и сыром ТМ Горячая штучка флоу-пак 0,24 кг.  ПОКОМ</v>
          </cell>
          <cell r="D206">
            <v>270</v>
          </cell>
        </row>
        <row r="207">
          <cell r="A207" t="str">
            <v>Готовые чебупели сочные с мясом ТМ Горячая штучка флоу-пак 0,24 кг  ПОКОМ</v>
          </cell>
          <cell r="D207">
            <v>310</v>
          </cell>
        </row>
        <row r="208">
          <cell r="A208" t="str">
            <v>Готовые чебуреки с мясом ТМ Горячая штучка 0,09 кг флоу-пак ПОКОМ</v>
          </cell>
          <cell r="D208">
            <v>86</v>
          </cell>
        </row>
        <row r="209">
          <cell r="A209" t="str">
            <v>Гуцульская с/к "КолбасГрад" 160 гр.шт. термоус. пак  СПК</v>
          </cell>
          <cell r="D209">
            <v>-3</v>
          </cell>
        </row>
        <row r="210">
          <cell r="A210" t="str">
            <v>Дельгаро с/в "Эликатессе" 140 гр.шт.  СПК</v>
          </cell>
          <cell r="D210">
            <v>-7</v>
          </cell>
        </row>
        <row r="211">
          <cell r="A211" t="str">
            <v>Деревенская с чесночком и сальцем п/к (черева) 390 гр.шт. термоус. пак.  СПК</v>
          </cell>
          <cell r="D211">
            <v>14</v>
          </cell>
        </row>
        <row r="212">
          <cell r="A212" t="str">
            <v>Докторская вареная в/с 0,47 кг шт.  СПК</v>
          </cell>
          <cell r="D212">
            <v>1</v>
          </cell>
        </row>
        <row r="213">
          <cell r="A213" t="str">
            <v>Докторская вареная вес. (белк.об.) термоус.пак.  СПК</v>
          </cell>
          <cell r="D213">
            <v>9.1890000000000001</v>
          </cell>
        </row>
        <row r="214">
          <cell r="A214" t="str">
            <v>ЖАР-ладушки с мясом 0,2кг ТМ Стародворье  ПОКОМ</v>
          </cell>
          <cell r="D214">
            <v>89</v>
          </cell>
        </row>
        <row r="215">
          <cell r="A215" t="str">
            <v>Жареные вареники с картофелем и беконом Добросельские 0,2 кг. ТМ Стародворье  ПОКОМ</v>
          </cell>
          <cell r="D215">
            <v>50</v>
          </cell>
        </row>
        <row r="216">
          <cell r="A216" t="str">
            <v>Карбонад Юбилейный термоус.пак.  СПК</v>
          </cell>
          <cell r="D216">
            <v>1.7929999999999999</v>
          </cell>
        </row>
        <row r="217">
          <cell r="A217" t="str">
            <v>Классическая вареная 400 гр.шт.  СПК</v>
          </cell>
          <cell r="D217">
            <v>2</v>
          </cell>
        </row>
        <row r="218">
          <cell r="A218" t="str">
            <v>Классическая с/к 80 гр.шт.нар. (лоток с ср.защ.атм.)  СПК</v>
          </cell>
          <cell r="D218">
            <v>4</v>
          </cell>
        </row>
        <row r="219">
          <cell r="A219" t="str">
            <v>Колбаски Мяснули оригинальные с/к 50 гр.шт. (в ср.защ.атм.)  СПК</v>
          </cell>
          <cell r="D219">
            <v>2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50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70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20</v>
          </cell>
        </row>
        <row r="223">
          <cell r="A223" t="str">
            <v>Круггетсы с сырным соусом ТМ Горячая штучка ТС Круггетсы флоу-пак 0,2 кг  ПОКОМ</v>
          </cell>
          <cell r="D223">
            <v>200</v>
          </cell>
        </row>
        <row r="224">
          <cell r="A224" t="str">
            <v>Круггетсы сочные ТМ Горячая штучка ТС Круггетсы флоу-пак 0,2 кг.  ПОКОМ</v>
          </cell>
          <cell r="D224">
            <v>166</v>
          </cell>
        </row>
        <row r="225">
          <cell r="A225" t="str">
            <v>Ла Фаворте с/в "Эликатессе" 140 гр.шт.  СПК</v>
          </cell>
          <cell r="D225">
            <v>5</v>
          </cell>
        </row>
        <row r="226">
          <cell r="A226" t="str">
            <v>Любительская вареная термоус.пак. "Высокий вкус"  СПК</v>
          </cell>
          <cell r="D226">
            <v>3.806</v>
          </cell>
        </row>
        <row r="227">
          <cell r="A227" t="str">
            <v>Мини-сосиски в тесте 3,7кг ВЕС заморож. ТМ Зареченские  ПОКОМ</v>
          </cell>
          <cell r="D227">
            <v>62.901000000000003</v>
          </cell>
        </row>
        <row r="228">
          <cell r="A228" t="str">
            <v>Мини-чебуречки с мясом ВЕС 5,5кг ТМ Зареченские  ПОКОМ</v>
          </cell>
          <cell r="D228">
            <v>5.5</v>
          </cell>
        </row>
        <row r="229">
          <cell r="A229" t="str">
            <v>Мини-шарики с курочкой и сыром ТМ Зареченские ВЕС  ПОКОМ</v>
          </cell>
          <cell r="D229">
            <v>120</v>
          </cell>
        </row>
        <row r="230">
          <cell r="A230" t="str">
            <v>Наггетсы из печи 0,25кг ТМ Вязанка ТС Няняггетсы Сливушки замор.  ПОКОМ</v>
          </cell>
          <cell r="D230">
            <v>276</v>
          </cell>
        </row>
        <row r="231">
          <cell r="A231" t="str">
            <v>Наггетсы Нагетосы Сочная курочка ТМ Горячая штучка 0,25 кг зам  ПОКОМ</v>
          </cell>
          <cell r="D231">
            <v>238</v>
          </cell>
        </row>
        <row r="232">
          <cell r="A232" t="str">
            <v>Наггетсы с индейкой 0,25кг ТМ Вязанка ТС Няняггетсы Сливушки НД2 замор.  ПОКОМ</v>
          </cell>
          <cell r="D232">
            <v>260</v>
          </cell>
        </row>
        <row r="233">
          <cell r="A233" t="str">
            <v>Наггетсы с куриным филе и сыром ТМ Вязанка 0,25 кг ПОКОМ</v>
          </cell>
          <cell r="D233">
            <v>188</v>
          </cell>
        </row>
        <row r="234">
          <cell r="A234" t="str">
            <v>Наггетсы Хрустящие ТМ Зареченские. ВЕС ПОКОМ</v>
          </cell>
          <cell r="D234">
            <v>354</v>
          </cell>
        </row>
        <row r="235">
          <cell r="A235" t="str">
            <v>Наггетсы Хрустящие ТМ Стародворье с сочной курочкой 0,23 кг  ПОКОМ</v>
          </cell>
          <cell r="D235">
            <v>36</v>
          </cell>
        </row>
        <row r="236">
          <cell r="A236" t="str">
            <v>Оригинальная с перцем с/к  СПК</v>
          </cell>
          <cell r="D236">
            <v>33.003999999999998</v>
          </cell>
        </row>
        <row r="237">
          <cell r="A237" t="str">
            <v>Пекерсы с индейкой в сливочном соусе ТМ Горячая штучка 0,25 кг зам  ПОКОМ</v>
          </cell>
          <cell r="D237">
            <v>93</v>
          </cell>
        </row>
        <row r="238">
          <cell r="A238" t="str">
            <v>Пельмени Grandmeni с говядиной и свининой 0,7кг ТМ Горячая штучка  ПОКОМ</v>
          </cell>
          <cell r="D238">
            <v>15</v>
          </cell>
        </row>
        <row r="239">
          <cell r="A239" t="str">
            <v>Пельмени Бигбули #МЕГАВКУСИЩЕ с сочной грудинкой ТМ Горячая штучка 0,7 кг. ПОКОМ</v>
          </cell>
          <cell r="D239">
            <v>63</v>
          </cell>
        </row>
        <row r="240">
          <cell r="A240" t="str">
            <v>Пельмени Бигбули с мясом ТМ Горячая штучка. флоу-пак сфера 0,4 кг. ПОКОМ</v>
          </cell>
          <cell r="D240">
            <v>43</v>
          </cell>
        </row>
        <row r="241">
          <cell r="A241" t="str">
            <v>Пельмени Бигбули с мясом ТМ Горячая штучка. флоу-пак сфера 0,7 кг ПОКОМ</v>
          </cell>
          <cell r="D241">
            <v>137</v>
          </cell>
        </row>
        <row r="242">
          <cell r="A242" t="str">
            <v>Пельмени Бигбули со сливочным маслом ТМ Горячая штучка, флоу-пак сфера 0,7. ПОКОМ</v>
          </cell>
          <cell r="D242">
            <v>192</v>
          </cell>
        </row>
        <row r="243">
          <cell r="A243" t="str">
            <v>Пельмени Бульмени мини с мясом и оливковым маслом 0,7 кг ТМ Горячая штучка  ПОКОМ</v>
          </cell>
          <cell r="D243">
            <v>98</v>
          </cell>
        </row>
        <row r="244">
          <cell r="A244" t="str">
            <v>Пельмени Бульмени Нейробуст с мясом ТМ Горячая штучка ТС Бульмени ГШ сфера флоу-пак 0,6 кг.  ПОКОМ</v>
          </cell>
          <cell r="D244">
            <v>29</v>
          </cell>
        </row>
        <row r="245">
          <cell r="A245" t="str">
            <v>Пельмени Бульмени с говядиной и свининой Наваристые 5кг Горячая штучка ВЕС  ПОКОМ</v>
          </cell>
          <cell r="D245">
            <v>370</v>
          </cell>
        </row>
        <row r="246">
          <cell r="A246" t="str">
            <v>Пельмени Бульмени с говядиной и свининой СЕВЕРНАЯ КОЛЛЕКЦИЯ 0,7кг ТМ Горячая штучка сфера  ПОКОМ</v>
          </cell>
          <cell r="D246">
            <v>64</v>
          </cell>
        </row>
        <row r="247">
          <cell r="A247" t="str">
            <v>Пельмени Бульмени с говядиной и свининой ТМ Горячая штучка. флоу-пак сфера 0,4 кг ПОКОМ</v>
          </cell>
          <cell r="D247">
            <v>245</v>
          </cell>
        </row>
        <row r="248">
          <cell r="A248" t="str">
            <v>Пельмени Бульмени с говядиной и свининой ТМ Горячая штучка. флоу-пак сфера 0,7 кг ПОКОМ</v>
          </cell>
          <cell r="D248">
            <v>325</v>
          </cell>
        </row>
        <row r="249">
          <cell r="A249" t="str">
            <v>Пельмени Бульмени со сливочным маслом ТМ Горячая штучка. флоу-пак сфера 0,4 кг. ПОКОМ</v>
          </cell>
          <cell r="D249">
            <v>273</v>
          </cell>
        </row>
        <row r="250">
          <cell r="A250" t="str">
            <v>Пельмени Бульмени со сливочным маслом ТМ Горячая штучка.флоу-пак сфера 0,7 кг. ПОКОМ</v>
          </cell>
          <cell r="D250">
            <v>365</v>
          </cell>
        </row>
        <row r="251">
          <cell r="A251" t="str">
            <v>Пельмени Бульмени хрустящие с мясом 0,22 кг ТМ Горячая штучка  ПОКОМ</v>
          </cell>
          <cell r="D251">
            <v>37</v>
          </cell>
        </row>
        <row r="252">
          <cell r="A252" t="str">
            <v>Пельмени Добросельские со свининой и говядиной ТМ Стародворье флоу-пак клас. форма 0,65 кг.  ПОКОМ</v>
          </cell>
          <cell r="D252">
            <v>19</v>
          </cell>
        </row>
        <row r="253">
          <cell r="A253" t="str">
            <v>Пельмени Мясные с говядиной ТМ Стародворье сфера флоу-пак 1 кг  ПОКОМ</v>
          </cell>
          <cell r="D253">
            <v>161</v>
          </cell>
        </row>
        <row r="254">
          <cell r="A254" t="str">
            <v>Пельмени Отборные из свинины и говядины 0,9 кг ТМ Стародворье ТС Медвежье ушко  ПОКОМ</v>
          </cell>
          <cell r="D254">
            <v>121</v>
          </cell>
        </row>
        <row r="255">
          <cell r="A255" t="str">
            <v>Пельмени С говядиной и свининой, ВЕС, сфера пуговки Мясная Галерея  ПОКОМ</v>
          </cell>
          <cell r="D255">
            <v>155</v>
          </cell>
        </row>
        <row r="256">
          <cell r="A256" t="str">
            <v>Пельмени Со свининой и говядиной ТМ Особый рецепт Любимая ложка 1,0 кг  ПОКОМ</v>
          </cell>
          <cell r="D256">
            <v>241</v>
          </cell>
        </row>
        <row r="257">
          <cell r="A257" t="str">
            <v>Пельмени Сочные сфера 0,8 кг ТМ Стародворье  ПОКОМ</v>
          </cell>
          <cell r="D257">
            <v>15</v>
          </cell>
        </row>
        <row r="258">
          <cell r="A258" t="str">
            <v>Пирожки с мясом 3,7кг ВЕС ТМ Зареченские  ПОКОМ</v>
          </cell>
          <cell r="D258">
            <v>37</v>
          </cell>
        </row>
        <row r="259">
          <cell r="A259" t="str">
            <v>Ричеза с/к 230 гр.шт.  СПК</v>
          </cell>
          <cell r="D259">
            <v>2</v>
          </cell>
        </row>
        <row r="260">
          <cell r="A260" t="str">
            <v>Сальчетти с/к 230 гр.шт.  СПК</v>
          </cell>
          <cell r="D260">
            <v>9</v>
          </cell>
        </row>
        <row r="261">
          <cell r="A261" t="str">
            <v>Салями с перчиком с/к "КолбасГрад" 160 гр.шт. термоус. пак.  СПК</v>
          </cell>
          <cell r="D261">
            <v>2</v>
          </cell>
        </row>
        <row r="262">
          <cell r="A262" t="str">
            <v>Салями с/к 100 гр.шт.нар. (лоток с ср.защ.атм.)  СПК</v>
          </cell>
          <cell r="D262">
            <v>2</v>
          </cell>
        </row>
        <row r="263">
          <cell r="A263" t="str">
            <v>Салями Трюфель с/в "Эликатессе" 0,16 кг.шт.  СПК</v>
          </cell>
          <cell r="D263">
            <v>4</v>
          </cell>
        </row>
        <row r="264">
          <cell r="A264" t="str">
            <v>Сардельки "Докторские" (черева) ( в ср.защ.атм.) 1.0 кг. "Высокий вкус"  СПК</v>
          </cell>
          <cell r="D264">
            <v>16.710999999999999</v>
          </cell>
        </row>
        <row r="265">
          <cell r="A265" t="str">
            <v>Сардельки из говядины (черева) (в ср.защ.атм.) "Высокий вкус"  СПК</v>
          </cell>
          <cell r="D265">
            <v>2.7069999999999999</v>
          </cell>
        </row>
        <row r="266">
          <cell r="A266" t="str">
            <v>Сервелат Европейский в/к, в/с 0,38 кг.шт.термофор.пак  СПК</v>
          </cell>
          <cell r="D266">
            <v>1</v>
          </cell>
        </row>
        <row r="267">
          <cell r="A267" t="str">
            <v>Сервелат Фирменный в/к 0,10 кг.шт. нарезка (лоток с ср.защ.атм.)  СПК</v>
          </cell>
          <cell r="D267">
            <v>2</v>
          </cell>
        </row>
        <row r="268">
          <cell r="A268" t="str">
            <v>Сибирская особая с/к 0,10 кг.шт. нарезка (лоток с ср.защ.атм.)  СПК</v>
          </cell>
          <cell r="D268">
            <v>14</v>
          </cell>
        </row>
        <row r="269">
          <cell r="A269" t="str">
            <v>Сибирская особая с/к 0,235 кг шт.  СПК</v>
          </cell>
          <cell r="D269">
            <v>11</v>
          </cell>
        </row>
        <row r="270">
          <cell r="A270" t="str">
            <v>Сосиски "Баварские" 0,36 кг.шт. вак.упак.  СПК</v>
          </cell>
          <cell r="D270">
            <v>14</v>
          </cell>
        </row>
        <row r="271">
          <cell r="A271" t="str">
            <v>Сосиски "Молочные" 0,36 кг.шт. вак.упак.  СПК</v>
          </cell>
          <cell r="D271">
            <v>3</v>
          </cell>
        </row>
        <row r="272">
          <cell r="A272" t="str">
            <v>Сосиски Классические (в ср.защ.атм.) СПК</v>
          </cell>
          <cell r="D272">
            <v>2.4889999999999999</v>
          </cell>
        </row>
        <row r="273">
          <cell r="A273" t="str">
            <v>Сосиски Мусульманские "Просто выгодно" (в ср.защ.атм.)  СПК</v>
          </cell>
          <cell r="D273">
            <v>4.1260000000000003</v>
          </cell>
        </row>
        <row r="274">
          <cell r="A274" t="str">
            <v>Сосиски Хот-дог подкопченные (лоток с ср.защ.атм.)  СПК</v>
          </cell>
          <cell r="D274">
            <v>4.3040000000000003</v>
          </cell>
        </row>
        <row r="275">
          <cell r="A275" t="str">
            <v>Сочный мегачебурек ТМ Зареченские ВЕС ПОКОМ</v>
          </cell>
          <cell r="D275">
            <v>47.04</v>
          </cell>
        </row>
        <row r="276">
          <cell r="A276" t="str">
            <v>Торо Неро с/в "Эликатессе" 140 гр.шт.  СПК</v>
          </cell>
          <cell r="D276">
            <v>7</v>
          </cell>
        </row>
        <row r="277">
          <cell r="A277" t="str">
            <v>Уши свиные копченые к пиву 0,15кг нар. д/ф шт.  СПК</v>
          </cell>
          <cell r="D277">
            <v>3</v>
          </cell>
        </row>
        <row r="278">
          <cell r="A278" t="str">
            <v>Фестивальная пора с/к 100 гр.шт.нар. (лоток с ср.защ.атм.)  СПК</v>
          </cell>
          <cell r="D278">
            <v>2</v>
          </cell>
        </row>
        <row r="279">
          <cell r="A279" t="str">
            <v>Фестивальная пора с/к 235 гр.шт.  СПК</v>
          </cell>
          <cell r="D279">
            <v>22</v>
          </cell>
        </row>
        <row r="280">
          <cell r="A280" t="str">
            <v>Фестивальная пора с/к термоус.пак  СПК</v>
          </cell>
          <cell r="D280">
            <v>-0.628</v>
          </cell>
        </row>
        <row r="281">
          <cell r="A281" t="str">
            <v>Фирменная с/к 200 гр. срез "Эликатессе" термоформ.пак.  СПК</v>
          </cell>
          <cell r="D281">
            <v>5</v>
          </cell>
        </row>
        <row r="282">
          <cell r="A282" t="str">
            <v>Фуэт с/в "Эликатессе" 160 гр.шт.  СПК</v>
          </cell>
          <cell r="D282">
            <v>10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40</v>
          </cell>
        </row>
        <row r="284">
          <cell r="A284" t="str">
            <v>Хотстеры с сыром 0,25кг ТМ Горячая штучка  ПОКОМ</v>
          </cell>
          <cell r="D284">
            <v>113</v>
          </cell>
        </row>
        <row r="285">
          <cell r="A285" t="str">
            <v>Хотстеры ТМ Горячая штучка ТС Хотстеры 0,25 кг зам  ПОКОМ</v>
          </cell>
          <cell r="D285">
            <v>270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98</v>
          </cell>
        </row>
        <row r="287">
          <cell r="A287" t="str">
            <v>Хрустящие крылышки ТМ Горячая штучка 0,3 кг зам  ПОКОМ</v>
          </cell>
          <cell r="D287">
            <v>109</v>
          </cell>
        </row>
        <row r="288">
          <cell r="A288" t="str">
            <v>Чебупели Курочка гриль ТМ Горячая штучка, 0,3 кг зам  ПОКОМ</v>
          </cell>
          <cell r="D288">
            <v>39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485</v>
          </cell>
        </row>
        <row r="290">
          <cell r="A290" t="str">
            <v>Чебупицца Маргарита 0,2кг ТМ Горячая штучка ТС Foodgital  ПОКОМ</v>
          </cell>
          <cell r="D290">
            <v>73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487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75</v>
          </cell>
        </row>
        <row r="293">
          <cell r="A293" t="str">
            <v>Чебуреки сочные ВЕС ТМ Зареченские  ПОКОМ</v>
          </cell>
          <cell r="D293">
            <v>230</v>
          </cell>
        </row>
        <row r="294">
          <cell r="A294" t="str">
            <v>Шпикачки Русские (черева) (в ср.защ.атм.) "Высокий вкус"  СПК</v>
          </cell>
          <cell r="D294">
            <v>8.2889999999999997</v>
          </cell>
        </row>
        <row r="295">
          <cell r="A295" t="str">
            <v>Юбилейная с/к 0,10 кг.шт. нарезка (лоток с ср.защ.атм.)  СПК</v>
          </cell>
          <cell r="D295">
            <v>-1</v>
          </cell>
        </row>
        <row r="296">
          <cell r="A296" t="str">
            <v>Юбилейная с/к 0,235 кг.шт.  СПК</v>
          </cell>
          <cell r="D296">
            <v>39</v>
          </cell>
        </row>
        <row r="297">
          <cell r="A297" t="str">
            <v>Итого</v>
          </cell>
          <cell r="D297">
            <v>39932.582999999999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7" sqref="AN7"/>
    </sheetView>
  </sheetViews>
  <sheetFormatPr defaultColWidth="10.5" defaultRowHeight="11.45" customHeight="1" outlineLevelRow="1" x14ac:dyDescent="0.2"/>
  <cols>
    <col min="1" max="1" width="57.1640625" style="1" customWidth="1"/>
    <col min="2" max="2" width="4.5" style="1" customWidth="1"/>
    <col min="3" max="6" width="8.3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22" width="1.1640625" style="5" customWidth="1"/>
    <col min="23" max="23" width="6.6640625" style="5" bestFit="1" customWidth="1"/>
    <col min="24" max="24" width="6.5" style="5" bestFit="1" customWidth="1"/>
    <col min="25" max="25" width="6.6640625" style="5" customWidth="1"/>
    <col min="26" max="26" width="5.6640625" style="5" bestFit="1" customWidth="1"/>
    <col min="27" max="28" width="1.1640625" style="5" customWidth="1"/>
    <col min="29" max="34" width="6.6640625" style="5" bestFit="1" customWidth="1"/>
    <col min="35" max="35" width="9.33203125" style="5" customWidth="1"/>
    <col min="36" max="36" width="6.33203125" style="5" customWidth="1"/>
    <col min="37" max="38" width="2.164062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>
      <c r="AJ3" s="15" t="s">
        <v>130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128</v>
      </c>
      <c r="M5" s="14" t="s">
        <v>129</v>
      </c>
      <c r="X5" s="14" t="s">
        <v>131</v>
      </c>
      <c r="AD5" s="5" t="s">
        <v>132</v>
      </c>
      <c r="AE5" s="5" t="s">
        <v>133</v>
      </c>
      <c r="AF5" s="14" t="s">
        <v>134</v>
      </c>
      <c r="AG5" s="14" t="s">
        <v>135</v>
      </c>
      <c r="AH5" s="14" t="s">
        <v>136</v>
      </c>
      <c r="AJ5" s="14" t="s">
        <v>131</v>
      </c>
    </row>
    <row r="6" spans="1:39" ht="11.1" customHeight="1" x14ac:dyDescent="0.2">
      <c r="A6" s="6"/>
      <c r="B6" s="6"/>
      <c r="C6" s="3"/>
      <c r="D6" s="3"/>
      <c r="E6" s="12">
        <f>SUM(E7:E156)</f>
        <v>140785.80100000001</v>
      </c>
      <c r="F6" s="12">
        <f>SUM(F7:F156)</f>
        <v>102848.41899999999</v>
      </c>
      <c r="J6" s="12">
        <f>SUM(J7:J156)</f>
        <v>142118.64500000002</v>
      </c>
      <c r="K6" s="12">
        <f t="shared" ref="K6:X6" si="0">SUM(K7:K156)</f>
        <v>-1332.8440000000001</v>
      </c>
      <c r="L6" s="12">
        <f t="shared" si="0"/>
        <v>23430</v>
      </c>
      <c r="M6" s="12">
        <f t="shared" si="0"/>
        <v>28240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24831.635200000004</v>
      </c>
      <c r="X6" s="12">
        <f t="shared" si="0"/>
        <v>28240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16627.625</v>
      </c>
      <c r="AD6" s="12">
        <f t="shared" ref="AD6" si="4">SUM(AD7:AD156)</f>
        <v>24520.541999999998</v>
      </c>
      <c r="AE6" s="12">
        <f t="shared" ref="AE6" si="5">SUM(AE7:AE156)</f>
        <v>24315.114600000001</v>
      </c>
      <c r="AF6" s="12">
        <f t="shared" ref="AF6" si="6">SUM(AF7:AF156)</f>
        <v>26444.387800000008</v>
      </c>
      <c r="AG6" s="12">
        <f t="shared" ref="AG6" si="7">SUM(AG7:AG156)</f>
        <v>24884.171199999997</v>
      </c>
      <c r="AH6" s="12">
        <f t="shared" ref="AH6" si="8">SUM(AH7:AH156)</f>
        <v>21333.915000000005</v>
      </c>
      <c r="AI6" s="12"/>
      <c r="AJ6" s="12">
        <f t="shared" ref="AJ6" si="9">SUM(AJ7:AJ156)</f>
        <v>16098.85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678.73</v>
      </c>
      <c r="D7" s="8">
        <v>502.31799999999998</v>
      </c>
      <c r="E7" s="8">
        <v>481.589</v>
      </c>
      <c r="F7" s="8">
        <v>685.98400000000004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479.89299999999997</v>
      </c>
      <c r="K7" s="13">
        <f>E7-J7</f>
        <v>1.6960000000000264</v>
      </c>
      <c r="L7" s="13">
        <f>VLOOKUP(A:A,[1]TDSheet!$A:$V,22,0)</f>
        <v>100</v>
      </c>
      <c r="M7" s="13">
        <f>VLOOKUP(A:A,[1]TDSheet!$A:$X,24,0)</f>
        <v>100</v>
      </c>
      <c r="N7" s="13"/>
      <c r="O7" s="13"/>
      <c r="P7" s="13"/>
      <c r="Q7" s="13"/>
      <c r="R7" s="13"/>
      <c r="S7" s="13"/>
      <c r="T7" s="13"/>
      <c r="U7" s="13"/>
      <c r="V7" s="13"/>
      <c r="W7" s="13">
        <f>(E7-AC7)/5</f>
        <v>96.317800000000005</v>
      </c>
      <c r="X7" s="16"/>
      <c r="Y7" s="19">
        <f>(F7+L7+M7+X7)/W7</f>
        <v>9.1985489701799672</v>
      </c>
      <c r="Z7" s="13">
        <f>F7/W7</f>
        <v>7.1220895826108981</v>
      </c>
      <c r="AA7" s="13"/>
      <c r="AB7" s="13"/>
      <c r="AC7" s="13">
        <f>VLOOKUP(A:A,[1]TDSheet!$A:$AC,29,0)</f>
        <v>0</v>
      </c>
      <c r="AD7" s="13">
        <f>VLOOKUP(A:A,[1]TDSheet!$A:$AD,30,0)</f>
        <v>84.582799999999992</v>
      </c>
      <c r="AE7" s="13">
        <f>VLOOKUP(A:A,[1]TDSheet!$A:$AE,31,0)</f>
        <v>87.911199999999994</v>
      </c>
      <c r="AF7" s="13">
        <f>VLOOKUP(A:A,[1]TDSheet!$A:$AF,32,0)</f>
        <v>94.776800000000009</v>
      </c>
      <c r="AG7" s="13">
        <f>VLOOKUP(A:A,[1]TDSheet!$A:$AG,33,0)</f>
        <v>87.2042</v>
      </c>
      <c r="AH7" s="13">
        <f>VLOOKUP(A:A,[3]TDSheet!$A:$D,4,0)</f>
        <v>40.402000000000001</v>
      </c>
      <c r="AI7" s="13" t="str">
        <f>VLOOKUP(A:A,[1]TDSheet!$A:$AI,35,0)</f>
        <v>нояяб</v>
      </c>
      <c r="AJ7" s="13">
        <f>X7*H7</f>
        <v>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551.49900000000002</v>
      </c>
      <c r="D8" s="8">
        <v>1943.0830000000001</v>
      </c>
      <c r="E8" s="8">
        <v>1342.3219999999999</v>
      </c>
      <c r="F8" s="8">
        <v>1096.5419999999999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1387.2170000000001</v>
      </c>
      <c r="K8" s="13">
        <f t="shared" ref="K8:K71" si="10">E8-J8</f>
        <v>-44.895000000000209</v>
      </c>
      <c r="L8" s="13">
        <f>VLOOKUP(A:A,[1]TDSheet!$A:$V,22,0)</f>
        <v>250</v>
      </c>
      <c r="M8" s="13">
        <f>VLOOKUP(A:A,[1]TDSheet!$A:$X,24,0)</f>
        <v>320</v>
      </c>
      <c r="N8" s="13"/>
      <c r="O8" s="13"/>
      <c r="P8" s="13"/>
      <c r="Q8" s="13"/>
      <c r="R8" s="13"/>
      <c r="S8" s="13"/>
      <c r="T8" s="13"/>
      <c r="U8" s="13"/>
      <c r="V8" s="13"/>
      <c r="W8" s="13">
        <f t="shared" ref="W8:W71" si="11">(E8-AC8)/5</f>
        <v>268.46439999999996</v>
      </c>
      <c r="X8" s="16">
        <v>260</v>
      </c>
      <c r="Y8" s="19">
        <f t="shared" ref="Y8:Y71" si="12">(F8+L8+M8+X8)/W8</f>
        <v>7.1761544547433482</v>
      </c>
      <c r="Z8" s="13">
        <f t="shared" ref="Z8:Z71" si="13">F8/W8</f>
        <v>4.0844968643887238</v>
      </c>
      <c r="AA8" s="13"/>
      <c r="AB8" s="13"/>
      <c r="AC8" s="13">
        <f>VLOOKUP(A:A,[1]TDSheet!$A:$AC,29,0)</f>
        <v>0</v>
      </c>
      <c r="AD8" s="13">
        <f>VLOOKUP(A:A,[1]TDSheet!$A:$AD,30,0)</f>
        <v>100.5042</v>
      </c>
      <c r="AE8" s="13">
        <f>VLOOKUP(A:A,[1]TDSheet!$A:$AE,31,0)</f>
        <v>119.49480000000001</v>
      </c>
      <c r="AF8" s="13">
        <f>VLOOKUP(A:A,[1]TDSheet!$A:$AF,32,0)</f>
        <v>323.37479999999999</v>
      </c>
      <c r="AG8" s="13">
        <f>VLOOKUP(A:A,[1]TDSheet!$A:$AG,33,0)</f>
        <v>273.2912</v>
      </c>
      <c r="AH8" s="13">
        <f>VLOOKUP(A:A,[3]TDSheet!$A:$D,4,0)</f>
        <v>286.35000000000002</v>
      </c>
      <c r="AI8" s="13" t="str">
        <f>VLOOKUP(A:A,[1]TDSheet!$A:$AI,35,0)</f>
        <v>жц</v>
      </c>
      <c r="AJ8" s="13">
        <f t="shared" ref="AJ8:AJ71" si="14">X8*H8</f>
        <v>260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1024.636</v>
      </c>
      <c r="D9" s="8">
        <v>2220.127</v>
      </c>
      <c r="E9" s="8">
        <v>1642.008</v>
      </c>
      <c r="F9" s="8">
        <v>1556.913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1681.0550000000001</v>
      </c>
      <c r="K9" s="13">
        <f t="shared" si="10"/>
        <v>-39.047000000000025</v>
      </c>
      <c r="L9" s="13">
        <f>VLOOKUP(A:A,[1]TDSheet!$A:$V,22,0)</f>
        <v>100</v>
      </c>
      <c r="M9" s="13">
        <f>VLOOKUP(A:A,[1]TDSheet!$A:$X,24,0)</f>
        <v>360</v>
      </c>
      <c r="N9" s="13"/>
      <c r="O9" s="13"/>
      <c r="P9" s="13"/>
      <c r="Q9" s="13"/>
      <c r="R9" s="13"/>
      <c r="S9" s="13"/>
      <c r="T9" s="13"/>
      <c r="U9" s="13"/>
      <c r="V9" s="13"/>
      <c r="W9" s="13">
        <f t="shared" si="11"/>
        <v>328.40160000000003</v>
      </c>
      <c r="X9" s="16">
        <v>340</v>
      </c>
      <c r="Y9" s="19">
        <f t="shared" si="12"/>
        <v>7.1769230113373377</v>
      </c>
      <c r="Z9" s="13">
        <f t="shared" si="13"/>
        <v>4.7408812868146804</v>
      </c>
      <c r="AA9" s="13"/>
      <c r="AB9" s="13"/>
      <c r="AC9" s="13">
        <f>VLOOKUP(A:A,[1]TDSheet!$A:$AC,29,0)</f>
        <v>0</v>
      </c>
      <c r="AD9" s="13">
        <f>VLOOKUP(A:A,[1]TDSheet!$A:$AD,30,0)</f>
        <v>415.6112</v>
      </c>
      <c r="AE9" s="13">
        <f>VLOOKUP(A:A,[1]TDSheet!$A:$AE,31,0)</f>
        <v>431.65020000000004</v>
      </c>
      <c r="AF9" s="13">
        <f>VLOOKUP(A:A,[1]TDSheet!$A:$AF,32,0)</f>
        <v>369.14879999999999</v>
      </c>
      <c r="AG9" s="13">
        <f>VLOOKUP(A:A,[1]TDSheet!$A:$AG,33,0)</f>
        <v>355.94439999999997</v>
      </c>
      <c r="AH9" s="13">
        <f>VLOOKUP(A:A,[3]TDSheet!$A:$D,4,0)</f>
        <v>211.44800000000001</v>
      </c>
      <c r="AI9" s="13" t="str">
        <f>VLOOKUP(A:A,[1]TDSheet!$A:$AI,35,0)</f>
        <v>оконч</v>
      </c>
      <c r="AJ9" s="13">
        <f t="shared" si="14"/>
        <v>340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564</v>
      </c>
      <c r="D10" s="8">
        <v>3178</v>
      </c>
      <c r="E10" s="8">
        <v>2305</v>
      </c>
      <c r="F10" s="8">
        <v>1423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2305</v>
      </c>
      <c r="K10" s="13">
        <f t="shared" si="10"/>
        <v>0</v>
      </c>
      <c r="L10" s="13">
        <f>VLOOKUP(A:A,[1]TDSheet!$A:$V,22,0)</f>
        <v>600</v>
      </c>
      <c r="M10" s="13">
        <f>VLOOKUP(A:A,[1]TDSheet!$A:$X,24,0)</f>
        <v>550</v>
      </c>
      <c r="N10" s="13"/>
      <c r="O10" s="13"/>
      <c r="P10" s="13"/>
      <c r="Q10" s="13"/>
      <c r="R10" s="13"/>
      <c r="S10" s="13"/>
      <c r="T10" s="13"/>
      <c r="U10" s="13"/>
      <c r="V10" s="13"/>
      <c r="W10" s="13">
        <f t="shared" si="11"/>
        <v>431</v>
      </c>
      <c r="X10" s="16">
        <v>520</v>
      </c>
      <c r="Y10" s="19">
        <f t="shared" si="12"/>
        <v>7.1763341067285387</v>
      </c>
      <c r="Z10" s="13">
        <f t="shared" si="13"/>
        <v>3.3016241299303943</v>
      </c>
      <c r="AA10" s="13"/>
      <c r="AB10" s="13"/>
      <c r="AC10" s="13">
        <f>VLOOKUP(A:A,[1]TDSheet!$A:$AC,29,0)</f>
        <v>150</v>
      </c>
      <c r="AD10" s="13">
        <f>VLOOKUP(A:A,[1]TDSheet!$A:$AD,30,0)</f>
        <v>444.2</v>
      </c>
      <c r="AE10" s="13">
        <f>VLOOKUP(A:A,[1]TDSheet!$A:$AE,31,0)</f>
        <v>402.2</v>
      </c>
      <c r="AF10" s="13">
        <f>VLOOKUP(A:A,[1]TDSheet!$A:$AF,32,0)</f>
        <v>397.6</v>
      </c>
      <c r="AG10" s="13">
        <f>VLOOKUP(A:A,[1]TDSheet!$A:$AG,33,0)</f>
        <v>395.8</v>
      </c>
      <c r="AH10" s="13">
        <f>VLOOKUP(A:A,[3]TDSheet!$A:$D,4,0)</f>
        <v>323</v>
      </c>
      <c r="AI10" s="13" t="str">
        <f>VLOOKUP(A:A,[1]TDSheet!$A:$AI,35,0)</f>
        <v>оконч</v>
      </c>
      <c r="AJ10" s="13">
        <f t="shared" si="14"/>
        <v>208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1860</v>
      </c>
      <c r="D11" s="8">
        <v>6392</v>
      </c>
      <c r="E11" s="8">
        <v>4978</v>
      </c>
      <c r="F11" s="8">
        <v>3225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4990</v>
      </c>
      <c r="K11" s="13">
        <f t="shared" si="10"/>
        <v>-12</v>
      </c>
      <c r="L11" s="13">
        <f>VLOOKUP(A:A,[1]TDSheet!$A:$V,22,0)</f>
        <v>500</v>
      </c>
      <c r="M11" s="13">
        <f>VLOOKUP(A:A,[1]TDSheet!$A:$X,24,0)</f>
        <v>850</v>
      </c>
      <c r="N11" s="13"/>
      <c r="O11" s="13"/>
      <c r="P11" s="13"/>
      <c r="Q11" s="13"/>
      <c r="R11" s="13"/>
      <c r="S11" s="13"/>
      <c r="T11" s="13"/>
      <c r="U11" s="13"/>
      <c r="V11" s="13"/>
      <c r="W11" s="13">
        <f t="shared" si="11"/>
        <v>695.6</v>
      </c>
      <c r="X11" s="16">
        <v>400</v>
      </c>
      <c r="Y11" s="19">
        <f t="shared" si="12"/>
        <v>7.1520989074180559</v>
      </c>
      <c r="Z11" s="13">
        <f t="shared" si="13"/>
        <v>4.6362852213916046</v>
      </c>
      <c r="AA11" s="13"/>
      <c r="AB11" s="13"/>
      <c r="AC11" s="13">
        <f>VLOOKUP(A:A,[1]TDSheet!$A:$AC,29,0)</f>
        <v>1500</v>
      </c>
      <c r="AD11" s="13">
        <f>VLOOKUP(A:A,[1]TDSheet!$A:$AD,30,0)</f>
        <v>882.6</v>
      </c>
      <c r="AE11" s="13">
        <f>VLOOKUP(A:A,[1]TDSheet!$A:$AE,31,0)</f>
        <v>795.6</v>
      </c>
      <c r="AF11" s="13">
        <f>VLOOKUP(A:A,[1]TDSheet!$A:$AF,32,0)</f>
        <v>785.4</v>
      </c>
      <c r="AG11" s="13">
        <f>VLOOKUP(A:A,[1]TDSheet!$A:$AG,33,0)</f>
        <v>732.8</v>
      </c>
      <c r="AH11" s="13">
        <f>VLOOKUP(A:A,[3]TDSheet!$A:$D,4,0)</f>
        <v>396</v>
      </c>
      <c r="AI11" s="13" t="str">
        <f>VLOOKUP(A:A,[1]TDSheet!$A:$AI,35,0)</f>
        <v>продноя</v>
      </c>
      <c r="AJ11" s="13">
        <f t="shared" si="14"/>
        <v>180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1246</v>
      </c>
      <c r="D12" s="8">
        <v>6410</v>
      </c>
      <c r="E12" s="8">
        <v>4115</v>
      </c>
      <c r="F12" s="8">
        <v>3462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4158</v>
      </c>
      <c r="K12" s="13">
        <f t="shared" si="10"/>
        <v>-43</v>
      </c>
      <c r="L12" s="13">
        <f>VLOOKUP(A:A,[1]TDSheet!$A:$V,22,0)</f>
        <v>200</v>
      </c>
      <c r="M12" s="13">
        <f>VLOOKUP(A:A,[1]TDSheet!$A:$X,24,0)</f>
        <v>450</v>
      </c>
      <c r="N12" s="13"/>
      <c r="O12" s="13"/>
      <c r="P12" s="13"/>
      <c r="Q12" s="13"/>
      <c r="R12" s="13"/>
      <c r="S12" s="13"/>
      <c r="T12" s="13"/>
      <c r="U12" s="13"/>
      <c r="V12" s="13"/>
      <c r="W12" s="13">
        <f t="shared" si="11"/>
        <v>682.6</v>
      </c>
      <c r="X12" s="16">
        <v>800</v>
      </c>
      <c r="Y12" s="19">
        <f t="shared" si="12"/>
        <v>7.1960152358628768</v>
      </c>
      <c r="Z12" s="13">
        <f t="shared" si="13"/>
        <v>5.0717843539408145</v>
      </c>
      <c r="AA12" s="13"/>
      <c r="AB12" s="13"/>
      <c r="AC12" s="13">
        <f>VLOOKUP(A:A,[1]TDSheet!$A:$AC,29,0)</f>
        <v>702</v>
      </c>
      <c r="AD12" s="13">
        <f>VLOOKUP(A:A,[1]TDSheet!$A:$AD,30,0)</f>
        <v>644.20000000000005</v>
      </c>
      <c r="AE12" s="13">
        <f>VLOOKUP(A:A,[1]TDSheet!$A:$AE,31,0)</f>
        <v>649.4</v>
      </c>
      <c r="AF12" s="13">
        <f>VLOOKUP(A:A,[1]TDSheet!$A:$AF,32,0)</f>
        <v>807.8</v>
      </c>
      <c r="AG12" s="13">
        <f>VLOOKUP(A:A,[1]TDSheet!$A:$AG,33,0)</f>
        <v>763.4</v>
      </c>
      <c r="AH12" s="13">
        <f>VLOOKUP(A:A,[3]TDSheet!$A:$D,4,0)</f>
        <v>636</v>
      </c>
      <c r="AI12" s="13" t="str">
        <f>VLOOKUP(A:A,[1]TDSheet!$A:$AI,35,0)</f>
        <v>нояяб</v>
      </c>
      <c r="AJ12" s="13">
        <f t="shared" si="14"/>
        <v>360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74</v>
      </c>
      <c r="D13" s="8">
        <v>50</v>
      </c>
      <c r="E13" s="8">
        <v>61</v>
      </c>
      <c r="F13" s="8">
        <v>63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61</v>
      </c>
      <c r="K13" s="13">
        <f t="shared" si="10"/>
        <v>0</v>
      </c>
      <c r="L13" s="13">
        <f>VLOOKUP(A:A,[1]TDSheet!$A:$V,22,0)</f>
        <v>0</v>
      </c>
      <c r="M13" s="13">
        <f>VLOOKUP(A:A,[1]TDSheet!$A:$X,24,0)</f>
        <v>20</v>
      </c>
      <c r="N13" s="13"/>
      <c r="O13" s="13"/>
      <c r="P13" s="13"/>
      <c r="Q13" s="13"/>
      <c r="R13" s="13"/>
      <c r="S13" s="13"/>
      <c r="T13" s="13"/>
      <c r="U13" s="13"/>
      <c r="V13" s="13"/>
      <c r="W13" s="13">
        <f t="shared" si="11"/>
        <v>12.2</v>
      </c>
      <c r="X13" s="16">
        <v>20</v>
      </c>
      <c r="Y13" s="19">
        <f t="shared" si="12"/>
        <v>8.442622950819672</v>
      </c>
      <c r="Z13" s="13">
        <f t="shared" si="13"/>
        <v>5.1639344262295088</v>
      </c>
      <c r="AA13" s="13"/>
      <c r="AB13" s="13"/>
      <c r="AC13" s="13">
        <f>VLOOKUP(A:A,[1]TDSheet!$A:$AC,29,0)</f>
        <v>0</v>
      </c>
      <c r="AD13" s="13">
        <f>VLOOKUP(A:A,[1]TDSheet!$A:$AD,30,0)</f>
        <v>12</v>
      </c>
      <c r="AE13" s="13">
        <f>VLOOKUP(A:A,[1]TDSheet!$A:$AE,31,0)</f>
        <v>14.6</v>
      </c>
      <c r="AF13" s="13">
        <f>VLOOKUP(A:A,[1]TDSheet!$A:$AF,32,0)</f>
        <v>19.399999999999999</v>
      </c>
      <c r="AG13" s="13">
        <f>VLOOKUP(A:A,[1]TDSheet!$A:$AG,33,0)</f>
        <v>12.8</v>
      </c>
      <c r="AH13" s="13">
        <f>VLOOKUP(A:A,[3]TDSheet!$A:$D,4,0)</f>
        <v>23</v>
      </c>
      <c r="AI13" s="13">
        <f>VLOOKUP(A:A,[1]TDSheet!$A:$AI,35,0)</f>
        <v>0</v>
      </c>
      <c r="AJ13" s="13">
        <f t="shared" si="14"/>
        <v>8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315</v>
      </c>
      <c r="D14" s="8">
        <v>516</v>
      </c>
      <c r="E14" s="8">
        <v>299</v>
      </c>
      <c r="F14" s="8">
        <v>529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304</v>
      </c>
      <c r="K14" s="13">
        <f t="shared" si="10"/>
        <v>-5</v>
      </c>
      <c r="L14" s="13">
        <f>VLOOKUP(A:A,[1]TDSheet!$A:$V,22,0)</f>
        <v>0</v>
      </c>
      <c r="M14" s="13">
        <f>VLOOKUP(A:A,[1]TDSheet!$A:$X,24,0)</f>
        <v>0</v>
      </c>
      <c r="N14" s="13"/>
      <c r="O14" s="13"/>
      <c r="P14" s="13"/>
      <c r="Q14" s="13"/>
      <c r="R14" s="13"/>
      <c r="S14" s="13"/>
      <c r="T14" s="13"/>
      <c r="U14" s="13"/>
      <c r="V14" s="13"/>
      <c r="W14" s="13">
        <f t="shared" si="11"/>
        <v>59.8</v>
      </c>
      <c r="X14" s="16"/>
      <c r="Y14" s="19">
        <f t="shared" si="12"/>
        <v>8.8461538461538467</v>
      </c>
      <c r="Z14" s="13">
        <f t="shared" si="13"/>
        <v>8.8461538461538467</v>
      </c>
      <c r="AA14" s="13"/>
      <c r="AB14" s="13"/>
      <c r="AC14" s="13">
        <f>VLOOKUP(A:A,[1]TDSheet!$A:$AC,29,0)</f>
        <v>0</v>
      </c>
      <c r="AD14" s="13">
        <f>VLOOKUP(A:A,[1]TDSheet!$A:$AD,30,0)</f>
        <v>55.2</v>
      </c>
      <c r="AE14" s="13">
        <f>VLOOKUP(A:A,[1]TDSheet!$A:$AE,31,0)</f>
        <v>60.4</v>
      </c>
      <c r="AF14" s="13">
        <f>VLOOKUP(A:A,[1]TDSheet!$A:$AF,32,0)</f>
        <v>77</v>
      </c>
      <c r="AG14" s="13">
        <f>VLOOKUP(A:A,[1]TDSheet!$A:$AG,33,0)</f>
        <v>68.599999999999994</v>
      </c>
      <c r="AH14" s="13">
        <f>VLOOKUP(A:A,[3]TDSheet!$A:$D,4,0)</f>
        <v>79</v>
      </c>
      <c r="AI14" s="13">
        <f>VLOOKUP(A:A,[1]TDSheet!$A:$AI,35,0)</f>
        <v>0</v>
      </c>
      <c r="AJ14" s="13">
        <f t="shared" si="14"/>
        <v>0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193</v>
      </c>
      <c r="D15" s="8">
        <v>426</v>
      </c>
      <c r="E15" s="8">
        <v>399</v>
      </c>
      <c r="F15" s="8">
        <v>217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403</v>
      </c>
      <c r="K15" s="13">
        <f t="shared" si="10"/>
        <v>-4</v>
      </c>
      <c r="L15" s="13">
        <f>VLOOKUP(A:A,[1]TDSheet!$A:$V,22,0)</f>
        <v>90</v>
      </c>
      <c r="M15" s="13">
        <f>VLOOKUP(A:A,[1]TDSheet!$A:$X,24,0)</f>
        <v>90</v>
      </c>
      <c r="N15" s="13"/>
      <c r="O15" s="13"/>
      <c r="P15" s="13"/>
      <c r="Q15" s="13"/>
      <c r="R15" s="13"/>
      <c r="S15" s="13"/>
      <c r="T15" s="13"/>
      <c r="U15" s="13"/>
      <c r="V15" s="13"/>
      <c r="W15" s="13">
        <f t="shared" si="11"/>
        <v>79.8</v>
      </c>
      <c r="X15" s="16">
        <v>170</v>
      </c>
      <c r="Y15" s="19">
        <f t="shared" si="12"/>
        <v>7.1052631578947372</v>
      </c>
      <c r="Z15" s="13">
        <f t="shared" si="13"/>
        <v>2.7192982456140351</v>
      </c>
      <c r="AA15" s="13"/>
      <c r="AB15" s="13"/>
      <c r="AC15" s="13">
        <f>VLOOKUP(A:A,[1]TDSheet!$A:$AC,29,0)</f>
        <v>0</v>
      </c>
      <c r="AD15" s="13">
        <f>VLOOKUP(A:A,[1]TDSheet!$A:$AD,30,0)</f>
        <v>76.2</v>
      </c>
      <c r="AE15" s="13">
        <f>VLOOKUP(A:A,[1]TDSheet!$A:$AE,31,0)</f>
        <v>80.599999999999994</v>
      </c>
      <c r="AF15" s="13">
        <f>VLOOKUP(A:A,[1]TDSheet!$A:$AF,32,0)</f>
        <v>81.400000000000006</v>
      </c>
      <c r="AG15" s="13">
        <f>VLOOKUP(A:A,[1]TDSheet!$A:$AG,33,0)</f>
        <v>68</v>
      </c>
      <c r="AH15" s="13">
        <f>VLOOKUP(A:A,[3]TDSheet!$A:$D,4,0)</f>
        <v>104</v>
      </c>
      <c r="AI15" s="13">
        <f>VLOOKUP(A:A,[1]TDSheet!$A:$AI,35,0)</f>
        <v>0</v>
      </c>
      <c r="AJ15" s="13">
        <f t="shared" si="14"/>
        <v>51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1785</v>
      </c>
      <c r="D16" s="8">
        <v>2038</v>
      </c>
      <c r="E16" s="8">
        <v>1339</v>
      </c>
      <c r="F16" s="8">
        <v>2463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1374</v>
      </c>
      <c r="K16" s="13">
        <f t="shared" si="10"/>
        <v>-35</v>
      </c>
      <c r="L16" s="13">
        <f>VLOOKUP(A:A,[1]TDSheet!$A:$V,22,0)</f>
        <v>0</v>
      </c>
      <c r="M16" s="13">
        <f>VLOOKUP(A:A,[1]TDSheet!$A:$X,24,0)</f>
        <v>0</v>
      </c>
      <c r="N16" s="13"/>
      <c r="O16" s="13"/>
      <c r="P16" s="13"/>
      <c r="Q16" s="13"/>
      <c r="R16" s="13"/>
      <c r="S16" s="13"/>
      <c r="T16" s="13"/>
      <c r="U16" s="13"/>
      <c r="V16" s="13"/>
      <c r="W16" s="13">
        <f t="shared" si="11"/>
        <v>267.8</v>
      </c>
      <c r="X16" s="16"/>
      <c r="Y16" s="19">
        <f t="shared" si="12"/>
        <v>9.1971620612397302</v>
      </c>
      <c r="Z16" s="13">
        <f t="shared" si="13"/>
        <v>9.1971620612397302</v>
      </c>
      <c r="AA16" s="13"/>
      <c r="AB16" s="13"/>
      <c r="AC16" s="13">
        <f>VLOOKUP(A:A,[1]TDSheet!$A:$AC,29,0)</f>
        <v>0</v>
      </c>
      <c r="AD16" s="13">
        <f>VLOOKUP(A:A,[1]TDSheet!$A:$AD,30,0)</f>
        <v>268.60000000000002</v>
      </c>
      <c r="AE16" s="13">
        <f>VLOOKUP(A:A,[1]TDSheet!$A:$AE,31,0)</f>
        <v>272</v>
      </c>
      <c r="AF16" s="13">
        <f>VLOOKUP(A:A,[1]TDSheet!$A:$AF,32,0)</f>
        <v>335.6</v>
      </c>
      <c r="AG16" s="13">
        <f>VLOOKUP(A:A,[1]TDSheet!$A:$AG,33,0)</f>
        <v>268.2</v>
      </c>
      <c r="AH16" s="13">
        <f>VLOOKUP(A:A,[3]TDSheet!$A:$D,4,0)</f>
        <v>323</v>
      </c>
      <c r="AI16" s="13">
        <f>VLOOKUP(A:A,[1]TDSheet!$A:$AI,35,0)</f>
        <v>0</v>
      </c>
      <c r="AJ16" s="13">
        <f t="shared" si="14"/>
        <v>0</v>
      </c>
      <c r="AK16" s="13"/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538</v>
      </c>
      <c r="D17" s="8">
        <v>354</v>
      </c>
      <c r="E17" s="8">
        <v>334</v>
      </c>
      <c r="F17" s="8">
        <v>541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334</v>
      </c>
      <c r="K17" s="13">
        <f t="shared" si="10"/>
        <v>0</v>
      </c>
      <c r="L17" s="13">
        <f>VLOOKUP(A:A,[1]TDSheet!$A:$V,22,0)</f>
        <v>50</v>
      </c>
      <c r="M17" s="13">
        <f>VLOOKUP(A:A,[1]TDSheet!$A:$X,24,0)</f>
        <v>40</v>
      </c>
      <c r="N17" s="13"/>
      <c r="O17" s="13"/>
      <c r="P17" s="13"/>
      <c r="Q17" s="13"/>
      <c r="R17" s="13"/>
      <c r="S17" s="13"/>
      <c r="T17" s="13"/>
      <c r="U17" s="13"/>
      <c r="V17" s="13"/>
      <c r="W17" s="13">
        <f t="shared" si="11"/>
        <v>66.8</v>
      </c>
      <c r="X17" s="16"/>
      <c r="Y17" s="19">
        <f t="shared" si="12"/>
        <v>9.4461077844311383</v>
      </c>
      <c r="Z17" s="13">
        <f t="shared" si="13"/>
        <v>8.0988023952095816</v>
      </c>
      <c r="AA17" s="13"/>
      <c r="AB17" s="13"/>
      <c r="AC17" s="13">
        <f>VLOOKUP(A:A,[1]TDSheet!$A:$AC,29,0)</f>
        <v>0</v>
      </c>
      <c r="AD17" s="13">
        <f>VLOOKUP(A:A,[1]TDSheet!$A:$AD,30,0)</f>
        <v>48.8</v>
      </c>
      <c r="AE17" s="13">
        <f>VLOOKUP(A:A,[1]TDSheet!$A:$AE,31,0)</f>
        <v>70</v>
      </c>
      <c r="AF17" s="13">
        <f>VLOOKUP(A:A,[1]TDSheet!$A:$AF,32,0)</f>
        <v>73.400000000000006</v>
      </c>
      <c r="AG17" s="13">
        <f>VLOOKUP(A:A,[1]TDSheet!$A:$AG,33,0)</f>
        <v>64.2</v>
      </c>
      <c r="AH17" s="13">
        <f>VLOOKUP(A:A,[3]TDSheet!$A:$D,4,0)</f>
        <v>31</v>
      </c>
      <c r="AI17" s="13" t="str">
        <f>VLOOKUP(A:A,[1]TDSheet!$A:$AI,35,0)</f>
        <v>нояяб</v>
      </c>
      <c r="AJ17" s="13">
        <f t="shared" si="14"/>
        <v>0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108</v>
      </c>
      <c r="D18" s="8">
        <v>98</v>
      </c>
      <c r="E18" s="8">
        <v>106</v>
      </c>
      <c r="F18" s="8">
        <v>98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108</v>
      </c>
      <c r="K18" s="13">
        <f t="shared" si="10"/>
        <v>-2</v>
      </c>
      <c r="L18" s="13">
        <f>VLOOKUP(A:A,[1]TDSheet!$A:$V,22,0)</f>
        <v>0</v>
      </c>
      <c r="M18" s="13">
        <f>VLOOKUP(A:A,[1]TDSheet!$A:$X,24,0)</f>
        <v>20</v>
      </c>
      <c r="N18" s="13"/>
      <c r="O18" s="13"/>
      <c r="P18" s="13"/>
      <c r="Q18" s="13"/>
      <c r="R18" s="13"/>
      <c r="S18" s="13"/>
      <c r="T18" s="13"/>
      <c r="U18" s="13"/>
      <c r="V18" s="13"/>
      <c r="W18" s="13">
        <f t="shared" si="11"/>
        <v>21.2</v>
      </c>
      <c r="X18" s="16">
        <v>40</v>
      </c>
      <c r="Y18" s="19">
        <f t="shared" si="12"/>
        <v>7.4528301886792452</v>
      </c>
      <c r="Z18" s="13">
        <f t="shared" si="13"/>
        <v>4.6226415094339623</v>
      </c>
      <c r="AA18" s="13"/>
      <c r="AB18" s="13"/>
      <c r="AC18" s="13">
        <f>VLOOKUP(A:A,[1]TDSheet!$A:$AC,29,0)</f>
        <v>0</v>
      </c>
      <c r="AD18" s="13">
        <f>VLOOKUP(A:A,[1]TDSheet!$A:$AD,30,0)</f>
        <v>21.6</v>
      </c>
      <c r="AE18" s="13">
        <f>VLOOKUP(A:A,[1]TDSheet!$A:$AE,31,0)</f>
        <v>17.8</v>
      </c>
      <c r="AF18" s="13">
        <f>VLOOKUP(A:A,[1]TDSheet!$A:$AF,32,0)</f>
        <v>27.2</v>
      </c>
      <c r="AG18" s="13">
        <f>VLOOKUP(A:A,[1]TDSheet!$A:$AG,33,0)</f>
        <v>15.8</v>
      </c>
      <c r="AH18" s="13">
        <f>VLOOKUP(A:A,[3]TDSheet!$A:$D,4,0)</f>
        <v>27</v>
      </c>
      <c r="AI18" s="13">
        <f>VLOOKUP(A:A,[1]TDSheet!$A:$AI,35,0)</f>
        <v>0</v>
      </c>
      <c r="AJ18" s="13">
        <f t="shared" si="14"/>
        <v>14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175</v>
      </c>
      <c r="D19" s="8">
        <v>573</v>
      </c>
      <c r="E19" s="8">
        <v>438</v>
      </c>
      <c r="F19" s="8">
        <v>306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440</v>
      </c>
      <c r="K19" s="13">
        <f t="shared" si="10"/>
        <v>-2</v>
      </c>
      <c r="L19" s="13">
        <f>VLOOKUP(A:A,[1]TDSheet!$A:$V,22,0)</f>
        <v>140</v>
      </c>
      <c r="M19" s="13">
        <f>VLOOKUP(A:A,[1]TDSheet!$A:$X,24,0)</f>
        <v>100</v>
      </c>
      <c r="N19" s="13"/>
      <c r="O19" s="13"/>
      <c r="P19" s="13"/>
      <c r="Q19" s="13"/>
      <c r="R19" s="13"/>
      <c r="S19" s="13"/>
      <c r="T19" s="13"/>
      <c r="U19" s="13"/>
      <c r="V19" s="13"/>
      <c r="W19" s="13">
        <f t="shared" si="11"/>
        <v>87.6</v>
      </c>
      <c r="X19" s="16">
        <v>100</v>
      </c>
      <c r="Y19" s="19">
        <f t="shared" si="12"/>
        <v>7.3744292237442925</v>
      </c>
      <c r="Z19" s="13">
        <f t="shared" si="13"/>
        <v>3.493150684931507</v>
      </c>
      <c r="AA19" s="13"/>
      <c r="AB19" s="13"/>
      <c r="AC19" s="13">
        <f>VLOOKUP(A:A,[1]TDSheet!$A:$AC,29,0)</f>
        <v>0</v>
      </c>
      <c r="AD19" s="13">
        <f>VLOOKUP(A:A,[1]TDSheet!$A:$AD,30,0)</f>
        <v>27.8</v>
      </c>
      <c r="AE19" s="13">
        <f>VLOOKUP(A:A,[1]TDSheet!$A:$AE,31,0)</f>
        <v>28.8</v>
      </c>
      <c r="AF19" s="13">
        <f>VLOOKUP(A:A,[1]TDSheet!$A:$AF,32,0)</f>
        <v>85.8</v>
      </c>
      <c r="AG19" s="13">
        <f>VLOOKUP(A:A,[1]TDSheet!$A:$AG,33,0)</f>
        <v>75</v>
      </c>
      <c r="AH19" s="13">
        <f>VLOOKUP(A:A,[3]TDSheet!$A:$D,4,0)</f>
        <v>79</v>
      </c>
      <c r="AI19" s="13" t="str">
        <f>VLOOKUP(A:A,[1]TDSheet!$A:$AI,35,0)</f>
        <v>ак лид-сос</v>
      </c>
      <c r="AJ19" s="13">
        <f t="shared" si="14"/>
        <v>35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312</v>
      </c>
      <c r="D20" s="8">
        <v>872</v>
      </c>
      <c r="E20" s="8">
        <v>599</v>
      </c>
      <c r="F20" s="8">
        <v>572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604</v>
      </c>
      <c r="K20" s="13">
        <f t="shared" si="10"/>
        <v>-5</v>
      </c>
      <c r="L20" s="13">
        <f>VLOOKUP(A:A,[1]TDSheet!$A:$V,22,0)</f>
        <v>100</v>
      </c>
      <c r="M20" s="13">
        <f>VLOOKUP(A:A,[1]TDSheet!$A:$X,24,0)</f>
        <v>100</v>
      </c>
      <c r="N20" s="13"/>
      <c r="O20" s="13"/>
      <c r="P20" s="13"/>
      <c r="Q20" s="13"/>
      <c r="R20" s="13"/>
      <c r="S20" s="13"/>
      <c r="T20" s="13"/>
      <c r="U20" s="13"/>
      <c r="V20" s="13"/>
      <c r="W20" s="13">
        <f t="shared" si="11"/>
        <v>119.8</v>
      </c>
      <c r="X20" s="16">
        <v>100</v>
      </c>
      <c r="Y20" s="19">
        <f t="shared" si="12"/>
        <v>7.2787979966611021</v>
      </c>
      <c r="Z20" s="13">
        <f t="shared" si="13"/>
        <v>4.7746243739565948</v>
      </c>
      <c r="AA20" s="13"/>
      <c r="AB20" s="13"/>
      <c r="AC20" s="13">
        <f>VLOOKUP(A:A,[1]TDSheet!$A:$AC,29,0)</f>
        <v>0</v>
      </c>
      <c r="AD20" s="13">
        <f>VLOOKUP(A:A,[1]TDSheet!$A:$AD,30,0)</f>
        <v>99.8</v>
      </c>
      <c r="AE20" s="13">
        <f>VLOOKUP(A:A,[1]TDSheet!$A:$AE,31,0)</f>
        <v>105</v>
      </c>
      <c r="AF20" s="13">
        <f>VLOOKUP(A:A,[1]TDSheet!$A:$AF,32,0)</f>
        <v>111.2</v>
      </c>
      <c r="AG20" s="13">
        <f>VLOOKUP(A:A,[1]TDSheet!$A:$AG,33,0)</f>
        <v>115.8</v>
      </c>
      <c r="AH20" s="13">
        <f>VLOOKUP(A:A,[3]TDSheet!$A:$D,4,0)</f>
        <v>41</v>
      </c>
      <c r="AI20" s="13" t="str">
        <f>VLOOKUP(A:A,[1]TDSheet!$A:$AI,35,0)</f>
        <v>продноя</v>
      </c>
      <c r="AJ20" s="13">
        <f t="shared" si="14"/>
        <v>35</v>
      </c>
      <c r="AK20" s="13"/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240.90199999999999</v>
      </c>
      <c r="D21" s="8">
        <v>908.79700000000003</v>
      </c>
      <c r="E21" s="8">
        <v>621.471</v>
      </c>
      <c r="F21" s="8">
        <v>523.96500000000003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605.50300000000004</v>
      </c>
      <c r="K21" s="13">
        <f t="shared" si="10"/>
        <v>15.967999999999961</v>
      </c>
      <c r="L21" s="13">
        <f>VLOOKUP(A:A,[1]TDSheet!$A:$V,22,0)</f>
        <v>130</v>
      </c>
      <c r="M21" s="13">
        <f>VLOOKUP(A:A,[1]TDSheet!$A:$X,24,0)</f>
        <v>160</v>
      </c>
      <c r="N21" s="13"/>
      <c r="O21" s="13"/>
      <c r="P21" s="13"/>
      <c r="Q21" s="13"/>
      <c r="R21" s="13"/>
      <c r="S21" s="13"/>
      <c r="T21" s="13"/>
      <c r="U21" s="13"/>
      <c r="V21" s="13"/>
      <c r="W21" s="13">
        <f t="shared" si="11"/>
        <v>124.2942</v>
      </c>
      <c r="X21" s="16">
        <v>100</v>
      </c>
      <c r="Y21" s="19">
        <f t="shared" si="12"/>
        <v>7.3532393305560522</v>
      </c>
      <c r="Z21" s="13">
        <f t="shared" si="13"/>
        <v>4.215522526393026</v>
      </c>
      <c r="AA21" s="13"/>
      <c r="AB21" s="13"/>
      <c r="AC21" s="13">
        <f>VLOOKUP(A:A,[1]TDSheet!$A:$AC,29,0)</f>
        <v>0</v>
      </c>
      <c r="AD21" s="13">
        <f>VLOOKUP(A:A,[1]TDSheet!$A:$AD,30,0)</f>
        <v>129.5308</v>
      </c>
      <c r="AE21" s="13">
        <f>VLOOKUP(A:A,[1]TDSheet!$A:$AE,31,0)</f>
        <v>120.2912</v>
      </c>
      <c r="AF21" s="13">
        <f>VLOOKUP(A:A,[1]TDSheet!$A:$AF,32,0)</f>
        <v>114.94680000000001</v>
      </c>
      <c r="AG21" s="13">
        <f>VLOOKUP(A:A,[1]TDSheet!$A:$AG,33,0)</f>
        <v>128.3184</v>
      </c>
      <c r="AH21" s="13">
        <f>VLOOKUP(A:A,[3]TDSheet!$A:$D,4,0)</f>
        <v>84.194000000000003</v>
      </c>
      <c r="AI21" s="13">
        <f>VLOOKUP(A:A,[1]TDSheet!$A:$AI,35,0)</f>
        <v>0</v>
      </c>
      <c r="AJ21" s="13">
        <f t="shared" si="14"/>
        <v>100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3513.0529999999999</v>
      </c>
      <c r="D22" s="8">
        <v>6009.2219999999998</v>
      </c>
      <c r="E22" s="8">
        <v>5451.7730000000001</v>
      </c>
      <c r="F22" s="8">
        <v>3928.0360000000001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5617.3069999999998</v>
      </c>
      <c r="K22" s="13">
        <f t="shared" si="10"/>
        <v>-165.53399999999965</v>
      </c>
      <c r="L22" s="13">
        <f>VLOOKUP(A:A,[1]TDSheet!$A:$V,22,0)</f>
        <v>1700</v>
      </c>
      <c r="M22" s="13">
        <f>VLOOKUP(A:A,[1]TDSheet!$A:$X,24,0)</f>
        <v>1400</v>
      </c>
      <c r="N22" s="13"/>
      <c r="O22" s="13"/>
      <c r="P22" s="13"/>
      <c r="Q22" s="13"/>
      <c r="R22" s="13"/>
      <c r="S22" s="13"/>
      <c r="T22" s="13"/>
      <c r="U22" s="13"/>
      <c r="V22" s="13"/>
      <c r="W22" s="13">
        <f t="shared" si="11"/>
        <v>1090.3546000000001</v>
      </c>
      <c r="X22" s="16">
        <v>800</v>
      </c>
      <c r="Y22" s="19">
        <f t="shared" si="12"/>
        <v>7.179348810010981</v>
      </c>
      <c r="Z22" s="13">
        <f t="shared" si="13"/>
        <v>3.6025307730164111</v>
      </c>
      <c r="AA22" s="13"/>
      <c r="AB22" s="13"/>
      <c r="AC22" s="18">
        <v>0</v>
      </c>
      <c r="AD22" s="13">
        <f>VLOOKUP(A:A,[1]TDSheet!$A:$AD,30,0)</f>
        <v>984.81000000000006</v>
      </c>
      <c r="AE22" s="13">
        <f>VLOOKUP(A:A,[1]TDSheet!$A:$AE,31,0)</f>
        <v>1017.8922</v>
      </c>
      <c r="AF22" s="13">
        <f>VLOOKUP(A:A,[1]TDSheet!$A:$AF,32,0)</f>
        <v>958.80060000000014</v>
      </c>
      <c r="AG22" s="13">
        <f>VLOOKUP(A:A,[1]TDSheet!$A:$AG,33,0)</f>
        <v>996.44439999999997</v>
      </c>
      <c r="AH22" s="13">
        <f>VLOOKUP(A:A,[3]TDSheet!$A:$D,4,0)</f>
        <v>705.75599999999997</v>
      </c>
      <c r="AI22" s="13" t="str">
        <f>VLOOKUP(A:A,[1]TDSheet!$A:$AI,35,0)</f>
        <v>нояяб</v>
      </c>
      <c r="AJ22" s="13">
        <f t="shared" si="14"/>
        <v>800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123.488</v>
      </c>
      <c r="D23" s="8">
        <v>497.03100000000001</v>
      </c>
      <c r="E23" s="8">
        <v>325.73599999999999</v>
      </c>
      <c r="F23" s="8">
        <v>285.95600000000002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319.41199999999998</v>
      </c>
      <c r="K23" s="13">
        <f t="shared" si="10"/>
        <v>6.3240000000000123</v>
      </c>
      <c r="L23" s="13">
        <f>VLOOKUP(A:A,[1]TDSheet!$A:$V,22,0)</f>
        <v>50</v>
      </c>
      <c r="M23" s="13">
        <f>VLOOKUP(A:A,[1]TDSheet!$A:$X,24,0)</f>
        <v>60</v>
      </c>
      <c r="N23" s="13"/>
      <c r="O23" s="13"/>
      <c r="P23" s="13"/>
      <c r="Q23" s="13"/>
      <c r="R23" s="13"/>
      <c r="S23" s="13"/>
      <c r="T23" s="13"/>
      <c r="U23" s="13"/>
      <c r="V23" s="13"/>
      <c r="W23" s="13">
        <f t="shared" si="11"/>
        <v>65.147199999999998</v>
      </c>
      <c r="X23" s="16">
        <v>70</v>
      </c>
      <c r="Y23" s="19">
        <f t="shared" si="12"/>
        <v>7.1523565095660295</v>
      </c>
      <c r="Z23" s="13">
        <f t="shared" si="13"/>
        <v>4.3893828130756196</v>
      </c>
      <c r="AA23" s="13"/>
      <c r="AB23" s="13"/>
      <c r="AC23" s="13">
        <f>VLOOKUP(A:A,[1]TDSheet!$A:$AC,29,0)</f>
        <v>0</v>
      </c>
      <c r="AD23" s="13">
        <f>VLOOKUP(A:A,[1]TDSheet!$A:$AD,30,0)</f>
        <v>66.6798</v>
      </c>
      <c r="AE23" s="13">
        <f>VLOOKUP(A:A,[1]TDSheet!$A:$AE,31,0)</f>
        <v>68.246200000000002</v>
      </c>
      <c r="AF23" s="13">
        <f>VLOOKUP(A:A,[1]TDSheet!$A:$AF,32,0)</f>
        <v>62.67</v>
      </c>
      <c r="AG23" s="13">
        <f>VLOOKUP(A:A,[1]TDSheet!$A:$AG,33,0)</f>
        <v>67.574399999999997</v>
      </c>
      <c r="AH23" s="13">
        <f>VLOOKUP(A:A,[3]TDSheet!$A:$D,4,0)</f>
        <v>58.067999999999998</v>
      </c>
      <c r="AI23" s="13">
        <f>VLOOKUP(A:A,[1]TDSheet!$A:$AI,35,0)</f>
        <v>0</v>
      </c>
      <c r="AJ23" s="13">
        <f t="shared" si="14"/>
        <v>70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-7.9770000000000003</v>
      </c>
      <c r="D24" s="8">
        <v>10.206</v>
      </c>
      <c r="E24" s="8">
        <v>20.218</v>
      </c>
      <c r="F24" s="8">
        <v>-17.989000000000001</v>
      </c>
      <c r="G24" s="1">
        <f>VLOOKUP(A:A,[1]TDSheet!$A:$G,7,0)</f>
        <v>0</v>
      </c>
      <c r="H24" s="1">
        <f>VLOOKUP(A:A,[1]TDSheet!$A:$H,8,0)</f>
        <v>0</v>
      </c>
      <c r="I24" s="1">
        <f>VLOOKUP(A:A,[1]TDSheet!$A:$I,9,0)</f>
        <v>60</v>
      </c>
      <c r="J24" s="13">
        <f>VLOOKUP(A:A,[2]TDSheet!$A:$F,6,0)</f>
        <v>55.8</v>
      </c>
      <c r="K24" s="13">
        <f t="shared" si="10"/>
        <v>-35.581999999999994</v>
      </c>
      <c r="L24" s="13">
        <f>VLOOKUP(A:A,[1]TDSheet!$A:$V,22,0)</f>
        <v>0</v>
      </c>
      <c r="M24" s="13">
        <f>VLOOKUP(A:A,[1]TDSheet!$A:$X,24,0)</f>
        <v>0</v>
      </c>
      <c r="N24" s="13"/>
      <c r="O24" s="13"/>
      <c r="P24" s="13"/>
      <c r="Q24" s="13"/>
      <c r="R24" s="13"/>
      <c r="S24" s="13"/>
      <c r="T24" s="13"/>
      <c r="U24" s="13"/>
      <c r="V24" s="13"/>
      <c r="W24" s="13">
        <f t="shared" si="11"/>
        <v>4.0435999999999996</v>
      </c>
      <c r="X24" s="16"/>
      <c r="Y24" s="19">
        <f t="shared" si="12"/>
        <v>-4.4487585320011878</v>
      </c>
      <c r="Z24" s="13">
        <f t="shared" si="13"/>
        <v>-4.4487585320011878</v>
      </c>
      <c r="AA24" s="13"/>
      <c r="AB24" s="13"/>
      <c r="AC24" s="13">
        <f>VLOOKUP(A:A,[1]TDSheet!$A:$AC,29,0)</f>
        <v>0</v>
      </c>
      <c r="AD24" s="13">
        <f>VLOOKUP(A:A,[1]TDSheet!$A:$AD,30,0)</f>
        <v>431.96559999999999</v>
      </c>
      <c r="AE24" s="13">
        <f>VLOOKUP(A:A,[1]TDSheet!$A:$AE,31,0)</f>
        <v>463.44719999999995</v>
      </c>
      <c r="AF24" s="13">
        <f>VLOOKUP(A:A,[1]TDSheet!$A:$AF,32,0)</f>
        <v>417.33920000000001</v>
      </c>
      <c r="AG24" s="13">
        <f>VLOOKUP(A:A,[1]TDSheet!$A:$AG,33,0)</f>
        <v>347.28960000000001</v>
      </c>
      <c r="AH24" s="13">
        <v>0</v>
      </c>
      <c r="AI24" s="13">
        <f>VLOOKUP(A:A,[1]TDSheet!$A:$AI,35,0)</f>
        <v>0</v>
      </c>
      <c r="AJ24" s="13">
        <f t="shared" si="14"/>
        <v>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331.53</v>
      </c>
      <c r="D25" s="8">
        <v>923.95299999999997</v>
      </c>
      <c r="E25" s="8">
        <v>689.30600000000004</v>
      </c>
      <c r="F25" s="8">
        <v>551.16600000000005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678.94899999999996</v>
      </c>
      <c r="K25" s="13">
        <f t="shared" si="10"/>
        <v>10.357000000000085</v>
      </c>
      <c r="L25" s="13">
        <f>VLOOKUP(A:A,[1]TDSheet!$A:$V,22,0)</f>
        <v>130</v>
      </c>
      <c r="M25" s="13">
        <f>VLOOKUP(A:A,[1]TDSheet!$A:$X,24,0)</f>
        <v>160</v>
      </c>
      <c r="N25" s="13"/>
      <c r="O25" s="13"/>
      <c r="P25" s="13"/>
      <c r="Q25" s="13"/>
      <c r="R25" s="13"/>
      <c r="S25" s="13"/>
      <c r="T25" s="13"/>
      <c r="U25" s="13"/>
      <c r="V25" s="13"/>
      <c r="W25" s="13">
        <f t="shared" si="11"/>
        <v>137.8612</v>
      </c>
      <c r="X25" s="16">
        <v>140</v>
      </c>
      <c r="Y25" s="19">
        <f t="shared" si="12"/>
        <v>7.1170568658912012</v>
      </c>
      <c r="Z25" s="13">
        <f t="shared" si="13"/>
        <v>3.9979776760974084</v>
      </c>
      <c r="AA25" s="13"/>
      <c r="AB25" s="13"/>
      <c r="AC25" s="13">
        <f>VLOOKUP(A:A,[1]TDSheet!$A:$AC,29,0)</f>
        <v>0</v>
      </c>
      <c r="AD25" s="13">
        <f>VLOOKUP(A:A,[1]TDSheet!$A:$AD,30,0)</f>
        <v>125.70099999999999</v>
      </c>
      <c r="AE25" s="13">
        <f>VLOOKUP(A:A,[1]TDSheet!$A:$AE,31,0)</f>
        <v>130.32900000000001</v>
      </c>
      <c r="AF25" s="13">
        <f>VLOOKUP(A:A,[1]TDSheet!$A:$AF,32,0)</f>
        <v>139.90299999999999</v>
      </c>
      <c r="AG25" s="13">
        <f>VLOOKUP(A:A,[1]TDSheet!$A:$AG,33,0)</f>
        <v>140.46440000000001</v>
      </c>
      <c r="AH25" s="13">
        <f>VLOOKUP(A:A,[3]TDSheet!$A:$D,4,0)</f>
        <v>119.56100000000001</v>
      </c>
      <c r="AI25" s="13">
        <f>VLOOKUP(A:A,[1]TDSheet!$A:$AI,35,0)</f>
        <v>0</v>
      </c>
      <c r="AJ25" s="13">
        <f t="shared" si="14"/>
        <v>140</v>
      </c>
      <c r="AK25" s="13"/>
      <c r="AL25" s="13"/>
      <c r="AM25" s="13"/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88.216999999999999</v>
      </c>
      <c r="D26" s="8">
        <v>214.01900000000001</v>
      </c>
      <c r="E26" s="8">
        <v>169.12200000000001</v>
      </c>
      <c r="F26" s="8">
        <v>132.244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162.93100000000001</v>
      </c>
      <c r="K26" s="13">
        <f t="shared" si="10"/>
        <v>6.1910000000000025</v>
      </c>
      <c r="L26" s="13">
        <f>VLOOKUP(A:A,[1]TDSheet!$A:$V,22,0)</f>
        <v>70</v>
      </c>
      <c r="M26" s="13">
        <f>VLOOKUP(A:A,[1]TDSheet!$A:$X,24,0)</f>
        <v>40</v>
      </c>
      <c r="N26" s="13"/>
      <c r="O26" s="13"/>
      <c r="P26" s="13"/>
      <c r="Q26" s="13"/>
      <c r="R26" s="13"/>
      <c r="S26" s="13"/>
      <c r="T26" s="13"/>
      <c r="U26" s="13"/>
      <c r="V26" s="13"/>
      <c r="W26" s="13">
        <f t="shared" si="11"/>
        <v>33.824400000000004</v>
      </c>
      <c r="X26" s="16"/>
      <c r="Y26" s="19">
        <f t="shared" si="12"/>
        <v>7.1618121829212038</v>
      </c>
      <c r="Z26" s="13">
        <f t="shared" si="13"/>
        <v>3.9097219758517516</v>
      </c>
      <c r="AA26" s="13"/>
      <c r="AB26" s="13"/>
      <c r="AC26" s="13">
        <f>VLOOKUP(A:A,[1]TDSheet!$A:$AC,29,0)</f>
        <v>0</v>
      </c>
      <c r="AD26" s="13">
        <f>VLOOKUP(A:A,[1]TDSheet!$A:$AD,30,0)</f>
        <v>34.070399999999999</v>
      </c>
      <c r="AE26" s="13">
        <f>VLOOKUP(A:A,[1]TDSheet!$A:$AE,31,0)</f>
        <v>31.187799999999999</v>
      </c>
      <c r="AF26" s="13">
        <f>VLOOKUP(A:A,[1]TDSheet!$A:$AF,32,0)</f>
        <v>37.2498</v>
      </c>
      <c r="AG26" s="13">
        <f>VLOOKUP(A:A,[1]TDSheet!$A:$AG,33,0)</f>
        <v>34.3508</v>
      </c>
      <c r="AH26" s="13">
        <f>VLOOKUP(A:A,[3]TDSheet!$A:$D,4,0)</f>
        <v>18.960999999999999</v>
      </c>
      <c r="AI26" s="13">
        <f>VLOOKUP(A:A,[1]TDSheet!$A:$AI,35,0)</f>
        <v>0</v>
      </c>
      <c r="AJ26" s="13">
        <f t="shared" si="14"/>
        <v>0</v>
      </c>
      <c r="AK26" s="13"/>
      <c r="AL26" s="13"/>
      <c r="AM26" s="13"/>
    </row>
    <row r="27" spans="1:39" s="1" customFormat="1" ht="21.95" customHeight="1" outlineLevel="1" x14ac:dyDescent="0.2">
      <c r="A27" s="7" t="s">
        <v>30</v>
      </c>
      <c r="B27" s="7" t="s">
        <v>8</v>
      </c>
      <c r="C27" s="8">
        <v>261.161</v>
      </c>
      <c r="D27" s="8">
        <v>424.536</v>
      </c>
      <c r="E27" s="8">
        <v>399.01799999999997</v>
      </c>
      <c r="F27" s="8">
        <v>283.15899999999999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385.26400000000001</v>
      </c>
      <c r="K27" s="13">
        <f t="shared" si="10"/>
        <v>13.753999999999962</v>
      </c>
      <c r="L27" s="13">
        <f>VLOOKUP(A:A,[1]TDSheet!$A:$V,22,0)</f>
        <v>100</v>
      </c>
      <c r="M27" s="13">
        <f>VLOOKUP(A:A,[1]TDSheet!$A:$X,24,0)</f>
        <v>100</v>
      </c>
      <c r="N27" s="13"/>
      <c r="O27" s="13"/>
      <c r="P27" s="13"/>
      <c r="Q27" s="13"/>
      <c r="R27" s="13"/>
      <c r="S27" s="13"/>
      <c r="T27" s="13"/>
      <c r="U27" s="13"/>
      <c r="V27" s="13"/>
      <c r="W27" s="13">
        <f t="shared" si="11"/>
        <v>79.803599999999989</v>
      </c>
      <c r="X27" s="16">
        <v>90</v>
      </c>
      <c r="Y27" s="19">
        <f t="shared" si="12"/>
        <v>7.182119603626905</v>
      </c>
      <c r="Z27" s="13">
        <f t="shared" si="13"/>
        <v>3.5481983268925217</v>
      </c>
      <c r="AA27" s="13"/>
      <c r="AB27" s="13"/>
      <c r="AC27" s="13">
        <f>VLOOKUP(A:A,[1]TDSheet!$A:$AC,29,0)</f>
        <v>0</v>
      </c>
      <c r="AD27" s="13">
        <f>VLOOKUP(A:A,[1]TDSheet!$A:$AD,30,0)</f>
        <v>92.053200000000004</v>
      </c>
      <c r="AE27" s="13">
        <f>VLOOKUP(A:A,[1]TDSheet!$A:$AE,31,0)</f>
        <v>80.45320000000001</v>
      </c>
      <c r="AF27" s="13">
        <f>VLOOKUP(A:A,[1]TDSheet!$A:$AF,32,0)</f>
        <v>89.840599999999995</v>
      </c>
      <c r="AG27" s="13">
        <f>VLOOKUP(A:A,[1]TDSheet!$A:$AG,33,0)</f>
        <v>77.135799999999989</v>
      </c>
      <c r="AH27" s="13">
        <f>VLOOKUP(A:A,[3]TDSheet!$A:$D,4,0)</f>
        <v>79.972999999999999</v>
      </c>
      <c r="AI27" s="13" t="str">
        <f>VLOOKUP(A:A,[1]TDSheet!$A:$AI,35,0)</f>
        <v>жц</v>
      </c>
      <c r="AJ27" s="13">
        <f t="shared" si="14"/>
        <v>90</v>
      </c>
      <c r="AK27" s="13"/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276.85399999999998</v>
      </c>
      <c r="D28" s="8">
        <v>392.31599999999997</v>
      </c>
      <c r="E28" s="8">
        <v>367.86500000000001</v>
      </c>
      <c r="F28" s="8">
        <v>296.05700000000002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356.22699999999998</v>
      </c>
      <c r="K28" s="13">
        <f t="shared" si="10"/>
        <v>11.638000000000034</v>
      </c>
      <c r="L28" s="13">
        <f>VLOOKUP(A:A,[1]TDSheet!$A:$V,22,0)</f>
        <v>40</v>
      </c>
      <c r="M28" s="13">
        <f>VLOOKUP(A:A,[1]TDSheet!$A:$X,24,0)</f>
        <v>70</v>
      </c>
      <c r="N28" s="13"/>
      <c r="O28" s="13"/>
      <c r="P28" s="13"/>
      <c r="Q28" s="13"/>
      <c r="R28" s="13"/>
      <c r="S28" s="13"/>
      <c r="T28" s="13"/>
      <c r="U28" s="13"/>
      <c r="V28" s="13"/>
      <c r="W28" s="13">
        <f t="shared" si="11"/>
        <v>73.573000000000008</v>
      </c>
      <c r="X28" s="16">
        <v>120</v>
      </c>
      <c r="Y28" s="19">
        <f t="shared" si="12"/>
        <v>7.1501365990240977</v>
      </c>
      <c r="Z28" s="13">
        <f t="shared" si="13"/>
        <v>4.0239897788590921</v>
      </c>
      <c r="AA28" s="13"/>
      <c r="AB28" s="13"/>
      <c r="AC28" s="13">
        <f>VLOOKUP(A:A,[1]TDSheet!$A:$AC,29,0)</f>
        <v>0</v>
      </c>
      <c r="AD28" s="13">
        <f>VLOOKUP(A:A,[1]TDSheet!$A:$AD,30,0)</f>
        <v>64.119200000000006</v>
      </c>
      <c r="AE28" s="13">
        <f>VLOOKUP(A:A,[1]TDSheet!$A:$AE,31,0)</f>
        <v>69.344000000000008</v>
      </c>
      <c r="AF28" s="13">
        <f>VLOOKUP(A:A,[1]TDSheet!$A:$AF,32,0)</f>
        <v>90.138199999999998</v>
      </c>
      <c r="AG28" s="13">
        <f>VLOOKUP(A:A,[1]TDSheet!$A:$AG,33,0)</f>
        <v>73.119600000000005</v>
      </c>
      <c r="AH28" s="13">
        <f>VLOOKUP(A:A,[3]TDSheet!$A:$D,4,0)</f>
        <v>76.11</v>
      </c>
      <c r="AI28" s="13">
        <f>VLOOKUP(A:A,[1]TDSheet!$A:$AI,35,0)</f>
        <v>0</v>
      </c>
      <c r="AJ28" s="13">
        <f t="shared" si="14"/>
        <v>120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72.884</v>
      </c>
      <c r="D29" s="8">
        <v>99.417000000000002</v>
      </c>
      <c r="E29" s="8">
        <v>94.768000000000001</v>
      </c>
      <c r="F29" s="8">
        <v>76.088999999999999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92.013000000000005</v>
      </c>
      <c r="K29" s="13">
        <f t="shared" si="10"/>
        <v>2.7549999999999955</v>
      </c>
      <c r="L29" s="13">
        <f>VLOOKUP(A:A,[1]TDSheet!$A:$V,22,0)</f>
        <v>20</v>
      </c>
      <c r="M29" s="13">
        <f>VLOOKUP(A:A,[1]TDSheet!$A:$X,24,0)</f>
        <v>30</v>
      </c>
      <c r="N29" s="13"/>
      <c r="O29" s="13"/>
      <c r="P29" s="13"/>
      <c r="Q29" s="13"/>
      <c r="R29" s="13"/>
      <c r="S29" s="13"/>
      <c r="T29" s="13"/>
      <c r="U29" s="13"/>
      <c r="V29" s="13"/>
      <c r="W29" s="13">
        <f t="shared" si="11"/>
        <v>18.953600000000002</v>
      </c>
      <c r="X29" s="16">
        <v>10</v>
      </c>
      <c r="Y29" s="19">
        <f t="shared" si="12"/>
        <v>7.1801135404355891</v>
      </c>
      <c r="Z29" s="13">
        <f t="shared" si="13"/>
        <v>4.0144880128313352</v>
      </c>
      <c r="AA29" s="13"/>
      <c r="AB29" s="13"/>
      <c r="AC29" s="13">
        <f>VLOOKUP(A:A,[1]TDSheet!$A:$AC,29,0)</f>
        <v>0</v>
      </c>
      <c r="AD29" s="13">
        <f>VLOOKUP(A:A,[1]TDSheet!$A:$AD,30,0)</f>
        <v>24.480799999999999</v>
      </c>
      <c r="AE29" s="13">
        <f>VLOOKUP(A:A,[1]TDSheet!$A:$AE,31,0)</f>
        <v>18.97</v>
      </c>
      <c r="AF29" s="13">
        <f>VLOOKUP(A:A,[1]TDSheet!$A:$AF,32,0)</f>
        <v>23.8978</v>
      </c>
      <c r="AG29" s="13">
        <f>VLOOKUP(A:A,[1]TDSheet!$A:$AG,33,0)</f>
        <v>18.1812</v>
      </c>
      <c r="AH29" s="13">
        <f>VLOOKUP(A:A,[3]TDSheet!$A:$D,4,0)</f>
        <v>12.538</v>
      </c>
      <c r="AI29" s="13">
        <f>VLOOKUP(A:A,[1]TDSheet!$A:$AI,35,0)</f>
        <v>0</v>
      </c>
      <c r="AJ29" s="13">
        <f t="shared" si="14"/>
        <v>10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53.371000000000002</v>
      </c>
      <c r="D30" s="8">
        <v>267.89699999999999</v>
      </c>
      <c r="E30" s="8">
        <v>146.44300000000001</v>
      </c>
      <c r="F30" s="8">
        <v>171.85599999999999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143.00200000000001</v>
      </c>
      <c r="K30" s="13">
        <f t="shared" si="10"/>
        <v>3.4410000000000025</v>
      </c>
      <c r="L30" s="13">
        <f>VLOOKUP(A:A,[1]TDSheet!$A:$V,22,0)</f>
        <v>0</v>
      </c>
      <c r="M30" s="13">
        <f>VLOOKUP(A:A,[1]TDSheet!$A:$X,24,0)</f>
        <v>20</v>
      </c>
      <c r="N30" s="13"/>
      <c r="O30" s="13"/>
      <c r="P30" s="13"/>
      <c r="Q30" s="13"/>
      <c r="R30" s="13"/>
      <c r="S30" s="13"/>
      <c r="T30" s="13"/>
      <c r="U30" s="13"/>
      <c r="V30" s="13"/>
      <c r="W30" s="13">
        <f t="shared" si="11"/>
        <v>29.288600000000002</v>
      </c>
      <c r="X30" s="16">
        <v>20</v>
      </c>
      <c r="Y30" s="19">
        <f t="shared" si="12"/>
        <v>7.2333945630723209</v>
      </c>
      <c r="Z30" s="13">
        <f t="shared" si="13"/>
        <v>5.8676754778309643</v>
      </c>
      <c r="AA30" s="13"/>
      <c r="AB30" s="13"/>
      <c r="AC30" s="13">
        <f>VLOOKUP(A:A,[1]TDSheet!$A:$AC,29,0)</f>
        <v>0</v>
      </c>
      <c r="AD30" s="13">
        <f>VLOOKUP(A:A,[1]TDSheet!$A:$AD,30,0)</f>
        <v>31.802</v>
      </c>
      <c r="AE30" s="13">
        <f>VLOOKUP(A:A,[1]TDSheet!$A:$AE,31,0)</f>
        <v>28.157999999999998</v>
      </c>
      <c r="AF30" s="13">
        <f>VLOOKUP(A:A,[1]TDSheet!$A:$AF,32,0)</f>
        <v>26.245800000000003</v>
      </c>
      <c r="AG30" s="13">
        <f>VLOOKUP(A:A,[1]TDSheet!$A:$AG,33,0)</f>
        <v>35.097200000000001</v>
      </c>
      <c r="AH30" s="13">
        <f>VLOOKUP(A:A,[3]TDSheet!$A:$D,4,0)</f>
        <v>25.954999999999998</v>
      </c>
      <c r="AI30" s="13">
        <f>VLOOKUP(A:A,[1]TDSheet!$A:$AI,35,0)</f>
        <v>0</v>
      </c>
      <c r="AJ30" s="13">
        <f t="shared" si="14"/>
        <v>20</v>
      </c>
      <c r="AK30" s="13"/>
      <c r="AL30" s="13"/>
      <c r="AM30" s="13"/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711.91499999999996</v>
      </c>
      <c r="D31" s="8">
        <v>2520.4589999999998</v>
      </c>
      <c r="E31" s="8">
        <v>1797.43</v>
      </c>
      <c r="F31" s="8">
        <v>1416.431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1805.587</v>
      </c>
      <c r="K31" s="13">
        <f t="shared" si="10"/>
        <v>-8.1569999999999254</v>
      </c>
      <c r="L31" s="13">
        <f>VLOOKUP(A:A,[1]TDSheet!$A:$V,22,0)</f>
        <v>500</v>
      </c>
      <c r="M31" s="13">
        <f>VLOOKUP(A:A,[1]TDSheet!$A:$X,24,0)</f>
        <v>400</v>
      </c>
      <c r="N31" s="13"/>
      <c r="O31" s="13"/>
      <c r="P31" s="13"/>
      <c r="Q31" s="13"/>
      <c r="R31" s="13"/>
      <c r="S31" s="13"/>
      <c r="T31" s="13"/>
      <c r="U31" s="13"/>
      <c r="V31" s="13"/>
      <c r="W31" s="13">
        <f t="shared" si="11"/>
        <v>359.48599999999999</v>
      </c>
      <c r="X31" s="16">
        <v>300</v>
      </c>
      <c r="Y31" s="19">
        <f t="shared" si="12"/>
        <v>7.2782556205248605</v>
      </c>
      <c r="Z31" s="13">
        <f t="shared" si="13"/>
        <v>3.9401562230518019</v>
      </c>
      <c r="AA31" s="13"/>
      <c r="AB31" s="13"/>
      <c r="AC31" s="13">
        <f>VLOOKUP(A:A,[1]TDSheet!$A:$AC,29,0)</f>
        <v>0</v>
      </c>
      <c r="AD31" s="13">
        <f>VLOOKUP(A:A,[1]TDSheet!$A:$AD,30,0)</f>
        <v>299.11279999999999</v>
      </c>
      <c r="AE31" s="13">
        <f>VLOOKUP(A:A,[1]TDSheet!$A:$AE,31,0)</f>
        <v>285.83479999999997</v>
      </c>
      <c r="AF31" s="13">
        <f>VLOOKUP(A:A,[1]TDSheet!$A:$AF,32,0)</f>
        <v>333.99520000000001</v>
      </c>
      <c r="AG31" s="13">
        <f>VLOOKUP(A:A,[1]TDSheet!$A:$AG,33,0)</f>
        <v>338.21</v>
      </c>
      <c r="AH31" s="13">
        <f>VLOOKUP(A:A,[3]TDSheet!$A:$D,4,0)</f>
        <v>235.792</v>
      </c>
      <c r="AI31" s="13" t="str">
        <f>VLOOKUP(A:A,[1]TDSheet!$A:$AI,35,0)</f>
        <v>нояяб</v>
      </c>
      <c r="AJ31" s="13">
        <f t="shared" si="14"/>
        <v>300</v>
      </c>
      <c r="AK31" s="13"/>
      <c r="AL31" s="13"/>
      <c r="AM31" s="13"/>
    </row>
    <row r="32" spans="1:39" s="1" customFormat="1" ht="21.95" customHeight="1" outlineLevel="1" x14ac:dyDescent="0.2">
      <c r="A32" s="7" t="s">
        <v>35</v>
      </c>
      <c r="B32" s="7" t="s">
        <v>8</v>
      </c>
      <c r="C32" s="8">
        <v>79.158000000000001</v>
      </c>
      <c r="D32" s="8">
        <v>130.68899999999999</v>
      </c>
      <c r="E32" s="8">
        <v>123.902</v>
      </c>
      <c r="F32" s="8">
        <v>85.944999999999993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121.65</v>
      </c>
      <c r="K32" s="13">
        <f t="shared" si="10"/>
        <v>2.2519999999999953</v>
      </c>
      <c r="L32" s="13">
        <f>VLOOKUP(A:A,[1]TDSheet!$A:$V,22,0)</f>
        <v>0</v>
      </c>
      <c r="M32" s="13">
        <f>VLOOKUP(A:A,[1]TDSheet!$A:$X,24,0)</f>
        <v>0</v>
      </c>
      <c r="N32" s="13"/>
      <c r="O32" s="13"/>
      <c r="P32" s="13"/>
      <c r="Q32" s="13"/>
      <c r="R32" s="13"/>
      <c r="S32" s="13"/>
      <c r="T32" s="13"/>
      <c r="U32" s="13"/>
      <c r="V32" s="13"/>
      <c r="W32" s="13">
        <f t="shared" si="11"/>
        <v>24.7804</v>
      </c>
      <c r="X32" s="16">
        <v>90</v>
      </c>
      <c r="Y32" s="19">
        <f t="shared" si="12"/>
        <v>7.1001678746105794</v>
      </c>
      <c r="Z32" s="13">
        <f t="shared" si="13"/>
        <v>3.4682652418847151</v>
      </c>
      <c r="AA32" s="13"/>
      <c r="AB32" s="13"/>
      <c r="AC32" s="13">
        <f>VLOOKUP(A:A,[1]TDSheet!$A:$AC,29,0)</f>
        <v>0</v>
      </c>
      <c r="AD32" s="13">
        <f>VLOOKUP(A:A,[1]TDSheet!$A:$AD,30,0)</f>
        <v>12.873799999999999</v>
      </c>
      <c r="AE32" s="13">
        <f>VLOOKUP(A:A,[1]TDSheet!$A:$AE,31,0)</f>
        <v>15.5458</v>
      </c>
      <c r="AF32" s="13">
        <f>VLOOKUP(A:A,[1]TDSheet!$A:$AF,32,0)</f>
        <v>26.287799999999997</v>
      </c>
      <c r="AG32" s="13">
        <f>VLOOKUP(A:A,[1]TDSheet!$A:$AG,33,0)</f>
        <v>12.058</v>
      </c>
      <c r="AH32" s="13">
        <f>VLOOKUP(A:A,[3]TDSheet!$A:$D,4,0)</f>
        <v>49.247999999999998</v>
      </c>
      <c r="AI32" s="13">
        <f>VLOOKUP(A:A,[1]TDSheet!$A:$AI,35,0)</f>
        <v>0</v>
      </c>
      <c r="AJ32" s="13">
        <f t="shared" si="14"/>
        <v>90</v>
      </c>
      <c r="AK32" s="13"/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43.600999999999999</v>
      </c>
      <c r="D33" s="8">
        <v>181.53800000000001</v>
      </c>
      <c r="E33" s="8">
        <v>80.724000000000004</v>
      </c>
      <c r="F33" s="8">
        <v>141.435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84.25</v>
      </c>
      <c r="K33" s="13">
        <f t="shared" si="10"/>
        <v>-3.5259999999999962</v>
      </c>
      <c r="L33" s="13">
        <f>VLOOKUP(A:A,[1]TDSheet!$A:$V,22,0)</f>
        <v>0</v>
      </c>
      <c r="M33" s="13">
        <f>VLOOKUP(A:A,[1]TDSheet!$A:$X,24,0)</f>
        <v>0</v>
      </c>
      <c r="N33" s="13"/>
      <c r="O33" s="13"/>
      <c r="P33" s="13"/>
      <c r="Q33" s="13"/>
      <c r="R33" s="13"/>
      <c r="S33" s="13"/>
      <c r="T33" s="13"/>
      <c r="U33" s="13"/>
      <c r="V33" s="13"/>
      <c r="W33" s="13">
        <f t="shared" si="11"/>
        <v>16.1448</v>
      </c>
      <c r="X33" s="16"/>
      <c r="Y33" s="19">
        <f t="shared" si="12"/>
        <v>8.7604058272632681</v>
      </c>
      <c r="Z33" s="13">
        <f t="shared" si="13"/>
        <v>8.7604058272632681</v>
      </c>
      <c r="AA33" s="13"/>
      <c r="AB33" s="13"/>
      <c r="AC33" s="13">
        <f>VLOOKUP(A:A,[1]TDSheet!$A:$AC,29,0)</f>
        <v>0</v>
      </c>
      <c r="AD33" s="13">
        <f>VLOOKUP(A:A,[1]TDSheet!$A:$AD,30,0)</f>
        <v>19.1478</v>
      </c>
      <c r="AE33" s="13">
        <f>VLOOKUP(A:A,[1]TDSheet!$A:$AE,31,0)</f>
        <v>24.717599999999997</v>
      </c>
      <c r="AF33" s="13">
        <f>VLOOKUP(A:A,[1]TDSheet!$A:$AF,32,0)</f>
        <v>14.8332</v>
      </c>
      <c r="AG33" s="13">
        <f>VLOOKUP(A:A,[1]TDSheet!$A:$AG,33,0)</f>
        <v>20.881599999999999</v>
      </c>
      <c r="AH33" s="13">
        <f>VLOOKUP(A:A,[3]TDSheet!$A:$D,4,0)</f>
        <v>24.773</v>
      </c>
      <c r="AI33" s="13">
        <f>VLOOKUP(A:A,[1]TDSheet!$A:$AI,35,0)</f>
        <v>0</v>
      </c>
      <c r="AJ33" s="13">
        <f t="shared" si="14"/>
        <v>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509.82900000000001</v>
      </c>
      <c r="D34" s="8">
        <v>1629.1790000000001</v>
      </c>
      <c r="E34" s="8">
        <v>1131.7539999999999</v>
      </c>
      <c r="F34" s="8">
        <v>989.99199999999996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1095.6559999999999</v>
      </c>
      <c r="K34" s="13">
        <f t="shared" si="10"/>
        <v>36.097999999999956</v>
      </c>
      <c r="L34" s="13">
        <f>VLOOKUP(A:A,[1]TDSheet!$A:$V,22,0)</f>
        <v>0</v>
      </c>
      <c r="M34" s="13">
        <f>VLOOKUP(A:A,[1]TDSheet!$A:$X,24,0)</f>
        <v>230</v>
      </c>
      <c r="N34" s="13"/>
      <c r="O34" s="13"/>
      <c r="P34" s="13"/>
      <c r="Q34" s="13"/>
      <c r="R34" s="13"/>
      <c r="S34" s="13"/>
      <c r="T34" s="13"/>
      <c r="U34" s="13"/>
      <c r="V34" s="13"/>
      <c r="W34" s="13">
        <f t="shared" si="11"/>
        <v>226.35079999999999</v>
      </c>
      <c r="X34" s="16">
        <v>380</v>
      </c>
      <c r="Y34" s="19">
        <f t="shared" si="12"/>
        <v>7.0686385910719114</v>
      </c>
      <c r="Z34" s="13">
        <f t="shared" si="13"/>
        <v>4.3737066535660576</v>
      </c>
      <c r="AA34" s="13"/>
      <c r="AB34" s="13"/>
      <c r="AC34" s="13">
        <f>VLOOKUP(A:A,[1]TDSheet!$A:$AC,29,0)</f>
        <v>0</v>
      </c>
      <c r="AD34" s="13">
        <f>VLOOKUP(A:A,[1]TDSheet!$A:$AD,30,0)</f>
        <v>217.14540000000002</v>
      </c>
      <c r="AE34" s="13">
        <f>VLOOKUP(A:A,[1]TDSheet!$A:$AE,31,0)</f>
        <v>215.05100000000002</v>
      </c>
      <c r="AF34" s="13">
        <f>VLOOKUP(A:A,[1]TDSheet!$A:$AF,32,0)</f>
        <v>257.40559999999999</v>
      </c>
      <c r="AG34" s="13">
        <f>VLOOKUP(A:A,[1]TDSheet!$A:$AG,33,0)</f>
        <v>241.36799999999999</v>
      </c>
      <c r="AH34" s="13">
        <f>VLOOKUP(A:A,[3]TDSheet!$A:$D,4,0)</f>
        <v>292.55900000000003</v>
      </c>
      <c r="AI34" s="13" t="str">
        <f>VLOOKUP(A:A,[1]TDSheet!$A:$AI,35,0)</f>
        <v>жц</v>
      </c>
      <c r="AJ34" s="13">
        <f t="shared" si="14"/>
        <v>380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14.609</v>
      </c>
      <c r="D35" s="8">
        <v>21.681000000000001</v>
      </c>
      <c r="E35" s="8">
        <v>7.2990000000000004</v>
      </c>
      <c r="F35" s="8">
        <v>28.991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7.7</v>
      </c>
      <c r="K35" s="13">
        <f t="shared" si="10"/>
        <v>-0.4009999999999998</v>
      </c>
      <c r="L35" s="13">
        <f>VLOOKUP(A:A,[1]TDSheet!$A:$V,22,0)</f>
        <v>0</v>
      </c>
      <c r="M35" s="13">
        <f>VLOOKUP(A:A,[1]TDSheet!$A:$X,24,0)</f>
        <v>0</v>
      </c>
      <c r="N35" s="13"/>
      <c r="O35" s="13"/>
      <c r="P35" s="13"/>
      <c r="Q35" s="13"/>
      <c r="R35" s="13"/>
      <c r="S35" s="13"/>
      <c r="T35" s="13"/>
      <c r="U35" s="13"/>
      <c r="V35" s="13"/>
      <c r="W35" s="13">
        <f t="shared" si="11"/>
        <v>1.4598</v>
      </c>
      <c r="X35" s="16"/>
      <c r="Y35" s="19">
        <f t="shared" si="12"/>
        <v>19.859569804082749</v>
      </c>
      <c r="Z35" s="13">
        <f t="shared" si="13"/>
        <v>19.859569804082749</v>
      </c>
      <c r="AA35" s="13"/>
      <c r="AB35" s="13"/>
      <c r="AC35" s="13">
        <f>VLOOKUP(A:A,[1]TDSheet!$A:$AC,29,0)</f>
        <v>0</v>
      </c>
      <c r="AD35" s="13">
        <f>VLOOKUP(A:A,[1]TDSheet!$A:$AD,30,0)</f>
        <v>3.6136000000000004</v>
      </c>
      <c r="AE35" s="13">
        <f>VLOOKUP(A:A,[1]TDSheet!$A:$AE,31,0)</f>
        <v>1.4474</v>
      </c>
      <c r="AF35" s="13">
        <f>VLOOKUP(A:A,[1]TDSheet!$A:$AF,32,0)</f>
        <v>0.88719999999999999</v>
      </c>
      <c r="AG35" s="13">
        <f>VLOOKUP(A:A,[1]TDSheet!$A:$AG,33,0)</f>
        <v>3.6496000000000004</v>
      </c>
      <c r="AH35" s="13">
        <f>VLOOKUP(A:A,[3]TDSheet!$A:$D,4,0)</f>
        <v>2.738</v>
      </c>
      <c r="AI35" s="17" t="str">
        <f>VLOOKUP(A:A,[1]TDSheet!$A:$AI,35,0)</f>
        <v>увел</v>
      </c>
      <c r="AJ35" s="13">
        <f t="shared" si="14"/>
        <v>0</v>
      </c>
      <c r="AK35" s="13"/>
      <c r="AL35" s="13"/>
      <c r="AM35" s="13"/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6.2309999999999999</v>
      </c>
      <c r="D36" s="8"/>
      <c r="E36" s="8">
        <v>3.5680000000000001</v>
      </c>
      <c r="F36" s="8">
        <v>2.6629999999999998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3.3</v>
      </c>
      <c r="K36" s="13">
        <f t="shared" si="10"/>
        <v>0.26800000000000024</v>
      </c>
      <c r="L36" s="13">
        <f>VLOOKUP(A:A,[1]TDSheet!$A:$V,22,0)</f>
        <v>10</v>
      </c>
      <c r="M36" s="13">
        <f>VLOOKUP(A:A,[1]TDSheet!$A:$X,24,0)</f>
        <v>0</v>
      </c>
      <c r="N36" s="13"/>
      <c r="O36" s="13"/>
      <c r="P36" s="13"/>
      <c r="Q36" s="13"/>
      <c r="R36" s="13"/>
      <c r="S36" s="13"/>
      <c r="T36" s="13"/>
      <c r="U36" s="13"/>
      <c r="V36" s="13"/>
      <c r="W36" s="13">
        <f t="shared" si="11"/>
        <v>0.71360000000000001</v>
      </c>
      <c r="X36" s="16"/>
      <c r="Y36" s="19">
        <f t="shared" si="12"/>
        <v>17.745235426008968</v>
      </c>
      <c r="Z36" s="13">
        <f t="shared" si="13"/>
        <v>3.7317825112107621</v>
      </c>
      <c r="AA36" s="13"/>
      <c r="AB36" s="13"/>
      <c r="AC36" s="13">
        <f>VLOOKUP(A:A,[1]TDSheet!$A:$AC,29,0)</f>
        <v>0</v>
      </c>
      <c r="AD36" s="13">
        <f>VLOOKUP(A:A,[1]TDSheet!$A:$AD,30,0)</f>
        <v>0.71460000000000001</v>
      </c>
      <c r="AE36" s="13">
        <f>VLOOKUP(A:A,[1]TDSheet!$A:$AE,31,0)</f>
        <v>0.35980000000000001</v>
      </c>
      <c r="AF36" s="13">
        <f>VLOOKUP(A:A,[1]TDSheet!$A:$AF,32,0)</f>
        <v>0.36280000000000001</v>
      </c>
      <c r="AG36" s="13">
        <f>VLOOKUP(A:A,[1]TDSheet!$A:$AG,33,0)</f>
        <v>1.0746</v>
      </c>
      <c r="AH36" s="13">
        <f>VLOOKUP(A:A,[3]TDSheet!$A:$D,4,0)</f>
        <v>0.89600000000000002</v>
      </c>
      <c r="AI36" s="20" t="s">
        <v>137</v>
      </c>
      <c r="AJ36" s="13">
        <f t="shared" si="14"/>
        <v>0</v>
      </c>
      <c r="AK36" s="13"/>
      <c r="AL36" s="13"/>
      <c r="AM36" s="13"/>
    </row>
    <row r="37" spans="1:39" s="1" customFormat="1" ht="21.95" customHeight="1" outlineLevel="1" x14ac:dyDescent="0.2">
      <c r="A37" s="7" t="s">
        <v>40</v>
      </c>
      <c r="B37" s="7" t="s">
        <v>8</v>
      </c>
      <c r="C37" s="8">
        <v>8.8130000000000006</v>
      </c>
      <c r="D37" s="8">
        <v>21.626999999999999</v>
      </c>
      <c r="E37" s="8">
        <v>4.4260000000000002</v>
      </c>
      <c r="F37" s="8">
        <v>26.013999999999999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5.81</v>
      </c>
      <c r="K37" s="13">
        <f t="shared" si="10"/>
        <v>-1.3839999999999995</v>
      </c>
      <c r="L37" s="13">
        <f>VLOOKUP(A:A,[1]TDSheet!$A:$V,22,0)</f>
        <v>0</v>
      </c>
      <c r="M37" s="13">
        <f>VLOOKUP(A:A,[1]TDSheet!$A:$X,24,0)</f>
        <v>0</v>
      </c>
      <c r="N37" s="13"/>
      <c r="O37" s="13"/>
      <c r="P37" s="13"/>
      <c r="Q37" s="13"/>
      <c r="R37" s="13"/>
      <c r="S37" s="13"/>
      <c r="T37" s="13"/>
      <c r="U37" s="13"/>
      <c r="V37" s="13"/>
      <c r="W37" s="13">
        <f t="shared" si="11"/>
        <v>0.88519999999999999</v>
      </c>
      <c r="X37" s="16"/>
      <c r="Y37" s="19">
        <f t="shared" si="12"/>
        <v>29.387708992318121</v>
      </c>
      <c r="Z37" s="13">
        <f t="shared" si="13"/>
        <v>29.387708992318121</v>
      </c>
      <c r="AA37" s="13"/>
      <c r="AB37" s="13"/>
      <c r="AC37" s="13">
        <f>VLOOKUP(A:A,[1]TDSheet!$A:$AC,29,0)</f>
        <v>0</v>
      </c>
      <c r="AD37" s="13">
        <f>VLOOKUP(A:A,[1]TDSheet!$A:$AD,30,0)</f>
        <v>3.4386000000000001</v>
      </c>
      <c r="AE37" s="13">
        <f>VLOOKUP(A:A,[1]TDSheet!$A:$AE,31,0)</f>
        <v>1.4361999999999999</v>
      </c>
      <c r="AF37" s="13">
        <f>VLOOKUP(A:A,[1]TDSheet!$A:$AF,32,0)</f>
        <v>1.4232</v>
      </c>
      <c r="AG37" s="13">
        <f>VLOOKUP(A:A,[1]TDSheet!$A:$AG,33,0)</f>
        <v>3.1859999999999999</v>
      </c>
      <c r="AH37" s="13">
        <f>VLOOKUP(A:A,[3]TDSheet!$A:$D,4,0)</f>
        <v>1.7509999999999999</v>
      </c>
      <c r="AI37" s="17" t="str">
        <f>VLOOKUP(A:A,[1]TDSheet!$A:$AI,35,0)</f>
        <v>увел</v>
      </c>
      <c r="AJ37" s="13">
        <f t="shared" si="14"/>
        <v>0</v>
      </c>
      <c r="AK37" s="13"/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935</v>
      </c>
      <c r="D38" s="8">
        <v>3030</v>
      </c>
      <c r="E38" s="8">
        <v>2790</v>
      </c>
      <c r="F38" s="8">
        <v>1121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2823</v>
      </c>
      <c r="K38" s="13">
        <f t="shared" si="10"/>
        <v>-33</v>
      </c>
      <c r="L38" s="13">
        <f>VLOOKUP(A:A,[1]TDSheet!$A:$V,22,0)</f>
        <v>700</v>
      </c>
      <c r="M38" s="13">
        <f>VLOOKUP(A:A,[1]TDSheet!$A:$X,24,0)</f>
        <v>500</v>
      </c>
      <c r="N38" s="13"/>
      <c r="O38" s="13"/>
      <c r="P38" s="13"/>
      <c r="Q38" s="13"/>
      <c r="R38" s="13"/>
      <c r="S38" s="13"/>
      <c r="T38" s="13"/>
      <c r="U38" s="13"/>
      <c r="V38" s="13"/>
      <c r="W38" s="13">
        <f t="shared" si="11"/>
        <v>363.6</v>
      </c>
      <c r="X38" s="16">
        <v>300</v>
      </c>
      <c r="Y38" s="19">
        <f t="shared" si="12"/>
        <v>7.2084708470847083</v>
      </c>
      <c r="Z38" s="13">
        <f t="shared" si="13"/>
        <v>3.0830583058305829</v>
      </c>
      <c r="AA38" s="13"/>
      <c r="AB38" s="13"/>
      <c r="AC38" s="13">
        <f>VLOOKUP(A:A,[1]TDSheet!$A:$AC,29,0)</f>
        <v>972</v>
      </c>
      <c r="AD38" s="13">
        <f>VLOOKUP(A:A,[1]TDSheet!$A:$AD,30,0)</f>
        <v>244.2</v>
      </c>
      <c r="AE38" s="13">
        <f>VLOOKUP(A:A,[1]TDSheet!$A:$AE,31,0)</f>
        <v>255.4</v>
      </c>
      <c r="AF38" s="13">
        <f>VLOOKUP(A:A,[1]TDSheet!$A:$AF,32,0)</f>
        <v>291</v>
      </c>
      <c r="AG38" s="13">
        <f>VLOOKUP(A:A,[1]TDSheet!$A:$AG,33,0)</f>
        <v>293.2</v>
      </c>
      <c r="AH38" s="13">
        <f>VLOOKUP(A:A,[3]TDSheet!$A:$D,4,0)</f>
        <v>215</v>
      </c>
      <c r="AI38" s="13" t="str">
        <f>VLOOKUP(A:A,[1]TDSheet!$A:$AI,35,0)</f>
        <v>нояяб</v>
      </c>
      <c r="AJ38" s="13">
        <f t="shared" si="14"/>
        <v>105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1470</v>
      </c>
      <c r="D39" s="8">
        <v>4942</v>
      </c>
      <c r="E39" s="8">
        <v>3903</v>
      </c>
      <c r="F39" s="8">
        <v>2475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3939</v>
      </c>
      <c r="K39" s="13">
        <f t="shared" si="10"/>
        <v>-36</v>
      </c>
      <c r="L39" s="13">
        <f>VLOOKUP(A:A,[1]TDSheet!$A:$V,22,0)</f>
        <v>500</v>
      </c>
      <c r="M39" s="13">
        <f>VLOOKUP(A:A,[1]TDSheet!$A:$X,24,0)</f>
        <v>700</v>
      </c>
      <c r="N39" s="13"/>
      <c r="O39" s="13"/>
      <c r="P39" s="13"/>
      <c r="Q39" s="13"/>
      <c r="R39" s="13"/>
      <c r="S39" s="13"/>
      <c r="T39" s="13"/>
      <c r="U39" s="13"/>
      <c r="V39" s="13"/>
      <c r="W39" s="13">
        <f t="shared" si="11"/>
        <v>649.79999999999995</v>
      </c>
      <c r="X39" s="16">
        <v>900</v>
      </c>
      <c r="Y39" s="19">
        <f t="shared" si="12"/>
        <v>7.0406278855032323</v>
      </c>
      <c r="Z39" s="13">
        <f t="shared" si="13"/>
        <v>3.8088642659279781</v>
      </c>
      <c r="AA39" s="13"/>
      <c r="AB39" s="13"/>
      <c r="AC39" s="13">
        <f>VLOOKUP(A:A,[1]TDSheet!$A:$AC,29,0)</f>
        <v>654</v>
      </c>
      <c r="AD39" s="13">
        <f>VLOOKUP(A:A,[1]TDSheet!$A:$AD,30,0)</f>
        <v>596.4</v>
      </c>
      <c r="AE39" s="13">
        <f>VLOOKUP(A:A,[1]TDSheet!$A:$AE,31,0)</f>
        <v>566.20000000000005</v>
      </c>
      <c r="AF39" s="13">
        <f>VLOOKUP(A:A,[1]TDSheet!$A:$AF,32,0)</f>
        <v>727.6</v>
      </c>
      <c r="AG39" s="13">
        <f>VLOOKUP(A:A,[1]TDSheet!$A:$AG,33,0)</f>
        <v>660.8</v>
      </c>
      <c r="AH39" s="13">
        <f>VLOOKUP(A:A,[3]TDSheet!$A:$D,4,0)</f>
        <v>798</v>
      </c>
      <c r="AI39" s="13">
        <f>VLOOKUP(A:A,[1]TDSheet!$A:$AI,35,0)</f>
        <v>0</v>
      </c>
      <c r="AJ39" s="13">
        <f t="shared" si="14"/>
        <v>360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12</v>
      </c>
      <c r="C40" s="8">
        <v>1523</v>
      </c>
      <c r="D40" s="8">
        <v>12257</v>
      </c>
      <c r="E40" s="8">
        <v>9469</v>
      </c>
      <c r="F40" s="8">
        <v>4291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9484</v>
      </c>
      <c r="K40" s="13">
        <f t="shared" si="10"/>
        <v>-15</v>
      </c>
      <c r="L40" s="13">
        <f>VLOOKUP(A:A,[1]TDSheet!$A:$V,22,0)</f>
        <v>1300</v>
      </c>
      <c r="M40" s="13">
        <f>VLOOKUP(A:A,[1]TDSheet!$A:$X,24,0)</f>
        <v>1300</v>
      </c>
      <c r="N40" s="13"/>
      <c r="O40" s="13"/>
      <c r="P40" s="13"/>
      <c r="Q40" s="13"/>
      <c r="R40" s="13"/>
      <c r="S40" s="13"/>
      <c r="T40" s="13"/>
      <c r="U40" s="13"/>
      <c r="V40" s="13"/>
      <c r="W40" s="13">
        <f t="shared" si="11"/>
        <v>1093.8</v>
      </c>
      <c r="X40" s="16">
        <v>900</v>
      </c>
      <c r="Y40" s="19">
        <f t="shared" si="12"/>
        <v>7.122874382885354</v>
      </c>
      <c r="Z40" s="13">
        <f t="shared" si="13"/>
        <v>3.9230206619125982</v>
      </c>
      <c r="AA40" s="13"/>
      <c r="AB40" s="13"/>
      <c r="AC40" s="13">
        <f>VLOOKUP(A:A,[1]TDSheet!$A:$AC,29,0)</f>
        <v>4000</v>
      </c>
      <c r="AD40" s="13">
        <f>VLOOKUP(A:A,[1]TDSheet!$A:$AD,30,0)</f>
        <v>773.8</v>
      </c>
      <c r="AE40" s="13">
        <f>VLOOKUP(A:A,[1]TDSheet!$A:$AE,31,0)</f>
        <v>882.6</v>
      </c>
      <c r="AF40" s="13">
        <f>VLOOKUP(A:A,[1]TDSheet!$A:$AF,32,0)</f>
        <v>1069.4000000000001</v>
      </c>
      <c r="AG40" s="13">
        <f>VLOOKUP(A:A,[1]TDSheet!$A:$AG,33,0)</f>
        <v>1088</v>
      </c>
      <c r="AH40" s="13">
        <f>VLOOKUP(A:A,[3]TDSheet!$A:$D,4,0)</f>
        <v>652</v>
      </c>
      <c r="AI40" s="13" t="str">
        <f>VLOOKUP(A:A,[1]TDSheet!$A:$AI,35,0)</f>
        <v>продноя</v>
      </c>
      <c r="AJ40" s="13">
        <f t="shared" si="14"/>
        <v>405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8</v>
      </c>
      <c r="C41" s="8">
        <v>361.30599999999998</v>
      </c>
      <c r="D41" s="8">
        <v>667.92</v>
      </c>
      <c r="E41" s="8">
        <v>533.24900000000002</v>
      </c>
      <c r="F41" s="8">
        <v>491.68299999999999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519.803</v>
      </c>
      <c r="K41" s="13">
        <f t="shared" si="10"/>
        <v>13.446000000000026</v>
      </c>
      <c r="L41" s="13">
        <f>VLOOKUP(A:A,[1]TDSheet!$A:$V,22,0)</f>
        <v>0</v>
      </c>
      <c r="M41" s="13">
        <f>VLOOKUP(A:A,[1]TDSheet!$A:$X,24,0)</f>
        <v>120</v>
      </c>
      <c r="N41" s="13"/>
      <c r="O41" s="13"/>
      <c r="P41" s="13"/>
      <c r="Q41" s="13"/>
      <c r="R41" s="13"/>
      <c r="S41" s="13"/>
      <c r="T41" s="13"/>
      <c r="U41" s="13"/>
      <c r="V41" s="13"/>
      <c r="W41" s="13">
        <f t="shared" si="11"/>
        <v>106.6498</v>
      </c>
      <c r="X41" s="16">
        <v>150</v>
      </c>
      <c r="Y41" s="19">
        <f t="shared" si="12"/>
        <v>7.14190743911381</v>
      </c>
      <c r="Z41" s="13">
        <f t="shared" si="13"/>
        <v>4.6102571219074013</v>
      </c>
      <c r="AA41" s="13"/>
      <c r="AB41" s="13"/>
      <c r="AC41" s="13">
        <f>VLOOKUP(A:A,[1]TDSheet!$A:$AC,29,0)</f>
        <v>0</v>
      </c>
      <c r="AD41" s="13">
        <f>VLOOKUP(A:A,[1]TDSheet!$A:$AD,30,0)</f>
        <v>279.22719999999998</v>
      </c>
      <c r="AE41" s="13">
        <f>VLOOKUP(A:A,[1]TDSheet!$A:$AE,31,0)</f>
        <v>271.0308</v>
      </c>
      <c r="AF41" s="13">
        <f>VLOOKUP(A:A,[1]TDSheet!$A:$AF,32,0)</f>
        <v>134.76479999999998</v>
      </c>
      <c r="AG41" s="13">
        <f>VLOOKUP(A:A,[1]TDSheet!$A:$AG,33,0)</f>
        <v>114.26679999999999</v>
      </c>
      <c r="AH41" s="13">
        <f>VLOOKUP(A:A,[3]TDSheet!$A:$D,4,0)</f>
        <v>113.342</v>
      </c>
      <c r="AI41" s="13" t="str">
        <f>VLOOKUP(A:A,[1]TDSheet!$A:$AI,35,0)</f>
        <v>жк оконч</v>
      </c>
      <c r="AJ41" s="13">
        <f t="shared" si="14"/>
        <v>150</v>
      </c>
      <c r="AK41" s="13"/>
      <c r="AL41" s="13"/>
      <c r="AM41" s="13"/>
    </row>
    <row r="42" spans="1:39" s="1" customFormat="1" ht="11.1" customHeight="1" outlineLevel="1" x14ac:dyDescent="0.2">
      <c r="A42" s="7" t="s">
        <v>45</v>
      </c>
      <c r="B42" s="7" t="s">
        <v>12</v>
      </c>
      <c r="C42" s="8">
        <v>1454</v>
      </c>
      <c r="D42" s="8">
        <v>1530</v>
      </c>
      <c r="E42" s="8">
        <v>890</v>
      </c>
      <c r="F42" s="8">
        <v>2075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908</v>
      </c>
      <c r="K42" s="13">
        <f t="shared" si="10"/>
        <v>-18</v>
      </c>
      <c r="L42" s="13">
        <f>VLOOKUP(A:A,[1]TDSheet!$A:$V,22,0)</f>
        <v>0</v>
      </c>
      <c r="M42" s="13">
        <f>VLOOKUP(A:A,[1]TDSheet!$A:$X,24,0)</f>
        <v>0</v>
      </c>
      <c r="N42" s="13"/>
      <c r="O42" s="13"/>
      <c r="P42" s="13"/>
      <c r="Q42" s="13"/>
      <c r="R42" s="13"/>
      <c r="S42" s="13"/>
      <c r="T42" s="13"/>
      <c r="U42" s="13"/>
      <c r="V42" s="13"/>
      <c r="W42" s="13">
        <f t="shared" si="11"/>
        <v>178</v>
      </c>
      <c r="X42" s="16"/>
      <c r="Y42" s="19">
        <f t="shared" si="12"/>
        <v>11.657303370786517</v>
      </c>
      <c r="Z42" s="13">
        <f t="shared" si="13"/>
        <v>11.657303370786517</v>
      </c>
      <c r="AA42" s="13"/>
      <c r="AB42" s="13"/>
      <c r="AC42" s="13">
        <f>VLOOKUP(A:A,[1]TDSheet!$A:$AC,29,0)</f>
        <v>0</v>
      </c>
      <c r="AD42" s="13">
        <f>VLOOKUP(A:A,[1]TDSheet!$A:$AD,30,0)</f>
        <v>174.4</v>
      </c>
      <c r="AE42" s="13">
        <f>VLOOKUP(A:A,[1]TDSheet!$A:$AE,31,0)</f>
        <v>173.2</v>
      </c>
      <c r="AF42" s="13">
        <f>VLOOKUP(A:A,[1]TDSheet!$A:$AF,32,0)</f>
        <v>247</v>
      </c>
      <c r="AG42" s="13">
        <f>VLOOKUP(A:A,[1]TDSheet!$A:$AG,33,0)</f>
        <v>223.2</v>
      </c>
      <c r="AH42" s="13">
        <f>VLOOKUP(A:A,[3]TDSheet!$A:$D,4,0)</f>
        <v>190</v>
      </c>
      <c r="AI42" s="13">
        <f>VLOOKUP(A:A,[1]TDSheet!$A:$AI,35,0)</f>
        <v>0</v>
      </c>
      <c r="AJ42" s="13">
        <f t="shared" si="14"/>
        <v>0</v>
      </c>
      <c r="AK42" s="13"/>
      <c r="AL42" s="13"/>
      <c r="AM42" s="13"/>
    </row>
    <row r="43" spans="1:39" s="1" customFormat="1" ht="21.95" customHeight="1" outlineLevel="1" x14ac:dyDescent="0.2">
      <c r="A43" s="7" t="s">
        <v>46</v>
      </c>
      <c r="B43" s="7" t="s">
        <v>12</v>
      </c>
      <c r="C43" s="8">
        <v>644</v>
      </c>
      <c r="D43" s="8">
        <v>1157</v>
      </c>
      <c r="E43" s="8">
        <v>1002</v>
      </c>
      <c r="F43" s="8">
        <v>771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1014</v>
      </c>
      <c r="K43" s="13">
        <f t="shared" si="10"/>
        <v>-12</v>
      </c>
      <c r="L43" s="13">
        <f>VLOOKUP(A:A,[1]TDSheet!$A:$V,22,0)</f>
        <v>80</v>
      </c>
      <c r="M43" s="13">
        <f>VLOOKUP(A:A,[1]TDSheet!$A:$X,24,0)</f>
        <v>200</v>
      </c>
      <c r="N43" s="13"/>
      <c r="O43" s="13"/>
      <c r="P43" s="13"/>
      <c r="Q43" s="13"/>
      <c r="R43" s="13"/>
      <c r="S43" s="13"/>
      <c r="T43" s="13"/>
      <c r="U43" s="13"/>
      <c r="V43" s="13"/>
      <c r="W43" s="13">
        <f t="shared" si="11"/>
        <v>200.4</v>
      </c>
      <c r="X43" s="16">
        <v>380</v>
      </c>
      <c r="Y43" s="19">
        <f t="shared" si="12"/>
        <v>7.1407185628742509</v>
      </c>
      <c r="Z43" s="13">
        <f t="shared" si="13"/>
        <v>3.8473053892215567</v>
      </c>
      <c r="AA43" s="13"/>
      <c r="AB43" s="13"/>
      <c r="AC43" s="13">
        <f>VLOOKUP(A:A,[1]TDSheet!$A:$AC,29,0)</f>
        <v>0</v>
      </c>
      <c r="AD43" s="13">
        <f>VLOOKUP(A:A,[1]TDSheet!$A:$AD,30,0)</f>
        <v>212.8</v>
      </c>
      <c r="AE43" s="13">
        <f>VLOOKUP(A:A,[1]TDSheet!$A:$AE,31,0)</f>
        <v>181.2</v>
      </c>
      <c r="AF43" s="13">
        <f>VLOOKUP(A:A,[1]TDSheet!$A:$AF,32,0)</f>
        <v>260.2</v>
      </c>
      <c r="AG43" s="13">
        <f>VLOOKUP(A:A,[1]TDSheet!$A:$AG,33,0)</f>
        <v>203.4</v>
      </c>
      <c r="AH43" s="13">
        <f>VLOOKUP(A:A,[3]TDSheet!$A:$D,4,0)</f>
        <v>240</v>
      </c>
      <c r="AI43" s="13">
        <f>VLOOKUP(A:A,[1]TDSheet!$A:$AI,35,0)</f>
        <v>0</v>
      </c>
      <c r="AJ43" s="13">
        <f t="shared" si="14"/>
        <v>133</v>
      </c>
      <c r="AK43" s="13"/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138.14099999999999</v>
      </c>
      <c r="D44" s="8">
        <v>354.81599999999997</v>
      </c>
      <c r="E44" s="8">
        <v>242.67400000000001</v>
      </c>
      <c r="F44" s="8">
        <v>246.66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252.32</v>
      </c>
      <c r="K44" s="13">
        <f t="shared" si="10"/>
        <v>-9.6459999999999866</v>
      </c>
      <c r="L44" s="13">
        <f>VLOOKUP(A:A,[1]TDSheet!$A:$V,22,0)</f>
        <v>20</v>
      </c>
      <c r="M44" s="13">
        <f>VLOOKUP(A:A,[1]TDSheet!$A:$X,24,0)</f>
        <v>60</v>
      </c>
      <c r="N44" s="13"/>
      <c r="O44" s="13"/>
      <c r="P44" s="13"/>
      <c r="Q44" s="13"/>
      <c r="R44" s="13"/>
      <c r="S44" s="13"/>
      <c r="T44" s="13"/>
      <c r="U44" s="13"/>
      <c r="V44" s="13"/>
      <c r="W44" s="13">
        <f t="shared" si="11"/>
        <v>48.534800000000004</v>
      </c>
      <c r="X44" s="16">
        <v>30</v>
      </c>
      <c r="Y44" s="19">
        <f t="shared" si="12"/>
        <v>7.3485416649496846</v>
      </c>
      <c r="Z44" s="13">
        <f t="shared" si="13"/>
        <v>5.0821266390301387</v>
      </c>
      <c r="AA44" s="13"/>
      <c r="AB44" s="13"/>
      <c r="AC44" s="13">
        <f>VLOOKUP(A:A,[1]TDSheet!$A:$AC,29,0)</f>
        <v>0</v>
      </c>
      <c r="AD44" s="13">
        <f>VLOOKUP(A:A,[1]TDSheet!$A:$AD,30,0)</f>
        <v>44.755600000000001</v>
      </c>
      <c r="AE44" s="13">
        <f>VLOOKUP(A:A,[1]TDSheet!$A:$AE,31,0)</f>
        <v>42.6492</v>
      </c>
      <c r="AF44" s="13">
        <f>VLOOKUP(A:A,[1]TDSheet!$A:$AF,32,0)</f>
        <v>59.303200000000004</v>
      </c>
      <c r="AG44" s="13">
        <f>VLOOKUP(A:A,[1]TDSheet!$A:$AG,33,0)</f>
        <v>50.9422</v>
      </c>
      <c r="AH44" s="13">
        <f>VLOOKUP(A:A,[3]TDSheet!$A:$D,4,0)</f>
        <v>28.97</v>
      </c>
      <c r="AI44" s="13">
        <f>VLOOKUP(A:A,[1]TDSheet!$A:$AI,35,0)</f>
        <v>0</v>
      </c>
      <c r="AJ44" s="13">
        <f t="shared" si="14"/>
        <v>30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427</v>
      </c>
      <c r="D45" s="8">
        <v>789</v>
      </c>
      <c r="E45" s="8">
        <v>794</v>
      </c>
      <c r="F45" s="8">
        <v>411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801</v>
      </c>
      <c r="K45" s="13">
        <f t="shared" si="10"/>
        <v>-7</v>
      </c>
      <c r="L45" s="13">
        <f>VLOOKUP(A:A,[1]TDSheet!$A:$V,22,0)</f>
        <v>280</v>
      </c>
      <c r="M45" s="13">
        <f>VLOOKUP(A:A,[1]TDSheet!$A:$X,24,0)</f>
        <v>200</v>
      </c>
      <c r="N45" s="13"/>
      <c r="O45" s="13"/>
      <c r="P45" s="13"/>
      <c r="Q45" s="13"/>
      <c r="R45" s="13"/>
      <c r="S45" s="13"/>
      <c r="T45" s="13"/>
      <c r="U45" s="13"/>
      <c r="V45" s="13"/>
      <c r="W45" s="13">
        <f t="shared" si="11"/>
        <v>158.80000000000001</v>
      </c>
      <c r="X45" s="16">
        <v>250</v>
      </c>
      <c r="Y45" s="19">
        <f t="shared" si="12"/>
        <v>7.1851385390428204</v>
      </c>
      <c r="Z45" s="13">
        <f t="shared" si="13"/>
        <v>2.5881612090680099</v>
      </c>
      <c r="AA45" s="13"/>
      <c r="AB45" s="13"/>
      <c r="AC45" s="13">
        <f>VLOOKUP(A:A,[1]TDSheet!$A:$AC,29,0)</f>
        <v>0</v>
      </c>
      <c r="AD45" s="13">
        <f>VLOOKUP(A:A,[1]TDSheet!$A:$AD,30,0)</f>
        <v>137.19999999999999</v>
      </c>
      <c r="AE45" s="13">
        <f>VLOOKUP(A:A,[1]TDSheet!$A:$AE,31,0)</f>
        <v>128.80000000000001</v>
      </c>
      <c r="AF45" s="13">
        <f>VLOOKUP(A:A,[1]TDSheet!$A:$AF,32,0)</f>
        <v>170.8</v>
      </c>
      <c r="AG45" s="13">
        <f>VLOOKUP(A:A,[1]TDSheet!$A:$AG,33,0)</f>
        <v>137</v>
      </c>
      <c r="AH45" s="13">
        <f>VLOOKUP(A:A,[3]TDSheet!$A:$D,4,0)</f>
        <v>172</v>
      </c>
      <c r="AI45" s="13">
        <f>VLOOKUP(A:A,[1]TDSheet!$A:$AI,35,0)</f>
        <v>0</v>
      </c>
      <c r="AJ45" s="13">
        <f t="shared" si="14"/>
        <v>100</v>
      </c>
      <c r="AK45" s="13"/>
      <c r="AL45" s="13"/>
      <c r="AM45" s="13"/>
    </row>
    <row r="46" spans="1:39" s="1" customFormat="1" ht="11.1" customHeight="1" outlineLevel="1" x14ac:dyDescent="0.2">
      <c r="A46" s="7" t="s">
        <v>49</v>
      </c>
      <c r="B46" s="7" t="s">
        <v>12</v>
      </c>
      <c r="C46" s="8">
        <v>706</v>
      </c>
      <c r="D46" s="8">
        <v>2429</v>
      </c>
      <c r="E46" s="8">
        <v>1695</v>
      </c>
      <c r="F46" s="8">
        <v>1436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1689</v>
      </c>
      <c r="K46" s="13">
        <f t="shared" si="10"/>
        <v>6</v>
      </c>
      <c r="L46" s="13">
        <f>VLOOKUP(A:A,[1]TDSheet!$A:$V,22,0)</f>
        <v>300</v>
      </c>
      <c r="M46" s="13">
        <f>VLOOKUP(A:A,[1]TDSheet!$A:$X,24,0)</f>
        <v>400</v>
      </c>
      <c r="N46" s="13"/>
      <c r="O46" s="13"/>
      <c r="P46" s="13"/>
      <c r="Q46" s="13"/>
      <c r="R46" s="13"/>
      <c r="S46" s="13"/>
      <c r="T46" s="13"/>
      <c r="U46" s="13"/>
      <c r="V46" s="13"/>
      <c r="W46" s="13">
        <f t="shared" si="11"/>
        <v>339</v>
      </c>
      <c r="X46" s="16">
        <v>300</v>
      </c>
      <c r="Y46" s="19">
        <f t="shared" si="12"/>
        <v>7.1858407079646014</v>
      </c>
      <c r="Z46" s="13">
        <f t="shared" si="13"/>
        <v>4.2359882005899703</v>
      </c>
      <c r="AA46" s="13"/>
      <c r="AB46" s="13"/>
      <c r="AC46" s="13">
        <f>VLOOKUP(A:A,[1]TDSheet!$A:$AC,29,0)</f>
        <v>0</v>
      </c>
      <c r="AD46" s="13">
        <f>VLOOKUP(A:A,[1]TDSheet!$A:$AD,30,0)</f>
        <v>337.6</v>
      </c>
      <c r="AE46" s="13">
        <f>VLOOKUP(A:A,[1]TDSheet!$A:$AE,31,0)</f>
        <v>339.8</v>
      </c>
      <c r="AF46" s="13">
        <f>VLOOKUP(A:A,[1]TDSheet!$A:$AF,32,0)</f>
        <v>388</v>
      </c>
      <c r="AG46" s="13">
        <f>VLOOKUP(A:A,[1]TDSheet!$A:$AG,33,0)</f>
        <v>348.2</v>
      </c>
      <c r="AH46" s="13">
        <f>VLOOKUP(A:A,[3]TDSheet!$A:$D,4,0)</f>
        <v>237</v>
      </c>
      <c r="AI46" s="13">
        <f>VLOOKUP(A:A,[1]TDSheet!$A:$AI,35,0)</f>
        <v>0</v>
      </c>
      <c r="AJ46" s="13">
        <f t="shared" si="14"/>
        <v>120</v>
      </c>
      <c r="AK46" s="13"/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86.597999999999999</v>
      </c>
      <c r="D47" s="8">
        <v>229.62299999999999</v>
      </c>
      <c r="E47" s="8">
        <v>171.77699999999999</v>
      </c>
      <c r="F47" s="8">
        <v>143.71299999999999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172.45</v>
      </c>
      <c r="K47" s="13">
        <f t="shared" si="10"/>
        <v>-0.67300000000000182</v>
      </c>
      <c r="L47" s="13">
        <f>VLOOKUP(A:A,[1]TDSheet!$A:$V,22,0)</f>
        <v>30</v>
      </c>
      <c r="M47" s="13">
        <f>VLOOKUP(A:A,[1]TDSheet!$A:$X,24,0)</f>
        <v>40</v>
      </c>
      <c r="N47" s="13"/>
      <c r="O47" s="13"/>
      <c r="P47" s="13"/>
      <c r="Q47" s="13"/>
      <c r="R47" s="13"/>
      <c r="S47" s="13"/>
      <c r="T47" s="13"/>
      <c r="U47" s="13"/>
      <c r="V47" s="13"/>
      <c r="W47" s="13">
        <f t="shared" si="11"/>
        <v>34.355399999999996</v>
      </c>
      <c r="X47" s="16">
        <v>50</v>
      </c>
      <c r="Y47" s="19">
        <f t="shared" si="12"/>
        <v>7.6760276404873764</v>
      </c>
      <c r="Z47" s="13">
        <f t="shared" si="13"/>
        <v>4.1831269611181945</v>
      </c>
      <c r="AA47" s="13"/>
      <c r="AB47" s="13"/>
      <c r="AC47" s="13">
        <f>VLOOKUP(A:A,[1]TDSheet!$A:$AC,29,0)</f>
        <v>0</v>
      </c>
      <c r="AD47" s="13">
        <f>VLOOKUP(A:A,[1]TDSheet!$A:$AD,30,0)</f>
        <v>28.909199999999998</v>
      </c>
      <c r="AE47" s="13">
        <f>VLOOKUP(A:A,[1]TDSheet!$A:$AE,31,0)</f>
        <v>29.4846</v>
      </c>
      <c r="AF47" s="13">
        <f>VLOOKUP(A:A,[1]TDSheet!$A:$AF,32,0)</f>
        <v>32.495800000000003</v>
      </c>
      <c r="AG47" s="13">
        <f>VLOOKUP(A:A,[1]TDSheet!$A:$AG,33,0)</f>
        <v>32.205799999999996</v>
      </c>
      <c r="AH47" s="13">
        <f>VLOOKUP(A:A,[3]TDSheet!$A:$D,4,0)</f>
        <v>29.498999999999999</v>
      </c>
      <c r="AI47" s="13">
        <f>VLOOKUP(A:A,[1]TDSheet!$A:$AI,35,0)</f>
        <v>0</v>
      </c>
      <c r="AJ47" s="13">
        <f t="shared" si="14"/>
        <v>50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8</v>
      </c>
      <c r="C48" s="8">
        <v>325.84199999999998</v>
      </c>
      <c r="D48" s="8">
        <v>784.01800000000003</v>
      </c>
      <c r="E48" s="8">
        <v>586.52499999999998</v>
      </c>
      <c r="F48" s="8">
        <v>513.91300000000001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597.81100000000004</v>
      </c>
      <c r="K48" s="13">
        <f t="shared" si="10"/>
        <v>-11.286000000000058</v>
      </c>
      <c r="L48" s="13">
        <f>VLOOKUP(A:A,[1]TDSheet!$A:$V,22,0)</f>
        <v>50</v>
      </c>
      <c r="M48" s="13">
        <f>VLOOKUP(A:A,[1]TDSheet!$A:$X,24,0)</f>
        <v>120</v>
      </c>
      <c r="N48" s="13"/>
      <c r="O48" s="13"/>
      <c r="P48" s="13"/>
      <c r="Q48" s="13"/>
      <c r="R48" s="13"/>
      <c r="S48" s="13"/>
      <c r="T48" s="13"/>
      <c r="U48" s="13"/>
      <c r="V48" s="13"/>
      <c r="W48" s="13">
        <f t="shared" si="11"/>
        <v>117.30499999999999</v>
      </c>
      <c r="X48" s="16">
        <v>150</v>
      </c>
      <c r="Y48" s="19">
        <f t="shared" si="12"/>
        <v>7.1089297131409577</v>
      </c>
      <c r="Z48" s="13">
        <f t="shared" si="13"/>
        <v>4.3809982524189079</v>
      </c>
      <c r="AA48" s="13"/>
      <c r="AB48" s="13"/>
      <c r="AC48" s="13">
        <f>VLOOKUP(A:A,[1]TDSheet!$A:$AC,29,0)</f>
        <v>0</v>
      </c>
      <c r="AD48" s="13">
        <f>VLOOKUP(A:A,[1]TDSheet!$A:$AD,30,0)</f>
        <v>131.483</v>
      </c>
      <c r="AE48" s="13">
        <f>VLOOKUP(A:A,[1]TDSheet!$A:$AE,31,0)</f>
        <v>130.7636</v>
      </c>
      <c r="AF48" s="13">
        <f>VLOOKUP(A:A,[1]TDSheet!$A:$AF,32,0)</f>
        <v>126.36060000000001</v>
      </c>
      <c r="AG48" s="13">
        <f>VLOOKUP(A:A,[1]TDSheet!$A:$AG,33,0)</f>
        <v>121.46579999999999</v>
      </c>
      <c r="AH48" s="13">
        <f>VLOOKUP(A:A,[3]TDSheet!$A:$D,4,0)</f>
        <v>109.95399999999999</v>
      </c>
      <c r="AI48" s="13">
        <f>VLOOKUP(A:A,[1]TDSheet!$A:$AI,35,0)</f>
        <v>0</v>
      </c>
      <c r="AJ48" s="13">
        <f t="shared" si="14"/>
        <v>150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582</v>
      </c>
      <c r="D49" s="8">
        <v>1628</v>
      </c>
      <c r="E49" s="8">
        <v>1352</v>
      </c>
      <c r="F49" s="8">
        <v>818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1386</v>
      </c>
      <c r="K49" s="13">
        <f t="shared" si="10"/>
        <v>-34</v>
      </c>
      <c r="L49" s="13">
        <f>VLOOKUP(A:A,[1]TDSheet!$A:$V,22,0)</f>
        <v>350</v>
      </c>
      <c r="M49" s="13">
        <f>VLOOKUP(A:A,[1]TDSheet!$A:$X,24,0)</f>
        <v>350</v>
      </c>
      <c r="N49" s="13"/>
      <c r="O49" s="13"/>
      <c r="P49" s="13"/>
      <c r="Q49" s="13"/>
      <c r="R49" s="13"/>
      <c r="S49" s="13"/>
      <c r="T49" s="13"/>
      <c r="U49" s="13"/>
      <c r="V49" s="13"/>
      <c r="W49" s="13">
        <f t="shared" si="11"/>
        <v>270.39999999999998</v>
      </c>
      <c r="X49" s="16">
        <v>400</v>
      </c>
      <c r="Y49" s="19">
        <f t="shared" si="12"/>
        <v>7.0931952662721898</v>
      </c>
      <c r="Z49" s="13">
        <f t="shared" si="13"/>
        <v>3.025147928994083</v>
      </c>
      <c r="AA49" s="13"/>
      <c r="AB49" s="13"/>
      <c r="AC49" s="13">
        <f>VLOOKUP(A:A,[1]TDSheet!$A:$AC,29,0)</f>
        <v>0</v>
      </c>
      <c r="AD49" s="13">
        <f>VLOOKUP(A:A,[1]TDSheet!$A:$AD,30,0)</f>
        <v>249.6</v>
      </c>
      <c r="AE49" s="13">
        <f>VLOOKUP(A:A,[1]TDSheet!$A:$AE,31,0)</f>
        <v>215.4</v>
      </c>
      <c r="AF49" s="13">
        <f>VLOOKUP(A:A,[1]TDSheet!$A:$AF,32,0)</f>
        <v>271.2</v>
      </c>
      <c r="AG49" s="13">
        <f>VLOOKUP(A:A,[1]TDSheet!$A:$AG,33,0)</f>
        <v>247.4</v>
      </c>
      <c r="AH49" s="13">
        <f>VLOOKUP(A:A,[3]TDSheet!$A:$D,4,0)</f>
        <v>285</v>
      </c>
      <c r="AI49" s="13">
        <f>VLOOKUP(A:A,[1]TDSheet!$A:$AI,35,0)</f>
        <v>0</v>
      </c>
      <c r="AJ49" s="13">
        <f t="shared" si="14"/>
        <v>140</v>
      </c>
      <c r="AK49" s="13"/>
      <c r="AL49" s="13"/>
      <c r="AM49" s="13"/>
    </row>
    <row r="50" spans="1:39" s="1" customFormat="1" ht="21.95" customHeight="1" outlineLevel="1" x14ac:dyDescent="0.2">
      <c r="A50" s="7" t="s">
        <v>53</v>
      </c>
      <c r="B50" s="7" t="s">
        <v>12</v>
      </c>
      <c r="C50" s="8">
        <v>748</v>
      </c>
      <c r="D50" s="8">
        <v>2990</v>
      </c>
      <c r="E50" s="8">
        <v>2193</v>
      </c>
      <c r="F50" s="8">
        <v>1489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2223</v>
      </c>
      <c r="K50" s="13">
        <f t="shared" si="10"/>
        <v>-30</v>
      </c>
      <c r="L50" s="13">
        <f>VLOOKUP(A:A,[1]TDSheet!$A:$V,22,0)</f>
        <v>450</v>
      </c>
      <c r="M50" s="13">
        <f>VLOOKUP(A:A,[1]TDSheet!$A:$X,24,0)</f>
        <v>500</v>
      </c>
      <c r="N50" s="13"/>
      <c r="O50" s="13"/>
      <c r="P50" s="13"/>
      <c r="Q50" s="13"/>
      <c r="R50" s="13"/>
      <c r="S50" s="13"/>
      <c r="T50" s="13"/>
      <c r="U50" s="13"/>
      <c r="V50" s="13"/>
      <c r="W50" s="13">
        <f t="shared" si="11"/>
        <v>438.6</v>
      </c>
      <c r="X50" s="16">
        <v>700</v>
      </c>
      <c r="Y50" s="19">
        <f t="shared" si="12"/>
        <v>7.1568627450980387</v>
      </c>
      <c r="Z50" s="13">
        <f t="shared" si="13"/>
        <v>3.3948928408572732</v>
      </c>
      <c r="AA50" s="13"/>
      <c r="AB50" s="13"/>
      <c r="AC50" s="13">
        <f>VLOOKUP(A:A,[1]TDSheet!$A:$AC,29,0)</f>
        <v>0</v>
      </c>
      <c r="AD50" s="13">
        <f>VLOOKUP(A:A,[1]TDSheet!$A:$AD,30,0)</f>
        <v>363.4</v>
      </c>
      <c r="AE50" s="13">
        <f>VLOOKUP(A:A,[1]TDSheet!$A:$AE,31,0)</f>
        <v>337.6</v>
      </c>
      <c r="AF50" s="13">
        <f>VLOOKUP(A:A,[1]TDSheet!$A:$AF,32,0)</f>
        <v>449.6</v>
      </c>
      <c r="AG50" s="13">
        <f>VLOOKUP(A:A,[1]TDSheet!$A:$AG,33,0)</f>
        <v>415.4</v>
      </c>
      <c r="AH50" s="13">
        <f>VLOOKUP(A:A,[3]TDSheet!$A:$D,4,0)</f>
        <v>460</v>
      </c>
      <c r="AI50" s="13">
        <f>VLOOKUP(A:A,[1]TDSheet!$A:$AI,35,0)</f>
        <v>0</v>
      </c>
      <c r="AJ50" s="13">
        <f t="shared" si="14"/>
        <v>244.99999999999997</v>
      </c>
      <c r="AK50" s="13"/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12</v>
      </c>
      <c r="C51" s="8">
        <v>584</v>
      </c>
      <c r="D51" s="8">
        <v>1352</v>
      </c>
      <c r="E51" s="8">
        <v>1171</v>
      </c>
      <c r="F51" s="8">
        <v>754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1192</v>
      </c>
      <c r="K51" s="13">
        <f t="shared" si="10"/>
        <v>-21</v>
      </c>
      <c r="L51" s="13">
        <f>VLOOKUP(A:A,[1]TDSheet!$A:$V,22,0)</f>
        <v>250</v>
      </c>
      <c r="M51" s="13">
        <f>VLOOKUP(A:A,[1]TDSheet!$A:$X,24,0)</f>
        <v>300</v>
      </c>
      <c r="N51" s="13"/>
      <c r="O51" s="13"/>
      <c r="P51" s="13"/>
      <c r="Q51" s="13"/>
      <c r="R51" s="13"/>
      <c r="S51" s="13"/>
      <c r="T51" s="13"/>
      <c r="U51" s="13"/>
      <c r="V51" s="13"/>
      <c r="W51" s="13">
        <f t="shared" si="11"/>
        <v>234.2</v>
      </c>
      <c r="X51" s="16">
        <v>370</v>
      </c>
      <c r="Y51" s="19">
        <f t="shared" si="12"/>
        <v>7.1477369769427845</v>
      </c>
      <c r="Z51" s="13">
        <f t="shared" si="13"/>
        <v>3.2194705380017079</v>
      </c>
      <c r="AA51" s="13"/>
      <c r="AB51" s="13"/>
      <c r="AC51" s="13">
        <f>VLOOKUP(A:A,[1]TDSheet!$A:$AC,29,0)</f>
        <v>0</v>
      </c>
      <c r="AD51" s="13">
        <f>VLOOKUP(A:A,[1]TDSheet!$A:$AD,30,0)</f>
        <v>234.4</v>
      </c>
      <c r="AE51" s="13">
        <f>VLOOKUP(A:A,[1]TDSheet!$A:$AE,31,0)</f>
        <v>220.4</v>
      </c>
      <c r="AF51" s="13">
        <f>VLOOKUP(A:A,[1]TDSheet!$A:$AF,32,0)</f>
        <v>258.8</v>
      </c>
      <c r="AG51" s="13">
        <f>VLOOKUP(A:A,[1]TDSheet!$A:$AG,33,0)</f>
        <v>219.8</v>
      </c>
      <c r="AH51" s="13">
        <f>VLOOKUP(A:A,[3]TDSheet!$A:$D,4,0)</f>
        <v>307</v>
      </c>
      <c r="AI51" s="13">
        <f>VLOOKUP(A:A,[1]TDSheet!$A:$AI,35,0)</f>
        <v>0</v>
      </c>
      <c r="AJ51" s="13">
        <f t="shared" si="14"/>
        <v>148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351.30200000000002</v>
      </c>
      <c r="D52" s="8">
        <v>1208.123</v>
      </c>
      <c r="E52" s="8">
        <v>909.53700000000003</v>
      </c>
      <c r="F52" s="8">
        <v>624.45299999999997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922.67</v>
      </c>
      <c r="K52" s="13">
        <f t="shared" si="10"/>
        <v>-13.132999999999925</v>
      </c>
      <c r="L52" s="13">
        <f>VLOOKUP(A:A,[1]TDSheet!$A:$V,22,0)</f>
        <v>180</v>
      </c>
      <c r="M52" s="13">
        <f>VLOOKUP(A:A,[1]TDSheet!$A:$X,24,0)</f>
        <v>200</v>
      </c>
      <c r="N52" s="13"/>
      <c r="O52" s="13"/>
      <c r="P52" s="13"/>
      <c r="Q52" s="13"/>
      <c r="R52" s="13"/>
      <c r="S52" s="13"/>
      <c r="T52" s="13"/>
      <c r="U52" s="13"/>
      <c r="V52" s="13"/>
      <c r="W52" s="13">
        <f t="shared" si="11"/>
        <v>181.9074</v>
      </c>
      <c r="X52" s="16">
        <v>300</v>
      </c>
      <c r="Y52" s="19">
        <f t="shared" si="12"/>
        <v>7.1709727036942974</v>
      </c>
      <c r="Z52" s="13">
        <f t="shared" si="13"/>
        <v>3.4328070215945035</v>
      </c>
      <c r="AA52" s="13"/>
      <c r="AB52" s="13"/>
      <c r="AC52" s="13">
        <f>VLOOKUP(A:A,[1]TDSheet!$A:$AC,29,0)</f>
        <v>0</v>
      </c>
      <c r="AD52" s="13">
        <f>VLOOKUP(A:A,[1]TDSheet!$A:$AD,30,0)</f>
        <v>162.78479999999999</v>
      </c>
      <c r="AE52" s="13">
        <f>VLOOKUP(A:A,[1]TDSheet!$A:$AE,31,0)</f>
        <v>158.79159999999999</v>
      </c>
      <c r="AF52" s="13">
        <f>VLOOKUP(A:A,[1]TDSheet!$A:$AF,32,0)</f>
        <v>182.1566</v>
      </c>
      <c r="AG52" s="13">
        <f>VLOOKUP(A:A,[1]TDSheet!$A:$AG,33,0)</f>
        <v>171.2534</v>
      </c>
      <c r="AH52" s="13">
        <f>VLOOKUP(A:A,[3]TDSheet!$A:$D,4,0)</f>
        <v>198.97300000000001</v>
      </c>
      <c r="AI52" s="13" t="str">
        <f>VLOOKUP(A:A,[1]TDSheet!$A:$AI,35,0)</f>
        <v>жц</v>
      </c>
      <c r="AJ52" s="13">
        <f t="shared" si="14"/>
        <v>300</v>
      </c>
      <c r="AK52" s="13"/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244.39599999999999</v>
      </c>
      <c r="D53" s="8">
        <v>1053.1859999999999</v>
      </c>
      <c r="E53" s="8">
        <v>639.79399999999998</v>
      </c>
      <c r="F53" s="8">
        <v>619.66200000000003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663.95699999999999</v>
      </c>
      <c r="K53" s="13">
        <f t="shared" si="10"/>
        <v>-24.163000000000011</v>
      </c>
      <c r="L53" s="13">
        <f>VLOOKUP(A:A,[1]TDSheet!$A:$V,22,0)</f>
        <v>50</v>
      </c>
      <c r="M53" s="13">
        <f>VLOOKUP(A:A,[1]TDSheet!$A:$X,24,0)</f>
        <v>120</v>
      </c>
      <c r="N53" s="13"/>
      <c r="O53" s="13"/>
      <c r="P53" s="13"/>
      <c r="Q53" s="13"/>
      <c r="R53" s="13"/>
      <c r="S53" s="13"/>
      <c r="T53" s="13"/>
      <c r="U53" s="13"/>
      <c r="V53" s="13"/>
      <c r="W53" s="13">
        <f t="shared" si="11"/>
        <v>127.9588</v>
      </c>
      <c r="X53" s="16">
        <v>120</v>
      </c>
      <c r="Y53" s="19">
        <f t="shared" si="12"/>
        <v>7.1090225916466867</v>
      </c>
      <c r="Z53" s="13">
        <f t="shared" si="13"/>
        <v>4.8426681087975192</v>
      </c>
      <c r="AA53" s="13"/>
      <c r="AB53" s="13"/>
      <c r="AC53" s="13">
        <f>VLOOKUP(A:A,[1]TDSheet!$A:$AC,29,0)</f>
        <v>0</v>
      </c>
      <c r="AD53" s="13">
        <f>VLOOKUP(A:A,[1]TDSheet!$A:$AD,30,0)</f>
        <v>141.30500000000001</v>
      </c>
      <c r="AE53" s="13">
        <f>VLOOKUP(A:A,[1]TDSheet!$A:$AE,31,0)</f>
        <v>145.9974</v>
      </c>
      <c r="AF53" s="13">
        <f>VLOOKUP(A:A,[1]TDSheet!$A:$AF,32,0)</f>
        <v>158.88640000000001</v>
      </c>
      <c r="AG53" s="13">
        <f>VLOOKUP(A:A,[1]TDSheet!$A:$AG,33,0)</f>
        <v>133.54159999999999</v>
      </c>
      <c r="AH53" s="13">
        <f>VLOOKUP(A:A,[3]TDSheet!$A:$D,4,0)</f>
        <v>79.832999999999998</v>
      </c>
      <c r="AI53" s="13" t="str">
        <f>VLOOKUP(A:A,[1]TDSheet!$A:$AI,35,0)</f>
        <v>оконч</v>
      </c>
      <c r="AJ53" s="13">
        <f t="shared" si="14"/>
        <v>120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32.784999999999997</v>
      </c>
      <c r="D54" s="8"/>
      <c r="E54" s="8">
        <v>0</v>
      </c>
      <c r="F54" s="8"/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3">
        <f>VLOOKUP(A:A,[2]TDSheet!$A:$F,6,0)</f>
        <v>28</v>
      </c>
      <c r="K54" s="13">
        <f t="shared" si="10"/>
        <v>-28</v>
      </c>
      <c r="L54" s="13">
        <f>VLOOKUP(A:A,[1]TDSheet!$A:$V,22,0)</f>
        <v>0</v>
      </c>
      <c r="M54" s="13">
        <f>VLOOKUP(A:A,[1]TDSheet!$A:$X,24,0)</f>
        <v>0</v>
      </c>
      <c r="N54" s="13"/>
      <c r="O54" s="13"/>
      <c r="P54" s="13"/>
      <c r="Q54" s="13"/>
      <c r="R54" s="13"/>
      <c r="S54" s="13"/>
      <c r="T54" s="13"/>
      <c r="U54" s="13"/>
      <c r="V54" s="13"/>
      <c r="W54" s="13">
        <f t="shared" si="11"/>
        <v>0</v>
      </c>
      <c r="X54" s="16"/>
      <c r="Y54" s="19" t="e">
        <f t="shared" si="12"/>
        <v>#DIV/0!</v>
      </c>
      <c r="Z54" s="13" t="e">
        <f t="shared" si="13"/>
        <v>#DIV/0!</v>
      </c>
      <c r="AA54" s="13"/>
      <c r="AB54" s="13"/>
      <c r="AC54" s="13">
        <f>VLOOKUP(A:A,[1]TDSheet!$A:$AC,29,0)</f>
        <v>0</v>
      </c>
      <c r="AD54" s="13">
        <f>VLOOKUP(A:A,[1]TDSheet!$A:$AD,30,0)</f>
        <v>5.7248000000000001</v>
      </c>
      <c r="AE54" s="13">
        <f>VLOOKUP(A:A,[1]TDSheet!$A:$AE,31,0)</f>
        <v>4.2081999999999997</v>
      </c>
      <c r="AF54" s="13">
        <f>VLOOKUP(A:A,[1]TDSheet!$A:$AF,32,0)</f>
        <v>5.1107999999999993</v>
      </c>
      <c r="AG54" s="13">
        <f>VLOOKUP(A:A,[1]TDSheet!$A:$AG,33,0)</f>
        <v>0.89879999999999993</v>
      </c>
      <c r="AH54" s="13">
        <v>0</v>
      </c>
      <c r="AI54" s="13" t="str">
        <f>VLOOKUP(A:A,[1]TDSheet!$A:$AI,35,0)</f>
        <v>увел</v>
      </c>
      <c r="AJ54" s="13">
        <f t="shared" si="14"/>
        <v>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8</v>
      </c>
      <c r="C55" s="8">
        <v>1594.61</v>
      </c>
      <c r="D55" s="8">
        <v>7018.4549999999999</v>
      </c>
      <c r="E55" s="8">
        <v>4556.585</v>
      </c>
      <c r="F55" s="8">
        <v>4015.902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4587.7719999999999</v>
      </c>
      <c r="K55" s="13">
        <f t="shared" si="10"/>
        <v>-31.186999999999898</v>
      </c>
      <c r="L55" s="13">
        <f>VLOOKUP(A:A,[1]TDSheet!$A:$V,22,0)</f>
        <v>1000</v>
      </c>
      <c r="M55" s="13">
        <f>VLOOKUP(A:A,[1]TDSheet!$A:$X,24,0)</f>
        <v>1100</v>
      </c>
      <c r="N55" s="13"/>
      <c r="O55" s="13"/>
      <c r="P55" s="13"/>
      <c r="Q55" s="13"/>
      <c r="R55" s="13"/>
      <c r="S55" s="13"/>
      <c r="T55" s="13"/>
      <c r="U55" s="13"/>
      <c r="V55" s="13"/>
      <c r="W55" s="13">
        <f t="shared" si="11"/>
        <v>911.31700000000001</v>
      </c>
      <c r="X55" s="16">
        <v>450</v>
      </c>
      <c r="Y55" s="19">
        <f t="shared" si="12"/>
        <v>7.2048496845773755</v>
      </c>
      <c r="Z55" s="13">
        <f t="shared" si="13"/>
        <v>4.4067015100124323</v>
      </c>
      <c r="AA55" s="13"/>
      <c r="AB55" s="13"/>
      <c r="AC55" s="13">
        <f>VLOOKUP(A:A,[1]TDSheet!$A:$AC,29,0)</f>
        <v>0</v>
      </c>
      <c r="AD55" s="13">
        <f>VLOOKUP(A:A,[1]TDSheet!$A:$AD,30,0)</f>
        <v>1001.78</v>
      </c>
      <c r="AE55" s="13">
        <f>VLOOKUP(A:A,[1]TDSheet!$A:$AE,31,0)</f>
        <v>958.94159999999988</v>
      </c>
      <c r="AF55" s="13">
        <f>VLOOKUP(A:A,[1]TDSheet!$A:$AF,32,0)</f>
        <v>940.26700000000005</v>
      </c>
      <c r="AG55" s="13">
        <f>VLOOKUP(A:A,[1]TDSheet!$A:$AG,33,0)</f>
        <v>953.20319999999992</v>
      </c>
      <c r="AH55" s="13">
        <f>VLOOKUP(A:A,[3]TDSheet!$A:$D,4,0)</f>
        <v>443.90300000000002</v>
      </c>
      <c r="AI55" s="13" t="str">
        <f>VLOOKUP(A:A,[1]TDSheet!$A:$AI,35,0)</f>
        <v>продноя</v>
      </c>
      <c r="AJ55" s="13">
        <f t="shared" si="14"/>
        <v>450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808</v>
      </c>
      <c r="D56" s="8">
        <v>4275</v>
      </c>
      <c r="E56" s="8">
        <v>3089</v>
      </c>
      <c r="F56" s="8">
        <v>1945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3115</v>
      </c>
      <c r="K56" s="13">
        <f t="shared" si="10"/>
        <v>-26</v>
      </c>
      <c r="L56" s="13">
        <f>VLOOKUP(A:A,[1]TDSheet!$A:$V,22,0)</f>
        <v>400</v>
      </c>
      <c r="M56" s="13">
        <f>VLOOKUP(A:A,[1]TDSheet!$A:$X,24,0)</f>
        <v>500</v>
      </c>
      <c r="N56" s="13"/>
      <c r="O56" s="13"/>
      <c r="P56" s="13"/>
      <c r="Q56" s="13"/>
      <c r="R56" s="13"/>
      <c r="S56" s="13"/>
      <c r="T56" s="13"/>
      <c r="U56" s="13"/>
      <c r="V56" s="13"/>
      <c r="W56" s="13">
        <f t="shared" si="11"/>
        <v>497.8</v>
      </c>
      <c r="X56" s="16">
        <v>700</v>
      </c>
      <c r="Y56" s="19">
        <f t="shared" si="12"/>
        <v>7.1213338690237045</v>
      </c>
      <c r="Z56" s="13">
        <f t="shared" si="13"/>
        <v>3.9071916432302127</v>
      </c>
      <c r="AA56" s="13"/>
      <c r="AB56" s="13"/>
      <c r="AC56" s="13">
        <f>VLOOKUP(A:A,[1]TDSheet!$A:$AC,29,0)</f>
        <v>600</v>
      </c>
      <c r="AD56" s="13">
        <f>VLOOKUP(A:A,[1]TDSheet!$A:$AD,30,0)</f>
        <v>440.6</v>
      </c>
      <c r="AE56" s="13">
        <f>VLOOKUP(A:A,[1]TDSheet!$A:$AE,31,0)</f>
        <v>471.2</v>
      </c>
      <c r="AF56" s="13">
        <f>VLOOKUP(A:A,[1]TDSheet!$A:$AF,32,0)</f>
        <v>520.6</v>
      </c>
      <c r="AG56" s="13">
        <f>VLOOKUP(A:A,[1]TDSheet!$A:$AG,33,0)</f>
        <v>494.6</v>
      </c>
      <c r="AH56" s="13">
        <f>VLOOKUP(A:A,[3]TDSheet!$A:$D,4,0)</f>
        <v>493</v>
      </c>
      <c r="AI56" s="13">
        <f>VLOOKUP(A:A,[1]TDSheet!$A:$AI,35,0)</f>
        <v>0</v>
      </c>
      <c r="AJ56" s="13">
        <f t="shared" si="14"/>
        <v>315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3292</v>
      </c>
      <c r="D57" s="8">
        <v>5425</v>
      </c>
      <c r="E57" s="8">
        <v>5742</v>
      </c>
      <c r="F57" s="8">
        <v>2866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5824</v>
      </c>
      <c r="K57" s="13">
        <f t="shared" si="10"/>
        <v>-82</v>
      </c>
      <c r="L57" s="13">
        <f>VLOOKUP(A:A,[1]TDSheet!$A:$V,22,0)</f>
        <v>1200</v>
      </c>
      <c r="M57" s="13">
        <f>VLOOKUP(A:A,[1]TDSheet!$A:$X,24,0)</f>
        <v>1100</v>
      </c>
      <c r="N57" s="13"/>
      <c r="O57" s="13"/>
      <c r="P57" s="13"/>
      <c r="Q57" s="13"/>
      <c r="R57" s="13"/>
      <c r="S57" s="13"/>
      <c r="T57" s="13"/>
      <c r="U57" s="13"/>
      <c r="V57" s="13"/>
      <c r="W57" s="13">
        <f t="shared" si="11"/>
        <v>848.4</v>
      </c>
      <c r="X57" s="16">
        <v>900</v>
      </c>
      <c r="Y57" s="19">
        <f t="shared" si="12"/>
        <v>7.1499292786421504</v>
      </c>
      <c r="Z57" s="13">
        <f t="shared" si="13"/>
        <v>3.3781235266383782</v>
      </c>
      <c r="AA57" s="13"/>
      <c r="AB57" s="13"/>
      <c r="AC57" s="13">
        <f>VLOOKUP(A:A,[1]TDSheet!$A:$AC,29,0)</f>
        <v>1500</v>
      </c>
      <c r="AD57" s="13">
        <f>VLOOKUP(A:A,[1]TDSheet!$A:$AD,30,0)</f>
        <v>723.2</v>
      </c>
      <c r="AE57" s="13">
        <f>VLOOKUP(A:A,[1]TDSheet!$A:$AE,31,0)</f>
        <v>719.8</v>
      </c>
      <c r="AF57" s="13">
        <f>VLOOKUP(A:A,[1]TDSheet!$A:$AF,32,0)</f>
        <v>850</v>
      </c>
      <c r="AG57" s="13">
        <f>VLOOKUP(A:A,[1]TDSheet!$A:$AG,33,0)</f>
        <v>769</v>
      </c>
      <c r="AH57" s="13">
        <f>VLOOKUP(A:A,[3]TDSheet!$A:$D,4,0)</f>
        <v>694</v>
      </c>
      <c r="AI57" s="13" t="str">
        <f>VLOOKUP(A:A,[1]TDSheet!$A:$AI,35,0)</f>
        <v>жц, яб</v>
      </c>
      <c r="AJ57" s="13">
        <f t="shared" si="14"/>
        <v>405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577</v>
      </c>
      <c r="D58" s="8">
        <v>2103</v>
      </c>
      <c r="E58" s="8">
        <v>1357</v>
      </c>
      <c r="F58" s="8">
        <v>1313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1363</v>
      </c>
      <c r="K58" s="13">
        <f t="shared" si="10"/>
        <v>-6</v>
      </c>
      <c r="L58" s="13">
        <f>VLOOKUP(A:A,[1]TDSheet!$A:$V,22,0)</f>
        <v>50</v>
      </c>
      <c r="M58" s="13">
        <f>VLOOKUP(A:A,[1]TDSheet!$A:$X,24,0)</f>
        <v>300</v>
      </c>
      <c r="N58" s="13"/>
      <c r="O58" s="13"/>
      <c r="P58" s="13"/>
      <c r="Q58" s="13"/>
      <c r="R58" s="13"/>
      <c r="S58" s="13"/>
      <c r="T58" s="13"/>
      <c r="U58" s="13"/>
      <c r="V58" s="13"/>
      <c r="W58" s="13">
        <f t="shared" si="11"/>
        <v>271.39999999999998</v>
      </c>
      <c r="X58" s="16">
        <v>300</v>
      </c>
      <c r="Y58" s="19">
        <f t="shared" si="12"/>
        <v>7.2328666175386891</v>
      </c>
      <c r="Z58" s="13">
        <f t="shared" si="13"/>
        <v>4.8378776713338247</v>
      </c>
      <c r="AA58" s="13"/>
      <c r="AB58" s="13"/>
      <c r="AC58" s="13">
        <f>VLOOKUP(A:A,[1]TDSheet!$A:$AC,29,0)</f>
        <v>0</v>
      </c>
      <c r="AD58" s="13">
        <f>VLOOKUP(A:A,[1]TDSheet!$A:$AD,30,0)</f>
        <v>289.2</v>
      </c>
      <c r="AE58" s="13">
        <f>VLOOKUP(A:A,[1]TDSheet!$A:$AE,31,0)</f>
        <v>266.2</v>
      </c>
      <c r="AF58" s="13">
        <f>VLOOKUP(A:A,[1]TDSheet!$A:$AF,32,0)</f>
        <v>349.2</v>
      </c>
      <c r="AG58" s="13">
        <f>VLOOKUP(A:A,[1]TDSheet!$A:$AG,33,0)</f>
        <v>300.39999999999998</v>
      </c>
      <c r="AH58" s="13">
        <f>VLOOKUP(A:A,[3]TDSheet!$A:$D,4,0)</f>
        <v>257</v>
      </c>
      <c r="AI58" s="13" t="str">
        <f>VLOOKUP(A:A,[1]TDSheet!$A:$AI,35,0)</f>
        <v>жц</v>
      </c>
      <c r="AJ58" s="13">
        <f t="shared" si="14"/>
        <v>135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120</v>
      </c>
      <c r="D59" s="8">
        <v>450</v>
      </c>
      <c r="E59" s="8">
        <v>296</v>
      </c>
      <c r="F59" s="8">
        <v>268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306</v>
      </c>
      <c r="K59" s="13">
        <f t="shared" si="10"/>
        <v>-10</v>
      </c>
      <c r="L59" s="13">
        <f>VLOOKUP(A:A,[1]TDSheet!$A:$V,22,0)</f>
        <v>0</v>
      </c>
      <c r="M59" s="13">
        <f>VLOOKUP(A:A,[1]TDSheet!$A:$X,24,0)</f>
        <v>40</v>
      </c>
      <c r="N59" s="13"/>
      <c r="O59" s="13"/>
      <c r="P59" s="13"/>
      <c r="Q59" s="13"/>
      <c r="R59" s="13"/>
      <c r="S59" s="13"/>
      <c r="T59" s="13"/>
      <c r="U59" s="13"/>
      <c r="V59" s="13"/>
      <c r="W59" s="13">
        <f t="shared" si="11"/>
        <v>59.2</v>
      </c>
      <c r="X59" s="16">
        <v>120</v>
      </c>
      <c r="Y59" s="19">
        <f t="shared" si="12"/>
        <v>7.2297297297297298</v>
      </c>
      <c r="Z59" s="13">
        <f t="shared" si="13"/>
        <v>4.5270270270270272</v>
      </c>
      <c r="AA59" s="13"/>
      <c r="AB59" s="13"/>
      <c r="AC59" s="13">
        <f>VLOOKUP(A:A,[1]TDSheet!$A:$AC,29,0)</f>
        <v>0</v>
      </c>
      <c r="AD59" s="13">
        <f>VLOOKUP(A:A,[1]TDSheet!$A:$AD,30,0)</f>
        <v>60.6</v>
      </c>
      <c r="AE59" s="13">
        <f>VLOOKUP(A:A,[1]TDSheet!$A:$AE,31,0)</f>
        <v>55.8</v>
      </c>
      <c r="AF59" s="13">
        <f>VLOOKUP(A:A,[1]TDSheet!$A:$AF,32,0)</f>
        <v>65.599999999999994</v>
      </c>
      <c r="AG59" s="13">
        <f>VLOOKUP(A:A,[1]TDSheet!$A:$AG,33,0)</f>
        <v>62</v>
      </c>
      <c r="AH59" s="13">
        <f>VLOOKUP(A:A,[3]TDSheet!$A:$D,4,0)</f>
        <v>70</v>
      </c>
      <c r="AI59" s="13">
        <f>VLOOKUP(A:A,[1]TDSheet!$A:$AI,35,0)</f>
        <v>0</v>
      </c>
      <c r="AJ59" s="13">
        <f t="shared" si="14"/>
        <v>48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12</v>
      </c>
      <c r="C60" s="8">
        <v>61</v>
      </c>
      <c r="D60" s="8">
        <v>565</v>
      </c>
      <c r="E60" s="8">
        <v>286</v>
      </c>
      <c r="F60" s="8">
        <v>318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312</v>
      </c>
      <c r="K60" s="13">
        <f t="shared" si="10"/>
        <v>-26</v>
      </c>
      <c r="L60" s="13">
        <f>VLOOKUP(A:A,[1]TDSheet!$A:$V,22,0)</f>
        <v>0</v>
      </c>
      <c r="M60" s="13">
        <f>VLOOKUP(A:A,[1]TDSheet!$A:$X,24,0)</f>
        <v>0</v>
      </c>
      <c r="N60" s="13"/>
      <c r="O60" s="13"/>
      <c r="P60" s="13"/>
      <c r="Q60" s="13"/>
      <c r="R60" s="13"/>
      <c r="S60" s="13"/>
      <c r="T60" s="13"/>
      <c r="U60" s="13"/>
      <c r="V60" s="13"/>
      <c r="W60" s="13">
        <f t="shared" si="11"/>
        <v>57.2</v>
      </c>
      <c r="X60" s="16">
        <v>100</v>
      </c>
      <c r="Y60" s="19">
        <f t="shared" si="12"/>
        <v>7.3076923076923075</v>
      </c>
      <c r="Z60" s="13">
        <f t="shared" si="13"/>
        <v>5.5594405594405591</v>
      </c>
      <c r="AA60" s="13"/>
      <c r="AB60" s="13"/>
      <c r="AC60" s="13">
        <f>VLOOKUP(A:A,[1]TDSheet!$A:$AC,29,0)</f>
        <v>0</v>
      </c>
      <c r="AD60" s="13">
        <f>VLOOKUP(A:A,[1]TDSheet!$A:$AD,30,0)</f>
        <v>55.4</v>
      </c>
      <c r="AE60" s="13">
        <f>VLOOKUP(A:A,[1]TDSheet!$A:$AE,31,0)</f>
        <v>51.4</v>
      </c>
      <c r="AF60" s="13">
        <f>VLOOKUP(A:A,[1]TDSheet!$A:$AF,32,0)</f>
        <v>54.2</v>
      </c>
      <c r="AG60" s="13">
        <f>VLOOKUP(A:A,[1]TDSheet!$A:$AG,33,0)</f>
        <v>67.8</v>
      </c>
      <c r="AH60" s="13">
        <f>VLOOKUP(A:A,[3]TDSheet!$A:$D,4,0)</f>
        <v>72</v>
      </c>
      <c r="AI60" s="13">
        <f>VLOOKUP(A:A,[1]TDSheet!$A:$AI,35,0)</f>
        <v>0</v>
      </c>
      <c r="AJ60" s="13">
        <f t="shared" si="14"/>
        <v>40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8</v>
      </c>
      <c r="C61" s="8">
        <v>387.70800000000003</v>
      </c>
      <c r="D61" s="8">
        <v>1184.9639999999999</v>
      </c>
      <c r="E61" s="8">
        <v>911.25199999999995</v>
      </c>
      <c r="F61" s="8">
        <v>643.81299999999999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908.66899999999998</v>
      </c>
      <c r="K61" s="13">
        <f t="shared" si="10"/>
        <v>2.58299999999997</v>
      </c>
      <c r="L61" s="13">
        <f>VLOOKUP(A:A,[1]TDSheet!$A:$V,22,0)</f>
        <v>200</v>
      </c>
      <c r="M61" s="13">
        <f>VLOOKUP(A:A,[1]TDSheet!$A:$X,24,0)</f>
        <v>220</v>
      </c>
      <c r="N61" s="13"/>
      <c r="O61" s="13"/>
      <c r="P61" s="13"/>
      <c r="Q61" s="13"/>
      <c r="R61" s="13"/>
      <c r="S61" s="13"/>
      <c r="T61" s="13"/>
      <c r="U61" s="13"/>
      <c r="V61" s="13"/>
      <c r="W61" s="13">
        <f t="shared" si="11"/>
        <v>182.25039999999998</v>
      </c>
      <c r="X61" s="16">
        <v>240</v>
      </c>
      <c r="Y61" s="19">
        <f t="shared" si="12"/>
        <v>7.1539650941781208</v>
      </c>
      <c r="Z61" s="13">
        <f t="shared" si="13"/>
        <v>3.5325738654071541</v>
      </c>
      <c r="AA61" s="13"/>
      <c r="AB61" s="13"/>
      <c r="AC61" s="13">
        <f>VLOOKUP(A:A,[1]TDSheet!$A:$AC,29,0)</f>
        <v>0</v>
      </c>
      <c r="AD61" s="13">
        <f>VLOOKUP(A:A,[1]TDSheet!$A:$AD,30,0)</f>
        <v>150.10219999999998</v>
      </c>
      <c r="AE61" s="13">
        <f>VLOOKUP(A:A,[1]TDSheet!$A:$AE,31,0)</f>
        <v>152.75139999999999</v>
      </c>
      <c r="AF61" s="13">
        <f>VLOOKUP(A:A,[1]TDSheet!$A:$AF,32,0)</f>
        <v>191.50619999999998</v>
      </c>
      <c r="AG61" s="13">
        <f>VLOOKUP(A:A,[1]TDSheet!$A:$AG,33,0)</f>
        <v>170.3758</v>
      </c>
      <c r="AH61" s="13">
        <f>VLOOKUP(A:A,[3]TDSheet!$A:$D,4,0)</f>
        <v>144.09800000000001</v>
      </c>
      <c r="AI61" s="13">
        <f>VLOOKUP(A:A,[1]TDSheet!$A:$AI,35,0)</f>
        <v>0</v>
      </c>
      <c r="AJ61" s="13">
        <f t="shared" si="14"/>
        <v>240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12</v>
      </c>
      <c r="C62" s="8">
        <v>266</v>
      </c>
      <c r="D62" s="8">
        <v>1222</v>
      </c>
      <c r="E62" s="8">
        <v>592</v>
      </c>
      <c r="F62" s="8">
        <v>885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604</v>
      </c>
      <c r="K62" s="13">
        <f t="shared" si="10"/>
        <v>-12</v>
      </c>
      <c r="L62" s="13">
        <f>VLOOKUP(A:A,[1]TDSheet!$A:$V,22,0)</f>
        <v>0</v>
      </c>
      <c r="M62" s="13">
        <f>VLOOKUP(A:A,[1]TDSheet!$A:$X,24,0)</f>
        <v>0</v>
      </c>
      <c r="N62" s="13"/>
      <c r="O62" s="13"/>
      <c r="P62" s="13"/>
      <c r="Q62" s="13"/>
      <c r="R62" s="13"/>
      <c r="S62" s="13"/>
      <c r="T62" s="13"/>
      <c r="U62" s="13"/>
      <c r="V62" s="13"/>
      <c r="W62" s="13">
        <f t="shared" si="11"/>
        <v>118.4</v>
      </c>
      <c r="X62" s="16">
        <v>1000</v>
      </c>
      <c r="Y62" s="19">
        <f t="shared" si="12"/>
        <v>15.920608108108107</v>
      </c>
      <c r="Z62" s="13">
        <f t="shared" si="13"/>
        <v>7.4746621621621614</v>
      </c>
      <c r="AA62" s="13"/>
      <c r="AB62" s="13"/>
      <c r="AC62" s="13">
        <f>VLOOKUP(A:A,[1]TDSheet!$A:$AC,29,0)</f>
        <v>0</v>
      </c>
      <c r="AD62" s="13">
        <f>VLOOKUP(A:A,[1]TDSheet!$A:$AD,30,0)</f>
        <v>104.8</v>
      </c>
      <c r="AE62" s="13">
        <f>VLOOKUP(A:A,[1]TDSheet!$A:$AE,31,0)</f>
        <v>107.2</v>
      </c>
      <c r="AF62" s="13">
        <f>VLOOKUP(A:A,[1]TDSheet!$A:$AF,32,0)</f>
        <v>123</v>
      </c>
      <c r="AG62" s="13">
        <f>VLOOKUP(A:A,[1]TDSheet!$A:$AG,33,0)</f>
        <v>162.6</v>
      </c>
      <c r="AH62" s="13">
        <f>VLOOKUP(A:A,[3]TDSheet!$A:$D,4,0)</f>
        <v>131</v>
      </c>
      <c r="AI62" s="13">
        <f>VLOOKUP(A:A,[1]TDSheet!$A:$AI,35,0)</f>
        <v>0</v>
      </c>
      <c r="AJ62" s="13">
        <f t="shared" si="14"/>
        <v>100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8</v>
      </c>
      <c r="C63" s="8">
        <v>263.58699999999999</v>
      </c>
      <c r="D63" s="8">
        <v>217.767</v>
      </c>
      <c r="E63" s="8">
        <v>279.86900000000003</v>
      </c>
      <c r="F63" s="8">
        <v>200.14699999999999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280.52</v>
      </c>
      <c r="K63" s="13">
        <f t="shared" si="10"/>
        <v>-0.65099999999995362</v>
      </c>
      <c r="L63" s="13">
        <f>VLOOKUP(A:A,[1]TDSheet!$A:$V,22,0)</f>
        <v>80</v>
      </c>
      <c r="M63" s="13">
        <f>VLOOKUP(A:A,[1]TDSheet!$A:$X,24,0)</f>
        <v>70</v>
      </c>
      <c r="N63" s="13"/>
      <c r="O63" s="13"/>
      <c r="P63" s="13"/>
      <c r="Q63" s="13"/>
      <c r="R63" s="13"/>
      <c r="S63" s="13"/>
      <c r="T63" s="13"/>
      <c r="U63" s="13"/>
      <c r="V63" s="13"/>
      <c r="W63" s="13">
        <f t="shared" si="11"/>
        <v>55.973800000000004</v>
      </c>
      <c r="X63" s="16">
        <v>50</v>
      </c>
      <c r="Y63" s="19">
        <f t="shared" si="12"/>
        <v>7.1488267725257169</v>
      </c>
      <c r="Z63" s="13">
        <f t="shared" si="13"/>
        <v>3.5757265006127863</v>
      </c>
      <c r="AA63" s="13"/>
      <c r="AB63" s="13"/>
      <c r="AC63" s="13">
        <f>VLOOKUP(A:A,[1]TDSheet!$A:$AC,29,0)</f>
        <v>0</v>
      </c>
      <c r="AD63" s="13">
        <f>VLOOKUP(A:A,[1]TDSheet!$A:$AD,30,0)</f>
        <v>192.26159999999999</v>
      </c>
      <c r="AE63" s="13">
        <f>VLOOKUP(A:A,[1]TDSheet!$A:$AE,31,0)</f>
        <v>163.58420000000001</v>
      </c>
      <c r="AF63" s="13">
        <f>VLOOKUP(A:A,[1]TDSheet!$A:$AF,32,0)</f>
        <v>52.838800000000006</v>
      </c>
      <c r="AG63" s="13">
        <f>VLOOKUP(A:A,[1]TDSheet!$A:$AG,33,0)</f>
        <v>52.894000000000005</v>
      </c>
      <c r="AH63" s="13">
        <f>VLOOKUP(A:A,[3]TDSheet!$A:$D,4,0)</f>
        <v>43.043999999999997</v>
      </c>
      <c r="AI63" s="13" t="str">
        <f>VLOOKUP(A:A,[1]TDSheet!$A:$AI,35,0)</f>
        <v>жк оконч</v>
      </c>
      <c r="AJ63" s="13">
        <f t="shared" si="14"/>
        <v>50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1126</v>
      </c>
      <c r="D64" s="8">
        <v>4654</v>
      </c>
      <c r="E64" s="8">
        <v>3568</v>
      </c>
      <c r="F64" s="8">
        <v>2192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3582</v>
      </c>
      <c r="K64" s="13">
        <f t="shared" si="10"/>
        <v>-14</v>
      </c>
      <c r="L64" s="13">
        <f>VLOOKUP(A:A,[1]TDSheet!$A:$V,22,0)</f>
        <v>650</v>
      </c>
      <c r="M64" s="13">
        <f>VLOOKUP(A:A,[1]TDSheet!$A:$X,24,0)</f>
        <v>700</v>
      </c>
      <c r="N64" s="13"/>
      <c r="O64" s="13"/>
      <c r="P64" s="13"/>
      <c r="Q64" s="13"/>
      <c r="R64" s="13"/>
      <c r="S64" s="13"/>
      <c r="T64" s="13"/>
      <c r="U64" s="13"/>
      <c r="V64" s="13"/>
      <c r="W64" s="13">
        <f t="shared" si="11"/>
        <v>582.79999999999995</v>
      </c>
      <c r="X64" s="16">
        <v>600</v>
      </c>
      <c r="Y64" s="19">
        <f t="shared" si="12"/>
        <v>7.10706932052162</v>
      </c>
      <c r="Z64" s="13">
        <f t="shared" si="13"/>
        <v>3.7611530542210025</v>
      </c>
      <c r="AA64" s="13"/>
      <c r="AB64" s="13"/>
      <c r="AC64" s="13">
        <f>VLOOKUP(A:A,[1]TDSheet!$A:$AC,29,0)</f>
        <v>654</v>
      </c>
      <c r="AD64" s="13">
        <f>VLOOKUP(A:A,[1]TDSheet!$A:$AD,30,0)</f>
        <v>556.4</v>
      </c>
      <c r="AE64" s="13">
        <f>VLOOKUP(A:A,[1]TDSheet!$A:$AE,31,0)</f>
        <v>516.6</v>
      </c>
      <c r="AF64" s="13">
        <f>VLOOKUP(A:A,[1]TDSheet!$A:$AF,32,0)</f>
        <v>648.79999999999995</v>
      </c>
      <c r="AG64" s="13">
        <f>VLOOKUP(A:A,[1]TDSheet!$A:$AG,33,0)</f>
        <v>577.20000000000005</v>
      </c>
      <c r="AH64" s="13">
        <f>VLOOKUP(A:A,[3]TDSheet!$A:$D,4,0)</f>
        <v>466</v>
      </c>
      <c r="AI64" s="13">
        <f>VLOOKUP(A:A,[1]TDSheet!$A:$AI,35,0)</f>
        <v>0</v>
      </c>
      <c r="AJ64" s="13">
        <f t="shared" si="14"/>
        <v>240</v>
      </c>
      <c r="AK64" s="13"/>
      <c r="AL64" s="13"/>
      <c r="AM64" s="13"/>
    </row>
    <row r="65" spans="1:39" s="1" customFormat="1" ht="11.1" customHeight="1" outlineLevel="1" x14ac:dyDescent="0.2">
      <c r="A65" s="7" t="s">
        <v>68</v>
      </c>
      <c r="B65" s="7" t="s">
        <v>12</v>
      </c>
      <c r="C65" s="8">
        <v>1018</v>
      </c>
      <c r="D65" s="8">
        <v>3256</v>
      </c>
      <c r="E65" s="8">
        <v>2357</v>
      </c>
      <c r="F65" s="8">
        <v>1897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2385</v>
      </c>
      <c r="K65" s="13">
        <f t="shared" si="10"/>
        <v>-28</v>
      </c>
      <c r="L65" s="13">
        <f>VLOOKUP(A:A,[1]TDSheet!$A:$V,22,0)</f>
        <v>450</v>
      </c>
      <c r="M65" s="13">
        <f>VLOOKUP(A:A,[1]TDSheet!$A:$X,24,0)</f>
        <v>550</v>
      </c>
      <c r="N65" s="13"/>
      <c r="O65" s="13"/>
      <c r="P65" s="13"/>
      <c r="Q65" s="13"/>
      <c r="R65" s="13"/>
      <c r="S65" s="13"/>
      <c r="T65" s="13"/>
      <c r="U65" s="13"/>
      <c r="V65" s="13"/>
      <c r="W65" s="13">
        <f t="shared" si="11"/>
        <v>471.4</v>
      </c>
      <c r="X65" s="16">
        <v>450</v>
      </c>
      <c r="Y65" s="19">
        <f t="shared" si="12"/>
        <v>7.1001272804412396</v>
      </c>
      <c r="Z65" s="13">
        <f t="shared" si="13"/>
        <v>4.0241832838353844</v>
      </c>
      <c r="AA65" s="13"/>
      <c r="AB65" s="13"/>
      <c r="AC65" s="13">
        <f>VLOOKUP(A:A,[1]TDSheet!$A:$AC,29,0)</f>
        <v>0</v>
      </c>
      <c r="AD65" s="13">
        <f>VLOOKUP(A:A,[1]TDSheet!$A:$AD,30,0)</f>
        <v>470.8</v>
      </c>
      <c r="AE65" s="13">
        <f>VLOOKUP(A:A,[1]TDSheet!$A:$AE,31,0)</f>
        <v>450.8</v>
      </c>
      <c r="AF65" s="13">
        <f>VLOOKUP(A:A,[1]TDSheet!$A:$AF,32,0)</f>
        <v>529.6</v>
      </c>
      <c r="AG65" s="13">
        <f>VLOOKUP(A:A,[1]TDSheet!$A:$AG,33,0)</f>
        <v>483.6</v>
      </c>
      <c r="AH65" s="13">
        <f>VLOOKUP(A:A,[3]TDSheet!$A:$D,4,0)</f>
        <v>377</v>
      </c>
      <c r="AI65" s="13">
        <f>VLOOKUP(A:A,[1]TDSheet!$A:$AI,35,0)</f>
        <v>0</v>
      </c>
      <c r="AJ65" s="13">
        <f t="shared" si="14"/>
        <v>180</v>
      </c>
      <c r="AK65" s="13"/>
      <c r="AL65" s="13"/>
      <c r="AM65" s="13"/>
    </row>
    <row r="66" spans="1:39" s="1" customFormat="1" ht="21.95" customHeight="1" outlineLevel="1" x14ac:dyDescent="0.2">
      <c r="A66" s="7" t="s">
        <v>69</v>
      </c>
      <c r="B66" s="7" t="s">
        <v>8</v>
      </c>
      <c r="C66" s="8">
        <v>247.52</v>
      </c>
      <c r="D66" s="8">
        <v>731.09400000000005</v>
      </c>
      <c r="E66" s="8">
        <v>520.53499999999997</v>
      </c>
      <c r="F66" s="8">
        <v>449.06900000000002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492.79399999999998</v>
      </c>
      <c r="K66" s="13">
        <f t="shared" si="10"/>
        <v>27.740999999999985</v>
      </c>
      <c r="L66" s="13">
        <f>VLOOKUP(A:A,[1]TDSheet!$A:$V,22,0)</f>
        <v>50</v>
      </c>
      <c r="M66" s="13">
        <f>VLOOKUP(A:A,[1]TDSheet!$A:$X,24,0)</f>
        <v>100</v>
      </c>
      <c r="N66" s="13"/>
      <c r="O66" s="13"/>
      <c r="P66" s="13"/>
      <c r="Q66" s="13"/>
      <c r="R66" s="13"/>
      <c r="S66" s="13"/>
      <c r="T66" s="13"/>
      <c r="U66" s="13"/>
      <c r="V66" s="13"/>
      <c r="W66" s="13">
        <f t="shared" si="11"/>
        <v>104.107</v>
      </c>
      <c r="X66" s="16">
        <v>140</v>
      </c>
      <c r="Y66" s="19">
        <f t="shared" si="12"/>
        <v>7.0991287809657369</v>
      </c>
      <c r="Z66" s="13">
        <f t="shared" si="13"/>
        <v>4.3135331918122706</v>
      </c>
      <c r="AA66" s="13"/>
      <c r="AB66" s="13"/>
      <c r="AC66" s="13">
        <f>VLOOKUP(A:A,[1]TDSheet!$A:$AC,29,0)</f>
        <v>0</v>
      </c>
      <c r="AD66" s="13">
        <f>VLOOKUP(A:A,[1]TDSheet!$A:$AD,30,0)</f>
        <v>99.512199999999993</v>
      </c>
      <c r="AE66" s="13">
        <f>VLOOKUP(A:A,[1]TDSheet!$A:$AE,31,0)</f>
        <v>99.333399999999997</v>
      </c>
      <c r="AF66" s="13">
        <f>VLOOKUP(A:A,[1]TDSheet!$A:$AF,32,0)</f>
        <v>122.34939999999999</v>
      </c>
      <c r="AG66" s="13">
        <f>VLOOKUP(A:A,[1]TDSheet!$A:$AG,33,0)</f>
        <v>106.08540000000001</v>
      </c>
      <c r="AH66" s="13">
        <f>VLOOKUP(A:A,[3]TDSheet!$A:$D,4,0)</f>
        <v>105.58199999999999</v>
      </c>
      <c r="AI66" s="13">
        <f>VLOOKUP(A:A,[1]TDSheet!$A:$AI,35,0)</f>
        <v>0</v>
      </c>
      <c r="AJ66" s="13">
        <f t="shared" si="14"/>
        <v>140</v>
      </c>
      <c r="AK66" s="13"/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88.213999999999999</v>
      </c>
      <c r="D67" s="8">
        <v>346.58699999999999</v>
      </c>
      <c r="E67" s="8">
        <v>257.58499999999998</v>
      </c>
      <c r="F67" s="8">
        <v>170.876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249.28200000000001</v>
      </c>
      <c r="K67" s="13">
        <f t="shared" si="10"/>
        <v>8.3029999999999688</v>
      </c>
      <c r="L67" s="13">
        <f>VLOOKUP(A:A,[1]TDSheet!$A:$V,22,0)</f>
        <v>60</v>
      </c>
      <c r="M67" s="13">
        <f>VLOOKUP(A:A,[1]TDSheet!$A:$X,24,0)</f>
        <v>60</v>
      </c>
      <c r="N67" s="13"/>
      <c r="O67" s="13"/>
      <c r="P67" s="13"/>
      <c r="Q67" s="13"/>
      <c r="R67" s="13"/>
      <c r="S67" s="13"/>
      <c r="T67" s="13"/>
      <c r="U67" s="13"/>
      <c r="V67" s="13"/>
      <c r="W67" s="13">
        <f t="shared" si="11"/>
        <v>51.516999999999996</v>
      </c>
      <c r="X67" s="16">
        <v>80</v>
      </c>
      <c r="Y67" s="19">
        <f t="shared" si="12"/>
        <v>7.1990993264359338</v>
      </c>
      <c r="Z67" s="13">
        <f t="shared" si="13"/>
        <v>3.3168856882194229</v>
      </c>
      <c r="AA67" s="13"/>
      <c r="AB67" s="13"/>
      <c r="AC67" s="13">
        <f>VLOOKUP(A:A,[1]TDSheet!$A:$AC,29,0)</f>
        <v>0</v>
      </c>
      <c r="AD67" s="13">
        <f>VLOOKUP(A:A,[1]TDSheet!$A:$AD,30,0)</f>
        <v>50.002600000000001</v>
      </c>
      <c r="AE67" s="13">
        <f>VLOOKUP(A:A,[1]TDSheet!$A:$AE,31,0)</f>
        <v>49.067999999999998</v>
      </c>
      <c r="AF67" s="13">
        <f>VLOOKUP(A:A,[1]TDSheet!$A:$AF,32,0)</f>
        <v>40.853200000000001</v>
      </c>
      <c r="AG67" s="13">
        <f>VLOOKUP(A:A,[1]TDSheet!$A:$AG,33,0)</f>
        <v>45.351199999999999</v>
      </c>
      <c r="AH67" s="13">
        <f>VLOOKUP(A:A,[3]TDSheet!$A:$D,4,0)</f>
        <v>56.857999999999997</v>
      </c>
      <c r="AI67" s="13">
        <f>VLOOKUP(A:A,[1]TDSheet!$A:$AI,35,0)</f>
        <v>0</v>
      </c>
      <c r="AJ67" s="13">
        <f t="shared" si="14"/>
        <v>80</v>
      </c>
      <c r="AK67" s="13"/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733.36099999999999</v>
      </c>
      <c r="D68" s="8">
        <v>2868.5439999999999</v>
      </c>
      <c r="E68" s="8">
        <v>1987.5989999999999</v>
      </c>
      <c r="F68" s="8">
        <v>1548.002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1932.6949999999999</v>
      </c>
      <c r="K68" s="13">
        <f t="shared" si="10"/>
        <v>54.903999999999996</v>
      </c>
      <c r="L68" s="13">
        <f>VLOOKUP(A:A,[1]TDSheet!$A:$V,22,0)</f>
        <v>330</v>
      </c>
      <c r="M68" s="13">
        <f>VLOOKUP(A:A,[1]TDSheet!$A:$X,24,0)</f>
        <v>480</v>
      </c>
      <c r="N68" s="13"/>
      <c r="O68" s="13"/>
      <c r="P68" s="13"/>
      <c r="Q68" s="13"/>
      <c r="R68" s="13"/>
      <c r="S68" s="13"/>
      <c r="T68" s="13"/>
      <c r="U68" s="13"/>
      <c r="V68" s="13"/>
      <c r="W68" s="13">
        <f t="shared" si="11"/>
        <v>397.51979999999998</v>
      </c>
      <c r="X68" s="16">
        <v>480</v>
      </c>
      <c r="Y68" s="19">
        <f t="shared" si="12"/>
        <v>7.1392720563856198</v>
      </c>
      <c r="Z68" s="13">
        <f t="shared" si="13"/>
        <v>3.8941506812993971</v>
      </c>
      <c r="AA68" s="13"/>
      <c r="AB68" s="13"/>
      <c r="AC68" s="13">
        <f>VLOOKUP(A:A,[1]TDSheet!$A:$AC,29,0)</f>
        <v>0</v>
      </c>
      <c r="AD68" s="13">
        <f>VLOOKUP(A:A,[1]TDSheet!$A:$AD,30,0)</f>
        <v>391.85520000000002</v>
      </c>
      <c r="AE68" s="13">
        <f>VLOOKUP(A:A,[1]TDSheet!$A:$AE,31,0)</f>
        <v>375.33479999999997</v>
      </c>
      <c r="AF68" s="13">
        <f>VLOOKUP(A:A,[1]TDSheet!$A:$AF,32,0)</f>
        <v>377.1354</v>
      </c>
      <c r="AG68" s="13">
        <f>VLOOKUP(A:A,[1]TDSheet!$A:$AG,33,0)</f>
        <v>404.81299999999999</v>
      </c>
      <c r="AH68" s="13">
        <f>VLOOKUP(A:A,[3]TDSheet!$A:$D,4,0)</f>
        <v>403.63600000000002</v>
      </c>
      <c r="AI68" s="13" t="str">
        <f>VLOOKUP(A:A,[1]TDSheet!$A:$AI,35,0)</f>
        <v>жц</v>
      </c>
      <c r="AJ68" s="13">
        <f t="shared" si="14"/>
        <v>480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128.72800000000001</v>
      </c>
      <c r="D69" s="8">
        <v>406.839</v>
      </c>
      <c r="E69" s="8">
        <v>308.565</v>
      </c>
      <c r="F69" s="8">
        <v>217.042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295.48899999999998</v>
      </c>
      <c r="K69" s="13">
        <f t="shared" si="10"/>
        <v>13.076000000000022</v>
      </c>
      <c r="L69" s="13">
        <f>VLOOKUP(A:A,[1]TDSheet!$A:$V,22,0)</f>
        <v>70</v>
      </c>
      <c r="M69" s="13">
        <f>VLOOKUP(A:A,[1]TDSheet!$A:$X,24,0)</f>
        <v>70</v>
      </c>
      <c r="N69" s="13"/>
      <c r="O69" s="13"/>
      <c r="P69" s="13"/>
      <c r="Q69" s="13"/>
      <c r="R69" s="13"/>
      <c r="S69" s="13"/>
      <c r="T69" s="13"/>
      <c r="U69" s="13"/>
      <c r="V69" s="13"/>
      <c r="W69" s="13">
        <f t="shared" si="11"/>
        <v>61.713000000000001</v>
      </c>
      <c r="X69" s="16">
        <v>80</v>
      </c>
      <c r="Y69" s="19">
        <f t="shared" si="12"/>
        <v>7.0818466125451689</v>
      </c>
      <c r="Z69" s="13">
        <f t="shared" si="13"/>
        <v>3.5169575292077844</v>
      </c>
      <c r="AA69" s="13"/>
      <c r="AB69" s="13"/>
      <c r="AC69" s="13">
        <f>VLOOKUP(A:A,[1]TDSheet!$A:$AC,29,0)</f>
        <v>0</v>
      </c>
      <c r="AD69" s="13">
        <f>VLOOKUP(A:A,[1]TDSheet!$A:$AD,30,0)</f>
        <v>56.339800000000004</v>
      </c>
      <c r="AE69" s="13">
        <f>VLOOKUP(A:A,[1]TDSheet!$A:$AE,31,0)</f>
        <v>55.565999999999995</v>
      </c>
      <c r="AF69" s="13">
        <f>VLOOKUP(A:A,[1]TDSheet!$A:$AF,32,0)</f>
        <v>58.0124</v>
      </c>
      <c r="AG69" s="13">
        <f>VLOOKUP(A:A,[1]TDSheet!$A:$AG,33,0)</f>
        <v>57.260199999999998</v>
      </c>
      <c r="AH69" s="13">
        <f>VLOOKUP(A:A,[3]TDSheet!$A:$D,4,0)</f>
        <v>64.671000000000006</v>
      </c>
      <c r="AI69" s="13">
        <f>VLOOKUP(A:A,[1]TDSheet!$A:$AI,35,0)</f>
        <v>0</v>
      </c>
      <c r="AJ69" s="13">
        <f t="shared" si="14"/>
        <v>80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96</v>
      </c>
      <c r="D70" s="8">
        <v>147</v>
      </c>
      <c r="E70" s="8">
        <v>109</v>
      </c>
      <c r="F70" s="8">
        <v>133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111</v>
      </c>
      <c r="K70" s="13">
        <f t="shared" si="10"/>
        <v>-2</v>
      </c>
      <c r="L70" s="13">
        <f>VLOOKUP(A:A,[1]TDSheet!$A:$V,22,0)</f>
        <v>0</v>
      </c>
      <c r="M70" s="13">
        <f>VLOOKUP(A:A,[1]TDSheet!$A:$X,24,0)</f>
        <v>0</v>
      </c>
      <c r="N70" s="13"/>
      <c r="O70" s="13"/>
      <c r="P70" s="13"/>
      <c r="Q70" s="13"/>
      <c r="R70" s="13"/>
      <c r="S70" s="13"/>
      <c r="T70" s="13"/>
      <c r="U70" s="13"/>
      <c r="V70" s="13"/>
      <c r="W70" s="13">
        <f t="shared" si="11"/>
        <v>21.8</v>
      </c>
      <c r="X70" s="16">
        <v>30</v>
      </c>
      <c r="Y70" s="19">
        <f t="shared" si="12"/>
        <v>7.477064220183486</v>
      </c>
      <c r="Z70" s="13">
        <f t="shared" si="13"/>
        <v>6.1009174311926602</v>
      </c>
      <c r="AA70" s="13"/>
      <c r="AB70" s="13"/>
      <c r="AC70" s="13">
        <f>VLOOKUP(A:A,[1]TDSheet!$A:$AC,29,0)</f>
        <v>0</v>
      </c>
      <c r="AD70" s="13">
        <f>VLOOKUP(A:A,[1]TDSheet!$A:$AD,30,0)</f>
        <v>25.6</v>
      </c>
      <c r="AE70" s="13">
        <f>VLOOKUP(A:A,[1]TDSheet!$A:$AE,31,0)</f>
        <v>21.8</v>
      </c>
      <c r="AF70" s="13">
        <f>VLOOKUP(A:A,[1]TDSheet!$A:$AF,32,0)</f>
        <v>28.2</v>
      </c>
      <c r="AG70" s="13">
        <f>VLOOKUP(A:A,[1]TDSheet!$A:$AG,33,0)</f>
        <v>24.2</v>
      </c>
      <c r="AH70" s="13">
        <f>VLOOKUP(A:A,[3]TDSheet!$A:$D,4,0)</f>
        <v>38</v>
      </c>
      <c r="AI70" s="13">
        <f>VLOOKUP(A:A,[1]TDSheet!$A:$AI,35,0)</f>
        <v>0</v>
      </c>
      <c r="AJ70" s="13">
        <f t="shared" si="14"/>
        <v>18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110</v>
      </c>
      <c r="D71" s="8">
        <v>531</v>
      </c>
      <c r="E71" s="8">
        <v>442</v>
      </c>
      <c r="F71" s="8">
        <v>198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420</v>
      </c>
      <c r="K71" s="13">
        <f t="shared" si="10"/>
        <v>22</v>
      </c>
      <c r="L71" s="13">
        <f>VLOOKUP(A:A,[1]TDSheet!$A:$V,22,0)</f>
        <v>220</v>
      </c>
      <c r="M71" s="13">
        <f>VLOOKUP(A:A,[1]TDSheet!$A:$X,24,0)</f>
        <v>130</v>
      </c>
      <c r="N71" s="13"/>
      <c r="O71" s="13"/>
      <c r="P71" s="13"/>
      <c r="Q71" s="13"/>
      <c r="R71" s="13"/>
      <c r="S71" s="13"/>
      <c r="T71" s="13"/>
      <c r="U71" s="13"/>
      <c r="V71" s="13"/>
      <c r="W71" s="13">
        <f t="shared" si="11"/>
        <v>88.4</v>
      </c>
      <c r="X71" s="16">
        <v>80</v>
      </c>
      <c r="Y71" s="19">
        <f t="shared" si="12"/>
        <v>7.1040723981900449</v>
      </c>
      <c r="Z71" s="13">
        <f t="shared" si="13"/>
        <v>2.2398190045248869</v>
      </c>
      <c r="AA71" s="13"/>
      <c r="AB71" s="13"/>
      <c r="AC71" s="13">
        <f>VLOOKUP(A:A,[1]TDSheet!$A:$AC,29,0)</f>
        <v>0</v>
      </c>
      <c r="AD71" s="13">
        <f>VLOOKUP(A:A,[1]TDSheet!$A:$AD,30,0)</f>
        <v>79.599999999999994</v>
      </c>
      <c r="AE71" s="13">
        <f>VLOOKUP(A:A,[1]TDSheet!$A:$AE,31,0)</f>
        <v>75.599999999999994</v>
      </c>
      <c r="AF71" s="13">
        <f>VLOOKUP(A:A,[1]TDSheet!$A:$AF,32,0)</f>
        <v>74.599999999999994</v>
      </c>
      <c r="AG71" s="13">
        <f>VLOOKUP(A:A,[1]TDSheet!$A:$AG,33,0)</f>
        <v>66.400000000000006</v>
      </c>
      <c r="AH71" s="13">
        <f>VLOOKUP(A:A,[3]TDSheet!$A:$D,4,0)</f>
        <v>45</v>
      </c>
      <c r="AI71" s="13" t="str">
        <f>VLOOKUP(A:A,[1]TDSheet!$A:$AI,35,0)</f>
        <v>продноя</v>
      </c>
      <c r="AJ71" s="13">
        <f t="shared" si="14"/>
        <v>48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12</v>
      </c>
      <c r="C72" s="8">
        <v>221</v>
      </c>
      <c r="D72" s="8">
        <v>882</v>
      </c>
      <c r="E72" s="8">
        <v>545</v>
      </c>
      <c r="F72" s="8">
        <v>556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524</v>
      </c>
      <c r="K72" s="13">
        <f t="shared" ref="K72:K109" si="15">E72-J72</f>
        <v>21</v>
      </c>
      <c r="L72" s="13">
        <f>VLOOKUP(A:A,[1]TDSheet!$A:$V,22,0)</f>
        <v>0</v>
      </c>
      <c r="M72" s="13">
        <f>VLOOKUP(A:A,[1]TDSheet!$A:$X,24,0)</f>
        <v>120</v>
      </c>
      <c r="N72" s="13"/>
      <c r="O72" s="13"/>
      <c r="P72" s="13"/>
      <c r="Q72" s="13"/>
      <c r="R72" s="13"/>
      <c r="S72" s="13"/>
      <c r="T72" s="13"/>
      <c r="U72" s="13"/>
      <c r="V72" s="13"/>
      <c r="W72" s="13">
        <f t="shared" ref="W72:W109" si="16">(E72-AC72)/5</f>
        <v>109</v>
      </c>
      <c r="X72" s="16">
        <v>100</v>
      </c>
      <c r="Y72" s="19">
        <f t="shared" ref="Y72:Y109" si="17">(F72+L72+M72+X72)/W72</f>
        <v>7.1192660550458715</v>
      </c>
      <c r="Z72" s="13">
        <f t="shared" ref="Z72:Z109" si="18">F72/W72</f>
        <v>5.1009174311926602</v>
      </c>
      <c r="AA72" s="13"/>
      <c r="AB72" s="13"/>
      <c r="AC72" s="13">
        <f>VLOOKUP(A:A,[1]TDSheet!$A:$AC,29,0)</f>
        <v>0</v>
      </c>
      <c r="AD72" s="13">
        <f>VLOOKUP(A:A,[1]TDSheet!$A:$AD,30,0)</f>
        <v>101.8</v>
      </c>
      <c r="AE72" s="13">
        <f>VLOOKUP(A:A,[1]TDSheet!$A:$AE,31,0)</f>
        <v>93</v>
      </c>
      <c r="AF72" s="13">
        <f>VLOOKUP(A:A,[1]TDSheet!$A:$AF,32,0)</f>
        <v>116.6</v>
      </c>
      <c r="AG72" s="13">
        <f>VLOOKUP(A:A,[1]TDSheet!$A:$AG,33,0)</f>
        <v>119.8</v>
      </c>
      <c r="AH72" s="13">
        <f>VLOOKUP(A:A,[3]TDSheet!$A:$D,4,0)</f>
        <v>76</v>
      </c>
      <c r="AI72" s="13" t="str">
        <f>VLOOKUP(A:A,[1]TDSheet!$A:$AI,35,0)</f>
        <v>продноя</v>
      </c>
      <c r="AJ72" s="13">
        <f t="shared" ref="AJ72:AJ109" si="19">X72*H72</f>
        <v>60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8</v>
      </c>
      <c r="C73" s="8">
        <v>96.635000000000005</v>
      </c>
      <c r="D73" s="8">
        <v>168.64</v>
      </c>
      <c r="E73" s="8">
        <v>176.09299999999999</v>
      </c>
      <c r="F73" s="8">
        <v>89.182000000000002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178.90100000000001</v>
      </c>
      <c r="K73" s="13">
        <f t="shared" si="15"/>
        <v>-2.8080000000000211</v>
      </c>
      <c r="L73" s="13">
        <f>VLOOKUP(A:A,[1]TDSheet!$A:$V,22,0)</f>
        <v>90</v>
      </c>
      <c r="M73" s="13">
        <f>VLOOKUP(A:A,[1]TDSheet!$A:$X,24,0)</f>
        <v>50</v>
      </c>
      <c r="N73" s="13"/>
      <c r="O73" s="13"/>
      <c r="P73" s="13"/>
      <c r="Q73" s="13"/>
      <c r="R73" s="13"/>
      <c r="S73" s="13"/>
      <c r="T73" s="13"/>
      <c r="U73" s="13"/>
      <c r="V73" s="13"/>
      <c r="W73" s="13">
        <f t="shared" si="16"/>
        <v>35.218599999999995</v>
      </c>
      <c r="X73" s="16">
        <v>10</v>
      </c>
      <c r="Y73" s="19">
        <f t="shared" si="17"/>
        <v>6.7913545683246932</v>
      </c>
      <c r="Z73" s="13">
        <f t="shared" si="18"/>
        <v>2.532241486032949</v>
      </c>
      <c r="AA73" s="13"/>
      <c r="AB73" s="13"/>
      <c r="AC73" s="13">
        <f>VLOOKUP(A:A,[1]TDSheet!$A:$AC,29,0)</f>
        <v>0</v>
      </c>
      <c r="AD73" s="13">
        <f>VLOOKUP(A:A,[1]TDSheet!$A:$AD,30,0)</f>
        <v>26.766000000000002</v>
      </c>
      <c r="AE73" s="13">
        <f>VLOOKUP(A:A,[1]TDSheet!$A:$AE,31,0)</f>
        <v>30.602399999999999</v>
      </c>
      <c r="AF73" s="13">
        <f>VLOOKUP(A:A,[1]TDSheet!$A:$AF,32,0)</f>
        <v>30.446800000000003</v>
      </c>
      <c r="AG73" s="13">
        <f>VLOOKUP(A:A,[1]TDSheet!$A:$AG,33,0)</f>
        <v>28.325400000000002</v>
      </c>
      <c r="AH73" s="13">
        <f>VLOOKUP(A:A,[3]TDSheet!$A:$D,4,0)</f>
        <v>10.084</v>
      </c>
      <c r="AI73" s="13">
        <f>VLOOKUP(A:A,[1]TDSheet!$A:$AI,35,0)</f>
        <v>0</v>
      </c>
      <c r="AJ73" s="13">
        <f t="shared" si="19"/>
        <v>10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496</v>
      </c>
      <c r="D74" s="8">
        <v>773</v>
      </c>
      <c r="E74" s="8">
        <v>717</v>
      </c>
      <c r="F74" s="8">
        <v>535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705</v>
      </c>
      <c r="K74" s="13">
        <f t="shared" si="15"/>
        <v>12</v>
      </c>
      <c r="L74" s="13">
        <f>VLOOKUP(A:A,[1]TDSheet!$A:$V,22,0)</f>
        <v>220</v>
      </c>
      <c r="M74" s="13">
        <f>VLOOKUP(A:A,[1]TDSheet!$A:$X,24,0)</f>
        <v>170</v>
      </c>
      <c r="N74" s="13"/>
      <c r="O74" s="13"/>
      <c r="P74" s="13"/>
      <c r="Q74" s="13"/>
      <c r="R74" s="13"/>
      <c r="S74" s="13"/>
      <c r="T74" s="13"/>
      <c r="U74" s="13"/>
      <c r="V74" s="13"/>
      <c r="W74" s="13">
        <f t="shared" si="16"/>
        <v>143.4</v>
      </c>
      <c r="X74" s="16">
        <v>100</v>
      </c>
      <c r="Y74" s="19">
        <f t="shared" si="17"/>
        <v>7.1478382147838211</v>
      </c>
      <c r="Z74" s="13">
        <f t="shared" si="18"/>
        <v>3.7308228730822872</v>
      </c>
      <c r="AA74" s="13"/>
      <c r="AB74" s="13"/>
      <c r="AC74" s="13">
        <f>VLOOKUP(A:A,[1]TDSheet!$A:$AC,29,0)</f>
        <v>0</v>
      </c>
      <c r="AD74" s="13">
        <f>VLOOKUP(A:A,[1]TDSheet!$A:$AD,30,0)</f>
        <v>110.8</v>
      </c>
      <c r="AE74" s="13">
        <f>VLOOKUP(A:A,[1]TDSheet!$A:$AE,31,0)</f>
        <v>115.4</v>
      </c>
      <c r="AF74" s="13">
        <f>VLOOKUP(A:A,[1]TDSheet!$A:$AF,32,0)</f>
        <v>146.6</v>
      </c>
      <c r="AG74" s="13">
        <f>VLOOKUP(A:A,[1]TDSheet!$A:$AG,33,0)</f>
        <v>135.4</v>
      </c>
      <c r="AH74" s="13">
        <f>VLOOKUP(A:A,[3]TDSheet!$A:$D,4,0)</f>
        <v>87</v>
      </c>
      <c r="AI74" s="13" t="str">
        <f>VLOOKUP(A:A,[1]TDSheet!$A:$AI,35,0)</f>
        <v>нояяб</v>
      </c>
      <c r="AJ74" s="13">
        <f t="shared" si="19"/>
        <v>60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629</v>
      </c>
      <c r="D75" s="8">
        <v>1157</v>
      </c>
      <c r="E75" s="8">
        <v>1117</v>
      </c>
      <c r="F75" s="8">
        <v>647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1090</v>
      </c>
      <c r="K75" s="13">
        <f t="shared" si="15"/>
        <v>27</v>
      </c>
      <c r="L75" s="13">
        <f>VLOOKUP(A:A,[1]TDSheet!$A:$V,22,0)</f>
        <v>450</v>
      </c>
      <c r="M75" s="13">
        <f>VLOOKUP(A:A,[1]TDSheet!$A:$X,24,0)</f>
        <v>330</v>
      </c>
      <c r="N75" s="13"/>
      <c r="O75" s="13"/>
      <c r="P75" s="13"/>
      <c r="Q75" s="13"/>
      <c r="R75" s="13"/>
      <c r="S75" s="13"/>
      <c r="T75" s="13"/>
      <c r="U75" s="13"/>
      <c r="V75" s="13"/>
      <c r="W75" s="13">
        <f t="shared" si="16"/>
        <v>223.4</v>
      </c>
      <c r="X75" s="16">
        <v>170</v>
      </c>
      <c r="Y75" s="19">
        <f t="shared" si="17"/>
        <v>7.1486123545210383</v>
      </c>
      <c r="Z75" s="13">
        <f t="shared" si="18"/>
        <v>2.8961504028648166</v>
      </c>
      <c r="AA75" s="13"/>
      <c r="AB75" s="13"/>
      <c r="AC75" s="13">
        <f>VLOOKUP(A:A,[1]TDSheet!$A:$AC,29,0)</f>
        <v>0</v>
      </c>
      <c r="AD75" s="13">
        <f>VLOOKUP(A:A,[1]TDSheet!$A:$AD,30,0)</f>
        <v>184.4</v>
      </c>
      <c r="AE75" s="13">
        <f>VLOOKUP(A:A,[1]TDSheet!$A:$AE,31,0)</f>
        <v>192.2</v>
      </c>
      <c r="AF75" s="13">
        <f>VLOOKUP(A:A,[1]TDSheet!$A:$AF,32,0)</f>
        <v>198</v>
      </c>
      <c r="AG75" s="13">
        <f>VLOOKUP(A:A,[1]TDSheet!$A:$AG,33,0)</f>
        <v>187.2</v>
      </c>
      <c r="AH75" s="13">
        <f>VLOOKUP(A:A,[3]TDSheet!$A:$D,4,0)</f>
        <v>122</v>
      </c>
      <c r="AI75" s="13" t="str">
        <f>VLOOKUP(A:A,[1]TDSheet!$A:$AI,35,0)</f>
        <v>нояяб</v>
      </c>
      <c r="AJ75" s="13">
        <f t="shared" si="19"/>
        <v>102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235</v>
      </c>
      <c r="D76" s="8">
        <v>1149</v>
      </c>
      <c r="E76" s="8">
        <v>643</v>
      </c>
      <c r="F76" s="8">
        <v>727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655</v>
      </c>
      <c r="K76" s="13">
        <f t="shared" si="15"/>
        <v>-12</v>
      </c>
      <c r="L76" s="13">
        <f>VLOOKUP(A:A,[1]TDSheet!$A:$V,22,0)</f>
        <v>0</v>
      </c>
      <c r="M76" s="13">
        <f>VLOOKUP(A:A,[1]TDSheet!$A:$X,24,0)</f>
        <v>0</v>
      </c>
      <c r="N76" s="13"/>
      <c r="O76" s="13"/>
      <c r="P76" s="13"/>
      <c r="Q76" s="13"/>
      <c r="R76" s="13"/>
      <c r="S76" s="13"/>
      <c r="T76" s="13"/>
      <c r="U76" s="13"/>
      <c r="V76" s="13"/>
      <c r="W76" s="13">
        <f t="shared" si="16"/>
        <v>128.6</v>
      </c>
      <c r="X76" s="16">
        <v>190</v>
      </c>
      <c r="Y76" s="19">
        <f t="shared" si="17"/>
        <v>7.1306376360808716</v>
      </c>
      <c r="Z76" s="13">
        <f t="shared" si="18"/>
        <v>5.6531881804043547</v>
      </c>
      <c r="AA76" s="13"/>
      <c r="AB76" s="13"/>
      <c r="AC76" s="13">
        <f>VLOOKUP(A:A,[1]TDSheet!$A:$AC,29,0)</f>
        <v>0</v>
      </c>
      <c r="AD76" s="13">
        <f>VLOOKUP(A:A,[1]TDSheet!$A:$AD,30,0)</f>
        <v>142.6</v>
      </c>
      <c r="AE76" s="13">
        <f>VLOOKUP(A:A,[1]TDSheet!$A:$AE,31,0)</f>
        <v>127.6</v>
      </c>
      <c r="AF76" s="13">
        <f>VLOOKUP(A:A,[1]TDSheet!$A:$AF,32,0)</f>
        <v>146</v>
      </c>
      <c r="AG76" s="13">
        <f>VLOOKUP(A:A,[1]TDSheet!$A:$AG,33,0)</f>
        <v>152.19999999999999</v>
      </c>
      <c r="AH76" s="13">
        <f>VLOOKUP(A:A,[3]TDSheet!$A:$D,4,0)</f>
        <v>153</v>
      </c>
      <c r="AI76" s="13">
        <f>VLOOKUP(A:A,[1]TDSheet!$A:$AI,35,0)</f>
        <v>0</v>
      </c>
      <c r="AJ76" s="13">
        <f t="shared" si="19"/>
        <v>76</v>
      </c>
      <c r="AK76" s="13"/>
      <c r="AL76" s="13"/>
      <c r="AM76" s="13"/>
    </row>
    <row r="77" spans="1:39" s="1" customFormat="1" ht="11.1" customHeight="1" outlineLevel="1" x14ac:dyDescent="0.2">
      <c r="A77" s="7" t="s">
        <v>80</v>
      </c>
      <c r="B77" s="7" t="s">
        <v>12</v>
      </c>
      <c r="C77" s="8">
        <v>399</v>
      </c>
      <c r="D77" s="8">
        <v>953</v>
      </c>
      <c r="E77" s="8">
        <v>767</v>
      </c>
      <c r="F77" s="8">
        <v>578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772</v>
      </c>
      <c r="K77" s="13">
        <f t="shared" si="15"/>
        <v>-5</v>
      </c>
      <c r="L77" s="13">
        <f>VLOOKUP(A:A,[1]TDSheet!$A:$V,22,0)</f>
        <v>100</v>
      </c>
      <c r="M77" s="13">
        <f>VLOOKUP(A:A,[1]TDSheet!$A:$X,24,0)</f>
        <v>170</v>
      </c>
      <c r="N77" s="13"/>
      <c r="O77" s="13"/>
      <c r="P77" s="13"/>
      <c r="Q77" s="13"/>
      <c r="R77" s="13"/>
      <c r="S77" s="13"/>
      <c r="T77" s="13"/>
      <c r="U77" s="13"/>
      <c r="V77" s="13"/>
      <c r="W77" s="13">
        <f t="shared" si="16"/>
        <v>153.4</v>
      </c>
      <c r="X77" s="16">
        <v>240</v>
      </c>
      <c r="Y77" s="19">
        <f t="shared" si="17"/>
        <v>7.0925684485006517</v>
      </c>
      <c r="Z77" s="13">
        <f t="shared" si="18"/>
        <v>3.7679269882659714</v>
      </c>
      <c r="AA77" s="13"/>
      <c r="AB77" s="13"/>
      <c r="AC77" s="13">
        <f>VLOOKUP(A:A,[1]TDSheet!$A:$AC,29,0)</f>
        <v>0</v>
      </c>
      <c r="AD77" s="13">
        <f>VLOOKUP(A:A,[1]TDSheet!$A:$AD,30,0)</f>
        <v>169.2</v>
      </c>
      <c r="AE77" s="13">
        <f>VLOOKUP(A:A,[1]TDSheet!$A:$AE,31,0)</f>
        <v>136.6</v>
      </c>
      <c r="AF77" s="13">
        <f>VLOOKUP(A:A,[1]TDSheet!$A:$AF,32,0)</f>
        <v>157.80000000000001</v>
      </c>
      <c r="AG77" s="13">
        <f>VLOOKUP(A:A,[1]TDSheet!$A:$AG,33,0)</f>
        <v>143.19999999999999</v>
      </c>
      <c r="AH77" s="13">
        <f>VLOOKUP(A:A,[3]TDSheet!$A:$D,4,0)</f>
        <v>163</v>
      </c>
      <c r="AI77" s="13">
        <f>VLOOKUP(A:A,[1]TDSheet!$A:$AI,35,0)</f>
        <v>0</v>
      </c>
      <c r="AJ77" s="13">
        <f t="shared" si="19"/>
        <v>79.2</v>
      </c>
      <c r="AK77" s="13"/>
      <c r="AL77" s="13"/>
      <c r="AM77" s="13"/>
    </row>
    <row r="78" spans="1:39" s="1" customFormat="1" ht="21.95" customHeight="1" outlineLevel="1" x14ac:dyDescent="0.2">
      <c r="A78" s="7" t="s">
        <v>81</v>
      </c>
      <c r="B78" s="7" t="s">
        <v>12</v>
      </c>
      <c r="C78" s="8">
        <v>326</v>
      </c>
      <c r="D78" s="8">
        <v>621</v>
      </c>
      <c r="E78" s="8">
        <v>621</v>
      </c>
      <c r="F78" s="8">
        <v>309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631</v>
      </c>
      <c r="K78" s="13">
        <f t="shared" si="15"/>
        <v>-10</v>
      </c>
      <c r="L78" s="13">
        <f>VLOOKUP(A:A,[1]TDSheet!$A:$V,22,0)</f>
        <v>150</v>
      </c>
      <c r="M78" s="13">
        <f>VLOOKUP(A:A,[1]TDSheet!$A:$X,24,0)</f>
        <v>200</v>
      </c>
      <c r="N78" s="13"/>
      <c r="O78" s="13"/>
      <c r="P78" s="13"/>
      <c r="Q78" s="13"/>
      <c r="R78" s="13"/>
      <c r="S78" s="13"/>
      <c r="T78" s="13"/>
      <c r="U78" s="13"/>
      <c r="V78" s="13"/>
      <c r="W78" s="13">
        <f t="shared" si="16"/>
        <v>124.2</v>
      </c>
      <c r="X78" s="16">
        <v>220</v>
      </c>
      <c r="Y78" s="19">
        <f t="shared" si="17"/>
        <v>7.0772946859903376</v>
      </c>
      <c r="Z78" s="13">
        <f t="shared" si="18"/>
        <v>2.4879227053140096</v>
      </c>
      <c r="AA78" s="13"/>
      <c r="AB78" s="13"/>
      <c r="AC78" s="13">
        <f>VLOOKUP(A:A,[1]TDSheet!$A:$AC,29,0)</f>
        <v>0</v>
      </c>
      <c r="AD78" s="13">
        <f>VLOOKUP(A:A,[1]TDSheet!$A:$AD,30,0)</f>
        <v>123</v>
      </c>
      <c r="AE78" s="13">
        <f>VLOOKUP(A:A,[1]TDSheet!$A:$AE,31,0)</f>
        <v>124.4</v>
      </c>
      <c r="AF78" s="13">
        <f>VLOOKUP(A:A,[1]TDSheet!$A:$AF,32,0)</f>
        <v>127</v>
      </c>
      <c r="AG78" s="13">
        <f>VLOOKUP(A:A,[1]TDSheet!$A:$AG,33,0)</f>
        <v>102</v>
      </c>
      <c r="AH78" s="13">
        <f>VLOOKUP(A:A,[3]TDSheet!$A:$D,4,0)</f>
        <v>146</v>
      </c>
      <c r="AI78" s="13">
        <f>VLOOKUP(A:A,[1]TDSheet!$A:$AI,35,0)</f>
        <v>0</v>
      </c>
      <c r="AJ78" s="13">
        <f t="shared" si="19"/>
        <v>77</v>
      </c>
      <c r="AK78" s="13"/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325</v>
      </c>
      <c r="D79" s="8">
        <v>323</v>
      </c>
      <c r="E79" s="8">
        <v>355</v>
      </c>
      <c r="F79" s="8">
        <v>290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356</v>
      </c>
      <c r="K79" s="13">
        <f t="shared" si="15"/>
        <v>-1</v>
      </c>
      <c r="L79" s="13">
        <f>VLOOKUP(A:A,[1]TDSheet!$A:$V,22,0)</f>
        <v>60</v>
      </c>
      <c r="M79" s="13">
        <f>VLOOKUP(A:A,[1]TDSheet!$A:$X,24,0)</f>
        <v>80</v>
      </c>
      <c r="N79" s="13"/>
      <c r="O79" s="13"/>
      <c r="P79" s="13"/>
      <c r="Q79" s="13"/>
      <c r="R79" s="13"/>
      <c r="S79" s="13"/>
      <c r="T79" s="13"/>
      <c r="U79" s="13"/>
      <c r="V79" s="13"/>
      <c r="W79" s="13">
        <f t="shared" si="16"/>
        <v>71</v>
      </c>
      <c r="X79" s="16">
        <v>80</v>
      </c>
      <c r="Y79" s="19">
        <f t="shared" si="17"/>
        <v>7.183098591549296</v>
      </c>
      <c r="Z79" s="13">
        <f t="shared" si="18"/>
        <v>4.084507042253521</v>
      </c>
      <c r="AA79" s="13"/>
      <c r="AB79" s="13"/>
      <c r="AC79" s="13">
        <f>VLOOKUP(A:A,[1]TDSheet!$A:$AC,29,0)</f>
        <v>0</v>
      </c>
      <c r="AD79" s="13">
        <f>VLOOKUP(A:A,[1]TDSheet!$A:$AD,30,0)</f>
        <v>83.6</v>
      </c>
      <c r="AE79" s="13">
        <f>VLOOKUP(A:A,[1]TDSheet!$A:$AE,31,0)</f>
        <v>85.8</v>
      </c>
      <c r="AF79" s="13">
        <f>VLOOKUP(A:A,[1]TDSheet!$A:$AF,32,0)</f>
        <v>84.2</v>
      </c>
      <c r="AG79" s="13">
        <f>VLOOKUP(A:A,[1]TDSheet!$A:$AG,33,0)</f>
        <v>45.6</v>
      </c>
      <c r="AH79" s="13">
        <f>VLOOKUP(A:A,[3]TDSheet!$A:$D,4,0)</f>
        <v>42</v>
      </c>
      <c r="AI79" s="13" t="str">
        <f>VLOOKUP(A:A,[1]TDSheet!$A:$AI,35,0)</f>
        <v>оконч</v>
      </c>
      <c r="AJ79" s="13">
        <f t="shared" si="19"/>
        <v>26.400000000000002</v>
      </c>
      <c r="AK79" s="13"/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3145</v>
      </c>
      <c r="D80" s="8">
        <v>4229</v>
      </c>
      <c r="E80" s="8">
        <v>4094</v>
      </c>
      <c r="F80" s="8">
        <v>3198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4155</v>
      </c>
      <c r="K80" s="13">
        <f t="shared" si="15"/>
        <v>-61</v>
      </c>
      <c r="L80" s="13">
        <f>VLOOKUP(A:A,[1]TDSheet!$A:$V,22,0)</f>
        <v>500</v>
      </c>
      <c r="M80" s="13">
        <f>VLOOKUP(A:A,[1]TDSheet!$A:$X,24,0)</f>
        <v>1000</v>
      </c>
      <c r="N80" s="13"/>
      <c r="O80" s="13"/>
      <c r="P80" s="13"/>
      <c r="Q80" s="13"/>
      <c r="R80" s="13"/>
      <c r="S80" s="13"/>
      <c r="T80" s="13"/>
      <c r="U80" s="13"/>
      <c r="V80" s="13"/>
      <c r="W80" s="13">
        <f t="shared" si="16"/>
        <v>818.8</v>
      </c>
      <c r="X80" s="16">
        <v>1100</v>
      </c>
      <c r="Y80" s="19">
        <f t="shared" si="17"/>
        <v>7.0810942843185156</v>
      </c>
      <c r="Z80" s="13">
        <f t="shared" si="18"/>
        <v>3.9057156814851002</v>
      </c>
      <c r="AA80" s="13"/>
      <c r="AB80" s="13"/>
      <c r="AC80" s="13">
        <f>VLOOKUP(A:A,[1]TDSheet!$A:$AC,29,0)</f>
        <v>0</v>
      </c>
      <c r="AD80" s="13">
        <f>VLOOKUP(A:A,[1]TDSheet!$A:$AD,30,0)</f>
        <v>1083</v>
      </c>
      <c r="AE80" s="13">
        <f>VLOOKUP(A:A,[1]TDSheet!$A:$AE,31,0)</f>
        <v>1151.2</v>
      </c>
      <c r="AF80" s="13">
        <f>VLOOKUP(A:A,[1]TDSheet!$A:$AF,32,0)</f>
        <v>1078.5999999999999</v>
      </c>
      <c r="AG80" s="13">
        <f>VLOOKUP(A:A,[1]TDSheet!$A:$AG,33,0)</f>
        <v>822.6</v>
      </c>
      <c r="AH80" s="13">
        <f>VLOOKUP(A:A,[3]TDSheet!$A:$D,4,0)</f>
        <v>870</v>
      </c>
      <c r="AI80" s="13" t="str">
        <f>VLOOKUP(A:A,[1]TDSheet!$A:$AI,35,0)</f>
        <v>жц, оконч</v>
      </c>
      <c r="AJ80" s="13">
        <f t="shared" si="19"/>
        <v>385</v>
      </c>
      <c r="AK80" s="13"/>
      <c r="AL80" s="13"/>
      <c r="AM80" s="13"/>
    </row>
    <row r="81" spans="1:39" s="1" customFormat="1" ht="11.1" customHeight="1" outlineLevel="1" x14ac:dyDescent="0.2">
      <c r="A81" s="7" t="s">
        <v>84</v>
      </c>
      <c r="B81" s="7" t="s">
        <v>12</v>
      </c>
      <c r="C81" s="8">
        <v>4879</v>
      </c>
      <c r="D81" s="8">
        <v>22051</v>
      </c>
      <c r="E81" s="8">
        <v>17179</v>
      </c>
      <c r="F81" s="8">
        <v>9521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17334</v>
      </c>
      <c r="K81" s="13">
        <f t="shared" si="15"/>
        <v>-155</v>
      </c>
      <c r="L81" s="13">
        <f>VLOOKUP(A:A,[1]TDSheet!$A:$V,22,0)</f>
        <v>2500</v>
      </c>
      <c r="M81" s="13">
        <f>VLOOKUP(A:A,[1]TDSheet!$A:$X,24,0)</f>
        <v>3100</v>
      </c>
      <c r="N81" s="13"/>
      <c r="O81" s="13"/>
      <c r="P81" s="13"/>
      <c r="Q81" s="13"/>
      <c r="R81" s="13"/>
      <c r="S81" s="13"/>
      <c r="T81" s="13"/>
      <c r="U81" s="13"/>
      <c r="V81" s="13"/>
      <c r="W81" s="13">
        <f t="shared" si="16"/>
        <v>2535.8000000000002</v>
      </c>
      <c r="X81" s="16">
        <v>3100</v>
      </c>
      <c r="Y81" s="19">
        <f t="shared" si="17"/>
        <v>7.1855035886110885</v>
      </c>
      <c r="Z81" s="13">
        <f t="shared" si="18"/>
        <v>3.7546336461866074</v>
      </c>
      <c r="AA81" s="13"/>
      <c r="AB81" s="13"/>
      <c r="AC81" s="13">
        <f>VLOOKUP(A:A,[1]TDSheet!$A:$AC,29,0)</f>
        <v>4500</v>
      </c>
      <c r="AD81" s="13">
        <f>VLOOKUP(A:A,[1]TDSheet!$A:$AD,30,0)</f>
        <v>2083.4</v>
      </c>
      <c r="AE81" s="13">
        <f>VLOOKUP(A:A,[1]TDSheet!$A:$AE,31,0)</f>
        <v>2090</v>
      </c>
      <c r="AF81" s="13">
        <f>VLOOKUP(A:A,[1]TDSheet!$A:$AF,32,0)</f>
        <v>2393</v>
      </c>
      <c r="AG81" s="13">
        <f>VLOOKUP(A:A,[1]TDSheet!$A:$AG,33,0)</f>
        <v>2449</v>
      </c>
      <c r="AH81" s="13">
        <f>VLOOKUP(A:A,[3]TDSheet!$A:$D,4,0)</f>
        <v>2002</v>
      </c>
      <c r="AI81" s="13" t="str">
        <f>VLOOKUP(A:A,[1]TDSheet!$A:$AI,35,0)</f>
        <v>жц, яб</v>
      </c>
      <c r="AJ81" s="13">
        <f t="shared" si="19"/>
        <v>1085</v>
      </c>
      <c r="AK81" s="13"/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12</v>
      </c>
      <c r="C82" s="8">
        <v>291</v>
      </c>
      <c r="D82" s="8">
        <v>626</v>
      </c>
      <c r="E82" s="8">
        <v>528</v>
      </c>
      <c r="F82" s="8">
        <v>382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533</v>
      </c>
      <c r="K82" s="13">
        <f t="shared" si="15"/>
        <v>-5</v>
      </c>
      <c r="L82" s="13">
        <f>VLOOKUP(A:A,[1]TDSheet!$A:$V,22,0)</f>
        <v>90</v>
      </c>
      <c r="M82" s="13">
        <f>VLOOKUP(A:A,[1]TDSheet!$A:$X,24,0)</f>
        <v>120</v>
      </c>
      <c r="N82" s="13"/>
      <c r="O82" s="13"/>
      <c r="P82" s="13"/>
      <c r="Q82" s="13"/>
      <c r="R82" s="13"/>
      <c r="S82" s="13"/>
      <c r="T82" s="13"/>
      <c r="U82" s="13"/>
      <c r="V82" s="13"/>
      <c r="W82" s="13">
        <f t="shared" si="16"/>
        <v>105.6</v>
      </c>
      <c r="X82" s="16">
        <v>160</v>
      </c>
      <c r="Y82" s="19">
        <f t="shared" si="17"/>
        <v>7.121212121212122</v>
      </c>
      <c r="Z82" s="13">
        <f t="shared" si="18"/>
        <v>3.6174242424242427</v>
      </c>
      <c r="AA82" s="13"/>
      <c r="AB82" s="13"/>
      <c r="AC82" s="13">
        <f>VLOOKUP(A:A,[1]TDSheet!$A:$AC,29,0)</f>
        <v>0</v>
      </c>
      <c r="AD82" s="13">
        <f>VLOOKUP(A:A,[1]TDSheet!$A:$AD,30,0)</f>
        <v>95.8</v>
      </c>
      <c r="AE82" s="13">
        <f>VLOOKUP(A:A,[1]TDSheet!$A:$AE,31,0)</f>
        <v>99.6</v>
      </c>
      <c r="AF82" s="13">
        <f>VLOOKUP(A:A,[1]TDSheet!$A:$AF,32,0)</f>
        <v>121.4</v>
      </c>
      <c r="AG82" s="13">
        <f>VLOOKUP(A:A,[1]TDSheet!$A:$AG,33,0)</f>
        <v>100.6</v>
      </c>
      <c r="AH82" s="13">
        <f>VLOOKUP(A:A,[3]TDSheet!$A:$D,4,0)</f>
        <v>115</v>
      </c>
      <c r="AI82" s="13" t="str">
        <f>VLOOKUP(A:A,[1]TDSheet!$A:$AI,35,0)</f>
        <v>оконч</v>
      </c>
      <c r="AJ82" s="13">
        <f t="shared" si="19"/>
        <v>64</v>
      </c>
      <c r="AK82" s="13"/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8</v>
      </c>
      <c r="C83" s="8">
        <v>166.803</v>
      </c>
      <c r="D83" s="8">
        <v>265.08300000000003</v>
      </c>
      <c r="E83" s="8">
        <v>172.738</v>
      </c>
      <c r="F83" s="8">
        <v>259.14800000000002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165.02099999999999</v>
      </c>
      <c r="K83" s="13">
        <f t="shared" si="15"/>
        <v>7.717000000000013</v>
      </c>
      <c r="L83" s="13">
        <f>VLOOKUP(A:A,[1]TDSheet!$A:$V,22,0)</f>
        <v>0</v>
      </c>
      <c r="M83" s="13">
        <f>VLOOKUP(A:A,[1]TDSheet!$A:$X,24,0)</f>
        <v>0</v>
      </c>
      <c r="N83" s="13"/>
      <c r="O83" s="13"/>
      <c r="P83" s="13"/>
      <c r="Q83" s="13"/>
      <c r="R83" s="13"/>
      <c r="S83" s="13"/>
      <c r="T83" s="13"/>
      <c r="U83" s="13"/>
      <c r="V83" s="13"/>
      <c r="W83" s="13">
        <f t="shared" si="16"/>
        <v>34.547600000000003</v>
      </c>
      <c r="X83" s="16"/>
      <c r="Y83" s="19">
        <f t="shared" si="17"/>
        <v>7.5011867684006992</v>
      </c>
      <c r="Z83" s="13">
        <f t="shared" si="18"/>
        <v>7.5011867684006992</v>
      </c>
      <c r="AA83" s="13"/>
      <c r="AB83" s="13"/>
      <c r="AC83" s="13">
        <f>VLOOKUP(A:A,[1]TDSheet!$A:$AC,29,0)</f>
        <v>0</v>
      </c>
      <c r="AD83" s="13">
        <f>VLOOKUP(A:A,[1]TDSheet!$A:$AD,30,0)</f>
        <v>32.292400000000001</v>
      </c>
      <c r="AE83" s="13">
        <f>VLOOKUP(A:A,[1]TDSheet!$A:$AE,31,0)</f>
        <v>46.625799999999998</v>
      </c>
      <c r="AF83" s="13">
        <f>VLOOKUP(A:A,[1]TDSheet!$A:$AF,32,0)</f>
        <v>55.484400000000008</v>
      </c>
      <c r="AG83" s="13">
        <f>VLOOKUP(A:A,[1]TDSheet!$A:$AG,33,0)</f>
        <v>46.699799999999996</v>
      </c>
      <c r="AH83" s="13">
        <f>VLOOKUP(A:A,[3]TDSheet!$A:$D,4,0)</f>
        <v>34.398000000000003</v>
      </c>
      <c r="AI83" s="13">
        <f>VLOOKUP(A:A,[1]TDSheet!$A:$AI,35,0)</f>
        <v>0</v>
      </c>
      <c r="AJ83" s="13">
        <f t="shared" si="19"/>
        <v>0</v>
      </c>
      <c r="AK83" s="13"/>
      <c r="AL83" s="13"/>
      <c r="AM83" s="13"/>
    </row>
    <row r="84" spans="1:39" s="1" customFormat="1" ht="21.95" customHeight="1" outlineLevel="1" x14ac:dyDescent="0.2">
      <c r="A84" s="7" t="s">
        <v>87</v>
      </c>
      <c r="B84" s="7" t="s">
        <v>12</v>
      </c>
      <c r="C84" s="8">
        <v>176</v>
      </c>
      <c r="D84" s="8">
        <v>465</v>
      </c>
      <c r="E84" s="8">
        <v>325</v>
      </c>
      <c r="F84" s="8">
        <v>314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341</v>
      </c>
      <c r="K84" s="13">
        <f t="shared" si="15"/>
        <v>-16</v>
      </c>
      <c r="L84" s="13">
        <f>VLOOKUP(A:A,[1]TDSheet!$A:$V,22,0)</f>
        <v>30</v>
      </c>
      <c r="M84" s="13">
        <f>VLOOKUP(A:A,[1]TDSheet!$A:$X,24,0)</f>
        <v>80</v>
      </c>
      <c r="N84" s="13"/>
      <c r="O84" s="13"/>
      <c r="P84" s="13"/>
      <c r="Q84" s="13"/>
      <c r="R84" s="13"/>
      <c r="S84" s="13"/>
      <c r="T84" s="13"/>
      <c r="U84" s="13"/>
      <c r="V84" s="13"/>
      <c r="W84" s="13">
        <f t="shared" si="16"/>
        <v>65</v>
      </c>
      <c r="X84" s="16">
        <v>50</v>
      </c>
      <c r="Y84" s="19">
        <f t="shared" si="17"/>
        <v>7.2923076923076922</v>
      </c>
      <c r="Z84" s="13">
        <f t="shared" si="18"/>
        <v>4.8307692307692305</v>
      </c>
      <c r="AA84" s="13"/>
      <c r="AB84" s="13"/>
      <c r="AC84" s="13">
        <f>VLOOKUP(A:A,[1]TDSheet!$A:$AC,29,0)</f>
        <v>0</v>
      </c>
      <c r="AD84" s="13">
        <f>VLOOKUP(A:A,[1]TDSheet!$A:$AD,30,0)</f>
        <v>60.2</v>
      </c>
      <c r="AE84" s="13">
        <f>VLOOKUP(A:A,[1]TDSheet!$A:$AE,31,0)</f>
        <v>53</v>
      </c>
      <c r="AF84" s="13">
        <f>VLOOKUP(A:A,[1]TDSheet!$A:$AF,32,0)</f>
        <v>60.8</v>
      </c>
      <c r="AG84" s="13">
        <f>VLOOKUP(A:A,[1]TDSheet!$A:$AG,33,0)</f>
        <v>69.599999999999994</v>
      </c>
      <c r="AH84" s="13">
        <f>VLOOKUP(A:A,[3]TDSheet!$A:$D,4,0)</f>
        <v>42</v>
      </c>
      <c r="AI84" s="13">
        <f>VLOOKUP(A:A,[1]TDSheet!$A:$AI,35,0)</f>
        <v>0</v>
      </c>
      <c r="AJ84" s="13">
        <f t="shared" si="19"/>
        <v>20</v>
      </c>
      <c r="AK84" s="13"/>
      <c r="AL84" s="13"/>
      <c r="AM84" s="13"/>
    </row>
    <row r="85" spans="1:39" s="1" customFormat="1" ht="11.1" customHeight="1" outlineLevel="1" x14ac:dyDescent="0.2">
      <c r="A85" s="7" t="s">
        <v>88</v>
      </c>
      <c r="B85" s="7" t="s">
        <v>8</v>
      </c>
      <c r="C85" s="8">
        <v>88.331000000000003</v>
      </c>
      <c r="D85" s="8">
        <v>57.761000000000003</v>
      </c>
      <c r="E85" s="8">
        <v>79.174000000000007</v>
      </c>
      <c r="F85" s="8">
        <v>66.918000000000006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75.5</v>
      </c>
      <c r="K85" s="13">
        <f t="shared" si="15"/>
        <v>3.6740000000000066</v>
      </c>
      <c r="L85" s="13">
        <f>VLOOKUP(A:A,[1]TDSheet!$A:$V,22,0)</f>
        <v>20</v>
      </c>
      <c r="M85" s="13">
        <f>VLOOKUP(A:A,[1]TDSheet!$A:$X,24,0)</f>
        <v>20</v>
      </c>
      <c r="N85" s="13"/>
      <c r="O85" s="13"/>
      <c r="P85" s="13"/>
      <c r="Q85" s="13"/>
      <c r="R85" s="13"/>
      <c r="S85" s="13"/>
      <c r="T85" s="13"/>
      <c r="U85" s="13"/>
      <c r="V85" s="13"/>
      <c r="W85" s="13">
        <f t="shared" si="16"/>
        <v>15.834800000000001</v>
      </c>
      <c r="X85" s="16">
        <v>20</v>
      </c>
      <c r="Y85" s="19">
        <f t="shared" si="17"/>
        <v>8.0151312299492261</v>
      </c>
      <c r="Z85" s="13">
        <f t="shared" si="18"/>
        <v>4.2260085381564654</v>
      </c>
      <c r="AA85" s="13"/>
      <c r="AB85" s="13"/>
      <c r="AC85" s="13">
        <f>VLOOKUP(A:A,[1]TDSheet!$A:$AC,29,0)</f>
        <v>0</v>
      </c>
      <c r="AD85" s="13">
        <f>VLOOKUP(A:A,[1]TDSheet!$A:$AD,30,0)</f>
        <v>14.214599999999999</v>
      </c>
      <c r="AE85" s="13">
        <f>VLOOKUP(A:A,[1]TDSheet!$A:$AE,31,0)</f>
        <v>14.442400000000001</v>
      </c>
      <c r="AF85" s="13">
        <f>VLOOKUP(A:A,[1]TDSheet!$A:$AF,32,0)</f>
        <v>13.562200000000001</v>
      </c>
      <c r="AG85" s="13">
        <f>VLOOKUP(A:A,[1]TDSheet!$A:$AG,33,0)</f>
        <v>14.677000000000001</v>
      </c>
      <c r="AH85" s="13">
        <f>VLOOKUP(A:A,[3]TDSheet!$A:$D,4,0)</f>
        <v>11.494</v>
      </c>
      <c r="AI85" s="13">
        <f>VLOOKUP(A:A,[1]TDSheet!$A:$AI,35,0)</f>
        <v>0</v>
      </c>
      <c r="AJ85" s="13">
        <f t="shared" si="19"/>
        <v>20</v>
      </c>
      <c r="AK85" s="13"/>
      <c r="AL85" s="13"/>
      <c r="AM85" s="13"/>
    </row>
    <row r="86" spans="1:39" s="1" customFormat="1" ht="21.95" customHeight="1" outlineLevel="1" x14ac:dyDescent="0.2">
      <c r="A86" s="7" t="s">
        <v>89</v>
      </c>
      <c r="B86" s="7" t="s">
        <v>12</v>
      </c>
      <c r="C86" s="8">
        <v>357</v>
      </c>
      <c r="D86" s="8">
        <v>838</v>
      </c>
      <c r="E86" s="8">
        <v>561</v>
      </c>
      <c r="F86" s="8">
        <v>619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584</v>
      </c>
      <c r="K86" s="13">
        <f t="shared" si="15"/>
        <v>-23</v>
      </c>
      <c r="L86" s="13">
        <f>VLOOKUP(A:A,[1]TDSheet!$A:$V,22,0)</f>
        <v>0</v>
      </c>
      <c r="M86" s="13">
        <f>VLOOKUP(A:A,[1]TDSheet!$A:$X,24,0)</f>
        <v>100</v>
      </c>
      <c r="N86" s="13"/>
      <c r="O86" s="13"/>
      <c r="P86" s="13"/>
      <c r="Q86" s="13"/>
      <c r="R86" s="13"/>
      <c r="S86" s="13"/>
      <c r="T86" s="13"/>
      <c r="U86" s="13"/>
      <c r="V86" s="13"/>
      <c r="W86" s="13">
        <f t="shared" si="16"/>
        <v>112.2</v>
      </c>
      <c r="X86" s="16">
        <v>100</v>
      </c>
      <c r="Y86" s="19">
        <f t="shared" si="17"/>
        <v>7.2994652406417107</v>
      </c>
      <c r="Z86" s="13">
        <f t="shared" si="18"/>
        <v>5.5169340463458107</v>
      </c>
      <c r="AA86" s="13"/>
      <c r="AB86" s="13"/>
      <c r="AC86" s="13">
        <f>VLOOKUP(A:A,[1]TDSheet!$A:$AC,29,0)</f>
        <v>0</v>
      </c>
      <c r="AD86" s="13">
        <f>VLOOKUP(A:A,[1]TDSheet!$A:$AD,30,0)</f>
        <v>124.4</v>
      </c>
      <c r="AE86" s="13">
        <f>VLOOKUP(A:A,[1]TDSheet!$A:$AE,31,0)</f>
        <v>112.8</v>
      </c>
      <c r="AF86" s="13">
        <f>VLOOKUP(A:A,[1]TDSheet!$A:$AF,32,0)</f>
        <v>137.4</v>
      </c>
      <c r="AG86" s="13">
        <f>VLOOKUP(A:A,[1]TDSheet!$A:$AG,33,0)</f>
        <v>129.80000000000001</v>
      </c>
      <c r="AH86" s="13">
        <f>VLOOKUP(A:A,[3]TDSheet!$A:$D,4,0)</f>
        <v>99</v>
      </c>
      <c r="AI86" s="13">
        <f>VLOOKUP(A:A,[1]TDSheet!$A:$AI,35,0)</f>
        <v>0</v>
      </c>
      <c r="AJ86" s="13">
        <f t="shared" si="19"/>
        <v>20</v>
      </c>
      <c r="AK86" s="13"/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12</v>
      </c>
      <c r="C87" s="8">
        <v>129</v>
      </c>
      <c r="D87" s="8">
        <v>457</v>
      </c>
      <c r="E87" s="8">
        <v>336</v>
      </c>
      <c r="F87" s="8">
        <v>248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349</v>
      </c>
      <c r="K87" s="13">
        <f t="shared" si="15"/>
        <v>-13</v>
      </c>
      <c r="L87" s="13">
        <f>VLOOKUP(A:A,[1]TDSheet!$A:$V,22,0)</f>
        <v>100</v>
      </c>
      <c r="M87" s="13">
        <f>VLOOKUP(A:A,[1]TDSheet!$A:$X,24,0)</f>
        <v>80</v>
      </c>
      <c r="N87" s="13"/>
      <c r="O87" s="13"/>
      <c r="P87" s="13"/>
      <c r="Q87" s="13"/>
      <c r="R87" s="13"/>
      <c r="S87" s="13"/>
      <c r="T87" s="13"/>
      <c r="U87" s="13"/>
      <c r="V87" s="13"/>
      <c r="W87" s="13">
        <f t="shared" si="16"/>
        <v>67.2</v>
      </c>
      <c r="X87" s="16">
        <v>50</v>
      </c>
      <c r="Y87" s="19">
        <f t="shared" si="17"/>
        <v>7.1130952380952381</v>
      </c>
      <c r="Z87" s="13">
        <f t="shared" si="18"/>
        <v>3.6904761904761902</v>
      </c>
      <c r="AA87" s="13"/>
      <c r="AB87" s="13"/>
      <c r="AC87" s="13">
        <f>VLOOKUP(A:A,[1]TDSheet!$A:$AC,29,0)</f>
        <v>0</v>
      </c>
      <c r="AD87" s="13">
        <f>VLOOKUP(A:A,[1]TDSheet!$A:$AD,30,0)</f>
        <v>48.2</v>
      </c>
      <c r="AE87" s="13">
        <f>VLOOKUP(A:A,[1]TDSheet!$A:$AE,31,0)</f>
        <v>49.6</v>
      </c>
      <c r="AF87" s="13">
        <f>VLOOKUP(A:A,[1]TDSheet!$A:$AF,32,0)</f>
        <v>65.400000000000006</v>
      </c>
      <c r="AG87" s="13">
        <f>VLOOKUP(A:A,[1]TDSheet!$A:$AG,33,0)</f>
        <v>64</v>
      </c>
      <c r="AH87" s="13">
        <f>VLOOKUP(A:A,[3]TDSheet!$A:$D,4,0)</f>
        <v>29</v>
      </c>
      <c r="AI87" s="13">
        <f>VLOOKUP(A:A,[1]TDSheet!$A:$AI,35,0)</f>
        <v>0</v>
      </c>
      <c r="AJ87" s="13">
        <f t="shared" si="19"/>
        <v>15</v>
      </c>
      <c r="AK87" s="13"/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345.24900000000002</v>
      </c>
      <c r="D88" s="8">
        <v>621.58299999999997</v>
      </c>
      <c r="E88" s="8">
        <v>514.27700000000004</v>
      </c>
      <c r="F88" s="8">
        <v>448.303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512.55999999999995</v>
      </c>
      <c r="K88" s="13">
        <f t="shared" si="15"/>
        <v>1.7170000000000982</v>
      </c>
      <c r="L88" s="13">
        <f>VLOOKUP(A:A,[1]TDSheet!$A:$V,22,0)</f>
        <v>100</v>
      </c>
      <c r="M88" s="13">
        <f>VLOOKUP(A:A,[1]TDSheet!$A:$X,24,0)</f>
        <v>120</v>
      </c>
      <c r="N88" s="13"/>
      <c r="O88" s="13"/>
      <c r="P88" s="13"/>
      <c r="Q88" s="13"/>
      <c r="R88" s="13"/>
      <c r="S88" s="13"/>
      <c r="T88" s="13"/>
      <c r="U88" s="13"/>
      <c r="V88" s="13"/>
      <c r="W88" s="13">
        <f t="shared" si="16"/>
        <v>102.8554</v>
      </c>
      <c r="X88" s="16">
        <v>70</v>
      </c>
      <c r="Y88" s="19">
        <f t="shared" si="17"/>
        <v>7.1780674616986566</v>
      </c>
      <c r="Z88" s="13">
        <f t="shared" si="18"/>
        <v>4.3585752425249424</v>
      </c>
      <c r="AA88" s="13"/>
      <c r="AB88" s="13"/>
      <c r="AC88" s="13">
        <f>VLOOKUP(A:A,[1]TDSheet!$A:$AC,29,0)</f>
        <v>0</v>
      </c>
      <c r="AD88" s="13">
        <f>VLOOKUP(A:A,[1]TDSheet!$A:$AD,30,0)</f>
        <v>98.308199999999999</v>
      </c>
      <c r="AE88" s="13">
        <f>VLOOKUP(A:A,[1]TDSheet!$A:$AE,31,0)</f>
        <v>78.1708</v>
      </c>
      <c r="AF88" s="13">
        <f>VLOOKUP(A:A,[1]TDSheet!$A:$AF,32,0)</f>
        <v>98.722000000000008</v>
      </c>
      <c r="AG88" s="13">
        <f>VLOOKUP(A:A,[1]TDSheet!$A:$AG,33,0)</f>
        <v>105.10060000000001</v>
      </c>
      <c r="AH88" s="13">
        <f>VLOOKUP(A:A,[3]TDSheet!$A:$D,4,0)</f>
        <v>58.115000000000002</v>
      </c>
      <c r="AI88" s="13">
        <f>VLOOKUP(A:A,[1]TDSheet!$A:$AI,35,0)</f>
        <v>0</v>
      </c>
      <c r="AJ88" s="13">
        <f t="shared" si="19"/>
        <v>70</v>
      </c>
      <c r="AK88" s="13"/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2287.7689999999998</v>
      </c>
      <c r="D89" s="8">
        <v>5401.3270000000002</v>
      </c>
      <c r="E89" s="8">
        <v>4158.7470000000003</v>
      </c>
      <c r="F89" s="8">
        <v>3505.22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4206.0649999999996</v>
      </c>
      <c r="K89" s="13">
        <f t="shared" si="15"/>
        <v>-47.317999999999302</v>
      </c>
      <c r="L89" s="13">
        <f>VLOOKUP(A:A,[1]TDSheet!$A:$V,22,0)</f>
        <v>500</v>
      </c>
      <c r="M89" s="13">
        <f>VLOOKUP(A:A,[1]TDSheet!$A:$X,24,0)</f>
        <v>900</v>
      </c>
      <c r="N89" s="13"/>
      <c r="O89" s="13"/>
      <c r="P89" s="13"/>
      <c r="Q89" s="13"/>
      <c r="R89" s="13"/>
      <c r="S89" s="13"/>
      <c r="T89" s="13"/>
      <c r="U89" s="13"/>
      <c r="V89" s="13"/>
      <c r="W89" s="13">
        <f t="shared" si="16"/>
        <v>831.74940000000004</v>
      </c>
      <c r="X89" s="16">
        <v>1000</v>
      </c>
      <c r="Y89" s="19">
        <f t="shared" si="17"/>
        <v>7.099758653267437</v>
      </c>
      <c r="Z89" s="13">
        <f t="shared" si="18"/>
        <v>4.2142741551722187</v>
      </c>
      <c r="AA89" s="13"/>
      <c r="AB89" s="13"/>
      <c r="AC89" s="13">
        <f>VLOOKUP(A:A,[1]TDSheet!$A:$AC,29,0)</f>
        <v>0</v>
      </c>
      <c r="AD89" s="13">
        <f>VLOOKUP(A:A,[1]TDSheet!$A:$AD,30,0)</f>
        <v>966.30100000000004</v>
      </c>
      <c r="AE89" s="13">
        <f>VLOOKUP(A:A,[1]TDSheet!$A:$AE,31,0)</f>
        <v>988.82339999999999</v>
      </c>
      <c r="AF89" s="13">
        <f>VLOOKUP(A:A,[1]TDSheet!$A:$AF,32,0)</f>
        <v>849.73719999999992</v>
      </c>
      <c r="AG89" s="13">
        <f>VLOOKUP(A:A,[1]TDSheet!$A:$AG,33,0)</f>
        <v>865.69299999999998</v>
      </c>
      <c r="AH89" s="13">
        <f>VLOOKUP(A:A,[3]TDSheet!$A:$D,4,0)</f>
        <v>746.30899999999997</v>
      </c>
      <c r="AI89" s="13" t="str">
        <f>VLOOKUP(A:A,[1]TDSheet!$A:$AI,35,0)</f>
        <v>оконч</v>
      </c>
      <c r="AJ89" s="13">
        <f t="shared" si="19"/>
        <v>1000</v>
      </c>
      <c r="AK89" s="13"/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4158.1540000000005</v>
      </c>
      <c r="D90" s="8">
        <v>7513.6030000000001</v>
      </c>
      <c r="E90" s="8">
        <v>7049.5029999999997</v>
      </c>
      <c r="F90" s="8">
        <v>4554.3220000000001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7121.1530000000002</v>
      </c>
      <c r="K90" s="13">
        <f t="shared" si="15"/>
        <v>-71.650000000000546</v>
      </c>
      <c r="L90" s="13">
        <f>VLOOKUP(A:A,[1]TDSheet!$A:$V,22,0)</f>
        <v>2300</v>
      </c>
      <c r="M90" s="13">
        <f>VLOOKUP(A:A,[1]TDSheet!$A:$X,24,0)</f>
        <v>1800</v>
      </c>
      <c r="N90" s="13"/>
      <c r="O90" s="13"/>
      <c r="P90" s="13"/>
      <c r="Q90" s="13"/>
      <c r="R90" s="13"/>
      <c r="S90" s="13"/>
      <c r="T90" s="13"/>
      <c r="U90" s="13"/>
      <c r="V90" s="13"/>
      <c r="W90" s="13">
        <f t="shared" si="16"/>
        <v>1392.1941999999999</v>
      </c>
      <c r="X90" s="16">
        <v>1300</v>
      </c>
      <c r="Y90" s="19">
        <f t="shared" si="17"/>
        <v>7.1500958702456892</v>
      </c>
      <c r="Z90" s="13">
        <f t="shared" si="18"/>
        <v>3.2713266583067222</v>
      </c>
      <c r="AA90" s="13"/>
      <c r="AB90" s="13"/>
      <c r="AC90" s="13">
        <f>VLOOKUP(A:A,[1]TDSheet!$A:$AC,29,0)</f>
        <v>88.531999999999996</v>
      </c>
      <c r="AD90" s="13">
        <f>VLOOKUP(A:A,[1]TDSheet!$A:$AD,30,0)</f>
        <v>1000.2540000000001</v>
      </c>
      <c r="AE90" s="13">
        <f>VLOOKUP(A:A,[1]TDSheet!$A:$AE,31,0)</f>
        <v>1028.5565999999999</v>
      </c>
      <c r="AF90" s="13">
        <f>VLOOKUP(A:A,[1]TDSheet!$A:$AF,32,0)</f>
        <v>1122.0304000000001</v>
      </c>
      <c r="AG90" s="13">
        <f>VLOOKUP(A:A,[1]TDSheet!$A:$AG,33,0)</f>
        <v>1250.9821999999999</v>
      </c>
      <c r="AH90" s="13">
        <f>VLOOKUP(A:A,[3]TDSheet!$A:$D,4,0)</f>
        <v>915.76400000000001</v>
      </c>
      <c r="AI90" s="13" t="str">
        <f>VLOOKUP(A:A,[1]TDSheet!$A:$AI,35,0)</f>
        <v>нояяб</v>
      </c>
      <c r="AJ90" s="13">
        <f t="shared" si="19"/>
        <v>1300</v>
      </c>
      <c r="AK90" s="13"/>
      <c r="AL90" s="13"/>
      <c r="AM90" s="13"/>
    </row>
    <row r="91" spans="1:39" s="1" customFormat="1" ht="11.1" customHeight="1" outlineLevel="1" x14ac:dyDescent="0.2">
      <c r="A91" s="7" t="s">
        <v>94</v>
      </c>
      <c r="B91" s="7" t="s">
        <v>8</v>
      </c>
      <c r="C91" s="8">
        <v>3710.5680000000002</v>
      </c>
      <c r="D91" s="8">
        <v>7638.1329999999998</v>
      </c>
      <c r="E91" s="8">
        <v>6190.0959999999995</v>
      </c>
      <c r="F91" s="8">
        <v>5073.5860000000002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6297.9430000000002</v>
      </c>
      <c r="K91" s="13">
        <f t="shared" si="15"/>
        <v>-107.84700000000066</v>
      </c>
      <c r="L91" s="13">
        <f>VLOOKUP(A:A,[1]TDSheet!$A:$V,22,0)</f>
        <v>600</v>
      </c>
      <c r="M91" s="13">
        <f>VLOOKUP(A:A,[1]TDSheet!$A:$X,24,0)</f>
        <v>1600</v>
      </c>
      <c r="N91" s="13"/>
      <c r="O91" s="13"/>
      <c r="P91" s="13"/>
      <c r="Q91" s="13"/>
      <c r="R91" s="13"/>
      <c r="S91" s="13"/>
      <c r="T91" s="13"/>
      <c r="U91" s="13"/>
      <c r="V91" s="13"/>
      <c r="W91" s="13">
        <f t="shared" si="16"/>
        <v>1220.2005999999999</v>
      </c>
      <c r="X91" s="16">
        <v>1500</v>
      </c>
      <c r="Y91" s="19">
        <f t="shared" si="17"/>
        <v>7.1902816635231943</v>
      </c>
      <c r="Z91" s="13">
        <f t="shared" si="18"/>
        <v>4.1579933660088351</v>
      </c>
      <c r="AA91" s="13"/>
      <c r="AB91" s="13"/>
      <c r="AC91" s="13">
        <f>VLOOKUP(A:A,[1]TDSheet!$A:$AC,29,0)</f>
        <v>89.093000000000004</v>
      </c>
      <c r="AD91" s="13">
        <f>VLOOKUP(A:A,[1]TDSheet!$A:$AD,30,0)</f>
        <v>1537.6201999999998</v>
      </c>
      <c r="AE91" s="13">
        <f>VLOOKUP(A:A,[1]TDSheet!$A:$AE,31,0)</f>
        <v>1549.0896</v>
      </c>
      <c r="AF91" s="13">
        <f>VLOOKUP(A:A,[1]TDSheet!$A:$AF,32,0)</f>
        <v>1357.0478000000001</v>
      </c>
      <c r="AG91" s="13">
        <f>VLOOKUP(A:A,[1]TDSheet!$A:$AG,33,0)</f>
        <v>1260.2991999999999</v>
      </c>
      <c r="AH91" s="13">
        <f>VLOOKUP(A:A,[3]TDSheet!$A:$D,4,0)</f>
        <v>1253.337</v>
      </c>
      <c r="AI91" s="13" t="str">
        <f>VLOOKUP(A:A,[1]TDSheet!$A:$AI,35,0)</f>
        <v>жц, оконч</v>
      </c>
      <c r="AJ91" s="13">
        <f t="shared" si="19"/>
        <v>1500</v>
      </c>
      <c r="AK91" s="13"/>
      <c r="AL91" s="13"/>
      <c r="AM91" s="13"/>
    </row>
    <row r="92" spans="1:39" s="1" customFormat="1" ht="21.95" customHeight="1" outlineLevel="1" x14ac:dyDescent="0.2">
      <c r="A92" s="7" t="s">
        <v>95</v>
      </c>
      <c r="B92" s="7" t="s">
        <v>8</v>
      </c>
      <c r="C92" s="8">
        <v>110.84099999999999</v>
      </c>
      <c r="D92" s="8">
        <v>248.98599999999999</v>
      </c>
      <c r="E92" s="8">
        <v>201.97399999999999</v>
      </c>
      <c r="F92" s="8">
        <v>155.42500000000001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204.804</v>
      </c>
      <c r="K92" s="13">
        <f t="shared" si="15"/>
        <v>-2.8300000000000125</v>
      </c>
      <c r="L92" s="13">
        <f>VLOOKUP(A:A,[1]TDSheet!$A:$V,22,0)</f>
        <v>0</v>
      </c>
      <c r="M92" s="13">
        <f>VLOOKUP(A:A,[1]TDSheet!$A:$X,24,0)</f>
        <v>50</v>
      </c>
      <c r="N92" s="13"/>
      <c r="O92" s="13"/>
      <c r="P92" s="13"/>
      <c r="Q92" s="13"/>
      <c r="R92" s="13"/>
      <c r="S92" s="13"/>
      <c r="T92" s="13"/>
      <c r="U92" s="13"/>
      <c r="V92" s="13"/>
      <c r="W92" s="13">
        <f t="shared" si="16"/>
        <v>40.394799999999996</v>
      </c>
      <c r="X92" s="16">
        <v>90</v>
      </c>
      <c r="Y92" s="19">
        <f t="shared" si="17"/>
        <v>7.3134413340330946</v>
      </c>
      <c r="Z92" s="13">
        <f t="shared" si="18"/>
        <v>3.847648707259351</v>
      </c>
      <c r="AA92" s="13"/>
      <c r="AB92" s="13"/>
      <c r="AC92" s="13">
        <f>VLOOKUP(A:A,[1]TDSheet!$A:$AC,29,0)</f>
        <v>0</v>
      </c>
      <c r="AD92" s="13">
        <f>VLOOKUP(A:A,[1]TDSheet!$A:$AD,30,0)</f>
        <v>39.794400000000003</v>
      </c>
      <c r="AE92" s="13">
        <f>VLOOKUP(A:A,[1]TDSheet!$A:$AE,31,0)</f>
        <v>41.135199999999998</v>
      </c>
      <c r="AF92" s="13">
        <f>VLOOKUP(A:A,[1]TDSheet!$A:$AF,32,0)</f>
        <v>41.445</v>
      </c>
      <c r="AG92" s="13">
        <f>VLOOKUP(A:A,[1]TDSheet!$A:$AG,33,0)</f>
        <v>36.643000000000001</v>
      </c>
      <c r="AH92" s="13">
        <f>VLOOKUP(A:A,[3]TDSheet!$A:$D,4,0)</f>
        <v>59.786000000000001</v>
      </c>
      <c r="AI92" s="13">
        <f>VLOOKUP(A:A,[1]TDSheet!$A:$AI,35,0)</f>
        <v>0</v>
      </c>
      <c r="AJ92" s="13">
        <f t="shared" si="19"/>
        <v>90</v>
      </c>
      <c r="AK92" s="13"/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12</v>
      </c>
      <c r="C93" s="8">
        <v>116</v>
      </c>
      <c r="D93" s="8">
        <v>100</v>
      </c>
      <c r="E93" s="8">
        <v>139</v>
      </c>
      <c r="F93" s="8">
        <v>76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141</v>
      </c>
      <c r="K93" s="13">
        <f t="shared" si="15"/>
        <v>-2</v>
      </c>
      <c r="L93" s="13">
        <f>VLOOKUP(A:A,[1]TDSheet!$A:$V,22,0)</f>
        <v>40</v>
      </c>
      <c r="M93" s="13">
        <f>VLOOKUP(A:A,[1]TDSheet!$A:$X,24,0)</f>
        <v>30</v>
      </c>
      <c r="N93" s="13"/>
      <c r="O93" s="13"/>
      <c r="P93" s="13"/>
      <c r="Q93" s="13"/>
      <c r="R93" s="13"/>
      <c r="S93" s="13"/>
      <c r="T93" s="13"/>
      <c r="U93" s="13"/>
      <c r="V93" s="13"/>
      <c r="W93" s="13">
        <f t="shared" si="16"/>
        <v>27.8</v>
      </c>
      <c r="X93" s="16">
        <v>60</v>
      </c>
      <c r="Y93" s="19">
        <f t="shared" si="17"/>
        <v>7.4100719424460433</v>
      </c>
      <c r="Z93" s="13">
        <f t="shared" si="18"/>
        <v>2.7338129496402876</v>
      </c>
      <c r="AA93" s="13"/>
      <c r="AB93" s="13"/>
      <c r="AC93" s="13">
        <f>VLOOKUP(A:A,[1]TDSheet!$A:$AC,29,0)</f>
        <v>0</v>
      </c>
      <c r="AD93" s="13">
        <f>VLOOKUP(A:A,[1]TDSheet!$A:$AD,30,0)</f>
        <v>24.8</v>
      </c>
      <c r="AE93" s="13">
        <f>VLOOKUP(A:A,[1]TDSheet!$A:$AE,31,0)</f>
        <v>24.4</v>
      </c>
      <c r="AF93" s="13">
        <f>VLOOKUP(A:A,[1]TDSheet!$A:$AF,32,0)</f>
        <v>35.4</v>
      </c>
      <c r="AG93" s="13">
        <f>VLOOKUP(A:A,[1]TDSheet!$A:$AG,33,0)</f>
        <v>22.2</v>
      </c>
      <c r="AH93" s="13">
        <f>VLOOKUP(A:A,[3]TDSheet!$A:$D,4,0)</f>
        <v>39</v>
      </c>
      <c r="AI93" s="13">
        <f>VLOOKUP(A:A,[1]TDSheet!$A:$AI,35,0)</f>
        <v>0</v>
      </c>
      <c r="AJ93" s="13">
        <f t="shared" si="19"/>
        <v>30</v>
      </c>
      <c r="AK93" s="13"/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35.276000000000003</v>
      </c>
      <c r="D94" s="8"/>
      <c r="E94" s="8">
        <v>34.292999999999999</v>
      </c>
      <c r="F94" s="8">
        <v>0.98299999999999998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32.9</v>
      </c>
      <c r="K94" s="13">
        <f t="shared" si="15"/>
        <v>1.3930000000000007</v>
      </c>
      <c r="L94" s="13">
        <f>VLOOKUP(A:A,[1]TDSheet!$A:$V,22,0)</f>
        <v>30</v>
      </c>
      <c r="M94" s="13">
        <f>VLOOKUP(A:A,[1]TDSheet!$A:$X,24,0)</f>
        <v>0</v>
      </c>
      <c r="N94" s="13"/>
      <c r="O94" s="13"/>
      <c r="P94" s="13"/>
      <c r="Q94" s="13"/>
      <c r="R94" s="13"/>
      <c r="S94" s="13"/>
      <c r="T94" s="13"/>
      <c r="U94" s="13"/>
      <c r="V94" s="13"/>
      <c r="W94" s="13">
        <f t="shared" si="16"/>
        <v>6.8586</v>
      </c>
      <c r="X94" s="16">
        <v>10</v>
      </c>
      <c r="Y94" s="19">
        <f t="shared" si="17"/>
        <v>5.9754177237337069</v>
      </c>
      <c r="Z94" s="13">
        <f t="shared" si="18"/>
        <v>0.14332371037821129</v>
      </c>
      <c r="AA94" s="13"/>
      <c r="AB94" s="13"/>
      <c r="AC94" s="13">
        <f>VLOOKUP(A:A,[1]TDSheet!$A:$AC,29,0)</f>
        <v>0</v>
      </c>
      <c r="AD94" s="13">
        <f>VLOOKUP(A:A,[1]TDSheet!$A:$AD,30,0)</f>
        <v>2.6248</v>
      </c>
      <c r="AE94" s="13">
        <f>VLOOKUP(A:A,[1]TDSheet!$A:$AE,31,0)</f>
        <v>5.3487999999999998</v>
      </c>
      <c r="AF94" s="13">
        <f>VLOOKUP(A:A,[1]TDSheet!$A:$AF,32,0)</f>
        <v>2.4050000000000002</v>
      </c>
      <c r="AG94" s="13">
        <f>VLOOKUP(A:A,[1]TDSheet!$A:$AG,33,0)</f>
        <v>1.7504000000000002</v>
      </c>
      <c r="AH94" s="13">
        <f>VLOOKUP(A:A,[3]TDSheet!$A:$D,4,0)</f>
        <v>6.1070000000000002</v>
      </c>
      <c r="AI94" s="13" t="str">
        <f>VLOOKUP(A:A,[1]TDSheet!$A:$AI,35,0)</f>
        <v>увел</v>
      </c>
      <c r="AJ94" s="13">
        <f t="shared" si="19"/>
        <v>10</v>
      </c>
      <c r="AK94" s="13"/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577</v>
      </c>
      <c r="D95" s="8">
        <v>2922</v>
      </c>
      <c r="E95" s="8">
        <v>2251</v>
      </c>
      <c r="F95" s="8">
        <v>1219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2266</v>
      </c>
      <c r="K95" s="13">
        <f t="shared" si="15"/>
        <v>-15</v>
      </c>
      <c r="L95" s="13">
        <f>VLOOKUP(A:A,[1]TDSheet!$A:$V,22,0)</f>
        <v>0</v>
      </c>
      <c r="M95" s="13">
        <f>VLOOKUP(A:A,[1]TDSheet!$A:$X,24,0)</f>
        <v>280</v>
      </c>
      <c r="N95" s="13"/>
      <c r="O95" s="13"/>
      <c r="P95" s="13"/>
      <c r="Q95" s="13"/>
      <c r="R95" s="13"/>
      <c r="S95" s="13"/>
      <c r="T95" s="13"/>
      <c r="U95" s="13"/>
      <c r="V95" s="13"/>
      <c r="W95" s="13">
        <f t="shared" si="16"/>
        <v>270.2</v>
      </c>
      <c r="X95" s="16">
        <v>500</v>
      </c>
      <c r="Y95" s="19">
        <f t="shared" si="17"/>
        <v>7.3982235381199111</v>
      </c>
      <c r="Z95" s="13">
        <f t="shared" si="18"/>
        <v>4.5114729829755742</v>
      </c>
      <c r="AA95" s="13"/>
      <c r="AB95" s="13"/>
      <c r="AC95" s="13">
        <f>VLOOKUP(A:A,[1]TDSheet!$A:$AC,29,0)</f>
        <v>900</v>
      </c>
      <c r="AD95" s="13">
        <f>VLOOKUP(A:A,[1]TDSheet!$A:$AD,30,0)</f>
        <v>254.8</v>
      </c>
      <c r="AE95" s="13">
        <f>VLOOKUP(A:A,[1]TDSheet!$A:$AE,31,0)</f>
        <v>241.4</v>
      </c>
      <c r="AF95" s="13">
        <f>VLOOKUP(A:A,[1]TDSheet!$A:$AF,32,0)</f>
        <v>336</v>
      </c>
      <c r="AG95" s="13">
        <f>VLOOKUP(A:A,[1]TDSheet!$A:$AG,33,0)</f>
        <v>291</v>
      </c>
      <c r="AH95" s="13">
        <f>VLOOKUP(A:A,[3]TDSheet!$A:$D,4,0)</f>
        <v>333</v>
      </c>
      <c r="AI95" s="13">
        <f>VLOOKUP(A:A,[1]TDSheet!$A:$AI,35,0)</f>
        <v>0</v>
      </c>
      <c r="AJ95" s="13">
        <f t="shared" si="19"/>
        <v>150</v>
      </c>
      <c r="AK95" s="13"/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331</v>
      </c>
      <c r="D96" s="8">
        <v>972</v>
      </c>
      <c r="E96" s="8">
        <v>819</v>
      </c>
      <c r="F96" s="8">
        <v>471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827</v>
      </c>
      <c r="K96" s="13">
        <f t="shared" si="15"/>
        <v>-8</v>
      </c>
      <c r="L96" s="13">
        <f>VLOOKUP(A:A,[1]TDSheet!$A:$V,22,0)</f>
        <v>180</v>
      </c>
      <c r="M96" s="13">
        <f>VLOOKUP(A:A,[1]TDSheet!$A:$X,24,0)</f>
        <v>190</v>
      </c>
      <c r="N96" s="13"/>
      <c r="O96" s="13"/>
      <c r="P96" s="13"/>
      <c r="Q96" s="13"/>
      <c r="R96" s="13"/>
      <c r="S96" s="13"/>
      <c r="T96" s="13"/>
      <c r="U96" s="13"/>
      <c r="V96" s="13"/>
      <c r="W96" s="13">
        <f t="shared" si="16"/>
        <v>163.80000000000001</v>
      </c>
      <c r="X96" s="16">
        <v>350</v>
      </c>
      <c r="Y96" s="19">
        <f t="shared" si="17"/>
        <v>7.271062271062271</v>
      </c>
      <c r="Z96" s="13">
        <f t="shared" si="18"/>
        <v>2.8754578754578755</v>
      </c>
      <c r="AA96" s="13"/>
      <c r="AB96" s="13"/>
      <c r="AC96" s="13">
        <f>VLOOKUP(A:A,[1]TDSheet!$A:$AC,29,0)</f>
        <v>0</v>
      </c>
      <c r="AD96" s="13">
        <f>VLOOKUP(A:A,[1]TDSheet!$A:$AD,30,0)</f>
        <v>139.80000000000001</v>
      </c>
      <c r="AE96" s="13">
        <f>VLOOKUP(A:A,[1]TDSheet!$A:$AE,31,0)</f>
        <v>128.4</v>
      </c>
      <c r="AF96" s="13">
        <f>VLOOKUP(A:A,[1]TDSheet!$A:$AF,32,0)</f>
        <v>177.4</v>
      </c>
      <c r="AG96" s="13">
        <f>VLOOKUP(A:A,[1]TDSheet!$A:$AG,33,0)</f>
        <v>145.4</v>
      </c>
      <c r="AH96" s="13">
        <f>VLOOKUP(A:A,[3]TDSheet!$A:$D,4,0)</f>
        <v>210</v>
      </c>
      <c r="AI96" s="13">
        <f>VLOOKUP(A:A,[1]TDSheet!$A:$AI,35,0)</f>
        <v>0</v>
      </c>
      <c r="AJ96" s="13">
        <f t="shared" si="19"/>
        <v>105</v>
      </c>
      <c r="AK96" s="13"/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400</v>
      </c>
      <c r="D97" s="8">
        <v>1734</v>
      </c>
      <c r="E97" s="8">
        <v>1392</v>
      </c>
      <c r="F97" s="8">
        <v>720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1404</v>
      </c>
      <c r="K97" s="13">
        <f t="shared" si="15"/>
        <v>-12</v>
      </c>
      <c r="L97" s="13">
        <f>VLOOKUP(A:A,[1]TDSheet!$A:$V,22,0)</f>
        <v>190</v>
      </c>
      <c r="M97" s="13">
        <f>VLOOKUP(A:A,[1]TDSheet!$A:$X,24,0)</f>
        <v>250</v>
      </c>
      <c r="N97" s="13"/>
      <c r="O97" s="13"/>
      <c r="P97" s="13"/>
      <c r="Q97" s="13"/>
      <c r="R97" s="13"/>
      <c r="S97" s="13"/>
      <c r="T97" s="13"/>
      <c r="U97" s="13"/>
      <c r="V97" s="13"/>
      <c r="W97" s="13">
        <f t="shared" si="16"/>
        <v>218.4</v>
      </c>
      <c r="X97" s="16">
        <v>450</v>
      </c>
      <c r="Y97" s="19">
        <f t="shared" si="17"/>
        <v>7.3717948717948714</v>
      </c>
      <c r="Z97" s="13">
        <f t="shared" si="18"/>
        <v>3.2967032967032965</v>
      </c>
      <c r="AA97" s="13"/>
      <c r="AB97" s="13"/>
      <c r="AC97" s="13">
        <f>VLOOKUP(A:A,[1]TDSheet!$A:$AC,29,0)</f>
        <v>300</v>
      </c>
      <c r="AD97" s="13">
        <f>VLOOKUP(A:A,[1]TDSheet!$A:$AD,30,0)</f>
        <v>225.8</v>
      </c>
      <c r="AE97" s="13">
        <f>VLOOKUP(A:A,[1]TDSheet!$A:$AE,31,0)</f>
        <v>185</v>
      </c>
      <c r="AF97" s="13">
        <f>VLOOKUP(A:A,[1]TDSheet!$A:$AF,32,0)</f>
        <v>223.6</v>
      </c>
      <c r="AG97" s="13">
        <f>VLOOKUP(A:A,[1]TDSheet!$A:$AG,33,0)</f>
        <v>205.6</v>
      </c>
      <c r="AH97" s="13">
        <f>VLOOKUP(A:A,[3]TDSheet!$A:$D,4,0)</f>
        <v>279</v>
      </c>
      <c r="AI97" s="13">
        <f>VLOOKUP(A:A,[1]TDSheet!$A:$AI,35,0)</f>
        <v>0</v>
      </c>
      <c r="AJ97" s="13">
        <f t="shared" si="19"/>
        <v>135</v>
      </c>
      <c r="AK97" s="13"/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369</v>
      </c>
      <c r="D98" s="8">
        <v>869</v>
      </c>
      <c r="E98" s="8">
        <v>810</v>
      </c>
      <c r="F98" s="8">
        <v>408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819</v>
      </c>
      <c r="K98" s="13">
        <f t="shared" si="15"/>
        <v>-9</v>
      </c>
      <c r="L98" s="13">
        <f>VLOOKUP(A:A,[1]TDSheet!$A:$V,22,0)</f>
        <v>250</v>
      </c>
      <c r="M98" s="13">
        <f>VLOOKUP(A:A,[1]TDSheet!$A:$X,24,0)</f>
        <v>220</v>
      </c>
      <c r="N98" s="13"/>
      <c r="O98" s="13"/>
      <c r="P98" s="13"/>
      <c r="Q98" s="13"/>
      <c r="R98" s="13"/>
      <c r="S98" s="13"/>
      <c r="T98" s="13"/>
      <c r="U98" s="13"/>
      <c r="V98" s="13"/>
      <c r="W98" s="13">
        <f t="shared" si="16"/>
        <v>162</v>
      </c>
      <c r="X98" s="16">
        <v>300</v>
      </c>
      <c r="Y98" s="19">
        <f t="shared" si="17"/>
        <v>7.2716049382716053</v>
      </c>
      <c r="Z98" s="13">
        <f t="shared" si="18"/>
        <v>2.5185185185185186</v>
      </c>
      <c r="AA98" s="13"/>
      <c r="AB98" s="13"/>
      <c r="AC98" s="13">
        <f>VLOOKUP(A:A,[1]TDSheet!$A:$AC,29,0)</f>
        <v>0</v>
      </c>
      <c r="AD98" s="13">
        <f>VLOOKUP(A:A,[1]TDSheet!$A:$AD,30,0)</f>
        <v>146.6</v>
      </c>
      <c r="AE98" s="13">
        <f>VLOOKUP(A:A,[1]TDSheet!$A:$AE,31,0)</f>
        <v>137.4</v>
      </c>
      <c r="AF98" s="13">
        <f>VLOOKUP(A:A,[1]TDSheet!$A:$AF,32,0)</f>
        <v>156.19999999999999</v>
      </c>
      <c r="AG98" s="13">
        <f>VLOOKUP(A:A,[1]TDSheet!$A:$AG,33,0)</f>
        <v>135</v>
      </c>
      <c r="AH98" s="13">
        <f>VLOOKUP(A:A,[3]TDSheet!$A:$D,4,0)</f>
        <v>189</v>
      </c>
      <c r="AI98" s="13">
        <f>VLOOKUP(A:A,[1]TDSheet!$A:$AI,35,0)</f>
        <v>0</v>
      </c>
      <c r="AJ98" s="13">
        <f t="shared" si="19"/>
        <v>90</v>
      </c>
      <c r="AK98" s="13"/>
      <c r="AL98" s="13"/>
      <c r="AM98" s="13"/>
    </row>
    <row r="99" spans="1:39" s="1" customFormat="1" ht="11.1" customHeight="1" outlineLevel="1" x14ac:dyDescent="0.2">
      <c r="A99" s="7" t="s">
        <v>111</v>
      </c>
      <c r="B99" s="7" t="s">
        <v>12</v>
      </c>
      <c r="C99" s="8"/>
      <c r="D99" s="8">
        <v>18</v>
      </c>
      <c r="E99" s="8">
        <v>18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18</v>
      </c>
      <c r="K99" s="13">
        <f t="shared" si="15"/>
        <v>0</v>
      </c>
      <c r="L99" s="13">
        <f>VLOOKUP(A:A,[1]TDSheet!$A:$V,22,0)</f>
        <v>0</v>
      </c>
      <c r="M99" s="13">
        <f>VLOOKUP(A:A,[1]TDSheet!$A:$X,24,0)</f>
        <v>0</v>
      </c>
      <c r="N99" s="13"/>
      <c r="O99" s="13"/>
      <c r="P99" s="13"/>
      <c r="Q99" s="13"/>
      <c r="R99" s="13"/>
      <c r="S99" s="13"/>
      <c r="T99" s="13"/>
      <c r="U99" s="13"/>
      <c r="V99" s="13"/>
      <c r="W99" s="13">
        <f t="shared" si="16"/>
        <v>0</v>
      </c>
      <c r="X99" s="16"/>
      <c r="Y99" s="19" t="e">
        <f t="shared" si="17"/>
        <v>#DIV/0!</v>
      </c>
      <c r="Z99" s="13" t="e">
        <f t="shared" si="18"/>
        <v>#DIV/0!</v>
      </c>
      <c r="AA99" s="13"/>
      <c r="AB99" s="13"/>
      <c r="AC99" s="13">
        <f>VLOOKUP(A:A,[1]TDSheet!$A:$AC,29,0)</f>
        <v>18</v>
      </c>
      <c r="AD99" s="13">
        <f>VLOOKUP(A:A,[1]TDSheet!$A:$AD,30,0)</f>
        <v>0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214</v>
      </c>
      <c r="D100" s="8">
        <v>206</v>
      </c>
      <c r="E100" s="8">
        <v>242</v>
      </c>
      <c r="F100" s="8">
        <v>168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254</v>
      </c>
      <c r="K100" s="13">
        <f t="shared" si="15"/>
        <v>-12</v>
      </c>
      <c r="L100" s="13">
        <f>VLOOKUP(A:A,[1]TDSheet!$A:$V,22,0)</f>
        <v>50</v>
      </c>
      <c r="M100" s="13">
        <f>VLOOKUP(A:A,[1]TDSheet!$A:$X,24,0)</f>
        <v>50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>
        <f t="shared" si="16"/>
        <v>48.4</v>
      </c>
      <c r="X100" s="16">
        <v>100</v>
      </c>
      <c r="Y100" s="19">
        <f t="shared" si="17"/>
        <v>7.6033057851239674</v>
      </c>
      <c r="Z100" s="13">
        <f t="shared" si="18"/>
        <v>3.4710743801652892</v>
      </c>
      <c r="AA100" s="13"/>
      <c r="AB100" s="13"/>
      <c r="AC100" s="13">
        <f>VLOOKUP(A:A,[1]TDSheet!$A:$AC,29,0)</f>
        <v>0</v>
      </c>
      <c r="AD100" s="13">
        <f>VLOOKUP(A:A,[1]TDSheet!$A:$AD,30,0)</f>
        <v>50</v>
      </c>
      <c r="AE100" s="13">
        <f>VLOOKUP(A:A,[1]TDSheet!$A:$AE,31,0)</f>
        <v>33</v>
      </c>
      <c r="AF100" s="13">
        <f>VLOOKUP(A:A,[1]TDSheet!$A:$AF,32,0)</f>
        <v>52.4</v>
      </c>
      <c r="AG100" s="13">
        <f>VLOOKUP(A:A,[1]TDSheet!$A:$AG,33,0)</f>
        <v>42.6</v>
      </c>
      <c r="AH100" s="13">
        <f>VLOOKUP(A:A,[3]TDSheet!$A:$D,4,0)</f>
        <v>74</v>
      </c>
      <c r="AI100" s="13">
        <f>VLOOKUP(A:A,[1]TDSheet!$A:$AI,35,0)</f>
        <v>0</v>
      </c>
      <c r="AJ100" s="13">
        <f t="shared" si="19"/>
        <v>12</v>
      </c>
      <c r="AK100" s="13"/>
      <c r="AL100" s="13"/>
      <c r="AM100" s="13"/>
    </row>
    <row r="101" spans="1:39" s="1" customFormat="1" ht="21.95" customHeight="1" outlineLevel="1" x14ac:dyDescent="0.2">
      <c r="A101" s="7" t="s">
        <v>103</v>
      </c>
      <c r="B101" s="7" t="s">
        <v>12</v>
      </c>
      <c r="C101" s="8">
        <v>634</v>
      </c>
      <c r="D101" s="8">
        <v>347</v>
      </c>
      <c r="E101" s="8">
        <v>476</v>
      </c>
      <c r="F101" s="8">
        <v>481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501</v>
      </c>
      <c r="K101" s="13">
        <f t="shared" si="15"/>
        <v>-25</v>
      </c>
      <c r="L101" s="13">
        <f>VLOOKUP(A:A,[1]TDSheet!$A:$V,22,0)</f>
        <v>50</v>
      </c>
      <c r="M101" s="13">
        <f>VLOOKUP(A:A,[1]TDSheet!$A:$X,24,0)</f>
        <v>150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>
        <f t="shared" si="16"/>
        <v>95.2</v>
      </c>
      <c r="X101" s="16">
        <v>100</v>
      </c>
      <c r="Y101" s="19">
        <f t="shared" si="17"/>
        <v>8.2037815126050422</v>
      </c>
      <c r="Z101" s="13">
        <f t="shared" si="18"/>
        <v>5.0525210084033612</v>
      </c>
      <c r="AA101" s="13"/>
      <c r="AB101" s="13"/>
      <c r="AC101" s="13">
        <f>VLOOKUP(A:A,[1]TDSheet!$A:$AC,29,0)</f>
        <v>0</v>
      </c>
      <c r="AD101" s="13">
        <f>VLOOKUP(A:A,[1]TDSheet!$A:$AD,30,0)</f>
        <v>129.4</v>
      </c>
      <c r="AE101" s="13">
        <f>VLOOKUP(A:A,[1]TDSheet!$A:$AE,31,0)</f>
        <v>133.4</v>
      </c>
      <c r="AF101" s="13">
        <f>VLOOKUP(A:A,[1]TDSheet!$A:$AF,32,0)</f>
        <v>102.8</v>
      </c>
      <c r="AG101" s="13">
        <f>VLOOKUP(A:A,[1]TDSheet!$A:$AG,33,0)</f>
        <v>85.4</v>
      </c>
      <c r="AH101" s="13">
        <f>VLOOKUP(A:A,[3]TDSheet!$A:$D,4,0)</f>
        <v>68</v>
      </c>
      <c r="AI101" s="13" t="str">
        <f>VLOOKUP(A:A,[1]TDSheet!$A:$AI,35,0)</f>
        <v>Ларин</v>
      </c>
      <c r="AJ101" s="13">
        <f t="shared" si="19"/>
        <v>7.0000000000000009</v>
      </c>
      <c r="AK101" s="13"/>
      <c r="AL101" s="13"/>
      <c r="AM101" s="13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73</v>
      </c>
      <c r="D102" s="8">
        <v>259</v>
      </c>
      <c r="E102" s="8">
        <v>260</v>
      </c>
      <c r="F102" s="8">
        <v>68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293</v>
      </c>
      <c r="K102" s="13">
        <f t="shared" si="15"/>
        <v>-33</v>
      </c>
      <c r="L102" s="13">
        <f>VLOOKUP(A:A,[1]TDSheet!$A:$V,22,0)</f>
        <v>150</v>
      </c>
      <c r="M102" s="13">
        <f>VLOOKUP(A:A,[1]TDSheet!$A:$X,24,0)</f>
        <v>80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>
        <f t="shared" si="16"/>
        <v>52</v>
      </c>
      <c r="X102" s="16">
        <v>100</v>
      </c>
      <c r="Y102" s="19">
        <f t="shared" si="17"/>
        <v>7.6538461538461542</v>
      </c>
      <c r="Z102" s="13">
        <f t="shared" si="18"/>
        <v>1.3076923076923077</v>
      </c>
      <c r="AA102" s="13"/>
      <c r="AB102" s="13"/>
      <c r="AC102" s="13">
        <f>VLOOKUP(A:A,[1]TDSheet!$A:$AC,29,0)</f>
        <v>0</v>
      </c>
      <c r="AD102" s="13">
        <f>VLOOKUP(A:A,[1]TDSheet!$A:$AD,30,0)</f>
        <v>52.6</v>
      </c>
      <c r="AE102" s="13">
        <f>VLOOKUP(A:A,[1]TDSheet!$A:$AE,31,0)</f>
        <v>48.2</v>
      </c>
      <c r="AF102" s="13">
        <f>VLOOKUP(A:A,[1]TDSheet!$A:$AF,32,0)</f>
        <v>59.8</v>
      </c>
      <c r="AG102" s="13">
        <f>VLOOKUP(A:A,[1]TDSheet!$A:$AG,33,0)</f>
        <v>52</v>
      </c>
      <c r="AH102" s="13">
        <f>VLOOKUP(A:A,[3]TDSheet!$A:$D,4,0)</f>
        <v>64</v>
      </c>
      <c r="AI102" s="13">
        <f>VLOOKUP(A:A,[1]TDSheet!$A:$AI,35,0)</f>
        <v>0</v>
      </c>
      <c r="AJ102" s="13">
        <f t="shared" si="19"/>
        <v>7.0000000000000009</v>
      </c>
      <c r="AK102" s="13"/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491</v>
      </c>
      <c r="D103" s="8">
        <v>493</v>
      </c>
      <c r="E103" s="8">
        <v>499</v>
      </c>
      <c r="F103" s="8">
        <v>478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508</v>
      </c>
      <c r="K103" s="13">
        <f t="shared" si="15"/>
        <v>-9</v>
      </c>
      <c r="L103" s="13">
        <f>VLOOKUP(A:A,[1]TDSheet!$A:$V,22,0)</f>
        <v>100</v>
      </c>
      <c r="M103" s="13">
        <f>VLOOKUP(A:A,[1]TDSheet!$A:$X,24,0)</f>
        <v>150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>
        <f t="shared" si="16"/>
        <v>99.8</v>
      </c>
      <c r="X103" s="16">
        <v>100</v>
      </c>
      <c r="Y103" s="19">
        <f t="shared" si="17"/>
        <v>8.2965931863727462</v>
      </c>
      <c r="Z103" s="13">
        <f t="shared" si="18"/>
        <v>4.7895791583166334</v>
      </c>
      <c r="AA103" s="13"/>
      <c r="AB103" s="13"/>
      <c r="AC103" s="13">
        <f>VLOOKUP(A:A,[1]TDSheet!$A:$AC,29,0)</f>
        <v>0</v>
      </c>
      <c r="AD103" s="13">
        <f>VLOOKUP(A:A,[1]TDSheet!$A:$AD,30,0)</f>
        <v>104.4</v>
      </c>
      <c r="AE103" s="13">
        <f>VLOOKUP(A:A,[1]TDSheet!$A:$AE,31,0)</f>
        <v>102.6</v>
      </c>
      <c r="AF103" s="13">
        <f>VLOOKUP(A:A,[1]TDSheet!$A:$AF,32,0)</f>
        <v>120.2</v>
      </c>
      <c r="AG103" s="13">
        <f>VLOOKUP(A:A,[1]TDSheet!$A:$AG,33,0)</f>
        <v>88.6</v>
      </c>
      <c r="AH103" s="13">
        <f>VLOOKUP(A:A,[3]TDSheet!$A:$D,4,0)</f>
        <v>83</v>
      </c>
      <c r="AI103" s="13" t="str">
        <f>VLOOKUP(A:A,[1]TDSheet!$A:$AI,35,0)</f>
        <v>Ларин</v>
      </c>
      <c r="AJ103" s="13">
        <f t="shared" si="19"/>
        <v>7.0000000000000009</v>
      </c>
      <c r="AK103" s="13"/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724</v>
      </c>
      <c r="D104" s="8">
        <v>658</v>
      </c>
      <c r="E104" s="8">
        <v>664</v>
      </c>
      <c r="F104" s="8">
        <v>691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695</v>
      </c>
      <c r="K104" s="13">
        <f t="shared" si="15"/>
        <v>-31</v>
      </c>
      <c r="L104" s="13">
        <f>VLOOKUP(A:A,[1]TDSheet!$A:$V,22,0)</f>
        <v>100</v>
      </c>
      <c r="M104" s="13">
        <f>VLOOKUP(A:A,[1]TDSheet!$A:$X,24,0)</f>
        <v>150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>
        <f t="shared" si="16"/>
        <v>132.80000000000001</v>
      </c>
      <c r="X104" s="16">
        <v>150</v>
      </c>
      <c r="Y104" s="19">
        <f t="shared" si="17"/>
        <v>8.215361445783131</v>
      </c>
      <c r="Z104" s="13">
        <f t="shared" si="18"/>
        <v>5.2033132530120474</v>
      </c>
      <c r="AA104" s="13"/>
      <c r="AB104" s="13"/>
      <c r="AC104" s="13">
        <f>VLOOKUP(A:A,[1]TDSheet!$A:$AC,29,0)</f>
        <v>0</v>
      </c>
      <c r="AD104" s="13">
        <f>VLOOKUP(A:A,[1]TDSheet!$A:$AD,30,0)</f>
        <v>137.6</v>
      </c>
      <c r="AE104" s="13">
        <f>VLOOKUP(A:A,[1]TDSheet!$A:$AE,31,0)</f>
        <v>135</v>
      </c>
      <c r="AF104" s="13">
        <f>VLOOKUP(A:A,[1]TDSheet!$A:$AF,32,0)</f>
        <v>158.19999999999999</v>
      </c>
      <c r="AG104" s="13">
        <f>VLOOKUP(A:A,[1]TDSheet!$A:$AG,33,0)</f>
        <v>122.2</v>
      </c>
      <c r="AH104" s="13">
        <f>VLOOKUP(A:A,[3]TDSheet!$A:$D,4,0)</f>
        <v>103</v>
      </c>
      <c r="AI104" s="13" t="str">
        <f>VLOOKUP(A:A,[1]TDSheet!$A:$AI,35,0)</f>
        <v>Ларин</v>
      </c>
      <c r="AJ104" s="13">
        <f t="shared" si="19"/>
        <v>10.500000000000002</v>
      </c>
      <c r="AK104" s="13"/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314</v>
      </c>
      <c r="D105" s="8">
        <v>339</v>
      </c>
      <c r="E105" s="8">
        <v>358</v>
      </c>
      <c r="F105" s="8">
        <v>287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369</v>
      </c>
      <c r="K105" s="13">
        <f t="shared" si="15"/>
        <v>-11</v>
      </c>
      <c r="L105" s="13">
        <f>VLOOKUP(A:A,[1]TDSheet!$A:$V,22,0)</f>
        <v>50</v>
      </c>
      <c r="M105" s="13">
        <f>VLOOKUP(A:A,[1]TDSheet!$A:$X,24,0)</f>
        <v>100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>
        <f t="shared" si="16"/>
        <v>71.599999999999994</v>
      </c>
      <c r="X105" s="16">
        <v>100</v>
      </c>
      <c r="Y105" s="19">
        <f t="shared" si="17"/>
        <v>7.5000000000000009</v>
      </c>
      <c r="Z105" s="13">
        <f t="shared" si="18"/>
        <v>4.0083798882681565</v>
      </c>
      <c r="AA105" s="13"/>
      <c r="AB105" s="13"/>
      <c r="AC105" s="13">
        <f>VLOOKUP(A:A,[1]TDSheet!$A:$AC,29,0)</f>
        <v>0</v>
      </c>
      <c r="AD105" s="13">
        <f>VLOOKUP(A:A,[1]TDSheet!$A:$AD,30,0)</f>
        <v>58.4</v>
      </c>
      <c r="AE105" s="13">
        <f>VLOOKUP(A:A,[1]TDSheet!$A:$AE,31,0)</f>
        <v>48.4</v>
      </c>
      <c r="AF105" s="13">
        <f>VLOOKUP(A:A,[1]TDSheet!$A:$AF,32,0)</f>
        <v>77.599999999999994</v>
      </c>
      <c r="AG105" s="13">
        <f>VLOOKUP(A:A,[1]TDSheet!$A:$AG,33,0)</f>
        <v>58.6</v>
      </c>
      <c r="AH105" s="13">
        <f>VLOOKUP(A:A,[3]TDSheet!$A:$D,4,0)</f>
        <v>77</v>
      </c>
      <c r="AI105" s="13">
        <f>VLOOKUP(A:A,[1]TDSheet!$A:$AI,35,0)</f>
        <v>0</v>
      </c>
      <c r="AJ105" s="13">
        <f t="shared" si="19"/>
        <v>7.0000000000000009</v>
      </c>
      <c r="AK105" s="13"/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305</v>
      </c>
      <c r="D106" s="8">
        <v>208</v>
      </c>
      <c r="E106" s="8">
        <v>267</v>
      </c>
      <c r="F106" s="8">
        <v>235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3">
        <f>VLOOKUP(A:A,[2]TDSheet!$A:$F,6,0)</f>
        <v>278</v>
      </c>
      <c r="K106" s="13">
        <f t="shared" si="15"/>
        <v>-11</v>
      </c>
      <c r="L106" s="13">
        <f>VLOOKUP(A:A,[1]TDSheet!$A:$V,22,0)</f>
        <v>50</v>
      </c>
      <c r="M106" s="13">
        <f>VLOOKUP(A:A,[1]TDSheet!$A:$X,24,0)</f>
        <v>100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>
        <f t="shared" si="16"/>
        <v>53.4</v>
      </c>
      <c r="X106" s="16">
        <v>50</v>
      </c>
      <c r="Y106" s="19">
        <f t="shared" si="17"/>
        <v>8.1460674157303377</v>
      </c>
      <c r="Z106" s="13">
        <f t="shared" si="18"/>
        <v>4.4007490636704123</v>
      </c>
      <c r="AA106" s="13"/>
      <c r="AB106" s="13"/>
      <c r="AC106" s="13">
        <f>VLOOKUP(A:A,[1]TDSheet!$A:$AC,29,0)</f>
        <v>0</v>
      </c>
      <c r="AD106" s="13">
        <f>VLOOKUP(A:A,[1]TDSheet!$A:$AD,30,0)</f>
        <v>39</v>
      </c>
      <c r="AE106" s="13">
        <f>VLOOKUP(A:A,[1]TDSheet!$A:$AE,31,0)</f>
        <v>29.2</v>
      </c>
      <c r="AF106" s="13">
        <f>VLOOKUP(A:A,[1]TDSheet!$A:$AF,32,0)</f>
        <v>46.4</v>
      </c>
      <c r="AG106" s="13">
        <f>VLOOKUP(A:A,[1]TDSheet!$A:$AG,33,0)</f>
        <v>43.2</v>
      </c>
      <c r="AH106" s="13">
        <f>VLOOKUP(A:A,[3]TDSheet!$A:$D,4,0)</f>
        <v>63</v>
      </c>
      <c r="AI106" s="13">
        <f>VLOOKUP(A:A,[1]TDSheet!$A:$AI,35,0)</f>
        <v>0</v>
      </c>
      <c r="AJ106" s="13">
        <f t="shared" si="19"/>
        <v>2.75</v>
      </c>
      <c r="AK106" s="13"/>
      <c r="AL106" s="13"/>
      <c r="AM106" s="13"/>
    </row>
    <row r="107" spans="1:39" s="1" customFormat="1" ht="11.1" customHeight="1" outlineLevel="1" x14ac:dyDescent="0.2">
      <c r="A107" s="21" t="s">
        <v>109</v>
      </c>
      <c r="B107" s="7" t="s">
        <v>12</v>
      </c>
      <c r="C107" s="8">
        <v>61</v>
      </c>
      <c r="D107" s="8"/>
      <c r="E107" s="8">
        <v>6</v>
      </c>
      <c r="F107" s="8">
        <v>55</v>
      </c>
      <c r="G107" s="1" t="str">
        <f>VLOOKUP(A:A,[1]TDSheet!$A:$G,7,0)</f>
        <v>нов0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6</v>
      </c>
      <c r="K107" s="13">
        <f t="shared" si="15"/>
        <v>0</v>
      </c>
      <c r="L107" s="13">
        <f>VLOOKUP(A:A,[1]TDSheet!$A:$V,22,0)</f>
        <v>0</v>
      </c>
      <c r="M107" s="13">
        <f>VLOOKUP(A:A,[1]TDSheet!$A:$X,24,0)</f>
        <v>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>
        <f t="shared" si="16"/>
        <v>1.2</v>
      </c>
      <c r="X107" s="16"/>
      <c r="Y107" s="19">
        <f t="shared" si="17"/>
        <v>45.833333333333336</v>
      </c>
      <c r="Z107" s="13">
        <f t="shared" si="18"/>
        <v>45.833333333333336</v>
      </c>
      <c r="AA107" s="13"/>
      <c r="AB107" s="13"/>
      <c r="AC107" s="13">
        <f>VLOOKUP(A:A,[1]TDSheet!$A:$AC,29,0)</f>
        <v>0</v>
      </c>
      <c r="AD107" s="13">
        <f>VLOOKUP(A:A,[1]TDSheet!$A:$AD,30,0)</f>
        <v>7.8</v>
      </c>
      <c r="AE107" s="13">
        <f>VLOOKUP(A:A,[1]TDSheet!$A:$AE,31,0)</f>
        <v>8.6</v>
      </c>
      <c r="AF107" s="13">
        <f>VLOOKUP(A:A,[1]TDSheet!$A:$AF,32,0)</f>
        <v>0</v>
      </c>
      <c r="AG107" s="13">
        <f>VLOOKUP(A:A,[1]TDSheet!$A:$AG,33,0)</f>
        <v>3.4</v>
      </c>
      <c r="AH107" s="13">
        <f>VLOOKUP(A:A,[3]TDSheet!$A:$D,4,0)</f>
        <v>3</v>
      </c>
      <c r="AI107" s="18" t="str">
        <f>VLOOKUP(A:A,[1]TDSheet!$A:$AI,35,0)</f>
        <v>увел</v>
      </c>
      <c r="AJ107" s="13">
        <f t="shared" si="19"/>
        <v>0</v>
      </c>
      <c r="AK107" s="13"/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170</v>
      </c>
      <c r="D108" s="8">
        <v>84</v>
      </c>
      <c r="E108" s="8">
        <v>102</v>
      </c>
      <c r="F108" s="8">
        <v>152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103</v>
      </c>
      <c r="K108" s="13">
        <f t="shared" si="15"/>
        <v>-1</v>
      </c>
      <c r="L108" s="13">
        <f>VLOOKUP(A:A,[1]TDSheet!$A:$V,22,0)</f>
        <v>0</v>
      </c>
      <c r="M108" s="13">
        <f>VLOOKUP(A:A,[1]TDSheet!$A:$X,24,0)</f>
        <v>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>
        <f t="shared" si="16"/>
        <v>20.399999999999999</v>
      </c>
      <c r="X108" s="16"/>
      <c r="Y108" s="19">
        <f t="shared" si="17"/>
        <v>7.4509803921568629</v>
      </c>
      <c r="Z108" s="13">
        <f t="shared" si="18"/>
        <v>7.4509803921568629</v>
      </c>
      <c r="AA108" s="13"/>
      <c r="AB108" s="13"/>
      <c r="AC108" s="13">
        <f>VLOOKUP(A:A,[1]TDSheet!$A:$AC,29,0)</f>
        <v>0</v>
      </c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32.6</v>
      </c>
      <c r="AG108" s="13">
        <f>VLOOKUP(A:A,[1]TDSheet!$A:$AG,33,0)</f>
        <v>16.8</v>
      </c>
      <c r="AH108" s="13">
        <f>VLOOKUP(A:A,[3]TDSheet!$A:$D,4,0)</f>
        <v>27</v>
      </c>
      <c r="AI108" s="13" t="str">
        <f>VLOOKUP(A:A,[1]TDSheet!$A:$AI,35,0)</f>
        <v>увел</v>
      </c>
      <c r="AJ108" s="13">
        <f t="shared" si="19"/>
        <v>0</v>
      </c>
      <c r="AK108" s="13"/>
      <c r="AL108" s="13"/>
      <c r="AM108" s="13"/>
    </row>
    <row r="109" spans="1:39" s="1" customFormat="1" ht="11.1" customHeight="1" outlineLevel="1" x14ac:dyDescent="0.2">
      <c r="A109" s="7" t="s">
        <v>112</v>
      </c>
      <c r="B109" s="7" t="s">
        <v>8</v>
      </c>
      <c r="C109" s="8">
        <v>756.08500000000004</v>
      </c>
      <c r="D109" s="8">
        <v>3048.998</v>
      </c>
      <c r="E109" s="8">
        <v>1241.6179999999999</v>
      </c>
      <c r="F109" s="8">
        <v>2560.9479999999999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3">
        <f>VLOOKUP(A:A,[2]TDSheet!$A:$F,6,0)</f>
        <v>1258.04</v>
      </c>
      <c r="K109" s="13">
        <f t="shared" si="15"/>
        <v>-16.422000000000025</v>
      </c>
      <c r="L109" s="13">
        <f>VLOOKUP(A:A,[1]TDSheet!$A:$V,22,0)</f>
        <v>200</v>
      </c>
      <c r="M109" s="13">
        <f>VLOOKUP(A:A,[1]TDSheet!$A:$X,24,0)</f>
        <v>200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>
        <f t="shared" si="16"/>
        <v>248.3236</v>
      </c>
      <c r="X109" s="16">
        <v>250</v>
      </c>
      <c r="Y109" s="19">
        <f t="shared" si="17"/>
        <v>12.930498752434323</v>
      </c>
      <c r="Z109" s="13">
        <f t="shared" si="18"/>
        <v>10.312946494010234</v>
      </c>
      <c r="AA109" s="13"/>
      <c r="AB109" s="13"/>
      <c r="AC109" s="13">
        <f>VLOOKUP(A:A,[1]TDSheet!$A:$AC,29,0)</f>
        <v>0</v>
      </c>
      <c r="AD109" s="13">
        <f>VLOOKUP(A:A,[1]TDSheet!$A:$AD,30,0)</f>
        <v>431.96559999999999</v>
      </c>
      <c r="AE109" s="13">
        <f>VLOOKUP(A:A,[1]TDSheet!$A:$AE,31,0)</f>
        <v>463.44719999999995</v>
      </c>
      <c r="AF109" s="13">
        <f>VLOOKUP(A:A,[1]TDSheet!$A:$AF,32,0)</f>
        <v>417.33920000000001</v>
      </c>
      <c r="AG109" s="13">
        <f>VLOOKUP(A:A,[1]TDSheet!$A:$AG,33,0)</f>
        <v>347</v>
      </c>
      <c r="AH109" s="13">
        <f>VLOOKUP(A:A,[3]TDSheet!$A:$D,4,0)</f>
        <v>270.08499999999998</v>
      </c>
      <c r="AI109" s="13" t="e">
        <f>VLOOKUP(A:A,[1]TDSheet!$A:$AI,35,0)</f>
        <v>#N/A</v>
      </c>
      <c r="AJ109" s="13">
        <f t="shared" si="19"/>
        <v>250</v>
      </c>
      <c r="AK109" s="13"/>
      <c r="AL109" s="13"/>
      <c r="AM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2025-11-20T08:41:21Z</dcterms:modified>
</cp:coreProperties>
</file>