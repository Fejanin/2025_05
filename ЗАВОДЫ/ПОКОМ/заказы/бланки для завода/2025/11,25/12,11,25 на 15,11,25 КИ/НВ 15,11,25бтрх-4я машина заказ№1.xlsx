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E8F5A37-9172-4BE2-B302-42BCEA2FCF5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Z422" i="1" s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W498" i="1" s="1"/>
  <c r="P414" i="1"/>
  <c r="X411" i="1"/>
  <c r="X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0" i="1"/>
  <c r="X379" i="1"/>
  <c r="BO378" i="1"/>
  <c r="BM378" i="1"/>
  <c r="Y378" i="1"/>
  <c r="P378" i="1"/>
  <c r="BO377" i="1"/>
  <c r="BM377" i="1"/>
  <c r="Y377" i="1"/>
  <c r="Y379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Y354" i="1" s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O296" i="1"/>
  <c r="BM296" i="1"/>
  <c r="Y296" i="1"/>
  <c r="P296" i="1"/>
  <c r="X294" i="1"/>
  <c r="X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O279" i="1"/>
  <c r="BM279" i="1"/>
  <c r="Y279" i="1"/>
  <c r="P279" i="1"/>
  <c r="BO278" i="1"/>
  <c r="BM278" i="1"/>
  <c r="Y278" i="1"/>
  <c r="P498" i="1" s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Z174" i="1" s="1"/>
  <c r="P174" i="1"/>
  <c r="X172" i="1"/>
  <c r="X171" i="1"/>
  <c r="BO170" i="1"/>
  <c r="BM170" i="1"/>
  <c r="Y170" i="1"/>
  <c r="BP170" i="1" s="1"/>
  <c r="P170" i="1"/>
  <c r="BO169" i="1"/>
  <c r="BN169" i="1"/>
  <c r="BM169" i="1"/>
  <c r="Z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BO91" i="1"/>
  <c r="BN91" i="1"/>
  <c r="BM91" i="1"/>
  <c r="Z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8" i="1" s="1"/>
  <c r="X23" i="1"/>
  <c r="BO22" i="1"/>
  <c r="X490" i="1" s="1"/>
  <c r="BM22" i="1"/>
  <c r="Y22" i="1"/>
  <c r="B498" i="1" s="1"/>
  <c r="P22" i="1"/>
  <c r="H10" i="1"/>
  <c r="A9" i="1"/>
  <c r="A10" i="1" s="1"/>
  <c r="D7" i="1"/>
  <c r="Q6" i="1"/>
  <c r="P2" i="1"/>
  <c r="BP108" i="1" l="1"/>
  <c r="BN108" i="1"/>
  <c r="Z108" i="1"/>
  <c r="BP146" i="1"/>
  <c r="BN146" i="1"/>
  <c r="Z146" i="1"/>
  <c r="BP190" i="1"/>
  <c r="BN190" i="1"/>
  <c r="Z190" i="1"/>
  <c r="BP212" i="1"/>
  <c r="BN212" i="1"/>
  <c r="Z212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72" i="1"/>
  <c r="BN272" i="1"/>
  <c r="Z272" i="1"/>
  <c r="BP302" i="1"/>
  <c r="BN302" i="1"/>
  <c r="Z302" i="1"/>
  <c r="BP327" i="1"/>
  <c r="BN327" i="1"/>
  <c r="Z327" i="1"/>
  <c r="BP347" i="1"/>
  <c r="BN347" i="1"/>
  <c r="Z347" i="1"/>
  <c r="BP388" i="1"/>
  <c r="BN388" i="1"/>
  <c r="Z388" i="1"/>
  <c r="BP423" i="1"/>
  <c r="BN423" i="1"/>
  <c r="Z423" i="1"/>
  <c r="BP449" i="1"/>
  <c r="BN449" i="1"/>
  <c r="Z449" i="1"/>
  <c r="Z29" i="1"/>
  <c r="BN29" i="1"/>
  <c r="Z56" i="1"/>
  <c r="BN56" i="1"/>
  <c r="Z68" i="1"/>
  <c r="BN68" i="1"/>
  <c r="Y76" i="1"/>
  <c r="Z85" i="1"/>
  <c r="BN85" i="1"/>
  <c r="Y88" i="1"/>
  <c r="BP129" i="1"/>
  <c r="BN129" i="1"/>
  <c r="Z129" i="1"/>
  <c r="BP165" i="1"/>
  <c r="BN165" i="1"/>
  <c r="Z165" i="1"/>
  <c r="BP202" i="1"/>
  <c r="BN202" i="1"/>
  <c r="Z202" i="1"/>
  <c r="BP227" i="1"/>
  <c r="BN227" i="1"/>
  <c r="Z227" i="1"/>
  <c r="BP256" i="1"/>
  <c r="BN256" i="1"/>
  <c r="Z256" i="1"/>
  <c r="BP292" i="1"/>
  <c r="BN292" i="1"/>
  <c r="Z292" i="1"/>
  <c r="BP314" i="1"/>
  <c r="BN314" i="1"/>
  <c r="Z314" i="1"/>
  <c r="BP342" i="1"/>
  <c r="BN342" i="1"/>
  <c r="Z342" i="1"/>
  <c r="BP372" i="1"/>
  <c r="BN372" i="1"/>
  <c r="Z372" i="1"/>
  <c r="BP407" i="1"/>
  <c r="BN407" i="1"/>
  <c r="Z407" i="1"/>
  <c r="BP435" i="1"/>
  <c r="BN435" i="1"/>
  <c r="Z435" i="1"/>
  <c r="BP465" i="1"/>
  <c r="BN465" i="1"/>
  <c r="Z465" i="1"/>
  <c r="Y96" i="1"/>
  <c r="Y132" i="1"/>
  <c r="Y149" i="1"/>
  <c r="Y452" i="1"/>
  <c r="X489" i="1"/>
  <c r="X491" i="1" s="1"/>
  <c r="X492" i="1"/>
  <c r="Z27" i="1"/>
  <c r="BN27" i="1"/>
  <c r="Z41" i="1"/>
  <c r="BN41" i="1"/>
  <c r="D498" i="1"/>
  <c r="Z54" i="1"/>
  <c r="BN54" i="1"/>
  <c r="Z60" i="1"/>
  <c r="BN60" i="1"/>
  <c r="BP60" i="1"/>
  <c r="Y63" i="1"/>
  <c r="Z66" i="1"/>
  <c r="BN66" i="1"/>
  <c r="BP66" i="1"/>
  <c r="Y69" i="1"/>
  <c r="Z72" i="1"/>
  <c r="BN72" i="1"/>
  <c r="BP72" i="1"/>
  <c r="Y77" i="1"/>
  <c r="Z80" i="1"/>
  <c r="BN80" i="1"/>
  <c r="Z87" i="1"/>
  <c r="BN87" i="1"/>
  <c r="Y95" i="1"/>
  <c r="Z93" i="1"/>
  <c r="BN93" i="1"/>
  <c r="F498" i="1"/>
  <c r="Z102" i="1"/>
  <c r="BN102" i="1"/>
  <c r="Y110" i="1"/>
  <c r="BP106" i="1"/>
  <c r="BN106" i="1"/>
  <c r="Z106" i="1"/>
  <c r="G498" i="1"/>
  <c r="BP125" i="1"/>
  <c r="BN125" i="1"/>
  <c r="Z125" i="1"/>
  <c r="BP142" i="1"/>
  <c r="BN142" i="1"/>
  <c r="Z142" i="1"/>
  <c r="I498" i="1"/>
  <c r="Y172" i="1"/>
  <c r="BP163" i="1"/>
  <c r="BN163" i="1"/>
  <c r="Z163" i="1"/>
  <c r="BP186" i="1"/>
  <c r="BN186" i="1"/>
  <c r="Z186" i="1"/>
  <c r="BP200" i="1"/>
  <c r="BN200" i="1"/>
  <c r="Z200" i="1"/>
  <c r="BP210" i="1"/>
  <c r="BN210" i="1"/>
  <c r="Z210" i="1"/>
  <c r="K498" i="1"/>
  <c r="BP225" i="1"/>
  <c r="BN225" i="1"/>
  <c r="Z225" i="1"/>
  <c r="BP233" i="1"/>
  <c r="BN233" i="1"/>
  <c r="Z233" i="1"/>
  <c r="BP254" i="1"/>
  <c r="BN254" i="1"/>
  <c r="Z254" i="1"/>
  <c r="BP265" i="1"/>
  <c r="BN265" i="1"/>
  <c r="Z265" i="1"/>
  <c r="BP290" i="1"/>
  <c r="BN290" i="1"/>
  <c r="Z290" i="1"/>
  <c r="BP300" i="1"/>
  <c r="BN300" i="1"/>
  <c r="Z300" i="1"/>
  <c r="Y116" i="1"/>
  <c r="BP112" i="1"/>
  <c r="BN112" i="1"/>
  <c r="Z112" i="1"/>
  <c r="BP135" i="1"/>
  <c r="BN135" i="1"/>
  <c r="Z135" i="1"/>
  <c r="BP148" i="1"/>
  <c r="BN148" i="1"/>
  <c r="Z148" i="1"/>
  <c r="BP167" i="1"/>
  <c r="BN167" i="1"/>
  <c r="Z167" i="1"/>
  <c r="BP196" i="1"/>
  <c r="BN196" i="1"/>
  <c r="Z196" i="1"/>
  <c r="Y216" i="1"/>
  <c r="BP206" i="1"/>
  <c r="BN206" i="1"/>
  <c r="Z206" i="1"/>
  <c r="BP214" i="1"/>
  <c r="BN214" i="1"/>
  <c r="Z214" i="1"/>
  <c r="BP229" i="1"/>
  <c r="BN229" i="1"/>
  <c r="Z229" i="1"/>
  <c r="BP247" i="1"/>
  <c r="BN247" i="1"/>
  <c r="Z247" i="1"/>
  <c r="BP258" i="1"/>
  <c r="BN258" i="1"/>
  <c r="Z258" i="1"/>
  <c r="BP279" i="1"/>
  <c r="BN279" i="1"/>
  <c r="Z279" i="1"/>
  <c r="Y304" i="1"/>
  <c r="BP296" i="1"/>
  <c r="BN296" i="1"/>
  <c r="Z296" i="1"/>
  <c r="Y312" i="1"/>
  <c r="BP306" i="1"/>
  <c r="BN306" i="1"/>
  <c r="Z306" i="1"/>
  <c r="BP316" i="1"/>
  <c r="BN316" i="1"/>
  <c r="Z316" i="1"/>
  <c r="BP329" i="1"/>
  <c r="BN329" i="1"/>
  <c r="Z329" i="1"/>
  <c r="BP344" i="1"/>
  <c r="BN344" i="1"/>
  <c r="Z344" i="1"/>
  <c r="BP353" i="1"/>
  <c r="BN353" i="1"/>
  <c r="Z353" i="1"/>
  <c r="BP378" i="1"/>
  <c r="BN378" i="1"/>
  <c r="Z378" i="1"/>
  <c r="BP390" i="1"/>
  <c r="BN390" i="1"/>
  <c r="Z390" i="1"/>
  <c r="BP409" i="1"/>
  <c r="BN409" i="1"/>
  <c r="Z409" i="1"/>
  <c r="BP425" i="1"/>
  <c r="BN425" i="1"/>
  <c r="Z425" i="1"/>
  <c r="Y109" i="1"/>
  <c r="Y117" i="1"/>
  <c r="Y131" i="1"/>
  <c r="Y150" i="1"/>
  <c r="Y192" i="1"/>
  <c r="Y220" i="1"/>
  <c r="Y251" i="1"/>
  <c r="O498" i="1"/>
  <c r="Y293" i="1"/>
  <c r="BP310" i="1"/>
  <c r="BN310" i="1"/>
  <c r="Z310" i="1"/>
  <c r="BP323" i="1"/>
  <c r="BN323" i="1"/>
  <c r="Z323" i="1"/>
  <c r="BP336" i="1"/>
  <c r="BN336" i="1"/>
  <c r="Z336" i="1"/>
  <c r="BP345" i="1"/>
  <c r="BN345" i="1"/>
  <c r="Z345" i="1"/>
  <c r="BP368" i="1"/>
  <c r="BN368" i="1"/>
  <c r="Z368" i="1"/>
  <c r="BP386" i="1"/>
  <c r="BN386" i="1"/>
  <c r="Z386" i="1"/>
  <c r="Y398" i="1"/>
  <c r="BP396" i="1"/>
  <c r="BN396" i="1"/>
  <c r="Z396" i="1"/>
  <c r="BP429" i="1"/>
  <c r="BN429" i="1"/>
  <c r="Z429" i="1"/>
  <c r="BP445" i="1"/>
  <c r="BN445" i="1"/>
  <c r="Z445" i="1"/>
  <c r="BP459" i="1"/>
  <c r="BN459" i="1"/>
  <c r="Z459" i="1"/>
  <c r="BP441" i="1"/>
  <c r="BN441" i="1"/>
  <c r="Z441" i="1"/>
  <c r="BP451" i="1"/>
  <c r="BN451" i="1"/>
  <c r="Z451" i="1"/>
  <c r="BP471" i="1"/>
  <c r="BN471" i="1"/>
  <c r="Z471" i="1"/>
  <c r="Y477" i="1"/>
  <c r="Y476" i="1"/>
  <c r="BP475" i="1"/>
  <c r="BN475" i="1"/>
  <c r="Z475" i="1"/>
  <c r="Z476" i="1" s="1"/>
  <c r="BP479" i="1"/>
  <c r="BN479" i="1"/>
  <c r="Z479" i="1"/>
  <c r="Y318" i="1"/>
  <c r="Y325" i="1"/>
  <c r="Y331" i="1"/>
  <c r="Y337" i="1"/>
  <c r="Y359" i="1"/>
  <c r="Y374" i="1"/>
  <c r="Y461" i="1"/>
  <c r="Y468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BN61" i="1"/>
  <c r="BP61" i="1"/>
  <c r="Z67" i="1"/>
  <c r="Z69" i="1" s="1"/>
  <c r="BN67" i="1"/>
  <c r="BP67" i="1"/>
  <c r="Z73" i="1"/>
  <c r="BN73" i="1"/>
  <c r="BP73" i="1"/>
  <c r="Z75" i="1"/>
  <c r="BN75" i="1"/>
  <c r="Z79" i="1"/>
  <c r="Z81" i="1" s="1"/>
  <c r="BN79" i="1"/>
  <c r="BP79" i="1"/>
  <c r="Y82" i="1"/>
  <c r="E498" i="1"/>
  <c r="Z86" i="1"/>
  <c r="BN86" i="1"/>
  <c r="BP86" i="1"/>
  <c r="Y89" i="1"/>
  <c r="Z92" i="1"/>
  <c r="BN92" i="1"/>
  <c r="BP92" i="1"/>
  <c r="Z94" i="1"/>
  <c r="BN94" i="1"/>
  <c r="Z99" i="1"/>
  <c r="BN99" i="1"/>
  <c r="BP99" i="1"/>
  <c r="Z101" i="1"/>
  <c r="BN101" i="1"/>
  <c r="Y104" i="1"/>
  <c r="Z107" i="1"/>
  <c r="Z109" i="1" s="1"/>
  <c r="BN107" i="1"/>
  <c r="BP107" i="1"/>
  <c r="Z113" i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BN134" i="1"/>
  <c r="BP134" i="1"/>
  <c r="Y137" i="1"/>
  <c r="H498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Y171" i="1"/>
  <c r="BP191" i="1"/>
  <c r="BN191" i="1"/>
  <c r="Z191" i="1"/>
  <c r="Z192" i="1" s="1"/>
  <c r="Y193" i="1"/>
  <c r="Y204" i="1"/>
  <c r="BP195" i="1"/>
  <c r="BN195" i="1"/>
  <c r="Z195" i="1"/>
  <c r="Y203" i="1"/>
  <c r="H9" i="1"/>
  <c r="Y24" i="1"/>
  <c r="Y44" i="1"/>
  <c r="Y57" i="1"/>
  <c r="Y103" i="1"/>
  <c r="Y126" i="1"/>
  <c r="Y160" i="1"/>
  <c r="Y177" i="1"/>
  <c r="BP174" i="1"/>
  <c r="BN174" i="1"/>
  <c r="BP176" i="1"/>
  <c r="BN176" i="1"/>
  <c r="Z176" i="1"/>
  <c r="Z177" i="1" s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Y215" i="1"/>
  <c r="Y221" i="1"/>
  <c r="Y234" i="1"/>
  <c r="Y250" i="1"/>
  <c r="Y259" i="1"/>
  <c r="Y268" i="1"/>
  <c r="Y275" i="1"/>
  <c r="Y280" i="1"/>
  <c r="Y303" i="1"/>
  <c r="Y311" i="1"/>
  <c r="Y317" i="1"/>
  <c r="Y324" i="1"/>
  <c r="Y330" i="1"/>
  <c r="BP346" i="1"/>
  <c r="BN346" i="1"/>
  <c r="Z346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Y410" i="1"/>
  <c r="BP421" i="1"/>
  <c r="BN421" i="1"/>
  <c r="Z421" i="1"/>
  <c r="Z197" i="1"/>
  <c r="BN197" i="1"/>
  <c r="Z199" i="1"/>
  <c r="BN199" i="1"/>
  <c r="Z201" i="1"/>
  <c r="BN201" i="1"/>
  <c r="Z207" i="1"/>
  <c r="BN207" i="1"/>
  <c r="Z209" i="1"/>
  <c r="BN209" i="1"/>
  <c r="Z211" i="1"/>
  <c r="BN211" i="1"/>
  <c r="Z213" i="1"/>
  <c r="BN213" i="1"/>
  <c r="Z219" i="1"/>
  <c r="Z220" i="1" s="1"/>
  <c r="BN219" i="1"/>
  <c r="Z224" i="1"/>
  <c r="BN224" i="1"/>
  <c r="BP224" i="1"/>
  <c r="Z226" i="1"/>
  <c r="BN226" i="1"/>
  <c r="Z228" i="1"/>
  <c r="BN228" i="1"/>
  <c r="Z230" i="1"/>
  <c r="BN230" i="1"/>
  <c r="Z232" i="1"/>
  <c r="BN232" i="1"/>
  <c r="Y235" i="1"/>
  <c r="Z246" i="1"/>
  <c r="BN246" i="1"/>
  <c r="Z248" i="1"/>
  <c r="BN248" i="1"/>
  <c r="L498" i="1"/>
  <c r="Z255" i="1"/>
  <c r="BN255" i="1"/>
  <c r="Z257" i="1"/>
  <c r="BN257" i="1"/>
  <c r="Y260" i="1"/>
  <c r="M498" i="1"/>
  <c r="Z264" i="1"/>
  <c r="BN264" i="1"/>
  <c r="Z266" i="1"/>
  <c r="BN266" i="1"/>
  <c r="Y267" i="1"/>
  <c r="Z271" i="1"/>
  <c r="BN271" i="1"/>
  <c r="BP271" i="1"/>
  <c r="Z273" i="1"/>
  <c r="BN273" i="1"/>
  <c r="Y274" i="1"/>
  <c r="Z278" i="1"/>
  <c r="BN278" i="1"/>
  <c r="BP278" i="1"/>
  <c r="Y281" i="1"/>
  <c r="Q498" i="1"/>
  <c r="Z289" i="1"/>
  <c r="BN289" i="1"/>
  <c r="Z291" i="1"/>
  <c r="BN291" i="1"/>
  <c r="Y294" i="1"/>
  <c r="Z297" i="1"/>
  <c r="BN297" i="1"/>
  <c r="Z299" i="1"/>
  <c r="BN299" i="1"/>
  <c r="Z301" i="1"/>
  <c r="BN301" i="1"/>
  <c r="Z307" i="1"/>
  <c r="BN307" i="1"/>
  <c r="Z309" i="1"/>
  <c r="BN309" i="1"/>
  <c r="Z315" i="1"/>
  <c r="Z317" i="1" s="1"/>
  <c r="BN315" i="1"/>
  <c r="Z322" i="1"/>
  <c r="Z324" i="1" s="1"/>
  <c r="BN322" i="1"/>
  <c r="Z328" i="1"/>
  <c r="BN328" i="1"/>
  <c r="R498" i="1"/>
  <c r="Y338" i="1"/>
  <c r="Z335" i="1"/>
  <c r="BN335" i="1"/>
  <c r="BP343" i="1"/>
  <c r="BN343" i="1"/>
  <c r="Z343" i="1"/>
  <c r="BP348" i="1"/>
  <c r="BN348" i="1"/>
  <c r="Z348" i="1"/>
  <c r="Y350" i="1"/>
  <c r="Y355" i="1"/>
  <c r="BP352" i="1"/>
  <c r="BN352" i="1"/>
  <c r="Z352" i="1"/>
  <c r="Y369" i="1"/>
  <c r="BP373" i="1"/>
  <c r="BN373" i="1"/>
  <c r="Z373" i="1"/>
  <c r="Z374" i="1" s="1"/>
  <c r="Y375" i="1"/>
  <c r="Y380" i="1"/>
  <c r="BP377" i="1"/>
  <c r="BN377" i="1"/>
  <c r="Z377" i="1"/>
  <c r="Z379" i="1" s="1"/>
  <c r="BP387" i="1"/>
  <c r="BN387" i="1"/>
  <c r="Z387" i="1"/>
  <c r="BP391" i="1"/>
  <c r="BN391" i="1"/>
  <c r="Z391" i="1"/>
  <c r="BP408" i="1"/>
  <c r="BN408" i="1"/>
  <c r="Z408" i="1"/>
  <c r="BP426" i="1"/>
  <c r="BN426" i="1"/>
  <c r="Z426" i="1"/>
  <c r="BP430" i="1"/>
  <c r="BN430" i="1"/>
  <c r="Z430" i="1"/>
  <c r="Y432" i="1"/>
  <c r="Y437" i="1"/>
  <c r="BP434" i="1"/>
  <c r="BN434" i="1"/>
  <c r="Z434" i="1"/>
  <c r="Y438" i="1"/>
  <c r="S498" i="1"/>
  <c r="Y349" i="1"/>
  <c r="U498" i="1"/>
  <c r="Y394" i="1"/>
  <c r="Y416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47" i="1"/>
  <c r="BP440" i="1"/>
  <c r="BN440" i="1"/>
  <c r="Z440" i="1"/>
  <c r="BP444" i="1"/>
  <c r="BN444" i="1"/>
  <c r="Z444" i="1"/>
  <c r="Y453" i="1"/>
  <c r="BP458" i="1"/>
  <c r="BN458" i="1"/>
  <c r="Z458" i="1"/>
  <c r="BP466" i="1"/>
  <c r="BN466" i="1"/>
  <c r="Z466" i="1"/>
  <c r="Y473" i="1"/>
  <c r="BP470" i="1"/>
  <c r="BN470" i="1"/>
  <c r="Z470" i="1"/>
  <c r="Z472" i="1" s="1"/>
  <c r="Y481" i="1"/>
  <c r="BP442" i="1"/>
  <c r="BN442" i="1"/>
  <c r="Z442" i="1"/>
  <c r="Y446" i="1"/>
  <c r="BP450" i="1"/>
  <c r="BN450" i="1"/>
  <c r="Z450" i="1"/>
  <c r="BP460" i="1"/>
  <c r="BN460" i="1"/>
  <c r="Z460" i="1"/>
  <c r="Y462" i="1"/>
  <c r="Y467" i="1"/>
  <c r="BP464" i="1"/>
  <c r="BN464" i="1"/>
  <c r="Z464" i="1"/>
  <c r="BP480" i="1"/>
  <c r="BN480" i="1"/>
  <c r="Z480" i="1"/>
  <c r="Z481" i="1" s="1"/>
  <c r="Y482" i="1"/>
  <c r="Y487" i="1"/>
  <c r="Y498" i="1"/>
  <c r="Z485" i="1"/>
  <c r="Z486" i="1" s="1"/>
  <c r="BN485" i="1"/>
  <c r="BP485" i="1"/>
  <c r="Y486" i="1"/>
  <c r="Z467" i="1" l="1"/>
  <c r="Z452" i="1"/>
  <c r="Z393" i="1"/>
  <c r="Z354" i="1"/>
  <c r="Z349" i="1"/>
  <c r="Z337" i="1"/>
  <c r="Z330" i="1"/>
  <c r="Z280" i="1"/>
  <c r="Z274" i="1"/>
  <c r="Z234" i="1"/>
  <c r="Z369" i="1"/>
  <c r="Z187" i="1"/>
  <c r="Z171" i="1"/>
  <c r="Z136" i="1"/>
  <c r="Z116" i="1"/>
  <c r="Z95" i="1"/>
  <c r="Z88" i="1"/>
  <c r="Z76" i="1"/>
  <c r="Z63" i="1"/>
  <c r="Z57" i="1"/>
  <c r="Z43" i="1"/>
  <c r="Z31" i="1"/>
  <c r="Z461" i="1"/>
  <c r="Z293" i="1"/>
  <c r="Z267" i="1"/>
  <c r="Z259" i="1"/>
  <c r="Z311" i="1"/>
  <c r="Z303" i="1"/>
  <c r="Z250" i="1"/>
  <c r="Z215" i="1"/>
  <c r="Z446" i="1"/>
  <c r="Z437" i="1"/>
  <c r="Z431" i="1"/>
  <c r="Z410" i="1"/>
  <c r="Y490" i="1"/>
  <c r="Y488" i="1"/>
  <c r="Z203" i="1"/>
  <c r="Z103" i="1"/>
  <c r="Y492" i="1"/>
  <c r="Y489" i="1"/>
  <c r="Y491" i="1" s="1"/>
  <c r="Z493" i="1" l="1"/>
</calcChain>
</file>

<file path=xl/sharedStrings.xml><?xml version="1.0" encoding="utf-8"?>
<sst xmlns="http://schemas.openxmlformats.org/spreadsheetml/2006/main" count="2272" uniqueCount="763">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</sst>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762</v>
      </c>
      <c r="I5" s="759"/>
      <c r="J5" s="759"/>
      <c r="K5" s="759"/>
      <c r="L5" s="759"/>
      <c r="M5" s="617"/>
      <c r="N5" s="58"/>
      <c r="P5" s="24" t="s">
        <v>10</v>
      </c>
      <c r="Q5" s="834">
        <v>45976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0.5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hidden="1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hidden="1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78</v>
      </c>
      <c r="Y91" s="540">
        <f>IFERROR(IF(X91="",0,CEILING((X91/$H91),1)*$H91),"")</f>
        <v>81</v>
      </c>
      <c r="Z91" s="36">
        <f>IFERROR(IF(Y91=0,"",ROUNDUP(Y91/H91,0)*0.01898),"")</f>
        <v>0.1898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82.757037037037037</v>
      </c>
      <c r="BN91" s="64">
        <f>IFERROR(Y91*I91/H91,"0")</f>
        <v>85.94</v>
      </c>
      <c r="BO91" s="64">
        <f>IFERROR(1/J91*(X91/H91),"0")</f>
        <v>0.15046296296296297</v>
      </c>
      <c r="BP91" s="64">
        <f>IFERROR(1/J91*(Y91/H91),"0")</f>
        <v>0.15625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9.6296296296296298</v>
      </c>
      <c r="Y95" s="541">
        <f>IFERROR(Y91/H91,"0")+IFERROR(Y92/H92,"0")+IFERROR(Y93/H93,"0")+IFERROR(Y94/H94,"0")</f>
        <v>10</v>
      </c>
      <c r="Z95" s="541">
        <f>IFERROR(IF(Z91="",0,Z91),"0")+IFERROR(IF(Z92="",0,Z92),"0")+IFERROR(IF(Z93="",0,Z93),"0")+IFERROR(IF(Z94="",0,Z94),"0")</f>
        <v>0.1898</v>
      </c>
      <c r="AA95" s="542"/>
      <c r="AB95" s="542"/>
      <c r="AC95" s="542"/>
    </row>
    <row r="96" spans="1:68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78</v>
      </c>
      <c r="Y96" s="541">
        <f>IFERROR(SUM(Y91:Y94),"0")</f>
        <v>81</v>
      </c>
      <c r="Z96" s="37"/>
      <c r="AA96" s="542"/>
      <c r="AB96" s="542"/>
      <c r="AC96" s="542"/>
    </row>
    <row r="97" spans="1:68" ht="16.5" hidden="1" customHeight="1" x14ac:dyDescent="0.25">
      <c r="A97" s="548" t="s">
        <v>190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hidden="1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105</v>
      </c>
      <c r="Y112" s="540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111.32592592592592</v>
      </c>
      <c r="BN112" s="64">
        <f>IFERROR(Y112*I112/H112,"0")</f>
        <v>111.64399999999999</v>
      </c>
      <c r="BO112" s="64">
        <f>IFERROR(1/J112*(X112/H112),"0")</f>
        <v>0.20254629629629631</v>
      </c>
      <c r="BP112" s="64">
        <f>IFERROR(1/J112*(Y112/H112),"0")</f>
        <v>0.203125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12.962962962962964</v>
      </c>
      <c r="Y116" s="541">
        <f>IFERROR(Y112/H112,"0")+IFERROR(Y113/H113,"0")+IFERROR(Y114/H114,"0")+IFERROR(Y115/H115,"0")</f>
        <v>13</v>
      </c>
      <c r="Z116" s="541">
        <f>IFERROR(IF(Z112="",0,Z112),"0")+IFERROR(IF(Z113="",0,Z113),"0")+IFERROR(IF(Z114="",0,Z114),"0")+IFERROR(IF(Z115="",0,Z115),"0")</f>
        <v>0.24674000000000001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105</v>
      </c>
      <c r="Y117" s="541">
        <f>IFERROR(SUM(Y112:Y115),"0")</f>
        <v>105.3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220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255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256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/>
      <c r="AK162" s="68">
        <v>0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0</v>
      </c>
      <c r="Y172" s="541">
        <f>IFERROR(SUM(Y162:Y170),"0")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294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48" t="s">
        <v>297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hidden="1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76</v>
      </c>
      <c r="Y211" s="540">
        <f t="shared" si="15"/>
        <v>76.8</v>
      </c>
      <c r="Z211" s="36">
        <f t="shared" si="20"/>
        <v>0.20832000000000001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83.980000000000018</v>
      </c>
      <c r="BN211" s="64">
        <f t="shared" si="17"/>
        <v>84.864000000000004</v>
      </c>
      <c r="BO211" s="64">
        <f t="shared" si="18"/>
        <v>0.17399267399267401</v>
      </c>
      <c r="BP211" s="64">
        <f t="shared" si="19"/>
        <v>0.17582417582417584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68</v>
      </c>
      <c r="Y212" s="540">
        <f t="shared" si="15"/>
        <v>69.599999999999994</v>
      </c>
      <c r="Z212" s="36">
        <f t="shared" si="20"/>
        <v>0.18879000000000001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75.140000000000015</v>
      </c>
      <c r="BN212" s="64">
        <f t="shared" si="17"/>
        <v>76.908000000000001</v>
      </c>
      <c r="BO212" s="64">
        <f t="shared" si="18"/>
        <v>0.15567765567765571</v>
      </c>
      <c r="BP212" s="64">
        <f t="shared" si="19"/>
        <v>0.15934065934065936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349</v>
      </c>
      <c r="B214" s="54" t="s">
        <v>350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60</v>
      </c>
      <c r="Y215" s="541">
        <f>IFERROR(Y206/H206,"0")+IFERROR(Y207/H207,"0")+IFERROR(Y208/H208,"0")+IFERROR(Y209/H209,"0")+IFERROR(Y210/H210,"0")+IFERROR(Y211/H211,"0")+IFERROR(Y212/H212,"0")+IFERROR(Y213/H213,"0")+IFERROR(Y214/H214,"0")</f>
        <v>61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0.39711000000000002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144</v>
      </c>
      <c r="Y216" s="541">
        <f>IFERROR(SUM(Y206:Y214),"0")</f>
        <v>146.39999999999998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48" t="s">
        <v>357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383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387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48" t="s">
        <v>399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415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426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24</v>
      </c>
      <c r="Y272" s="540">
        <f>IFERROR(IF(X272="",0,CEILING((X272/$H272),1)*$H272),"")</f>
        <v>24</v>
      </c>
      <c r="Z272" s="36">
        <f>IFERROR(IF(Y272=0,"",ROUNDUP(Y272/H272,0)*0.00651),"")</f>
        <v>6.5100000000000005E-2</v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26.520000000000003</v>
      </c>
      <c r="BN272" s="64">
        <f>IFERROR(Y272*I272/H272,"0")</f>
        <v>26.520000000000003</v>
      </c>
      <c r="BO272" s="64">
        <f>IFERROR(1/J272*(X272/H272),"0")</f>
        <v>5.4945054945054951E-2</v>
      </c>
      <c r="BP272" s="64">
        <f>IFERROR(1/J272*(Y272/H272),"0")</f>
        <v>5.4945054945054951E-2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46</v>
      </c>
      <c r="Y273" s="540">
        <f>IFERROR(IF(X273="",0,CEILING((X273/$H273),1)*$H273),"")</f>
        <v>48</v>
      </c>
      <c r="Z273" s="36">
        <f>IFERROR(IF(Y273=0,"",ROUNDUP(Y273/H273,0)*0.00651),"")</f>
        <v>0.13020000000000001</v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49.45</v>
      </c>
      <c r="BN273" s="64">
        <f>IFERROR(Y273*I273/H273,"0")</f>
        <v>51.6</v>
      </c>
      <c r="BO273" s="64">
        <f>IFERROR(1/J273*(X273/H273),"0")</f>
        <v>0.10531135531135533</v>
      </c>
      <c r="BP273" s="64">
        <f>IFERROR(1/J273*(Y273/H273),"0")</f>
        <v>0.1098901098901099</v>
      </c>
    </row>
    <row r="274" spans="1:68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29.166666666666668</v>
      </c>
      <c r="Y274" s="541">
        <f>IFERROR(Y271/H271,"0")+IFERROR(Y272/H272,"0")+IFERROR(Y273/H273,"0")</f>
        <v>30</v>
      </c>
      <c r="Z274" s="541">
        <f>IFERROR(IF(Z271="",0,Z271),"0")+IFERROR(IF(Z272="",0,Z272),"0")+IFERROR(IF(Z273="",0,Z273),"0")</f>
        <v>0.19530000000000003</v>
      </c>
      <c r="AA274" s="542"/>
      <c r="AB274" s="542"/>
      <c r="AC274" s="542"/>
    </row>
    <row r="275" spans="1:68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70</v>
      </c>
      <c r="Y275" s="541">
        <f>IFERROR(SUM(Y271:Y273),"0")</f>
        <v>72</v>
      </c>
      <c r="Z275" s="37"/>
      <c r="AA275" s="542"/>
      <c r="AB275" s="542"/>
      <c r="AC275" s="542"/>
    </row>
    <row r="276" spans="1:68" ht="16.5" hidden="1" customHeight="1" x14ac:dyDescent="0.25">
      <c r="A276" s="548" t="s">
        <v>435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445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460</v>
      </c>
      <c r="B296" s="54" t="s">
        <v>461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idden="1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hidden="1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65</v>
      </c>
      <c r="Y315" s="540">
        <f>IFERROR(IF(X315="",0,CEILING((X315/$H315),1)*$H315),"")</f>
        <v>70.2</v>
      </c>
      <c r="Z315" s="36">
        <f>IFERROR(IF(Y315=0,"",ROUNDUP(Y315/H315,0)*0.01898),"")</f>
        <v>0.17082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69.116666666666674</v>
      </c>
      <c r="BN315" s="64">
        <f>IFERROR(Y315*I315/H315,"0")</f>
        <v>74.646000000000015</v>
      </c>
      <c r="BO315" s="64">
        <f>IFERROR(1/J315*(X315/H315),"0")</f>
        <v>0.13020833333333334</v>
      </c>
      <c r="BP315" s="64">
        <f>IFERROR(1/J315*(Y315/H315),"0")</f>
        <v>0.140625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8.3333333333333339</v>
      </c>
      <c r="Y317" s="541">
        <f>IFERROR(Y314/H314,"0")+IFERROR(Y315/H315,"0")+IFERROR(Y316/H316,"0")</f>
        <v>9</v>
      </c>
      <c r="Z317" s="541">
        <f>IFERROR(IF(Z314="",0,Z314),"0")+IFERROR(IF(Z315="",0,Z315),"0")+IFERROR(IF(Z316="",0,Z316),"0")</f>
        <v>0.17082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65</v>
      </c>
      <c r="Y318" s="541">
        <f>IFERROR(SUM(Y314:Y316),"0")</f>
        <v>70.2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514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515</v>
      </c>
      <c r="B327" s="54" t="s">
        <v>516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523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524</v>
      </c>
      <c r="B334" s="54" t="s">
        <v>525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5" t="s">
        <v>533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534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160</v>
      </c>
      <c r="Y342" s="540">
        <f t="shared" ref="Y342:Y348" si="31">IFERROR(IF(X342="",0,CEILING((X342/$H342),1)*$H342),"")</f>
        <v>165</v>
      </c>
      <c r="Z342" s="36">
        <f>IFERROR(IF(Y342=0,"",ROUNDUP(Y342/H342,0)*0.02175),"")</f>
        <v>0.23924999999999999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165.01333333333335</v>
      </c>
      <c r="BN342" s="64">
        <f t="shared" ref="BN342:BN348" si="33">IFERROR(Y342*I342/H342,"0")</f>
        <v>170.17000000000002</v>
      </c>
      <c r="BO342" s="64">
        <f t="shared" ref="BO342:BO348" si="34">IFERROR(1/J342*(X342/H342),"0")</f>
        <v>0.22222222222222221</v>
      </c>
      <c r="BP342" s="64">
        <f t="shared" ref="BP342:BP348" si="35">IFERROR(1/J342*(Y342/H342),"0")</f>
        <v>0.22916666666666666</v>
      </c>
    </row>
    <row r="343" spans="1:68" ht="27" hidden="1" customHeight="1" x14ac:dyDescent="0.25">
      <c r="A343" s="54" t="s">
        <v>538</v>
      </c>
      <c r="B343" s="54" t="s">
        <v>539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hidden="1" customHeight="1" x14ac:dyDescent="0.25">
      <c r="A344" s="54" t="s">
        <v>541</v>
      </c>
      <c r="B344" s="54" t="s">
        <v>542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105</v>
      </c>
      <c r="Y345" s="540">
        <f t="shared" si="31"/>
        <v>105</v>
      </c>
      <c r="Z345" s="36">
        <f>IFERROR(IF(Y345=0,"",ROUNDUP(Y345/H345,0)*0.02175),"")</f>
        <v>0.15225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108.29</v>
      </c>
      <c r="BN345" s="64">
        <f t="shared" si="33"/>
        <v>108.29</v>
      </c>
      <c r="BO345" s="64">
        <f t="shared" si="34"/>
        <v>0.14583333333333331</v>
      </c>
      <c r="BP345" s="64">
        <f t="shared" si="35"/>
        <v>0.14583333333333331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17.666666666666664</v>
      </c>
      <c r="Y349" s="541">
        <f>IFERROR(Y342/H342,"0")+IFERROR(Y343/H343,"0")+IFERROR(Y344/H344,"0")+IFERROR(Y345/H345,"0")+IFERROR(Y346/H346,"0")+IFERROR(Y347/H347,"0")+IFERROR(Y348/H348,"0")</f>
        <v>18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0.39149999999999996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265</v>
      </c>
      <c r="Y350" s="541">
        <f>IFERROR(SUM(Y342:Y348),"0")</f>
        <v>270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101</v>
      </c>
      <c r="Y352" s="540">
        <f>IFERROR(IF(X352="",0,CEILING((X352/$H352),1)*$H352),"")</f>
        <v>105</v>
      </c>
      <c r="Z352" s="36">
        <f>IFERROR(IF(Y352=0,"",ROUNDUP(Y352/H352,0)*0.02175),"")</f>
        <v>0.15225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104.16466666666666</v>
      </c>
      <c r="BN352" s="64">
        <f>IFERROR(Y352*I352/H352,"0")</f>
        <v>108.29</v>
      </c>
      <c r="BO352" s="64">
        <f>IFERROR(1/J352*(X352/H352),"0")</f>
        <v>0.14027777777777778</v>
      </c>
      <c r="BP352" s="64">
        <f>IFERROR(1/J352*(Y352/H352),"0")</f>
        <v>0.14583333333333331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6.7333333333333334</v>
      </c>
      <c r="Y354" s="541">
        <f>IFERROR(Y352/H352,"0")+IFERROR(Y353/H353,"0")</f>
        <v>7</v>
      </c>
      <c r="Z354" s="541">
        <f>IFERROR(IF(Z352="",0,Z352),"0")+IFERROR(IF(Z353="",0,Z353),"0")</f>
        <v>0.15225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101</v>
      </c>
      <c r="Y355" s="541">
        <f>IFERROR(SUM(Y352:Y353),"0")</f>
        <v>105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hidden="1" customHeight="1" x14ac:dyDescent="0.25">
      <c r="A362" s="54" t="s">
        <v>566</v>
      </c>
      <c r="B362" s="54" t="s">
        <v>567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48" t="s">
        <v>569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hidden="1" customHeight="1" x14ac:dyDescent="0.25">
      <c r="A377" s="54" t="s">
        <v>580</v>
      </c>
      <c r="B377" s="54" t="s">
        <v>581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5" t="s">
        <v>585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586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587</v>
      </c>
      <c r="B384" s="54" t="s">
        <v>588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617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621</v>
      </c>
      <c r="B406" s="54" t="s">
        <v>622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624</v>
      </c>
      <c r="B407" s="54" t="s">
        <v>625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48" t="s">
        <v>632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636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636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hidden="1" customHeight="1" x14ac:dyDescent="0.25">
      <c r="A420" s="54" t="s">
        <v>637</v>
      </c>
      <c r="B420" s="54" t="s">
        <v>638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639</v>
      </c>
      <c r="B421" s="54" t="s">
        <v>640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642</v>
      </c>
      <c r="B422" s="54" t="s">
        <v>643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288</v>
      </c>
      <c r="Y425" s="540">
        <f t="shared" si="42"/>
        <v>290.40000000000003</v>
      </c>
      <c r="Z425" s="36">
        <f t="shared" si="43"/>
        <v>0.65780000000000005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307.09090909090907</v>
      </c>
      <c r="BN425" s="64">
        <f t="shared" si="45"/>
        <v>309.65000000000003</v>
      </c>
      <c r="BO425" s="64">
        <f t="shared" si="46"/>
        <v>0.52447552447552448</v>
      </c>
      <c r="BP425" s="64">
        <f t="shared" si="47"/>
        <v>0.52884615384615397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54.54545454545454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55.000000000000007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0.65780000000000005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288</v>
      </c>
      <c r="Y432" s="541">
        <f>IFERROR(SUM(Y420:Y430),"0")</f>
        <v>290.40000000000003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76</v>
      </c>
      <c r="Y434" s="540">
        <f>IFERROR(IF(X434="",0,CEILING((X434/$H434),1)*$H434),"")</f>
        <v>79.2</v>
      </c>
      <c r="Z434" s="36">
        <f>IFERROR(IF(Y434=0,"",ROUNDUP(Y434/H434,0)*0.01196),"")</f>
        <v>0.1794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81.037878787878782</v>
      </c>
      <c r="BN434" s="64">
        <f>IFERROR(Y434*I434/H434,"0")</f>
        <v>84.45</v>
      </c>
      <c r="BO434" s="64">
        <f>IFERROR(1/J434*(X434/H434),"0")</f>
        <v>0.13840326340326339</v>
      </c>
      <c r="BP434" s="64">
        <f>IFERROR(1/J434*(Y434/H434),"0")</f>
        <v>0.14423076923076925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14.393939393939393</v>
      </c>
      <c r="Y437" s="541">
        <f>IFERROR(Y434/H434,"0")+IFERROR(Y435/H435,"0")+IFERROR(Y436/H436,"0")</f>
        <v>15</v>
      </c>
      <c r="Z437" s="541">
        <f>IFERROR(IF(Z434="",0,Z434),"0")+IFERROR(IF(Z435="",0,Z435),"0")+IFERROR(IF(Z436="",0,Z436),"0")</f>
        <v>0.1794</v>
      </c>
      <c r="AA437" s="542"/>
      <c r="AB437" s="542"/>
      <c r="AC437" s="542"/>
    </row>
    <row r="438" spans="1:68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76</v>
      </c>
      <c r="Y438" s="541">
        <f>IFERROR(SUM(Y434:Y436),"0")</f>
        <v>79.2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60</v>
      </c>
      <c r="Y440" s="540">
        <f t="shared" ref="Y440:Y445" si="48">IFERROR(IF(X440="",0,CEILING((X440/$H440),1)*$H440),"")</f>
        <v>63.36</v>
      </c>
      <c r="Z440" s="36">
        <f>IFERROR(IF(Y440=0,"",ROUNDUP(Y440/H440,0)*0.01196),"")</f>
        <v>0.14352000000000001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63.977272727272727</v>
      </c>
      <c r="BN440" s="64">
        <f t="shared" ref="BN440:BN445" si="50">IFERROR(Y440*I440/H440,"0")</f>
        <v>67.559999999999988</v>
      </c>
      <c r="BO440" s="64">
        <f t="shared" ref="BO440:BO445" si="51">IFERROR(1/J440*(X440/H440),"0")</f>
        <v>0.10926573426573427</v>
      </c>
      <c r="BP440" s="64">
        <f t="shared" ref="BP440:BP445" si="52">IFERROR(1/J440*(Y440/H440),"0")</f>
        <v>0.11538461538461539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26</v>
      </c>
      <c r="Y441" s="540">
        <f t="shared" si="48"/>
        <v>26.400000000000002</v>
      </c>
      <c r="Z441" s="36">
        <f>IFERROR(IF(Y441=0,"",ROUNDUP(Y441/H441,0)*0.01196),"")</f>
        <v>5.9799999999999999E-2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27.723484848484848</v>
      </c>
      <c r="BN441" s="64">
        <f t="shared" si="50"/>
        <v>28.15</v>
      </c>
      <c r="BO441" s="64">
        <f t="shared" si="51"/>
        <v>4.7348484848484848E-2</v>
      </c>
      <c r="BP441" s="64">
        <f t="shared" si="52"/>
        <v>4.807692307692308E-2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57</v>
      </c>
      <c r="Y442" s="540">
        <f t="shared" si="48"/>
        <v>58.080000000000005</v>
      </c>
      <c r="Z442" s="36">
        <f>IFERROR(IF(Y442=0,"",ROUNDUP(Y442/H442,0)*0.01196),"")</f>
        <v>0.13156000000000001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60.778409090909079</v>
      </c>
      <c r="BN442" s="64">
        <f t="shared" si="50"/>
        <v>61.93</v>
      </c>
      <c r="BO442" s="64">
        <f t="shared" si="51"/>
        <v>0.10380244755244755</v>
      </c>
      <c r="BP442" s="64">
        <f t="shared" si="52"/>
        <v>0.10576923076923078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27.083333333333336</v>
      </c>
      <c r="Y446" s="541">
        <f>IFERROR(Y440/H440,"0")+IFERROR(Y441/H441,"0")+IFERROR(Y442/H442,"0")+IFERROR(Y443/H443,"0")+IFERROR(Y444/H444,"0")+IFERROR(Y445/H445,"0")</f>
        <v>28</v>
      </c>
      <c r="Z446" s="541">
        <f>IFERROR(IF(Z440="",0,Z440),"0")+IFERROR(IF(Z441="",0,Z441),"0")+IFERROR(IF(Z442="",0,Z442),"0")+IFERROR(IF(Z443="",0,Z443),"0")+IFERROR(IF(Z444="",0,Z444),"0")+IFERROR(IF(Z445="",0,Z445),"0")</f>
        <v>0.33488000000000001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143</v>
      </c>
      <c r="Y447" s="541">
        <f>IFERROR(SUM(Y440:Y445),"0")</f>
        <v>147.84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696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696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717</v>
      </c>
      <c r="B470" s="54" t="s">
        <v>718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hidden="1" customHeight="1" x14ac:dyDescent="0.25">
      <c r="A475" s="54" t="s">
        <v>723</v>
      </c>
      <c r="B475" s="54" t="s">
        <v>724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732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736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1335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1367.34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737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1416.365584175084</v>
      </c>
      <c r="Y489" s="541">
        <f>IFERROR(SUM(BN22:BN485),"0")</f>
        <v>1450.6120000000003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738</v>
      </c>
      <c r="Q490" s="624"/>
      <c r="R490" s="624"/>
      <c r="S490" s="624"/>
      <c r="T490" s="624"/>
      <c r="U490" s="624"/>
      <c r="V490" s="625"/>
      <c r="W490" s="37" t="s">
        <v>739</v>
      </c>
      <c r="X490" s="38">
        <f>ROUNDUP(SUM(BO22:BO485),0)</f>
        <v>3</v>
      </c>
      <c r="Y490" s="38">
        <f>ROUNDUP(SUM(BP22:BP485),0)</f>
        <v>3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740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1491.365584175084</v>
      </c>
      <c r="Y491" s="541">
        <f>GrossWeightTotalR+PalletQtyTotalR*25</f>
        <v>1525.6120000000003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741</v>
      </c>
      <c r="Q492" s="624"/>
      <c r="R492" s="624"/>
      <c r="S492" s="624"/>
      <c r="T492" s="624"/>
      <c r="U492" s="624"/>
      <c r="V492" s="625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240.51531986531987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246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742</v>
      </c>
      <c r="Q493" s="624"/>
      <c r="R493" s="624"/>
      <c r="S493" s="624"/>
      <c r="T493" s="624"/>
      <c r="U493" s="624"/>
      <c r="V493" s="625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2.9156000000000004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255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533</v>
      </c>
      <c r="T495" s="592"/>
      <c r="U495" s="571" t="s">
        <v>585</v>
      </c>
      <c r="V495" s="591"/>
      <c r="W495" s="592"/>
      <c r="X495" s="536" t="s">
        <v>636</v>
      </c>
      <c r="Y495" s="571" t="s">
        <v>696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745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190</v>
      </c>
      <c r="G496" s="571" t="s">
        <v>220</v>
      </c>
      <c r="H496" s="571" t="s">
        <v>97</v>
      </c>
      <c r="I496" s="571" t="s">
        <v>256</v>
      </c>
      <c r="J496" s="571" t="s">
        <v>297</v>
      </c>
      <c r="K496" s="571" t="s">
        <v>357</v>
      </c>
      <c r="L496" s="571" t="s">
        <v>399</v>
      </c>
      <c r="M496" s="571" t="s">
        <v>415</v>
      </c>
      <c r="N496" s="537"/>
      <c r="O496" s="571" t="s">
        <v>426</v>
      </c>
      <c r="P496" s="571" t="s">
        <v>435</v>
      </c>
      <c r="Q496" s="571" t="s">
        <v>445</v>
      </c>
      <c r="R496" s="571" t="s">
        <v>523</v>
      </c>
      <c r="S496" s="571" t="s">
        <v>534</v>
      </c>
      <c r="T496" s="571" t="s">
        <v>569</v>
      </c>
      <c r="U496" s="571" t="s">
        <v>586</v>
      </c>
      <c r="V496" s="571" t="s">
        <v>617</v>
      </c>
      <c r="W496" s="571" t="s">
        <v>632</v>
      </c>
      <c r="X496" s="571" t="s">
        <v>636</v>
      </c>
      <c r="Y496" s="571" t="s">
        <v>696</v>
      </c>
      <c r="Z496" s="571" t="s">
        <v>732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81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105.3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146.39999999999998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72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70.2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375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517.44000000000005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an1yzAv6DglFAHw6DEKZPcoL62UQDf/I6YfLiT9IdR5nv8S1jTYSCZ8ExCE7cFCvr6RrkuJjOc0dQ3VfcFtMGg==" saltValue="+7HMETAL/OAV7zsxKa74c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35,00"/>
        <filter val="1 416,37"/>
        <filter val="1 491,37"/>
        <filter val="101,00"/>
        <filter val="105,00"/>
        <filter val="12,96"/>
        <filter val="14,39"/>
        <filter val="143,00"/>
        <filter val="144,00"/>
        <filter val="160,00"/>
        <filter val="17,67"/>
        <filter val="24,00"/>
        <filter val="240,52"/>
        <filter val="26,00"/>
        <filter val="265,00"/>
        <filter val="27,08"/>
        <filter val="288,00"/>
        <filter val="29,17"/>
        <filter val="3"/>
        <filter val="46,00"/>
        <filter val="54,55"/>
        <filter val="57,00"/>
        <filter val="6,73"/>
        <filter val="60,00"/>
        <filter val="65,00"/>
        <filter val="68,00"/>
        <filter val="70,00"/>
        <filter val="76,00"/>
        <filter val="78,00"/>
        <filter val="8,33"/>
        <filter val="9,63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4:X165 X168 X186 X195:X200 X202 X206:X209 X211:X214 X232 X254 X256 X272:X273 X297 X306 X315 X322:X323 X335:X336 X342:X344 X352 X367 X372 X377:X378 X386 X420:X422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tijkfmOu+7lmyM//yLYNauYR0z8tEO8Lfbr++L/sEpRvFRnYWvTzzDHZujnJ0z1Wd7hltJUGr1Pp7r34vYIOEA==" saltValue="roumy47e3I7yz0DKy25i0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