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278E2AC-8AF8-4D86-9BD7-2B01BE48C84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Y337" i="1" s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4" i="1"/>
  <c r="X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BP148" i="1" s="1"/>
  <c r="P148" i="1"/>
  <c r="BO147" i="1"/>
  <c r="BM147" i="1"/>
  <c r="Y147" i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BP135" i="1" s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Z119" i="1"/>
  <c r="Z120" i="1" s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Y96" i="1" s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BO26" i="1"/>
  <c r="BM26" i="1"/>
  <c r="Y26" i="1"/>
  <c r="BP26" i="1" s="1"/>
  <c r="P26" i="1"/>
  <c r="X24" i="1"/>
  <c r="X23" i="1"/>
  <c r="BO22" i="1"/>
  <c r="BM22" i="1"/>
  <c r="Y22" i="1"/>
  <c r="Y24" i="1" s="1"/>
  <c r="P22" i="1"/>
  <c r="H10" i="1"/>
  <c r="A9" i="1"/>
  <c r="A10" i="1" s="1"/>
  <c r="D7" i="1"/>
  <c r="Q6" i="1"/>
  <c r="P2" i="1"/>
  <c r="BP130" i="1" l="1"/>
  <c r="BN130" i="1"/>
  <c r="Z130" i="1"/>
  <c r="Y182" i="1"/>
  <c r="Y181" i="1"/>
  <c r="BP180" i="1"/>
  <c r="BN180" i="1"/>
  <c r="Z180" i="1"/>
  <c r="Z181" i="1" s="1"/>
  <c r="BP185" i="1"/>
  <c r="BN185" i="1"/>
  <c r="Z185" i="1"/>
  <c r="BP211" i="1"/>
  <c r="BN211" i="1"/>
  <c r="Z211" i="1"/>
  <c r="BP246" i="1"/>
  <c r="BN246" i="1"/>
  <c r="Z246" i="1"/>
  <c r="BP279" i="1"/>
  <c r="BN279" i="1"/>
  <c r="Z279" i="1"/>
  <c r="BP308" i="1"/>
  <c r="BN308" i="1"/>
  <c r="Z308" i="1"/>
  <c r="BP321" i="1"/>
  <c r="BN321" i="1"/>
  <c r="Z321" i="1"/>
  <c r="BP347" i="1"/>
  <c r="BN347" i="1"/>
  <c r="Z347" i="1"/>
  <c r="BP390" i="1"/>
  <c r="BN390" i="1"/>
  <c r="Z390" i="1"/>
  <c r="BP425" i="1"/>
  <c r="BN425" i="1"/>
  <c r="Z425" i="1"/>
  <c r="BP451" i="1"/>
  <c r="BN451" i="1"/>
  <c r="Z451" i="1"/>
  <c r="Z34" i="1"/>
  <c r="Z35" i="1" s="1"/>
  <c r="BN34" i="1"/>
  <c r="BP34" i="1"/>
  <c r="Y35" i="1"/>
  <c r="Z40" i="1"/>
  <c r="BN40" i="1"/>
  <c r="Z55" i="1"/>
  <c r="BN55" i="1"/>
  <c r="Z75" i="1"/>
  <c r="BN75" i="1"/>
  <c r="Z94" i="1"/>
  <c r="BN94" i="1"/>
  <c r="F498" i="1"/>
  <c r="Z113" i="1"/>
  <c r="BN113" i="1"/>
  <c r="Y121" i="1"/>
  <c r="Y120" i="1"/>
  <c r="BP119" i="1"/>
  <c r="BN119" i="1"/>
  <c r="BP168" i="1"/>
  <c r="BN168" i="1"/>
  <c r="Z168" i="1"/>
  <c r="BP199" i="1"/>
  <c r="BN199" i="1"/>
  <c r="Z199" i="1"/>
  <c r="BP226" i="1"/>
  <c r="BN226" i="1"/>
  <c r="Z226" i="1"/>
  <c r="BP258" i="1"/>
  <c r="BN258" i="1"/>
  <c r="Z258" i="1"/>
  <c r="BP298" i="1"/>
  <c r="BN298" i="1"/>
  <c r="Z298" i="1"/>
  <c r="BP320" i="1"/>
  <c r="BN320" i="1"/>
  <c r="Z320" i="1"/>
  <c r="BP336" i="1"/>
  <c r="BN336" i="1"/>
  <c r="Z336" i="1"/>
  <c r="BP342" i="1"/>
  <c r="BN342" i="1"/>
  <c r="Z342" i="1"/>
  <c r="BP378" i="1"/>
  <c r="BN378" i="1"/>
  <c r="Z378" i="1"/>
  <c r="BP409" i="1"/>
  <c r="BN409" i="1"/>
  <c r="Z409" i="1"/>
  <c r="BP441" i="1"/>
  <c r="BN441" i="1"/>
  <c r="Z441" i="1"/>
  <c r="BP471" i="1"/>
  <c r="BN471" i="1"/>
  <c r="Z471" i="1"/>
  <c r="Y477" i="1"/>
  <c r="Y476" i="1"/>
  <c r="BP475" i="1"/>
  <c r="BN475" i="1"/>
  <c r="Z475" i="1"/>
  <c r="Z476" i="1" s="1"/>
  <c r="BP479" i="1"/>
  <c r="BN479" i="1"/>
  <c r="Z479" i="1"/>
  <c r="J9" i="1"/>
  <c r="F9" i="1"/>
  <c r="F10" i="1"/>
  <c r="Z22" i="1"/>
  <c r="Z23" i="1" s="1"/>
  <c r="BN22" i="1"/>
  <c r="BP22" i="1"/>
  <c r="Y23" i="1"/>
  <c r="Z26" i="1"/>
  <c r="BN26" i="1"/>
  <c r="Z30" i="1"/>
  <c r="BN30" i="1"/>
  <c r="Z42" i="1"/>
  <c r="BN42" i="1"/>
  <c r="Z53" i="1"/>
  <c r="BN53" i="1"/>
  <c r="Z61" i="1"/>
  <c r="BN61" i="1"/>
  <c r="Z73" i="1"/>
  <c r="BN73" i="1"/>
  <c r="Z79" i="1"/>
  <c r="BN79" i="1"/>
  <c r="BP79" i="1"/>
  <c r="Z92" i="1"/>
  <c r="BN92" i="1"/>
  <c r="Z99" i="1"/>
  <c r="BN99" i="1"/>
  <c r="BP99" i="1"/>
  <c r="Z107" i="1"/>
  <c r="BN107" i="1"/>
  <c r="Y117" i="1"/>
  <c r="Z115" i="1"/>
  <c r="BN115" i="1"/>
  <c r="BP124" i="1"/>
  <c r="BN124" i="1"/>
  <c r="Z124" i="1"/>
  <c r="BP147" i="1"/>
  <c r="BN147" i="1"/>
  <c r="Z147" i="1"/>
  <c r="BP166" i="1"/>
  <c r="BN166" i="1"/>
  <c r="Z166" i="1"/>
  <c r="BP176" i="1"/>
  <c r="BN176" i="1"/>
  <c r="Z176" i="1"/>
  <c r="BP197" i="1"/>
  <c r="BN197" i="1"/>
  <c r="Z197" i="1"/>
  <c r="BP209" i="1"/>
  <c r="BN209" i="1"/>
  <c r="Z209" i="1"/>
  <c r="BP224" i="1"/>
  <c r="BN224" i="1"/>
  <c r="Z224" i="1"/>
  <c r="BP232" i="1"/>
  <c r="BN232" i="1"/>
  <c r="Z232" i="1"/>
  <c r="BP256" i="1"/>
  <c r="BN256" i="1"/>
  <c r="Z256" i="1"/>
  <c r="BP272" i="1"/>
  <c r="BN272" i="1"/>
  <c r="Z272" i="1"/>
  <c r="BP292" i="1"/>
  <c r="BN292" i="1"/>
  <c r="Z292" i="1"/>
  <c r="Y136" i="1"/>
  <c r="BP134" i="1"/>
  <c r="BN134" i="1"/>
  <c r="Z134" i="1"/>
  <c r="Y154" i="1"/>
  <c r="Y153" i="1"/>
  <c r="BP152" i="1"/>
  <c r="BN152" i="1"/>
  <c r="Z152" i="1"/>
  <c r="Z153" i="1" s="1"/>
  <c r="Y159" i="1"/>
  <c r="BP158" i="1"/>
  <c r="BN158" i="1"/>
  <c r="Z158" i="1"/>
  <c r="Z159" i="1" s="1"/>
  <c r="Y172" i="1"/>
  <c r="BP162" i="1"/>
  <c r="BN162" i="1"/>
  <c r="Z162" i="1"/>
  <c r="BP170" i="1"/>
  <c r="BN170" i="1"/>
  <c r="Z170" i="1"/>
  <c r="BP191" i="1"/>
  <c r="BN191" i="1"/>
  <c r="Z191" i="1"/>
  <c r="BP201" i="1"/>
  <c r="BN201" i="1"/>
  <c r="Z201" i="1"/>
  <c r="BP213" i="1"/>
  <c r="BN213" i="1"/>
  <c r="Z213" i="1"/>
  <c r="BP228" i="1"/>
  <c r="BN228" i="1"/>
  <c r="Z228" i="1"/>
  <c r="BP248" i="1"/>
  <c r="BN248" i="1"/>
  <c r="Z248" i="1"/>
  <c r="BP263" i="1"/>
  <c r="BN263" i="1"/>
  <c r="Z263" i="1"/>
  <c r="Y285" i="1"/>
  <c r="Y284" i="1"/>
  <c r="BP283" i="1"/>
  <c r="BN283" i="1"/>
  <c r="Z283" i="1"/>
  <c r="Z284" i="1" s="1"/>
  <c r="Q498" i="1"/>
  <c r="BP288" i="1"/>
  <c r="BN288" i="1"/>
  <c r="Z288" i="1"/>
  <c r="BP300" i="1"/>
  <c r="BN300" i="1"/>
  <c r="Z300" i="1"/>
  <c r="BP310" i="1"/>
  <c r="BN310" i="1"/>
  <c r="Z310" i="1"/>
  <c r="BP323" i="1"/>
  <c r="BN323" i="1"/>
  <c r="Z323" i="1"/>
  <c r="BP327" i="1"/>
  <c r="BN327" i="1"/>
  <c r="Z327" i="1"/>
  <c r="BP344" i="1"/>
  <c r="BN344" i="1"/>
  <c r="Z344" i="1"/>
  <c r="BP353" i="1"/>
  <c r="BN353" i="1"/>
  <c r="Z353" i="1"/>
  <c r="U498" i="1"/>
  <c r="BP384" i="1"/>
  <c r="BN384" i="1"/>
  <c r="Z384" i="1"/>
  <c r="BP392" i="1"/>
  <c r="BN392" i="1"/>
  <c r="Z392" i="1"/>
  <c r="Y416" i="1"/>
  <c r="W498" i="1"/>
  <c r="Y415" i="1"/>
  <c r="BP414" i="1"/>
  <c r="BN414" i="1"/>
  <c r="Z414" i="1"/>
  <c r="Z415" i="1" s="1"/>
  <c r="BP420" i="1"/>
  <c r="BN420" i="1"/>
  <c r="Z420" i="1"/>
  <c r="BP427" i="1"/>
  <c r="BN427" i="1"/>
  <c r="Z427" i="1"/>
  <c r="BP443" i="1"/>
  <c r="BN443" i="1"/>
  <c r="Z443" i="1"/>
  <c r="Y461" i="1"/>
  <c r="BP457" i="1"/>
  <c r="BN457" i="1"/>
  <c r="Z457" i="1"/>
  <c r="H498" i="1"/>
  <c r="Y178" i="1"/>
  <c r="Y187" i="1"/>
  <c r="Y203" i="1"/>
  <c r="Y215" i="1"/>
  <c r="Y251" i="1"/>
  <c r="Y304" i="1"/>
  <c r="BP296" i="1"/>
  <c r="BN296" i="1"/>
  <c r="Z296" i="1"/>
  <c r="BP306" i="1"/>
  <c r="BN306" i="1"/>
  <c r="Z306" i="1"/>
  <c r="BP316" i="1"/>
  <c r="BN316" i="1"/>
  <c r="Z316" i="1"/>
  <c r="BP334" i="1"/>
  <c r="BN334" i="1"/>
  <c r="Z334" i="1"/>
  <c r="BP345" i="1"/>
  <c r="BN345" i="1"/>
  <c r="Z345" i="1"/>
  <c r="BP368" i="1"/>
  <c r="BN368" i="1"/>
  <c r="Z368" i="1"/>
  <c r="BP372" i="1"/>
  <c r="BN372" i="1"/>
  <c r="Z372" i="1"/>
  <c r="BP388" i="1"/>
  <c r="BN388" i="1"/>
  <c r="Z388" i="1"/>
  <c r="BP407" i="1"/>
  <c r="BN407" i="1"/>
  <c r="Z407" i="1"/>
  <c r="BP423" i="1"/>
  <c r="BN423" i="1"/>
  <c r="Z423" i="1"/>
  <c r="BP435" i="1"/>
  <c r="BN435" i="1"/>
  <c r="Z435" i="1"/>
  <c r="BP449" i="1"/>
  <c r="BN449" i="1"/>
  <c r="Z449" i="1"/>
  <c r="BP465" i="1"/>
  <c r="BN465" i="1"/>
  <c r="Z465" i="1"/>
  <c r="Y325" i="1"/>
  <c r="Y324" i="1"/>
  <c r="Y359" i="1"/>
  <c r="Y398" i="1"/>
  <c r="BP27" i="1"/>
  <c r="BN27" i="1"/>
  <c r="Z27" i="1"/>
  <c r="B498" i="1"/>
  <c r="Y31" i="1"/>
  <c r="BP41" i="1"/>
  <c r="BN41" i="1"/>
  <c r="Z41" i="1"/>
  <c r="Z43" i="1" s="1"/>
  <c r="BP54" i="1"/>
  <c r="BN54" i="1"/>
  <c r="Z54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X488" i="1"/>
  <c r="Y32" i="1"/>
  <c r="BP29" i="1"/>
  <c r="BN29" i="1"/>
  <c r="Z29" i="1"/>
  <c r="Y43" i="1"/>
  <c r="BP52" i="1"/>
  <c r="BN52" i="1"/>
  <c r="Z52" i="1"/>
  <c r="BP56" i="1"/>
  <c r="BN56" i="1"/>
  <c r="Z56" i="1"/>
  <c r="Y58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Y89" i="1"/>
  <c r="Y95" i="1"/>
  <c r="Y104" i="1"/>
  <c r="Y110" i="1"/>
  <c r="Y116" i="1"/>
  <c r="Y127" i="1"/>
  <c r="Y131" i="1"/>
  <c r="Y137" i="1"/>
  <c r="Y144" i="1"/>
  <c r="Y150" i="1"/>
  <c r="Y171" i="1"/>
  <c r="Y177" i="1"/>
  <c r="Y188" i="1"/>
  <c r="Y192" i="1"/>
  <c r="Y204" i="1"/>
  <c r="Y216" i="1"/>
  <c r="Y220" i="1"/>
  <c r="Y235" i="1"/>
  <c r="Y239" i="1"/>
  <c r="Y243" i="1"/>
  <c r="BP255" i="1"/>
  <c r="BN255" i="1"/>
  <c r="Z255" i="1"/>
  <c r="Y259" i="1"/>
  <c r="BP264" i="1"/>
  <c r="BN264" i="1"/>
  <c r="Z264" i="1"/>
  <c r="BP273" i="1"/>
  <c r="BN273" i="1"/>
  <c r="Z273" i="1"/>
  <c r="Y275" i="1"/>
  <c r="P498" i="1"/>
  <c r="Y281" i="1"/>
  <c r="BP278" i="1"/>
  <c r="BN278" i="1"/>
  <c r="Z278" i="1"/>
  <c r="BP291" i="1"/>
  <c r="BN291" i="1"/>
  <c r="Z291" i="1"/>
  <c r="BP299" i="1"/>
  <c r="BN299" i="1"/>
  <c r="Z299" i="1"/>
  <c r="Y303" i="1"/>
  <c r="BP307" i="1"/>
  <c r="BN307" i="1"/>
  <c r="Z307" i="1"/>
  <c r="Y311" i="1"/>
  <c r="BP315" i="1"/>
  <c r="BN315" i="1"/>
  <c r="Z315" i="1"/>
  <c r="Z317" i="1" s="1"/>
  <c r="BP328" i="1"/>
  <c r="BN328" i="1"/>
  <c r="Z328" i="1"/>
  <c r="Z330" i="1" s="1"/>
  <c r="BP343" i="1"/>
  <c r="BN343" i="1"/>
  <c r="Z343" i="1"/>
  <c r="BP348" i="1"/>
  <c r="BN348" i="1"/>
  <c r="Z348" i="1"/>
  <c r="Y350" i="1"/>
  <c r="Y355" i="1"/>
  <c r="BP352" i="1"/>
  <c r="BN352" i="1"/>
  <c r="Z352" i="1"/>
  <c r="Z354" i="1" s="1"/>
  <c r="BP373" i="1"/>
  <c r="BN373" i="1"/>
  <c r="Z373" i="1"/>
  <c r="Z374" i="1" s="1"/>
  <c r="Y375" i="1"/>
  <c r="Y380" i="1"/>
  <c r="BP377" i="1"/>
  <c r="BN377" i="1"/>
  <c r="Z377" i="1"/>
  <c r="BP387" i="1"/>
  <c r="BN387" i="1"/>
  <c r="Z387" i="1"/>
  <c r="BP391" i="1"/>
  <c r="BN391" i="1"/>
  <c r="Z391" i="1"/>
  <c r="BP408" i="1"/>
  <c r="BN408" i="1"/>
  <c r="Z408" i="1"/>
  <c r="BP426" i="1"/>
  <c r="BN426" i="1"/>
  <c r="Z426" i="1"/>
  <c r="BP430" i="1"/>
  <c r="BN430" i="1"/>
  <c r="Z430" i="1"/>
  <c r="Y432" i="1"/>
  <c r="Y437" i="1"/>
  <c r="BP434" i="1"/>
  <c r="BN434" i="1"/>
  <c r="Z434" i="1"/>
  <c r="Y438" i="1"/>
  <c r="BP442" i="1"/>
  <c r="BN442" i="1"/>
  <c r="Z442" i="1"/>
  <c r="Y446" i="1"/>
  <c r="BP450" i="1"/>
  <c r="BN450" i="1"/>
  <c r="Z450" i="1"/>
  <c r="Y452" i="1"/>
  <c r="J498" i="1"/>
  <c r="S498" i="1"/>
  <c r="H9" i="1"/>
  <c r="X489" i="1"/>
  <c r="X490" i="1"/>
  <c r="X492" i="1"/>
  <c r="C498" i="1"/>
  <c r="Y44" i="1"/>
  <c r="D498" i="1"/>
  <c r="Y57" i="1"/>
  <c r="Z91" i="1"/>
  <c r="BN91" i="1"/>
  <c r="BP91" i="1"/>
  <c r="Z93" i="1"/>
  <c r="BN93" i="1"/>
  <c r="Z100" i="1"/>
  <c r="BN100" i="1"/>
  <c r="Z102" i="1"/>
  <c r="BN102" i="1"/>
  <c r="Y103" i="1"/>
  <c r="Z106" i="1"/>
  <c r="BN106" i="1"/>
  <c r="BP106" i="1"/>
  <c r="Z108" i="1"/>
  <c r="BN108" i="1"/>
  <c r="Z112" i="1"/>
  <c r="BN112" i="1"/>
  <c r="BP112" i="1"/>
  <c r="Z114" i="1"/>
  <c r="BN114" i="1"/>
  <c r="G498" i="1"/>
  <c r="Z125" i="1"/>
  <c r="Z126" i="1" s="1"/>
  <c r="BN125" i="1"/>
  <c r="Y126" i="1"/>
  <c r="Z129" i="1"/>
  <c r="Z131" i="1" s="1"/>
  <c r="BN129" i="1"/>
  <c r="BP129" i="1"/>
  <c r="Z135" i="1"/>
  <c r="Z136" i="1" s="1"/>
  <c r="BN135" i="1"/>
  <c r="Z140" i="1"/>
  <c r="BN140" i="1"/>
  <c r="BP140" i="1"/>
  <c r="Z142" i="1"/>
  <c r="BN142" i="1"/>
  <c r="Y143" i="1"/>
  <c r="Z146" i="1"/>
  <c r="BN146" i="1"/>
  <c r="BP146" i="1"/>
  <c r="Z148" i="1"/>
  <c r="BN148" i="1"/>
  <c r="I498" i="1"/>
  <c r="Y160" i="1"/>
  <c r="Z163" i="1"/>
  <c r="BN163" i="1"/>
  <c r="Z165" i="1"/>
  <c r="BN165" i="1"/>
  <c r="Z167" i="1"/>
  <c r="BN167" i="1"/>
  <c r="Z169" i="1"/>
  <c r="BN169" i="1"/>
  <c r="Z175" i="1"/>
  <c r="Z177" i="1" s="1"/>
  <c r="BN175" i="1"/>
  <c r="Z186" i="1"/>
  <c r="Z187" i="1" s="1"/>
  <c r="BN186" i="1"/>
  <c r="Z190" i="1"/>
  <c r="Z192" i="1" s="1"/>
  <c r="BN190" i="1"/>
  <c r="BP190" i="1"/>
  <c r="Z196" i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8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Z249" i="1"/>
  <c r="BN249" i="1"/>
  <c r="Y250" i="1"/>
  <c r="L498" i="1"/>
  <c r="BP257" i="1"/>
  <c r="BN257" i="1"/>
  <c r="Z257" i="1"/>
  <c r="BP266" i="1"/>
  <c r="BN266" i="1"/>
  <c r="Z266" i="1"/>
  <c r="Y268" i="1"/>
  <c r="Y274" i="1"/>
  <c r="BP271" i="1"/>
  <c r="BN271" i="1"/>
  <c r="Z271" i="1"/>
  <c r="Z274" i="1" s="1"/>
  <c r="Y280" i="1"/>
  <c r="BP289" i="1"/>
  <c r="BN289" i="1"/>
  <c r="Z289" i="1"/>
  <c r="Z293" i="1" s="1"/>
  <c r="Y293" i="1"/>
  <c r="BP297" i="1"/>
  <c r="BN297" i="1"/>
  <c r="Z297" i="1"/>
  <c r="BP301" i="1"/>
  <c r="BN301" i="1"/>
  <c r="Z301" i="1"/>
  <c r="Y312" i="1"/>
  <c r="BP309" i="1"/>
  <c r="BN309" i="1"/>
  <c r="Z309" i="1"/>
  <c r="Y318" i="1"/>
  <c r="Y317" i="1"/>
  <c r="BP322" i="1"/>
  <c r="BN322" i="1"/>
  <c r="Z322" i="1"/>
  <c r="Z324" i="1" s="1"/>
  <c r="Y331" i="1"/>
  <c r="Y330" i="1"/>
  <c r="BP335" i="1"/>
  <c r="BN335" i="1"/>
  <c r="Z335" i="1"/>
  <c r="Y349" i="1"/>
  <c r="BP346" i="1"/>
  <c r="BN346" i="1"/>
  <c r="Z346" i="1"/>
  <c r="Y354" i="1"/>
  <c r="BP358" i="1"/>
  <c r="BN358" i="1"/>
  <c r="Z358" i="1"/>
  <c r="Z359" i="1" s="1"/>
  <c r="Y360" i="1"/>
  <c r="Y363" i="1"/>
  <c r="BP362" i="1"/>
  <c r="BN362" i="1"/>
  <c r="Z362" i="1"/>
  <c r="Z363" i="1" s="1"/>
  <c r="Y364" i="1"/>
  <c r="T498" i="1"/>
  <c r="Y370" i="1"/>
  <c r="BP367" i="1"/>
  <c r="BN367" i="1"/>
  <c r="Z367" i="1"/>
  <c r="Z369" i="1" s="1"/>
  <c r="Y374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V498" i="1"/>
  <c r="Y403" i="1"/>
  <c r="BP402" i="1"/>
  <c r="BN402" i="1"/>
  <c r="Z402" i="1"/>
  <c r="Z403" i="1" s="1"/>
  <c r="Y404" i="1"/>
  <c r="Y411" i="1"/>
  <c r="BP406" i="1"/>
  <c r="BN406" i="1"/>
  <c r="Z406" i="1"/>
  <c r="Y410" i="1"/>
  <c r="BP421" i="1"/>
  <c r="BN421" i="1"/>
  <c r="Z421" i="1"/>
  <c r="BP460" i="1"/>
  <c r="BN460" i="1"/>
  <c r="Z460" i="1"/>
  <c r="Y462" i="1"/>
  <c r="Y467" i="1"/>
  <c r="BP464" i="1"/>
  <c r="BN464" i="1"/>
  <c r="Z464" i="1"/>
  <c r="Y468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Y260" i="1"/>
  <c r="M498" i="1"/>
  <c r="Y267" i="1"/>
  <c r="Y294" i="1"/>
  <c r="R498" i="1"/>
  <c r="Y338" i="1"/>
  <c r="Y394" i="1"/>
  <c r="X498" i="1"/>
  <c r="Y431" i="1"/>
  <c r="BP422" i="1"/>
  <c r="BN422" i="1"/>
  <c r="BP424" i="1"/>
  <c r="BN424" i="1"/>
  <c r="Z424" i="1"/>
  <c r="BP428" i="1"/>
  <c r="BN428" i="1"/>
  <c r="Z428" i="1"/>
  <c r="BP436" i="1"/>
  <c r="BN436" i="1"/>
  <c r="Z436" i="1"/>
  <c r="Y447" i="1"/>
  <c r="BP440" i="1"/>
  <c r="BN440" i="1"/>
  <c r="Z440" i="1"/>
  <c r="BP444" i="1"/>
  <c r="BN444" i="1"/>
  <c r="Z444" i="1"/>
  <c r="Y453" i="1"/>
  <c r="BP458" i="1"/>
  <c r="BN458" i="1"/>
  <c r="Z458" i="1"/>
  <c r="Z461" i="1" s="1"/>
  <c r="BP466" i="1"/>
  <c r="BN466" i="1"/>
  <c r="Z466" i="1"/>
  <c r="Y473" i="1"/>
  <c r="BP470" i="1"/>
  <c r="BN470" i="1"/>
  <c r="Z470" i="1"/>
  <c r="Z472" i="1" s="1"/>
  <c r="Y481" i="1"/>
  <c r="Y498" i="1"/>
  <c r="Z446" i="1" l="1"/>
  <c r="Z410" i="1"/>
  <c r="Z393" i="1"/>
  <c r="Z337" i="1"/>
  <c r="Z311" i="1"/>
  <c r="Z259" i="1"/>
  <c r="Z109" i="1"/>
  <c r="Z95" i="1"/>
  <c r="Z452" i="1"/>
  <c r="Z379" i="1"/>
  <c r="Z280" i="1"/>
  <c r="Z88" i="1"/>
  <c r="Z234" i="1"/>
  <c r="Z171" i="1"/>
  <c r="Z349" i="1"/>
  <c r="Z57" i="1"/>
  <c r="Y489" i="1"/>
  <c r="Z303" i="1"/>
  <c r="Z203" i="1"/>
  <c r="Z103" i="1"/>
  <c r="Z267" i="1"/>
  <c r="Y488" i="1"/>
  <c r="Y492" i="1"/>
  <c r="Z31" i="1"/>
  <c r="Y490" i="1"/>
  <c r="Z467" i="1"/>
  <c r="Z431" i="1"/>
  <c r="Z250" i="1"/>
  <c r="Z215" i="1"/>
  <c r="Z149" i="1"/>
  <c r="Z143" i="1"/>
  <c r="Z116" i="1"/>
  <c r="X491" i="1"/>
  <c r="Z437" i="1"/>
  <c r="Z69" i="1"/>
  <c r="Z493" i="1" l="1"/>
  <c r="Y491" i="1"/>
</calcChain>
</file>

<file path=xl/sharedStrings.xml><?xml version="1.0" encoding="utf-8"?>
<sst xmlns="http://schemas.openxmlformats.org/spreadsheetml/2006/main" count="2272" uniqueCount="763">
  <si>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</si>
  <si>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</si>
  <si>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</si>
  <si>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</si>
  <si>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</si>
  <si>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</si>
  <si>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</si>
  <si>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</si>
  <si>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</si>
  <si>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</si>
  <si>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</si>
  <si>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</si>
  <si>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</si>
  <si>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</si>
  <si>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</si>
  <si>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</si>
  <si>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</si>
  <si>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</si>
  <si>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</si>
  <si>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</si>
  <si>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</si>
  <si>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</si>
  <si>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</si>
  <si>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</si>
  <si>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</si>
  <si>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</si>
  <si>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</si>
  <si>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</si>
  <si>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</si>
  <si>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</si>
  <si>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</si>
  <si>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</si>
  <si>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</si>
  <si>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</si>
  <si>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</si>
  <si>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</si>
  <si>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</si>
  <si>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</si>
  <si>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</si>
  <si>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</si>
  <si>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</si>
  <si>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</si>
  <si>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</si>
  <si>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</si>
  <si>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</si>
  <si>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</si>
  <si>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</si>
  <si>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</si>
  <si>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</si>
  <si>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</si>
  <si>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</si>
  <si>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</si>
  <si>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</si>
  <si>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</si>
  <si>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</si>
  <si>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</si>
  <si>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</si>
  <si>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</si>
  <si>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</si>
  <si>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</si>
  <si>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</si>
  <si>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</si>
  <si>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</si>
  <si>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</si>
  <si>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</si>
  <si>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</si>
  <si>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</si>
  <si>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</si>
  <si>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</si>
  <si>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</si>
  <si>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</si>
  <si>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</si>
  <si>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</si>
  <si>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</si>
  <si>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</si>
  <si>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</si>
  <si>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</si>
  <si>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</si>
  <si>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</si>
  <si>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</si>
  <si>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</si>
  <si>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</si>
  <si>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</si>
  <si>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</si>
  <si>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</si>
  <si>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</si>
  <si>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</si>
  <si>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</si>
  <si>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</si>
  <si>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</si>
  <si>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</si>
  <si>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</si>
  <si>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</si>
  <si>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</si>
  <si>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</si>
  <si>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</si>
  <si>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</si>
  <si>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</si>
  <si>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</si>
  <si>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</si>
  <si>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</si>
  <si>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</si>
  <si>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</si>
  <si>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</si>
  <si>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</si>
  <si>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</si>
  <si>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</si>
  <si>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</si>
  <si>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</si>
  <si>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</si>
  <si>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</si>
  <si>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</si>
  <si>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</si>
  <si>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</si>
  <si>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</si>
  <si>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</si>
  <si>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</si>
  <si>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</si>
  <si>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</si>
  <si>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</si>
  <si>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</si>
  <si>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</si>
  <si>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</si>
  <si>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</si>
  <si>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</si>
  <si>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</si>
  <si>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</si>
  <si>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</si>
  <si>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</si>
  <si>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</si>
  <si>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</si>
  <si>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</si>
  <si>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</si>
  <si>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</si>
  <si>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</si>
  <si>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</si>
  <si>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</si>
  <si>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</si>
  <si>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</si>
  <si>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</si>
  <si>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</si>
  <si>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</si>
  <si>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</si>
  <si>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</si>
  <si>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</si>
  <si>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</si>
  <si>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</si>
  <si>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</si>
  <si>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</si>
  <si>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</si>
  <si>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</si>
  <si>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</si>
  <si>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</si>
  <si>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</si>
  <si>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</si>
  <si>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</si>
  <si>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</si>
  <si>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</si>
  <si>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</si>
  <si>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</si>
  <si>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</si>
  <si>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</si>
  <si>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</si>
  <si>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</si>
  <si>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</si>
  <si>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</si>
  <si>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</si>
  <si>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</si>
  <si>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</si>
  <si>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</si>
  <si>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</si>
  <si>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</si>
  <si>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</si>
  <si>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</si>
  <si>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</si>
  <si>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</si>
  <si>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</si>
  <si>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</si>
  <si>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</si>
  <si>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</si>
  <si>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</si>
  <si>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</si>
  <si>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</si>
  <si>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</si>
  <si>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</si>
  <si>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</si>
  <si>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</si>
  <si>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</si>
  <si>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</si>
  <si>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</si>
  <si>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</si>
  <si>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</si>
  <si>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</si>
  <si>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</si>
  <si>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</si>
  <si>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</si>
  <si>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</si>
  <si>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</si>
  <si>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</si>
  <si>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</si>
  <si>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</si>
  <si>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</si>
  <si>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</si>
  <si>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</si>
  <si>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</si>
  <si>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</si>
  <si>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</si>
  <si>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</si>
  <si>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</si>
  <si>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</si>
  <si>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</si>
  <si>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</si>
  <si>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</si>
  <si>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</si>
  <si>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</si>
  <si>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</si>
  <si>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</si>
  <si>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</si>
  <si>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</si>
  <si>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</si>
  <si>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</si>
  <si>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</si>
  <si>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</si>
  <si>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</si>
  <si>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</si>
  <si>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</si>
  <si>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</si>
  <si>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</si>
  <si>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</si>
  <si>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</si>
  <si>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</si>
  <si>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</si>
  <si>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</si>
  <si>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</si>
  <si>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</si>
  <si>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</si>
  <si>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</si>
  <si>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</si>
  <si>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</si>
  <si>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</si>
  <si>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</si>
  <si>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</si>
  <si>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</si>
  <si>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</si>
  <si>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</si>
  <si>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</si>
  <si>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</si>
  <si>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</si>
  <si>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</si>
  <si>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</si>
  <si>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</si>
  <si>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</si>
  <si>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</si>
  <si>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</si>
  <si>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</si>
  <si>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</si>
  <si>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</si>
  <si>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</si>
  <si>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</si>
  <si>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</si>
  <si>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</si>
  <si>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</si>
  <si>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</si>
  <si>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</si>
  <si>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</si>
  <si>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</si>
  <si>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</si>
  <si>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</si>
  <si>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</si>
  <si>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</si>
  <si>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</si>
  <si>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</si>
  <si>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</si>
  <si>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</si>
  <si>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</si>
  <si>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</si>
  <si>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</si>
  <si>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</si>
  <si>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</si>
  <si>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</si>
  <si>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</si>
  <si>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</si>
  <si>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</si>
  <si>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</si>
  <si>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</si>
  <si>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</si>
  <si>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</si>
  <si>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</si>
  <si>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</si>
  <si>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</si>
  <si>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</si>
  <si>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</si>
  <si>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</si>
  <si>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</si>
  <si>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</si>
  <si>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</si>
  <si>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</si>
  <si>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</si>
  <si>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</si>
  <si>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</si>
  <si>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</si>
  <si>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</si>
  <si>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</si>
  <si>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</si>
  <si>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</si>
  <si>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</si>
  <si>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</si>
  <si>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</si>
  <si>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</si>
  <si>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</si>
  <si>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</si>
  <si>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</si>
  <si>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</si>
  <si>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</si>
  <si>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</si>
  <si>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</si>
  <si>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</si>
  <si>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</si>
  <si>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</si>
  <si>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</si>
  <si>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</si>
  <si>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</si>
  <si>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</si>
  <si>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</si>
  <si>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</si>
  <si>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</si>
  <si>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</si>
  <si>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</si>
  <si>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</si>
  <si>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</si>
  <si>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</si>
  <si>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</si>
  <si>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</si>
  <si>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</si>
  <si>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</si>
  <si>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</si>
  <si>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</si>
  <si>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</si>
  <si>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</si>
  <si>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</si>
  <si>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</si>
  <si>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</si>
  <si>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</si>
  <si>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</si>
  <si>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</si>
  <si>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</si>
  <si>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</si>
  <si>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</si>
  <si>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</si>
  <si>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</si>
  <si>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</si>
  <si>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</si>
  <si>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</si>
  <si>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</si>
  <si>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</si>
  <si>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</si>
  <si>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</si>
  <si>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</si>
  <si>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</si>
  <si>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</si>
  <si>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</si>
  <si>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</si>
  <si>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</si>
  <si>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</si>
  <si>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</si>
  <si>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</si>
  <si>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</si>
  <si>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</si>
  <si>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</si>
  <si>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</si>
  <si>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</si>
  <si>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</si>
  <si>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</si>
  <si>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</si>
  <si>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</si>
  <si>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</si>
  <si>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</si>
  <si>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</si>
  <si>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</si>
  <si>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</si>
  <si>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</si>
  <si>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</si>
  <si>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</si>
  <si>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</si>
  <si>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</si>
  <si>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</si>
  <si>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</si>
  <si>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</si>
  <si>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</si>
  <si>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</si>
  <si>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</si>
  <si>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</si>
  <si>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</si>
  <si>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</si>
  <si>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</si>
  <si>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</si>
  <si>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</si>
  <si>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</si>
  <si>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</si>
  <si>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</si>
  <si>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</si>
  <si>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</si>
  <si>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</si>
  <si>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</si>
  <si>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</si>
  <si>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</si>
  <si>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</si>
  <si>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</si>
  <si>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</si>
  <si>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</si>
  <si>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</si>
  <si>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</si>
  <si>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</si>
  <si>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</si>
  <si>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</si>
  <si>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</si>
  <si>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</si>
  <si>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</si>
  <si>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</si>
  <si>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</si>
  <si>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</si>
  <si>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</si>
  <si>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</si>
  <si>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</si>
  <si>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</si>
  <si>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</si>
  <si>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</si>
  <si>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</si>
  <si>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</si>
  <si>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</si>
  <si>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</si>
  <si>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</si>
  <si>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</si>
  <si>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</si>
  <si>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</si>
  <si>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</si>
  <si>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</si>
  <si>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</si>
  <si>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</si>
  <si>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</si>
  <si>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</si>
  <si>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</si>
  <si>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</si>
  <si>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</si>
  <si>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</si>
  <si>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</si>
  <si>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</si>
  <si>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</si>
  <si>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</si>
  <si>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</si>
  <si>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</si>
  <si>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</si>
  <si>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</si>
  <si>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</si>
  <si>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</si>
  <si>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</si>
  <si>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</si>
  <si>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</si>
  <si>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</si>
  <si>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</si>
  <si>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</si>
  <si>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</si>
  <si>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</si>
  <si>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</si>
  <si>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</si>
  <si>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</si>
  <si>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</si>
  <si>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</si>
  <si>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</si>
  <si>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</si>
  <si>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</si>
  <si>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</si>
  <si>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</si>
  <si>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</si>
  <si>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</si>
  <si>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</si>
  <si>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</si>
  <si>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</si>
  <si>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</si>
  <si>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</si>
  <si>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</si>
  <si>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</si>
  <si>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</si>
  <si>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</si>
  <si>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</si>
  <si>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</si>
  <si>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</si>
  <si>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</si>
  <si>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</si>
  <si>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</si>
  <si>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</si>
  <si>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</si>
  <si>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</si>
  <si>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</si>
  <si>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</si>
  <si>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</si>
  <si>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</si>
  <si>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</si>
  <si>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</si>
  <si>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</si>
  <si>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</si>
  <si>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</si>
  <si>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</si>
  <si>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</si>
  <si>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</si>
  <si>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</si>
  <si>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</si>
  <si>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</si>
  <si>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</si>
  <si>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</si>
  <si>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</si>
  <si>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</si>
  <si>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</si>
  <si>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</si>
  <si>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</si>
  <si>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</si>
  <si>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</si>
  <si>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</si>
  <si>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</si>
  <si>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</si>
  <si>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</si>
  <si>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</si>
  <si>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</si>
  <si>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</si>
  <si>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</si>
  <si>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</si>
  <si>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</si>
  <si>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</si>
  <si>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</si>
  <si>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</si>
  <si>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</si>
  <si>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</si>
  <si>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</si>
  <si>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</si>
  <si>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</si>
  <si>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</si>
  <si>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</si>
  <si>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</si>
  <si>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</si>
  <si>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</si>
  <si>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</si>
  <si>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</si>
  <si>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</si>
  <si>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</si>
  <si>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</si>
  <si>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</si>
  <si>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</si>
  <si>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</si>
  <si>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</si>
  <si>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</si>
  <si>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</si>
  <si>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</si>
  <si>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</si>
  <si>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</si>
  <si>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</si>
  <si>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</si>
  <si>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</si>
  <si>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</si>
  <si>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</si>
  <si>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</si>
  <si>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</si>
  <si>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</si>
  <si>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</si>
  <si>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</si>
  <si>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</si>
  <si>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</si>
  <si>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</si>
  <si>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</si>
  <si>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</si>
  <si>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</si>
  <si>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</si>
  <si>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</si>
  <si>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</si>
  <si>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</si>
  <si>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</si>
  <si>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</si>
  <si>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</si>
  <si>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</si>
  <si>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</si>
  <si>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</si>
  <si>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</si>
  <si>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</si>
  <si>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</si>
  <si>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</si>
  <si>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</si>
  <si>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</si>
  <si>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</si>
  <si>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</si>
  <si>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</si>
  <si>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</si>
  <si>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</si>
  <si>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</si>
  <si>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</si>
  <si>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</si>
  <si>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</si>
  <si>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</si>
  <si>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</si>
  <si>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</si>
  <si>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</si>
  <si>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</si>
  <si>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</si>
  <si>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</si>
  <si>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</si>
  <si>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</si>
  <si>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</si>
  <si>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</si>
  <si>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</si>
  <si>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</si>
  <si>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</si>
  <si>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</si>
  <si>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</si>
  <si>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</si>
  <si>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</si>
  <si>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</si>
  <si>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</si>
  <si>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</si>
  <si>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</si>
  <si>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</si>
  <si>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</si>
  <si>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</si>
  <si>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</si>
  <si>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</si>
  <si>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</si>
  <si>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</si>
  <si>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</si>
  <si>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</si>
  <si>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</si>
  <si>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</si>
  <si>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</si>
  <si>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</si>
  <si>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</si>
  <si>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</si>
  <si>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</si>
  <si>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</si>
  <si>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</si>
  <si>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</si>
  <si>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</si>
  <si>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</si>
  <si>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</si>
  <si>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</si>
  <si>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</si>
  <si>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</si>
  <si>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</si>
  <si>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</si>
  <si>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</si>
  <si>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</si>
  <si>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</si>
  <si>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</si>
  <si>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</si>
  <si>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</si>
  <si>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</si>
  <si>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</si>
  <si>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</si>
  <si>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</si>
  <si>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</si>
  <si>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</si>
  <si>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</si>
  <si>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</si>
  <si>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</si>
  <si>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</si>
  <si>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</si>
  <si>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</si>
  <si>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</si>
  <si>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</si>
  <si>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</si>
  <si>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</si>
  <si>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</si>
  <si>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</si>
  <si>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</si>
  <si>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</si>
  <si>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</si>
  <si>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</si>
  <si>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</si>
  <si>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</si>
  <si>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</si>
  <si>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</si>
  <si>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</si>
  <si>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</si>
  <si>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</si>
  <si>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</si>
  <si>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</si>
  <si>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</si>
  <si>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</si>
  <si>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</si>
  <si>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</si>
  <si>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</si>
  <si>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</si>
  <si>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</si>
  <si>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</si>
  <si>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</si>
  <si>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</si>
  <si>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</si>
  <si>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</si>
  <si>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</si>
  <si>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</si>
  <si>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</si>
  <si>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</si>
  <si>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</si>
  <si>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</si>
  <si>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</si>
  <si>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</si>
  <si>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</si>
  <si>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</si>
  <si>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</si>
  <si>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</si>
  <si>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</si>
  <si>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</si>
  <si>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</si>
  <si>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</si>
  <si>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</si>
  <si>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</si>
  <si>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</si>
  <si>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</si>
  <si>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</si>
  <si>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</si>
  <si>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</si>
  <si>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</si>
  <si>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</si>
  <si>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</si>
  <si>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</si>
  <si>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</si>
  <si>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</si>
  <si>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</si>
  <si>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</si>
  <si>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</si>
  <si>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</si>
  <si>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</si>
  <si>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</si>
  <si>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</si>
  <si>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</si>
  <si>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</si>
  <si>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</si>
  <si>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</si>
  <si>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</si>
  <si>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</si>
  <si>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</si>
  <si>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</si>
  <si>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</si>
  <si>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</si>
  <si>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</si>
  <si>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</si>
  <si>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</si>
  <si>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</si>
  <si>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</si>
  <si>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</si>
  <si>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</si>
  <si>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</si>
  <si>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</si>
  <si>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</si>
  <si>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</si>
  <si>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</si>
  <si>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</si>
  <si>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</si>
  <si>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</si>
  <si>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</si>
  <si>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</si>
  <si>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</si>
  <si>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</si>
  <si>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</si>
  <si>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</si>
  <si>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</si>
  <si>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</si>
  <si>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27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</si>
</sst>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804" t="s">
        <v>0</v>
      </c>
      <c r="E1" s="574"/>
      <c r="F1" s="574"/>
      <c r="G1" s="12" t="s">
        <v>1</v>
      </c>
      <c r="H1" s="804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849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4"/>
      <c r="R2" s="544"/>
      <c r="S2" s="544"/>
      <c r="T2" s="544"/>
      <c r="U2" s="544"/>
      <c r="V2" s="544"/>
      <c r="W2" s="54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4"/>
      <c r="Q3" s="544"/>
      <c r="R3" s="544"/>
      <c r="S3" s="544"/>
      <c r="T3" s="544"/>
      <c r="U3" s="544"/>
      <c r="V3" s="544"/>
      <c r="W3" s="54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768" t="s">
        <v>8</v>
      </c>
      <c r="B5" s="561"/>
      <c r="C5" s="562"/>
      <c r="D5" s="667"/>
      <c r="E5" s="669"/>
      <c r="F5" s="613" t="s">
        <v>9</v>
      </c>
      <c r="G5" s="562"/>
      <c r="H5" s="667" t="s">
        <v>762</v>
      </c>
      <c r="I5" s="668"/>
      <c r="J5" s="668"/>
      <c r="K5" s="668"/>
      <c r="L5" s="668"/>
      <c r="M5" s="669"/>
      <c r="N5" s="58"/>
      <c r="P5" s="24" t="s">
        <v>10</v>
      </c>
      <c r="Q5" s="588">
        <v>45976</v>
      </c>
      <c r="R5" s="589"/>
      <c r="T5" s="731" t="s">
        <v>11</v>
      </c>
      <c r="U5" s="642"/>
      <c r="V5" s="732" t="s">
        <v>12</v>
      </c>
      <c r="W5" s="589"/>
      <c r="AB5" s="51"/>
      <c r="AC5" s="51"/>
      <c r="AD5" s="51"/>
      <c r="AE5" s="51"/>
    </row>
    <row r="6" spans="1:32" s="533" customFormat="1" ht="24" customHeight="1" x14ac:dyDescent="0.2">
      <c r="A6" s="768" t="s">
        <v>13</v>
      </c>
      <c r="B6" s="561"/>
      <c r="C6" s="562"/>
      <c r="D6" s="672" t="s">
        <v>14</v>
      </c>
      <c r="E6" s="673"/>
      <c r="F6" s="673"/>
      <c r="G6" s="673"/>
      <c r="H6" s="673"/>
      <c r="I6" s="673"/>
      <c r="J6" s="673"/>
      <c r="K6" s="673"/>
      <c r="L6" s="673"/>
      <c r="M6" s="589"/>
      <c r="N6" s="59"/>
      <c r="P6" s="24" t="s">
        <v>15</v>
      </c>
      <c r="Q6" s="597" t="str">
        <f>IF(Q5=0," ",CHOOSE(WEEKDAY(Q5,2),"Понедельник","Вторник","Среда","Четверг","Пятница","Суббота","Воскресенье"))</f>
        <v>Суббота</v>
      </c>
      <c r="R6" s="551"/>
      <c r="T6" s="736" t="s">
        <v>16</v>
      </c>
      <c r="U6" s="642"/>
      <c r="V6" s="685" t="s">
        <v>17</v>
      </c>
      <c r="W6" s="686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827" t="str">
        <f>IFERROR(VLOOKUP(DeliveryAddress,Table,3,0),1)</f>
        <v>1</v>
      </c>
      <c r="E7" s="828"/>
      <c r="F7" s="828"/>
      <c r="G7" s="828"/>
      <c r="H7" s="828"/>
      <c r="I7" s="828"/>
      <c r="J7" s="828"/>
      <c r="K7" s="828"/>
      <c r="L7" s="828"/>
      <c r="M7" s="734"/>
      <c r="N7" s="60"/>
      <c r="P7" s="24"/>
      <c r="Q7" s="42"/>
      <c r="R7" s="42"/>
      <c r="T7" s="544"/>
      <c r="U7" s="642"/>
      <c r="V7" s="687"/>
      <c r="W7" s="688"/>
      <c r="AB7" s="51"/>
      <c r="AC7" s="51"/>
      <c r="AD7" s="51"/>
      <c r="AE7" s="51"/>
    </row>
    <row r="8" spans="1:32" s="533" customFormat="1" ht="25.5" customHeight="1" x14ac:dyDescent="0.2">
      <c r="A8" s="565" t="s">
        <v>18</v>
      </c>
      <c r="B8" s="546"/>
      <c r="C8" s="547"/>
      <c r="D8" s="833" t="s">
        <v>19</v>
      </c>
      <c r="E8" s="834"/>
      <c r="F8" s="834"/>
      <c r="G8" s="834"/>
      <c r="H8" s="834"/>
      <c r="I8" s="834"/>
      <c r="J8" s="834"/>
      <c r="K8" s="834"/>
      <c r="L8" s="834"/>
      <c r="M8" s="835"/>
      <c r="N8" s="61"/>
      <c r="P8" s="24" t="s">
        <v>20</v>
      </c>
      <c r="Q8" s="733">
        <v>0.45833333333333331</v>
      </c>
      <c r="R8" s="734"/>
      <c r="T8" s="544"/>
      <c r="U8" s="642"/>
      <c r="V8" s="687"/>
      <c r="W8" s="688"/>
      <c r="AB8" s="51"/>
      <c r="AC8" s="51"/>
      <c r="AD8" s="51"/>
      <c r="AE8" s="51"/>
    </row>
    <row r="9" spans="1:32" s="533" customFormat="1" ht="39.950000000000003" customHeight="1" x14ac:dyDescent="0.2">
      <c r="A9" s="5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4"/>
      <c r="C9" s="544"/>
      <c r="D9" s="624"/>
      <c r="E9" s="625"/>
      <c r="F9" s="5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4"/>
      <c r="H9" s="713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71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531"/>
      <c r="P9" s="26" t="s">
        <v>21</v>
      </c>
      <c r="Q9" s="719"/>
      <c r="R9" s="617"/>
      <c r="T9" s="544"/>
      <c r="U9" s="642"/>
      <c r="V9" s="689"/>
      <c r="W9" s="690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5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4"/>
      <c r="C10" s="544"/>
      <c r="D10" s="624"/>
      <c r="E10" s="625"/>
      <c r="F10" s="5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4"/>
      <c r="H10" s="679" t="str">
        <f>IFERROR(VLOOKUP($D$10,Proxy,2,FALSE),"")</f>
        <v/>
      </c>
      <c r="I10" s="544"/>
      <c r="J10" s="544"/>
      <c r="K10" s="544"/>
      <c r="L10" s="544"/>
      <c r="M10" s="544"/>
      <c r="N10" s="532"/>
      <c r="P10" s="26" t="s">
        <v>22</v>
      </c>
      <c r="Q10" s="737"/>
      <c r="R10" s="738"/>
      <c r="U10" s="24" t="s">
        <v>23</v>
      </c>
      <c r="V10" s="838" t="s">
        <v>24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4"/>
      <c r="R11" s="589"/>
      <c r="U11" s="24" t="s">
        <v>27</v>
      </c>
      <c r="V11" s="616" t="s">
        <v>28</v>
      </c>
      <c r="W11" s="617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742" t="s">
        <v>29</v>
      </c>
      <c r="B12" s="561"/>
      <c r="C12" s="561"/>
      <c r="D12" s="561"/>
      <c r="E12" s="561"/>
      <c r="F12" s="561"/>
      <c r="G12" s="561"/>
      <c r="H12" s="561"/>
      <c r="I12" s="561"/>
      <c r="J12" s="561"/>
      <c r="K12" s="561"/>
      <c r="L12" s="561"/>
      <c r="M12" s="562"/>
      <c r="N12" s="62"/>
      <c r="P12" s="24" t="s">
        <v>30</v>
      </c>
      <c r="Q12" s="733"/>
      <c r="R12" s="734"/>
      <c r="S12" s="23"/>
      <c r="U12" s="24"/>
      <c r="V12" s="574"/>
      <c r="W12" s="544"/>
      <c r="AB12" s="51"/>
      <c r="AC12" s="51"/>
      <c r="AD12" s="51"/>
      <c r="AE12" s="51"/>
    </row>
    <row r="13" spans="1:32" s="533" customFormat="1" ht="23.25" customHeight="1" x14ac:dyDescent="0.2">
      <c r="A13" s="742" t="s">
        <v>31</v>
      </c>
      <c r="B13" s="561"/>
      <c r="C13" s="561"/>
      <c r="D13" s="561"/>
      <c r="E13" s="561"/>
      <c r="F13" s="561"/>
      <c r="G13" s="561"/>
      <c r="H13" s="561"/>
      <c r="I13" s="561"/>
      <c r="J13" s="561"/>
      <c r="K13" s="561"/>
      <c r="L13" s="561"/>
      <c r="M13" s="562"/>
      <c r="N13" s="62"/>
      <c r="O13" s="26"/>
      <c r="P13" s="26" t="s">
        <v>32</v>
      </c>
      <c r="Q13" s="616"/>
      <c r="R13" s="61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742" t="s">
        <v>33</v>
      </c>
      <c r="B14" s="561"/>
      <c r="C14" s="561"/>
      <c r="D14" s="561"/>
      <c r="E14" s="561"/>
      <c r="F14" s="561"/>
      <c r="G14" s="561"/>
      <c r="H14" s="561"/>
      <c r="I14" s="561"/>
      <c r="J14" s="561"/>
      <c r="K14" s="561"/>
      <c r="L14" s="561"/>
      <c r="M14" s="5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43" t="s">
        <v>34</v>
      </c>
      <c r="B15" s="561"/>
      <c r="C15" s="561"/>
      <c r="D15" s="561"/>
      <c r="E15" s="561"/>
      <c r="F15" s="561"/>
      <c r="G15" s="561"/>
      <c r="H15" s="561"/>
      <c r="I15" s="561"/>
      <c r="J15" s="561"/>
      <c r="K15" s="561"/>
      <c r="L15" s="561"/>
      <c r="M15" s="562"/>
      <c r="N15" s="63"/>
      <c r="P15" s="766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7"/>
      <c r="Q16" s="767"/>
      <c r="R16" s="767"/>
      <c r="S16" s="767"/>
      <c r="T16" s="7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9" t="s">
        <v>36</v>
      </c>
      <c r="B17" s="569" t="s">
        <v>37</v>
      </c>
      <c r="C17" s="772" t="s">
        <v>38</v>
      </c>
      <c r="D17" s="569" t="s">
        <v>39</v>
      </c>
      <c r="E17" s="570"/>
      <c r="F17" s="569" t="s">
        <v>40</v>
      </c>
      <c r="G17" s="569" t="s">
        <v>41</v>
      </c>
      <c r="H17" s="569" t="s">
        <v>42</v>
      </c>
      <c r="I17" s="569" t="s">
        <v>43</v>
      </c>
      <c r="J17" s="569" t="s">
        <v>44</v>
      </c>
      <c r="K17" s="569" t="s">
        <v>45</v>
      </c>
      <c r="L17" s="569" t="s">
        <v>46</v>
      </c>
      <c r="M17" s="569" t="s">
        <v>47</v>
      </c>
      <c r="N17" s="569" t="s">
        <v>48</v>
      </c>
      <c r="O17" s="569" t="s">
        <v>49</v>
      </c>
      <c r="P17" s="569" t="s">
        <v>50</v>
      </c>
      <c r="Q17" s="790"/>
      <c r="R17" s="790"/>
      <c r="S17" s="790"/>
      <c r="T17" s="570"/>
      <c r="U17" s="581" t="s">
        <v>51</v>
      </c>
      <c r="V17" s="562"/>
      <c r="W17" s="569" t="s">
        <v>52</v>
      </c>
      <c r="X17" s="569" t="s">
        <v>53</v>
      </c>
      <c r="Y17" s="582" t="s">
        <v>54</v>
      </c>
      <c r="Z17" s="698" t="s">
        <v>55</v>
      </c>
      <c r="AA17" s="606" t="s">
        <v>56</v>
      </c>
      <c r="AB17" s="606" t="s">
        <v>57</v>
      </c>
      <c r="AC17" s="606" t="s">
        <v>58</v>
      </c>
      <c r="AD17" s="606" t="s">
        <v>59</v>
      </c>
      <c r="AE17" s="607"/>
      <c r="AF17" s="608"/>
      <c r="AG17" s="66"/>
      <c r="BD17" s="65" t="s">
        <v>60</v>
      </c>
    </row>
    <row r="18" spans="1:68" ht="14.25" customHeight="1" x14ac:dyDescent="0.2">
      <c r="A18" s="573"/>
      <c r="B18" s="573"/>
      <c r="C18" s="573"/>
      <c r="D18" s="571"/>
      <c r="E18" s="572"/>
      <c r="F18" s="573"/>
      <c r="G18" s="573"/>
      <c r="H18" s="573"/>
      <c r="I18" s="573"/>
      <c r="J18" s="573"/>
      <c r="K18" s="573"/>
      <c r="L18" s="573"/>
      <c r="M18" s="573"/>
      <c r="N18" s="573"/>
      <c r="O18" s="573"/>
      <c r="P18" s="571"/>
      <c r="Q18" s="791"/>
      <c r="R18" s="791"/>
      <c r="S18" s="791"/>
      <c r="T18" s="572"/>
      <c r="U18" s="67" t="s">
        <v>61</v>
      </c>
      <c r="V18" s="67" t="s">
        <v>62</v>
      </c>
      <c r="W18" s="573"/>
      <c r="X18" s="573"/>
      <c r="Y18" s="583"/>
      <c r="Z18" s="699"/>
      <c r="AA18" s="701"/>
      <c r="AB18" s="701"/>
      <c r="AC18" s="701"/>
      <c r="AD18" s="609"/>
      <c r="AE18" s="610"/>
      <c r="AF18" s="611"/>
      <c r="AG18" s="66"/>
      <c r="BD18" s="65"/>
    </row>
    <row r="19" spans="1:68" ht="27.75" hidden="1" customHeight="1" x14ac:dyDescent="0.2">
      <c r="A19" s="558" t="s">
        <v>63</v>
      </c>
      <c r="B19" s="559"/>
      <c r="C19" s="559"/>
      <c r="D19" s="559"/>
      <c r="E19" s="559"/>
      <c r="F19" s="559"/>
      <c r="G19" s="559"/>
      <c r="H19" s="559"/>
      <c r="I19" s="559"/>
      <c r="J19" s="559"/>
      <c r="K19" s="559"/>
      <c r="L19" s="559"/>
      <c r="M19" s="559"/>
      <c r="N19" s="559"/>
      <c r="O19" s="559"/>
      <c r="P19" s="559"/>
      <c r="Q19" s="559"/>
      <c r="R19" s="559"/>
      <c r="S19" s="559"/>
      <c r="T19" s="559"/>
      <c r="U19" s="559"/>
      <c r="V19" s="559"/>
      <c r="W19" s="559"/>
      <c r="X19" s="559"/>
      <c r="Y19" s="559"/>
      <c r="Z19" s="559"/>
      <c r="AA19" s="48"/>
      <c r="AB19" s="48"/>
      <c r="AC19" s="48"/>
    </row>
    <row r="20" spans="1:68" ht="16.5" hidden="1" customHeight="1" x14ac:dyDescent="0.25">
      <c r="A20" s="585" t="s">
        <v>63</v>
      </c>
      <c r="B20" s="544"/>
      <c r="C20" s="544"/>
      <c r="D20" s="544"/>
      <c r="E20" s="544"/>
      <c r="F20" s="544"/>
      <c r="G20" s="544"/>
      <c r="H20" s="544"/>
      <c r="I20" s="544"/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34"/>
      <c r="AB20" s="534"/>
      <c r="AC20" s="534"/>
    </row>
    <row r="21" spans="1:68" ht="14.25" hidden="1" customHeight="1" x14ac:dyDescent="0.25">
      <c r="A21" s="543" t="s">
        <v>64</v>
      </c>
      <c r="B21" s="544"/>
      <c r="C21" s="544"/>
      <c r="D21" s="544"/>
      <c r="E21" s="544"/>
      <c r="F21" s="544"/>
      <c r="G21" s="544"/>
      <c r="H21" s="544"/>
      <c r="I21" s="544"/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76"/>
      <c r="B23" s="544"/>
      <c r="C23" s="544"/>
      <c r="D23" s="544"/>
      <c r="E23" s="544"/>
      <c r="F23" s="544"/>
      <c r="G23" s="544"/>
      <c r="H23" s="544"/>
      <c r="I23" s="544"/>
      <c r="J23" s="544"/>
      <c r="K23" s="544"/>
      <c r="L23" s="544"/>
      <c r="M23" s="544"/>
      <c r="N23" s="544"/>
      <c r="O23" s="577"/>
      <c r="P23" s="545" t="s">
        <v>71</v>
      </c>
      <c r="Q23" s="546"/>
      <c r="R23" s="546"/>
      <c r="S23" s="546"/>
      <c r="T23" s="546"/>
      <c r="U23" s="546"/>
      <c r="V23" s="547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4"/>
      <c r="B24" s="544"/>
      <c r="C24" s="544"/>
      <c r="D24" s="544"/>
      <c r="E24" s="544"/>
      <c r="F24" s="544"/>
      <c r="G24" s="544"/>
      <c r="H24" s="544"/>
      <c r="I24" s="544"/>
      <c r="J24" s="544"/>
      <c r="K24" s="544"/>
      <c r="L24" s="544"/>
      <c r="M24" s="544"/>
      <c r="N24" s="544"/>
      <c r="O24" s="577"/>
      <c r="P24" s="545" t="s">
        <v>71</v>
      </c>
      <c r="Q24" s="546"/>
      <c r="R24" s="546"/>
      <c r="S24" s="546"/>
      <c r="T24" s="546"/>
      <c r="U24" s="546"/>
      <c r="V24" s="547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43" t="s">
        <v>73</v>
      </c>
      <c r="B25" s="544"/>
      <c r="C25" s="544"/>
      <c r="D25" s="544"/>
      <c r="E25" s="544"/>
      <c r="F25" s="544"/>
      <c r="G25" s="544"/>
      <c r="H25" s="544"/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5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8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50">
        <v>4607091388244</v>
      </c>
      <c r="E30" s="551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85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76"/>
      <c r="B31" s="544"/>
      <c r="C31" s="544"/>
      <c r="D31" s="544"/>
      <c r="E31" s="544"/>
      <c r="F31" s="544"/>
      <c r="G31" s="544"/>
      <c r="H31" s="544"/>
      <c r="I31" s="544"/>
      <c r="J31" s="544"/>
      <c r="K31" s="544"/>
      <c r="L31" s="544"/>
      <c r="M31" s="544"/>
      <c r="N31" s="544"/>
      <c r="O31" s="577"/>
      <c r="P31" s="545" t="s">
        <v>71</v>
      </c>
      <c r="Q31" s="546"/>
      <c r="R31" s="546"/>
      <c r="S31" s="546"/>
      <c r="T31" s="546"/>
      <c r="U31" s="546"/>
      <c r="V31" s="547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4"/>
      <c r="B32" s="544"/>
      <c r="C32" s="544"/>
      <c r="D32" s="544"/>
      <c r="E32" s="544"/>
      <c r="F32" s="544"/>
      <c r="G32" s="544"/>
      <c r="H32" s="544"/>
      <c r="I32" s="544"/>
      <c r="J32" s="544"/>
      <c r="K32" s="544"/>
      <c r="L32" s="544"/>
      <c r="M32" s="544"/>
      <c r="N32" s="544"/>
      <c r="O32" s="577"/>
      <c r="P32" s="545" t="s">
        <v>71</v>
      </c>
      <c r="Q32" s="546"/>
      <c r="R32" s="546"/>
      <c r="S32" s="546"/>
      <c r="T32" s="546"/>
      <c r="U32" s="546"/>
      <c r="V32" s="547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43" t="s">
        <v>91</v>
      </c>
      <c r="B33" s="544"/>
      <c r="C33" s="544"/>
      <c r="D33" s="544"/>
      <c r="E33" s="544"/>
      <c r="F33" s="544"/>
      <c r="G33" s="544"/>
      <c r="H33" s="544"/>
      <c r="I33" s="544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0">
        <v>4607091388503</v>
      </c>
      <c r="E34" s="551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76"/>
      <c r="B35" s="544"/>
      <c r="C35" s="544"/>
      <c r="D35" s="544"/>
      <c r="E35" s="544"/>
      <c r="F35" s="544"/>
      <c r="G35" s="544"/>
      <c r="H35" s="544"/>
      <c r="I35" s="544"/>
      <c r="J35" s="544"/>
      <c r="K35" s="544"/>
      <c r="L35" s="544"/>
      <c r="M35" s="544"/>
      <c r="N35" s="544"/>
      <c r="O35" s="577"/>
      <c r="P35" s="545" t="s">
        <v>71</v>
      </c>
      <c r="Q35" s="546"/>
      <c r="R35" s="546"/>
      <c r="S35" s="546"/>
      <c r="T35" s="546"/>
      <c r="U35" s="546"/>
      <c r="V35" s="547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4"/>
      <c r="B36" s="544"/>
      <c r="C36" s="544"/>
      <c r="D36" s="544"/>
      <c r="E36" s="544"/>
      <c r="F36" s="544"/>
      <c r="G36" s="544"/>
      <c r="H36" s="544"/>
      <c r="I36" s="544"/>
      <c r="J36" s="544"/>
      <c r="K36" s="544"/>
      <c r="L36" s="544"/>
      <c r="M36" s="544"/>
      <c r="N36" s="544"/>
      <c r="O36" s="577"/>
      <c r="P36" s="545" t="s">
        <v>71</v>
      </c>
      <c r="Q36" s="546"/>
      <c r="R36" s="546"/>
      <c r="S36" s="546"/>
      <c r="T36" s="546"/>
      <c r="U36" s="546"/>
      <c r="V36" s="547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558" t="s">
        <v>97</v>
      </c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Y37" s="559"/>
      <c r="Z37" s="559"/>
      <c r="AA37" s="48"/>
      <c r="AB37" s="48"/>
      <c r="AC37" s="48"/>
    </row>
    <row r="38" spans="1:68" ht="16.5" hidden="1" customHeight="1" x14ac:dyDescent="0.25">
      <c r="A38" s="585" t="s">
        <v>98</v>
      </c>
      <c r="B38" s="544"/>
      <c r="C38" s="544"/>
      <c r="D38" s="544"/>
      <c r="E38" s="544"/>
      <c r="F38" s="544"/>
      <c r="G38" s="544"/>
      <c r="H38" s="544"/>
      <c r="I38" s="544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34"/>
      <c r="AB38" s="534"/>
      <c r="AC38" s="534"/>
    </row>
    <row r="39" spans="1:68" ht="14.25" hidden="1" customHeight="1" x14ac:dyDescent="0.25">
      <c r="A39" s="543" t="s">
        <v>99</v>
      </c>
      <c r="B39" s="544"/>
      <c r="C39" s="544"/>
      <c r="D39" s="544"/>
      <c r="E39" s="544"/>
      <c r="F39" s="544"/>
      <c r="G39" s="544"/>
      <c r="H39" s="544"/>
      <c r="I39" s="544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0">
        <v>4607091385670</v>
      </c>
      <c r="E40" s="551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39">
        <v>345</v>
      </c>
      <c r="Y40" s="540">
        <f>IFERROR(IF(X40="",0,CEILING((X40/$H40),1)*$H40),"")</f>
        <v>345.6</v>
      </c>
      <c r="Z40" s="36">
        <f>IFERROR(IF(Y40=0,"",ROUNDUP(Y40/H40,0)*0.01898),"")</f>
        <v>0.60736000000000001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358.09722222222223</v>
      </c>
      <c r="BN40" s="64">
        <f>IFERROR(Y40*I40/H40,"0")</f>
        <v>358.72</v>
      </c>
      <c r="BO40" s="64">
        <f>IFERROR(1/J40*(X40/H40),"0")</f>
        <v>0.49913194444444442</v>
      </c>
      <c r="BP40" s="64">
        <f>IFERROR(1/J40*(Y40/H40),"0")</f>
        <v>0.5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0">
        <v>4607091385687</v>
      </c>
      <c r="E41" s="551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6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0">
        <v>4680115882539</v>
      </c>
      <c r="E42" s="551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81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6"/>
      <c r="B43" s="544"/>
      <c r="C43" s="544"/>
      <c r="D43" s="544"/>
      <c r="E43" s="544"/>
      <c r="F43" s="544"/>
      <c r="G43" s="544"/>
      <c r="H43" s="544"/>
      <c r="I43" s="544"/>
      <c r="J43" s="544"/>
      <c r="K43" s="544"/>
      <c r="L43" s="544"/>
      <c r="M43" s="544"/>
      <c r="N43" s="544"/>
      <c r="O43" s="577"/>
      <c r="P43" s="545" t="s">
        <v>71</v>
      </c>
      <c r="Q43" s="546"/>
      <c r="R43" s="546"/>
      <c r="S43" s="546"/>
      <c r="T43" s="546"/>
      <c r="U43" s="546"/>
      <c r="V43" s="547"/>
      <c r="W43" s="37" t="s">
        <v>72</v>
      </c>
      <c r="X43" s="541">
        <f>IFERROR(X40/H40,"0")+IFERROR(X41/H41,"0")+IFERROR(X42/H42,"0")</f>
        <v>31.944444444444443</v>
      </c>
      <c r="Y43" s="541">
        <f>IFERROR(Y40/H40,"0")+IFERROR(Y41/H41,"0")+IFERROR(Y42/H42,"0")</f>
        <v>32</v>
      </c>
      <c r="Z43" s="541">
        <f>IFERROR(IF(Z40="",0,Z40),"0")+IFERROR(IF(Z41="",0,Z41),"0")+IFERROR(IF(Z42="",0,Z42),"0")</f>
        <v>0.60736000000000001</v>
      </c>
      <c r="AA43" s="542"/>
      <c r="AB43" s="542"/>
      <c r="AC43" s="542"/>
    </row>
    <row r="44" spans="1:68" x14ac:dyDescent="0.2">
      <c r="A44" s="544"/>
      <c r="B44" s="544"/>
      <c r="C44" s="544"/>
      <c r="D44" s="544"/>
      <c r="E44" s="544"/>
      <c r="F44" s="544"/>
      <c r="G44" s="544"/>
      <c r="H44" s="544"/>
      <c r="I44" s="544"/>
      <c r="J44" s="544"/>
      <c r="K44" s="544"/>
      <c r="L44" s="544"/>
      <c r="M44" s="544"/>
      <c r="N44" s="544"/>
      <c r="O44" s="577"/>
      <c r="P44" s="545" t="s">
        <v>71</v>
      </c>
      <c r="Q44" s="546"/>
      <c r="R44" s="546"/>
      <c r="S44" s="546"/>
      <c r="T44" s="546"/>
      <c r="U44" s="546"/>
      <c r="V44" s="547"/>
      <c r="W44" s="37" t="s">
        <v>69</v>
      </c>
      <c r="X44" s="541">
        <f>IFERROR(SUM(X40:X42),"0")</f>
        <v>345</v>
      </c>
      <c r="Y44" s="541">
        <f>IFERROR(SUM(Y40:Y42),"0")</f>
        <v>345.6</v>
      </c>
      <c r="Z44" s="37"/>
      <c r="AA44" s="542"/>
      <c r="AB44" s="542"/>
      <c r="AC44" s="542"/>
    </row>
    <row r="45" spans="1:68" ht="14.25" hidden="1" customHeight="1" x14ac:dyDescent="0.25">
      <c r="A45" s="543" t="s">
        <v>73</v>
      </c>
      <c r="B45" s="544"/>
      <c r="C45" s="544"/>
      <c r="D45" s="544"/>
      <c r="E45" s="544"/>
      <c r="F45" s="544"/>
      <c r="G45" s="544"/>
      <c r="H45" s="544"/>
      <c r="I45" s="544"/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0">
        <v>4680115884915</v>
      </c>
      <c r="E46" s="551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64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76"/>
      <c r="B47" s="544"/>
      <c r="C47" s="544"/>
      <c r="D47" s="544"/>
      <c r="E47" s="544"/>
      <c r="F47" s="544"/>
      <c r="G47" s="544"/>
      <c r="H47" s="544"/>
      <c r="I47" s="544"/>
      <c r="J47" s="544"/>
      <c r="K47" s="544"/>
      <c r="L47" s="544"/>
      <c r="M47" s="544"/>
      <c r="N47" s="544"/>
      <c r="O47" s="577"/>
      <c r="P47" s="545" t="s">
        <v>71</v>
      </c>
      <c r="Q47" s="546"/>
      <c r="R47" s="546"/>
      <c r="S47" s="546"/>
      <c r="T47" s="546"/>
      <c r="U47" s="546"/>
      <c r="V47" s="547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4"/>
      <c r="B48" s="544"/>
      <c r="C48" s="544"/>
      <c r="D48" s="544"/>
      <c r="E48" s="544"/>
      <c r="F48" s="544"/>
      <c r="G48" s="544"/>
      <c r="H48" s="544"/>
      <c r="I48" s="544"/>
      <c r="J48" s="544"/>
      <c r="K48" s="544"/>
      <c r="L48" s="544"/>
      <c r="M48" s="544"/>
      <c r="N48" s="544"/>
      <c r="O48" s="577"/>
      <c r="P48" s="545" t="s">
        <v>71</v>
      </c>
      <c r="Q48" s="546"/>
      <c r="R48" s="546"/>
      <c r="S48" s="546"/>
      <c r="T48" s="546"/>
      <c r="U48" s="546"/>
      <c r="V48" s="547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85" t="s">
        <v>116</v>
      </c>
      <c r="B49" s="544"/>
      <c r="C49" s="544"/>
      <c r="D49" s="544"/>
      <c r="E49" s="544"/>
      <c r="F49" s="544"/>
      <c r="G49" s="544"/>
      <c r="H49" s="544"/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34"/>
      <c r="AB49" s="534"/>
      <c r="AC49" s="534"/>
    </row>
    <row r="50" spans="1:68" ht="14.25" hidden="1" customHeight="1" x14ac:dyDescent="0.25">
      <c r="A50" s="543" t="s">
        <v>99</v>
      </c>
      <c r="B50" s="544"/>
      <c r="C50" s="544"/>
      <c r="D50" s="544"/>
      <c r="E50" s="544"/>
      <c r="F50" s="544"/>
      <c r="G50" s="544"/>
      <c r="H50" s="544"/>
      <c r="I50" s="544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0">
        <v>4680115885882</v>
      </c>
      <c r="E51" s="551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39">
        <v>13</v>
      </c>
      <c r="Y51" s="540">
        <f t="shared" ref="Y51:Y56" si="0">IFERROR(IF(X51="",0,CEILING((X51/$H51),1)*$H51),"")</f>
        <v>22.4</v>
      </c>
      <c r="Z51" s="36">
        <f>IFERROR(IF(Y51=0,"",ROUNDUP(Y51/H51,0)*0.01898),"")</f>
        <v>3.7960000000000001E-2</v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13.475892857142858</v>
      </c>
      <c r="BN51" s="64">
        <f t="shared" ref="BN51:BN56" si="2">IFERROR(Y51*I51/H51,"0")</f>
        <v>23.22</v>
      </c>
      <c r="BO51" s="64">
        <f t="shared" ref="BO51:BO56" si="3">IFERROR(1/J51*(X51/H51),"0")</f>
        <v>1.8136160714285716E-2</v>
      </c>
      <c r="BP51" s="64">
        <f t="shared" ref="BP51:BP56" si="4">IFERROR(1/J51*(Y51/H51),"0")</f>
        <v>3.125E-2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0">
        <v>4680115881426</v>
      </c>
      <c r="E52" s="551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0">
        <v>4680115880283</v>
      </c>
      <c r="E53" s="551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6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50">
        <v>4680115881525</v>
      </c>
      <c r="E54" s="551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6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39">
        <v>34</v>
      </c>
      <c r="Y54" s="540">
        <f t="shared" si="0"/>
        <v>36</v>
      </c>
      <c r="Z54" s="36">
        <f>IFERROR(IF(Y54=0,"",ROUNDUP(Y54/H54,0)*0.00902),"")</f>
        <v>8.1180000000000002E-2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35.615000000000002</v>
      </c>
      <c r="BN54" s="64">
        <f t="shared" si="2"/>
        <v>37.71</v>
      </c>
      <c r="BO54" s="64">
        <f t="shared" si="3"/>
        <v>6.4393939393939392E-2</v>
      </c>
      <c r="BP54" s="64">
        <f t="shared" si="4"/>
        <v>6.8181818181818177E-2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0">
        <v>4680115885899</v>
      </c>
      <c r="E55" s="551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78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50">
        <v>4680115881419</v>
      </c>
      <c r="E56" s="551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80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6"/>
      <c r="B57" s="544"/>
      <c r="C57" s="544"/>
      <c r="D57" s="544"/>
      <c r="E57" s="544"/>
      <c r="F57" s="544"/>
      <c r="G57" s="544"/>
      <c r="H57" s="544"/>
      <c r="I57" s="544"/>
      <c r="J57" s="544"/>
      <c r="K57" s="544"/>
      <c r="L57" s="544"/>
      <c r="M57" s="544"/>
      <c r="N57" s="544"/>
      <c r="O57" s="577"/>
      <c r="P57" s="545" t="s">
        <v>71</v>
      </c>
      <c r="Q57" s="546"/>
      <c r="R57" s="546"/>
      <c r="S57" s="546"/>
      <c r="T57" s="546"/>
      <c r="U57" s="546"/>
      <c r="V57" s="547"/>
      <c r="W57" s="37" t="s">
        <v>72</v>
      </c>
      <c r="X57" s="541">
        <f>IFERROR(X51/H51,"0")+IFERROR(X52/H52,"0")+IFERROR(X53/H53,"0")+IFERROR(X54/H54,"0")+IFERROR(X55/H55,"0")+IFERROR(X56/H56,"0")</f>
        <v>9.6607142857142865</v>
      </c>
      <c r="Y57" s="541">
        <f>IFERROR(Y51/H51,"0")+IFERROR(Y52/H52,"0")+IFERROR(Y53/H53,"0")+IFERROR(Y54/H54,"0")+IFERROR(Y55/H55,"0")+IFERROR(Y56/H56,"0")</f>
        <v>11</v>
      </c>
      <c r="Z57" s="541">
        <f>IFERROR(IF(Z51="",0,Z51),"0")+IFERROR(IF(Z52="",0,Z52),"0")+IFERROR(IF(Z53="",0,Z53),"0")+IFERROR(IF(Z54="",0,Z54),"0")+IFERROR(IF(Z55="",0,Z55),"0")+IFERROR(IF(Z56="",0,Z56),"0")</f>
        <v>0.11914</v>
      </c>
      <c r="AA57" s="542"/>
      <c r="AB57" s="542"/>
      <c r="AC57" s="542"/>
    </row>
    <row r="58" spans="1:68" x14ac:dyDescent="0.2">
      <c r="A58" s="544"/>
      <c r="B58" s="544"/>
      <c r="C58" s="544"/>
      <c r="D58" s="544"/>
      <c r="E58" s="544"/>
      <c r="F58" s="544"/>
      <c r="G58" s="544"/>
      <c r="H58" s="544"/>
      <c r="I58" s="544"/>
      <c r="J58" s="544"/>
      <c r="K58" s="544"/>
      <c r="L58" s="544"/>
      <c r="M58" s="544"/>
      <c r="N58" s="544"/>
      <c r="O58" s="577"/>
      <c r="P58" s="545" t="s">
        <v>71</v>
      </c>
      <c r="Q58" s="546"/>
      <c r="R58" s="546"/>
      <c r="S58" s="546"/>
      <c r="T58" s="546"/>
      <c r="U58" s="546"/>
      <c r="V58" s="547"/>
      <c r="W58" s="37" t="s">
        <v>69</v>
      </c>
      <c r="X58" s="541">
        <f>IFERROR(SUM(X51:X56),"0")</f>
        <v>47</v>
      </c>
      <c r="Y58" s="541">
        <f>IFERROR(SUM(Y51:Y56),"0")</f>
        <v>58.4</v>
      </c>
      <c r="Z58" s="37"/>
      <c r="AA58" s="542"/>
      <c r="AB58" s="542"/>
      <c r="AC58" s="542"/>
    </row>
    <row r="59" spans="1:68" ht="14.25" hidden="1" customHeight="1" x14ac:dyDescent="0.25">
      <c r="A59" s="543" t="s">
        <v>135</v>
      </c>
      <c r="B59" s="544"/>
      <c r="C59" s="544"/>
      <c r="D59" s="544"/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0">
        <v>4680115881440</v>
      </c>
      <c r="E60" s="551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39">
        <v>40</v>
      </c>
      <c r="Y60" s="540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41.518518518518519</v>
      </c>
      <c r="BN60" s="64">
        <f>IFERROR(Y60*I60/H60,"0")</f>
        <v>44.84</v>
      </c>
      <c r="BO60" s="64">
        <f>IFERROR(1/J60*(X60/H60),"0")</f>
        <v>5.7870370370370364E-2</v>
      </c>
      <c r="BP60" s="64">
        <f>IFERROR(1/J60*(Y60/H60),"0")</f>
        <v>6.25E-2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0">
        <v>4680115885950</v>
      </c>
      <c r="E61" s="551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0">
        <v>4680115881433</v>
      </c>
      <c r="E62" s="551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6"/>
      <c r="B63" s="544"/>
      <c r="C63" s="544"/>
      <c r="D63" s="544"/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77"/>
      <c r="P63" s="545" t="s">
        <v>71</v>
      </c>
      <c r="Q63" s="546"/>
      <c r="R63" s="546"/>
      <c r="S63" s="546"/>
      <c r="T63" s="546"/>
      <c r="U63" s="546"/>
      <c r="V63" s="547"/>
      <c r="W63" s="37" t="s">
        <v>72</v>
      </c>
      <c r="X63" s="541">
        <f>IFERROR(X60/H60,"0")+IFERROR(X61/H61,"0")+IFERROR(X62/H62,"0")</f>
        <v>3.7037037037037033</v>
      </c>
      <c r="Y63" s="541">
        <f>IFERROR(Y60/H60,"0")+IFERROR(Y61/H61,"0")+IFERROR(Y62/H62,"0")</f>
        <v>4</v>
      </c>
      <c r="Z63" s="541">
        <f>IFERROR(IF(Z60="",0,Z60),"0")+IFERROR(IF(Z61="",0,Z61),"0")+IFERROR(IF(Z62="",0,Z62),"0")</f>
        <v>7.5920000000000001E-2</v>
      </c>
      <c r="AA63" s="542"/>
      <c r="AB63" s="542"/>
      <c r="AC63" s="542"/>
    </row>
    <row r="64" spans="1:68" x14ac:dyDescent="0.2">
      <c r="A64" s="544"/>
      <c r="B64" s="544"/>
      <c r="C64" s="544"/>
      <c r="D64" s="544"/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77"/>
      <c r="P64" s="545" t="s">
        <v>71</v>
      </c>
      <c r="Q64" s="546"/>
      <c r="R64" s="546"/>
      <c r="S64" s="546"/>
      <c r="T64" s="546"/>
      <c r="U64" s="546"/>
      <c r="V64" s="547"/>
      <c r="W64" s="37" t="s">
        <v>69</v>
      </c>
      <c r="X64" s="541">
        <f>IFERROR(SUM(X60:X62),"0")</f>
        <v>40</v>
      </c>
      <c r="Y64" s="541">
        <f>IFERROR(SUM(Y60:Y62),"0")</f>
        <v>43.2</v>
      </c>
      <c r="Z64" s="37"/>
      <c r="AA64" s="542"/>
      <c r="AB64" s="542"/>
      <c r="AC64" s="542"/>
    </row>
    <row r="65" spans="1:68" ht="14.25" hidden="1" customHeight="1" x14ac:dyDescent="0.25">
      <c r="A65" s="543" t="s">
        <v>64</v>
      </c>
      <c r="B65" s="544"/>
      <c r="C65" s="544"/>
      <c r="D65" s="544"/>
      <c r="E65" s="544"/>
      <c r="F65" s="544"/>
      <c r="G65" s="544"/>
      <c r="H65" s="544"/>
      <c r="I65" s="544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0">
        <v>4680115885073</v>
      </c>
      <c r="E66" s="551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5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50">
        <v>4680115885059</v>
      </c>
      <c r="E67" s="551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1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50">
        <v>4680115885097</v>
      </c>
      <c r="E68" s="551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6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6"/>
      <c r="B69" s="544"/>
      <c r="C69" s="544"/>
      <c r="D69" s="544"/>
      <c r="E69" s="544"/>
      <c r="F69" s="544"/>
      <c r="G69" s="544"/>
      <c r="H69" s="544"/>
      <c r="I69" s="544"/>
      <c r="J69" s="544"/>
      <c r="K69" s="544"/>
      <c r="L69" s="544"/>
      <c r="M69" s="544"/>
      <c r="N69" s="544"/>
      <c r="O69" s="577"/>
      <c r="P69" s="545" t="s">
        <v>71</v>
      </c>
      <c r="Q69" s="546"/>
      <c r="R69" s="546"/>
      <c r="S69" s="546"/>
      <c r="T69" s="546"/>
      <c r="U69" s="546"/>
      <c r="V69" s="547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4"/>
      <c r="B70" s="544"/>
      <c r="C70" s="544"/>
      <c r="D70" s="544"/>
      <c r="E70" s="544"/>
      <c r="F70" s="544"/>
      <c r="G70" s="544"/>
      <c r="H70" s="544"/>
      <c r="I70" s="544"/>
      <c r="J70" s="544"/>
      <c r="K70" s="544"/>
      <c r="L70" s="544"/>
      <c r="M70" s="544"/>
      <c r="N70" s="544"/>
      <c r="O70" s="577"/>
      <c r="P70" s="545" t="s">
        <v>71</v>
      </c>
      <c r="Q70" s="546"/>
      <c r="R70" s="546"/>
      <c r="S70" s="546"/>
      <c r="T70" s="546"/>
      <c r="U70" s="546"/>
      <c r="V70" s="547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43" t="s">
        <v>73</v>
      </c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50">
        <v>4680115885769</v>
      </c>
      <c r="E72" s="551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58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50">
        <v>4680115884311</v>
      </c>
      <c r="E73" s="551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50">
        <v>4680115885929</v>
      </c>
      <c r="E74" s="551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50">
        <v>4680115884403</v>
      </c>
      <c r="E75" s="551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6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6"/>
      <c r="B76" s="544"/>
      <c r="C76" s="544"/>
      <c r="D76" s="544"/>
      <c r="E76" s="544"/>
      <c r="F76" s="544"/>
      <c r="G76" s="544"/>
      <c r="H76" s="544"/>
      <c r="I76" s="544"/>
      <c r="J76" s="544"/>
      <c r="K76" s="544"/>
      <c r="L76" s="544"/>
      <c r="M76" s="544"/>
      <c r="N76" s="544"/>
      <c r="O76" s="577"/>
      <c r="P76" s="545" t="s">
        <v>71</v>
      </c>
      <c r="Q76" s="546"/>
      <c r="R76" s="546"/>
      <c r="S76" s="546"/>
      <c r="T76" s="546"/>
      <c r="U76" s="546"/>
      <c r="V76" s="547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4"/>
      <c r="B77" s="544"/>
      <c r="C77" s="544"/>
      <c r="D77" s="544"/>
      <c r="E77" s="544"/>
      <c r="F77" s="544"/>
      <c r="G77" s="544"/>
      <c r="H77" s="544"/>
      <c r="I77" s="544"/>
      <c r="J77" s="544"/>
      <c r="K77" s="544"/>
      <c r="L77" s="544"/>
      <c r="M77" s="544"/>
      <c r="N77" s="544"/>
      <c r="O77" s="577"/>
      <c r="P77" s="545" t="s">
        <v>71</v>
      </c>
      <c r="Q77" s="546"/>
      <c r="R77" s="546"/>
      <c r="S77" s="546"/>
      <c r="T77" s="546"/>
      <c r="U77" s="546"/>
      <c r="V77" s="547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43" t="s">
        <v>163</v>
      </c>
      <c r="B78" s="544"/>
      <c r="C78" s="544"/>
      <c r="D78" s="544"/>
      <c r="E78" s="544"/>
      <c r="F78" s="544"/>
      <c r="G78" s="544"/>
      <c r="H78" s="544"/>
      <c r="I78" s="544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50">
        <v>4680115881532</v>
      </c>
      <c r="E79" s="551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8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39">
        <v>32</v>
      </c>
      <c r="Y79" s="540">
        <f>IFERROR(IF(X79="",0,CEILING((X79/$H79),1)*$H79),"")</f>
        <v>39</v>
      </c>
      <c r="Z79" s="36">
        <f>IFERROR(IF(Y79=0,"",ROUNDUP(Y79/H79,0)*0.01898),"")</f>
        <v>9.4899999999999998E-2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33.682051282051283</v>
      </c>
      <c r="BN79" s="64">
        <f>IFERROR(Y79*I79/H79,"0")</f>
        <v>41.050000000000011</v>
      </c>
      <c r="BO79" s="64">
        <f>IFERROR(1/J79*(X79/H79),"0")</f>
        <v>6.4102564102564111E-2</v>
      </c>
      <c r="BP79" s="64">
        <f>IFERROR(1/J79*(Y79/H79),"0")</f>
        <v>7.8125E-2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50">
        <v>4680115881464</v>
      </c>
      <c r="E80" s="551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6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76"/>
      <c r="B81" s="544"/>
      <c r="C81" s="544"/>
      <c r="D81" s="544"/>
      <c r="E81" s="544"/>
      <c r="F81" s="544"/>
      <c r="G81" s="544"/>
      <c r="H81" s="544"/>
      <c r="I81" s="544"/>
      <c r="J81" s="544"/>
      <c r="K81" s="544"/>
      <c r="L81" s="544"/>
      <c r="M81" s="544"/>
      <c r="N81" s="544"/>
      <c r="O81" s="577"/>
      <c r="P81" s="545" t="s">
        <v>71</v>
      </c>
      <c r="Q81" s="546"/>
      <c r="R81" s="546"/>
      <c r="S81" s="546"/>
      <c r="T81" s="546"/>
      <c r="U81" s="546"/>
      <c r="V81" s="547"/>
      <c r="W81" s="37" t="s">
        <v>72</v>
      </c>
      <c r="X81" s="541">
        <f>IFERROR(X79/H79,"0")+IFERROR(X80/H80,"0")</f>
        <v>4.1025641025641031</v>
      </c>
      <c r="Y81" s="541">
        <f>IFERROR(Y79/H79,"0")+IFERROR(Y80/H80,"0")</f>
        <v>5</v>
      </c>
      <c r="Z81" s="541">
        <f>IFERROR(IF(Z79="",0,Z79),"0")+IFERROR(IF(Z80="",0,Z80),"0")</f>
        <v>9.4899999999999998E-2</v>
      </c>
      <c r="AA81" s="542"/>
      <c r="AB81" s="542"/>
      <c r="AC81" s="542"/>
    </row>
    <row r="82" spans="1:68" x14ac:dyDescent="0.2">
      <c r="A82" s="544"/>
      <c r="B82" s="544"/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44"/>
      <c r="N82" s="544"/>
      <c r="O82" s="577"/>
      <c r="P82" s="545" t="s">
        <v>71</v>
      </c>
      <c r="Q82" s="546"/>
      <c r="R82" s="546"/>
      <c r="S82" s="546"/>
      <c r="T82" s="546"/>
      <c r="U82" s="546"/>
      <c r="V82" s="547"/>
      <c r="W82" s="37" t="s">
        <v>69</v>
      </c>
      <c r="X82" s="541">
        <f>IFERROR(SUM(X79:X80),"0")</f>
        <v>32</v>
      </c>
      <c r="Y82" s="541">
        <f>IFERROR(SUM(Y79:Y80),"0")</f>
        <v>39</v>
      </c>
      <c r="Z82" s="37"/>
      <c r="AA82" s="542"/>
      <c r="AB82" s="542"/>
      <c r="AC82" s="542"/>
    </row>
    <row r="83" spans="1:68" ht="16.5" hidden="1" customHeight="1" x14ac:dyDescent="0.25">
      <c r="A83" s="585" t="s">
        <v>170</v>
      </c>
      <c r="B83" s="544"/>
      <c r="C83" s="544"/>
      <c r="D83" s="544"/>
      <c r="E83" s="544"/>
      <c r="F83" s="544"/>
      <c r="G83" s="544"/>
      <c r="H83" s="544"/>
      <c r="I83" s="544"/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  <c r="AA83" s="534"/>
      <c r="AB83" s="534"/>
      <c r="AC83" s="534"/>
    </row>
    <row r="84" spans="1:68" ht="14.25" hidden="1" customHeight="1" x14ac:dyDescent="0.25">
      <c r="A84" s="543" t="s">
        <v>99</v>
      </c>
      <c r="B84" s="544"/>
      <c r="C84" s="544"/>
      <c r="D84" s="544"/>
      <c r="E84" s="544"/>
      <c r="F84" s="544"/>
      <c r="G84" s="544"/>
      <c r="H84" s="544"/>
      <c r="I84" s="544"/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50">
        <v>4680115881327</v>
      </c>
      <c r="E85" s="551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5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39">
        <v>74</v>
      </c>
      <c r="Y85" s="540">
        <f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76.809259259259264</v>
      </c>
      <c r="BN85" s="64">
        <f>IFERROR(Y85*I85/H85,"0")</f>
        <v>78.47</v>
      </c>
      <c r="BO85" s="64">
        <f>IFERROR(1/J85*(X85/H85),"0")</f>
        <v>0.10706018518518517</v>
      </c>
      <c r="BP85" s="64">
        <f>IFERROR(1/J85*(Y85/H85),"0")</f>
        <v>0.109375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50">
        <v>4680115881518</v>
      </c>
      <c r="E86" s="551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50">
        <v>4680115881303</v>
      </c>
      <c r="E87" s="551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39">
        <v>39</v>
      </c>
      <c r="Y87" s="540">
        <f>IFERROR(IF(X87="",0,CEILING((X87/$H87),1)*$H87),"")</f>
        <v>40.5</v>
      </c>
      <c r="Z87" s="36">
        <f>IFERROR(IF(Y87=0,"",ROUNDUP(Y87/H87,0)*0.00902),"")</f>
        <v>8.1180000000000002E-2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40.646666666666675</v>
      </c>
      <c r="BN87" s="64">
        <f>IFERROR(Y87*I87/H87,"0")</f>
        <v>42.210000000000008</v>
      </c>
      <c r="BO87" s="64">
        <f>IFERROR(1/J87*(X87/H87),"0")</f>
        <v>6.5656565656565649E-2</v>
      </c>
      <c r="BP87" s="64">
        <f>IFERROR(1/J87*(Y87/H87),"0")</f>
        <v>6.8181818181818177E-2</v>
      </c>
    </row>
    <row r="88" spans="1:68" x14ac:dyDescent="0.2">
      <c r="A88" s="576"/>
      <c r="B88" s="544"/>
      <c r="C88" s="544"/>
      <c r="D88" s="544"/>
      <c r="E88" s="544"/>
      <c r="F88" s="544"/>
      <c r="G88" s="544"/>
      <c r="H88" s="544"/>
      <c r="I88" s="544"/>
      <c r="J88" s="544"/>
      <c r="K88" s="544"/>
      <c r="L88" s="544"/>
      <c r="M88" s="544"/>
      <c r="N88" s="544"/>
      <c r="O88" s="577"/>
      <c r="P88" s="545" t="s">
        <v>71</v>
      </c>
      <c r="Q88" s="546"/>
      <c r="R88" s="546"/>
      <c r="S88" s="546"/>
      <c r="T88" s="546"/>
      <c r="U88" s="546"/>
      <c r="V88" s="547"/>
      <c r="W88" s="37" t="s">
        <v>72</v>
      </c>
      <c r="X88" s="541">
        <f>IFERROR(X85/H85,"0")+IFERROR(X86/H86,"0")+IFERROR(X87/H87,"0")</f>
        <v>15.518518518518517</v>
      </c>
      <c r="Y88" s="541">
        <f>IFERROR(Y85/H85,"0")+IFERROR(Y86/H86,"0")+IFERROR(Y87/H87,"0")</f>
        <v>16</v>
      </c>
      <c r="Z88" s="541">
        <f>IFERROR(IF(Z85="",0,Z85),"0")+IFERROR(IF(Z86="",0,Z86),"0")+IFERROR(IF(Z87="",0,Z87),"0")</f>
        <v>0.21404000000000001</v>
      </c>
      <c r="AA88" s="542"/>
      <c r="AB88" s="542"/>
      <c r="AC88" s="542"/>
    </row>
    <row r="89" spans="1:68" x14ac:dyDescent="0.2">
      <c r="A89" s="544"/>
      <c r="B89" s="544"/>
      <c r="C89" s="544"/>
      <c r="D89" s="544"/>
      <c r="E89" s="544"/>
      <c r="F89" s="544"/>
      <c r="G89" s="544"/>
      <c r="H89" s="544"/>
      <c r="I89" s="544"/>
      <c r="J89" s="544"/>
      <c r="K89" s="544"/>
      <c r="L89" s="544"/>
      <c r="M89" s="544"/>
      <c r="N89" s="544"/>
      <c r="O89" s="577"/>
      <c r="P89" s="545" t="s">
        <v>71</v>
      </c>
      <c r="Q89" s="546"/>
      <c r="R89" s="546"/>
      <c r="S89" s="546"/>
      <c r="T89" s="546"/>
      <c r="U89" s="546"/>
      <c r="V89" s="547"/>
      <c r="W89" s="37" t="s">
        <v>69</v>
      </c>
      <c r="X89" s="541">
        <f>IFERROR(SUM(X85:X87),"0")</f>
        <v>113</v>
      </c>
      <c r="Y89" s="541">
        <f>IFERROR(SUM(Y85:Y87),"0")</f>
        <v>116.10000000000001</v>
      </c>
      <c r="Z89" s="37"/>
      <c r="AA89" s="542"/>
      <c r="AB89" s="542"/>
      <c r="AC89" s="542"/>
    </row>
    <row r="90" spans="1:68" ht="14.25" hidden="1" customHeight="1" x14ac:dyDescent="0.25">
      <c r="A90" s="543" t="s">
        <v>73</v>
      </c>
      <c r="B90" s="544"/>
      <c r="C90" s="544"/>
      <c r="D90" s="544"/>
      <c r="E90" s="544"/>
      <c r="F90" s="544"/>
      <c r="G90" s="544"/>
      <c r="H90" s="544"/>
      <c r="I90" s="544"/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50">
        <v>4607091386967</v>
      </c>
      <c r="E91" s="551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0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39">
        <v>71</v>
      </c>
      <c r="Y91" s="540">
        <f>IFERROR(IF(X91="",0,CEILING((X91/$H91),1)*$H91),"")</f>
        <v>72.899999999999991</v>
      </c>
      <c r="Z91" s="36">
        <f>IFERROR(IF(Y91=0,"",ROUNDUP(Y91/H91,0)*0.01898),"")</f>
        <v>0.17082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75.330123456790119</v>
      </c>
      <c r="BN91" s="64">
        <f>IFERROR(Y91*I91/H91,"0")</f>
        <v>77.345999999999989</v>
      </c>
      <c r="BO91" s="64">
        <f>IFERROR(1/J91*(X91/H91),"0")</f>
        <v>0.13695987654320987</v>
      </c>
      <c r="BP91" s="64">
        <f>IFERROR(1/J91*(Y91/H91),"0")</f>
        <v>0.140625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50">
        <v>4680115884953</v>
      </c>
      <c r="E92" s="551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0">
        <v>4607091385731</v>
      </c>
      <c r="E93" s="551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6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39">
        <v>213</v>
      </c>
      <c r="Y93" s="540">
        <f>IFERROR(IF(X93="",0,CEILING((X93/$H93),1)*$H93),"")</f>
        <v>213.3</v>
      </c>
      <c r="Z93" s="36">
        <f>IFERROR(IF(Y93=0,"",ROUNDUP(Y93/H93,0)*0.00651),"")</f>
        <v>0.51429000000000002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232.87999999999997</v>
      </c>
      <c r="BN93" s="64">
        <f>IFERROR(Y93*I93/H93,"0")</f>
        <v>233.208</v>
      </c>
      <c r="BO93" s="64">
        <f>IFERROR(1/J93*(X93/H93),"0")</f>
        <v>0.43345543345543347</v>
      </c>
      <c r="BP93" s="64">
        <f>IFERROR(1/J93*(Y93/H93),"0")</f>
        <v>0.43406593406593408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8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6"/>
      <c r="B95" s="544"/>
      <c r="C95" s="544"/>
      <c r="D95" s="544"/>
      <c r="E95" s="544"/>
      <c r="F95" s="544"/>
      <c r="G95" s="544"/>
      <c r="H95" s="544"/>
      <c r="I95" s="544"/>
      <c r="J95" s="544"/>
      <c r="K95" s="544"/>
      <c r="L95" s="544"/>
      <c r="M95" s="544"/>
      <c r="N95" s="544"/>
      <c r="O95" s="577"/>
      <c r="P95" s="545" t="s">
        <v>71</v>
      </c>
      <c r="Q95" s="546"/>
      <c r="R95" s="546"/>
      <c r="S95" s="546"/>
      <c r="T95" s="546"/>
      <c r="U95" s="546"/>
      <c r="V95" s="547"/>
      <c r="W95" s="37" t="s">
        <v>72</v>
      </c>
      <c r="X95" s="541">
        <f>IFERROR(X91/H91,"0")+IFERROR(X92/H92,"0")+IFERROR(X93/H93,"0")+IFERROR(X94/H94,"0")</f>
        <v>87.654320987654316</v>
      </c>
      <c r="Y95" s="541">
        <f>IFERROR(Y91/H91,"0")+IFERROR(Y92/H92,"0")+IFERROR(Y93/H93,"0")+IFERROR(Y94/H94,"0")</f>
        <v>88</v>
      </c>
      <c r="Z95" s="541">
        <f>IFERROR(IF(Z91="",0,Z91),"0")+IFERROR(IF(Z92="",0,Z92),"0")+IFERROR(IF(Z93="",0,Z93),"0")+IFERROR(IF(Z94="",0,Z94),"0")</f>
        <v>0.68511</v>
      </c>
      <c r="AA95" s="542"/>
      <c r="AB95" s="542"/>
      <c r="AC95" s="542"/>
    </row>
    <row r="96" spans="1:68" x14ac:dyDescent="0.2">
      <c r="A96" s="544"/>
      <c r="B96" s="544"/>
      <c r="C96" s="544"/>
      <c r="D96" s="544"/>
      <c r="E96" s="544"/>
      <c r="F96" s="544"/>
      <c r="G96" s="544"/>
      <c r="H96" s="544"/>
      <c r="I96" s="544"/>
      <c r="J96" s="544"/>
      <c r="K96" s="544"/>
      <c r="L96" s="544"/>
      <c r="M96" s="544"/>
      <c r="N96" s="544"/>
      <c r="O96" s="577"/>
      <c r="P96" s="545" t="s">
        <v>71</v>
      </c>
      <c r="Q96" s="546"/>
      <c r="R96" s="546"/>
      <c r="S96" s="546"/>
      <c r="T96" s="546"/>
      <c r="U96" s="546"/>
      <c r="V96" s="547"/>
      <c r="W96" s="37" t="s">
        <v>69</v>
      </c>
      <c r="X96" s="541">
        <f>IFERROR(SUM(X91:X94),"0")</f>
        <v>284</v>
      </c>
      <c r="Y96" s="541">
        <f>IFERROR(SUM(Y91:Y94),"0")</f>
        <v>286.2</v>
      </c>
      <c r="Z96" s="37"/>
      <c r="AA96" s="542"/>
      <c r="AB96" s="542"/>
      <c r="AC96" s="542"/>
    </row>
    <row r="97" spans="1:68" ht="16.5" hidden="1" customHeight="1" x14ac:dyDescent="0.25">
      <c r="A97" s="585" t="s">
        <v>190</v>
      </c>
      <c r="B97" s="544"/>
      <c r="C97" s="544"/>
      <c r="D97" s="544"/>
      <c r="E97" s="544"/>
      <c r="F97" s="544"/>
      <c r="G97" s="544"/>
      <c r="H97" s="544"/>
      <c r="I97" s="544"/>
      <c r="J97" s="544"/>
      <c r="K97" s="544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  <c r="AA97" s="534"/>
      <c r="AB97" s="534"/>
      <c r="AC97" s="534"/>
    </row>
    <row r="98" spans="1:68" ht="14.25" hidden="1" customHeight="1" x14ac:dyDescent="0.25">
      <c r="A98" s="543" t="s">
        <v>99</v>
      </c>
      <c r="B98" s="544"/>
      <c r="C98" s="544"/>
      <c r="D98" s="544"/>
      <c r="E98" s="544"/>
      <c r="F98" s="544"/>
      <c r="G98" s="544"/>
      <c r="H98" s="544"/>
      <c r="I98" s="544"/>
      <c r="J98" s="544"/>
      <c r="K98" s="544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3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39">
        <v>351</v>
      </c>
      <c r="Y99" s="540">
        <f>IFERROR(IF(X99="",0,CEILING((X99/$H99),1)*$H99),"")</f>
        <v>356.40000000000003</v>
      </c>
      <c r="Z99" s="36">
        <f>IFERROR(IF(Y99=0,"",ROUNDUP(Y99/H99,0)*0.01898),"")</f>
        <v>0.62634000000000001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364.32500000000005</v>
      </c>
      <c r="BN99" s="64">
        <f>IFERROR(Y99*I99/H99,"0")</f>
        <v>369.93</v>
      </c>
      <c r="BO99" s="64">
        <f>IFERROR(1/J99*(X99/H99),"0")</f>
        <v>0.5078125</v>
      </c>
      <c r="BP99" s="64">
        <f>IFERROR(1/J99*(Y99/H99),"0")</f>
        <v>0.515625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1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39">
        <v>77</v>
      </c>
      <c r="Y101" s="540">
        <f>IFERROR(IF(X101="",0,CEILING((X101/$H101),1)*$H101),"")</f>
        <v>81</v>
      </c>
      <c r="Z101" s="36">
        <f>IFERROR(IF(Y101=0,"",ROUNDUP(Y101/H101,0)*0.00902),"")</f>
        <v>0.16236</v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80.251111111111129</v>
      </c>
      <c r="BN101" s="64">
        <f>IFERROR(Y101*I101/H101,"0")</f>
        <v>84.420000000000016</v>
      </c>
      <c r="BO101" s="64">
        <f>IFERROR(1/J101*(X101/H101),"0")</f>
        <v>0.12962962962962962</v>
      </c>
      <c r="BP101" s="64">
        <f>IFERROR(1/J101*(Y101/H101),"0")</f>
        <v>0.13636363636363635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76"/>
      <c r="B103" s="544"/>
      <c r="C103" s="544"/>
      <c r="D103" s="544"/>
      <c r="E103" s="544"/>
      <c r="F103" s="544"/>
      <c r="G103" s="544"/>
      <c r="H103" s="544"/>
      <c r="I103" s="544"/>
      <c r="J103" s="544"/>
      <c r="K103" s="544"/>
      <c r="L103" s="544"/>
      <c r="M103" s="544"/>
      <c r="N103" s="544"/>
      <c r="O103" s="577"/>
      <c r="P103" s="545" t="s">
        <v>71</v>
      </c>
      <c r="Q103" s="546"/>
      <c r="R103" s="546"/>
      <c r="S103" s="546"/>
      <c r="T103" s="546"/>
      <c r="U103" s="546"/>
      <c r="V103" s="547"/>
      <c r="W103" s="37" t="s">
        <v>72</v>
      </c>
      <c r="X103" s="541">
        <f>IFERROR(X99/H99,"0")+IFERROR(X100/H100,"0")+IFERROR(X101/H101,"0")+IFERROR(X102/H102,"0")</f>
        <v>49.611111111111114</v>
      </c>
      <c r="Y103" s="541">
        <f>IFERROR(Y99/H99,"0")+IFERROR(Y100/H100,"0")+IFERROR(Y101/H101,"0")+IFERROR(Y102/H102,"0")</f>
        <v>51</v>
      </c>
      <c r="Z103" s="541">
        <f>IFERROR(IF(Z99="",0,Z99),"0")+IFERROR(IF(Z100="",0,Z100),"0")+IFERROR(IF(Z101="",0,Z101),"0")+IFERROR(IF(Z102="",0,Z102),"0")</f>
        <v>0.78869999999999996</v>
      </c>
      <c r="AA103" s="542"/>
      <c r="AB103" s="542"/>
      <c r="AC103" s="542"/>
    </row>
    <row r="104" spans="1:68" x14ac:dyDescent="0.2">
      <c r="A104" s="544"/>
      <c r="B104" s="544"/>
      <c r="C104" s="544"/>
      <c r="D104" s="544"/>
      <c r="E104" s="544"/>
      <c r="F104" s="544"/>
      <c r="G104" s="544"/>
      <c r="H104" s="544"/>
      <c r="I104" s="544"/>
      <c r="J104" s="544"/>
      <c r="K104" s="544"/>
      <c r="L104" s="544"/>
      <c r="M104" s="544"/>
      <c r="N104" s="544"/>
      <c r="O104" s="577"/>
      <c r="P104" s="545" t="s">
        <v>71</v>
      </c>
      <c r="Q104" s="546"/>
      <c r="R104" s="546"/>
      <c r="S104" s="546"/>
      <c r="T104" s="546"/>
      <c r="U104" s="546"/>
      <c r="V104" s="547"/>
      <c r="W104" s="37" t="s">
        <v>69</v>
      </c>
      <c r="X104" s="541">
        <f>IFERROR(SUM(X99:X102),"0")</f>
        <v>428</v>
      </c>
      <c r="Y104" s="541">
        <f>IFERROR(SUM(Y99:Y102),"0")</f>
        <v>437.40000000000003</v>
      </c>
      <c r="Z104" s="37"/>
      <c r="AA104" s="542"/>
      <c r="AB104" s="542"/>
      <c r="AC104" s="542"/>
    </row>
    <row r="105" spans="1:68" ht="14.25" hidden="1" customHeight="1" x14ac:dyDescent="0.25">
      <c r="A105" s="543" t="s">
        <v>135</v>
      </c>
      <c r="B105" s="544"/>
      <c r="C105" s="544"/>
      <c r="D105" s="544"/>
      <c r="E105" s="544"/>
      <c r="F105" s="544"/>
      <c r="G105" s="544"/>
      <c r="H105" s="544"/>
      <c r="I105" s="544"/>
      <c r="J105" s="544"/>
      <c r="K105" s="544"/>
      <c r="L105" s="544"/>
      <c r="M105" s="544"/>
      <c r="N105" s="544"/>
      <c r="O105" s="544"/>
      <c r="P105" s="544"/>
      <c r="Q105" s="544"/>
      <c r="R105" s="544"/>
      <c r="S105" s="544"/>
      <c r="T105" s="544"/>
      <c r="U105" s="544"/>
      <c r="V105" s="544"/>
      <c r="W105" s="544"/>
      <c r="X105" s="544"/>
      <c r="Y105" s="544"/>
      <c r="Z105" s="544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0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39">
        <v>13</v>
      </c>
      <c r="Y106" s="540">
        <f>IFERROR(IF(X106="",0,CEILING((X106/$H106),1)*$H106),"")</f>
        <v>21.6</v>
      </c>
      <c r="Z106" s="36">
        <f>IFERROR(IF(Y106=0,"",ROUNDUP(Y106/H106,0)*0.01898),"")</f>
        <v>3.7960000000000001E-2</v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13.493518518518519</v>
      </c>
      <c r="BN106" s="64">
        <f>IFERROR(Y106*I106/H106,"0")</f>
        <v>22.42</v>
      </c>
      <c r="BO106" s="64">
        <f>IFERROR(1/J106*(X106/H106),"0")</f>
        <v>1.8807870370370371E-2</v>
      </c>
      <c r="BP106" s="64">
        <f>IFERROR(1/J106*(Y106/H106),"0")</f>
        <v>3.125E-2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1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6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76"/>
      <c r="B109" s="544"/>
      <c r="C109" s="544"/>
      <c r="D109" s="544"/>
      <c r="E109" s="544"/>
      <c r="F109" s="544"/>
      <c r="G109" s="544"/>
      <c r="H109" s="544"/>
      <c r="I109" s="544"/>
      <c r="J109" s="544"/>
      <c r="K109" s="544"/>
      <c r="L109" s="544"/>
      <c r="M109" s="544"/>
      <c r="N109" s="544"/>
      <c r="O109" s="577"/>
      <c r="P109" s="545" t="s">
        <v>71</v>
      </c>
      <c r="Q109" s="546"/>
      <c r="R109" s="546"/>
      <c r="S109" s="546"/>
      <c r="T109" s="546"/>
      <c r="U109" s="546"/>
      <c r="V109" s="547"/>
      <c r="W109" s="37" t="s">
        <v>72</v>
      </c>
      <c r="X109" s="541">
        <f>IFERROR(X106/H106,"0")+IFERROR(X107/H107,"0")+IFERROR(X108/H108,"0")</f>
        <v>1.2037037037037037</v>
      </c>
      <c r="Y109" s="541">
        <f>IFERROR(Y106/H106,"0")+IFERROR(Y107/H107,"0")+IFERROR(Y108/H108,"0")</f>
        <v>2</v>
      </c>
      <c r="Z109" s="541">
        <f>IFERROR(IF(Z106="",0,Z106),"0")+IFERROR(IF(Z107="",0,Z107),"0")+IFERROR(IF(Z108="",0,Z108),"0")</f>
        <v>3.7960000000000001E-2</v>
      </c>
      <c r="AA109" s="542"/>
      <c r="AB109" s="542"/>
      <c r="AC109" s="542"/>
    </row>
    <row r="110" spans="1:68" x14ac:dyDescent="0.2">
      <c r="A110" s="544"/>
      <c r="B110" s="544"/>
      <c r="C110" s="544"/>
      <c r="D110" s="544"/>
      <c r="E110" s="544"/>
      <c r="F110" s="544"/>
      <c r="G110" s="544"/>
      <c r="H110" s="544"/>
      <c r="I110" s="544"/>
      <c r="J110" s="544"/>
      <c r="K110" s="544"/>
      <c r="L110" s="544"/>
      <c r="M110" s="544"/>
      <c r="N110" s="544"/>
      <c r="O110" s="577"/>
      <c r="P110" s="545" t="s">
        <v>71</v>
      </c>
      <c r="Q110" s="546"/>
      <c r="R110" s="546"/>
      <c r="S110" s="546"/>
      <c r="T110" s="546"/>
      <c r="U110" s="546"/>
      <c r="V110" s="547"/>
      <c r="W110" s="37" t="s">
        <v>69</v>
      </c>
      <c r="X110" s="541">
        <f>IFERROR(SUM(X106:X108),"0")</f>
        <v>13</v>
      </c>
      <c r="Y110" s="541">
        <f>IFERROR(SUM(Y106:Y108),"0")</f>
        <v>21.6</v>
      </c>
      <c r="Z110" s="37"/>
      <c r="AA110" s="542"/>
      <c r="AB110" s="542"/>
      <c r="AC110" s="542"/>
    </row>
    <row r="111" spans="1:68" ht="14.25" hidden="1" customHeight="1" x14ac:dyDescent="0.25">
      <c r="A111" s="543" t="s">
        <v>73</v>
      </c>
      <c r="B111" s="544"/>
      <c r="C111" s="544"/>
      <c r="D111" s="544"/>
      <c r="E111" s="544"/>
      <c r="F111" s="544"/>
      <c r="G111" s="544"/>
      <c r="H111" s="544"/>
      <c r="I111" s="544"/>
      <c r="J111" s="544"/>
      <c r="K111" s="544"/>
      <c r="L111" s="544"/>
      <c r="M111" s="544"/>
      <c r="N111" s="544"/>
      <c r="O111" s="544"/>
      <c r="P111" s="544"/>
      <c r="Q111" s="544"/>
      <c r="R111" s="544"/>
      <c r="S111" s="544"/>
      <c r="T111" s="544"/>
      <c r="U111" s="544"/>
      <c r="V111" s="544"/>
      <c r="W111" s="544"/>
      <c r="X111" s="544"/>
      <c r="Y111" s="544"/>
      <c r="Z111" s="544"/>
      <c r="AA111" s="535"/>
      <c r="AB111" s="535"/>
      <c r="AC111" s="535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67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6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39">
        <v>808</v>
      </c>
      <c r="Y114" s="540">
        <f>IFERROR(IF(X114="",0,CEILING((X114/$H114),1)*$H114),"")</f>
        <v>810</v>
      </c>
      <c r="Z114" s="36">
        <f>IFERROR(IF(Y114=0,"",ROUNDUP(Y114/H114,0)*0.00651),"")</f>
        <v>1.9530000000000001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883.41333333333318</v>
      </c>
      <c r="BN114" s="64">
        <f>IFERROR(Y114*I114/H114,"0")</f>
        <v>885.59999999999991</v>
      </c>
      <c r="BO114" s="64">
        <f>IFERROR(1/J114*(X114/H114),"0")</f>
        <v>1.6442816442816444</v>
      </c>
      <c r="BP114" s="64">
        <f>IFERROR(1/J114*(Y114/H114),"0")</f>
        <v>1.6483516483516485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76"/>
      <c r="B116" s="544"/>
      <c r="C116" s="544"/>
      <c r="D116" s="544"/>
      <c r="E116" s="544"/>
      <c r="F116" s="544"/>
      <c r="G116" s="544"/>
      <c r="H116" s="544"/>
      <c r="I116" s="544"/>
      <c r="J116" s="544"/>
      <c r="K116" s="544"/>
      <c r="L116" s="544"/>
      <c r="M116" s="544"/>
      <c r="N116" s="544"/>
      <c r="O116" s="577"/>
      <c r="P116" s="545" t="s">
        <v>71</v>
      </c>
      <c r="Q116" s="546"/>
      <c r="R116" s="546"/>
      <c r="S116" s="546"/>
      <c r="T116" s="546"/>
      <c r="U116" s="546"/>
      <c r="V116" s="547"/>
      <c r="W116" s="37" t="s">
        <v>72</v>
      </c>
      <c r="X116" s="541">
        <f>IFERROR(X112/H112,"0")+IFERROR(X113/H113,"0")+IFERROR(X114/H114,"0")+IFERROR(X115/H115,"0")</f>
        <v>299.25925925925924</v>
      </c>
      <c r="Y116" s="541">
        <f>IFERROR(Y112/H112,"0")+IFERROR(Y113/H113,"0")+IFERROR(Y114/H114,"0")+IFERROR(Y115/H115,"0")</f>
        <v>300</v>
      </c>
      <c r="Z116" s="541">
        <f>IFERROR(IF(Z112="",0,Z112),"0")+IFERROR(IF(Z113="",0,Z113),"0")+IFERROR(IF(Z114="",0,Z114),"0")+IFERROR(IF(Z115="",0,Z115),"0")</f>
        <v>1.9530000000000001</v>
      </c>
      <c r="AA116" s="542"/>
      <c r="AB116" s="542"/>
      <c r="AC116" s="542"/>
    </row>
    <row r="117" spans="1:68" x14ac:dyDescent="0.2">
      <c r="A117" s="544"/>
      <c r="B117" s="544"/>
      <c r="C117" s="544"/>
      <c r="D117" s="544"/>
      <c r="E117" s="544"/>
      <c r="F117" s="544"/>
      <c r="G117" s="544"/>
      <c r="H117" s="544"/>
      <c r="I117" s="544"/>
      <c r="J117" s="544"/>
      <c r="K117" s="544"/>
      <c r="L117" s="544"/>
      <c r="M117" s="544"/>
      <c r="N117" s="544"/>
      <c r="O117" s="577"/>
      <c r="P117" s="545" t="s">
        <v>71</v>
      </c>
      <c r="Q117" s="546"/>
      <c r="R117" s="546"/>
      <c r="S117" s="546"/>
      <c r="T117" s="546"/>
      <c r="U117" s="546"/>
      <c r="V117" s="547"/>
      <c r="W117" s="37" t="s">
        <v>69</v>
      </c>
      <c r="X117" s="541">
        <f>IFERROR(SUM(X112:X115),"0")</f>
        <v>808</v>
      </c>
      <c r="Y117" s="541">
        <f>IFERROR(SUM(Y112:Y115),"0")</f>
        <v>810</v>
      </c>
      <c r="Z117" s="37"/>
      <c r="AA117" s="542"/>
      <c r="AB117" s="542"/>
      <c r="AC117" s="542"/>
    </row>
    <row r="118" spans="1:68" ht="14.25" hidden="1" customHeight="1" x14ac:dyDescent="0.25">
      <c r="A118" s="543" t="s">
        <v>163</v>
      </c>
      <c r="B118" s="544"/>
      <c r="C118" s="544"/>
      <c r="D118" s="544"/>
      <c r="E118" s="544"/>
      <c r="F118" s="544"/>
      <c r="G118" s="544"/>
      <c r="H118" s="544"/>
      <c r="I118" s="544"/>
      <c r="J118" s="544"/>
      <c r="K118" s="544"/>
      <c r="L118" s="544"/>
      <c r="M118" s="544"/>
      <c r="N118" s="544"/>
      <c r="O118" s="544"/>
      <c r="P118" s="544"/>
      <c r="Q118" s="544"/>
      <c r="R118" s="544"/>
      <c r="S118" s="544"/>
      <c r="T118" s="544"/>
      <c r="U118" s="544"/>
      <c r="V118" s="544"/>
      <c r="W118" s="544"/>
      <c r="X118" s="544"/>
      <c r="Y118" s="544"/>
      <c r="Z118" s="544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7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76"/>
      <c r="B120" s="544"/>
      <c r="C120" s="544"/>
      <c r="D120" s="544"/>
      <c r="E120" s="544"/>
      <c r="F120" s="544"/>
      <c r="G120" s="544"/>
      <c r="H120" s="544"/>
      <c r="I120" s="544"/>
      <c r="J120" s="544"/>
      <c r="K120" s="544"/>
      <c r="L120" s="544"/>
      <c r="M120" s="544"/>
      <c r="N120" s="544"/>
      <c r="O120" s="577"/>
      <c r="P120" s="545" t="s">
        <v>71</v>
      </c>
      <c r="Q120" s="546"/>
      <c r="R120" s="546"/>
      <c r="S120" s="546"/>
      <c r="T120" s="546"/>
      <c r="U120" s="546"/>
      <c r="V120" s="547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4"/>
      <c r="B121" s="544"/>
      <c r="C121" s="544"/>
      <c r="D121" s="544"/>
      <c r="E121" s="544"/>
      <c r="F121" s="544"/>
      <c r="G121" s="544"/>
      <c r="H121" s="544"/>
      <c r="I121" s="544"/>
      <c r="J121" s="544"/>
      <c r="K121" s="544"/>
      <c r="L121" s="544"/>
      <c r="M121" s="544"/>
      <c r="N121" s="544"/>
      <c r="O121" s="577"/>
      <c r="P121" s="545" t="s">
        <v>71</v>
      </c>
      <c r="Q121" s="546"/>
      <c r="R121" s="546"/>
      <c r="S121" s="546"/>
      <c r="T121" s="546"/>
      <c r="U121" s="546"/>
      <c r="V121" s="547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85" t="s">
        <v>220</v>
      </c>
      <c r="B122" s="544"/>
      <c r="C122" s="544"/>
      <c r="D122" s="544"/>
      <c r="E122" s="544"/>
      <c r="F122" s="544"/>
      <c r="G122" s="544"/>
      <c r="H122" s="544"/>
      <c r="I122" s="544"/>
      <c r="J122" s="544"/>
      <c r="K122" s="544"/>
      <c r="L122" s="544"/>
      <c r="M122" s="544"/>
      <c r="N122" s="544"/>
      <c r="O122" s="544"/>
      <c r="P122" s="544"/>
      <c r="Q122" s="544"/>
      <c r="R122" s="544"/>
      <c r="S122" s="544"/>
      <c r="T122" s="544"/>
      <c r="U122" s="544"/>
      <c r="V122" s="544"/>
      <c r="W122" s="544"/>
      <c r="X122" s="544"/>
      <c r="Y122" s="544"/>
      <c r="Z122" s="544"/>
      <c r="AA122" s="534"/>
      <c r="AB122" s="534"/>
      <c r="AC122" s="534"/>
    </row>
    <row r="123" spans="1:68" ht="14.25" hidden="1" customHeight="1" x14ac:dyDescent="0.25">
      <c r="A123" s="543" t="s">
        <v>99</v>
      </c>
      <c r="B123" s="544"/>
      <c r="C123" s="544"/>
      <c r="D123" s="544"/>
      <c r="E123" s="544"/>
      <c r="F123" s="544"/>
      <c r="G123" s="544"/>
      <c r="H123" s="544"/>
      <c r="I123" s="544"/>
      <c r="J123" s="544"/>
      <c r="K123" s="544"/>
      <c r="L123" s="544"/>
      <c r="M123" s="544"/>
      <c r="N123" s="544"/>
      <c r="O123" s="544"/>
      <c r="P123" s="544"/>
      <c r="Q123" s="544"/>
      <c r="R123" s="544"/>
      <c r="S123" s="544"/>
      <c r="T123" s="544"/>
      <c r="U123" s="544"/>
      <c r="V123" s="544"/>
      <c r="W123" s="544"/>
      <c r="X123" s="544"/>
      <c r="Y123" s="544"/>
      <c r="Z123" s="544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5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76"/>
      <c r="B126" s="544"/>
      <c r="C126" s="544"/>
      <c r="D126" s="544"/>
      <c r="E126" s="544"/>
      <c r="F126" s="544"/>
      <c r="G126" s="544"/>
      <c r="H126" s="544"/>
      <c r="I126" s="544"/>
      <c r="J126" s="544"/>
      <c r="K126" s="544"/>
      <c r="L126" s="544"/>
      <c r="M126" s="544"/>
      <c r="N126" s="544"/>
      <c r="O126" s="577"/>
      <c r="P126" s="545" t="s">
        <v>71</v>
      </c>
      <c r="Q126" s="546"/>
      <c r="R126" s="546"/>
      <c r="S126" s="546"/>
      <c r="T126" s="546"/>
      <c r="U126" s="546"/>
      <c r="V126" s="547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44"/>
      <c r="B127" s="544"/>
      <c r="C127" s="544"/>
      <c r="D127" s="544"/>
      <c r="E127" s="544"/>
      <c r="F127" s="544"/>
      <c r="G127" s="544"/>
      <c r="H127" s="544"/>
      <c r="I127" s="544"/>
      <c r="J127" s="544"/>
      <c r="K127" s="544"/>
      <c r="L127" s="544"/>
      <c r="M127" s="544"/>
      <c r="N127" s="544"/>
      <c r="O127" s="577"/>
      <c r="P127" s="545" t="s">
        <v>71</v>
      </c>
      <c r="Q127" s="546"/>
      <c r="R127" s="546"/>
      <c r="S127" s="546"/>
      <c r="T127" s="546"/>
      <c r="U127" s="546"/>
      <c r="V127" s="547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43" t="s">
        <v>64</v>
      </c>
      <c r="B128" s="544"/>
      <c r="C128" s="544"/>
      <c r="D128" s="544"/>
      <c r="E128" s="544"/>
      <c r="F128" s="544"/>
      <c r="G128" s="544"/>
      <c r="H128" s="544"/>
      <c r="I128" s="544"/>
      <c r="J128" s="544"/>
      <c r="K128" s="544"/>
      <c r="L128" s="544"/>
      <c r="M128" s="544"/>
      <c r="N128" s="544"/>
      <c r="O128" s="544"/>
      <c r="P128" s="544"/>
      <c r="Q128" s="544"/>
      <c r="R128" s="544"/>
      <c r="S128" s="544"/>
      <c r="T128" s="544"/>
      <c r="U128" s="544"/>
      <c r="V128" s="544"/>
      <c r="W128" s="544"/>
      <c r="X128" s="544"/>
      <c r="Y128" s="544"/>
      <c r="Z128" s="544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79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6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76"/>
      <c r="B131" s="544"/>
      <c r="C131" s="544"/>
      <c r="D131" s="544"/>
      <c r="E131" s="544"/>
      <c r="F131" s="544"/>
      <c r="G131" s="544"/>
      <c r="H131" s="544"/>
      <c r="I131" s="544"/>
      <c r="J131" s="544"/>
      <c r="K131" s="544"/>
      <c r="L131" s="544"/>
      <c r="M131" s="544"/>
      <c r="N131" s="544"/>
      <c r="O131" s="577"/>
      <c r="P131" s="545" t="s">
        <v>71</v>
      </c>
      <c r="Q131" s="546"/>
      <c r="R131" s="546"/>
      <c r="S131" s="546"/>
      <c r="T131" s="546"/>
      <c r="U131" s="546"/>
      <c r="V131" s="547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4"/>
      <c r="B132" s="544"/>
      <c r="C132" s="544"/>
      <c r="D132" s="544"/>
      <c r="E132" s="544"/>
      <c r="F132" s="544"/>
      <c r="G132" s="544"/>
      <c r="H132" s="544"/>
      <c r="I132" s="544"/>
      <c r="J132" s="544"/>
      <c r="K132" s="544"/>
      <c r="L132" s="544"/>
      <c r="M132" s="544"/>
      <c r="N132" s="544"/>
      <c r="O132" s="577"/>
      <c r="P132" s="545" t="s">
        <v>71</v>
      </c>
      <c r="Q132" s="546"/>
      <c r="R132" s="546"/>
      <c r="S132" s="546"/>
      <c r="T132" s="546"/>
      <c r="U132" s="546"/>
      <c r="V132" s="547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43" t="s">
        <v>73</v>
      </c>
      <c r="B133" s="544"/>
      <c r="C133" s="544"/>
      <c r="D133" s="544"/>
      <c r="E133" s="544"/>
      <c r="F133" s="544"/>
      <c r="G133" s="544"/>
      <c r="H133" s="544"/>
      <c r="I133" s="544"/>
      <c r="J133" s="544"/>
      <c r="K133" s="544"/>
      <c r="L133" s="544"/>
      <c r="M133" s="544"/>
      <c r="N133" s="544"/>
      <c r="O133" s="544"/>
      <c r="P133" s="544"/>
      <c r="Q133" s="544"/>
      <c r="R133" s="544"/>
      <c r="S133" s="544"/>
      <c r="T133" s="544"/>
      <c r="U133" s="544"/>
      <c r="V133" s="544"/>
      <c r="W133" s="544"/>
      <c r="X133" s="544"/>
      <c r="Y133" s="544"/>
      <c r="Z133" s="544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59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6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76"/>
      <c r="B136" s="544"/>
      <c r="C136" s="544"/>
      <c r="D136" s="544"/>
      <c r="E136" s="544"/>
      <c r="F136" s="544"/>
      <c r="G136" s="544"/>
      <c r="H136" s="544"/>
      <c r="I136" s="544"/>
      <c r="J136" s="544"/>
      <c r="K136" s="544"/>
      <c r="L136" s="544"/>
      <c r="M136" s="544"/>
      <c r="N136" s="544"/>
      <c r="O136" s="577"/>
      <c r="P136" s="545" t="s">
        <v>71</v>
      </c>
      <c r="Q136" s="546"/>
      <c r="R136" s="546"/>
      <c r="S136" s="546"/>
      <c r="T136" s="546"/>
      <c r="U136" s="546"/>
      <c r="V136" s="547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4"/>
      <c r="B137" s="544"/>
      <c r="C137" s="544"/>
      <c r="D137" s="544"/>
      <c r="E137" s="544"/>
      <c r="F137" s="544"/>
      <c r="G137" s="544"/>
      <c r="H137" s="544"/>
      <c r="I137" s="544"/>
      <c r="J137" s="544"/>
      <c r="K137" s="544"/>
      <c r="L137" s="544"/>
      <c r="M137" s="544"/>
      <c r="N137" s="544"/>
      <c r="O137" s="577"/>
      <c r="P137" s="545" t="s">
        <v>71</v>
      </c>
      <c r="Q137" s="546"/>
      <c r="R137" s="546"/>
      <c r="S137" s="546"/>
      <c r="T137" s="546"/>
      <c r="U137" s="546"/>
      <c r="V137" s="547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85" t="s">
        <v>97</v>
      </c>
      <c r="B138" s="544"/>
      <c r="C138" s="544"/>
      <c r="D138" s="544"/>
      <c r="E138" s="544"/>
      <c r="F138" s="544"/>
      <c r="G138" s="544"/>
      <c r="H138" s="544"/>
      <c r="I138" s="544"/>
      <c r="J138" s="544"/>
      <c r="K138" s="544"/>
      <c r="L138" s="544"/>
      <c r="M138" s="544"/>
      <c r="N138" s="544"/>
      <c r="O138" s="544"/>
      <c r="P138" s="544"/>
      <c r="Q138" s="544"/>
      <c r="R138" s="544"/>
      <c r="S138" s="544"/>
      <c r="T138" s="544"/>
      <c r="U138" s="544"/>
      <c r="V138" s="544"/>
      <c r="W138" s="544"/>
      <c r="X138" s="544"/>
      <c r="Y138" s="544"/>
      <c r="Z138" s="544"/>
      <c r="AA138" s="534"/>
      <c r="AB138" s="534"/>
      <c r="AC138" s="534"/>
    </row>
    <row r="139" spans="1:68" ht="14.25" hidden="1" customHeight="1" x14ac:dyDescent="0.25">
      <c r="A139" s="543" t="s">
        <v>99</v>
      </c>
      <c r="B139" s="544"/>
      <c r="C139" s="544"/>
      <c r="D139" s="544"/>
      <c r="E139" s="544"/>
      <c r="F139" s="544"/>
      <c r="G139" s="544"/>
      <c r="H139" s="544"/>
      <c r="I139" s="544"/>
      <c r="J139" s="544"/>
      <c r="K139" s="544"/>
      <c r="L139" s="544"/>
      <c r="M139" s="544"/>
      <c r="N139" s="544"/>
      <c r="O139" s="544"/>
      <c r="P139" s="544"/>
      <c r="Q139" s="544"/>
      <c r="R139" s="544"/>
      <c r="S139" s="544"/>
      <c r="T139" s="544"/>
      <c r="U139" s="544"/>
      <c r="V139" s="544"/>
      <c r="W139" s="544"/>
      <c r="X139" s="544"/>
      <c r="Y139" s="544"/>
      <c r="Z139" s="544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3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50">
        <v>4680115886810</v>
      </c>
      <c r="E142" s="551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778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3"/>
      <c r="R142" s="553"/>
      <c r="S142" s="553"/>
      <c r="T142" s="554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76"/>
      <c r="B143" s="544"/>
      <c r="C143" s="544"/>
      <c r="D143" s="544"/>
      <c r="E143" s="544"/>
      <c r="F143" s="544"/>
      <c r="G143" s="544"/>
      <c r="H143" s="544"/>
      <c r="I143" s="544"/>
      <c r="J143" s="544"/>
      <c r="K143" s="544"/>
      <c r="L143" s="544"/>
      <c r="M143" s="544"/>
      <c r="N143" s="544"/>
      <c r="O143" s="577"/>
      <c r="P143" s="545" t="s">
        <v>71</v>
      </c>
      <c r="Q143" s="546"/>
      <c r="R143" s="546"/>
      <c r="S143" s="546"/>
      <c r="T143" s="546"/>
      <c r="U143" s="546"/>
      <c r="V143" s="547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4"/>
      <c r="B144" s="544"/>
      <c r="C144" s="544"/>
      <c r="D144" s="544"/>
      <c r="E144" s="544"/>
      <c r="F144" s="544"/>
      <c r="G144" s="544"/>
      <c r="H144" s="544"/>
      <c r="I144" s="544"/>
      <c r="J144" s="544"/>
      <c r="K144" s="544"/>
      <c r="L144" s="544"/>
      <c r="M144" s="544"/>
      <c r="N144" s="544"/>
      <c r="O144" s="577"/>
      <c r="P144" s="545" t="s">
        <v>71</v>
      </c>
      <c r="Q144" s="546"/>
      <c r="R144" s="546"/>
      <c r="S144" s="546"/>
      <c r="T144" s="546"/>
      <c r="U144" s="546"/>
      <c r="V144" s="547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43" t="s">
        <v>64</v>
      </c>
      <c r="B145" s="544"/>
      <c r="C145" s="544"/>
      <c r="D145" s="544"/>
      <c r="E145" s="544"/>
      <c r="F145" s="544"/>
      <c r="G145" s="544"/>
      <c r="H145" s="544"/>
      <c r="I145" s="544"/>
      <c r="J145" s="544"/>
      <c r="K145" s="544"/>
      <c r="L145" s="544"/>
      <c r="M145" s="544"/>
      <c r="N145" s="544"/>
      <c r="O145" s="544"/>
      <c r="P145" s="544"/>
      <c r="Q145" s="544"/>
      <c r="R145" s="544"/>
      <c r="S145" s="544"/>
      <c r="T145" s="544"/>
      <c r="U145" s="544"/>
      <c r="V145" s="544"/>
      <c r="W145" s="544"/>
      <c r="X145" s="544"/>
      <c r="Y145" s="544"/>
      <c r="Z145" s="544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50">
        <v>4607091387667</v>
      </c>
      <c r="E146" s="551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64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50">
        <v>4607091387636</v>
      </c>
      <c r="E147" s="551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84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50">
        <v>4607091382426</v>
      </c>
      <c r="E148" s="551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8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3"/>
      <c r="R148" s="553"/>
      <c r="S148" s="553"/>
      <c r="T148" s="554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76"/>
      <c r="B149" s="544"/>
      <c r="C149" s="544"/>
      <c r="D149" s="544"/>
      <c r="E149" s="544"/>
      <c r="F149" s="544"/>
      <c r="G149" s="544"/>
      <c r="H149" s="544"/>
      <c r="I149" s="544"/>
      <c r="J149" s="544"/>
      <c r="K149" s="544"/>
      <c r="L149" s="544"/>
      <c r="M149" s="544"/>
      <c r="N149" s="544"/>
      <c r="O149" s="577"/>
      <c r="P149" s="545" t="s">
        <v>71</v>
      </c>
      <c r="Q149" s="546"/>
      <c r="R149" s="546"/>
      <c r="S149" s="546"/>
      <c r="T149" s="546"/>
      <c r="U149" s="546"/>
      <c r="V149" s="547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4"/>
      <c r="B150" s="544"/>
      <c r="C150" s="544"/>
      <c r="D150" s="544"/>
      <c r="E150" s="544"/>
      <c r="F150" s="544"/>
      <c r="G150" s="544"/>
      <c r="H150" s="544"/>
      <c r="I150" s="544"/>
      <c r="J150" s="544"/>
      <c r="K150" s="544"/>
      <c r="L150" s="544"/>
      <c r="M150" s="544"/>
      <c r="N150" s="544"/>
      <c r="O150" s="577"/>
      <c r="P150" s="545" t="s">
        <v>71</v>
      </c>
      <c r="Q150" s="546"/>
      <c r="R150" s="546"/>
      <c r="S150" s="546"/>
      <c r="T150" s="546"/>
      <c r="U150" s="546"/>
      <c r="V150" s="547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43" t="s">
        <v>73</v>
      </c>
      <c r="B151" s="544"/>
      <c r="C151" s="544"/>
      <c r="D151" s="544"/>
      <c r="E151" s="544"/>
      <c r="F151" s="544"/>
      <c r="G151" s="544"/>
      <c r="H151" s="544"/>
      <c r="I151" s="544"/>
      <c r="J151" s="544"/>
      <c r="K151" s="544"/>
      <c r="L151" s="544"/>
      <c r="M151" s="544"/>
      <c r="N151" s="544"/>
      <c r="O151" s="544"/>
      <c r="P151" s="544"/>
      <c r="Q151" s="544"/>
      <c r="R151" s="544"/>
      <c r="S151" s="544"/>
      <c r="T151" s="544"/>
      <c r="U151" s="544"/>
      <c r="V151" s="544"/>
      <c r="W151" s="544"/>
      <c r="X151" s="544"/>
      <c r="Y151" s="544"/>
      <c r="Z151" s="544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50">
        <v>4680115887459</v>
      </c>
      <c r="E152" s="551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855" t="s">
        <v>252</v>
      </c>
      <c r="Q152" s="553"/>
      <c r="R152" s="553"/>
      <c r="S152" s="553"/>
      <c r="T152" s="554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6"/>
      <c r="B153" s="544"/>
      <c r="C153" s="544"/>
      <c r="D153" s="544"/>
      <c r="E153" s="544"/>
      <c r="F153" s="544"/>
      <c r="G153" s="544"/>
      <c r="H153" s="544"/>
      <c r="I153" s="544"/>
      <c r="J153" s="544"/>
      <c r="K153" s="544"/>
      <c r="L153" s="544"/>
      <c r="M153" s="544"/>
      <c r="N153" s="544"/>
      <c r="O153" s="577"/>
      <c r="P153" s="545" t="s">
        <v>71</v>
      </c>
      <c r="Q153" s="546"/>
      <c r="R153" s="546"/>
      <c r="S153" s="546"/>
      <c r="T153" s="546"/>
      <c r="U153" s="546"/>
      <c r="V153" s="547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4"/>
      <c r="B154" s="544"/>
      <c r="C154" s="544"/>
      <c r="D154" s="544"/>
      <c r="E154" s="544"/>
      <c r="F154" s="544"/>
      <c r="G154" s="544"/>
      <c r="H154" s="544"/>
      <c r="I154" s="544"/>
      <c r="J154" s="544"/>
      <c r="K154" s="544"/>
      <c r="L154" s="544"/>
      <c r="M154" s="544"/>
      <c r="N154" s="544"/>
      <c r="O154" s="577"/>
      <c r="P154" s="545" t="s">
        <v>71</v>
      </c>
      <c r="Q154" s="546"/>
      <c r="R154" s="546"/>
      <c r="S154" s="546"/>
      <c r="T154" s="546"/>
      <c r="U154" s="546"/>
      <c r="V154" s="547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558" t="s">
        <v>255</v>
      </c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48"/>
      <c r="AB155" s="48"/>
      <c r="AC155" s="48"/>
    </row>
    <row r="156" spans="1:68" ht="16.5" hidden="1" customHeight="1" x14ac:dyDescent="0.25">
      <c r="A156" s="585" t="s">
        <v>256</v>
      </c>
      <c r="B156" s="544"/>
      <c r="C156" s="544"/>
      <c r="D156" s="544"/>
      <c r="E156" s="544"/>
      <c r="F156" s="544"/>
      <c r="G156" s="544"/>
      <c r="H156" s="544"/>
      <c r="I156" s="544"/>
      <c r="J156" s="544"/>
      <c r="K156" s="544"/>
      <c r="L156" s="544"/>
      <c r="M156" s="544"/>
      <c r="N156" s="544"/>
      <c r="O156" s="544"/>
      <c r="P156" s="544"/>
      <c r="Q156" s="544"/>
      <c r="R156" s="544"/>
      <c r="S156" s="544"/>
      <c r="T156" s="544"/>
      <c r="U156" s="544"/>
      <c r="V156" s="544"/>
      <c r="W156" s="544"/>
      <c r="X156" s="544"/>
      <c r="Y156" s="544"/>
      <c r="Z156" s="544"/>
      <c r="AA156" s="534"/>
      <c r="AB156" s="534"/>
      <c r="AC156" s="534"/>
    </row>
    <row r="157" spans="1:68" ht="14.25" hidden="1" customHeight="1" x14ac:dyDescent="0.25">
      <c r="A157" s="543" t="s">
        <v>135</v>
      </c>
      <c r="B157" s="544"/>
      <c r="C157" s="544"/>
      <c r="D157" s="544"/>
      <c r="E157" s="544"/>
      <c r="F157" s="544"/>
      <c r="G157" s="544"/>
      <c r="H157" s="544"/>
      <c r="I157" s="544"/>
      <c r="J157" s="544"/>
      <c r="K157" s="544"/>
      <c r="L157" s="544"/>
      <c r="M157" s="544"/>
      <c r="N157" s="544"/>
      <c r="O157" s="544"/>
      <c r="P157" s="544"/>
      <c r="Q157" s="544"/>
      <c r="R157" s="544"/>
      <c r="S157" s="544"/>
      <c r="T157" s="544"/>
      <c r="U157" s="544"/>
      <c r="V157" s="544"/>
      <c r="W157" s="544"/>
      <c r="X157" s="544"/>
      <c r="Y157" s="544"/>
      <c r="Z157" s="544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50">
        <v>4680115886223</v>
      </c>
      <c r="E158" s="551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3"/>
      <c r="R158" s="553"/>
      <c r="S158" s="553"/>
      <c r="T158" s="554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76"/>
      <c r="B159" s="544"/>
      <c r="C159" s="544"/>
      <c r="D159" s="544"/>
      <c r="E159" s="544"/>
      <c r="F159" s="544"/>
      <c r="G159" s="544"/>
      <c r="H159" s="544"/>
      <c r="I159" s="544"/>
      <c r="J159" s="544"/>
      <c r="K159" s="544"/>
      <c r="L159" s="544"/>
      <c r="M159" s="544"/>
      <c r="N159" s="544"/>
      <c r="O159" s="577"/>
      <c r="P159" s="545" t="s">
        <v>71</v>
      </c>
      <c r="Q159" s="546"/>
      <c r="R159" s="546"/>
      <c r="S159" s="546"/>
      <c r="T159" s="546"/>
      <c r="U159" s="546"/>
      <c r="V159" s="547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4"/>
      <c r="B160" s="544"/>
      <c r="C160" s="544"/>
      <c r="D160" s="544"/>
      <c r="E160" s="544"/>
      <c r="F160" s="544"/>
      <c r="G160" s="544"/>
      <c r="H160" s="544"/>
      <c r="I160" s="544"/>
      <c r="J160" s="544"/>
      <c r="K160" s="544"/>
      <c r="L160" s="544"/>
      <c r="M160" s="544"/>
      <c r="N160" s="544"/>
      <c r="O160" s="577"/>
      <c r="P160" s="545" t="s">
        <v>71</v>
      </c>
      <c r="Q160" s="546"/>
      <c r="R160" s="546"/>
      <c r="S160" s="546"/>
      <c r="T160" s="546"/>
      <c r="U160" s="546"/>
      <c r="V160" s="547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43" t="s">
        <v>64</v>
      </c>
      <c r="B161" s="544"/>
      <c r="C161" s="544"/>
      <c r="D161" s="544"/>
      <c r="E161" s="544"/>
      <c r="F161" s="544"/>
      <c r="G161" s="544"/>
      <c r="H161" s="544"/>
      <c r="I161" s="544"/>
      <c r="J161" s="544"/>
      <c r="K161" s="544"/>
      <c r="L161" s="544"/>
      <c r="M161" s="544"/>
      <c r="N161" s="544"/>
      <c r="O161" s="544"/>
      <c r="P161" s="544"/>
      <c r="Q161" s="544"/>
      <c r="R161" s="544"/>
      <c r="S161" s="544"/>
      <c r="T161" s="544"/>
      <c r="U161" s="544"/>
      <c r="V161" s="544"/>
      <c r="W161" s="544"/>
      <c r="X161" s="544"/>
      <c r="Y161" s="544"/>
      <c r="Z161" s="544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50">
        <v>4680115880993</v>
      </c>
      <c r="E162" s="551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6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3"/>
      <c r="R162" s="553"/>
      <c r="S162" s="553"/>
      <c r="T162" s="554"/>
      <c r="U162" s="34"/>
      <c r="V162" s="34"/>
      <c r="W162" s="35" t="s">
        <v>69</v>
      </c>
      <c r="X162" s="539">
        <v>10</v>
      </c>
      <c r="Y162" s="540">
        <f t="shared" ref="Y162:Y170" si="5">IFERROR(IF(X162="",0,CEILING((X162/$H162),1)*$H162),"")</f>
        <v>12.600000000000001</v>
      </c>
      <c r="Z162" s="36">
        <f>IFERROR(IF(Y162=0,"",ROUNDUP(Y162/H162,0)*0.00902),"")</f>
        <v>2.7060000000000001E-2</v>
      </c>
      <c r="AA162" s="56"/>
      <c r="AB162" s="57"/>
      <c r="AC162" s="193" t="s">
        <v>262</v>
      </c>
      <c r="AG162" s="64"/>
      <c r="AJ162" s="68"/>
      <c r="AK162" s="68">
        <v>0</v>
      </c>
      <c r="BB162" s="194" t="s">
        <v>1</v>
      </c>
      <c r="BM162" s="64">
        <f t="shared" ref="BM162:BM170" si="6">IFERROR(X162*I162/H162,"0")</f>
        <v>10.595238095238095</v>
      </c>
      <c r="BN162" s="64">
        <f t="shared" ref="BN162:BN170" si="7">IFERROR(Y162*I162/H162,"0")</f>
        <v>13.350000000000001</v>
      </c>
      <c r="BO162" s="64">
        <f t="shared" ref="BO162:BO170" si="8">IFERROR(1/J162*(X162/H162),"0")</f>
        <v>1.8037518037518036E-2</v>
      </c>
      <c r="BP162" s="64">
        <f t="shared" ref="BP162:BP170" si="9">IFERROR(1/J162*(Y162/H162),"0")</f>
        <v>2.2727272727272728E-2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50">
        <v>4680115881761</v>
      </c>
      <c r="E163" s="551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50">
        <v>4680115881563</v>
      </c>
      <c r="E164" s="551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6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3"/>
      <c r="R164" s="553"/>
      <c r="S164" s="553"/>
      <c r="T164" s="554"/>
      <c r="U164" s="34"/>
      <c r="V164" s="34"/>
      <c r="W164" s="35" t="s">
        <v>69</v>
      </c>
      <c r="X164" s="539">
        <v>44</v>
      </c>
      <c r="Y164" s="540">
        <f t="shared" si="5"/>
        <v>46.2</v>
      </c>
      <c r="Z164" s="36">
        <f>IFERROR(IF(Y164=0,"",ROUNDUP(Y164/H164,0)*0.00902),"")</f>
        <v>9.9220000000000003E-2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45.990476190476187</v>
      </c>
      <c r="BN164" s="64">
        <f t="shared" si="7"/>
        <v>48.289999999999992</v>
      </c>
      <c r="BO164" s="64">
        <f t="shared" si="8"/>
        <v>7.9365079365079375E-2</v>
      </c>
      <c r="BP164" s="64">
        <f t="shared" si="9"/>
        <v>8.3333333333333343E-2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50">
        <v>4680115880986</v>
      </c>
      <c r="E165" s="551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3"/>
      <c r="R165" s="553"/>
      <c r="S165" s="553"/>
      <c r="T165" s="554"/>
      <c r="U165" s="34"/>
      <c r="V165" s="34"/>
      <c r="W165" s="35" t="s">
        <v>69</v>
      </c>
      <c r="X165" s="539">
        <v>61</v>
      </c>
      <c r="Y165" s="540">
        <f t="shared" si="5"/>
        <v>63</v>
      </c>
      <c r="Z165" s="36">
        <f>IFERROR(IF(Y165=0,"",ROUNDUP(Y165/H165,0)*0.00502),"")</f>
        <v>0.15060000000000001</v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64.776190476190479</v>
      </c>
      <c r="BN165" s="64">
        <f t="shared" si="7"/>
        <v>66.900000000000006</v>
      </c>
      <c r="BO165" s="64">
        <f t="shared" si="8"/>
        <v>0.12413512413512415</v>
      </c>
      <c r="BP165" s="64">
        <f t="shared" si="9"/>
        <v>0.12820512820512822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50">
        <v>4680115881785</v>
      </c>
      <c r="E166" s="551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1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50">
        <v>4680115886537</v>
      </c>
      <c r="E167" s="551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7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39">
        <v>1</v>
      </c>
      <c r="Y167" s="540">
        <f t="shared" si="5"/>
        <v>1.8</v>
      </c>
      <c r="Z167" s="36">
        <f>IFERROR(IF(Y167=0,"",ROUNDUP(Y167/H167,0)*0.00502),"")</f>
        <v>5.0200000000000002E-3</v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1.0722222222222222</v>
      </c>
      <c r="BN167" s="64">
        <f t="shared" si="7"/>
        <v>1.9299999999999997</v>
      </c>
      <c r="BO167" s="64">
        <f t="shared" si="8"/>
        <v>2.3741690408357078E-3</v>
      </c>
      <c r="BP167" s="64">
        <f t="shared" si="9"/>
        <v>4.2735042735042739E-3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50">
        <v>4680115881679</v>
      </c>
      <c r="E168" s="551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79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0">
        <v>4680115880191</v>
      </c>
      <c r="E169" s="551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8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0">
        <v>4680115883963</v>
      </c>
      <c r="E170" s="551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76"/>
      <c r="B171" s="544"/>
      <c r="C171" s="544"/>
      <c r="D171" s="544"/>
      <c r="E171" s="544"/>
      <c r="F171" s="544"/>
      <c r="G171" s="544"/>
      <c r="H171" s="544"/>
      <c r="I171" s="544"/>
      <c r="J171" s="544"/>
      <c r="K171" s="544"/>
      <c r="L171" s="544"/>
      <c r="M171" s="544"/>
      <c r="N171" s="544"/>
      <c r="O171" s="577"/>
      <c r="P171" s="545" t="s">
        <v>71</v>
      </c>
      <c r="Q171" s="546"/>
      <c r="R171" s="546"/>
      <c r="S171" s="546"/>
      <c r="T171" s="546"/>
      <c r="U171" s="546"/>
      <c r="V171" s="547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42.460317460317462</v>
      </c>
      <c r="Y171" s="541">
        <f>IFERROR(Y162/H162,"0")+IFERROR(Y163/H163,"0")+IFERROR(Y164/H164,"0")+IFERROR(Y165/H165,"0")+IFERROR(Y166/H166,"0")+IFERROR(Y167/H167,"0")+IFERROR(Y168/H168,"0")+IFERROR(Y169/H169,"0")+IFERROR(Y170/H170,"0")</f>
        <v>45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0.28190000000000004</v>
      </c>
      <c r="AA171" s="542"/>
      <c r="AB171" s="542"/>
      <c r="AC171" s="542"/>
    </row>
    <row r="172" spans="1:68" x14ac:dyDescent="0.2">
      <c r="A172" s="544"/>
      <c r="B172" s="544"/>
      <c r="C172" s="544"/>
      <c r="D172" s="544"/>
      <c r="E172" s="544"/>
      <c r="F172" s="544"/>
      <c r="G172" s="544"/>
      <c r="H172" s="544"/>
      <c r="I172" s="544"/>
      <c r="J172" s="544"/>
      <c r="K172" s="544"/>
      <c r="L172" s="544"/>
      <c r="M172" s="544"/>
      <c r="N172" s="544"/>
      <c r="O172" s="577"/>
      <c r="P172" s="545" t="s">
        <v>71</v>
      </c>
      <c r="Q172" s="546"/>
      <c r="R172" s="546"/>
      <c r="S172" s="546"/>
      <c r="T172" s="546"/>
      <c r="U172" s="546"/>
      <c r="V172" s="547"/>
      <c r="W172" s="37" t="s">
        <v>69</v>
      </c>
      <c r="X172" s="541">
        <f>IFERROR(SUM(X162:X170),"0")</f>
        <v>116</v>
      </c>
      <c r="Y172" s="541">
        <f>IFERROR(SUM(Y162:Y170),"0")</f>
        <v>123.60000000000001</v>
      </c>
      <c r="Z172" s="37"/>
      <c r="AA172" s="542"/>
      <c r="AB172" s="542"/>
      <c r="AC172" s="542"/>
    </row>
    <row r="173" spans="1:68" ht="14.25" hidden="1" customHeight="1" x14ac:dyDescent="0.25">
      <c r="A173" s="543" t="s">
        <v>91</v>
      </c>
      <c r="B173" s="544"/>
      <c r="C173" s="544"/>
      <c r="D173" s="544"/>
      <c r="E173" s="544"/>
      <c r="F173" s="544"/>
      <c r="G173" s="544"/>
      <c r="H173" s="544"/>
      <c r="I173" s="544"/>
      <c r="J173" s="544"/>
      <c r="K173" s="544"/>
      <c r="L173" s="544"/>
      <c r="M173" s="544"/>
      <c r="N173" s="544"/>
      <c r="O173" s="544"/>
      <c r="P173" s="544"/>
      <c r="Q173" s="544"/>
      <c r="R173" s="544"/>
      <c r="S173" s="544"/>
      <c r="T173" s="544"/>
      <c r="U173" s="544"/>
      <c r="V173" s="544"/>
      <c r="W173" s="544"/>
      <c r="X173" s="544"/>
      <c r="Y173" s="544"/>
      <c r="Z173" s="544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50">
        <v>4680115886780</v>
      </c>
      <c r="E174" s="551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5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50">
        <v>4680115886742</v>
      </c>
      <c r="E175" s="551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67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50">
        <v>4680115886766</v>
      </c>
      <c r="E176" s="551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6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76"/>
      <c r="B177" s="544"/>
      <c r="C177" s="544"/>
      <c r="D177" s="544"/>
      <c r="E177" s="544"/>
      <c r="F177" s="544"/>
      <c r="G177" s="544"/>
      <c r="H177" s="544"/>
      <c r="I177" s="544"/>
      <c r="J177" s="544"/>
      <c r="K177" s="544"/>
      <c r="L177" s="544"/>
      <c r="M177" s="544"/>
      <c r="N177" s="544"/>
      <c r="O177" s="577"/>
      <c r="P177" s="545" t="s">
        <v>71</v>
      </c>
      <c r="Q177" s="546"/>
      <c r="R177" s="546"/>
      <c r="S177" s="546"/>
      <c r="T177" s="546"/>
      <c r="U177" s="546"/>
      <c r="V177" s="547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44"/>
      <c r="B178" s="544"/>
      <c r="C178" s="544"/>
      <c r="D178" s="544"/>
      <c r="E178" s="544"/>
      <c r="F178" s="544"/>
      <c r="G178" s="544"/>
      <c r="H178" s="544"/>
      <c r="I178" s="544"/>
      <c r="J178" s="544"/>
      <c r="K178" s="544"/>
      <c r="L178" s="544"/>
      <c r="M178" s="544"/>
      <c r="N178" s="544"/>
      <c r="O178" s="577"/>
      <c r="P178" s="545" t="s">
        <v>71</v>
      </c>
      <c r="Q178" s="546"/>
      <c r="R178" s="546"/>
      <c r="S178" s="546"/>
      <c r="T178" s="546"/>
      <c r="U178" s="546"/>
      <c r="V178" s="547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43" t="s">
        <v>294</v>
      </c>
      <c r="B179" s="544"/>
      <c r="C179" s="544"/>
      <c r="D179" s="544"/>
      <c r="E179" s="544"/>
      <c r="F179" s="544"/>
      <c r="G179" s="544"/>
      <c r="H179" s="544"/>
      <c r="I179" s="544"/>
      <c r="J179" s="544"/>
      <c r="K179" s="544"/>
      <c r="L179" s="544"/>
      <c r="M179" s="544"/>
      <c r="N179" s="544"/>
      <c r="O179" s="544"/>
      <c r="P179" s="544"/>
      <c r="Q179" s="544"/>
      <c r="R179" s="544"/>
      <c r="S179" s="544"/>
      <c r="T179" s="544"/>
      <c r="U179" s="544"/>
      <c r="V179" s="544"/>
      <c r="W179" s="544"/>
      <c r="X179" s="544"/>
      <c r="Y179" s="544"/>
      <c r="Z179" s="544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50">
        <v>4680115886797</v>
      </c>
      <c r="E180" s="551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7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39">
        <v>2</v>
      </c>
      <c r="Y180" s="540">
        <f>IFERROR(IF(X180="",0,CEILING((X180/$H180),1)*$H180),"")</f>
        <v>2.52</v>
      </c>
      <c r="Z180" s="36">
        <f>IFERROR(IF(Y180=0,"",ROUNDUP(Y180/H180,0)*0.0059),"")</f>
        <v>1.18E-2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2.3015873015873014</v>
      </c>
      <c r="BN180" s="64">
        <f>IFERROR(Y180*I180/H180,"0")</f>
        <v>2.9</v>
      </c>
      <c r="BO180" s="64">
        <f>IFERROR(1/J180*(X180/H180),"0")</f>
        <v>7.3486184597295699E-3</v>
      </c>
      <c r="BP180" s="64">
        <f>IFERROR(1/J180*(Y180/H180),"0")</f>
        <v>9.2592592592592587E-3</v>
      </c>
    </row>
    <row r="181" spans="1:68" x14ac:dyDescent="0.2">
      <c r="A181" s="576"/>
      <c r="B181" s="544"/>
      <c r="C181" s="544"/>
      <c r="D181" s="544"/>
      <c r="E181" s="544"/>
      <c r="F181" s="544"/>
      <c r="G181" s="544"/>
      <c r="H181" s="544"/>
      <c r="I181" s="544"/>
      <c r="J181" s="544"/>
      <c r="K181" s="544"/>
      <c r="L181" s="544"/>
      <c r="M181" s="544"/>
      <c r="N181" s="544"/>
      <c r="O181" s="577"/>
      <c r="P181" s="545" t="s">
        <v>71</v>
      </c>
      <c r="Q181" s="546"/>
      <c r="R181" s="546"/>
      <c r="S181" s="546"/>
      <c r="T181" s="546"/>
      <c r="U181" s="546"/>
      <c r="V181" s="547"/>
      <c r="W181" s="37" t="s">
        <v>72</v>
      </c>
      <c r="X181" s="541">
        <f>IFERROR(X180/H180,"0")</f>
        <v>1.5873015873015872</v>
      </c>
      <c r="Y181" s="541">
        <f>IFERROR(Y180/H180,"0")</f>
        <v>2</v>
      </c>
      <c r="Z181" s="541">
        <f>IFERROR(IF(Z180="",0,Z180),"0")</f>
        <v>1.18E-2</v>
      </c>
      <c r="AA181" s="542"/>
      <c r="AB181" s="542"/>
      <c r="AC181" s="542"/>
    </row>
    <row r="182" spans="1:68" x14ac:dyDescent="0.2">
      <c r="A182" s="544"/>
      <c r="B182" s="544"/>
      <c r="C182" s="544"/>
      <c r="D182" s="544"/>
      <c r="E182" s="544"/>
      <c r="F182" s="544"/>
      <c r="G182" s="544"/>
      <c r="H182" s="544"/>
      <c r="I182" s="544"/>
      <c r="J182" s="544"/>
      <c r="K182" s="544"/>
      <c r="L182" s="544"/>
      <c r="M182" s="544"/>
      <c r="N182" s="544"/>
      <c r="O182" s="577"/>
      <c r="P182" s="545" t="s">
        <v>71</v>
      </c>
      <c r="Q182" s="546"/>
      <c r="R182" s="546"/>
      <c r="S182" s="546"/>
      <c r="T182" s="546"/>
      <c r="U182" s="546"/>
      <c r="V182" s="547"/>
      <c r="W182" s="37" t="s">
        <v>69</v>
      </c>
      <c r="X182" s="541">
        <f>IFERROR(SUM(X180:X180),"0")</f>
        <v>2</v>
      </c>
      <c r="Y182" s="541">
        <f>IFERROR(SUM(Y180:Y180),"0")</f>
        <v>2.52</v>
      </c>
      <c r="Z182" s="37"/>
      <c r="AA182" s="542"/>
      <c r="AB182" s="542"/>
      <c r="AC182" s="542"/>
    </row>
    <row r="183" spans="1:68" ht="16.5" hidden="1" customHeight="1" x14ac:dyDescent="0.25">
      <c r="A183" s="585" t="s">
        <v>297</v>
      </c>
      <c r="B183" s="544"/>
      <c r="C183" s="544"/>
      <c r="D183" s="544"/>
      <c r="E183" s="544"/>
      <c r="F183" s="544"/>
      <c r="G183" s="544"/>
      <c r="H183" s="544"/>
      <c r="I183" s="544"/>
      <c r="J183" s="544"/>
      <c r="K183" s="544"/>
      <c r="L183" s="544"/>
      <c r="M183" s="544"/>
      <c r="N183" s="544"/>
      <c r="O183" s="544"/>
      <c r="P183" s="544"/>
      <c r="Q183" s="544"/>
      <c r="R183" s="544"/>
      <c r="S183" s="544"/>
      <c r="T183" s="544"/>
      <c r="U183" s="544"/>
      <c r="V183" s="544"/>
      <c r="W183" s="544"/>
      <c r="X183" s="544"/>
      <c r="Y183" s="544"/>
      <c r="Z183" s="544"/>
      <c r="AA183" s="534"/>
      <c r="AB183" s="534"/>
      <c r="AC183" s="534"/>
    </row>
    <row r="184" spans="1:68" ht="14.25" hidden="1" customHeight="1" x14ac:dyDescent="0.25">
      <c r="A184" s="543" t="s">
        <v>99</v>
      </c>
      <c r="B184" s="544"/>
      <c r="C184" s="544"/>
      <c r="D184" s="544"/>
      <c r="E184" s="544"/>
      <c r="F184" s="544"/>
      <c r="G184" s="544"/>
      <c r="H184" s="544"/>
      <c r="I184" s="544"/>
      <c r="J184" s="544"/>
      <c r="K184" s="544"/>
      <c r="L184" s="544"/>
      <c r="M184" s="544"/>
      <c r="N184" s="544"/>
      <c r="O184" s="544"/>
      <c r="P184" s="544"/>
      <c r="Q184" s="544"/>
      <c r="R184" s="544"/>
      <c r="S184" s="544"/>
      <c r="T184" s="544"/>
      <c r="U184" s="544"/>
      <c r="V184" s="544"/>
      <c r="W184" s="544"/>
      <c r="X184" s="544"/>
      <c r="Y184" s="544"/>
      <c r="Z184" s="544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0">
        <v>4680115881402</v>
      </c>
      <c r="E185" s="551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7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0">
        <v>4680115881396</v>
      </c>
      <c r="E186" s="551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6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6"/>
      <c r="B187" s="544"/>
      <c r="C187" s="544"/>
      <c r="D187" s="544"/>
      <c r="E187" s="544"/>
      <c r="F187" s="544"/>
      <c r="G187" s="544"/>
      <c r="H187" s="544"/>
      <c r="I187" s="544"/>
      <c r="J187" s="544"/>
      <c r="K187" s="544"/>
      <c r="L187" s="544"/>
      <c r="M187" s="544"/>
      <c r="N187" s="544"/>
      <c r="O187" s="577"/>
      <c r="P187" s="545" t="s">
        <v>71</v>
      </c>
      <c r="Q187" s="546"/>
      <c r="R187" s="546"/>
      <c r="S187" s="546"/>
      <c r="T187" s="546"/>
      <c r="U187" s="546"/>
      <c r="V187" s="547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4"/>
      <c r="B188" s="544"/>
      <c r="C188" s="544"/>
      <c r="D188" s="544"/>
      <c r="E188" s="544"/>
      <c r="F188" s="544"/>
      <c r="G188" s="544"/>
      <c r="H188" s="544"/>
      <c r="I188" s="544"/>
      <c r="J188" s="544"/>
      <c r="K188" s="544"/>
      <c r="L188" s="544"/>
      <c r="M188" s="544"/>
      <c r="N188" s="544"/>
      <c r="O188" s="577"/>
      <c r="P188" s="545" t="s">
        <v>71</v>
      </c>
      <c r="Q188" s="546"/>
      <c r="R188" s="546"/>
      <c r="S188" s="546"/>
      <c r="T188" s="546"/>
      <c r="U188" s="546"/>
      <c r="V188" s="547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43" t="s">
        <v>135</v>
      </c>
      <c r="B189" s="544"/>
      <c r="C189" s="544"/>
      <c r="D189" s="544"/>
      <c r="E189" s="544"/>
      <c r="F189" s="544"/>
      <c r="G189" s="544"/>
      <c r="H189" s="544"/>
      <c r="I189" s="544"/>
      <c r="J189" s="544"/>
      <c r="K189" s="544"/>
      <c r="L189" s="544"/>
      <c r="M189" s="544"/>
      <c r="N189" s="544"/>
      <c r="O189" s="544"/>
      <c r="P189" s="544"/>
      <c r="Q189" s="544"/>
      <c r="R189" s="544"/>
      <c r="S189" s="544"/>
      <c r="T189" s="544"/>
      <c r="U189" s="544"/>
      <c r="V189" s="544"/>
      <c r="W189" s="544"/>
      <c r="X189" s="544"/>
      <c r="Y189" s="544"/>
      <c r="Z189" s="544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0">
        <v>4680115882935</v>
      </c>
      <c r="E190" s="551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6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0">
        <v>4680115880764</v>
      </c>
      <c r="E191" s="551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6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76"/>
      <c r="B192" s="544"/>
      <c r="C192" s="544"/>
      <c r="D192" s="544"/>
      <c r="E192" s="544"/>
      <c r="F192" s="544"/>
      <c r="G192" s="544"/>
      <c r="H192" s="544"/>
      <c r="I192" s="544"/>
      <c r="J192" s="544"/>
      <c r="K192" s="544"/>
      <c r="L192" s="544"/>
      <c r="M192" s="544"/>
      <c r="N192" s="544"/>
      <c r="O192" s="577"/>
      <c r="P192" s="545" t="s">
        <v>71</v>
      </c>
      <c r="Q192" s="546"/>
      <c r="R192" s="546"/>
      <c r="S192" s="546"/>
      <c r="T192" s="546"/>
      <c r="U192" s="546"/>
      <c r="V192" s="547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4"/>
      <c r="B193" s="544"/>
      <c r="C193" s="544"/>
      <c r="D193" s="544"/>
      <c r="E193" s="544"/>
      <c r="F193" s="544"/>
      <c r="G193" s="544"/>
      <c r="H193" s="544"/>
      <c r="I193" s="544"/>
      <c r="J193" s="544"/>
      <c r="K193" s="544"/>
      <c r="L193" s="544"/>
      <c r="M193" s="544"/>
      <c r="N193" s="544"/>
      <c r="O193" s="577"/>
      <c r="P193" s="545" t="s">
        <v>71</v>
      </c>
      <c r="Q193" s="546"/>
      <c r="R193" s="546"/>
      <c r="S193" s="546"/>
      <c r="T193" s="546"/>
      <c r="U193" s="546"/>
      <c r="V193" s="547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43" t="s">
        <v>64</v>
      </c>
      <c r="B194" s="544"/>
      <c r="C194" s="544"/>
      <c r="D194" s="544"/>
      <c r="E194" s="544"/>
      <c r="F194" s="544"/>
      <c r="G194" s="544"/>
      <c r="H194" s="544"/>
      <c r="I194" s="544"/>
      <c r="J194" s="544"/>
      <c r="K194" s="544"/>
      <c r="L194" s="544"/>
      <c r="M194" s="544"/>
      <c r="N194" s="544"/>
      <c r="O194" s="544"/>
      <c r="P194" s="544"/>
      <c r="Q194" s="544"/>
      <c r="R194" s="544"/>
      <c r="S194" s="544"/>
      <c r="T194" s="544"/>
      <c r="U194" s="544"/>
      <c r="V194" s="544"/>
      <c r="W194" s="544"/>
      <c r="X194" s="544"/>
      <c r="Y194" s="544"/>
      <c r="Z194" s="544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50">
        <v>4680115882683</v>
      </c>
      <c r="E195" s="551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7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39">
        <v>323</v>
      </c>
      <c r="Y195" s="540">
        <f t="shared" ref="Y195:Y202" si="10">IFERROR(IF(X195="",0,CEILING((X195/$H195),1)*$H195),"")</f>
        <v>324</v>
      </c>
      <c r="Z195" s="36">
        <f>IFERROR(IF(Y195=0,"",ROUNDUP(Y195/H195,0)*0.00902),"")</f>
        <v>0.54120000000000001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334.36481481481479</v>
      </c>
      <c r="BN195" s="64">
        <f t="shared" ref="BN195:BN202" si="12">IFERROR(Y195*I195/H195,"0")</f>
        <v>335.4</v>
      </c>
      <c r="BO195" s="64">
        <f t="shared" ref="BO195:BO202" si="13">IFERROR(1/J195*(X195/H195),"0")</f>
        <v>0.45314253647586977</v>
      </c>
      <c r="BP195" s="64">
        <f t="shared" ref="BP195:BP202" si="14">IFERROR(1/J195*(Y195/H195),"0")</f>
        <v>0.45454545454545453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50">
        <v>4680115882690</v>
      </c>
      <c r="E196" s="551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60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39">
        <v>124</v>
      </c>
      <c r="Y196" s="540">
        <f t="shared" si="10"/>
        <v>124.2</v>
      </c>
      <c r="Z196" s="36">
        <f>IFERROR(IF(Y196=0,"",ROUNDUP(Y196/H196,0)*0.00902),"")</f>
        <v>0.20746000000000001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128.36296296296294</v>
      </c>
      <c r="BN196" s="64">
        <f t="shared" si="12"/>
        <v>128.57</v>
      </c>
      <c r="BO196" s="64">
        <f t="shared" si="13"/>
        <v>0.17396184062850728</v>
      </c>
      <c r="BP196" s="64">
        <f t="shared" si="14"/>
        <v>0.17424242424242425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50">
        <v>4680115882669</v>
      </c>
      <c r="E197" s="551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75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50">
        <v>4680115882676</v>
      </c>
      <c r="E198" s="551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6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39">
        <v>367</v>
      </c>
      <c r="Y198" s="540">
        <f t="shared" si="10"/>
        <v>367.20000000000005</v>
      </c>
      <c r="Z198" s="36">
        <f>IFERROR(IF(Y198=0,"",ROUNDUP(Y198/H198,0)*0.00902),"")</f>
        <v>0.61336000000000002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379.91296296296287</v>
      </c>
      <c r="BN198" s="64">
        <f t="shared" si="12"/>
        <v>380.12</v>
      </c>
      <c r="BO198" s="64">
        <f t="shared" si="13"/>
        <v>0.51487093153759822</v>
      </c>
      <c r="BP198" s="64">
        <f t="shared" si="14"/>
        <v>0.51515151515151514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50">
        <v>4680115884014</v>
      </c>
      <c r="E199" s="551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6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39">
        <v>25</v>
      </c>
      <c r="Y199" s="540">
        <f t="shared" si="10"/>
        <v>25.2</v>
      </c>
      <c r="Z199" s="36">
        <f>IFERROR(IF(Y199=0,"",ROUNDUP(Y199/H199,0)*0.00502),"")</f>
        <v>7.0280000000000009E-2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26.805555555555554</v>
      </c>
      <c r="BN199" s="64">
        <f t="shared" si="12"/>
        <v>27.019999999999996</v>
      </c>
      <c r="BO199" s="64">
        <f t="shared" si="13"/>
        <v>5.9354226020892693E-2</v>
      </c>
      <c r="BP199" s="64">
        <f t="shared" si="14"/>
        <v>5.9829059829059839E-2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50">
        <v>4680115884007</v>
      </c>
      <c r="E200" s="551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5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39">
        <v>13</v>
      </c>
      <c r="Y200" s="540">
        <f t="shared" si="10"/>
        <v>14.4</v>
      </c>
      <c r="Z200" s="36">
        <f>IFERROR(IF(Y200=0,"",ROUNDUP(Y200/H200,0)*0.00502),"")</f>
        <v>4.0160000000000001E-2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13.722222222222221</v>
      </c>
      <c r="BN200" s="64">
        <f t="shared" si="12"/>
        <v>15.2</v>
      </c>
      <c r="BO200" s="64">
        <f t="shared" si="13"/>
        <v>3.0864197530864203E-2</v>
      </c>
      <c r="BP200" s="64">
        <f t="shared" si="14"/>
        <v>3.4188034188034191E-2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0">
        <v>4680115884038</v>
      </c>
      <c r="E201" s="551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63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50">
        <v>4680115884021</v>
      </c>
      <c r="E202" s="551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5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39">
        <v>9</v>
      </c>
      <c r="Y202" s="540">
        <f t="shared" si="10"/>
        <v>9</v>
      </c>
      <c r="Z202" s="36">
        <f>IFERROR(IF(Y202=0,"",ROUNDUP(Y202/H202,0)*0.00502),"")</f>
        <v>2.5100000000000001E-2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9.4999999999999982</v>
      </c>
      <c r="BN202" s="64">
        <f t="shared" si="12"/>
        <v>9.4999999999999982</v>
      </c>
      <c r="BO202" s="64">
        <f t="shared" si="13"/>
        <v>2.1367521367521368E-2</v>
      </c>
      <c r="BP202" s="64">
        <f t="shared" si="14"/>
        <v>2.1367521367521368E-2</v>
      </c>
    </row>
    <row r="203" spans="1:68" x14ac:dyDescent="0.2">
      <c r="A203" s="576"/>
      <c r="B203" s="544"/>
      <c r="C203" s="544"/>
      <c r="D203" s="544"/>
      <c r="E203" s="544"/>
      <c r="F203" s="544"/>
      <c r="G203" s="544"/>
      <c r="H203" s="544"/>
      <c r="I203" s="544"/>
      <c r="J203" s="544"/>
      <c r="K203" s="544"/>
      <c r="L203" s="544"/>
      <c r="M203" s="544"/>
      <c r="N203" s="544"/>
      <c r="O203" s="577"/>
      <c r="P203" s="545" t="s">
        <v>71</v>
      </c>
      <c r="Q203" s="546"/>
      <c r="R203" s="546"/>
      <c r="S203" s="546"/>
      <c r="T203" s="546"/>
      <c r="U203" s="546"/>
      <c r="V203" s="547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176.85185185185185</v>
      </c>
      <c r="Y203" s="541">
        <f>IFERROR(Y195/H195,"0")+IFERROR(Y196/H196,"0")+IFERROR(Y197/H197,"0")+IFERROR(Y198/H198,"0")+IFERROR(Y199/H199,"0")+IFERROR(Y200/H200,"0")+IFERROR(Y201/H201,"0")+IFERROR(Y202/H202,"0")</f>
        <v>178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1.49756</v>
      </c>
      <c r="AA203" s="542"/>
      <c r="AB203" s="542"/>
      <c r="AC203" s="542"/>
    </row>
    <row r="204" spans="1:68" x14ac:dyDescent="0.2">
      <c r="A204" s="544"/>
      <c r="B204" s="544"/>
      <c r="C204" s="544"/>
      <c r="D204" s="544"/>
      <c r="E204" s="544"/>
      <c r="F204" s="544"/>
      <c r="G204" s="544"/>
      <c r="H204" s="544"/>
      <c r="I204" s="544"/>
      <c r="J204" s="544"/>
      <c r="K204" s="544"/>
      <c r="L204" s="544"/>
      <c r="M204" s="544"/>
      <c r="N204" s="544"/>
      <c r="O204" s="577"/>
      <c r="P204" s="545" t="s">
        <v>71</v>
      </c>
      <c r="Q204" s="546"/>
      <c r="R204" s="546"/>
      <c r="S204" s="546"/>
      <c r="T204" s="546"/>
      <c r="U204" s="546"/>
      <c r="V204" s="547"/>
      <c r="W204" s="37" t="s">
        <v>69</v>
      </c>
      <c r="X204" s="541">
        <f>IFERROR(SUM(X195:X202),"0")</f>
        <v>861</v>
      </c>
      <c r="Y204" s="541">
        <f>IFERROR(SUM(Y195:Y202),"0")</f>
        <v>864.00000000000011</v>
      </c>
      <c r="Z204" s="37"/>
      <c r="AA204" s="542"/>
      <c r="AB204" s="542"/>
      <c r="AC204" s="542"/>
    </row>
    <row r="205" spans="1:68" ht="14.25" hidden="1" customHeight="1" x14ac:dyDescent="0.25">
      <c r="A205" s="543" t="s">
        <v>73</v>
      </c>
      <c r="B205" s="544"/>
      <c r="C205" s="544"/>
      <c r="D205" s="544"/>
      <c r="E205" s="544"/>
      <c r="F205" s="544"/>
      <c r="G205" s="544"/>
      <c r="H205" s="544"/>
      <c r="I205" s="544"/>
      <c r="J205" s="544"/>
      <c r="K205" s="544"/>
      <c r="L205" s="544"/>
      <c r="M205" s="544"/>
      <c r="N205" s="544"/>
      <c r="O205" s="544"/>
      <c r="P205" s="544"/>
      <c r="Q205" s="544"/>
      <c r="R205" s="544"/>
      <c r="S205" s="544"/>
      <c r="T205" s="544"/>
      <c r="U205" s="544"/>
      <c r="V205" s="544"/>
      <c r="W205" s="544"/>
      <c r="X205" s="544"/>
      <c r="Y205" s="544"/>
      <c r="Z205" s="544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50">
        <v>4680115881594</v>
      </c>
      <c r="E206" s="551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50">
        <v>4680115881617</v>
      </c>
      <c r="E207" s="551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8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50">
        <v>4680115880573</v>
      </c>
      <c r="E208" s="551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5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39">
        <v>64</v>
      </c>
      <c r="Y208" s="540">
        <f t="shared" si="15"/>
        <v>69.599999999999994</v>
      </c>
      <c r="Z208" s="36">
        <f>IFERROR(IF(Y208=0,"",ROUNDUP(Y208/H208,0)*0.01898),"")</f>
        <v>0.15184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67.634022988505762</v>
      </c>
      <c r="BN208" s="64">
        <f t="shared" si="17"/>
        <v>73.552000000000007</v>
      </c>
      <c r="BO208" s="64">
        <f t="shared" si="18"/>
        <v>0.1149425287356322</v>
      </c>
      <c r="BP208" s="64">
        <f t="shared" si="19"/>
        <v>0.125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50">
        <v>4680115882195</v>
      </c>
      <c r="E209" s="551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8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39">
        <v>51</v>
      </c>
      <c r="Y209" s="540">
        <f t="shared" si="15"/>
        <v>52.8</v>
      </c>
      <c r="Z209" s="36">
        <f t="shared" ref="Z209:Z214" si="20">IFERROR(IF(Y209=0,"",ROUNDUP(Y209/H209,0)*0.00651),"")</f>
        <v>0.14322000000000001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56.737499999999997</v>
      </c>
      <c r="BN209" s="64">
        <f t="shared" si="17"/>
        <v>58.74</v>
      </c>
      <c r="BO209" s="64">
        <f t="shared" si="18"/>
        <v>0.11675824175824177</v>
      </c>
      <c r="BP209" s="64">
        <f t="shared" si="19"/>
        <v>0.12087912087912089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0">
        <v>4680115882607</v>
      </c>
      <c r="E210" s="551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7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50">
        <v>4680115880092</v>
      </c>
      <c r="E211" s="551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4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39">
        <v>64</v>
      </c>
      <c r="Y211" s="540">
        <f t="shared" si="15"/>
        <v>64.8</v>
      </c>
      <c r="Z211" s="36">
        <f t="shared" si="20"/>
        <v>0.17577000000000001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70.720000000000013</v>
      </c>
      <c r="BN211" s="64">
        <f t="shared" si="17"/>
        <v>71.604000000000013</v>
      </c>
      <c r="BO211" s="64">
        <f t="shared" si="18"/>
        <v>0.14652014652014653</v>
      </c>
      <c r="BP211" s="64">
        <f t="shared" si="19"/>
        <v>0.14835164835164835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50">
        <v>4680115880221</v>
      </c>
      <c r="E212" s="551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6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39">
        <v>497</v>
      </c>
      <c r="Y212" s="540">
        <f t="shared" si="15"/>
        <v>499.2</v>
      </c>
      <c r="Z212" s="36">
        <f t="shared" si="20"/>
        <v>1.35408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549.18500000000006</v>
      </c>
      <c r="BN212" s="64">
        <f t="shared" si="17"/>
        <v>551.6160000000001</v>
      </c>
      <c r="BO212" s="64">
        <f t="shared" si="18"/>
        <v>1.137820512820513</v>
      </c>
      <c r="BP212" s="64">
        <f t="shared" si="19"/>
        <v>1.142857142857143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4301051945</v>
      </c>
      <c r="D213" s="550">
        <v>4680115880504</v>
      </c>
      <c r="E213" s="551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50">
        <v>4680115882164</v>
      </c>
      <c r="E214" s="551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6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39">
        <v>16</v>
      </c>
      <c r="Y214" s="540">
        <f t="shared" si="15"/>
        <v>16.8</v>
      </c>
      <c r="Z214" s="36">
        <f t="shared" si="20"/>
        <v>4.5569999999999999E-2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17.72</v>
      </c>
      <c r="BN214" s="64">
        <f t="shared" si="17"/>
        <v>18.606000000000002</v>
      </c>
      <c r="BO214" s="64">
        <f t="shared" si="18"/>
        <v>3.6630036630036632E-2</v>
      </c>
      <c r="BP214" s="64">
        <f t="shared" si="19"/>
        <v>3.8461538461538471E-2</v>
      </c>
    </row>
    <row r="215" spans="1:68" x14ac:dyDescent="0.2">
      <c r="A215" s="576"/>
      <c r="B215" s="544"/>
      <c r="C215" s="544"/>
      <c r="D215" s="544"/>
      <c r="E215" s="544"/>
      <c r="F215" s="544"/>
      <c r="G215" s="544"/>
      <c r="H215" s="544"/>
      <c r="I215" s="544"/>
      <c r="J215" s="544"/>
      <c r="K215" s="544"/>
      <c r="L215" s="544"/>
      <c r="M215" s="544"/>
      <c r="N215" s="544"/>
      <c r="O215" s="577"/>
      <c r="P215" s="545" t="s">
        <v>71</v>
      </c>
      <c r="Q215" s="546"/>
      <c r="R215" s="546"/>
      <c r="S215" s="546"/>
      <c r="T215" s="546"/>
      <c r="U215" s="546"/>
      <c r="V215" s="547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269.02298850574715</v>
      </c>
      <c r="Y215" s="541">
        <f>IFERROR(Y206/H206,"0")+IFERROR(Y207/H207,"0")+IFERROR(Y208/H208,"0")+IFERROR(Y209/H209,"0")+IFERROR(Y210/H210,"0")+IFERROR(Y211/H211,"0")+IFERROR(Y212/H212,"0")+IFERROR(Y213/H213,"0")+IFERROR(Y214/H214,"0")</f>
        <v>272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1.8704800000000001</v>
      </c>
      <c r="AA215" s="542"/>
      <c r="AB215" s="542"/>
      <c r="AC215" s="542"/>
    </row>
    <row r="216" spans="1:68" x14ac:dyDescent="0.2">
      <c r="A216" s="544"/>
      <c r="B216" s="544"/>
      <c r="C216" s="544"/>
      <c r="D216" s="544"/>
      <c r="E216" s="544"/>
      <c r="F216" s="544"/>
      <c r="G216" s="544"/>
      <c r="H216" s="544"/>
      <c r="I216" s="544"/>
      <c r="J216" s="544"/>
      <c r="K216" s="544"/>
      <c r="L216" s="544"/>
      <c r="M216" s="544"/>
      <c r="N216" s="544"/>
      <c r="O216" s="577"/>
      <c r="P216" s="545" t="s">
        <v>71</v>
      </c>
      <c r="Q216" s="546"/>
      <c r="R216" s="546"/>
      <c r="S216" s="546"/>
      <c r="T216" s="546"/>
      <c r="U216" s="546"/>
      <c r="V216" s="547"/>
      <c r="W216" s="37" t="s">
        <v>69</v>
      </c>
      <c r="X216" s="541">
        <f>IFERROR(SUM(X206:X214),"0")</f>
        <v>692</v>
      </c>
      <c r="Y216" s="541">
        <f>IFERROR(SUM(Y206:Y214),"0")</f>
        <v>703.19999999999993</v>
      </c>
      <c r="Z216" s="37"/>
      <c r="AA216" s="542"/>
      <c r="AB216" s="542"/>
      <c r="AC216" s="542"/>
    </row>
    <row r="217" spans="1:68" ht="14.25" hidden="1" customHeight="1" x14ac:dyDescent="0.25">
      <c r="A217" s="543" t="s">
        <v>163</v>
      </c>
      <c r="B217" s="544"/>
      <c r="C217" s="544"/>
      <c r="D217" s="544"/>
      <c r="E217" s="544"/>
      <c r="F217" s="544"/>
      <c r="G217" s="544"/>
      <c r="H217" s="544"/>
      <c r="I217" s="544"/>
      <c r="J217" s="544"/>
      <c r="K217" s="544"/>
      <c r="L217" s="544"/>
      <c r="M217" s="544"/>
      <c r="N217" s="544"/>
      <c r="O217" s="544"/>
      <c r="P217" s="544"/>
      <c r="Q217" s="544"/>
      <c r="R217" s="544"/>
      <c r="S217" s="544"/>
      <c r="T217" s="544"/>
      <c r="U217" s="544"/>
      <c r="V217" s="544"/>
      <c r="W217" s="544"/>
      <c r="X217" s="544"/>
      <c r="Y217" s="544"/>
      <c r="Z217" s="544"/>
      <c r="AA217" s="535"/>
      <c r="AB217" s="535"/>
      <c r="AC217" s="535"/>
    </row>
    <row r="218" spans="1:68" ht="27" hidden="1" customHeight="1" x14ac:dyDescent="0.25">
      <c r="A218" s="54" t="s">
        <v>351</v>
      </c>
      <c r="B218" s="54" t="s">
        <v>352</v>
      </c>
      <c r="C218" s="31">
        <v>4301060463</v>
      </c>
      <c r="D218" s="550">
        <v>4680115880818</v>
      </c>
      <c r="E218" s="551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60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50">
        <v>4680115880801</v>
      </c>
      <c r="E219" s="551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5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39">
        <v>3</v>
      </c>
      <c r="Y219" s="540">
        <f>IFERROR(IF(X219="",0,CEILING((X219/$H219),1)*$H219),"")</f>
        <v>4.8</v>
      </c>
      <c r="Z219" s="36">
        <f>IFERROR(IF(Y219=0,"",ROUNDUP(Y219/H219,0)*0.00651),"")</f>
        <v>1.302E-2</v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3.3150000000000004</v>
      </c>
      <c r="BN219" s="64">
        <f>IFERROR(Y219*I219/H219,"0")</f>
        <v>5.3040000000000003</v>
      </c>
      <c r="BO219" s="64">
        <f>IFERROR(1/J219*(X219/H219),"0")</f>
        <v>6.8681318681318689E-3</v>
      </c>
      <c r="BP219" s="64">
        <f>IFERROR(1/J219*(Y219/H219),"0")</f>
        <v>1.098901098901099E-2</v>
      </c>
    </row>
    <row r="220" spans="1:68" x14ac:dyDescent="0.2">
      <c r="A220" s="576"/>
      <c r="B220" s="544"/>
      <c r="C220" s="544"/>
      <c r="D220" s="544"/>
      <c r="E220" s="544"/>
      <c r="F220" s="544"/>
      <c r="G220" s="544"/>
      <c r="H220" s="544"/>
      <c r="I220" s="544"/>
      <c r="J220" s="544"/>
      <c r="K220" s="544"/>
      <c r="L220" s="544"/>
      <c r="M220" s="544"/>
      <c r="N220" s="544"/>
      <c r="O220" s="577"/>
      <c r="P220" s="545" t="s">
        <v>71</v>
      </c>
      <c r="Q220" s="546"/>
      <c r="R220" s="546"/>
      <c r="S220" s="546"/>
      <c r="T220" s="546"/>
      <c r="U220" s="546"/>
      <c r="V220" s="547"/>
      <c r="W220" s="37" t="s">
        <v>72</v>
      </c>
      <c r="X220" s="541">
        <f>IFERROR(X218/H218,"0")+IFERROR(X219/H219,"0")</f>
        <v>1.25</v>
      </c>
      <c r="Y220" s="541">
        <f>IFERROR(Y218/H218,"0")+IFERROR(Y219/H219,"0")</f>
        <v>2</v>
      </c>
      <c r="Z220" s="541">
        <f>IFERROR(IF(Z218="",0,Z218),"0")+IFERROR(IF(Z219="",0,Z219),"0")</f>
        <v>1.302E-2</v>
      </c>
      <c r="AA220" s="542"/>
      <c r="AB220" s="542"/>
      <c r="AC220" s="542"/>
    </row>
    <row r="221" spans="1:68" x14ac:dyDescent="0.2">
      <c r="A221" s="544"/>
      <c r="B221" s="544"/>
      <c r="C221" s="544"/>
      <c r="D221" s="544"/>
      <c r="E221" s="544"/>
      <c r="F221" s="544"/>
      <c r="G221" s="544"/>
      <c r="H221" s="544"/>
      <c r="I221" s="544"/>
      <c r="J221" s="544"/>
      <c r="K221" s="544"/>
      <c r="L221" s="544"/>
      <c r="M221" s="544"/>
      <c r="N221" s="544"/>
      <c r="O221" s="577"/>
      <c r="P221" s="545" t="s">
        <v>71</v>
      </c>
      <c r="Q221" s="546"/>
      <c r="R221" s="546"/>
      <c r="S221" s="546"/>
      <c r="T221" s="546"/>
      <c r="U221" s="546"/>
      <c r="V221" s="547"/>
      <c r="W221" s="37" t="s">
        <v>69</v>
      </c>
      <c r="X221" s="541">
        <f>IFERROR(SUM(X218:X219),"0")</f>
        <v>3</v>
      </c>
      <c r="Y221" s="541">
        <f>IFERROR(SUM(Y218:Y219),"0")</f>
        <v>4.8</v>
      </c>
      <c r="Z221" s="37"/>
      <c r="AA221" s="542"/>
      <c r="AB221" s="542"/>
      <c r="AC221" s="542"/>
    </row>
    <row r="222" spans="1:68" ht="16.5" hidden="1" customHeight="1" x14ac:dyDescent="0.25">
      <c r="A222" s="585" t="s">
        <v>357</v>
      </c>
      <c r="B222" s="544"/>
      <c r="C222" s="544"/>
      <c r="D222" s="544"/>
      <c r="E222" s="544"/>
      <c r="F222" s="544"/>
      <c r="G222" s="544"/>
      <c r="H222" s="544"/>
      <c r="I222" s="544"/>
      <c r="J222" s="544"/>
      <c r="K222" s="544"/>
      <c r="L222" s="544"/>
      <c r="M222" s="544"/>
      <c r="N222" s="544"/>
      <c r="O222" s="544"/>
      <c r="P222" s="544"/>
      <c r="Q222" s="544"/>
      <c r="R222" s="544"/>
      <c r="S222" s="544"/>
      <c r="T222" s="544"/>
      <c r="U222" s="544"/>
      <c r="V222" s="544"/>
      <c r="W222" s="544"/>
      <c r="X222" s="544"/>
      <c r="Y222" s="544"/>
      <c r="Z222" s="544"/>
      <c r="AA222" s="534"/>
      <c r="AB222" s="534"/>
      <c r="AC222" s="534"/>
    </row>
    <row r="223" spans="1:68" ht="14.25" hidden="1" customHeight="1" x14ac:dyDescent="0.25">
      <c r="A223" s="543" t="s">
        <v>99</v>
      </c>
      <c r="B223" s="544"/>
      <c r="C223" s="544"/>
      <c r="D223" s="544"/>
      <c r="E223" s="544"/>
      <c r="F223" s="544"/>
      <c r="G223" s="544"/>
      <c r="H223" s="544"/>
      <c r="I223" s="544"/>
      <c r="J223" s="544"/>
      <c r="K223" s="544"/>
      <c r="L223" s="544"/>
      <c r="M223" s="544"/>
      <c r="N223" s="544"/>
      <c r="O223" s="544"/>
      <c r="P223" s="544"/>
      <c r="Q223" s="544"/>
      <c r="R223" s="544"/>
      <c r="S223" s="544"/>
      <c r="T223" s="544"/>
      <c r="U223" s="544"/>
      <c r="V223" s="544"/>
      <c r="W223" s="544"/>
      <c r="X223" s="544"/>
      <c r="Y223" s="544"/>
      <c r="Z223" s="544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50">
        <v>4680115884137</v>
      </c>
      <c r="E224" s="551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50">
        <v>4680115884236</v>
      </c>
      <c r="E225" s="551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6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50">
        <v>4680115884175</v>
      </c>
      <c r="E226" s="551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6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50">
        <v>4680115884144</v>
      </c>
      <c r="E227" s="551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6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50">
        <v>4680115884144</v>
      </c>
      <c r="E228" s="551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59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50">
        <v>4680115886551</v>
      </c>
      <c r="E229" s="551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50">
        <v>4680115884182</v>
      </c>
      <c r="E230" s="551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81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50">
        <v>4680115887282</v>
      </c>
      <c r="E231" s="551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50">
        <v>4680115884205</v>
      </c>
      <c r="E232" s="551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9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50">
        <v>4680115884205</v>
      </c>
      <c r="E233" s="551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1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76"/>
      <c r="B234" s="544"/>
      <c r="C234" s="544"/>
      <c r="D234" s="544"/>
      <c r="E234" s="544"/>
      <c r="F234" s="544"/>
      <c r="G234" s="544"/>
      <c r="H234" s="544"/>
      <c r="I234" s="544"/>
      <c r="J234" s="544"/>
      <c r="K234" s="544"/>
      <c r="L234" s="544"/>
      <c r="M234" s="544"/>
      <c r="N234" s="544"/>
      <c r="O234" s="577"/>
      <c r="P234" s="545" t="s">
        <v>71</v>
      </c>
      <c r="Q234" s="546"/>
      <c r="R234" s="546"/>
      <c r="S234" s="546"/>
      <c r="T234" s="546"/>
      <c r="U234" s="546"/>
      <c r="V234" s="547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44"/>
      <c r="B235" s="544"/>
      <c r="C235" s="544"/>
      <c r="D235" s="544"/>
      <c r="E235" s="544"/>
      <c r="F235" s="544"/>
      <c r="G235" s="544"/>
      <c r="H235" s="544"/>
      <c r="I235" s="544"/>
      <c r="J235" s="544"/>
      <c r="K235" s="544"/>
      <c r="L235" s="544"/>
      <c r="M235" s="544"/>
      <c r="N235" s="544"/>
      <c r="O235" s="577"/>
      <c r="P235" s="545" t="s">
        <v>71</v>
      </c>
      <c r="Q235" s="546"/>
      <c r="R235" s="546"/>
      <c r="S235" s="546"/>
      <c r="T235" s="546"/>
      <c r="U235" s="546"/>
      <c r="V235" s="547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43" t="s">
        <v>135</v>
      </c>
      <c r="B236" s="544"/>
      <c r="C236" s="544"/>
      <c r="D236" s="544"/>
      <c r="E236" s="544"/>
      <c r="F236" s="544"/>
      <c r="G236" s="544"/>
      <c r="H236" s="544"/>
      <c r="I236" s="544"/>
      <c r="J236" s="544"/>
      <c r="K236" s="544"/>
      <c r="L236" s="544"/>
      <c r="M236" s="544"/>
      <c r="N236" s="544"/>
      <c r="O236" s="544"/>
      <c r="P236" s="544"/>
      <c r="Q236" s="544"/>
      <c r="R236" s="544"/>
      <c r="S236" s="544"/>
      <c r="T236" s="544"/>
      <c r="U236" s="544"/>
      <c r="V236" s="544"/>
      <c r="W236" s="544"/>
      <c r="X236" s="544"/>
      <c r="Y236" s="544"/>
      <c r="Z236" s="544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50">
        <v>4680115885981</v>
      </c>
      <c r="E237" s="551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76"/>
      <c r="B238" s="544"/>
      <c r="C238" s="544"/>
      <c r="D238" s="544"/>
      <c r="E238" s="544"/>
      <c r="F238" s="544"/>
      <c r="G238" s="544"/>
      <c r="H238" s="544"/>
      <c r="I238" s="544"/>
      <c r="J238" s="544"/>
      <c r="K238" s="544"/>
      <c r="L238" s="544"/>
      <c r="M238" s="544"/>
      <c r="N238" s="544"/>
      <c r="O238" s="577"/>
      <c r="P238" s="545" t="s">
        <v>71</v>
      </c>
      <c r="Q238" s="546"/>
      <c r="R238" s="546"/>
      <c r="S238" s="546"/>
      <c r="T238" s="546"/>
      <c r="U238" s="546"/>
      <c r="V238" s="547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4"/>
      <c r="B239" s="544"/>
      <c r="C239" s="544"/>
      <c r="D239" s="544"/>
      <c r="E239" s="544"/>
      <c r="F239" s="544"/>
      <c r="G239" s="544"/>
      <c r="H239" s="544"/>
      <c r="I239" s="544"/>
      <c r="J239" s="544"/>
      <c r="K239" s="544"/>
      <c r="L239" s="544"/>
      <c r="M239" s="544"/>
      <c r="N239" s="544"/>
      <c r="O239" s="577"/>
      <c r="P239" s="545" t="s">
        <v>71</v>
      </c>
      <c r="Q239" s="546"/>
      <c r="R239" s="546"/>
      <c r="S239" s="546"/>
      <c r="T239" s="546"/>
      <c r="U239" s="546"/>
      <c r="V239" s="547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43" t="s">
        <v>383</v>
      </c>
      <c r="B240" s="544"/>
      <c r="C240" s="544"/>
      <c r="D240" s="544"/>
      <c r="E240" s="544"/>
      <c r="F240" s="544"/>
      <c r="G240" s="544"/>
      <c r="H240" s="544"/>
      <c r="I240" s="544"/>
      <c r="J240" s="544"/>
      <c r="K240" s="544"/>
      <c r="L240" s="544"/>
      <c r="M240" s="544"/>
      <c r="N240" s="544"/>
      <c r="O240" s="544"/>
      <c r="P240" s="544"/>
      <c r="Q240" s="544"/>
      <c r="R240" s="544"/>
      <c r="S240" s="544"/>
      <c r="T240" s="544"/>
      <c r="U240" s="544"/>
      <c r="V240" s="544"/>
      <c r="W240" s="544"/>
      <c r="X240" s="544"/>
      <c r="Y240" s="544"/>
      <c r="Z240" s="544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50">
        <v>4680115886803</v>
      </c>
      <c r="E241" s="551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63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39">
        <v>6</v>
      </c>
      <c r="Y241" s="540">
        <f>IFERROR(IF(X241="",0,CEILING((X241/$H241),1)*$H241),"")</f>
        <v>7.2</v>
      </c>
      <c r="Z241" s="36">
        <f>IFERROR(IF(Y241=0,"",ROUNDUP(Y241/H241,0)*0.0059),"")</f>
        <v>2.3599999999999999E-2</v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6.5833333333333339</v>
      </c>
      <c r="BN241" s="64">
        <f>IFERROR(Y241*I241/H241,"0")</f>
        <v>7.9</v>
      </c>
      <c r="BO241" s="64">
        <f>IFERROR(1/J241*(X241/H241),"0")</f>
        <v>1.5432098765432096E-2</v>
      </c>
      <c r="BP241" s="64">
        <f>IFERROR(1/J241*(Y241/H241),"0")</f>
        <v>1.8518518518518517E-2</v>
      </c>
    </row>
    <row r="242" spans="1:68" x14ac:dyDescent="0.2">
      <c r="A242" s="576"/>
      <c r="B242" s="544"/>
      <c r="C242" s="544"/>
      <c r="D242" s="544"/>
      <c r="E242" s="544"/>
      <c r="F242" s="544"/>
      <c r="G242" s="544"/>
      <c r="H242" s="544"/>
      <c r="I242" s="544"/>
      <c r="J242" s="544"/>
      <c r="K242" s="544"/>
      <c r="L242" s="544"/>
      <c r="M242" s="544"/>
      <c r="N242" s="544"/>
      <c r="O242" s="577"/>
      <c r="P242" s="545" t="s">
        <v>71</v>
      </c>
      <c r="Q242" s="546"/>
      <c r="R242" s="546"/>
      <c r="S242" s="546"/>
      <c r="T242" s="546"/>
      <c r="U242" s="546"/>
      <c r="V242" s="547"/>
      <c r="W242" s="37" t="s">
        <v>72</v>
      </c>
      <c r="X242" s="541">
        <f>IFERROR(X241/H241,"0")</f>
        <v>3.333333333333333</v>
      </c>
      <c r="Y242" s="541">
        <f>IFERROR(Y241/H241,"0")</f>
        <v>4</v>
      </c>
      <c r="Z242" s="541">
        <f>IFERROR(IF(Z241="",0,Z241),"0")</f>
        <v>2.3599999999999999E-2</v>
      </c>
      <c r="AA242" s="542"/>
      <c r="AB242" s="542"/>
      <c r="AC242" s="542"/>
    </row>
    <row r="243" spans="1:68" x14ac:dyDescent="0.2">
      <c r="A243" s="544"/>
      <c r="B243" s="544"/>
      <c r="C243" s="544"/>
      <c r="D243" s="544"/>
      <c r="E243" s="544"/>
      <c r="F243" s="544"/>
      <c r="G243" s="544"/>
      <c r="H243" s="544"/>
      <c r="I243" s="544"/>
      <c r="J243" s="544"/>
      <c r="K243" s="544"/>
      <c r="L243" s="544"/>
      <c r="M243" s="544"/>
      <c r="N243" s="544"/>
      <c r="O243" s="577"/>
      <c r="P243" s="545" t="s">
        <v>71</v>
      </c>
      <c r="Q243" s="546"/>
      <c r="R243" s="546"/>
      <c r="S243" s="546"/>
      <c r="T243" s="546"/>
      <c r="U243" s="546"/>
      <c r="V243" s="547"/>
      <c r="W243" s="37" t="s">
        <v>69</v>
      </c>
      <c r="X243" s="541">
        <f>IFERROR(SUM(X241:X241),"0")</f>
        <v>6</v>
      </c>
      <c r="Y243" s="541">
        <f>IFERROR(SUM(Y241:Y241),"0")</f>
        <v>7.2</v>
      </c>
      <c r="Z243" s="37"/>
      <c r="AA243" s="542"/>
      <c r="AB243" s="542"/>
      <c r="AC243" s="542"/>
    </row>
    <row r="244" spans="1:68" ht="14.25" hidden="1" customHeight="1" x14ac:dyDescent="0.25">
      <c r="A244" s="543" t="s">
        <v>387</v>
      </c>
      <c r="B244" s="544"/>
      <c r="C244" s="544"/>
      <c r="D244" s="544"/>
      <c r="E244" s="544"/>
      <c r="F244" s="544"/>
      <c r="G244" s="544"/>
      <c r="H244" s="544"/>
      <c r="I244" s="544"/>
      <c r="J244" s="544"/>
      <c r="K244" s="544"/>
      <c r="L244" s="544"/>
      <c r="M244" s="544"/>
      <c r="N244" s="544"/>
      <c r="O244" s="544"/>
      <c r="P244" s="544"/>
      <c r="Q244" s="544"/>
      <c r="R244" s="544"/>
      <c r="S244" s="544"/>
      <c r="T244" s="544"/>
      <c r="U244" s="544"/>
      <c r="V244" s="544"/>
      <c r="W244" s="544"/>
      <c r="X244" s="544"/>
      <c r="Y244" s="544"/>
      <c r="Z244" s="544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50">
        <v>4680115886704</v>
      </c>
      <c r="E245" s="551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50">
        <v>4680115886681</v>
      </c>
      <c r="E246" s="551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78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50">
        <v>4680115886735</v>
      </c>
      <c r="E247" s="551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6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50">
        <v>4680115886728</v>
      </c>
      <c r="E248" s="551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1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50">
        <v>4680115886711</v>
      </c>
      <c r="E249" s="551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86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76"/>
      <c r="B250" s="544"/>
      <c r="C250" s="544"/>
      <c r="D250" s="544"/>
      <c r="E250" s="544"/>
      <c r="F250" s="544"/>
      <c r="G250" s="544"/>
      <c r="H250" s="544"/>
      <c r="I250" s="544"/>
      <c r="J250" s="544"/>
      <c r="K250" s="544"/>
      <c r="L250" s="544"/>
      <c r="M250" s="544"/>
      <c r="N250" s="544"/>
      <c r="O250" s="577"/>
      <c r="P250" s="545" t="s">
        <v>71</v>
      </c>
      <c r="Q250" s="546"/>
      <c r="R250" s="546"/>
      <c r="S250" s="546"/>
      <c r="T250" s="546"/>
      <c r="U250" s="546"/>
      <c r="V250" s="547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44"/>
      <c r="B251" s="544"/>
      <c r="C251" s="544"/>
      <c r="D251" s="544"/>
      <c r="E251" s="544"/>
      <c r="F251" s="544"/>
      <c r="G251" s="544"/>
      <c r="H251" s="544"/>
      <c r="I251" s="544"/>
      <c r="J251" s="544"/>
      <c r="K251" s="544"/>
      <c r="L251" s="544"/>
      <c r="M251" s="544"/>
      <c r="N251" s="544"/>
      <c r="O251" s="577"/>
      <c r="P251" s="545" t="s">
        <v>71</v>
      </c>
      <c r="Q251" s="546"/>
      <c r="R251" s="546"/>
      <c r="S251" s="546"/>
      <c r="T251" s="546"/>
      <c r="U251" s="546"/>
      <c r="V251" s="547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85" t="s">
        <v>399</v>
      </c>
      <c r="B252" s="544"/>
      <c r="C252" s="544"/>
      <c r="D252" s="544"/>
      <c r="E252" s="544"/>
      <c r="F252" s="544"/>
      <c r="G252" s="544"/>
      <c r="H252" s="544"/>
      <c r="I252" s="544"/>
      <c r="J252" s="544"/>
      <c r="K252" s="544"/>
      <c r="L252" s="544"/>
      <c r="M252" s="544"/>
      <c r="N252" s="544"/>
      <c r="O252" s="544"/>
      <c r="P252" s="544"/>
      <c r="Q252" s="544"/>
      <c r="R252" s="544"/>
      <c r="S252" s="544"/>
      <c r="T252" s="544"/>
      <c r="U252" s="544"/>
      <c r="V252" s="544"/>
      <c r="W252" s="544"/>
      <c r="X252" s="544"/>
      <c r="Y252" s="544"/>
      <c r="Z252" s="544"/>
      <c r="AA252" s="534"/>
      <c r="AB252" s="534"/>
      <c r="AC252" s="534"/>
    </row>
    <row r="253" spans="1:68" ht="14.25" hidden="1" customHeight="1" x14ac:dyDescent="0.25">
      <c r="A253" s="543" t="s">
        <v>99</v>
      </c>
      <c r="B253" s="544"/>
      <c r="C253" s="544"/>
      <c r="D253" s="544"/>
      <c r="E253" s="544"/>
      <c r="F253" s="544"/>
      <c r="G253" s="544"/>
      <c r="H253" s="544"/>
      <c r="I253" s="544"/>
      <c r="J253" s="544"/>
      <c r="K253" s="544"/>
      <c r="L253" s="544"/>
      <c r="M253" s="544"/>
      <c r="N253" s="544"/>
      <c r="O253" s="544"/>
      <c r="P253" s="544"/>
      <c r="Q253" s="544"/>
      <c r="R253" s="544"/>
      <c r="S253" s="544"/>
      <c r="T253" s="544"/>
      <c r="U253" s="544"/>
      <c r="V253" s="544"/>
      <c r="W253" s="544"/>
      <c r="X253" s="544"/>
      <c r="Y253" s="544"/>
      <c r="Z253" s="544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50">
        <v>4680115885837</v>
      </c>
      <c r="E254" s="551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6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50">
        <v>4680115885851</v>
      </c>
      <c r="E255" s="551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80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50">
        <v>4680115885806</v>
      </c>
      <c r="E256" s="551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6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50">
        <v>4680115885844</v>
      </c>
      <c r="E257" s="551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69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50">
        <v>4680115885820</v>
      </c>
      <c r="E258" s="551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79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6"/>
      <c r="B259" s="544"/>
      <c r="C259" s="544"/>
      <c r="D259" s="544"/>
      <c r="E259" s="544"/>
      <c r="F259" s="544"/>
      <c r="G259" s="544"/>
      <c r="H259" s="544"/>
      <c r="I259" s="544"/>
      <c r="J259" s="544"/>
      <c r="K259" s="544"/>
      <c r="L259" s="544"/>
      <c r="M259" s="544"/>
      <c r="N259" s="544"/>
      <c r="O259" s="577"/>
      <c r="P259" s="545" t="s">
        <v>71</v>
      </c>
      <c r="Q259" s="546"/>
      <c r="R259" s="546"/>
      <c r="S259" s="546"/>
      <c r="T259" s="546"/>
      <c r="U259" s="546"/>
      <c r="V259" s="547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4"/>
      <c r="B260" s="544"/>
      <c r="C260" s="544"/>
      <c r="D260" s="544"/>
      <c r="E260" s="544"/>
      <c r="F260" s="544"/>
      <c r="G260" s="544"/>
      <c r="H260" s="544"/>
      <c r="I260" s="544"/>
      <c r="J260" s="544"/>
      <c r="K260" s="544"/>
      <c r="L260" s="544"/>
      <c r="M260" s="544"/>
      <c r="N260" s="544"/>
      <c r="O260" s="577"/>
      <c r="P260" s="545" t="s">
        <v>71</v>
      </c>
      <c r="Q260" s="546"/>
      <c r="R260" s="546"/>
      <c r="S260" s="546"/>
      <c r="T260" s="546"/>
      <c r="U260" s="546"/>
      <c r="V260" s="547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85" t="s">
        <v>415</v>
      </c>
      <c r="B261" s="544"/>
      <c r="C261" s="544"/>
      <c r="D261" s="544"/>
      <c r="E261" s="544"/>
      <c r="F261" s="544"/>
      <c r="G261" s="544"/>
      <c r="H261" s="544"/>
      <c r="I261" s="544"/>
      <c r="J261" s="544"/>
      <c r="K261" s="544"/>
      <c r="L261" s="544"/>
      <c r="M261" s="544"/>
      <c r="N261" s="544"/>
      <c r="O261" s="544"/>
      <c r="P261" s="544"/>
      <c r="Q261" s="544"/>
      <c r="R261" s="544"/>
      <c r="S261" s="544"/>
      <c r="T261" s="544"/>
      <c r="U261" s="544"/>
      <c r="V261" s="544"/>
      <c r="W261" s="544"/>
      <c r="X261" s="544"/>
      <c r="Y261" s="544"/>
      <c r="Z261" s="544"/>
      <c r="AA261" s="534"/>
      <c r="AB261" s="534"/>
      <c r="AC261" s="534"/>
    </row>
    <row r="262" spans="1:68" ht="14.25" hidden="1" customHeight="1" x14ac:dyDescent="0.25">
      <c r="A262" s="543" t="s">
        <v>99</v>
      </c>
      <c r="B262" s="544"/>
      <c r="C262" s="544"/>
      <c r="D262" s="544"/>
      <c r="E262" s="544"/>
      <c r="F262" s="544"/>
      <c r="G262" s="544"/>
      <c r="H262" s="544"/>
      <c r="I262" s="544"/>
      <c r="J262" s="544"/>
      <c r="K262" s="544"/>
      <c r="L262" s="544"/>
      <c r="M262" s="544"/>
      <c r="N262" s="544"/>
      <c r="O262" s="544"/>
      <c r="P262" s="544"/>
      <c r="Q262" s="544"/>
      <c r="R262" s="544"/>
      <c r="S262" s="544"/>
      <c r="T262" s="544"/>
      <c r="U262" s="544"/>
      <c r="V262" s="544"/>
      <c r="W262" s="544"/>
      <c r="X262" s="544"/>
      <c r="Y262" s="544"/>
      <c r="Z262" s="544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50">
        <v>4607091383423</v>
      </c>
      <c r="E263" s="551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59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50">
        <v>4680115886957</v>
      </c>
      <c r="E264" s="551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76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50">
        <v>4680115885660</v>
      </c>
      <c r="E265" s="551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82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50">
        <v>4680115886773</v>
      </c>
      <c r="E266" s="551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82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76"/>
      <c r="B267" s="544"/>
      <c r="C267" s="544"/>
      <c r="D267" s="544"/>
      <c r="E267" s="544"/>
      <c r="F267" s="544"/>
      <c r="G267" s="544"/>
      <c r="H267" s="544"/>
      <c r="I267" s="544"/>
      <c r="J267" s="544"/>
      <c r="K267" s="544"/>
      <c r="L267" s="544"/>
      <c r="M267" s="544"/>
      <c r="N267" s="544"/>
      <c r="O267" s="577"/>
      <c r="P267" s="545" t="s">
        <v>71</v>
      </c>
      <c r="Q267" s="546"/>
      <c r="R267" s="546"/>
      <c r="S267" s="546"/>
      <c r="T267" s="546"/>
      <c r="U267" s="546"/>
      <c r="V267" s="547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4"/>
      <c r="B268" s="544"/>
      <c r="C268" s="544"/>
      <c r="D268" s="544"/>
      <c r="E268" s="544"/>
      <c r="F268" s="544"/>
      <c r="G268" s="544"/>
      <c r="H268" s="544"/>
      <c r="I268" s="544"/>
      <c r="J268" s="544"/>
      <c r="K268" s="544"/>
      <c r="L268" s="544"/>
      <c r="M268" s="544"/>
      <c r="N268" s="544"/>
      <c r="O268" s="577"/>
      <c r="P268" s="545" t="s">
        <v>71</v>
      </c>
      <c r="Q268" s="546"/>
      <c r="R268" s="546"/>
      <c r="S268" s="546"/>
      <c r="T268" s="546"/>
      <c r="U268" s="546"/>
      <c r="V268" s="547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85" t="s">
        <v>426</v>
      </c>
      <c r="B269" s="544"/>
      <c r="C269" s="544"/>
      <c r="D269" s="544"/>
      <c r="E269" s="544"/>
      <c r="F269" s="544"/>
      <c r="G269" s="544"/>
      <c r="H269" s="544"/>
      <c r="I269" s="544"/>
      <c r="J269" s="544"/>
      <c r="K269" s="544"/>
      <c r="L269" s="544"/>
      <c r="M269" s="544"/>
      <c r="N269" s="544"/>
      <c r="O269" s="544"/>
      <c r="P269" s="544"/>
      <c r="Q269" s="544"/>
      <c r="R269" s="544"/>
      <c r="S269" s="544"/>
      <c r="T269" s="544"/>
      <c r="U269" s="544"/>
      <c r="V269" s="544"/>
      <c r="W269" s="544"/>
      <c r="X269" s="544"/>
      <c r="Y269" s="544"/>
      <c r="Z269" s="544"/>
      <c r="AA269" s="534"/>
      <c r="AB269" s="534"/>
      <c r="AC269" s="534"/>
    </row>
    <row r="270" spans="1:68" ht="14.25" hidden="1" customHeight="1" x14ac:dyDescent="0.25">
      <c r="A270" s="543" t="s">
        <v>73</v>
      </c>
      <c r="B270" s="544"/>
      <c r="C270" s="544"/>
      <c r="D270" s="544"/>
      <c r="E270" s="544"/>
      <c r="F270" s="544"/>
      <c r="G270" s="544"/>
      <c r="H270" s="544"/>
      <c r="I270" s="544"/>
      <c r="J270" s="544"/>
      <c r="K270" s="544"/>
      <c r="L270" s="544"/>
      <c r="M270" s="544"/>
      <c r="N270" s="544"/>
      <c r="O270" s="544"/>
      <c r="P270" s="544"/>
      <c r="Q270" s="544"/>
      <c r="R270" s="544"/>
      <c r="S270" s="544"/>
      <c r="T270" s="544"/>
      <c r="U270" s="544"/>
      <c r="V270" s="544"/>
      <c r="W270" s="544"/>
      <c r="X270" s="544"/>
      <c r="Y270" s="544"/>
      <c r="Z270" s="544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50">
        <v>4680115886186</v>
      </c>
      <c r="E271" s="551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50">
        <v>4680115881228</v>
      </c>
      <c r="E272" s="551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39">
        <v>25</v>
      </c>
      <c r="Y272" s="540">
        <f>IFERROR(IF(X272="",0,CEILING((X272/$H272),1)*$H272),"")</f>
        <v>26.4</v>
      </c>
      <c r="Z272" s="36">
        <f>IFERROR(IF(Y272=0,"",ROUNDUP(Y272/H272,0)*0.00651),"")</f>
        <v>7.1610000000000007E-2</v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27.625</v>
      </c>
      <c r="BN272" s="64">
        <f>IFERROR(Y272*I272/H272,"0")</f>
        <v>29.172000000000001</v>
      </c>
      <c r="BO272" s="64">
        <f>IFERROR(1/J272*(X272/H272),"0")</f>
        <v>5.7234432234432246E-2</v>
      </c>
      <c r="BP272" s="64">
        <f>IFERROR(1/J272*(Y272/H272),"0")</f>
        <v>6.0439560439560447E-2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50">
        <v>4680115881211</v>
      </c>
      <c r="E273" s="551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80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39">
        <v>179</v>
      </c>
      <c r="Y273" s="540">
        <f>IFERROR(IF(X273="",0,CEILING((X273/$H273),1)*$H273),"")</f>
        <v>180</v>
      </c>
      <c r="Z273" s="36">
        <f>IFERROR(IF(Y273=0,"",ROUNDUP(Y273/H273,0)*0.00651),"")</f>
        <v>0.48825000000000002</v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192.42500000000001</v>
      </c>
      <c r="BN273" s="64">
        <f>IFERROR(Y273*I273/H273,"0")</f>
        <v>193.50000000000003</v>
      </c>
      <c r="BO273" s="64">
        <f>IFERROR(1/J273*(X273/H273),"0")</f>
        <v>0.4097985347985349</v>
      </c>
      <c r="BP273" s="64">
        <f>IFERROR(1/J273*(Y273/H273),"0")</f>
        <v>0.41208791208791212</v>
      </c>
    </row>
    <row r="274" spans="1:68" x14ac:dyDescent="0.2">
      <c r="A274" s="576"/>
      <c r="B274" s="544"/>
      <c r="C274" s="544"/>
      <c r="D274" s="544"/>
      <c r="E274" s="544"/>
      <c r="F274" s="544"/>
      <c r="G274" s="544"/>
      <c r="H274" s="544"/>
      <c r="I274" s="544"/>
      <c r="J274" s="544"/>
      <c r="K274" s="544"/>
      <c r="L274" s="544"/>
      <c r="M274" s="544"/>
      <c r="N274" s="544"/>
      <c r="O274" s="577"/>
      <c r="P274" s="545" t="s">
        <v>71</v>
      </c>
      <c r="Q274" s="546"/>
      <c r="R274" s="546"/>
      <c r="S274" s="546"/>
      <c r="T274" s="546"/>
      <c r="U274" s="546"/>
      <c r="V274" s="547"/>
      <c r="W274" s="37" t="s">
        <v>72</v>
      </c>
      <c r="X274" s="541">
        <f>IFERROR(X271/H271,"0")+IFERROR(X272/H272,"0")+IFERROR(X273/H273,"0")</f>
        <v>85.000000000000014</v>
      </c>
      <c r="Y274" s="541">
        <f>IFERROR(Y271/H271,"0")+IFERROR(Y272/H272,"0")+IFERROR(Y273/H273,"0")</f>
        <v>86</v>
      </c>
      <c r="Z274" s="541">
        <f>IFERROR(IF(Z271="",0,Z271),"0")+IFERROR(IF(Z272="",0,Z272),"0")+IFERROR(IF(Z273="",0,Z273),"0")</f>
        <v>0.55986000000000002</v>
      </c>
      <c r="AA274" s="542"/>
      <c r="AB274" s="542"/>
      <c r="AC274" s="542"/>
    </row>
    <row r="275" spans="1:68" x14ac:dyDescent="0.2">
      <c r="A275" s="544"/>
      <c r="B275" s="544"/>
      <c r="C275" s="544"/>
      <c r="D275" s="544"/>
      <c r="E275" s="544"/>
      <c r="F275" s="544"/>
      <c r="G275" s="544"/>
      <c r="H275" s="544"/>
      <c r="I275" s="544"/>
      <c r="J275" s="544"/>
      <c r="K275" s="544"/>
      <c r="L275" s="544"/>
      <c r="M275" s="544"/>
      <c r="N275" s="544"/>
      <c r="O275" s="577"/>
      <c r="P275" s="545" t="s">
        <v>71</v>
      </c>
      <c r="Q275" s="546"/>
      <c r="R275" s="546"/>
      <c r="S275" s="546"/>
      <c r="T275" s="546"/>
      <c r="U275" s="546"/>
      <c r="V275" s="547"/>
      <c r="W275" s="37" t="s">
        <v>69</v>
      </c>
      <c r="X275" s="541">
        <f>IFERROR(SUM(X271:X273),"0")</f>
        <v>204</v>
      </c>
      <c r="Y275" s="541">
        <f>IFERROR(SUM(Y271:Y273),"0")</f>
        <v>206.4</v>
      </c>
      <c r="Z275" s="37"/>
      <c r="AA275" s="542"/>
      <c r="AB275" s="542"/>
      <c r="AC275" s="542"/>
    </row>
    <row r="276" spans="1:68" ht="16.5" hidden="1" customHeight="1" x14ac:dyDescent="0.25">
      <c r="A276" s="585" t="s">
        <v>435</v>
      </c>
      <c r="B276" s="544"/>
      <c r="C276" s="544"/>
      <c r="D276" s="544"/>
      <c r="E276" s="544"/>
      <c r="F276" s="544"/>
      <c r="G276" s="544"/>
      <c r="H276" s="544"/>
      <c r="I276" s="544"/>
      <c r="J276" s="544"/>
      <c r="K276" s="544"/>
      <c r="L276" s="544"/>
      <c r="M276" s="544"/>
      <c r="N276" s="544"/>
      <c r="O276" s="544"/>
      <c r="P276" s="544"/>
      <c r="Q276" s="544"/>
      <c r="R276" s="544"/>
      <c r="S276" s="544"/>
      <c r="T276" s="544"/>
      <c r="U276" s="544"/>
      <c r="V276" s="544"/>
      <c r="W276" s="544"/>
      <c r="X276" s="544"/>
      <c r="Y276" s="544"/>
      <c r="Z276" s="544"/>
      <c r="AA276" s="534"/>
      <c r="AB276" s="534"/>
      <c r="AC276" s="534"/>
    </row>
    <row r="277" spans="1:68" ht="14.25" hidden="1" customHeight="1" x14ac:dyDescent="0.25">
      <c r="A277" s="543" t="s">
        <v>64</v>
      </c>
      <c r="B277" s="544"/>
      <c r="C277" s="544"/>
      <c r="D277" s="544"/>
      <c r="E277" s="544"/>
      <c r="F277" s="544"/>
      <c r="G277" s="544"/>
      <c r="H277" s="544"/>
      <c r="I277" s="544"/>
      <c r="J277" s="544"/>
      <c r="K277" s="544"/>
      <c r="L277" s="544"/>
      <c r="M277" s="544"/>
      <c r="N277" s="544"/>
      <c r="O277" s="544"/>
      <c r="P277" s="544"/>
      <c r="Q277" s="544"/>
      <c r="R277" s="544"/>
      <c r="S277" s="544"/>
      <c r="T277" s="544"/>
      <c r="U277" s="544"/>
      <c r="V277" s="544"/>
      <c r="W277" s="544"/>
      <c r="X277" s="544"/>
      <c r="Y277" s="544"/>
      <c r="Z277" s="544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50">
        <v>4680115880344</v>
      </c>
      <c r="E278" s="551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6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50">
        <v>4680115886919</v>
      </c>
      <c r="E279" s="551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76"/>
      <c r="B280" s="544"/>
      <c r="C280" s="544"/>
      <c r="D280" s="544"/>
      <c r="E280" s="544"/>
      <c r="F280" s="544"/>
      <c r="G280" s="544"/>
      <c r="H280" s="544"/>
      <c r="I280" s="544"/>
      <c r="J280" s="544"/>
      <c r="K280" s="544"/>
      <c r="L280" s="544"/>
      <c r="M280" s="544"/>
      <c r="N280" s="544"/>
      <c r="O280" s="577"/>
      <c r="P280" s="545" t="s">
        <v>71</v>
      </c>
      <c r="Q280" s="546"/>
      <c r="R280" s="546"/>
      <c r="S280" s="546"/>
      <c r="T280" s="546"/>
      <c r="U280" s="546"/>
      <c r="V280" s="547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4"/>
      <c r="B281" s="544"/>
      <c r="C281" s="544"/>
      <c r="D281" s="544"/>
      <c r="E281" s="544"/>
      <c r="F281" s="544"/>
      <c r="G281" s="544"/>
      <c r="H281" s="544"/>
      <c r="I281" s="544"/>
      <c r="J281" s="544"/>
      <c r="K281" s="544"/>
      <c r="L281" s="544"/>
      <c r="M281" s="544"/>
      <c r="N281" s="544"/>
      <c r="O281" s="577"/>
      <c r="P281" s="545" t="s">
        <v>71</v>
      </c>
      <c r="Q281" s="546"/>
      <c r="R281" s="546"/>
      <c r="S281" s="546"/>
      <c r="T281" s="546"/>
      <c r="U281" s="546"/>
      <c r="V281" s="547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43" t="s">
        <v>73</v>
      </c>
      <c r="B282" s="544"/>
      <c r="C282" s="544"/>
      <c r="D282" s="544"/>
      <c r="E282" s="544"/>
      <c r="F282" s="544"/>
      <c r="G282" s="544"/>
      <c r="H282" s="544"/>
      <c r="I282" s="544"/>
      <c r="J282" s="544"/>
      <c r="K282" s="544"/>
      <c r="L282" s="544"/>
      <c r="M282" s="544"/>
      <c r="N282" s="544"/>
      <c r="O282" s="544"/>
      <c r="P282" s="544"/>
      <c r="Q282" s="544"/>
      <c r="R282" s="544"/>
      <c r="S282" s="544"/>
      <c r="T282" s="544"/>
      <c r="U282" s="544"/>
      <c r="V282" s="544"/>
      <c r="W282" s="544"/>
      <c r="X282" s="544"/>
      <c r="Y282" s="544"/>
      <c r="Z282" s="544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50">
        <v>4680115884618</v>
      </c>
      <c r="E283" s="551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7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76"/>
      <c r="B284" s="544"/>
      <c r="C284" s="544"/>
      <c r="D284" s="544"/>
      <c r="E284" s="544"/>
      <c r="F284" s="544"/>
      <c r="G284" s="544"/>
      <c r="H284" s="544"/>
      <c r="I284" s="544"/>
      <c r="J284" s="544"/>
      <c r="K284" s="544"/>
      <c r="L284" s="544"/>
      <c r="M284" s="544"/>
      <c r="N284" s="544"/>
      <c r="O284" s="577"/>
      <c r="P284" s="545" t="s">
        <v>71</v>
      </c>
      <c r="Q284" s="546"/>
      <c r="R284" s="546"/>
      <c r="S284" s="546"/>
      <c r="T284" s="546"/>
      <c r="U284" s="546"/>
      <c r="V284" s="547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4"/>
      <c r="B285" s="544"/>
      <c r="C285" s="544"/>
      <c r="D285" s="544"/>
      <c r="E285" s="544"/>
      <c r="F285" s="544"/>
      <c r="G285" s="544"/>
      <c r="H285" s="544"/>
      <c r="I285" s="544"/>
      <c r="J285" s="544"/>
      <c r="K285" s="544"/>
      <c r="L285" s="544"/>
      <c r="M285" s="544"/>
      <c r="N285" s="544"/>
      <c r="O285" s="577"/>
      <c r="P285" s="545" t="s">
        <v>71</v>
      </c>
      <c r="Q285" s="546"/>
      <c r="R285" s="546"/>
      <c r="S285" s="546"/>
      <c r="T285" s="546"/>
      <c r="U285" s="546"/>
      <c r="V285" s="547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85" t="s">
        <v>445</v>
      </c>
      <c r="B286" s="544"/>
      <c r="C286" s="544"/>
      <c r="D286" s="544"/>
      <c r="E286" s="544"/>
      <c r="F286" s="544"/>
      <c r="G286" s="544"/>
      <c r="H286" s="544"/>
      <c r="I286" s="544"/>
      <c r="J286" s="544"/>
      <c r="K286" s="544"/>
      <c r="L286" s="544"/>
      <c r="M286" s="544"/>
      <c r="N286" s="544"/>
      <c r="O286" s="544"/>
      <c r="P286" s="544"/>
      <c r="Q286" s="544"/>
      <c r="R286" s="544"/>
      <c r="S286" s="544"/>
      <c r="T286" s="544"/>
      <c r="U286" s="544"/>
      <c r="V286" s="544"/>
      <c r="W286" s="544"/>
      <c r="X286" s="544"/>
      <c r="Y286" s="544"/>
      <c r="Z286" s="544"/>
      <c r="AA286" s="534"/>
      <c r="AB286" s="534"/>
      <c r="AC286" s="534"/>
    </row>
    <row r="287" spans="1:68" ht="14.25" hidden="1" customHeight="1" x14ac:dyDescent="0.25">
      <c r="A287" s="543" t="s">
        <v>99</v>
      </c>
      <c r="B287" s="544"/>
      <c r="C287" s="544"/>
      <c r="D287" s="544"/>
      <c r="E287" s="544"/>
      <c r="F287" s="544"/>
      <c r="G287" s="544"/>
      <c r="H287" s="544"/>
      <c r="I287" s="544"/>
      <c r="J287" s="544"/>
      <c r="K287" s="544"/>
      <c r="L287" s="544"/>
      <c r="M287" s="544"/>
      <c r="N287" s="544"/>
      <c r="O287" s="544"/>
      <c r="P287" s="544"/>
      <c r="Q287" s="544"/>
      <c r="R287" s="544"/>
      <c r="S287" s="544"/>
      <c r="T287" s="544"/>
      <c r="U287" s="544"/>
      <c r="V287" s="544"/>
      <c r="W287" s="544"/>
      <c r="X287" s="544"/>
      <c r="Y287" s="544"/>
      <c r="Z287" s="544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4301012024</v>
      </c>
      <c r="D288" s="550">
        <v>4680115885615</v>
      </c>
      <c r="E288" s="551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59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53"/>
      <c r="R288" s="553"/>
      <c r="S288" s="553"/>
      <c r="T288" s="554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449</v>
      </c>
      <c r="B289" s="54" t="s">
        <v>450</v>
      </c>
      <c r="C289" s="31">
        <v>4301011858</v>
      </c>
      <c r="D289" s="550">
        <v>4680115885646</v>
      </c>
      <c r="E289" s="551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7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4301012016</v>
      </c>
      <c r="D290" s="550">
        <v>4680115885554</v>
      </c>
      <c r="E290" s="551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4301011857</v>
      </c>
      <c r="D291" s="550">
        <v>4680115885622</v>
      </c>
      <c r="E291" s="551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59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4301011859</v>
      </c>
      <c r="D292" s="550">
        <v>4680115885608</v>
      </c>
      <c r="E292" s="551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6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76"/>
      <c r="B293" s="544"/>
      <c r="C293" s="544"/>
      <c r="D293" s="544"/>
      <c r="E293" s="544"/>
      <c r="F293" s="544"/>
      <c r="G293" s="544"/>
      <c r="H293" s="544"/>
      <c r="I293" s="544"/>
      <c r="J293" s="544"/>
      <c r="K293" s="544"/>
      <c r="L293" s="544"/>
      <c r="M293" s="544"/>
      <c r="N293" s="544"/>
      <c r="O293" s="577"/>
      <c r="P293" s="545" t="s">
        <v>71</v>
      </c>
      <c r="Q293" s="546"/>
      <c r="R293" s="546"/>
      <c r="S293" s="546"/>
      <c r="T293" s="546"/>
      <c r="U293" s="546"/>
      <c r="V293" s="547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4"/>
      <c r="B294" s="544"/>
      <c r="C294" s="544"/>
      <c r="D294" s="544"/>
      <c r="E294" s="544"/>
      <c r="F294" s="544"/>
      <c r="G294" s="544"/>
      <c r="H294" s="544"/>
      <c r="I294" s="544"/>
      <c r="J294" s="544"/>
      <c r="K294" s="544"/>
      <c r="L294" s="544"/>
      <c r="M294" s="544"/>
      <c r="N294" s="544"/>
      <c r="O294" s="577"/>
      <c r="P294" s="545" t="s">
        <v>71</v>
      </c>
      <c r="Q294" s="546"/>
      <c r="R294" s="546"/>
      <c r="S294" s="546"/>
      <c r="T294" s="546"/>
      <c r="U294" s="546"/>
      <c r="V294" s="547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43" t="s">
        <v>64</v>
      </c>
      <c r="B295" s="544"/>
      <c r="C295" s="544"/>
      <c r="D295" s="544"/>
      <c r="E295" s="544"/>
      <c r="F295" s="544"/>
      <c r="G295" s="544"/>
      <c r="H295" s="544"/>
      <c r="I295" s="544"/>
      <c r="J295" s="544"/>
      <c r="K295" s="544"/>
      <c r="L295" s="544"/>
      <c r="M295" s="544"/>
      <c r="N295" s="544"/>
      <c r="O295" s="544"/>
      <c r="P295" s="544"/>
      <c r="Q295" s="544"/>
      <c r="R295" s="544"/>
      <c r="S295" s="544"/>
      <c r="T295" s="544"/>
      <c r="U295" s="544"/>
      <c r="V295" s="544"/>
      <c r="W295" s="544"/>
      <c r="X295" s="544"/>
      <c r="Y295" s="544"/>
      <c r="Z295" s="544"/>
      <c r="AA295" s="535"/>
      <c r="AB295" s="535"/>
      <c r="AC295" s="535"/>
    </row>
    <row r="296" spans="1:68" ht="27" hidden="1" customHeight="1" x14ac:dyDescent="0.25">
      <c r="A296" s="54" t="s">
        <v>460</v>
      </c>
      <c r="B296" s="54" t="s">
        <v>461</v>
      </c>
      <c r="C296" s="31">
        <v>4301030878</v>
      </c>
      <c r="D296" s="550">
        <v>4607091387193</v>
      </c>
      <c r="E296" s="551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53"/>
      <c r="R296" s="553"/>
      <c r="S296" s="553"/>
      <c r="T296" s="554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463</v>
      </c>
      <c r="B297" s="54" t="s">
        <v>464</v>
      </c>
      <c r="C297" s="31">
        <v>4301031153</v>
      </c>
      <c r="D297" s="550">
        <v>4607091387230</v>
      </c>
      <c r="E297" s="551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59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53"/>
      <c r="R297" s="553"/>
      <c r="S297" s="553"/>
      <c r="T297" s="554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4301031154</v>
      </c>
      <c r="D298" s="550">
        <v>4607091387292</v>
      </c>
      <c r="E298" s="551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6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4301031152</v>
      </c>
      <c r="D299" s="550">
        <v>4607091387285</v>
      </c>
      <c r="E299" s="551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8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4301031305</v>
      </c>
      <c r="D300" s="550">
        <v>4607091389845</v>
      </c>
      <c r="E300" s="551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77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4301031306</v>
      </c>
      <c r="D301" s="550">
        <v>4680115882881</v>
      </c>
      <c r="E301" s="551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63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53"/>
      <c r="R301" s="553"/>
      <c r="S301" s="553"/>
      <c r="T301" s="554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4301031066</v>
      </c>
      <c r="D302" s="550">
        <v>4607091383836</v>
      </c>
      <c r="E302" s="551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86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53"/>
      <c r="R302" s="553"/>
      <c r="S302" s="553"/>
      <c r="T302" s="554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idden="1" x14ac:dyDescent="0.2">
      <c r="A303" s="576"/>
      <c r="B303" s="544"/>
      <c r="C303" s="544"/>
      <c r="D303" s="544"/>
      <c r="E303" s="544"/>
      <c r="F303" s="544"/>
      <c r="G303" s="544"/>
      <c r="H303" s="544"/>
      <c r="I303" s="544"/>
      <c r="J303" s="544"/>
      <c r="K303" s="544"/>
      <c r="L303" s="544"/>
      <c r="M303" s="544"/>
      <c r="N303" s="544"/>
      <c r="O303" s="577"/>
      <c r="P303" s="545" t="s">
        <v>71</v>
      </c>
      <c r="Q303" s="546"/>
      <c r="R303" s="546"/>
      <c r="S303" s="546"/>
      <c r="T303" s="546"/>
      <c r="U303" s="546"/>
      <c r="V303" s="547"/>
      <c r="W303" s="37" t="s">
        <v>72</v>
      </c>
      <c r="X303" s="541">
        <f>IFERROR(X296/H296,"0")+IFERROR(X297/H297,"0")+IFERROR(X298/H298,"0")+IFERROR(X299/H299,"0")+IFERROR(X300/H300,"0")+IFERROR(X301/H301,"0")+IFERROR(X302/H302,"0")</f>
        <v>0</v>
      </c>
      <c r="Y303" s="541">
        <f>IFERROR(Y296/H296,"0")+IFERROR(Y297/H297,"0")+IFERROR(Y298/H298,"0")+IFERROR(Y299/H299,"0")+IFERROR(Y300/H300,"0")+IFERROR(Y301/H301,"0")+IFERROR(Y302/H302,"0")</f>
        <v>0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542"/>
      <c r="AB303" s="542"/>
      <c r="AC303" s="542"/>
    </row>
    <row r="304" spans="1:68" hidden="1" x14ac:dyDescent="0.2">
      <c r="A304" s="544"/>
      <c r="B304" s="544"/>
      <c r="C304" s="544"/>
      <c r="D304" s="544"/>
      <c r="E304" s="544"/>
      <c r="F304" s="544"/>
      <c r="G304" s="544"/>
      <c r="H304" s="544"/>
      <c r="I304" s="544"/>
      <c r="J304" s="544"/>
      <c r="K304" s="544"/>
      <c r="L304" s="544"/>
      <c r="M304" s="544"/>
      <c r="N304" s="544"/>
      <c r="O304" s="577"/>
      <c r="P304" s="545" t="s">
        <v>71</v>
      </c>
      <c r="Q304" s="546"/>
      <c r="R304" s="546"/>
      <c r="S304" s="546"/>
      <c r="T304" s="546"/>
      <c r="U304" s="546"/>
      <c r="V304" s="547"/>
      <c r="W304" s="37" t="s">
        <v>69</v>
      </c>
      <c r="X304" s="541">
        <f>IFERROR(SUM(X296:X302),"0")</f>
        <v>0</v>
      </c>
      <c r="Y304" s="541">
        <f>IFERROR(SUM(Y296:Y302),"0")</f>
        <v>0</v>
      </c>
      <c r="Z304" s="37"/>
      <c r="AA304" s="542"/>
      <c r="AB304" s="542"/>
      <c r="AC304" s="542"/>
    </row>
    <row r="305" spans="1:68" ht="14.25" hidden="1" customHeight="1" x14ac:dyDescent="0.25">
      <c r="A305" s="543" t="s">
        <v>73</v>
      </c>
      <c r="B305" s="544"/>
      <c r="C305" s="544"/>
      <c r="D305" s="544"/>
      <c r="E305" s="544"/>
      <c r="F305" s="544"/>
      <c r="G305" s="544"/>
      <c r="H305" s="544"/>
      <c r="I305" s="544"/>
      <c r="J305" s="544"/>
      <c r="K305" s="544"/>
      <c r="L305" s="544"/>
      <c r="M305" s="544"/>
      <c r="N305" s="544"/>
      <c r="O305" s="544"/>
      <c r="P305" s="544"/>
      <c r="Q305" s="544"/>
      <c r="R305" s="544"/>
      <c r="S305" s="544"/>
      <c r="T305" s="544"/>
      <c r="U305" s="544"/>
      <c r="V305" s="544"/>
      <c r="W305" s="544"/>
      <c r="X305" s="544"/>
      <c r="Y305" s="544"/>
      <c r="Z305" s="544"/>
      <c r="AA305" s="535"/>
      <c r="AB305" s="535"/>
      <c r="AC305" s="535"/>
    </row>
    <row r="306" spans="1:68" ht="27" hidden="1" customHeight="1" x14ac:dyDescent="0.25">
      <c r="A306" s="54" t="s">
        <v>479</v>
      </c>
      <c r="B306" s="54" t="s">
        <v>480</v>
      </c>
      <c r="C306" s="31">
        <v>4301051100</v>
      </c>
      <c r="D306" s="550">
        <v>4607091387766</v>
      </c>
      <c r="E306" s="551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53"/>
      <c r="R306" s="553"/>
      <c r="S306" s="553"/>
      <c r="T306" s="554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482</v>
      </c>
      <c r="B307" s="54" t="s">
        <v>483</v>
      </c>
      <c r="C307" s="31">
        <v>4301051818</v>
      </c>
      <c r="D307" s="550">
        <v>4607091387957</v>
      </c>
      <c r="E307" s="551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55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53"/>
      <c r="R307" s="553"/>
      <c r="S307" s="553"/>
      <c r="T307" s="554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4301051819</v>
      </c>
      <c r="D308" s="550">
        <v>4607091387964</v>
      </c>
      <c r="E308" s="551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7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53"/>
      <c r="R308" s="553"/>
      <c r="S308" s="553"/>
      <c r="T308" s="554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4301051734</v>
      </c>
      <c r="D309" s="550">
        <v>4680115884588</v>
      </c>
      <c r="E309" s="551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53"/>
      <c r="R309" s="553"/>
      <c r="S309" s="553"/>
      <c r="T309" s="554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4301051578</v>
      </c>
      <c r="D310" s="550">
        <v>4607091387513</v>
      </c>
      <c r="E310" s="551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74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53"/>
      <c r="R310" s="553"/>
      <c r="S310" s="553"/>
      <c r="T310" s="554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76"/>
      <c r="B311" s="544"/>
      <c r="C311" s="544"/>
      <c r="D311" s="544"/>
      <c r="E311" s="544"/>
      <c r="F311" s="544"/>
      <c r="G311" s="544"/>
      <c r="H311" s="544"/>
      <c r="I311" s="544"/>
      <c r="J311" s="544"/>
      <c r="K311" s="544"/>
      <c r="L311" s="544"/>
      <c r="M311" s="544"/>
      <c r="N311" s="544"/>
      <c r="O311" s="577"/>
      <c r="P311" s="545" t="s">
        <v>71</v>
      </c>
      <c r="Q311" s="546"/>
      <c r="R311" s="546"/>
      <c r="S311" s="546"/>
      <c r="T311" s="546"/>
      <c r="U311" s="546"/>
      <c r="V311" s="547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4"/>
      <c r="B312" s="544"/>
      <c r="C312" s="544"/>
      <c r="D312" s="544"/>
      <c r="E312" s="544"/>
      <c r="F312" s="544"/>
      <c r="G312" s="544"/>
      <c r="H312" s="544"/>
      <c r="I312" s="544"/>
      <c r="J312" s="544"/>
      <c r="K312" s="544"/>
      <c r="L312" s="544"/>
      <c r="M312" s="544"/>
      <c r="N312" s="544"/>
      <c r="O312" s="577"/>
      <c r="P312" s="545" t="s">
        <v>71</v>
      </c>
      <c r="Q312" s="546"/>
      <c r="R312" s="546"/>
      <c r="S312" s="546"/>
      <c r="T312" s="546"/>
      <c r="U312" s="546"/>
      <c r="V312" s="547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43" t="s">
        <v>163</v>
      </c>
      <c r="B313" s="544"/>
      <c r="C313" s="544"/>
      <c r="D313" s="544"/>
      <c r="E313" s="544"/>
      <c r="F313" s="544"/>
      <c r="G313" s="544"/>
      <c r="H313" s="544"/>
      <c r="I313" s="544"/>
      <c r="J313" s="544"/>
      <c r="K313" s="544"/>
      <c r="L313" s="544"/>
      <c r="M313" s="544"/>
      <c r="N313" s="544"/>
      <c r="O313" s="544"/>
      <c r="P313" s="544"/>
      <c r="Q313" s="544"/>
      <c r="R313" s="544"/>
      <c r="S313" s="544"/>
      <c r="T313" s="544"/>
      <c r="U313" s="544"/>
      <c r="V313" s="544"/>
      <c r="W313" s="544"/>
      <c r="X313" s="544"/>
      <c r="Y313" s="544"/>
      <c r="Z313" s="544"/>
      <c r="AA313" s="535"/>
      <c r="AB313" s="535"/>
      <c r="AC313" s="535"/>
    </row>
    <row r="314" spans="1:68" ht="27" hidden="1" customHeight="1" x14ac:dyDescent="0.25">
      <c r="A314" s="54" t="s">
        <v>494</v>
      </c>
      <c r="B314" s="54" t="s">
        <v>495</v>
      </c>
      <c r="C314" s="31">
        <v>4301060387</v>
      </c>
      <c r="D314" s="550">
        <v>4607091380880</v>
      </c>
      <c r="E314" s="551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69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3"/>
      <c r="R314" s="553"/>
      <c r="S314" s="553"/>
      <c r="T314" s="554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50">
        <v>4607091384482</v>
      </c>
      <c r="E315" s="551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8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39">
        <v>640</v>
      </c>
      <c r="Y315" s="540">
        <f>IFERROR(IF(X315="",0,CEILING((X315/$H315),1)*$H315),"")</f>
        <v>647.4</v>
      </c>
      <c r="Z315" s="36">
        <f>IFERROR(IF(Y315=0,"",ROUNDUP(Y315/H315,0)*0.01898),"")</f>
        <v>1.57534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680.5333333333333</v>
      </c>
      <c r="BN315" s="64">
        <f>IFERROR(Y315*I315/H315,"0")</f>
        <v>688.40200000000004</v>
      </c>
      <c r="BO315" s="64">
        <f>IFERROR(1/J315*(X315/H315),"0")</f>
        <v>1.2820512820512822</v>
      </c>
      <c r="BP315" s="64">
        <f>IFERROR(1/J315*(Y315/H315),"0")</f>
        <v>1.296875</v>
      </c>
    </row>
    <row r="316" spans="1:68" ht="16.5" hidden="1" customHeight="1" x14ac:dyDescent="0.25">
      <c r="A316" s="54" t="s">
        <v>500</v>
      </c>
      <c r="B316" s="54" t="s">
        <v>501</v>
      </c>
      <c r="C316" s="31">
        <v>4301060484</v>
      </c>
      <c r="D316" s="550">
        <v>4607091380897</v>
      </c>
      <c r="E316" s="551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8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6"/>
      <c r="B317" s="544"/>
      <c r="C317" s="544"/>
      <c r="D317" s="544"/>
      <c r="E317" s="544"/>
      <c r="F317" s="544"/>
      <c r="G317" s="544"/>
      <c r="H317" s="544"/>
      <c r="I317" s="544"/>
      <c r="J317" s="544"/>
      <c r="K317" s="544"/>
      <c r="L317" s="544"/>
      <c r="M317" s="544"/>
      <c r="N317" s="544"/>
      <c r="O317" s="577"/>
      <c r="P317" s="545" t="s">
        <v>71</v>
      </c>
      <c r="Q317" s="546"/>
      <c r="R317" s="546"/>
      <c r="S317" s="546"/>
      <c r="T317" s="546"/>
      <c r="U317" s="546"/>
      <c r="V317" s="547"/>
      <c r="W317" s="37" t="s">
        <v>72</v>
      </c>
      <c r="X317" s="541">
        <f>IFERROR(X314/H314,"0")+IFERROR(X315/H315,"0")+IFERROR(X316/H316,"0")</f>
        <v>82.051282051282058</v>
      </c>
      <c r="Y317" s="541">
        <f>IFERROR(Y314/H314,"0")+IFERROR(Y315/H315,"0")+IFERROR(Y316/H316,"0")</f>
        <v>83</v>
      </c>
      <c r="Z317" s="541">
        <f>IFERROR(IF(Z314="",0,Z314),"0")+IFERROR(IF(Z315="",0,Z315),"0")+IFERROR(IF(Z316="",0,Z316),"0")</f>
        <v>1.57534</v>
      </c>
      <c r="AA317" s="542"/>
      <c r="AB317" s="542"/>
      <c r="AC317" s="542"/>
    </row>
    <row r="318" spans="1:68" x14ac:dyDescent="0.2">
      <c r="A318" s="544"/>
      <c r="B318" s="544"/>
      <c r="C318" s="544"/>
      <c r="D318" s="544"/>
      <c r="E318" s="544"/>
      <c r="F318" s="544"/>
      <c r="G318" s="544"/>
      <c r="H318" s="544"/>
      <c r="I318" s="544"/>
      <c r="J318" s="544"/>
      <c r="K318" s="544"/>
      <c r="L318" s="544"/>
      <c r="M318" s="544"/>
      <c r="N318" s="544"/>
      <c r="O318" s="577"/>
      <c r="P318" s="545" t="s">
        <v>71</v>
      </c>
      <c r="Q318" s="546"/>
      <c r="R318" s="546"/>
      <c r="S318" s="546"/>
      <c r="T318" s="546"/>
      <c r="U318" s="546"/>
      <c r="V318" s="547"/>
      <c r="W318" s="37" t="s">
        <v>69</v>
      </c>
      <c r="X318" s="541">
        <f>IFERROR(SUM(X314:X316),"0")</f>
        <v>640</v>
      </c>
      <c r="Y318" s="541">
        <f>IFERROR(SUM(Y314:Y316),"0")</f>
        <v>647.4</v>
      </c>
      <c r="Z318" s="37"/>
      <c r="AA318" s="542"/>
      <c r="AB318" s="542"/>
      <c r="AC318" s="542"/>
    </row>
    <row r="319" spans="1:68" ht="14.25" hidden="1" customHeight="1" x14ac:dyDescent="0.25">
      <c r="A319" s="543" t="s">
        <v>91</v>
      </c>
      <c r="B319" s="544"/>
      <c r="C319" s="544"/>
      <c r="D319" s="544"/>
      <c r="E319" s="544"/>
      <c r="F319" s="544"/>
      <c r="G319" s="544"/>
      <c r="H319" s="544"/>
      <c r="I319" s="544"/>
      <c r="J319" s="544"/>
      <c r="K319" s="544"/>
      <c r="L319" s="544"/>
      <c r="M319" s="544"/>
      <c r="N319" s="544"/>
      <c r="O319" s="544"/>
      <c r="P319" s="544"/>
      <c r="Q319" s="544"/>
      <c r="R319" s="544"/>
      <c r="S319" s="544"/>
      <c r="T319" s="544"/>
      <c r="U319" s="544"/>
      <c r="V319" s="544"/>
      <c r="W319" s="544"/>
      <c r="X319" s="544"/>
      <c r="Y319" s="544"/>
      <c r="Z319" s="544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50">
        <v>4607091388381</v>
      </c>
      <c r="E320" s="551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69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3"/>
      <c r="R320" s="553"/>
      <c r="S320" s="553"/>
      <c r="T320" s="554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50">
        <v>4607091388374</v>
      </c>
      <c r="E321" s="551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08" t="s">
        <v>508</v>
      </c>
      <c r="Q321" s="553"/>
      <c r="R321" s="553"/>
      <c r="S321" s="553"/>
      <c r="T321" s="554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4301032015</v>
      </c>
      <c r="D322" s="550">
        <v>4607091383102</v>
      </c>
      <c r="E322" s="551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8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3"/>
      <c r="R322" s="553"/>
      <c r="S322" s="553"/>
      <c r="T322" s="554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50">
        <v>4607091388404</v>
      </c>
      <c r="E323" s="551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6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39">
        <v>1</v>
      </c>
      <c r="Y323" s="540">
        <f>IFERROR(IF(X323="",0,CEILING((X323/$H323),1)*$H323),"")</f>
        <v>2.5499999999999998</v>
      </c>
      <c r="Z323" s="36">
        <f>IFERROR(IF(Y323=0,"",ROUNDUP(Y323/H323,0)*0.00651),"")</f>
        <v>6.5100000000000002E-3</v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1.1294117647058823</v>
      </c>
      <c r="BN323" s="64">
        <f>IFERROR(Y323*I323/H323,"0")</f>
        <v>2.88</v>
      </c>
      <c r="BO323" s="64">
        <f>IFERROR(1/J323*(X323/H323),"0")</f>
        <v>2.1547080370609788E-3</v>
      </c>
      <c r="BP323" s="64">
        <f>IFERROR(1/J323*(Y323/H323),"0")</f>
        <v>5.4945054945054949E-3</v>
      </c>
    </row>
    <row r="324" spans="1:68" x14ac:dyDescent="0.2">
      <c r="A324" s="576"/>
      <c r="B324" s="544"/>
      <c r="C324" s="544"/>
      <c r="D324" s="544"/>
      <c r="E324" s="544"/>
      <c r="F324" s="544"/>
      <c r="G324" s="544"/>
      <c r="H324" s="544"/>
      <c r="I324" s="544"/>
      <c r="J324" s="544"/>
      <c r="K324" s="544"/>
      <c r="L324" s="544"/>
      <c r="M324" s="544"/>
      <c r="N324" s="544"/>
      <c r="O324" s="577"/>
      <c r="P324" s="545" t="s">
        <v>71</v>
      </c>
      <c r="Q324" s="546"/>
      <c r="R324" s="546"/>
      <c r="S324" s="546"/>
      <c r="T324" s="546"/>
      <c r="U324" s="546"/>
      <c r="V324" s="547"/>
      <c r="W324" s="37" t="s">
        <v>72</v>
      </c>
      <c r="X324" s="541">
        <f>IFERROR(X320/H320,"0")+IFERROR(X321/H321,"0")+IFERROR(X322/H322,"0")+IFERROR(X323/H323,"0")</f>
        <v>0.39215686274509809</v>
      </c>
      <c r="Y324" s="541">
        <f>IFERROR(Y320/H320,"0")+IFERROR(Y321/H321,"0")+IFERROR(Y322/H322,"0")+IFERROR(Y323/H323,"0")</f>
        <v>1</v>
      </c>
      <c r="Z324" s="541">
        <f>IFERROR(IF(Z320="",0,Z320),"0")+IFERROR(IF(Z321="",0,Z321),"0")+IFERROR(IF(Z322="",0,Z322),"0")+IFERROR(IF(Z323="",0,Z323),"0")</f>
        <v>6.5100000000000002E-3</v>
      </c>
      <c r="AA324" s="542"/>
      <c r="AB324" s="542"/>
      <c r="AC324" s="542"/>
    </row>
    <row r="325" spans="1:68" x14ac:dyDescent="0.2">
      <c r="A325" s="544"/>
      <c r="B325" s="544"/>
      <c r="C325" s="544"/>
      <c r="D325" s="544"/>
      <c r="E325" s="544"/>
      <c r="F325" s="544"/>
      <c r="G325" s="544"/>
      <c r="H325" s="544"/>
      <c r="I325" s="544"/>
      <c r="J325" s="544"/>
      <c r="K325" s="544"/>
      <c r="L325" s="544"/>
      <c r="M325" s="544"/>
      <c r="N325" s="544"/>
      <c r="O325" s="577"/>
      <c r="P325" s="545" t="s">
        <v>71</v>
      </c>
      <c r="Q325" s="546"/>
      <c r="R325" s="546"/>
      <c r="S325" s="546"/>
      <c r="T325" s="546"/>
      <c r="U325" s="546"/>
      <c r="V325" s="547"/>
      <c r="W325" s="37" t="s">
        <v>69</v>
      </c>
      <c r="X325" s="541">
        <f>IFERROR(SUM(X320:X323),"0")</f>
        <v>1</v>
      </c>
      <c r="Y325" s="541">
        <f>IFERROR(SUM(Y320:Y323),"0")</f>
        <v>2.5499999999999998</v>
      </c>
      <c r="Z325" s="37"/>
      <c r="AA325" s="542"/>
      <c r="AB325" s="542"/>
      <c r="AC325" s="542"/>
    </row>
    <row r="326" spans="1:68" ht="14.25" hidden="1" customHeight="1" x14ac:dyDescent="0.25">
      <c r="A326" s="543" t="s">
        <v>514</v>
      </c>
      <c r="B326" s="544"/>
      <c r="C326" s="544"/>
      <c r="D326" s="544"/>
      <c r="E326" s="544"/>
      <c r="F326" s="544"/>
      <c r="G326" s="544"/>
      <c r="H326" s="544"/>
      <c r="I326" s="544"/>
      <c r="J326" s="544"/>
      <c r="K326" s="544"/>
      <c r="L326" s="544"/>
      <c r="M326" s="544"/>
      <c r="N326" s="544"/>
      <c r="O326" s="544"/>
      <c r="P326" s="544"/>
      <c r="Q326" s="544"/>
      <c r="R326" s="544"/>
      <c r="S326" s="544"/>
      <c r="T326" s="544"/>
      <c r="U326" s="544"/>
      <c r="V326" s="544"/>
      <c r="W326" s="544"/>
      <c r="X326" s="544"/>
      <c r="Y326" s="544"/>
      <c r="Z326" s="544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50">
        <v>4680115881808</v>
      </c>
      <c r="E327" s="551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517</v>
      </c>
      <c r="N327" s="33"/>
      <c r="O327" s="32">
        <v>730</v>
      </c>
      <c r="P327" s="6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3"/>
      <c r="R327" s="553"/>
      <c r="S327" s="553"/>
      <c r="T327" s="554"/>
      <c r="U327" s="34"/>
      <c r="V327" s="34"/>
      <c r="W327" s="35" t="s">
        <v>69</v>
      </c>
      <c r="X327" s="539">
        <v>1</v>
      </c>
      <c r="Y327" s="540">
        <f>IFERROR(IF(X327="",0,CEILING((X327/$H327),1)*$H327),"")</f>
        <v>2</v>
      </c>
      <c r="Z327" s="36">
        <f>IFERROR(IF(Y327=0,"",ROUNDUP(Y327/H327,0)*0.00474),"")</f>
        <v>4.7400000000000003E-3</v>
      </c>
      <c r="AA327" s="56"/>
      <c r="AB327" s="57"/>
      <c r="AC327" s="377" t="s">
        <v>518</v>
      </c>
      <c r="AG327" s="64"/>
      <c r="AJ327" s="68"/>
      <c r="AK327" s="68">
        <v>0</v>
      </c>
      <c r="BB327" s="378" t="s">
        <v>1</v>
      </c>
      <c r="BM327" s="64">
        <f>IFERROR(X327*I327/H327,"0")</f>
        <v>1.1200000000000001</v>
      </c>
      <c r="BN327" s="64">
        <f>IFERROR(Y327*I327/H327,"0")</f>
        <v>2.2400000000000002</v>
      </c>
      <c r="BO327" s="64">
        <f>IFERROR(1/J327*(X327/H327),"0")</f>
        <v>2.1008403361344537E-3</v>
      </c>
      <c r="BP327" s="64">
        <f>IFERROR(1/J327*(Y327/H327),"0")</f>
        <v>4.2016806722689074E-3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50">
        <v>4680115881822</v>
      </c>
      <c r="E328" s="551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86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39">
        <v>7</v>
      </c>
      <c r="Y328" s="540">
        <f>IFERROR(IF(X328="",0,CEILING((X328/$H328),1)*$H328),"")</f>
        <v>8</v>
      </c>
      <c r="Z328" s="36">
        <f>IFERROR(IF(Y328=0,"",ROUNDUP(Y328/H328,0)*0.00474),"")</f>
        <v>1.8960000000000001E-2</v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7.8400000000000007</v>
      </c>
      <c r="BN328" s="64">
        <f>IFERROR(Y328*I328/H328,"0")</f>
        <v>8.9600000000000009</v>
      </c>
      <c r="BO328" s="64">
        <f>IFERROR(1/J328*(X328/H328),"0")</f>
        <v>1.4705882352941176E-2</v>
      </c>
      <c r="BP328" s="64">
        <f>IFERROR(1/J328*(Y328/H328),"0")</f>
        <v>1.680672268907563E-2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4301180001</v>
      </c>
      <c r="D329" s="550">
        <v>4680115880016</v>
      </c>
      <c r="E329" s="551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3"/>
      <c r="R329" s="553"/>
      <c r="S329" s="553"/>
      <c r="T329" s="554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6"/>
      <c r="B330" s="544"/>
      <c r="C330" s="544"/>
      <c r="D330" s="544"/>
      <c r="E330" s="544"/>
      <c r="F330" s="544"/>
      <c r="G330" s="544"/>
      <c r="H330" s="544"/>
      <c r="I330" s="544"/>
      <c r="J330" s="544"/>
      <c r="K330" s="544"/>
      <c r="L330" s="544"/>
      <c r="M330" s="544"/>
      <c r="N330" s="544"/>
      <c r="O330" s="577"/>
      <c r="P330" s="545" t="s">
        <v>71</v>
      </c>
      <c r="Q330" s="546"/>
      <c r="R330" s="546"/>
      <c r="S330" s="546"/>
      <c r="T330" s="546"/>
      <c r="U330" s="546"/>
      <c r="V330" s="547"/>
      <c r="W330" s="37" t="s">
        <v>72</v>
      </c>
      <c r="X330" s="541">
        <f>IFERROR(X327/H327,"0")+IFERROR(X328/H328,"0")+IFERROR(X329/H329,"0")</f>
        <v>4</v>
      </c>
      <c r="Y330" s="541">
        <f>IFERROR(Y327/H327,"0")+IFERROR(Y328/H328,"0")+IFERROR(Y329/H329,"0")</f>
        <v>5</v>
      </c>
      <c r="Z330" s="541">
        <f>IFERROR(IF(Z327="",0,Z327),"0")+IFERROR(IF(Z328="",0,Z328),"0")+IFERROR(IF(Z329="",0,Z329),"0")</f>
        <v>2.3700000000000002E-2</v>
      </c>
      <c r="AA330" s="542"/>
      <c r="AB330" s="542"/>
      <c r="AC330" s="542"/>
    </row>
    <row r="331" spans="1:68" x14ac:dyDescent="0.2">
      <c r="A331" s="544"/>
      <c r="B331" s="544"/>
      <c r="C331" s="544"/>
      <c r="D331" s="544"/>
      <c r="E331" s="544"/>
      <c r="F331" s="544"/>
      <c r="G331" s="544"/>
      <c r="H331" s="544"/>
      <c r="I331" s="544"/>
      <c r="J331" s="544"/>
      <c r="K331" s="544"/>
      <c r="L331" s="544"/>
      <c r="M331" s="544"/>
      <c r="N331" s="544"/>
      <c r="O331" s="577"/>
      <c r="P331" s="545" t="s">
        <v>71</v>
      </c>
      <c r="Q331" s="546"/>
      <c r="R331" s="546"/>
      <c r="S331" s="546"/>
      <c r="T331" s="546"/>
      <c r="U331" s="546"/>
      <c r="V331" s="547"/>
      <c r="W331" s="37" t="s">
        <v>69</v>
      </c>
      <c r="X331" s="541">
        <f>IFERROR(SUM(X327:X329),"0")</f>
        <v>8</v>
      </c>
      <c r="Y331" s="541">
        <f>IFERROR(SUM(Y327:Y329),"0")</f>
        <v>10</v>
      </c>
      <c r="Z331" s="37"/>
      <c r="AA331" s="542"/>
      <c r="AB331" s="542"/>
      <c r="AC331" s="542"/>
    </row>
    <row r="332" spans="1:68" ht="16.5" hidden="1" customHeight="1" x14ac:dyDescent="0.25">
      <c r="A332" s="585" t="s">
        <v>523</v>
      </c>
      <c r="B332" s="544"/>
      <c r="C332" s="544"/>
      <c r="D332" s="544"/>
      <c r="E332" s="544"/>
      <c r="F332" s="544"/>
      <c r="G332" s="544"/>
      <c r="H332" s="544"/>
      <c r="I332" s="544"/>
      <c r="J332" s="544"/>
      <c r="K332" s="544"/>
      <c r="L332" s="544"/>
      <c r="M332" s="544"/>
      <c r="N332" s="544"/>
      <c r="O332" s="544"/>
      <c r="P332" s="544"/>
      <c r="Q332" s="544"/>
      <c r="R332" s="544"/>
      <c r="S332" s="544"/>
      <c r="T332" s="544"/>
      <c r="U332" s="544"/>
      <c r="V332" s="544"/>
      <c r="W332" s="544"/>
      <c r="X332" s="544"/>
      <c r="Y332" s="544"/>
      <c r="Z332" s="544"/>
      <c r="AA332" s="534"/>
      <c r="AB332" s="534"/>
      <c r="AC332" s="534"/>
    </row>
    <row r="333" spans="1:68" ht="14.25" hidden="1" customHeight="1" x14ac:dyDescent="0.25">
      <c r="A333" s="543" t="s">
        <v>73</v>
      </c>
      <c r="B333" s="544"/>
      <c r="C333" s="544"/>
      <c r="D333" s="544"/>
      <c r="E333" s="544"/>
      <c r="F333" s="544"/>
      <c r="G333" s="544"/>
      <c r="H333" s="544"/>
      <c r="I333" s="544"/>
      <c r="J333" s="544"/>
      <c r="K333" s="544"/>
      <c r="L333" s="544"/>
      <c r="M333" s="544"/>
      <c r="N333" s="544"/>
      <c r="O333" s="544"/>
      <c r="P333" s="544"/>
      <c r="Q333" s="544"/>
      <c r="R333" s="544"/>
      <c r="S333" s="544"/>
      <c r="T333" s="544"/>
      <c r="U333" s="544"/>
      <c r="V333" s="544"/>
      <c r="W333" s="544"/>
      <c r="X333" s="544"/>
      <c r="Y333" s="544"/>
      <c r="Z333" s="544"/>
      <c r="AA333" s="535"/>
      <c r="AB333" s="535"/>
      <c r="AC333" s="535"/>
    </row>
    <row r="334" spans="1:68" ht="27" hidden="1" customHeight="1" x14ac:dyDescent="0.25">
      <c r="A334" s="54" t="s">
        <v>524</v>
      </c>
      <c r="B334" s="54" t="s">
        <v>525</v>
      </c>
      <c r="C334" s="31">
        <v>4301051489</v>
      </c>
      <c r="D334" s="550">
        <v>4607091387919</v>
      </c>
      <c r="E334" s="551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8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3"/>
      <c r="R334" s="553"/>
      <c r="S334" s="553"/>
      <c r="T334" s="554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527</v>
      </c>
      <c r="B335" s="54" t="s">
        <v>528</v>
      </c>
      <c r="C335" s="31">
        <v>4301051461</v>
      </c>
      <c r="D335" s="550">
        <v>4680115883604</v>
      </c>
      <c r="E335" s="551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6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3"/>
      <c r="R335" s="553"/>
      <c r="S335" s="553"/>
      <c r="T335" s="554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4301051864</v>
      </c>
      <c r="D336" s="550">
        <v>4680115883567</v>
      </c>
      <c r="E336" s="551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6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76"/>
      <c r="B337" s="544"/>
      <c r="C337" s="544"/>
      <c r="D337" s="544"/>
      <c r="E337" s="544"/>
      <c r="F337" s="544"/>
      <c r="G337" s="544"/>
      <c r="H337" s="544"/>
      <c r="I337" s="544"/>
      <c r="J337" s="544"/>
      <c r="K337" s="544"/>
      <c r="L337" s="544"/>
      <c r="M337" s="544"/>
      <c r="N337" s="544"/>
      <c r="O337" s="577"/>
      <c r="P337" s="545" t="s">
        <v>71</v>
      </c>
      <c r="Q337" s="546"/>
      <c r="R337" s="546"/>
      <c r="S337" s="546"/>
      <c r="T337" s="546"/>
      <c r="U337" s="546"/>
      <c r="V337" s="547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44"/>
      <c r="B338" s="544"/>
      <c r="C338" s="544"/>
      <c r="D338" s="544"/>
      <c r="E338" s="544"/>
      <c r="F338" s="544"/>
      <c r="G338" s="544"/>
      <c r="H338" s="544"/>
      <c r="I338" s="544"/>
      <c r="J338" s="544"/>
      <c r="K338" s="544"/>
      <c r="L338" s="544"/>
      <c r="M338" s="544"/>
      <c r="N338" s="544"/>
      <c r="O338" s="577"/>
      <c r="P338" s="545" t="s">
        <v>71</v>
      </c>
      <c r="Q338" s="546"/>
      <c r="R338" s="546"/>
      <c r="S338" s="546"/>
      <c r="T338" s="546"/>
      <c r="U338" s="546"/>
      <c r="V338" s="547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558" t="s">
        <v>533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48"/>
      <c r="AB339" s="48"/>
      <c r="AC339" s="48"/>
    </row>
    <row r="340" spans="1:68" ht="16.5" hidden="1" customHeight="1" x14ac:dyDescent="0.25">
      <c r="A340" s="585" t="s">
        <v>534</v>
      </c>
      <c r="B340" s="544"/>
      <c r="C340" s="544"/>
      <c r="D340" s="544"/>
      <c r="E340" s="544"/>
      <c r="F340" s="544"/>
      <c r="G340" s="544"/>
      <c r="H340" s="544"/>
      <c r="I340" s="544"/>
      <c r="J340" s="544"/>
      <c r="K340" s="544"/>
      <c r="L340" s="544"/>
      <c r="M340" s="544"/>
      <c r="N340" s="544"/>
      <c r="O340" s="544"/>
      <c r="P340" s="544"/>
      <c r="Q340" s="544"/>
      <c r="R340" s="544"/>
      <c r="S340" s="544"/>
      <c r="T340" s="544"/>
      <c r="U340" s="544"/>
      <c r="V340" s="544"/>
      <c r="W340" s="544"/>
      <c r="X340" s="544"/>
      <c r="Y340" s="544"/>
      <c r="Z340" s="544"/>
      <c r="AA340" s="534"/>
      <c r="AB340" s="534"/>
      <c r="AC340" s="534"/>
    </row>
    <row r="341" spans="1:68" ht="14.25" hidden="1" customHeight="1" x14ac:dyDescent="0.25">
      <c r="A341" s="543" t="s">
        <v>99</v>
      </c>
      <c r="B341" s="544"/>
      <c r="C341" s="544"/>
      <c r="D341" s="544"/>
      <c r="E341" s="544"/>
      <c r="F341" s="544"/>
      <c r="G341" s="544"/>
      <c r="H341" s="544"/>
      <c r="I341" s="544"/>
      <c r="J341" s="544"/>
      <c r="K341" s="544"/>
      <c r="L341" s="544"/>
      <c r="M341" s="544"/>
      <c r="N341" s="544"/>
      <c r="O341" s="544"/>
      <c r="P341" s="544"/>
      <c r="Q341" s="544"/>
      <c r="R341" s="544"/>
      <c r="S341" s="544"/>
      <c r="T341" s="544"/>
      <c r="U341" s="544"/>
      <c r="V341" s="544"/>
      <c r="W341" s="544"/>
      <c r="X341" s="544"/>
      <c r="Y341" s="544"/>
      <c r="Z341" s="544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50">
        <v>4680115884847</v>
      </c>
      <c r="E342" s="551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6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3"/>
      <c r="R342" s="553"/>
      <c r="S342" s="553"/>
      <c r="T342" s="554"/>
      <c r="U342" s="34"/>
      <c r="V342" s="34"/>
      <c r="W342" s="35" t="s">
        <v>69</v>
      </c>
      <c r="X342" s="539">
        <v>2534</v>
      </c>
      <c r="Y342" s="540">
        <f t="shared" ref="Y342:Y348" si="31">IFERROR(IF(X342="",0,CEILING((X342/$H342),1)*$H342),"")</f>
        <v>2535</v>
      </c>
      <c r="Z342" s="36">
        <f>IFERROR(IF(Y342=0,"",ROUNDUP(Y342/H342,0)*0.02175),"")</f>
        <v>3.6757499999999999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2613.3986666666669</v>
      </c>
      <c r="BN342" s="64">
        <f t="shared" ref="BN342:BN348" si="33">IFERROR(Y342*I342/H342,"0")</f>
        <v>2614.4300000000003</v>
      </c>
      <c r="BO342" s="64">
        <f t="shared" ref="BO342:BO348" si="34">IFERROR(1/J342*(X342/H342),"0")</f>
        <v>3.5194444444444444</v>
      </c>
      <c r="BP342" s="64">
        <f t="shared" ref="BP342:BP348" si="35">IFERROR(1/J342*(Y342/H342),"0")</f>
        <v>3.520833333333333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50">
        <v>4680115884854</v>
      </c>
      <c r="E343" s="551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68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3"/>
      <c r="R343" s="553"/>
      <c r="S343" s="553"/>
      <c r="T343" s="554"/>
      <c r="U343" s="34"/>
      <c r="V343" s="34"/>
      <c r="W343" s="35" t="s">
        <v>69</v>
      </c>
      <c r="X343" s="539">
        <v>1926</v>
      </c>
      <c r="Y343" s="540">
        <f t="shared" si="31"/>
        <v>1935</v>
      </c>
      <c r="Z343" s="36">
        <f>IFERROR(IF(Y343=0,"",ROUNDUP(Y343/H343,0)*0.02175),"")</f>
        <v>2.8057499999999997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1986.3480000000002</v>
      </c>
      <c r="BN343" s="64">
        <f t="shared" si="33"/>
        <v>1995.63</v>
      </c>
      <c r="BO343" s="64">
        <f t="shared" si="34"/>
        <v>2.6749999999999998</v>
      </c>
      <c r="BP343" s="64">
        <f t="shared" si="35"/>
        <v>2.6875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50">
        <v>4680115884830</v>
      </c>
      <c r="E344" s="551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39">
        <v>428</v>
      </c>
      <c r="Y344" s="540">
        <f t="shared" si="31"/>
        <v>435</v>
      </c>
      <c r="Z344" s="36">
        <f>IFERROR(IF(Y344=0,"",ROUNDUP(Y344/H344,0)*0.02175),"")</f>
        <v>0.63074999999999992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441.41066666666666</v>
      </c>
      <c r="BN344" s="64">
        <f t="shared" si="33"/>
        <v>448.63000000000005</v>
      </c>
      <c r="BO344" s="64">
        <f t="shared" si="34"/>
        <v>0.59444444444444444</v>
      </c>
      <c r="BP344" s="64">
        <f t="shared" si="35"/>
        <v>0.60416666666666663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50">
        <v>4680115887046</v>
      </c>
      <c r="E345" s="551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691" t="s">
        <v>546</v>
      </c>
      <c r="Q345" s="553"/>
      <c r="R345" s="553"/>
      <c r="S345" s="553"/>
      <c r="T345" s="554"/>
      <c r="U345" s="34"/>
      <c r="V345" s="34"/>
      <c r="W345" s="35" t="s">
        <v>69</v>
      </c>
      <c r="X345" s="539">
        <v>433</v>
      </c>
      <c r="Y345" s="540">
        <f t="shared" si="31"/>
        <v>435</v>
      </c>
      <c r="Z345" s="36">
        <f>IFERROR(IF(Y345=0,"",ROUNDUP(Y345/H345,0)*0.02175),"")</f>
        <v>0.63074999999999992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446.56733333333335</v>
      </c>
      <c r="BN345" s="64">
        <f t="shared" si="33"/>
        <v>448.63000000000005</v>
      </c>
      <c r="BO345" s="64">
        <f t="shared" si="34"/>
        <v>0.60138888888888886</v>
      </c>
      <c r="BP345" s="64">
        <f t="shared" si="35"/>
        <v>0.60416666666666663</v>
      </c>
    </row>
    <row r="346" spans="1:68" ht="27" hidden="1" customHeight="1" x14ac:dyDescent="0.25">
      <c r="A346" s="54" t="s">
        <v>548</v>
      </c>
      <c r="B346" s="54" t="s">
        <v>549</v>
      </c>
      <c r="C346" s="31">
        <v>4301011433</v>
      </c>
      <c r="D346" s="550">
        <v>4680115882638</v>
      </c>
      <c r="E346" s="551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63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3"/>
      <c r="R346" s="553"/>
      <c r="S346" s="553"/>
      <c r="T346" s="554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4301011952</v>
      </c>
      <c r="D347" s="550">
        <v>4680115884922</v>
      </c>
      <c r="E347" s="551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6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553</v>
      </c>
      <c r="B348" s="54" t="s">
        <v>554</v>
      </c>
      <c r="C348" s="31">
        <v>4301011868</v>
      </c>
      <c r="D348" s="550">
        <v>4680115884861</v>
      </c>
      <c r="E348" s="551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6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76"/>
      <c r="B349" s="544"/>
      <c r="C349" s="544"/>
      <c r="D349" s="544"/>
      <c r="E349" s="544"/>
      <c r="F349" s="544"/>
      <c r="G349" s="544"/>
      <c r="H349" s="544"/>
      <c r="I349" s="544"/>
      <c r="J349" s="544"/>
      <c r="K349" s="544"/>
      <c r="L349" s="544"/>
      <c r="M349" s="544"/>
      <c r="N349" s="544"/>
      <c r="O349" s="577"/>
      <c r="P349" s="545" t="s">
        <v>71</v>
      </c>
      <c r="Q349" s="546"/>
      <c r="R349" s="546"/>
      <c r="S349" s="546"/>
      <c r="T349" s="546"/>
      <c r="U349" s="546"/>
      <c r="V349" s="547"/>
      <c r="W349" s="37" t="s">
        <v>72</v>
      </c>
      <c r="X349" s="541">
        <f>IFERROR(X342/H342,"0")+IFERROR(X343/H343,"0")+IFERROR(X344/H344,"0")+IFERROR(X345/H345,"0")+IFERROR(X346/H346,"0")+IFERROR(X347/H347,"0")+IFERROR(X348/H348,"0")</f>
        <v>354.73333333333341</v>
      </c>
      <c r="Y349" s="541">
        <f>IFERROR(Y342/H342,"0")+IFERROR(Y343/H343,"0")+IFERROR(Y344/H344,"0")+IFERROR(Y345/H345,"0")+IFERROR(Y346/H346,"0")+IFERROR(Y347/H347,"0")+IFERROR(Y348/H348,"0")</f>
        <v>356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7.7429999999999994</v>
      </c>
      <c r="AA349" s="542"/>
      <c r="AB349" s="542"/>
      <c r="AC349" s="542"/>
    </row>
    <row r="350" spans="1:68" x14ac:dyDescent="0.2">
      <c r="A350" s="544"/>
      <c r="B350" s="544"/>
      <c r="C350" s="544"/>
      <c r="D350" s="544"/>
      <c r="E350" s="544"/>
      <c r="F350" s="544"/>
      <c r="G350" s="544"/>
      <c r="H350" s="544"/>
      <c r="I350" s="544"/>
      <c r="J350" s="544"/>
      <c r="K350" s="544"/>
      <c r="L350" s="544"/>
      <c r="M350" s="544"/>
      <c r="N350" s="544"/>
      <c r="O350" s="577"/>
      <c r="P350" s="545" t="s">
        <v>71</v>
      </c>
      <c r="Q350" s="546"/>
      <c r="R350" s="546"/>
      <c r="S350" s="546"/>
      <c r="T350" s="546"/>
      <c r="U350" s="546"/>
      <c r="V350" s="547"/>
      <c r="W350" s="37" t="s">
        <v>69</v>
      </c>
      <c r="X350" s="541">
        <f>IFERROR(SUM(X342:X348),"0")</f>
        <v>5321</v>
      </c>
      <c r="Y350" s="541">
        <f>IFERROR(SUM(Y342:Y348),"0")</f>
        <v>5340</v>
      </c>
      <c r="Z350" s="37"/>
      <c r="AA350" s="542"/>
      <c r="AB350" s="542"/>
      <c r="AC350" s="542"/>
    </row>
    <row r="351" spans="1:68" ht="14.25" hidden="1" customHeight="1" x14ac:dyDescent="0.25">
      <c r="A351" s="543" t="s">
        <v>135</v>
      </c>
      <c r="B351" s="544"/>
      <c r="C351" s="544"/>
      <c r="D351" s="544"/>
      <c r="E351" s="544"/>
      <c r="F351" s="544"/>
      <c r="G351" s="544"/>
      <c r="H351" s="544"/>
      <c r="I351" s="544"/>
      <c r="J351" s="544"/>
      <c r="K351" s="544"/>
      <c r="L351" s="544"/>
      <c r="M351" s="544"/>
      <c r="N351" s="544"/>
      <c r="O351" s="544"/>
      <c r="P351" s="544"/>
      <c r="Q351" s="544"/>
      <c r="R351" s="544"/>
      <c r="S351" s="544"/>
      <c r="T351" s="544"/>
      <c r="U351" s="544"/>
      <c r="V351" s="544"/>
      <c r="W351" s="544"/>
      <c r="X351" s="544"/>
      <c r="Y351" s="544"/>
      <c r="Z351" s="544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50">
        <v>4607091383980</v>
      </c>
      <c r="E352" s="551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80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3"/>
      <c r="R352" s="553"/>
      <c r="S352" s="553"/>
      <c r="T352" s="554"/>
      <c r="U352" s="34"/>
      <c r="V352" s="34"/>
      <c r="W352" s="35" t="s">
        <v>69</v>
      </c>
      <c r="X352" s="539">
        <v>194</v>
      </c>
      <c r="Y352" s="540">
        <f>IFERROR(IF(X352="",0,CEILING((X352/$H352),1)*$H352),"")</f>
        <v>195</v>
      </c>
      <c r="Z352" s="36">
        <f>IFERROR(IF(Y352=0,"",ROUNDUP(Y352/H352,0)*0.02175),"")</f>
        <v>0.28275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200.07866666666669</v>
      </c>
      <c r="BN352" s="64">
        <f>IFERROR(Y352*I352/H352,"0")</f>
        <v>201.11</v>
      </c>
      <c r="BO352" s="64">
        <f>IFERROR(1/J352*(X352/H352),"0")</f>
        <v>0.26944444444444443</v>
      </c>
      <c r="BP352" s="64">
        <f>IFERROR(1/J352*(Y352/H352),"0")</f>
        <v>0.27083333333333331</v>
      </c>
    </row>
    <row r="353" spans="1:68" ht="16.5" hidden="1" customHeight="1" x14ac:dyDescent="0.25">
      <c r="A353" s="54" t="s">
        <v>558</v>
      </c>
      <c r="B353" s="54" t="s">
        <v>559</v>
      </c>
      <c r="C353" s="31">
        <v>4301020179</v>
      </c>
      <c r="D353" s="550">
        <v>4607091384178</v>
      </c>
      <c r="E353" s="551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76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3"/>
      <c r="R353" s="553"/>
      <c r="S353" s="553"/>
      <c r="T353" s="554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76"/>
      <c r="B354" s="544"/>
      <c r="C354" s="544"/>
      <c r="D354" s="544"/>
      <c r="E354" s="544"/>
      <c r="F354" s="544"/>
      <c r="G354" s="544"/>
      <c r="H354" s="544"/>
      <c r="I354" s="544"/>
      <c r="J354" s="544"/>
      <c r="K354" s="544"/>
      <c r="L354" s="544"/>
      <c r="M354" s="544"/>
      <c r="N354" s="544"/>
      <c r="O354" s="577"/>
      <c r="P354" s="545" t="s">
        <v>71</v>
      </c>
      <c r="Q354" s="546"/>
      <c r="R354" s="546"/>
      <c r="S354" s="546"/>
      <c r="T354" s="546"/>
      <c r="U354" s="546"/>
      <c r="V354" s="547"/>
      <c r="W354" s="37" t="s">
        <v>72</v>
      </c>
      <c r="X354" s="541">
        <f>IFERROR(X352/H352,"0")+IFERROR(X353/H353,"0")</f>
        <v>12.933333333333334</v>
      </c>
      <c r="Y354" s="541">
        <f>IFERROR(Y352/H352,"0")+IFERROR(Y353/H353,"0")</f>
        <v>13</v>
      </c>
      <c r="Z354" s="541">
        <f>IFERROR(IF(Z352="",0,Z352),"0")+IFERROR(IF(Z353="",0,Z353),"0")</f>
        <v>0.28275</v>
      </c>
      <c r="AA354" s="542"/>
      <c r="AB354" s="542"/>
      <c r="AC354" s="542"/>
    </row>
    <row r="355" spans="1:68" x14ac:dyDescent="0.2">
      <c r="A355" s="544"/>
      <c r="B355" s="544"/>
      <c r="C355" s="544"/>
      <c r="D355" s="544"/>
      <c r="E355" s="544"/>
      <c r="F355" s="544"/>
      <c r="G355" s="544"/>
      <c r="H355" s="544"/>
      <c r="I355" s="544"/>
      <c r="J355" s="544"/>
      <c r="K355" s="544"/>
      <c r="L355" s="544"/>
      <c r="M355" s="544"/>
      <c r="N355" s="544"/>
      <c r="O355" s="577"/>
      <c r="P355" s="545" t="s">
        <v>71</v>
      </c>
      <c r="Q355" s="546"/>
      <c r="R355" s="546"/>
      <c r="S355" s="546"/>
      <c r="T355" s="546"/>
      <c r="U355" s="546"/>
      <c r="V355" s="547"/>
      <c r="W355" s="37" t="s">
        <v>69</v>
      </c>
      <c r="X355" s="541">
        <f>IFERROR(SUM(X352:X353),"0")</f>
        <v>194</v>
      </c>
      <c r="Y355" s="541">
        <f>IFERROR(SUM(Y352:Y353),"0")</f>
        <v>195</v>
      </c>
      <c r="Z355" s="37"/>
      <c r="AA355" s="542"/>
      <c r="AB355" s="542"/>
      <c r="AC355" s="542"/>
    </row>
    <row r="356" spans="1:68" ht="14.25" hidden="1" customHeight="1" x14ac:dyDescent="0.25">
      <c r="A356" s="543" t="s">
        <v>73</v>
      </c>
      <c r="B356" s="544"/>
      <c r="C356" s="544"/>
      <c r="D356" s="544"/>
      <c r="E356" s="544"/>
      <c r="F356" s="544"/>
      <c r="G356" s="544"/>
      <c r="H356" s="544"/>
      <c r="I356" s="544"/>
      <c r="J356" s="544"/>
      <c r="K356" s="544"/>
      <c r="L356" s="544"/>
      <c r="M356" s="544"/>
      <c r="N356" s="544"/>
      <c r="O356" s="544"/>
      <c r="P356" s="544"/>
      <c r="Q356" s="544"/>
      <c r="R356" s="544"/>
      <c r="S356" s="544"/>
      <c r="T356" s="544"/>
      <c r="U356" s="544"/>
      <c r="V356" s="544"/>
      <c r="W356" s="544"/>
      <c r="X356" s="544"/>
      <c r="Y356" s="544"/>
      <c r="Z356" s="544"/>
      <c r="AA356" s="535"/>
      <c r="AB356" s="535"/>
      <c r="AC356" s="535"/>
    </row>
    <row r="357" spans="1:68" ht="27" hidden="1" customHeight="1" x14ac:dyDescent="0.25">
      <c r="A357" s="54" t="s">
        <v>560</v>
      </c>
      <c r="B357" s="54" t="s">
        <v>561</v>
      </c>
      <c r="C357" s="31">
        <v>4301051903</v>
      </c>
      <c r="D357" s="550">
        <v>4607091383928</v>
      </c>
      <c r="E357" s="551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0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3"/>
      <c r="R357" s="553"/>
      <c r="S357" s="553"/>
      <c r="T357" s="554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4301051897</v>
      </c>
      <c r="D358" s="550">
        <v>4607091384260</v>
      </c>
      <c r="E358" s="551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7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76"/>
      <c r="B359" s="544"/>
      <c r="C359" s="544"/>
      <c r="D359" s="544"/>
      <c r="E359" s="544"/>
      <c r="F359" s="544"/>
      <c r="G359" s="544"/>
      <c r="H359" s="544"/>
      <c r="I359" s="544"/>
      <c r="J359" s="544"/>
      <c r="K359" s="544"/>
      <c r="L359" s="544"/>
      <c r="M359" s="544"/>
      <c r="N359" s="544"/>
      <c r="O359" s="577"/>
      <c r="P359" s="545" t="s">
        <v>71</v>
      </c>
      <c r="Q359" s="546"/>
      <c r="R359" s="546"/>
      <c r="S359" s="546"/>
      <c r="T359" s="546"/>
      <c r="U359" s="546"/>
      <c r="V359" s="547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44"/>
      <c r="B360" s="544"/>
      <c r="C360" s="544"/>
      <c r="D360" s="544"/>
      <c r="E360" s="544"/>
      <c r="F360" s="544"/>
      <c r="G360" s="544"/>
      <c r="H360" s="544"/>
      <c r="I360" s="544"/>
      <c r="J360" s="544"/>
      <c r="K360" s="544"/>
      <c r="L360" s="544"/>
      <c r="M360" s="544"/>
      <c r="N360" s="544"/>
      <c r="O360" s="577"/>
      <c r="P360" s="545" t="s">
        <v>71</v>
      </c>
      <c r="Q360" s="546"/>
      <c r="R360" s="546"/>
      <c r="S360" s="546"/>
      <c r="T360" s="546"/>
      <c r="U360" s="546"/>
      <c r="V360" s="547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43" t="s">
        <v>163</v>
      </c>
      <c r="B361" s="544"/>
      <c r="C361" s="544"/>
      <c r="D361" s="544"/>
      <c r="E361" s="544"/>
      <c r="F361" s="544"/>
      <c r="G361" s="544"/>
      <c r="H361" s="544"/>
      <c r="I361" s="544"/>
      <c r="J361" s="544"/>
      <c r="K361" s="544"/>
      <c r="L361" s="544"/>
      <c r="M361" s="544"/>
      <c r="N361" s="544"/>
      <c r="O361" s="544"/>
      <c r="P361" s="544"/>
      <c r="Q361" s="544"/>
      <c r="R361" s="544"/>
      <c r="S361" s="544"/>
      <c r="T361" s="544"/>
      <c r="U361" s="544"/>
      <c r="V361" s="544"/>
      <c r="W361" s="544"/>
      <c r="X361" s="544"/>
      <c r="Y361" s="544"/>
      <c r="Z361" s="544"/>
      <c r="AA361" s="535"/>
      <c r="AB361" s="535"/>
      <c r="AC361" s="535"/>
    </row>
    <row r="362" spans="1:68" ht="16.5" hidden="1" customHeight="1" x14ac:dyDescent="0.25">
      <c r="A362" s="54" t="s">
        <v>566</v>
      </c>
      <c r="B362" s="54" t="s">
        <v>567</v>
      </c>
      <c r="C362" s="31">
        <v>4301060524</v>
      </c>
      <c r="D362" s="550">
        <v>4607091384673</v>
      </c>
      <c r="E362" s="551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6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3"/>
      <c r="R362" s="553"/>
      <c r="S362" s="553"/>
      <c r="T362" s="554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76"/>
      <c r="B363" s="544"/>
      <c r="C363" s="544"/>
      <c r="D363" s="544"/>
      <c r="E363" s="544"/>
      <c r="F363" s="544"/>
      <c r="G363" s="544"/>
      <c r="H363" s="544"/>
      <c r="I363" s="544"/>
      <c r="J363" s="544"/>
      <c r="K363" s="544"/>
      <c r="L363" s="544"/>
      <c r="M363" s="544"/>
      <c r="N363" s="544"/>
      <c r="O363" s="577"/>
      <c r="P363" s="545" t="s">
        <v>71</v>
      </c>
      <c r="Q363" s="546"/>
      <c r="R363" s="546"/>
      <c r="S363" s="546"/>
      <c r="T363" s="546"/>
      <c r="U363" s="546"/>
      <c r="V363" s="547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44"/>
      <c r="B364" s="544"/>
      <c r="C364" s="544"/>
      <c r="D364" s="544"/>
      <c r="E364" s="544"/>
      <c r="F364" s="544"/>
      <c r="G364" s="544"/>
      <c r="H364" s="544"/>
      <c r="I364" s="544"/>
      <c r="J364" s="544"/>
      <c r="K364" s="544"/>
      <c r="L364" s="544"/>
      <c r="M364" s="544"/>
      <c r="N364" s="544"/>
      <c r="O364" s="577"/>
      <c r="P364" s="545" t="s">
        <v>71</v>
      </c>
      <c r="Q364" s="546"/>
      <c r="R364" s="546"/>
      <c r="S364" s="546"/>
      <c r="T364" s="546"/>
      <c r="U364" s="546"/>
      <c r="V364" s="547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85" t="s">
        <v>569</v>
      </c>
      <c r="B365" s="544"/>
      <c r="C365" s="544"/>
      <c r="D365" s="544"/>
      <c r="E365" s="544"/>
      <c r="F365" s="544"/>
      <c r="G365" s="544"/>
      <c r="H365" s="544"/>
      <c r="I365" s="544"/>
      <c r="J365" s="544"/>
      <c r="K365" s="544"/>
      <c r="L365" s="544"/>
      <c r="M365" s="544"/>
      <c r="N365" s="544"/>
      <c r="O365" s="544"/>
      <c r="P365" s="544"/>
      <c r="Q365" s="544"/>
      <c r="R365" s="544"/>
      <c r="S365" s="544"/>
      <c r="T365" s="544"/>
      <c r="U365" s="544"/>
      <c r="V365" s="544"/>
      <c r="W365" s="544"/>
      <c r="X365" s="544"/>
      <c r="Y365" s="544"/>
      <c r="Z365" s="544"/>
      <c r="AA365" s="534"/>
      <c r="AB365" s="534"/>
      <c r="AC365" s="534"/>
    </row>
    <row r="366" spans="1:68" ht="14.25" hidden="1" customHeight="1" x14ac:dyDescent="0.25">
      <c r="A366" s="543" t="s">
        <v>99</v>
      </c>
      <c r="B366" s="544"/>
      <c r="C366" s="544"/>
      <c r="D366" s="544"/>
      <c r="E366" s="544"/>
      <c r="F366" s="544"/>
      <c r="G366" s="544"/>
      <c r="H366" s="544"/>
      <c r="I366" s="544"/>
      <c r="J366" s="544"/>
      <c r="K366" s="544"/>
      <c r="L366" s="544"/>
      <c r="M366" s="544"/>
      <c r="N366" s="544"/>
      <c r="O366" s="544"/>
      <c r="P366" s="544"/>
      <c r="Q366" s="544"/>
      <c r="R366" s="544"/>
      <c r="S366" s="544"/>
      <c r="T366" s="544"/>
      <c r="U366" s="544"/>
      <c r="V366" s="544"/>
      <c r="W366" s="544"/>
      <c r="X366" s="544"/>
      <c r="Y366" s="544"/>
      <c r="Z366" s="544"/>
      <c r="AA366" s="535"/>
      <c r="AB366" s="535"/>
      <c r="AC366" s="535"/>
    </row>
    <row r="367" spans="1:68" ht="37.5" hidden="1" customHeight="1" x14ac:dyDescent="0.25">
      <c r="A367" s="54" t="s">
        <v>570</v>
      </c>
      <c r="B367" s="54" t="s">
        <v>571</v>
      </c>
      <c r="C367" s="31">
        <v>4301011875</v>
      </c>
      <c r="D367" s="550">
        <v>4680115884885</v>
      </c>
      <c r="E367" s="551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6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3"/>
      <c r="R367" s="553"/>
      <c r="S367" s="553"/>
      <c r="T367" s="554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573</v>
      </c>
      <c r="B368" s="54" t="s">
        <v>574</v>
      </c>
      <c r="C368" s="31">
        <v>4301011871</v>
      </c>
      <c r="D368" s="550">
        <v>4680115884908</v>
      </c>
      <c r="E368" s="551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5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76"/>
      <c r="B369" s="544"/>
      <c r="C369" s="544"/>
      <c r="D369" s="544"/>
      <c r="E369" s="544"/>
      <c r="F369" s="544"/>
      <c r="G369" s="544"/>
      <c r="H369" s="544"/>
      <c r="I369" s="544"/>
      <c r="J369" s="544"/>
      <c r="K369" s="544"/>
      <c r="L369" s="544"/>
      <c r="M369" s="544"/>
      <c r="N369" s="544"/>
      <c r="O369" s="577"/>
      <c r="P369" s="545" t="s">
        <v>71</v>
      </c>
      <c r="Q369" s="546"/>
      <c r="R369" s="546"/>
      <c r="S369" s="546"/>
      <c r="T369" s="546"/>
      <c r="U369" s="546"/>
      <c r="V369" s="547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44"/>
      <c r="B370" s="544"/>
      <c r="C370" s="544"/>
      <c r="D370" s="544"/>
      <c r="E370" s="544"/>
      <c r="F370" s="544"/>
      <c r="G370" s="544"/>
      <c r="H370" s="544"/>
      <c r="I370" s="544"/>
      <c r="J370" s="544"/>
      <c r="K370" s="544"/>
      <c r="L370" s="544"/>
      <c r="M370" s="544"/>
      <c r="N370" s="544"/>
      <c r="O370" s="577"/>
      <c r="P370" s="545" t="s">
        <v>71</v>
      </c>
      <c r="Q370" s="546"/>
      <c r="R370" s="546"/>
      <c r="S370" s="546"/>
      <c r="T370" s="546"/>
      <c r="U370" s="546"/>
      <c r="V370" s="547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43" t="s">
        <v>64</v>
      </c>
      <c r="B371" s="544"/>
      <c r="C371" s="544"/>
      <c r="D371" s="544"/>
      <c r="E371" s="544"/>
      <c r="F371" s="544"/>
      <c r="G371" s="544"/>
      <c r="H371" s="544"/>
      <c r="I371" s="544"/>
      <c r="J371" s="544"/>
      <c r="K371" s="544"/>
      <c r="L371" s="544"/>
      <c r="M371" s="544"/>
      <c r="N371" s="544"/>
      <c r="O371" s="544"/>
      <c r="P371" s="544"/>
      <c r="Q371" s="544"/>
      <c r="R371" s="544"/>
      <c r="S371" s="544"/>
      <c r="T371" s="544"/>
      <c r="U371" s="544"/>
      <c r="V371" s="544"/>
      <c r="W371" s="544"/>
      <c r="X371" s="544"/>
      <c r="Y371" s="544"/>
      <c r="Z371" s="544"/>
      <c r="AA371" s="535"/>
      <c r="AB371" s="535"/>
      <c r="AC371" s="535"/>
    </row>
    <row r="372" spans="1:68" ht="27" hidden="1" customHeight="1" x14ac:dyDescent="0.25">
      <c r="A372" s="54" t="s">
        <v>575</v>
      </c>
      <c r="B372" s="54" t="s">
        <v>576</v>
      </c>
      <c r="C372" s="31">
        <v>4301031303</v>
      </c>
      <c r="D372" s="550">
        <v>4607091384802</v>
      </c>
      <c r="E372" s="551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74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3"/>
      <c r="R372" s="553"/>
      <c r="S372" s="553"/>
      <c r="T372" s="554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575</v>
      </c>
      <c r="B373" s="54" t="s">
        <v>578</v>
      </c>
      <c r="C373" s="31">
        <v>4301031457</v>
      </c>
      <c r="D373" s="550">
        <v>4607091384802</v>
      </c>
      <c r="E373" s="551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55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3"/>
      <c r="R373" s="553"/>
      <c r="S373" s="553"/>
      <c r="T373" s="554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76"/>
      <c r="B374" s="544"/>
      <c r="C374" s="544"/>
      <c r="D374" s="544"/>
      <c r="E374" s="544"/>
      <c r="F374" s="544"/>
      <c r="G374" s="544"/>
      <c r="H374" s="544"/>
      <c r="I374" s="544"/>
      <c r="J374" s="544"/>
      <c r="K374" s="544"/>
      <c r="L374" s="544"/>
      <c r="M374" s="544"/>
      <c r="N374" s="544"/>
      <c r="O374" s="577"/>
      <c r="P374" s="545" t="s">
        <v>71</v>
      </c>
      <c r="Q374" s="546"/>
      <c r="R374" s="546"/>
      <c r="S374" s="546"/>
      <c r="T374" s="546"/>
      <c r="U374" s="546"/>
      <c r="V374" s="547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4"/>
      <c r="B375" s="544"/>
      <c r="C375" s="544"/>
      <c r="D375" s="544"/>
      <c r="E375" s="544"/>
      <c r="F375" s="544"/>
      <c r="G375" s="544"/>
      <c r="H375" s="544"/>
      <c r="I375" s="544"/>
      <c r="J375" s="544"/>
      <c r="K375" s="544"/>
      <c r="L375" s="544"/>
      <c r="M375" s="544"/>
      <c r="N375" s="544"/>
      <c r="O375" s="577"/>
      <c r="P375" s="545" t="s">
        <v>71</v>
      </c>
      <c r="Q375" s="546"/>
      <c r="R375" s="546"/>
      <c r="S375" s="546"/>
      <c r="T375" s="546"/>
      <c r="U375" s="546"/>
      <c r="V375" s="547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43" t="s">
        <v>73</v>
      </c>
      <c r="B376" s="544"/>
      <c r="C376" s="544"/>
      <c r="D376" s="544"/>
      <c r="E376" s="544"/>
      <c r="F376" s="544"/>
      <c r="G376" s="544"/>
      <c r="H376" s="544"/>
      <c r="I376" s="544"/>
      <c r="J376" s="544"/>
      <c r="K376" s="544"/>
      <c r="L376" s="544"/>
      <c r="M376" s="544"/>
      <c r="N376" s="544"/>
      <c r="O376" s="544"/>
      <c r="P376" s="544"/>
      <c r="Q376" s="544"/>
      <c r="R376" s="544"/>
      <c r="S376" s="544"/>
      <c r="T376" s="544"/>
      <c r="U376" s="544"/>
      <c r="V376" s="544"/>
      <c r="W376" s="544"/>
      <c r="X376" s="544"/>
      <c r="Y376" s="544"/>
      <c r="Z376" s="544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50">
        <v>4607091384246</v>
      </c>
      <c r="E377" s="551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1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3"/>
      <c r="R377" s="553"/>
      <c r="S377" s="553"/>
      <c r="T377" s="554"/>
      <c r="U377" s="34"/>
      <c r="V377" s="34"/>
      <c r="W377" s="35" t="s">
        <v>69</v>
      </c>
      <c r="X377" s="539">
        <v>1146</v>
      </c>
      <c r="Y377" s="540">
        <f>IFERROR(IF(X377="",0,CEILING((X377/$H377),1)*$H377),"")</f>
        <v>1152</v>
      </c>
      <c r="Z377" s="36">
        <f>IFERROR(IF(Y377=0,"",ROUNDUP(Y377/H377,0)*0.01898),"")</f>
        <v>2.42944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1208.9026666666666</v>
      </c>
      <c r="BN377" s="64">
        <f>IFERROR(Y377*I377/H377,"0")</f>
        <v>1215.232</v>
      </c>
      <c r="BO377" s="64">
        <f>IFERROR(1/J377*(X377/H377),"0")</f>
        <v>1.9895833333333333</v>
      </c>
      <c r="BP377" s="64">
        <f>IFERROR(1/J377*(Y377/H377),"0")</f>
        <v>2</v>
      </c>
    </row>
    <row r="378" spans="1:68" ht="27" hidden="1" customHeight="1" x14ac:dyDescent="0.25">
      <c r="A378" s="54" t="s">
        <v>583</v>
      </c>
      <c r="B378" s="54" t="s">
        <v>584</v>
      </c>
      <c r="C378" s="31">
        <v>4301051660</v>
      </c>
      <c r="D378" s="550">
        <v>4607091384253</v>
      </c>
      <c r="E378" s="551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77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76"/>
      <c r="B379" s="544"/>
      <c r="C379" s="544"/>
      <c r="D379" s="544"/>
      <c r="E379" s="544"/>
      <c r="F379" s="544"/>
      <c r="G379" s="544"/>
      <c r="H379" s="544"/>
      <c r="I379" s="544"/>
      <c r="J379" s="544"/>
      <c r="K379" s="544"/>
      <c r="L379" s="544"/>
      <c r="M379" s="544"/>
      <c r="N379" s="544"/>
      <c r="O379" s="577"/>
      <c r="P379" s="545" t="s">
        <v>71</v>
      </c>
      <c r="Q379" s="546"/>
      <c r="R379" s="546"/>
      <c r="S379" s="546"/>
      <c r="T379" s="546"/>
      <c r="U379" s="546"/>
      <c r="V379" s="547"/>
      <c r="W379" s="37" t="s">
        <v>72</v>
      </c>
      <c r="X379" s="541">
        <f>IFERROR(X377/H377,"0")+IFERROR(X378/H378,"0")</f>
        <v>127.33333333333333</v>
      </c>
      <c r="Y379" s="541">
        <f>IFERROR(Y377/H377,"0")+IFERROR(Y378/H378,"0")</f>
        <v>128</v>
      </c>
      <c r="Z379" s="541">
        <f>IFERROR(IF(Z377="",0,Z377),"0")+IFERROR(IF(Z378="",0,Z378),"0")</f>
        <v>2.42944</v>
      </c>
      <c r="AA379" s="542"/>
      <c r="AB379" s="542"/>
      <c r="AC379" s="542"/>
    </row>
    <row r="380" spans="1:68" x14ac:dyDescent="0.2">
      <c r="A380" s="544"/>
      <c r="B380" s="544"/>
      <c r="C380" s="544"/>
      <c r="D380" s="544"/>
      <c r="E380" s="544"/>
      <c r="F380" s="544"/>
      <c r="G380" s="544"/>
      <c r="H380" s="544"/>
      <c r="I380" s="544"/>
      <c r="J380" s="544"/>
      <c r="K380" s="544"/>
      <c r="L380" s="544"/>
      <c r="M380" s="544"/>
      <c r="N380" s="544"/>
      <c r="O380" s="577"/>
      <c r="P380" s="545" t="s">
        <v>71</v>
      </c>
      <c r="Q380" s="546"/>
      <c r="R380" s="546"/>
      <c r="S380" s="546"/>
      <c r="T380" s="546"/>
      <c r="U380" s="546"/>
      <c r="V380" s="547"/>
      <c r="W380" s="37" t="s">
        <v>69</v>
      </c>
      <c r="X380" s="541">
        <f>IFERROR(SUM(X377:X378),"0")</f>
        <v>1146</v>
      </c>
      <c r="Y380" s="541">
        <f>IFERROR(SUM(Y377:Y378),"0")</f>
        <v>1152</v>
      </c>
      <c r="Z380" s="37"/>
      <c r="AA380" s="542"/>
      <c r="AB380" s="542"/>
      <c r="AC380" s="542"/>
    </row>
    <row r="381" spans="1:68" ht="27.75" hidden="1" customHeight="1" x14ac:dyDescent="0.2">
      <c r="A381" s="558" t="s">
        <v>585</v>
      </c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59"/>
      <c r="P381" s="559"/>
      <c r="Q381" s="559"/>
      <c r="R381" s="559"/>
      <c r="S381" s="559"/>
      <c r="T381" s="559"/>
      <c r="U381" s="559"/>
      <c r="V381" s="559"/>
      <c r="W381" s="559"/>
      <c r="X381" s="559"/>
      <c r="Y381" s="559"/>
      <c r="Z381" s="559"/>
      <c r="AA381" s="48"/>
      <c r="AB381" s="48"/>
      <c r="AC381" s="48"/>
    </row>
    <row r="382" spans="1:68" ht="16.5" hidden="1" customHeight="1" x14ac:dyDescent="0.25">
      <c r="A382" s="585" t="s">
        <v>586</v>
      </c>
      <c r="B382" s="544"/>
      <c r="C382" s="544"/>
      <c r="D382" s="544"/>
      <c r="E382" s="544"/>
      <c r="F382" s="544"/>
      <c r="G382" s="544"/>
      <c r="H382" s="544"/>
      <c r="I382" s="544"/>
      <c r="J382" s="544"/>
      <c r="K382" s="544"/>
      <c r="L382" s="544"/>
      <c r="M382" s="544"/>
      <c r="N382" s="544"/>
      <c r="O382" s="544"/>
      <c r="P382" s="544"/>
      <c r="Q382" s="544"/>
      <c r="R382" s="544"/>
      <c r="S382" s="544"/>
      <c r="T382" s="544"/>
      <c r="U382" s="544"/>
      <c r="V382" s="544"/>
      <c r="W382" s="544"/>
      <c r="X382" s="544"/>
      <c r="Y382" s="544"/>
      <c r="Z382" s="544"/>
      <c r="AA382" s="534"/>
      <c r="AB382" s="534"/>
      <c r="AC382" s="534"/>
    </row>
    <row r="383" spans="1:68" ht="14.25" hidden="1" customHeight="1" x14ac:dyDescent="0.25">
      <c r="A383" s="543" t="s">
        <v>64</v>
      </c>
      <c r="B383" s="544"/>
      <c r="C383" s="544"/>
      <c r="D383" s="544"/>
      <c r="E383" s="544"/>
      <c r="F383" s="544"/>
      <c r="G383" s="544"/>
      <c r="H383" s="544"/>
      <c r="I383" s="544"/>
      <c r="J383" s="544"/>
      <c r="K383" s="544"/>
      <c r="L383" s="544"/>
      <c r="M383" s="544"/>
      <c r="N383" s="544"/>
      <c r="O383" s="544"/>
      <c r="P383" s="544"/>
      <c r="Q383" s="544"/>
      <c r="R383" s="544"/>
      <c r="S383" s="544"/>
      <c r="T383" s="544"/>
      <c r="U383" s="544"/>
      <c r="V383" s="544"/>
      <c r="W383" s="544"/>
      <c r="X383" s="544"/>
      <c r="Y383" s="544"/>
      <c r="Z383" s="544"/>
      <c r="AA383" s="535"/>
      <c r="AB383" s="535"/>
      <c r="AC383" s="535"/>
    </row>
    <row r="384" spans="1:68" ht="27" hidden="1" customHeight="1" x14ac:dyDescent="0.25">
      <c r="A384" s="54" t="s">
        <v>587</v>
      </c>
      <c r="B384" s="54" t="s">
        <v>588</v>
      </c>
      <c r="C384" s="31">
        <v>4301031405</v>
      </c>
      <c r="D384" s="550">
        <v>4680115886100</v>
      </c>
      <c r="E384" s="551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53"/>
      <c r="R384" s="553"/>
      <c r="S384" s="553"/>
      <c r="T384" s="554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590</v>
      </c>
      <c r="B385" s="54" t="s">
        <v>591</v>
      </c>
      <c r="C385" s="31">
        <v>4301031406</v>
      </c>
      <c r="D385" s="550">
        <v>4680115886117</v>
      </c>
      <c r="E385" s="551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4301031402</v>
      </c>
      <c r="D386" s="550">
        <v>4680115886124</v>
      </c>
      <c r="E386" s="551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8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4301031366</v>
      </c>
      <c r="D387" s="550">
        <v>4680115883147</v>
      </c>
      <c r="E387" s="551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2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598</v>
      </c>
      <c r="B388" s="54" t="s">
        <v>599</v>
      </c>
      <c r="C388" s="31">
        <v>4301031362</v>
      </c>
      <c r="D388" s="550">
        <v>4607091384338</v>
      </c>
      <c r="E388" s="551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6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53"/>
      <c r="R388" s="553"/>
      <c r="S388" s="553"/>
      <c r="T388" s="554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600</v>
      </c>
      <c r="B389" s="54" t="s">
        <v>601</v>
      </c>
      <c r="C389" s="31">
        <v>4301031361</v>
      </c>
      <c r="D389" s="550">
        <v>4607091389524</v>
      </c>
      <c r="E389" s="551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603</v>
      </c>
      <c r="B390" s="54" t="s">
        <v>604</v>
      </c>
      <c r="C390" s="31">
        <v>4301031364</v>
      </c>
      <c r="D390" s="550">
        <v>4680115883161</v>
      </c>
      <c r="E390" s="551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53"/>
      <c r="R390" s="553"/>
      <c r="S390" s="553"/>
      <c r="T390" s="554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4301031358</v>
      </c>
      <c r="D391" s="550">
        <v>4607091389531</v>
      </c>
      <c r="E391" s="551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53"/>
      <c r="R391" s="553"/>
      <c r="S391" s="553"/>
      <c r="T391" s="554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609</v>
      </c>
      <c r="B392" s="54" t="s">
        <v>610</v>
      </c>
      <c r="C392" s="31">
        <v>4301031360</v>
      </c>
      <c r="D392" s="550">
        <v>4607091384345</v>
      </c>
      <c r="E392" s="551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76"/>
      <c r="B393" s="544"/>
      <c r="C393" s="544"/>
      <c r="D393" s="544"/>
      <c r="E393" s="544"/>
      <c r="F393" s="544"/>
      <c r="G393" s="544"/>
      <c r="H393" s="544"/>
      <c r="I393" s="544"/>
      <c r="J393" s="544"/>
      <c r="K393" s="544"/>
      <c r="L393" s="544"/>
      <c r="M393" s="544"/>
      <c r="N393" s="544"/>
      <c r="O393" s="577"/>
      <c r="P393" s="545" t="s">
        <v>71</v>
      </c>
      <c r="Q393" s="546"/>
      <c r="R393" s="546"/>
      <c r="S393" s="546"/>
      <c r="T393" s="546"/>
      <c r="U393" s="546"/>
      <c r="V393" s="547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44"/>
      <c r="B394" s="544"/>
      <c r="C394" s="544"/>
      <c r="D394" s="544"/>
      <c r="E394" s="544"/>
      <c r="F394" s="544"/>
      <c r="G394" s="544"/>
      <c r="H394" s="544"/>
      <c r="I394" s="544"/>
      <c r="J394" s="544"/>
      <c r="K394" s="544"/>
      <c r="L394" s="544"/>
      <c r="M394" s="544"/>
      <c r="N394" s="544"/>
      <c r="O394" s="577"/>
      <c r="P394" s="545" t="s">
        <v>71</v>
      </c>
      <c r="Q394" s="546"/>
      <c r="R394" s="546"/>
      <c r="S394" s="546"/>
      <c r="T394" s="546"/>
      <c r="U394" s="546"/>
      <c r="V394" s="547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43" t="s">
        <v>73</v>
      </c>
      <c r="B395" s="544"/>
      <c r="C395" s="544"/>
      <c r="D395" s="544"/>
      <c r="E395" s="544"/>
      <c r="F395" s="544"/>
      <c r="G395" s="544"/>
      <c r="H395" s="544"/>
      <c r="I395" s="544"/>
      <c r="J395" s="544"/>
      <c r="K395" s="544"/>
      <c r="L395" s="544"/>
      <c r="M395" s="544"/>
      <c r="N395" s="544"/>
      <c r="O395" s="544"/>
      <c r="P395" s="544"/>
      <c r="Q395" s="544"/>
      <c r="R395" s="544"/>
      <c r="S395" s="544"/>
      <c r="T395" s="544"/>
      <c r="U395" s="544"/>
      <c r="V395" s="544"/>
      <c r="W395" s="544"/>
      <c r="X395" s="544"/>
      <c r="Y395" s="544"/>
      <c r="Z395" s="544"/>
      <c r="AA395" s="535"/>
      <c r="AB395" s="535"/>
      <c r="AC395" s="535"/>
    </row>
    <row r="396" spans="1:68" ht="27" hidden="1" customHeight="1" x14ac:dyDescent="0.25">
      <c r="A396" s="54" t="s">
        <v>611</v>
      </c>
      <c r="B396" s="54" t="s">
        <v>612</v>
      </c>
      <c r="C396" s="31">
        <v>4301051284</v>
      </c>
      <c r="D396" s="550">
        <v>4607091384352</v>
      </c>
      <c r="E396" s="551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6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53"/>
      <c r="R396" s="553"/>
      <c r="S396" s="553"/>
      <c r="T396" s="554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614</v>
      </c>
      <c r="B397" s="54" t="s">
        <v>615</v>
      </c>
      <c r="C397" s="31">
        <v>4301051431</v>
      </c>
      <c r="D397" s="550">
        <v>4607091389654</v>
      </c>
      <c r="E397" s="551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74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76"/>
      <c r="B398" s="544"/>
      <c r="C398" s="544"/>
      <c r="D398" s="544"/>
      <c r="E398" s="544"/>
      <c r="F398" s="544"/>
      <c r="G398" s="544"/>
      <c r="H398" s="544"/>
      <c r="I398" s="544"/>
      <c r="J398" s="544"/>
      <c r="K398" s="544"/>
      <c r="L398" s="544"/>
      <c r="M398" s="544"/>
      <c r="N398" s="544"/>
      <c r="O398" s="577"/>
      <c r="P398" s="545" t="s">
        <v>71</v>
      </c>
      <c r="Q398" s="546"/>
      <c r="R398" s="546"/>
      <c r="S398" s="546"/>
      <c r="T398" s="546"/>
      <c r="U398" s="546"/>
      <c r="V398" s="547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4"/>
      <c r="B399" s="544"/>
      <c r="C399" s="544"/>
      <c r="D399" s="544"/>
      <c r="E399" s="544"/>
      <c r="F399" s="544"/>
      <c r="G399" s="544"/>
      <c r="H399" s="544"/>
      <c r="I399" s="544"/>
      <c r="J399" s="544"/>
      <c r="K399" s="544"/>
      <c r="L399" s="544"/>
      <c r="M399" s="544"/>
      <c r="N399" s="544"/>
      <c r="O399" s="577"/>
      <c r="P399" s="545" t="s">
        <v>71</v>
      </c>
      <c r="Q399" s="546"/>
      <c r="R399" s="546"/>
      <c r="S399" s="546"/>
      <c r="T399" s="546"/>
      <c r="U399" s="546"/>
      <c r="V399" s="547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85" t="s">
        <v>617</v>
      </c>
      <c r="B400" s="544"/>
      <c r="C400" s="544"/>
      <c r="D400" s="544"/>
      <c r="E400" s="544"/>
      <c r="F400" s="544"/>
      <c r="G400" s="544"/>
      <c r="H400" s="544"/>
      <c r="I400" s="544"/>
      <c r="J400" s="544"/>
      <c r="K400" s="544"/>
      <c r="L400" s="544"/>
      <c r="M400" s="544"/>
      <c r="N400" s="544"/>
      <c r="O400" s="544"/>
      <c r="P400" s="544"/>
      <c r="Q400" s="544"/>
      <c r="R400" s="544"/>
      <c r="S400" s="544"/>
      <c r="T400" s="544"/>
      <c r="U400" s="544"/>
      <c r="V400" s="544"/>
      <c r="W400" s="544"/>
      <c r="X400" s="544"/>
      <c r="Y400" s="544"/>
      <c r="Z400" s="544"/>
      <c r="AA400" s="534"/>
      <c r="AB400" s="534"/>
      <c r="AC400" s="534"/>
    </row>
    <row r="401" spans="1:68" ht="14.25" hidden="1" customHeight="1" x14ac:dyDescent="0.25">
      <c r="A401" s="543" t="s">
        <v>135</v>
      </c>
      <c r="B401" s="544"/>
      <c r="C401" s="544"/>
      <c r="D401" s="544"/>
      <c r="E401" s="544"/>
      <c r="F401" s="544"/>
      <c r="G401" s="544"/>
      <c r="H401" s="544"/>
      <c r="I401" s="544"/>
      <c r="J401" s="544"/>
      <c r="K401" s="544"/>
      <c r="L401" s="544"/>
      <c r="M401" s="544"/>
      <c r="N401" s="544"/>
      <c r="O401" s="544"/>
      <c r="P401" s="544"/>
      <c r="Q401" s="544"/>
      <c r="R401" s="544"/>
      <c r="S401" s="544"/>
      <c r="T401" s="544"/>
      <c r="U401" s="544"/>
      <c r="V401" s="544"/>
      <c r="W401" s="544"/>
      <c r="X401" s="544"/>
      <c r="Y401" s="544"/>
      <c r="Z401" s="544"/>
      <c r="AA401" s="535"/>
      <c r="AB401" s="535"/>
      <c r="AC401" s="535"/>
    </row>
    <row r="402" spans="1:68" ht="27" hidden="1" customHeight="1" x14ac:dyDescent="0.25">
      <c r="A402" s="54" t="s">
        <v>618</v>
      </c>
      <c r="B402" s="54" t="s">
        <v>619</v>
      </c>
      <c r="C402" s="31">
        <v>4301020319</v>
      </c>
      <c r="D402" s="550">
        <v>4680115885240</v>
      </c>
      <c r="E402" s="551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8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53"/>
      <c r="R402" s="553"/>
      <c r="S402" s="553"/>
      <c r="T402" s="554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76"/>
      <c r="B403" s="544"/>
      <c r="C403" s="544"/>
      <c r="D403" s="544"/>
      <c r="E403" s="544"/>
      <c r="F403" s="544"/>
      <c r="G403" s="544"/>
      <c r="H403" s="544"/>
      <c r="I403" s="544"/>
      <c r="J403" s="544"/>
      <c r="K403" s="544"/>
      <c r="L403" s="544"/>
      <c r="M403" s="544"/>
      <c r="N403" s="544"/>
      <c r="O403" s="577"/>
      <c r="P403" s="545" t="s">
        <v>71</v>
      </c>
      <c r="Q403" s="546"/>
      <c r="R403" s="546"/>
      <c r="S403" s="546"/>
      <c r="T403" s="546"/>
      <c r="U403" s="546"/>
      <c r="V403" s="547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4"/>
      <c r="B404" s="544"/>
      <c r="C404" s="544"/>
      <c r="D404" s="544"/>
      <c r="E404" s="544"/>
      <c r="F404" s="544"/>
      <c r="G404" s="544"/>
      <c r="H404" s="544"/>
      <c r="I404" s="544"/>
      <c r="J404" s="544"/>
      <c r="K404" s="544"/>
      <c r="L404" s="544"/>
      <c r="M404" s="544"/>
      <c r="N404" s="544"/>
      <c r="O404" s="577"/>
      <c r="P404" s="545" t="s">
        <v>71</v>
      </c>
      <c r="Q404" s="546"/>
      <c r="R404" s="546"/>
      <c r="S404" s="546"/>
      <c r="T404" s="546"/>
      <c r="U404" s="546"/>
      <c r="V404" s="547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43" t="s">
        <v>64</v>
      </c>
      <c r="B405" s="544"/>
      <c r="C405" s="544"/>
      <c r="D405" s="544"/>
      <c r="E405" s="544"/>
      <c r="F405" s="544"/>
      <c r="G405" s="544"/>
      <c r="H405" s="544"/>
      <c r="I405" s="544"/>
      <c r="J405" s="544"/>
      <c r="K405" s="544"/>
      <c r="L405" s="544"/>
      <c r="M405" s="544"/>
      <c r="N405" s="544"/>
      <c r="O405" s="544"/>
      <c r="P405" s="544"/>
      <c r="Q405" s="544"/>
      <c r="R405" s="544"/>
      <c r="S405" s="544"/>
      <c r="T405" s="544"/>
      <c r="U405" s="544"/>
      <c r="V405" s="544"/>
      <c r="W405" s="544"/>
      <c r="X405" s="544"/>
      <c r="Y405" s="544"/>
      <c r="Z405" s="544"/>
      <c r="AA405" s="535"/>
      <c r="AB405" s="535"/>
      <c r="AC405" s="535"/>
    </row>
    <row r="406" spans="1:68" ht="27" hidden="1" customHeight="1" x14ac:dyDescent="0.25">
      <c r="A406" s="54" t="s">
        <v>621</v>
      </c>
      <c r="B406" s="54" t="s">
        <v>622</v>
      </c>
      <c r="C406" s="31">
        <v>4301031403</v>
      </c>
      <c r="D406" s="550">
        <v>4680115886094</v>
      </c>
      <c r="E406" s="551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7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53"/>
      <c r="R406" s="553"/>
      <c r="S406" s="553"/>
      <c r="T406" s="554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624</v>
      </c>
      <c r="B407" s="54" t="s">
        <v>625</v>
      </c>
      <c r="C407" s="31">
        <v>4301031363</v>
      </c>
      <c r="D407" s="550">
        <v>4607091389425</v>
      </c>
      <c r="E407" s="551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83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4301031373</v>
      </c>
      <c r="D408" s="550">
        <v>4680115880771</v>
      </c>
      <c r="E408" s="551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56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53"/>
      <c r="R408" s="553"/>
      <c r="S408" s="553"/>
      <c r="T408" s="554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4301031359</v>
      </c>
      <c r="D409" s="550">
        <v>4607091389500</v>
      </c>
      <c r="E409" s="551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76"/>
      <c r="B410" s="544"/>
      <c r="C410" s="544"/>
      <c r="D410" s="544"/>
      <c r="E410" s="544"/>
      <c r="F410" s="544"/>
      <c r="G410" s="544"/>
      <c r="H410" s="544"/>
      <c r="I410" s="544"/>
      <c r="J410" s="544"/>
      <c r="K410" s="544"/>
      <c r="L410" s="544"/>
      <c r="M410" s="544"/>
      <c r="N410" s="544"/>
      <c r="O410" s="577"/>
      <c r="P410" s="545" t="s">
        <v>71</v>
      </c>
      <c r="Q410" s="546"/>
      <c r="R410" s="546"/>
      <c r="S410" s="546"/>
      <c r="T410" s="546"/>
      <c r="U410" s="546"/>
      <c r="V410" s="547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44"/>
      <c r="B411" s="544"/>
      <c r="C411" s="544"/>
      <c r="D411" s="544"/>
      <c r="E411" s="544"/>
      <c r="F411" s="544"/>
      <c r="G411" s="544"/>
      <c r="H411" s="544"/>
      <c r="I411" s="544"/>
      <c r="J411" s="544"/>
      <c r="K411" s="544"/>
      <c r="L411" s="544"/>
      <c r="M411" s="544"/>
      <c r="N411" s="544"/>
      <c r="O411" s="577"/>
      <c r="P411" s="545" t="s">
        <v>71</v>
      </c>
      <c r="Q411" s="546"/>
      <c r="R411" s="546"/>
      <c r="S411" s="546"/>
      <c r="T411" s="546"/>
      <c r="U411" s="546"/>
      <c r="V411" s="547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85" t="s">
        <v>632</v>
      </c>
      <c r="B412" s="544"/>
      <c r="C412" s="544"/>
      <c r="D412" s="544"/>
      <c r="E412" s="544"/>
      <c r="F412" s="544"/>
      <c r="G412" s="544"/>
      <c r="H412" s="544"/>
      <c r="I412" s="544"/>
      <c r="J412" s="544"/>
      <c r="K412" s="544"/>
      <c r="L412" s="544"/>
      <c r="M412" s="544"/>
      <c r="N412" s="544"/>
      <c r="O412" s="544"/>
      <c r="P412" s="544"/>
      <c r="Q412" s="544"/>
      <c r="R412" s="544"/>
      <c r="S412" s="544"/>
      <c r="T412" s="544"/>
      <c r="U412" s="544"/>
      <c r="V412" s="544"/>
      <c r="W412" s="544"/>
      <c r="X412" s="544"/>
      <c r="Y412" s="544"/>
      <c r="Z412" s="544"/>
      <c r="AA412" s="534"/>
      <c r="AB412" s="534"/>
      <c r="AC412" s="534"/>
    </row>
    <row r="413" spans="1:68" ht="14.25" hidden="1" customHeight="1" x14ac:dyDescent="0.25">
      <c r="A413" s="543" t="s">
        <v>64</v>
      </c>
      <c r="B413" s="544"/>
      <c r="C413" s="544"/>
      <c r="D413" s="544"/>
      <c r="E413" s="544"/>
      <c r="F413" s="544"/>
      <c r="G413" s="544"/>
      <c r="H413" s="544"/>
      <c r="I413" s="544"/>
      <c r="J413" s="544"/>
      <c r="K413" s="544"/>
      <c r="L413" s="544"/>
      <c r="M413" s="544"/>
      <c r="N413" s="544"/>
      <c r="O413" s="544"/>
      <c r="P413" s="544"/>
      <c r="Q413" s="544"/>
      <c r="R413" s="544"/>
      <c r="S413" s="544"/>
      <c r="T413" s="544"/>
      <c r="U413" s="544"/>
      <c r="V413" s="544"/>
      <c r="W413" s="544"/>
      <c r="X413" s="544"/>
      <c r="Y413" s="544"/>
      <c r="Z413" s="544"/>
      <c r="AA413" s="535"/>
      <c r="AB413" s="535"/>
      <c r="AC413" s="535"/>
    </row>
    <row r="414" spans="1:68" ht="27" hidden="1" customHeight="1" x14ac:dyDescent="0.25">
      <c r="A414" s="54" t="s">
        <v>633</v>
      </c>
      <c r="B414" s="54" t="s">
        <v>634</v>
      </c>
      <c r="C414" s="31">
        <v>4301031347</v>
      </c>
      <c r="D414" s="550">
        <v>4680115885110</v>
      </c>
      <c r="E414" s="551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80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53"/>
      <c r="R414" s="553"/>
      <c r="S414" s="553"/>
      <c r="T414" s="554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76"/>
      <c r="B415" s="544"/>
      <c r="C415" s="544"/>
      <c r="D415" s="544"/>
      <c r="E415" s="544"/>
      <c r="F415" s="544"/>
      <c r="G415" s="544"/>
      <c r="H415" s="544"/>
      <c r="I415" s="544"/>
      <c r="J415" s="544"/>
      <c r="K415" s="544"/>
      <c r="L415" s="544"/>
      <c r="M415" s="544"/>
      <c r="N415" s="544"/>
      <c r="O415" s="577"/>
      <c r="P415" s="545" t="s">
        <v>71</v>
      </c>
      <c r="Q415" s="546"/>
      <c r="R415" s="546"/>
      <c r="S415" s="546"/>
      <c r="T415" s="546"/>
      <c r="U415" s="546"/>
      <c r="V415" s="547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44"/>
      <c r="B416" s="544"/>
      <c r="C416" s="544"/>
      <c r="D416" s="544"/>
      <c r="E416" s="544"/>
      <c r="F416" s="544"/>
      <c r="G416" s="544"/>
      <c r="H416" s="544"/>
      <c r="I416" s="544"/>
      <c r="J416" s="544"/>
      <c r="K416" s="544"/>
      <c r="L416" s="544"/>
      <c r="M416" s="544"/>
      <c r="N416" s="544"/>
      <c r="O416" s="577"/>
      <c r="P416" s="545" t="s">
        <v>71</v>
      </c>
      <c r="Q416" s="546"/>
      <c r="R416" s="546"/>
      <c r="S416" s="546"/>
      <c r="T416" s="546"/>
      <c r="U416" s="546"/>
      <c r="V416" s="547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558" t="s">
        <v>636</v>
      </c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59"/>
      <c r="P417" s="559"/>
      <c r="Q417" s="559"/>
      <c r="R417" s="559"/>
      <c r="S417" s="559"/>
      <c r="T417" s="559"/>
      <c r="U417" s="559"/>
      <c r="V417" s="559"/>
      <c r="W417" s="559"/>
      <c r="X417" s="559"/>
      <c r="Y417" s="559"/>
      <c r="Z417" s="559"/>
      <c r="AA417" s="48"/>
      <c r="AB417" s="48"/>
      <c r="AC417" s="48"/>
    </row>
    <row r="418" spans="1:68" ht="16.5" hidden="1" customHeight="1" x14ac:dyDescent="0.25">
      <c r="A418" s="585" t="s">
        <v>636</v>
      </c>
      <c r="B418" s="544"/>
      <c r="C418" s="544"/>
      <c r="D418" s="544"/>
      <c r="E418" s="544"/>
      <c r="F418" s="544"/>
      <c r="G418" s="544"/>
      <c r="H418" s="544"/>
      <c r="I418" s="544"/>
      <c r="J418" s="544"/>
      <c r="K418" s="544"/>
      <c r="L418" s="544"/>
      <c r="M418" s="544"/>
      <c r="N418" s="544"/>
      <c r="O418" s="544"/>
      <c r="P418" s="544"/>
      <c r="Q418" s="544"/>
      <c r="R418" s="544"/>
      <c r="S418" s="544"/>
      <c r="T418" s="544"/>
      <c r="U418" s="544"/>
      <c r="V418" s="544"/>
      <c r="W418" s="544"/>
      <c r="X418" s="544"/>
      <c r="Y418" s="544"/>
      <c r="Z418" s="544"/>
      <c r="AA418" s="534"/>
      <c r="AB418" s="534"/>
      <c r="AC418" s="534"/>
    </row>
    <row r="419" spans="1:68" ht="14.25" hidden="1" customHeight="1" x14ac:dyDescent="0.25">
      <c r="A419" s="543" t="s">
        <v>99</v>
      </c>
      <c r="B419" s="544"/>
      <c r="C419" s="544"/>
      <c r="D419" s="544"/>
      <c r="E419" s="544"/>
      <c r="F419" s="544"/>
      <c r="G419" s="544"/>
      <c r="H419" s="544"/>
      <c r="I419" s="544"/>
      <c r="J419" s="544"/>
      <c r="K419" s="544"/>
      <c r="L419" s="544"/>
      <c r="M419" s="544"/>
      <c r="N419" s="544"/>
      <c r="O419" s="544"/>
      <c r="P419" s="544"/>
      <c r="Q419" s="544"/>
      <c r="R419" s="544"/>
      <c r="S419" s="544"/>
      <c r="T419" s="544"/>
      <c r="U419" s="544"/>
      <c r="V419" s="544"/>
      <c r="W419" s="544"/>
      <c r="X419" s="544"/>
      <c r="Y419" s="544"/>
      <c r="Z419" s="544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50">
        <v>4607091389067</v>
      </c>
      <c r="E420" s="551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64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53"/>
      <c r="R420" s="553"/>
      <c r="S420" s="553"/>
      <c r="T420" s="554"/>
      <c r="U420" s="34"/>
      <c r="V420" s="34"/>
      <c r="W420" s="35" t="s">
        <v>69</v>
      </c>
      <c r="X420" s="539">
        <v>45</v>
      </c>
      <c r="Y420" s="540">
        <f t="shared" ref="Y420:Y430" si="42">IFERROR(IF(X420="",0,CEILING((X420/$H420),1)*$H420),"")</f>
        <v>47.52</v>
      </c>
      <c r="Z420" s="36">
        <f t="shared" ref="Z420:Z425" si="43">IFERROR(IF(Y420=0,"",ROUNDUP(Y420/H420,0)*0.01196),"")</f>
        <v>0.10764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47.98295454545454</v>
      </c>
      <c r="BN420" s="64">
        <f t="shared" ref="BN420:BN430" si="45">IFERROR(Y420*I420/H420,"0")</f>
        <v>50.669999999999995</v>
      </c>
      <c r="BO420" s="64">
        <f t="shared" ref="BO420:BO430" si="46">IFERROR(1/J420*(X420/H420),"0")</f>
        <v>8.1949300699300689E-2</v>
      </c>
      <c r="BP420" s="64">
        <f t="shared" ref="BP420:BP430" si="47">IFERROR(1/J420*(Y420/H420),"0")</f>
        <v>8.6538461538461536E-2</v>
      </c>
    </row>
    <row r="421" spans="1:68" ht="27" hidden="1" customHeight="1" x14ac:dyDescent="0.25">
      <c r="A421" s="54" t="s">
        <v>639</v>
      </c>
      <c r="B421" s="54" t="s">
        <v>640</v>
      </c>
      <c r="C421" s="31">
        <v>4301011961</v>
      </c>
      <c r="D421" s="550">
        <v>4680115885271</v>
      </c>
      <c r="E421" s="551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5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53"/>
      <c r="R421" s="553"/>
      <c r="S421" s="553"/>
      <c r="T421" s="554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50">
        <v>4680115885226</v>
      </c>
      <c r="E422" s="551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53"/>
      <c r="R422" s="553"/>
      <c r="S422" s="553"/>
      <c r="T422" s="554"/>
      <c r="U422" s="34"/>
      <c r="V422" s="34"/>
      <c r="W422" s="35" t="s">
        <v>69</v>
      </c>
      <c r="X422" s="539">
        <v>1414</v>
      </c>
      <c r="Y422" s="540">
        <f t="shared" si="42"/>
        <v>1415.04</v>
      </c>
      <c r="Z422" s="36">
        <f t="shared" si="43"/>
        <v>3.2052800000000001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1507.7310606060605</v>
      </c>
      <c r="BN422" s="64">
        <f t="shared" si="45"/>
        <v>1508.84</v>
      </c>
      <c r="BO422" s="64">
        <f t="shared" si="46"/>
        <v>2.5750291375291376</v>
      </c>
      <c r="BP422" s="64">
        <f t="shared" si="47"/>
        <v>2.5769230769230771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4301012145</v>
      </c>
      <c r="D423" s="550">
        <v>4607091383522</v>
      </c>
      <c r="E423" s="551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79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53"/>
      <c r="R423" s="553"/>
      <c r="S423" s="553"/>
      <c r="T423" s="554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648</v>
      </c>
      <c r="B424" s="54" t="s">
        <v>649</v>
      </c>
      <c r="C424" s="31">
        <v>4301011774</v>
      </c>
      <c r="D424" s="550">
        <v>4680115884502</v>
      </c>
      <c r="E424" s="551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5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53"/>
      <c r="R424" s="553"/>
      <c r="S424" s="553"/>
      <c r="T424" s="554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50">
        <v>4607091389104</v>
      </c>
      <c r="E425" s="551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39">
        <v>1078</v>
      </c>
      <c r="Y425" s="540">
        <f t="shared" si="42"/>
        <v>1082.4000000000001</v>
      </c>
      <c r="Z425" s="36">
        <f t="shared" si="43"/>
        <v>2.4518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1149.4583333333333</v>
      </c>
      <c r="BN425" s="64">
        <f t="shared" si="45"/>
        <v>1154.1500000000001</v>
      </c>
      <c r="BO425" s="64">
        <f t="shared" si="46"/>
        <v>1.9631410256410255</v>
      </c>
      <c r="BP425" s="64">
        <f t="shared" si="47"/>
        <v>1.9711538461538463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4301012125</v>
      </c>
      <c r="D426" s="550">
        <v>4680115886391</v>
      </c>
      <c r="E426" s="551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53"/>
      <c r="R426" s="553"/>
      <c r="S426" s="553"/>
      <c r="T426" s="554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656</v>
      </c>
      <c r="B427" s="54" t="s">
        <v>657</v>
      </c>
      <c r="C427" s="31">
        <v>4301012035</v>
      </c>
      <c r="D427" s="550">
        <v>4680115880603</v>
      </c>
      <c r="E427" s="551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7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53"/>
      <c r="R427" s="553"/>
      <c r="S427" s="553"/>
      <c r="T427" s="554"/>
      <c r="U427" s="34"/>
      <c r="V427" s="34"/>
      <c r="W427" s="35" t="s">
        <v>69</v>
      </c>
      <c r="X427" s="539">
        <v>14</v>
      </c>
      <c r="Y427" s="540">
        <f t="shared" si="42"/>
        <v>14.399999999999999</v>
      </c>
      <c r="Z427" s="36">
        <f>IFERROR(IF(Y427=0,"",ROUNDUP(Y427/H427,0)*0.00902),"")</f>
        <v>2.7060000000000001E-2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20.154166666666669</v>
      </c>
      <c r="BN427" s="64">
        <f t="shared" si="45"/>
        <v>20.73</v>
      </c>
      <c r="BO427" s="64">
        <f t="shared" si="46"/>
        <v>2.2095959595959599E-2</v>
      </c>
      <c r="BP427" s="64">
        <f t="shared" si="47"/>
        <v>2.2727272727272728E-2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4301012036</v>
      </c>
      <c r="D428" s="550">
        <v>4680115882782</v>
      </c>
      <c r="E428" s="551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80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4301012050</v>
      </c>
      <c r="D429" s="550">
        <v>4680115885479</v>
      </c>
      <c r="E429" s="551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79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4301012034</v>
      </c>
      <c r="D430" s="550">
        <v>4607091389982</v>
      </c>
      <c r="E430" s="551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6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76"/>
      <c r="B431" s="544"/>
      <c r="C431" s="544"/>
      <c r="D431" s="544"/>
      <c r="E431" s="544"/>
      <c r="F431" s="544"/>
      <c r="G431" s="544"/>
      <c r="H431" s="544"/>
      <c r="I431" s="544"/>
      <c r="J431" s="544"/>
      <c r="K431" s="544"/>
      <c r="L431" s="544"/>
      <c r="M431" s="544"/>
      <c r="N431" s="544"/>
      <c r="O431" s="577"/>
      <c r="P431" s="545" t="s">
        <v>71</v>
      </c>
      <c r="Q431" s="546"/>
      <c r="R431" s="546"/>
      <c r="S431" s="546"/>
      <c r="T431" s="546"/>
      <c r="U431" s="546"/>
      <c r="V431" s="547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483.40909090909093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485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5.7917800000000002</v>
      </c>
      <c r="AA431" s="542"/>
      <c r="AB431" s="542"/>
      <c r="AC431" s="542"/>
    </row>
    <row r="432" spans="1:68" x14ac:dyDescent="0.2">
      <c r="A432" s="544"/>
      <c r="B432" s="544"/>
      <c r="C432" s="544"/>
      <c r="D432" s="544"/>
      <c r="E432" s="544"/>
      <c r="F432" s="544"/>
      <c r="G432" s="544"/>
      <c r="H432" s="544"/>
      <c r="I432" s="544"/>
      <c r="J432" s="544"/>
      <c r="K432" s="544"/>
      <c r="L432" s="544"/>
      <c r="M432" s="544"/>
      <c r="N432" s="544"/>
      <c r="O432" s="577"/>
      <c r="P432" s="545" t="s">
        <v>71</v>
      </c>
      <c r="Q432" s="546"/>
      <c r="R432" s="546"/>
      <c r="S432" s="546"/>
      <c r="T432" s="546"/>
      <c r="U432" s="546"/>
      <c r="V432" s="547"/>
      <c r="W432" s="37" t="s">
        <v>69</v>
      </c>
      <c r="X432" s="541">
        <f>IFERROR(SUM(X420:X430),"0")</f>
        <v>2551</v>
      </c>
      <c r="Y432" s="541">
        <f>IFERROR(SUM(Y420:Y430),"0")</f>
        <v>2559.36</v>
      </c>
      <c r="Z432" s="37"/>
      <c r="AA432" s="542"/>
      <c r="AB432" s="542"/>
      <c r="AC432" s="542"/>
    </row>
    <row r="433" spans="1:68" ht="14.25" hidden="1" customHeight="1" x14ac:dyDescent="0.25">
      <c r="A433" s="543" t="s">
        <v>135</v>
      </c>
      <c r="B433" s="544"/>
      <c r="C433" s="544"/>
      <c r="D433" s="544"/>
      <c r="E433" s="544"/>
      <c r="F433" s="544"/>
      <c r="G433" s="544"/>
      <c r="H433" s="544"/>
      <c r="I433" s="544"/>
      <c r="J433" s="544"/>
      <c r="K433" s="544"/>
      <c r="L433" s="544"/>
      <c r="M433" s="544"/>
      <c r="N433" s="544"/>
      <c r="O433" s="544"/>
      <c r="P433" s="544"/>
      <c r="Q433" s="544"/>
      <c r="R433" s="544"/>
      <c r="S433" s="544"/>
      <c r="T433" s="544"/>
      <c r="U433" s="544"/>
      <c r="V433" s="544"/>
      <c r="W433" s="544"/>
      <c r="X433" s="544"/>
      <c r="Y433" s="544"/>
      <c r="Z433" s="544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50">
        <v>4607091388930</v>
      </c>
      <c r="E434" s="551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59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53"/>
      <c r="R434" s="553"/>
      <c r="S434" s="553"/>
      <c r="T434" s="554"/>
      <c r="U434" s="34"/>
      <c r="V434" s="34"/>
      <c r="W434" s="35" t="s">
        <v>69</v>
      </c>
      <c r="X434" s="539">
        <v>181</v>
      </c>
      <c r="Y434" s="540">
        <f>IFERROR(IF(X434="",0,CEILING((X434/$H434),1)*$H434),"")</f>
        <v>184.8</v>
      </c>
      <c r="Z434" s="36">
        <f>IFERROR(IF(Y434=0,"",ROUNDUP(Y434/H434,0)*0.01196),"")</f>
        <v>0.41860000000000003</v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192.99810606060603</v>
      </c>
      <c r="BN434" s="64">
        <f>IFERROR(Y434*I434/H434,"0")</f>
        <v>197.04999999999998</v>
      </c>
      <c r="BO434" s="64">
        <f>IFERROR(1/J434*(X434/H434),"0")</f>
        <v>0.32961829836829837</v>
      </c>
      <c r="BP434" s="64">
        <f>IFERROR(1/J434*(Y434/H434),"0")</f>
        <v>0.33653846153846156</v>
      </c>
    </row>
    <row r="435" spans="1:68" ht="16.5" hidden="1" customHeight="1" x14ac:dyDescent="0.25">
      <c r="A435" s="54" t="s">
        <v>668</v>
      </c>
      <c r="B435" s="54" t="s">
        <v>669</v>
      </c>
      <c r="C435" s="31">
        <v>4301020384</v>
      </c>
      <c r="D435" s="550">
        <v>4680115886407</v>
      </c>
      <c r="E435" s="551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5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53"/>
      <c r="R435" s="553"/>
      <c r="S435" s="553"/>
      <c r="T435" s="554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670</v>
      </c>
      <c r="B436" s="54" t="s">
        <v>671</v>
      </c>
      <c r="C436" s="31">
        <v>4301020385</v>
      </c>
      <c r="D436" s="550">
        <v>4680115880054</v>
      </c>
      <c r="E436" s="551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60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53"/>
      <c r="R436" s="553"/>
      <c r="S436" s="553"/>
      <c r="T436" s="554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76"/>
      <c r="B437" s="544"/>
      <c r="C437" s="544"/>
      <c r="D437" s="544"/>
      <c r="E437" s="544"/>
      <c r="F437" s="544"/>
      <c r="G437" s="544"/>
      <c r="H437" s="544"/>
      <c r="I437" s="544"/>
      <c r="J437" s="544"/>
      <c r="K437" s="544"/>
      <c r="L437" s="544"/>
      <c r="M437" s="544"/>
      <c r="N437" s="544"/>
      <c r="O437" s="577"/>
      <c r="P437" s="545" t="s">
        <v>71</v>
      </c>
      <c r="Q437" s="546"/>
      <c r="R437" s="546"/>
      <c r="S437" s="546"/>
      <c r="T437" s="546"/>
      <c r="U437" s="546"/>
      <c r="V437" s="547"/>
      <c r="W437" s="37" t="s">
        <v>72</v>
      </c>
      <c r="X437" s="541">
        <f>IFERROR(X434/H434,"0")+IFERROR(X435/H435,"0")+IFERROR(X436/H436,"0")</f>
        <v>34.280303030303031</v>
      </c>
      <c r="Y437" s="541">
        <f>IFERROR(Y434/H434,"0")+IFERROR(Y435/H435,"0")+IFERROR(Y436/H436,"0")</f>
        <v>35</v>
      </c>
      <c r="Z437" s="541">
        <f>IFERROR(IF(Z434="",0,Z434),"0")+IFERROR(IF(Z435="",0,Z435),"0")+IFERROR(IF(Z436="",0,Z436),"0")</f>
        <v>0.41860000000000003</v>
      </c>
      <c r="AA437" s="542"/>
      <c r="AB437" s="542"/>
      <c r="AC437" s="542"/>
    </row>
    <row r="438" spans="1:68" x14ac:dyDescent="0.2">
      <c r="A438" s="544"/>
      <c r="B438" s="544"/>
      <c r="C438" s="544"/>
      <c r="D438" s="544"/>
      <c r="E438" s="544"/>
      <c r="F438" s="544"/>
      <c r="G438" s="544"/>
      <c r="H438" s="544"/>
      <c r="I438" s="544"/>
      <c r="J438" s="544"/>
      <c r="K438" s="544"/>
      <c r="L438" s="544"/>
      <c r="M438" s="544"/>
      <c r="N438" s="544"/>
      <c r="O438" s="577"/>
      <c r="P438" s="545" t="s">
        <v>71</v>
      </c>
      <c r="Q438" s="546"/>
      <c r="R438" s="546"/>
      <c r="S438" s="546"/>
      <c r="T438" s="546"/>
      <c r="U438" s="546"/>
      <c r="V438" s="547"/>
      <c r="W438" s="37" t="s">
        <v>69</v>
      </c>
      <c r="X438" s="541">
        <f>IFERROR(SUM(X434:X436),"0")</f>
        <v>181</v>
      </c>
      <c r="Y438" s="541">
        <f>IFERROR(SUM(Y434:Y436),"0")</f>
        <v>184.8</v>
      </c>
      <c r="Z438" s="37"/>
      <c r="AA438" s="542"/>
      <c r="AB438" s="542"/>
      <c r="AC438" s="542"/>
    </row>
    <row r="439" spans="1:68" ht="14.25" hidden="1" customHeight="1" x14ac:dyDescent="0.25">
      <c r="A439" s="543" t="s">
        <v>64</v>
      </c>
      <c r="B439" s="544"/>
      <c r="C439" s="544"/>
      <c r="D439" s="544"/>
      <c r="E439" s="544"/>
      <c r="F439" s="544"/>
      <c r="G439" s="544"/>
      <c r="H439" s="544"/>
      <c r="I439" s="544"/>
      <c r="J439" s="544"/>
      <c r="K439" s="544"/>
      <c r="L439" s="544"/>
      <c r="M439" s="544"/>
      <c r="N439" s="544"/>
      <c r="O439" s="544"/>
      <c r="P439" s="544"/>
      <c r="Q439" s="544"/>
      <c r="R439" s="544"/>
      <c r="S439" s="544"/>
      <c r="T439" s="544"/>
      <c r="U439" s="544"/>
      <c r="V439" s="544"/>
      <c r="W439" s="544"/>
      <c r="X439" s="544"/>
      <c r="Y439" s="544"/>
      <c r="Z439" s="544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50">
        <v>4680115883116</v>
      </c>
      <c r="E440" s="551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65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53"/>
      <c r="R440" s="553"/>
      <c r="S440" s="553"/>
      <c r="T440" s="554"/>
      <c r="U440" s="34"/>
      <c r="V440" s="34"/>
      <c r="W440" s="35" t="s">
        <v>69</v>
      </c>
      <c r="X440" s="539">
        <v>600</v>
      </c>
      <c r="Y440" s="540">
        <f t="shared" ref="Y440:Y445" si="48">IFERROR(IF(X440="",0,CEILING((X440/$H440),1)*$H440),"")</f>
        <v>601.92000000000007</v>
      </c>
      <c r="Z440" s="36">
        <f>IFERROR(IF(Y440=0,"",ROUNDUP(Y440/H440,0)*0.01196),"")</f>
        <v>1.36344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639.77272727272725</v>
      </c>
      <c r="BN440" s="64">
        <f t="shared" ref="BN440:BN445" si="50">IFERROR(Y440*I440/H440,"0")</f>
        <v>641.82000000000005</v>
      </c>
      <c r="BO440" s="64">
        <f t="shared" ref="BO440:BO445" si="51">IFERROR(1/J440*(X440/H440),"0")</f>
        <v>1.0926573426573427</v>
      </c>
      <c r="BP440" s="64">
        <f t="shared" ref="BP440:BP445" si="52">IFERROR(1/J440*(Y440/H440),"0")</f>
        <v>1.0961538461538463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50">
        <v>4680115883093</v>
      </c>
      <c r="E441" s="551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39">
        <v>186</v>
      </c>
      <c r="Y441" s="540">
        <f t="shared" si="48"/>
        <v>190.08</v>
      </c>
      <c r="Z441" s="36">
        <f>IFERROR(IF(Y441=0,"",ROUNDUP(Y441/H441,0)*0.01196),"")</f>
        <v>0.43056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198.32954545454547</v>
      </c>
      <c r="BN441" s="64">
        <f t="shared" si="50"/>
        <v>202.67999999999998</v>
      </c>
      <c r="BO441" s="64">
        <f t="shared" si="51"/>
        <v>0.33872377622377625</v>
      </c>
      <c r="BP441" s="64">
        <f t="shared" si="52"/>
        <v>0.34615384615384615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50">
        <v>4680115883109</v>
      </c>
      <c r="E442" s="551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7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39">
        <v>190</v>
      </c>
      <c r="Y442" s="540">
        <f t="shared" si="48"/>
        <v>190.08</v>
      </c>
      <c r="Z442" s="36">
        <f>IFERROR(IF(Y442=0,"",ROUNDUP(Y442/H442,0)*0.01196),"")</f>
        <v>0.43056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202.59469696969697</v>
      </c>
      <c r="BN442" s="64">
        <f t="shared" si="50"/>
        <v>202.67999999999998</v>
      </c>
      <c r="BO442" s="64">
        <f t="shared" si="51"/>
        <v>0.34600815850815853</v>
      </c>
      <c r="BP442" s="64">
        <f t="shared" si="52"/>
        <v>0.34615384615384615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4301031419</v>
      </c>
      <c r="D443" s="550">
        <v>4680115882072</v>
      </c>
      <c r="E443" s="551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683</v>
      </c>
      <c r="B444" s="54" t="s">
        <v>684</v>
      </c>
      <c r="C444" s="31">
        <v>4301031418</v>
      </c>
      <c r="D444" s="550">
        <v>4680115882102</v>
      </c>
      <c r="E444" s="551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5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53"/>
      <c r="R444" s="553"/>
      <c r="S444" s="553"/>
      <c r="T444" s="554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4301031417</v>
      </c>
      <c r="D445" s="550">
        <v>4680115882096</v>
      </c>
      <c r="E445" s="551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8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76"/>
      <c r="B446" s="544"/>
      <c r="C446" s="544"/>
      <c r="D446" s="544"/>
      <c r="E446" s="544"/>
      <c r="F446" s="544"/>
      <c r="G446" s="544"/>
      <c r="H446" s="544"/>
      <c r="I446" s="544"/>
      <c r="J446" s="544"/>
      <c r="K446" s="544"/>
      <c r="L446" s="544"/>
      <c r="M446" s="544"/>
      <c r="N446" s="544"/>
      <c r="O446" s="577"/>
      <c r="P446" s="545" t="s">
        <v>71</v>
      </c>
      <c r="Q446" s="546"/>
      <c r="R446" s="546"/>
      <c r="S446" s="546"/>
      <c r="T446" s="546"/>
      <c r="U446" s="546"/>
      <c r="V446" s="547"/>
      <c r="W446" s="37" t="s">
        <v>72</v>
      </c>
      <c r="X446" s="541">
        <f>IFERROR(X440/H440,"0")+IFERROR(X441/H441,"0")+IFERROR(X442/H442,"0")+IFERROR(X443/H443,"0")+IFERROR(X444/H444,"0")+IFERROR(X445/H445,"0")</f>
        <v>184.84848484848482</v>
      </c>
      <c r="Y446" s="541">
        <f>IFERROR(Y440/H440,"0")+IFERROR(Y441/H441,"0")+IFERROR(Y442/H442,"0")+IFERROR(Y443/H443,"0")+IFERROR(Y444/H444,"0")+IFERROR(Y445/H445,"0")</f>
        <v>186</v>
      </c>
      <c r="Z446" s="541">
        <f>IFERROR(IF(Z440="",0,Z440),"0")+IFERROR(IF(Z441="",0,Z441),"0")+IFERROR(IF(Z442="",0,Z442),"0")+IFERROR(IF(Z443="",0,Z443),"0")+IFERROR(IF(Z444="",0,Z444),"0")+IFERROR(IF(Z445="",0,Z445),"0")</f>
        <v>2.2245599999999999</v>
      </c>
      <c r="AA446" s="542"/>
      <c r="AB446" s="542"/>
      <c r="AC446" s="542"/>
    </row>
    <row r="447" spans="1:68" x14ac:dyDescent="0.2">
      <c r="A447" s="544"/>
      <c r="B447" s="544"/>
      <c r="C447" s="544"/>
      <c r="D447" s="544"/>
      <c r="E447" s="544"/>
      <c r="F447" s="544"/>
      <c r="G447" s="544"/>
      <c r="H447" s="544"/>
      <c r="I447" s="544"/>
      <c r="J447" s="544"/>
      <c r="K447" s="544"/>
      <c r="L447" s="544"/>
      <c r="M447" s="544"/>
      <c r="N447" s="544"/>
      <c r="O447" s="577"/>
      <c r="P447" s="545" t="s">
        <v>71</v>
      </c>
      <c r="Q447" s="546"/>
      <c r="R447" s="546"/>
      <c r="S447" s="546"/>
      <c r="T447" s="546"/>
      <c r="U447" s="546"/>
      <c r="V447" s="547"/>
      <c r="W447" s="37" t="s">
        <v>69</v>
      </c>
      <c r="X447" s="541">
        <f>IFERROR(SUM(X440:X445),"0")</f>
        <v>976</v>
      </c>
      <c r="Y447" s="541">
        <f>IFERROR(SUM(Y440:Y445),"0")</f>
        <v>982.08000000000015</v>
      </c>
      <c r="Z447" s="37"/>
      <c r="AA447" s="542"/>
      <c r="AB447" s="542"/>
      <c r="AC447" s="542"/>
    </row>
    <row r="448" spans="1:68" ht="14.25" hidden="1" customHeight="1" x14ac:dyDescent="0.25">
      <c r="A448" s="543" t="s">
        <v>73</v>
      </c>
      <c r="B448" s="544"/>
      <c r="C448" s="544"/>
      <c r="D448" s="544"/>
      <c r="E448" s="544"/>
      <c r="F448" s="544"/>
      <c r="G448" s="544"/>
      <c r="H448" s="544"/>
      <c r="I448" s="544"/>
      <c r="J448" s="544"/>
      <c r="K448" s="544"/>
      <c r="L448" s="544"/>
      <c r="M448" s="544"/>
      <c r="N448" s="544"/>
      <c r="O448" s="544"/>
      <c r="P448" s="544"/>
      <c r="Q448" s="544"/>
      <c r="R448" s="544"/>
      <c r="S448" s="544"/>
      <c r="T448" s="544"/>
      <c r="U448" s="544"/>
      <c r="V448" s="544"/>
      <c r="W448" s="544"/>
      <c r="X448" s="544"/>
      <c r="Y448" s="544"/>
      <c r="Z448" s="544"/>
      <c r="AA448" s="535"/>
      <c r="AB448" s="535"/>
      <c r="AC448" s="535"/>
    </row>
    <row r="449" spans="1:68" ht="16.5" hidden="1" customHeight="1" x14ac:dyDescent="0.25">
      <c r="A449" s="54" t="s">
        <v>687</v>
      </c>
      <c r="B449" s="54" t="s">
        <v>688</v>
      </c>
      <c r="C449" s="31">
        <v>4301051232</v>
      </c>
      <c r="D449" s="550">
        <v>4607091383409</v>
      </c>
      <c r="E449" s="551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56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53"/>
      <c r="R449" s="553"/>
      <c r="S449" s="553"/>
      <c r="T449" s="554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690</v>
      </c>
      <c r="B450" s="54" t="s">
        <v>691</v>
      </c>
      <c r="C450" s="31">
        <v>4301051233</v>
      </c>
      <c r="D450" s="550">
        <v>4607091383416</v>
      </c>
      <c r="E450" s="551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5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693</v>
      </c>
      <c r="B451" s="54" t="s">
        <v>694</v>
      </c>
      <c r="C451" s="31">
        <v>4301051064</v>
      </c>
      <c r="D451" s="550">
        <v>4680115883536</v>
      </c>
      <c r="E451" s="551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2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76"/>
      <c r="B452" s="544"/>
      <c r="C452" s="544"/>
      <c r="D452" s="544"/>
      <c r="E452" s="544"/>
      <c r="F452" s="544"/>
      <c r="G452" s="544"/>
      <c r="H452" s="544"/>
      <c r="I452" s="544"/>
      <c r="J452" s="544"/>
      <c r="K452" s="544"/>
      <c r="L452" s="544"/>
      <c r="M452" s="544"/>
      <c r="N452" s="544"/>
      <c r="O452" s="577"/>
      <c r="P452" s="545" t="s">
        <v>71</v>
      </c>
      <c r="Q452" s="546"/>
      <c r="R452" s="546"/>
      <c r="S452" s="546"/>
      <c r="T452" s="546"/>
      <c r="U452" s="546"/>
      <c r="V452" s="547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4"/>
      <c r="B453" s="544"/>
      <c r="C453" s="544"/>
      <c r="D453" s="544"/>
      <c r="E453" s="544"/>
      <c r="F453" s="544"/>
      <c r="G453" s="544"/>
      <c r="H453" s="544"/>
      <c r="I453" s="544"/>
      <c r="J453" s="544"/>
      <c r="K453" s="544"/>
      <c r="L453" s="544"/>
      <c r="M453" s="544"/>
      <c r="N453" s="544"/>
      <c r="O453" s="577"/>
      <c r="P453" s="545" t="s">
        <v>71</v>
      </c>
      <c r="Q453" s="546"/>
      <c r="R453" s="546"/>
      <c r="S453" s="546"/>
      <c r="T453" s="546"/>
      <c r="U453" s="546"/>
      <c r="V453" s="547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558" t="s">
        <v>696</v>
      </c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59"/>
      <c r="P454" s="559"/>
      <c r="Q454" s="559"/>
      <c r="R454" s="559"/>
      <c r="S454" s="559"/>
      <c r="T454" s="559"/>
      <c r="U454" s="559"/>
      <c r="V454" s="559"/>
      <c r="W454" s="559"/>
      <c r="X454" s="559"/>
      <c r="Y454" s="559"/>
      <c r="Z454" s="559"/>
      <c r="AA454" s="48"/>
      <c r="AB454" s="48"/>
      <c r="AC454" s="48"/>
    </row>
    <row r="455" spans="1:68" ht="16.5" hidden="1" customHeight="1" x14ac:dyDescent="0.25">
      <c r="A455" s="585" t="s">
        <v>696</v>
      </c>
      <c r="B455" s="544"/>
      <c r="C455" s="544"/>
      <c r="D455" s="544"/>
      <c r="E455" s="544"/>
      <c r="F455" s="544"/>
      <c r="G455" s="544"/>
      <c r="H455" s="544"/>
      <c r="I455" s="544"/>
      <c r="J455" s="544"/>
      <c r="K455" s="544"/>
      <c r="L455" s="544"/>
      <c r="M455" s="544"/>
      <c r="N455" s="544"/>
      <c r="O455" s="544"/>
      <c r="P455" s="544"/>
      <c r="Q455" s="544"/>
      <c r="R455" s="544"/>
      <c r="S455" s="544"/>
      <c r="T455" s="544"/>
      <c r="U455" s="544"/>
      <c r="V455" s="544"/>
      <c r="W455" s="544"/>
      <c r="X455" s="544"/>
      <c r="Y455" s="544"/>
      <c r="Z455" s="544"/>
      <c r="AA455" s="534"/>
      <c r="AB455" s="534"/>
      <c r="AC455" s="534"/>
    </row>
    <row r="456" spans="1:68" ht="14.25" hidden="1" customHeight="1" x14ac:dyDescent="0.25">
      <c r="A456" s="543" t="s">
        <v>99</v>
      </c>
      <c r="B456" s="544"/>
      <c r="C456" s="544"/>
      <c r="D456" s="544"/>
      <c r="E456" s="544"/>
      <c r="F456" s="544"/>
      <c r="G456" s="544"/>
      <c r="H456" s="544"/>
      <c r="I456" s="544"/>
      <c r="J456" s="544"/>
      <c r="K456" s="544"/>
      <c r="L456" s="544"/>
      <c r="M456" s="544"/>
      <c r="N456" s="544"/>
      <c r="O456" s="544"/>
      <c r="P456" s="544"/>
      <c r="Q456" s="544"/>
      <c r="R456" s="544"/>
      <c r="S456" s="544"/>
      <c r="T456" s="544"/>
      <c r="U456" s="544"/>
      <c r="V456" s="544"/>
      <c r="W456" s="544"/>
      <c r="X456" s="544"/>
      <c r="Y456" s="544"/>
      <c r="Z456" s="544"/>
      <c r="AA456" s="535"/>
      <c r="AB456" s="535"/>
      <c r="AC456" s="535"/>
    </row>
    <row r="457" spans="1:68" ht="27" hidden="1" customHeight="1" x14ac:dyDescent="0.25">
      <c r="A457" s="54" t="s">
        <v>697</v>
      </c>
      <c r="B457" s="54" t="s">
        <v>698</v>
      </c>
      <c r="C457" s="31">
        <v>4301011763</v>
      </c>
      <c r="D457" s="550">
        <v>4640242181011</v>
      </c>
      <c r="E457" s="551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8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53"/>
      <c r="R457" s="553"/>
      <c r="S457" s="553"/>
      <c r="T457" s="554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700</v>
      </c>
      <c r="B458" s="54" t="s">
        <v>701</v>
      </c>
      <c r="C458" s="31">
        <v>4301011585</v>
      </c>
      <c r="D458" s="550">
        <v>4640242180441</v>
      </c>
      <c r="E458" s="551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82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4301011584</v>
      </c>
      <c r="D459" s="550">
        <v>4640242180564</v>
      </c>
      <c r="E459" s="551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66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4301011764</v>
      </c>
      <c r="D460" s="550">
        <v>4640242181189</v>
      </c>
      <c r="E460" s="551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65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6"/>
      <c r="B461" s="544"/>
      <c r="C461" s="544"/>
      <c r="D461" s="544"/>
      <c r="E461" s="544"/>
      <c r="F461" s="544"/>
      <c r="G461" s="544"/>
      <c r="H461" s="544"/>
      <c r="I461" s="544"/>
      <c r="J461" s="544"/>
      <c r="K461" s="544"/>
      <c r="L461" s="544"/>
      <c r="M461" s="544"/>
      <c r="N461" s="544"/>
      <c r="O461" s="577"/>
      <c r="P461" s="545" t="s">
        <v>71</v>
      </c>
      <c r="Q461" s="546"/>
      <c r="R461" s="546"/>
      <c r="S461" s="546"/>
      <c r="T461" s="546"/>
      <c r="U461" s="546"/>
      <c r="V461" s="547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4"/>
      <c r="B462" s="544"/>
      <c r="C462" s="544"/>
      <c r="D462" s="544"/>
      <c r="E462" s="544"/>
      <c r="F462" s="544"/>
      <c r="G462" s="544"/>
      <c r="H462" s="544"/>
      <c r="I462" s="544"/>
      <c r="J462" s="544"/>
      <c r="K462" s="544"/>
      <c r="L462" s="544"/>
      <c r="M462" s="544"/>
      <c r="N462" s="544"/>
      <c r="O462" s="577"/>
      <c r="P462" s="545" t="s">
        <v>71</v>
      </c>
      <c r="Q462" s="546"/>
      <c r="R462" s="546"/>
      <c r="S462" s="546"/>
      <c r="T462" s="546"/>
      <c r="U462" s="546"/>
      <c r="V462" s="547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43" t="s">
        <v>135</v>
      </c>
      <c r="B463" s="544"/>
      <c r="C463" s="544"/>
      <c r="D463" s="544"/>
      <c r="E463" s="544"/>
      <c r="F463" s="544"/>
      <c r="G463" s="544"/>
      <c r="H463" s="544"/>
      <c r="I463" s="544"/>
      <c r="J463" s="544"/>
      <c r="K463" s="544"/>
      <c r="L463" s="544"/>
      <c r="M463" s="544"/>
      <c r="N463" s="544"/>
      <c r="O463" s="544"/>
      <c r="P463" s="544"/>
      <c r="Q463" s="544"/>
      <c r="R463" s="544"/>
      <c r="S463" s="544"/>
      <c r="T463" s="544"/>
      <c r="U463" s="544"/>
      <c r="V463" s="544"/>
      <c r="W463" s="544"/>
      <c r="X463" s="544"/>
      <c r="Y463" s="544"/>
      <c r="Z463" s="544"/>
      <c r="AA463" s="535"/>
      <c r="AB463" s="535"/>
      <c r="AC463" s="535"/>
    </row>
    <row r="464" spans="1:68" ht="27" hidden="1" customHeight="1" x14ac:dyDescent="0.25">
      <c r="A464" s="54" t="s">
        <v>708</v>
      </c>
      <c r="B464" s="54" t="s">
        <v>709</v>
      </c>
      <c r="C464" s="31">
        <v>4301020400</v>
      </c>
      <c r="D464" s="550">
        <v>4640242180519</v>
      </c>
      <c r="E464" s="551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81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53"/>
      <c r="R464" s="553"/>
      <c r="S464" s="553"/>
      <c r="T464" s="554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711</v>
      </c>
      <c r="B465" s="54" t="s">
        <v>712</v>
      </c>
      <c r="C465" s="31">
        <v>4301020260</v>
      </c>
      <c r="D465" s="550">
        <v>4640242180526</v>
      </c>
      <c r="E465" s="551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53"/>
      <c r="R465" s="553"/>
      <c r="S465" s="553"/>
      <c r="T465" s="554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4301020295</v>
      </c>
      <c r="D466" s="550">
        <v>4640242181363</v>
      </c>
      <c r="E466" s="551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80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53"/>
      <c r="R466" s="553"/>
      <c r="S466" s="553"/>
      <c r="T466" s="554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76"/>
      <c r="B467" s="544"/>
      <c r="C467" s="544"/>
      <c r="D467" s="544"/>
      <c r="E467" s="544"/>
      <c r="F467" s="544"/>
      <c r="G467" s="544"/>
      <c r="H467" s="544"/>
      <c r="I467" s="544"/>
      <c r="J467" s="544"/>
      <c r="K467" s="544"/>
      <c r="L467" s="544"/>
      <c r="M467" s="544"/>
      <c r="N467" s="544"/>
      <c r="O467" s="577"/>
      <c r="P467" s="545" t="s">
        <v>71</v>
      </c>
      <c r="Q467" s="546"/>
      <c r="R467" s="546"/>
      <c r="S467" s="546"/>
      <c r="T467" s="546"/>
      <c r="U467" s="546"/>
      <c r="V467" s="547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4"/>
      <c r="B468" s="544"/>
      <c r="C468" s="544"/>
      <c r="D468" s="544"/>
      <c r="E468" s="544"/>
      <c r="F468" s="544"/>
      <c r="G468" s="544"/>
      <c r="H468" s="544"/>
      <c r="I468" s="544"/>
      <c r="J468" s="544"/>
      <c r="K468" s="544"/>
      <c r="L468" s="544"/>
      <c r="M468" s="544"/>
      <c r="N468" s="544"/>
      <c r="O468" s="577"/>
      <c r="P468" s="545" t="s">
        <v>71</v>
      </c>
      <c r="Q468" s="546"/>
      <c r="R468" s="546"/>
      <c r="S468" s="546"/>
      <c r="T468" s="546"/>
      <c r="U468" s="546"/>
      <c r="V468" s="547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43" t="s">
        <v>64</v>
      </c>
      <c r="B469" s="544"/>
      <c r="C469" s="544"/>
      <c r="D469" s="544"/>
      <c r="E469" s="544"/>
      <c r="F469" s="544"/>
      <c r="G469" s="544"/>
      <c r="H469" s="544"/>
      <c r="I469" s="544"/>
      <c r="J469" s="544"/>
      <c r="K469" s="544"/>
      <c r="L469" s="544"/>
      <c r="M469" s="544"/>
      <c r="N469" s="544"/>
      <c r="O469" s="544"/>
      <c r="P469" s="544"/>
      <c r="Q469" s="544"/>
      <c r="R469" s="544"/>
      <c r="S469" s="544"/>
      <c r="T469" s="544"/>
      <c r="U469" s="544"/>
      <c r="V469" s="544"/>
      <c r="W469" s="544"/>
      <c r="X469" s="544"/>
      <c r="Y469" s="544"/>
      <c r="Z469" s="544"/>
      <c r="AA469" s="535"/>
      <c r="AB469" s="535"/>
      <c r="AC469" s="535"/>
    </row>
    <row r="470" spans="1:68" ht="27" hidden="1" customHeight="1" x14ac:dyDescent="0.25">
      <c r="A470" s="54" t="s">
        <v>717</v>
      </c>
      <c r="B470" s="54" t="s">
        <v>718</v>
      </c>
      <c r="C470" s="31">
        <v>4301031280</v>
      </c>
      <c r="D470" s="550">
        <v>4640242180816</v>
      </c>
      <c r="E470" s="551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6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53"/>
      <c r="R470" s="553"/>
      <c r="S470" s="553"/>
      <c r="T470" s="554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720</v>
      </c>
      <c r="B471" s="54" t="s">
        <v>721</v>
      </c>
      <c r="C471" s="31">
        <v>4301031244</v>
      </c>
      <c r="D471" s="550">
        <v>4640242180595</v>
      </c>
      <c r="E471" s="551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8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76"/>
      <c r="B472" s="544"/>
      <c r="C472" s="544"/>
      <c r="D472" s="544"/>
      <c r="E472" s="544"/>
      <c r="F472" s="544"/>
      <c r="G472" s="544"/>
      <c r="H472" s="544"/>
      <c r="I472" s="544"/>
      <c r="J472" s="544"/>
      <c r="K472" s="544"/>
      <c r="L472" s="544"/>
      <c r="M472" s="544"/>
      <c r="N472" s="544"/>
      <c r="O472" s="577"/>
      <c r="P472" s="545" t="s">
        <v>71</v>
      </c>
      <c r="Q472" s="546"/>
      <c r="R472" s="546"/>
      <c r="S472" s="546"/>
      <c r="T472" s="546"/>
      <c r="U472" s="546"/>
      <c r="V472" s="547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4"/>
      <c r="B473" s="544"/>
      <c r="C473" s="544"/>
      <c r="D473" s="544"/>
      <c r="E473" s="544"/>
      <c r="F473" s="544"/>
      <c r="G473" s="544"/>
      <c r="H473" s="544"/>
      <c r="I473" s="544"/>
      <c r="J473" s="544"/>
      <c r="K473" s="544"/>
      <c r="L473" s="544"/>
      <c r="M473" s="544"/>
      <c r="N473" s="544"/>
      <c r="O473" s="577"/>
      <c r="P473" s="545" t="s">
        <v>71</v>
      </c>
      <c r="Q473" s="546"/>
      <c r="R473" s="546"/>
      <c r="S473" s="546"/>
      <c r="T473" s="546"/>
      <c r="U473" s="546"/>
      <c r="V473" s="547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43" t="s">
        <v>73</v>
      </c>
      <c r="B474" s="544"/>
      <c r="C474" s="544"/>
      <c r="D474" s="544"/>
      <c r="E474" s="544"/>
      <c r="F474" s="544"/>
      <c r="G474" s="544"/>
      <c r="H474" s="544"/>
      <c r="I474" s="544"/>
      <c r="J474" s="544"/>
      <c r="K474" s="544"/>
      <c r="L474" s="544"/>
      <c r="M474" s="544"/>
      <c r="N474" s="544"/>
      <c r="O474" s="544"/>
      <c r="P474" s="544"/>
      <c r="Q474" s="544"/>
      <c r="R474" s="544"/>
      <c r="S474" s="544"/>
      <c r="T474" s="544"/>
      <c r="U474" s="544"/>
      <c r="V474" s="544"/>
      <c r="W474" s="544"/>
      <c r="X474" s="544"/>
      <c r="Y474" s="544"/>
      <c r="Z474" s="544"/>
      <c r="AA474" s="535"/>
      <c r="AB474" s="535"/>
      <c r="AC474" s="535"/>
    </row>
    <row r="475" spans="1:68" ht="27" hidden="1" customHeight="1" x14ac:dyDescent="0.25">
      <c r="A475" s="54" t="s">
        <v>723</v>
      </c>
      <c r="B475" s="54" t="s">
        <v>724</v>
      </c>
      <c r="C475" s="31">
        <v>4301052046</v>
      </c>
      <c r="D475" s="550">
        <v>4640242180533</v>
      </c>
      <c r="E475" s="551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3"/>
      <c r="R475" s="553"/>
      <c r="S475" s="553"/>
      <c r="T475" s="554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76"/>
      <c r="B476" s="544"/>
      <c r="C476" s="544"/>
      <c r="D476" s="544"/>
      <c r="E476" s="544"/>
      <c r="F476" s="544"/>
      <c r="G476" s="544"/>
      <c r="H476" s="544"/>
      <c r="I476" s="544"/>
      <c r="J476" s="544"/>
      <c r="K476" s="544"/>
      <c r="L476" s="544"/>
      <c r="M476" s="544"/>
      <c r="N476" s="544"/>
      <c r="O476" s="577"/>
      <c r="P476" s="545" t="s">
        <v>71</v>
      </c>
      <c r="Q476" s="546"/>
      <c r="R476" s="546"/>
      <c r="S476" s="546"/>
      <c r="T476" s="546"/>
      <c r="U476" s="546"/>
      <c r="V476" s="547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44"/>
      <c r="B477" s="544"/>
      <c r="C477" s="544"/>
      <c r="D477" s="544"/>
      <c r="E477" s="544"/>
      <c r="F477" s="544"/>
      <c r="G477" s="544"/>
      <c r="H477" s="544"/>
      <c r="I477" s="544"/>
      <c r="J477" s="544"/>
      <c r="K477" s="544"/>
      <c r="L477" s="544"/>
      <c r="M477" s="544"/>
      <c r="N477" s="544"/>
      <c r="O477" s="577"/>
      <c r="P477" s="545" t="s">
        <v>71</v>
      </c>
      <c r="Q477" s="546"/>
      <c r="R477" s="546"/>
      <c r="S477" s="546"/>
      <c r="T477" s="546"/>
      <c r="U477" s="546"/>
      <c r="V477" s="547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43" t="s">
        <v>163</v>
      </c>
      <c r="B478" s="544"/>
      <c r="C478" s="544"/>
      <c r="D478" s="544"/>
      <c r="E478" s="544"/>
      <c r="F478" s="544"/>
      <c r="G478" s="544"/>
      <c r="H478" s="544"/>
      <c r="I478" s="544"/>
      <c r="J478" s="544"/>
      <c r="K478" s="544"/>
      <c r="L478" s="544"/>
      <c r="M478" s="544"/>
      <c r="N478" s="544"/>
      <c r="O478" s="544"/>
      <c r="P478" s="544"/>
      <c r="Q478" s="544"/>
      <c r="R478" s="544"/>
      <c r="S478" s="544"/>
      <c r="T478" s="544"/>
      <c r="U478" s="544"/>
      <c r="V478" s="544"/>
      <c r="W478" s="544"/>
      <c r="X478" s="544"/>
      <c r="Y478" s="544"/>
      <c r="Z478" s="544"/>
      <c r="AA478" s="535"/>
      <c r="AB478" s="535"/>
      <c r="AC478" s="535"/>
    </row>
    <row r="479" spans="1:68" ht="27" hidden="1" customHeight="1" x14ac:dyDescent="0.25">
      <c r="A479" s="54" t="s">
        <v>726</v>
      </c>
      <c r="B479" s="54" t="s">
        <v>727</v>
      </c>
      <c r="C479" s="31">
        <v>4301060491</v>
      </c>
      <c r="D479" s="550">
        <v>4640242180120</v>
      </c>
      <c r="E479" s="551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79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3"/>
      <c r="R479" s="553"/>
      <c r="S479" s="553"/>
      <c r="T479" s="554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729</v>
      </c>
      <c r="B480" s="54" t="s">
        <v>730</v>
      </c>
      <c r="C480" s="31">
        <v>4301060493</v>
      </c>
      <c r="D480" s="550">
        <v>4640242180137</v>
      </c>
      <c r="E480" s="551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81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76"/>
      <c r="B481" s="544"/>
      <c r="C481" s="544"/>
      <c r="D481" s="544"/>
      <c r="E481" s="544"/>
      <c r="F481" s="544"/>
      <c r="G481" s="544"/>
      <c r="H481" s="544"/>
      <c r="I481" s="544"/>
      <c r="J481" s="544"/>
      <c r="K481" s="544"/>
      <c r="L481" s="544"/>
      <c r="M481" s="544"/>
      <c r="N481" s="544"/>
      <c r="O481" s="577"/>
      <c r="P481" s="545" t="s">
        <v>71</v>
      </c>
      <c r="Q481" s="546"/>
      <c r="R481" s="546"/>
      <c r="S481" s="546"/>
      <c r="T481" s="546"/>
      <c r="U481" s="546"/>
      <c r="V481" s="547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4"/>
      <c r="B482" s="544"/>
      <c r="C482" s="544"/>
      <c r="D482" s="544"/>
      <c r="E482" s="544"/>
      <c r="F482" s="544"/>
      <c r="G482" s="544"/>
      <c r="H482" s="544"/>
      <c r="I482" s="544"/>
      <c r="J482" s="544"/>
      <c r="K482" s="544"/>
      <c r="L482" s="544"/>
      <c r="M482" s="544"/>
      <c r="N482" s="544"/>
      <c r="O482" s="577"/>
      <c r="P482" s="545" t="s">
        <v>71</v>
      </c>
      <c r="Q482" s="546"/>
      <c r="R482" s="546"/>
      <c r="S482" s="546"/>
      <c r="T482" s="546"/>
      <c r="U482" s="546"/>
      <c r="V482" s="547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85" t="s">
        <v>732</v>
      </c>
      <c r="B483" s="544"/>
      <c r="C483" s="544"/>
      <c r="D483" s="544"/>
      <c r="E483" s="544"/>
      <c r="F483" s="544"/>
      <c r="G483" s="544"/>
      <c r="H483" s="544"/>
      <c r="I483" s="544"/>
      <c r="J483" s="544"/>
      <c r="K483" s="544"/>
      <c r="L483" s="544"/>
      <c r="M483" s="544"/>
      <c r="N483" s="544"/>
      <c r="O483" s="544"/>
      <c r="P483" s="544"/>
      <c r="Q483" s="544"/>
      <c r="R483" s="544"/>
      <c r="S483" s="544"/>
      <c r="T483" s="544"/>
      <c r="U483" s="544"/>
      <c r="V483" s="544"/>
      <c r="W483" s="544"/>
      <c r="X483" s="544"/>
      <c r="Y483" s="544"/>
      <c r="Z483" s="544"/>
      <c r="AA483" s="534"/>
      <c r="AB483" s="534"/>
      <c r="AC483" s="534"/>
    </row>
    <row r="484" spans="1:68" ht="14.25" hidden="1" customHeight="1" x14ac:dyDescent="0.25">
      <c r="A484" s="543" t="s">
        <v>135</v>
      </c>
      <c r="B484" s="544"/>
      <c r="C484" s="544"/>
      <c r="D484" s="544"/>
      <c r="E484" s="544"/>
      <c r="F484" s="544"/>
      <c r="G484" s="544"/>
      <c r="H484" s="544"/>
      <c r="I484" s="544"/>
      <c r="J484" s="544"/>
      <c r="K484" s="544"/>
      <c r="L484" s="544"/>
      <c r="M484" s="544"/>
      <c r="N484" s="544"/>
      <c r="O484" s="544"/>
      <c r="P484" s="544"/>
      <c r="Q484" s="544"/>
      <c r="R484" s="544"/>
      <c r="S484" s="544"/>
      <c r="T484" s="544"/>
      <c r="U484" s="544"/>
      <c r="V484" s="544"/>
      <c r="W484" s="544"/>
      <c r="X484" s="544"/>
      <c r="Y484" s="544"/>
      <c r="Z484" s="544"/>
      <c r="AA484" s="535"/>
      <c r="AB484" s="535"/>
      <c r="AC484" s="535"/>
    </row>
    <row r="485" spans="1:68" ht="27" hidden="1" customHeight="1" x14ac:dyDescent="0.25">
      <c r="A485" s="54" t="s">
        <v>733</v>
      </c>
      <c r="B485" s="54" t="s">
        <v>734</v>
      </c>
      <c r="C485" s="31">
        <v>4301020314</v>
      </c>
      <c r="D485" s="550">
        <v>4640242180090</v>
      </c>
      <c r="E485" s="551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3"/>
      <c r="R485" s="553"/>
      <c r="S485" s="553"/>
      <c r="T485" s="554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76"/>
      <c r="B486" s="544"/>
      <c r="C486" s="544"/>
      <c r="D486" s="544"/>
      <c r="E486" s="544"/>
      <c r="F486" s="544"/>
      <c r="G486" s="544"/>
      <c r="H486" s="544"/>
      <c r="I486" s="544"/>
      <c r="J486" s="544"/>
      <c r="K486" s="544"/>
      <c r="L486" s="544"/>
      <c r="M486" s="544"/>
      <c r="N486" s="544"/>
      <c r="O486" s="577"/>
      <c r="P486" s="545" t="s">
        <v>71</v>
      </c>
      <c r="Q486" s="546"/>
      <c r="R486" s="546"/>
      <c r="S486" s="546"/>
      <c r="T486" s="546"/>
      <c r="U486" s="546"/>
      <c r="V486" s="547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4"/>
      <c r="B487" s="544"/>
      <c r="C487" s="544"/>
      <c r="D487" s="544"/>
      <c r="E487" s="544"/>
      <c r="F487" s="544"/>
      <c r="G487" s="544"/>
      <c r="H487" s="544"/>
      <c r="I487" s="544"/>
      <c r="J487" s="544"/>
      <c r="K487" s="544"/>
      <c r="L487" s="544"/>
      <c r="M487" s="544"/>
      <c r="N487" s="544"/>
      <c r="O487" s="577"/>
      <c r="P487" s="545" t="s">
        <v>71</v>
      </c>
      <c r="Q487" s="546"/>
      <c r="R487" s="546"/>
      <c r="S487" s="546"/>
      <c r="T487" s="546"/>
      <c r="U487" s="546"/>
      <c r="V487" s="547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641"/>
      <c r="B488" s="544"/>
      <c r="C488" s="544"/>
      <c r="D488" s="544"/>
      <c r="E488" s="544"/>
      <c r="F488" s="544"/>
      <c r="G488" s="544"/>
      <c r="H488" s="544"/>
      <c r="I488" s="544"/>
      <c r="J488" s="544"/>
      <c r="K488" s="544"/>
      <c r="L488" s="544"/>
      <c r="M488" s="544"/>
      <c r="N488" s="544"/>
      <c r="O488" s="642"/>
      <c r="P488" s="560" t="s">
        <v>736</v>
      </c>
      <c r="Q488" s="561"/>
      <c r="R488" s="561"/>
      <c r="S488" s="561"/>
      <c r="T488" s="561"/>
      <c r="U488" s="561"/>
      <c r="V488" s="562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15012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15142.41</v>
      </c>
      <c r="Z488" s="37"/>
      <c r="AA488" s="542"/>
      <c r="AB488" s="542"/>
      <c r="AC488" s="542"/>
    </row>
    <row r="489" spans="1:68" x14ac:dyDescent="0.2">
      <c r="A489" s="544"/>
      <c r="B489" s="544"/>
      <c r="C489" s="544"/>
      <c r="D489" s="544"/>
      <c r="E489" s="544"/>
      <c r="F489" s="544"/>
      <c r="G489" s="544"/>
      <c r="H489" s="544"/>
      <c r="I489" s="544"/>
      <c r="J489" s="544"/>
      <c r="K489" s="544"/>
      <c r="L489" s="544"/>
      <c r="M489" s="544"/>
      <c r="N489" s="544"/>
      <c r="O489" s="642"/>
      <c r="P489" s="560" t="s">
        <v>737</v>
      </c>
      <c r="Q489" s="561"/>
      <c r="R489" s="561"/>
      <c r="S489" s="561"/>
      <c r="T489" s="561"/>
      <c r="U489" s="561"/>
      <c r="V489" s="562"/>
      <c r="W489" s="37" t="s">
        <v>69</v>
      </c>
      <c r="X489" s="541">
        <f>IFERROR(SUM(BM22:BM485),"0")</f>
        <v>15805.237122358816</v>
      </c>
      <c r="Y489" s="541">
        <f>IFERROR(SUM(BN22:BN485),"0")</f>
        <v>15943.081999999999</v>
      </c>
      <c r="Z489" s="37"/>
      <c r="AA489" s="542"/>
      <c r="AB489" s="542"/>
      <c r="AC489" s="542"/>
    </row>
    <row r="490" spans="1:68" x14ac:dyDescent="0.2">
      <c r="A490" s="544"/>
      <c r="B490" s="544"/>
      <c r="C490" s="544"/>
      <c r="D490" s="544"/>
      <c r="E490" s="544"/>
      <c r="F490" s="544"/>
      <c r="G490" s="544"/>
      <c r="H490" s="544"/>
      <c r="I490" s="544"/>
      <c r="J490" s="544"/>
      <c r="K490" s="544"/>
      <c r="L490" s="544"/>
      <c r="M490" s="544"/>
      <c r="N490" s="544"/>
      <c r="O490" s="642"/>
      <c r="P490" s="560" t="s">
        <v>738</v>
      </c>
      <c r="Q490" s="561"/>
      <c r="R490" s="561"/>
      <c r="S490" s="561"/>
      <c r="T490" s="561"/>
      <c r="U490" s="561"/>
      <c r="V490" s="562"/>
      <c r="W490" s="37" t="s">
        <v>739</v>
      </c>
      <c r="X490" s="38">
        <f>ROUNDUP(SUM(BO22:BO485),0)</f>
        <v>25</v>
      </c>
      <c r="Y490" s="38">
        <f>ROUNDUP(SUM(BP22:BP485),0)</f>
        <v>26</v>
      </c>
      <c r="Z490" s="37"/>
      <c r="AA490" s="542"/>
      <c r="AB490" s="542"/>
      <c r="AC490" s="542"/>
    </row>
    <row r="491" spans="1:68" x14ac:dyDescent="0.2">
      <c r="A491" s="544"/>
      <c r="B491" s="544"/>
      <c r="C491" s="544"/>
      <c r="D491" s="544"/>
      <c r="E491" s="544"/>
      <c r="F491" s="544"/>
      <c r="G491" s="544"/>
      <c r="H491" s="544"/>
      <c r="I491" s="544"/>
      <c r="J491" s="544"/>
      <c r="K491" s="544"/>
      <c r="L491" s="544"/>
      <c r="M491" s="544"/>
      <c r="N491" s="544"/>
      <c r="O491" s="642"/>
      <c r="P491" s="560" t="s">
        <v>740</v>
      </c>
      <c r="Q491" s="561"/>
      <c r="R491" s="561"/>
      <c r="S491" s="561"/>
      <c r="T491" s="561"/>
      <c r="U491" s="561"/>
      <c r="V491" s="562"/>
      <c r="W491" s="37" t="s">
        <v>69</v>
      </c>
      <c r="X491" s="541">
        <f>GrossWeightTotal+PalletQtyTotal*25</f>
        <v>16430.237122358816</v>
      </c>
      <c r="Y491" s="541">
        <f>GrossWeightTotalR+PalletQtyTotalR*25</f>
        <v>16593.081999999999</v>
      </c>
      <c r="Z491" s="37"/>
      <c r="AA491" s="542"/>
      <c r="AB491" s="542"/>
      <c r="AC491" s="542"/>
    </row>
    <row r="492" spans="1:68" x14ac:dyDescent="0.2">
      <c r="A492" s="544"/>
      <c r="B492" s="544"/>
      <c r="C492" s="544"/>
      <c r="D492" s="544"/>
      <c r="E492" s="544"/>
      <c r="F492" s="544"/>
      <c r="G492" s="544"/>
      <c r="H492" s="544"/>
      <c r="I492" s="544"/>
      <c r="J492" s="544"/>
      <c r="K492" s="544"/>
      <c r="L492" s="544"/>
      <c r="M492" s="544"/>
      <c r="N492" s="544"/>
      <c r="O492" s="642"/>
      <c r="P492" s="560" t="s">
        <v>741</v>
      </c>
      <c r="Q492" s="561"/>
      <c r="R492" s="561"/>
      <c r="S492" s="561"/>
      <c r="T492" s="561"/>
      <c r="U492" s="561"/>
      <c r="V492" s="562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2366.145450557131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2390</v>
      </c>
      <c r="Z492" s="37"/>
      <c r="AA492" s="542"/>
      <c r="AB492" s="542"/>
      <c r="AC492" s="542"/>
    </row>
    <row r="493" spans="1:68" ht="14.25" hidden="1" customHeight="1" x14ac:dyDescent="0.2">
      <c r="A493" s="544"/>
      <c r="B493" s="544"/>
      <c r="C493" s="544"/>
      <c r="D493" s="544"/>
      <c r="E493" s="544"/>
      <c r="F493" s="544"/>
      <c r="G493" s="544"/>
      <c r="H493" s="544"/>
      <c r="I493" s="544"/>
      <c r="J493" s="544"/>
      <c r="K493" s="544"/>
      <c r="L493" s="544"/>
      <c r="M493" s="544"/>
      <c r="N493" s="544"/>
      <c r="O493" s="642"/>
      <c r="P493" s="560" t="s">
        <v>742</v>
      </c>
      <c r="Q493" s="561"/>
      <c r="R493" s="561"/>
      <c r="S493" s="561"/>
      <c r="T493" s="561"/>
      <c r="U493" s="561"/>
      <c r="V493" s="562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29.330030000000001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48" t="s">
        <v>97</v>
      </c>
      <c r="D495" s="813"/>
      <c r="E495" s="813"/>
      <c r="F495" s="813"/>
      <c r="G495" s="813"/>
      <c r="H495" s="662"/>
      <c r="I495" s="548" t="s">
        <v>255</v>
      </c>
      <c r="J495" s="813"/>
      <c r="K495" s="813"/>
      <c r="L495" s="813"/>
      <c r="M495" s="813"/>
      <c r="N495" s="813"/>
      <c r="O495" s="813"/>
      <c r="P495" s="813"/>
      <c r="Q495" s="813"/>
      <c r="R495" s="662"/>
      <c r="S495" s="548" t="s">
        <v>533</v>
      </c>
      <c r="T495" s="662"/>
      <c r="U495" s="548" t="s">
        <v>585</v>
      </c>
      <c r="V495" s="813"/>
      <c r="W495" s="662"/>
      <c r="X495" s="536" t="s">
        <v>636</v>
      </c>
      <c r="Y495" s="548" t="s">
        <v>696</v>
      </c>
      <c r="Z495" s="662"/>
      <c r="AB495" s="52"/>
      <c r="AC495" s="52"/>
      <c r="AF495" s="537"/>
    </row>
    <row r="496" spans="1:68" ht="14.25" customHeight="1" thickTop="1" x14ac:dyDescent="0.2">
      <c r="A496" s="829" t="s">
        <v>745</v>
      </c>
      <c r="B496" s="548" t="s">
        <v>63</v>
      </c>
      <c r="C496" s="548" t="s">
        <v>98</v>
      </c>
      <c r="D496" s="548" t="s">
        <v>116</v>
      </c>
      <c r="E496" s="548" t="s">
        <v>170</v>
      </c>
      <c r="F496" s="548" t="s">
        <v>190</v>
      </c>
      <c r="G496" s="548" t="s">
        <v>220</v>
      </c>
      <c r="H496" s="548" t="s">
        <v>97</v>
      </c>
      <c r="I496" s="548" t="s">
        <v>256</v>
      </c>
      <c r="J496" s="548" t="s">
        <v>297</v>
      </c>
      <c r="K496" s="548" t="s">
        <v>357</v>
      </c>
      <c r="L496" s="548" t="s">
        <v>399</v>
      </c>
      <c r="M496" s="548" t="s">
        <v>415</v>
      </c>
      <c r="N496" s="537"/>
      <c r="O496" s="548" t="s">
        <v>426</v>
      </c>
      <c r="P496" s="548" t="s">
        <v>435</v>
      </c>
      <c r="Q496" s="548" t="s">
        <v>445</v>
      </c>
      <c r="R496" s="548" t="s">
        <v>523</v>
      </c>
      <c r="S496" s="548" t="s">
        <v>534</v>
      </c>
      <c r="T496" s="548" t="s">
        <v>569</v>
      </c>
      <c r="U496" s="548" t="s">
        <v>586</v>
      </c>
      <c r="V496" s="548" t="s">
        <v>617</v>
      </c>
      <c r="W496" s="548" t="s">
        <v>632</v>
      </c>
      <c r="X496" s="548" t="s">
        <v>636</v>
      </c>
      <c r="Y496" s="548" t="s">
        <v>696</v>
      </c>
      <c r="Z496" s="548" t="s">
        <v>732</v>
      </c>
      <c r="AB496" s="52"/>
      <c r="AC496" s="52"/>
      <c r="AF496" s="537"/>
    </row>
    <row r="497" spans="1:32" ht="13.5" customHeight="1" thickBot="1" x14ac:dyDescent="0.25">
      <c r="A497" s="830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537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345.6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140.6</v>
      </c>
      <c r="E498" s="46">
        <f>IFERROR(Y85*1,"0")+IFERROR(Y86*1,"0")+IFERROR(Y87*1,"0")+IFERROR(Y91*1,"0")+IFERROR(Y92*1,"0")+IFERROR(Y93*1,"0")+IFERROR(Y94*1,"0")</f>
        <v>402.3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1269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126.12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1572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7.2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206.4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659.94999999999993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5535</v>
      </c>
      <c r="T498" s="46">
        <f>IFERROR(Y367*1,"0")+IFERROR(Y368*1,"0")+IFERROR(Y372*1,"0")+IFERROR(Y373*1,"0")+IFERROR(Y377*1,"0")+IFERROR(Y378*1,"0")</f>
        <v>1152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3726.2400000000002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an1yzAv6DglFAHw6DEKZPcoL62UQDf/I6YfLiT9IdR5nv8S1jTYSCZ8ExCE7cFCvr6RrkuJjOc0dQ3VfcFtMGg==" saltValue="+7HMETAL/OAV7zsxKa74c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9"/>
        <filter val="1 078,00"/>
        <filter val="1 146,00"/>
        <filter val="1 414,00"/>
        <filter val="1 926,00"/>
        <filter val="1,00"/>
        <filter val="1,20"/>
        <filter val="1,25"/>
        <filter val="1,59"/>
        <filter val="10,00"/>
        <filter val="113,00"/>
        <filter val="116,00"/>
        <filter val="12,93"/>
        <filter val="124,00"/>
        <filter val="127,33"/>
        <filter val="13,00"/>
        <filter val="14,00"/>
        <filter val="15 012,00"/>
        <filter val="15 805,24"/>
        <filter val="15,52"/>
        <filter val="16 430,24"/>
        <filter val="16,00"/>
        <filter val="176,85"/>
        <filter val="179,00"/>
        <filter val="181,00"/>
        <filter val="184,85"/>
        <filter val="186,00"/>
        <filter val="190,00"/>
        <filter val="194,00"/>
        <filter val="2 366,15"/>
        <filter val="2 534,00"/>
        <filter val="2 551,00"/>
        <filter val="2,00"/>
        <filter val="204,00"/>
        <filter val="213,00"/>
        <filter val="25"/>
        <filter val="25,00"/>
        <filter val="269,02"/>
        <filter val="284,00"/>
        <filter val="299,26"/>
        <filter val="3,00"/>
        <filter val="3,33"/>
        <filter val="3,70"/>
        <filter val="31,94"/>
        <filter val="32,00"/>
        <filter val="323,00"/>
        <filter val="34,00"/>
        <filter val="34,28"/>
        <filter val="345,00"/>
        <filter val="351,00"/>
        <filter val="354,73"/>
        <filter val="367,00"/>
        <filter val="39,00"/>
        <filter val="4,00"/>
        <filter val="4,10"/>
        <filter val="40,00"/>
        <filter val="42,46"/>
        <filter val="428,00"/>
        <filter val="433,00"/>
        <filter val="44,00"/>
        <filter val="45,00"/>
        <filter val="47,00"/>
        <filter val="483,41"/>
        <filter val="49,61"/>
        <filter val="497,00"/>
        <filter val="5 321,00"/>
        <filter val="51,00"/>
        <filter val="6,00"/>
        <filter val="600,00"/>
        <filter val="61,00"/>
        <filter val="64,00"/>
        <filter val="640,00"/>
        <filter val="692,00"/>
        <filter val="7,00"/>
        <filter val="71,00"/>
        <filter val="74,00"/>
        <filter val="77,00"/>
        <filter val="8,00"/>
        <filter val="808,00"/>
        <filter val="82,05"/>
        <filter val="85,00"/>
        <filter val="861,00"/>
        <filter val="87,65"/>
        <filter val="9,00"/>
        <filter val="9,66"/>
        <filter val="976,00"/>
      </filters>
    </filterColumn>
    <filterColumn colId="29" showButton="0"/>
    <filterColumn colId="30" showButton="0"/>
  </autoFilter>
  <mergeCells count="872"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D124:E124"/>
    <mergeCell ref="P56:T56"/>
    <mergeCell ref="D195:E195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229:E229"/>
    <mergeCell ref="A403:O404"/>
    <mergeCell ref="D108:E108"/>
    <mergeCell ref="P429:T429"/>
    <mergeCell ref="P258:T258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D255:E255"/>
    <mergeCell ref="P36:V36"/>
    <mergeCell ref="A97:Z97"/>
    <mergeCell ref="D322:E322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P451:T451"/>
    <mergeCell ref="D372:E372"/>
    <mergeCell ref="D335:E335"/>
    <mergeCell ref="D201:E201"/>
    <mergeCell ref="P245:T245"/>
    <mergeCell ref="A280:O281"/>
    <mergeCell ref="D409:E409"/>
    <mergeCell ref="D444:E444"/>
    <mergeCell ref="A474:Z474"/>
    <mergeCell ref="P380:V380"/>
    <mergeCell ref="D168:E168"/>
    <mergeCell ref="D466:E466"/>
    <mergeCell ref="D451:E451"/>
    <mergeCell ref="P479:T479"/>
    <mergeCell ref="P423:T423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D362:E362"/>
    <mergeCell ref="D51:E51"/>
    <mergeCell ref="D74:E74"/>
    <mergeCell ref="D130:E130"/>
    <mergeCell ref="P87:T87"/>
    <mergeCell ref="D68:E68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106:T106"/>
    <mergeCell ref="P390:T390"/>
    <mergeCell ref="D298:E298"/>
    <mergeCell ref="P91:T91"/>
    <mergeCell ref="P404:V404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A433:Z433"/>
    <mergeCell ref="P485:T485"/>
    <mergeCell ref="D450:E450"/>
    <mergeCell ref="P452:V452"/>
    <mergeCell ref="A351:Z351"/>
    <mergeCell ref="D273:E273"/>
    <mergeCell ref="P441:T441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P226:T226"/>
    <mergeCell ref="P335:T335"/>
    <mergeCell ref="D256:E256"/>
    <mergeCell ref="D207:E207"/>
    <mergeCell ref="P164:T164"/>
    <mergeCell ref="P120:V120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452:O453"/>
    <mergeCell ref="D459:E459"/>
    <mergeCell ref="D288:E288"/>
    <mergeCell ref="P475:T475"/>
    <mergeCell ref="P477:V477"/>
    <mergeCell ref="P249:T249"/>
    <mergeCell ref="A365:Z365"/>
    <mergeCell ref="D357:E357"/>
    <mergeCell ref="D258:E258"/>
    <mergeCell ref="P235:V235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478:Z478"/>
    <mergeCell ref="P436:T436"/>
    <mergeCell ref="P492:V492"/>
    <mergeCell ref="A469:Z46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4:X165 X168 X186 X195:X200 X202 X206:X209 X211:X214 X232 X254 X256 X272:X273 X297 X306 X315 X322:X323 X335:X336 X342:X344 X352 X367 X372 X377:X378 X386 X420:X422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tijkfmOu+7lmyM//yLYNauYR0z8tEO8Lfbr++L/sEpRvFRnYWvTzzDHZujnJ0z1Wd7hltJUGr1Pp7r34vYIOEA==" saltValue="roumy47e3I7yz0DKy25i0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2025-11-12T11:09:05Z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