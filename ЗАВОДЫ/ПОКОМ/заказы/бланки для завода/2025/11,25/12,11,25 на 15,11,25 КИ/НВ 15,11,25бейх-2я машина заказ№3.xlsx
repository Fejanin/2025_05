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47C9D5E-C163-48B7-9D73-236B44963DE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BP327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BP288" i="1" s="1"/>
  <c r="P288" i="1"/>
  <c r="X285" i="1"/>
  <c r="X284" i="1"/>
  <c r="BO283" i="1"/>
  <c r="BM283" i="1"/>
  <c r="Y283" i="1"/>
  <c r="Y285" i="1" s="1"/>
  <c r="P283" i="1"/>
  <c r="X281" i="1"/>
  <c r="X280" i="1"/>
  <c r="BO279" i="1"/>
  <c r="BM279" i="1"/>
  <c r="Y279" i="1"/>
  <c r="BP279" i="1" s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BP218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O195" i="1"/>
  <c r="BM195" i="1"/>
  <c r="Y195" i="1"/>
  <c r="BP195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Y172" i="1" s="1"/>
  <c r="P162" i="1"/>
  <c r="X160" i="1"/>
  <c r="X159" i="1"/>
  <c r="BO158" i="1"/>
  <c r="BM158" i="1"/>
  <c r="Y158" i="1"/>
  <c r="Y159" i="1" s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23" i="1"/>
  <c r="BO22" i="1"/>
  <c r="X490" i="1" s="1"/>
  <c r="BM22" i="1"/>
  <c r="Y22" i="1"/>
  <c r="B498" i="1" s="1"/>
  <c r="P22" i="1"/>
  <c r="H10" i="1"/>
  <c r="A9" i="1"/>
  <c r="F10" i="1" s="1"/>
  <c r="D7" i="1"/>
  <c r="Q6" i="1"/>
  <c r="P2" i="1"/>
  <c r="Z29" i="1" l="1"/>
  <c r="BN29" i="1"/>
  <c r="Z56" i="1"/>
  <c r="BN56" i="1"/>
  <c r="Z61" i="1"/>
  <c r="BN61" i="1"/>
  <c r="Z79" i="1"/>
  <c r="BN79" i="1"/>
  <c r="Z99" i="1"/>
  <c r="BN99" i="1"/>
  <c r="Z115" i="1"/>
  <c r="BN115" i="1"/>
  <c r="Z141" i="1"/>
  <c r="BN141" i="1"/>
  <c r="Z164" i="1"/>
  <c r="BN164" i="1"/>
  <c r="Z174" i="1"/>
  <c r="BN174" i="1"/>
  <c r="Z197" i="1"/>
  <c r="BN197" i="1"/>
  <c r="Z208" i="1"/>
  <c r="BN208" i="1"/>
  <c r="Z218" i="1"/>
  <c r="BN218" i="1"/>
  <c r="Z231" i="1"/>
  <c r="BN231" i="1"/>
  <c r="Z249" i="1"/>
  <c r="BN249" i="1"/>
  <c r="Z263" i="1"/>
  <c r="BN263" i="1"/>
  <c r="Z283" i="1"/>
  <c r="Z284" i="1" s="1"/>
  <c r="BN283" i="1"/>
  <c r="BP283" i="1"/>
  <c r="Y284" i="1"/>
  <c r="Z288" i="1"/>
  <c r="BN288" i="1"/>
  <c r="Z300" i="1"/>
  <c r="BN300" i="1"/>
  <c r="Z310" i="1"/>
  <c r="BN310" i="1"/>
  <c r="Z327" i="1"/>
  <c r="BN327" i="1"/>
  <c r="Z344" i="1"/>
  <c r="BN344" i="1"/>
  <c r="Z345" i="1"/>
  <c r="BN345" i="1"/>
  <c r="Z377" i="1"/>
  <c r="BN377" i="1"/>
  <c r="Z391" i="1"/>
  <c r="BN391" i="1"/>
  <c r="Z423" i="1"/>
  <c r="BN423" i="1"/>
  <c r="Z435" i="1"/>
  <c r="BN435" i="1"/>
  <c r="Z449" i="1"/>
  <c r="BN449" i="1"/>
  <c r="Z471" i="1"/>
  <c r="BN471" i="1"/>
  <c r="BP302" i="1"/>
  <c r="BN302" i="1"/>
  <c r="Z302" i="1"/>
  <c r="BP314" i="1"/>
  <c r="BN314" i="1"/>
  <c r="Z314" i="1"/>
  <c r="Z317" i="1" s="1"/>
  <c r="BP321" i="1"/>
  <c r="BN321" i="1"/>
  <c r="Z321" i="1"/>
  <c r="BP336" i="1"/>
  <c r="BN336" i="1"/>
  <c r="Z336" i="1"/>
  <c r="BP342" i="1"/>
  <c r="BN342" i="1"/>
  <c r="Z342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X489" i="1"/>
  <c r="X491" i="1" s="1"/>
  <c r="X492" i="1"/>
  <c r="Z27" i="1"/>
  <c r="BN27" i="1"/>
  <c r="Z41" i="1"/>
  <c r="BN41" i="1"/>
  <c r="Y57" i="1"/>
  <c r="Z54" i="1"/>
  <c r="BN54" i="1"/>
  <c r="Z67" i="1"/>
  <c r="BN67" i="1"/>
  <c r="Z75" i="1"/>
  <c r="BN75" i="1"/>
  <c r="Y81" i="1"/>
  <c r="Z86" i="1"/>
  <c r="BN86" i="1"/>
  <c r="Z94" i="1"/>
  <c r="BN94" i="1"/>
  <c r="Z101" i="1"/>
  <c r="BN101" i="1"/>
  <c r="Z113" i="1"/>
  <c r="BN113" i="1"/>
  <c r="Z119" i="1"/>
  <c r="Z120" i="1" s="1"/>
  <c r="BN119" i="1"/>
  <c r="BP119" i="1"/>
  <c r="Y120" i="1"/>
  <c r="Z124" i="1"/>
  <c r="BN124" i="1"/>
  <c r="Z134" i="1"/>
  <c r="BN134" i="1"/>
  <c r="BP134" i="1"/>
  <c r="Z147" i="1"/>
  <c r="BN147" i="1"/>
  <c r="Z152" i="1"/>
  <c r="Z153" i="1" s="1"/>
  <c r="BN152" i="1"/>
  <c r="BP152" i="1"/>
  <c r="Y153" i="1"/>
  <c r="Z158" i="1"/>
  <c r="Z159" i="1" s="1"/>
  <c r="BN158" i="1"/>
  <c r="BP158" i="1"/>
  <c r="Z162" i="1"/>
  <c r="BN162" i="1"/>
  <c r="BP162" i="1"/>
  <c r="Z166" i="1"/>
  <c r="BN166" i="1"/>
  <c r="Z170" i="1"/>
  <c r="BN170" i="1"/>
  <c r="Y178" i="1"/>
  <c r="Z176" i="1"/>
  <c r="BN176" i="1"/>
  <c r="Y177" i="1"/>
  <c r="Z180" i="1"/>
  <c r="Z181" i="1" s="1"/>
  <c r="BN180" i="1"/>
  <c r="BP180" i="1"/>
  <c r="Y181" i="1"/>
  <c r="Z185" i="1"/>
  <c r="BN185" i="1"/>
  <c r="Z195" i="1"/>
  <c r="BN195" i="1"/>
  <c r="Z200" i="1"/>
  <c r="BN200" i="1"/>
  <c r="Z206" i="1"/>
  <c r="BN206" i="1"/>
  <c r="BP206" i="1"/>
  <c r="Z210" i="1"/>
  <c r="BN210" i="1"/>
  <c r="Z214" i="1"/>
  <c r="BN214" i="1"/>
  <c r="Y220" i="1"/>
  <c r="Z225" i="1"/>
  <c r="BN225" i="1"/>
  <c r="Z229" i="1"/>
  <c r="BN229" i="1"/>
  <c r="Z233" i="1"/>
  <c r="BN233" i="1"/>
  <c r="Z247" i="1"/>
  <c r="BN247" i="1"/>
  <c r="Z254" i="1"/>
  <c r="BN254" i="1"/>
  <c r="Z258" i="1"/>
  <c r="BN258" i="1"/>
  <c r="Z265" i="1"/>
  <c r="BN265" i="1"/>
  <c r="Z279" i="1"/>
  <c r="BN279" i="1"/>
  <c r="Q498" i="1"/>
  <c r="Z290" i="1"/>
  <c r="BN290" i="1"/>
  <c r="Z296" i="1"/>
  <c r="BN296" i="1"/>
  <c r="BP296" i="1"/>
  <c r="BP298" i="1"/>
  <c r="BN298" i="1"/>
  <c r="Z298" i="1"/>
  <c r="BP308" i="1"/>
  <c r="BN308" i="1"/>
  <c r="Z308" i="1"/>
  <c r="Y325" i="1"/>
  <c r="BP320" i="1"/>
  <c r="BN320" i="1"/>
  <c r="Z320" i="1"/>
  <c r="Y324" i="1"/>
  <c r="BP329" i="1"/>
  <c r="BN329" i="1"/>
  <c r="Z329" i="1"/>
  <c r="Y337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79" i="1"/>
  <c r="Y453" i="1"/>
  <c r="Y452" i="1"/>
  <c r="Y24" i="1"/>
  <c r="Y32" i="1"/>
  <c r="Y36" i="1"/>
  <c r="Y44" i="1"/>
  <c r="Y48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BP291" i="1"/>
  <c r="BN291" i="1"/>
  <c r="Z291" i="1"/>
  <c r="BP328" i="1"/>
  <c r="BN328" i="1"/>
  <c r="Z328" i="1"/>
  <c r="Y330" i="1"/>
  <c r="D498" i="1"/>
  <c r="H9" i="1"/>
  <c r="A10" i="1"/>
  <c r="F9" i="1"/>
  <c r="J9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Y137" i="1"/>
  <c r="H498" i="1"/>
  <c r="Y143" i="1"/>
  <c r="BP140" i="1"/>
  <c r="BN140" i="1"/>
  <c r="Z140" i="1"/>
  <c r="Z143" i="1" s="1"/>
  <c r="BP148" i="1"/>
  <c r="BN148" i="1"/>
  <c r="Z148" i="1"/>
  <c r="Y150" i="1"/>
  <c r="BP163" i="1"/>
  <c r="BN163" i="1"/>
  <c r="Z163" i="1"/>
  <c r="BP167" i="1"/>
  <c r="BN167" i="1"/>
  <c r="Z167" i="1"/>
  <c r="Y171" i="1"/>
  <c r="BP175" i="1"/>
  <c r="BN175" i="1"/>
  <c r="Z175" i="1"/>
  <c r="Y192" i="1"/>
  <c r="BP196" i="1"/>
  <c r="BN196" i="1"/>
  <c r="Z196" i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Y250" i="1"/>
  <c r="BP255" i="1"/>
  <c r="BN255" i="1"/>
  <c r="Z255" i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Y311" i="1"/>
  <c r="BP315" i="1"/>
  <c r="BN315" i="1"/>
  <c r="Z315" i="1"/>
  <c r="Y317" i="1"/>
  <c r="BP343" i="1"/>
  <c r="BN343" i="1"/>
  <c r="Z343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Z259" i="1" s="1"/>
  <c r="BP266" i="1"/>
  <c r="BN266" i="1"/>
  <c r="Z266" i="1"/>
  <c r="Z267" i="1" s="1"/>
  <c r="O498" i="1"/>
  <c r="Y274" i="1"/>
  <c r="BP271" i="1"/>
  <c r="BN271" i="1"/>
  <c r="Z271" i="1"/>
  <c r="BP289" i="1"/>
  <c r="BN289" i="1"/>
  <c r="Z289" i="1"/>
  <c r="Z293" i="1" s="1"/>
  <c r="Y293" i="1"/>
  <c r="BP297" i="1"/>
  <c r="BN297" i="1"/>
  <c r="Z297" i="1"/>
  <c r="BP301" i="1"/>
  <c r="BN301" i="1"/>
  <c r="Z301" i="1"/>
  <c r="Y312" i="1"/>
  <c r="BP309" i="1"/>
  <c r="BN309" i="1"/>
  <c r="Z309" i="1"/>
  <c r="Y318" i="1"/>
  <c r="BP322" i="1"/>
  <c r="BN322" i="1"/>
  <c r="Z322" i="1"/>
  <c r="Y331" i="1"/>
  <c r="BP335" i="1"/>
  <c r="BN335" i="1"/>
  <c r="Z335" i="1"/>
  <c r="Z337" i="1" s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Y482" i="1"/>
  <c r="Z498" i="1"/>
  <c r="Y486" i="1"/>
  <c r="BP485" i="1"/>
  <c r="BN485" i="1"/>
  <c r="Z485" i="1"/>
  <c r="Z486" i="1" s="1"/>
  <c r="Y487" i="1"/>
  <c r="Z374" i="1" l="1"/>
  <c r="Z324" i="1"/>
  <c r="Z215" i="1"/>
  <c r="Z177" i="1"/>
  <c r="Z461" i="1"/>
  <c r="Z311" i="1"/>
  <c r="Z203" i="1"/>
  <c r="Z481" i="1"/>
  <c r="Z437" i="1"/>
  <c r="Z398" i="1"/>
  <c r="Z303" i="1"/>
  <c r="Z274" i="1"/>
  <c r="Z410" i="1"/>
  <c r="Z349" i="1"/>
  <c r="Z250" i="1"/>
  <c r="Z171" i="1"/>
  <c r="Z136" i="1"/>
  <c r="Z88" i="1"/>
  <c r="Z330" i="1"/>
  <c r="Z126" i="1"/>
  <c r="Z103" i="1"/>
  <c r="Z446" i="1"/>
  <c r="Z431" i="1"/>
  <c r="Y490" i="1"/>
  <c r="Z116" i="1"/>
  <c r="Z95" i="1"/>
  <c r="Z393" i="1"/>
  <c r="Z234" i="1"/>
  <c r="Z43" i="1"/>
  <c r="Z31" i="1"/>
  <c r="Y492" i="1"/>
  <c r="Y489" i="1"/>
  <c r="Y491" i="1" s="1"/>
  <c r="Z149" i="1"/>
  <c r="Z69" i="1"/>
  <c r="Y488" i="1"/>
  <c r="Z493" i="1" l="1"/>
</calcChain>
</file>

<file path=xl/sharedStrings.xml><?xml version="1.0" encoding="utf-8"?>
<sst xmlns="http://schemas.openxmlformats.org/spreadsheetml/2006/main" count="2312" uniqueCount="763">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</sst>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162" sqref="AA162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762</v>
      </c>
      <c r="I5" s="759"/>
      <c r="J5" s="759"/>
      <c r="K5" s="759"/>
      <c r="L5" s="759"/>
      <c r="M5" s="617"/>
      <c r="N5" s="58"/>
      <c r="P5" s="24" t="s">
        <v>10</v>
      </c>
      <c r="Q5" s="834">
        <v>45976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Суббота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0.41666666666666669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hidden="1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hidden="1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hidden="1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hidden="1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hidden="1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hidden="1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hidden="1" customHeight="1" x14ac:dyDescent="0.25">
      <c r="A97" s="548" t="s">
        <v>190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hidden="1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hidden="1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220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255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256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4</v>
      </c>
      <c r="Y162" s="540">
        <f t="shared" ref="Y162:Y170" si="5">IFERROR(IF(X162="",0,CEILING((X162/$H162),1)*$H162),"")</f>
        <v>4.2</v>
      </c>
      <c r="Z162" s="36">
        <f>IFERROR(IF(Y162=0,"",ROUNDUP(Y162/H162,0)*0.00902),"")</f>
        <v>9.0200000000000002E-3</v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4.2380952380952381</v>
      </c>
      <c r="BN162" s="64">
        <f t="shared" ref="BN162:BN170" si="7">IFERROR(Y162*I162/H162,"0")</f>
        <v>4.45</v>
      </c>
      <c r="BO162" s="64">
        <f t="shared" ref="BO162:BO170" si="8">IFERROR(1/J162*(X162/H162),"0")</f>
        <v>7.215007215007215E-3</v>
      </c>
      <c r="BP162" s="64">
        <f t="shared" ref="BP162:BP170" si="9">IFERROR(1/J162*(Y162/H162),"0")</f>
        <v>7.575757575757576E-3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4</v>
      </c>
      <c r="Y163" s="540">
        <f t="shared" si="5"/>
        <v>4.2</v>
      </c>
      <c r="Z163" s="36">
        <f>IFERROR(IF(Y163=0,"",ROUNDUP(Y163/H163,0)*0.00902),"")</f>
        <v>9.0200000000000002E-3</v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4.2380952380952381</v>
      </c>
      <c r="BN163" s="64">
        <f t="shared" si="7"/>
        <v>4.45</v>
      </c>
      <c r="BO163" s="64">
        <f t="shared" si="8"/>
        <v>7.215007215007215E-3</v>
      </c>
      <c r="BP163" s="64">
        <f t="shared" si="9"/>
        <v>7.575757575757576E-3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4</v>
      </c>
      <c r="Y164" s="540">
        <f t="shared" si="5"/>
        <v>4.2</v>
      </c>
      <c r="Z164" s="36">
        <f>IFERROR(IF(Y164=0,"",ROUNDUP(Y164/H164,0)*0.00902),"")</f>
        <v>9.0200000000000002E-3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4.1809523809523803</v>
      </c>
      <c r="BN164" s="64">
        <f t="shared" si="7"/>
        <v>4.3899999999999997</v>
      </c>
      <c r="BO164" s="64">
        <f t="shared" si="8"/>
        <v>7.215007215007215E-3</v>
      </c>
      <c r="BP164" s="64">
        <f t="shared" si="9"/>
        <v>7.575757575757576E-3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2.8571428571428568</v>
      </c>
      <c r="Y171" s="541">
        <f>IFERROR(Y162/H162,"0")+IFERROR(Y163/H163,"0")+IFERROR(Y164/H164,"0")+IFERROR(Y165/H165,"0")+IFERROR(Y166/H166,"0")+IFERROR(Y167/H167,"0")+IFERROR(Y168/H168,"0")+IFERROR(Y169/H169,"0")+IFERROR(Y170/H170,"0")</f>
        <v>3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2.7060000000000001E-2</v>
      </c>
      <c r="AA171" s="542"/>
      <c r="AB171" s="542"/>
      <c r="AC171" s="542"/>
    </row>
    <row r="172" spans="1:68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12</v>
      </c>
      <c r="Y172" s="541">
        <f>IFERROR(SUM(Y162:Y170),"0")</f>
        <v>12.600000000000001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294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48" t="s">
        <v>297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4</v>
      </c>
      <c r="Y195" s="540">
        <f t="shared" ref="Y195:Y202" si="10">IFERROR(IF(X195="",0,CEILING((X195/$H195),1)*$H195),"")</f>
        <v>5.4</v>
      </c>
      <c r="Z195" s="36">
        <f>IFERROR(IF(Y195=0,"",ROUNDUP(Y195/H195,0)*0.00902),"")</f>
        <v>9.0200000000000002E-3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4.1407407407407399</v>
      </c>
      <c r="BN195" s="64">
        <f t="shared" ref="BN195:BN202" si="12">IFERROR(Y195*I195/H195,"0")</f>
        <v>5.59</v>
      </c>
      <c r="BO195" s="64">
        <f t="shared" ref="BO195:BO202" si="13">IFERROR(1/J195*(X195/H195),"0")</f>
        <v>5.6116722783389446E-3</v>
      </c>
      <c r="BP195" s="64">
        <f t="shared" ref="BP195:BP202" si="14">IFERROR(1/J195*(Y195/H195),"0")</f>
        <v>7.575757575757576E-3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4</v>
      </c>
      <c r="Y196" s="540">
        <f t="shared" si="10"/>
        <v>5.4</v>
      </c>
      <c r="Z196" s="36">
        <f>IFERROR(IF(Y196=0,"",ROUNDUP(Y196/H196,0)*0.00902),"")</f>
        <v>9.0200000000000002E-3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4.1407407407407399</v>
      </c>
      <c r="BN196" s="64">
        <f t="shared" si="12"/>
        <v>5.59</v>
      </c>
      <c r="BO196" s="64">
        <f t="shared" si="13"/>
        <v>5.6116722783389446E-3</v>
      </c>
      <c r="BP196" s="64">
        <f t="shared" si="14"/>
        <v>7.575757575757576E-3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4</v>
      </c>
      <c r="Y197" s="540">
        <f t="shared" si="10"/>
        <v>5.4</v>
      </c>
      <c r="Z197" s="36">
        <f>IFERROR(IF(Y197=0,"",ROUNDUP(Y197/H197,0)*0.00902),"")</f>
        <v>9.0200000000000002E-3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4.1407407407407399</v>
      </c>
      <c r="BN197" s="64">
        <f t="shared" si="12"/>
        <v>5.59</v>
      </c>
      <c r="BO197" s="64">
        <f t="shared" si="13"/>
        <v>5.6116722783389446E-3</v>
      </c>
      <c r="BP197" s="64">
        <f t="shared" si="14"/>
        <v>7.575757575757576E-3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4</v>
      </c>
      <c r="Y198" s="540">
        <f t="shared" si="10"/>
        <v>5.4</v>
      </c>
      <c r="Z198" s="36">
        <f>IFERROR(IF(Y198=0,"",ROUNDUP(Y198/H198,0)*0.00902),"")</f>
        <v>9.0200000000000002E-3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4.1407407407407399</v>
      </c>
      <c r="BN198" s="64">
        <f t="shared" si="12"/>
        <v>5.59</v>
      </c>
      <c r="BO198" s="64">
        <f t="shared" si="13"/>
        <v>5.6116722783389446E-3</v>
      </c>
      <c r="BP198" s="64">
        <f t="shared" si="14"/>
        <v>7.575757575757576E-3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2.9629629629629628</v>
      </c>
      <c r="Y203" s="541">
        <f>IFERROR(Y195/H195,"0")+IFERROR(Y196/H196,"0")+IFERROR(Y197/H197,"0")+IFERROR(Y198/H198,"0")+IFERROR(Y199/H199,"0")+IFERROR(Y200/H200,"0")+IFERROR(Y201/H201,"0")+IFERROR(Y202/H202,"0")</f>
        <v>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3.6080000000000001E-2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16</v>
      </c>
      <c r="Y204" s="541">
        <f>IFERROR(SUM(Y195:Y202),"0")</f>
        <v>21.6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349</v>
      </c>
      <c r="B214" s="54" t="s">
        <v>350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0</v>
      </c>
      <c r="Y215" s="541">
        <f>IFERROR(Y206/H206,"0")+IFERROR(Y207/H207,"0")+IFERROR(Y208/H208,"0")+IFERROR(Y209/H209,"0")+IFERROR(Y210/H210,"0")+IFERROR(Y211/H211,"0")+IFERROR(Y212/H212,"0")+IFERROR(Y213/H213,"0")+IFERROR(Y214/H214,"0")</f>
        <v>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2"/>
      <c r="AB215" s="542"/>
      <c r="AC215" s="542"/>
    </row>
    <row r="216" spans="1:68" hidden="1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0</v>
      </c>
      <c r="Y216" s="541">
        <f>IFERROR(SUM(Y206:Y214),"0")</f>
        <v>0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48" t="s">
        <v>357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383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387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48" t="s">
        <v>399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415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426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48" t="s">
        <v>435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445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449</v>
      </c>
      <c r="B289" s="54" t="s">
        <v>450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460</v>
      </c>
      <c r="B296" s="54" t="s">
        <v>461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463</v>
      </c>
      <c r="B297" s="54" t="s">
        <v>464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idden="1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hidden="1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479</v>
      </c>
      <c r="B306" s="54" t="s">
        <v>480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482</v>
      </c>
      <c r="B307" s="54" t="s">
        <v>483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 t="s">
        <v>186</v>
      </c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106</v>
      </c>
      <c r="AK310" s="68">
        <v>37.799999999999997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hidden="1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hidden="1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508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514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hidden="1" customHeight="1" x14ac:dyDescent="0.25">
      <c r="A327" s="54" t="s">
        <v>515</v>
      </c>
      <c r="B327" s="54" t="s">
        <v>516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186</v>
      </c>
      <c r="M327" s="33" t="s">
        <v>517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186</v>
      </c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48" t="s">
        <v>523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524</v>
      </c>
      <c r="B334" s="54" t="s">
        <v>525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527</v>
      </c>
      <c r="B335" s="54" t="s">
        <v>528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5" t="s">
        <v>533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534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15</v>
      </c>
      <c r="Y342" s="540">
        <f t="shared" ref="Y342:Y348" si="31">IFERROR(IF(X342="",0,CEILING((X342/$H342),1)*$H342),"")</f>
        <v>15</v>
      </c>
      <c r="Z342" s="36">
        <f>IFERROR(IF(Y342=0,"",ROUNDUP(Y342/H342,0)*0.02175),"")</f>
        <v>2.1749999999999999E-2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15.47</v>
      </c>
      <c r="BN342" s="64">
        <f t="shared" ref="BN342:BN348" si="33">IFERROR(Y342*I342/H342,"0")</f>
        <v>15.47</v>
      </c>
      <c r="BO342" s="64">
        <f t="shared" ref="BO342:BO348" si="34">IFERROR(1/J342*(X342/H342),"0")</f>
        <v>2.0833333333333332E-2</v>
      </c>
      <c r="BP342" s="64">
        <f t="shared" ref="BP342:BP348" si="35">IFERROR(1/J342*(Y342/H342),"0")</f>
        <v>2.0833333333333332E-2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15</v>
      </c>
      <c r="Y343" s="540">
        <f t="shared" si="31"/>
        <v>15</v>
      </c>
      <c r="Z343" s="36">
        <f>IFERROR(IF(Y343=0,"",ROUNDUP(Y343/H343,0)*0.02175),"")</f>
        <v>2.1749999999999999E-2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15.47</v>
      </c>
      <c r="BN343" s="64">
        <f t="shared" si="33"/>
        <v>15.47</v>
      </c>
      <c r="BO343" s="64">
        <f t="shared" si="34"/>
        <v>2.0833333333333332E-2</v>
      </c>
      <c r="BP343" s="64">
        <f t="shared" si="35"/>
        <v>2.0833333333333332E-2</v>
      </c>
    </row>
    <row r="344" spans="1:68" ht="37.5" hidden="1" customHeight="1" x14ac:dyDescent="0.25">
      <c r="A344" s="54" t="s">
        <v>541</v>
      </c>
      <c r="B344" s="54" t="s">
        <v>542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546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15</v>
      </c>
      <c r="Y345" s="540">
        <f t="shared" si="31"/>
        <v>15</v>
      </c>
      <c r="Z345" s="36">
        <f>IFERROR(IF(Y345=0,"",ROUNDUP(Y345/H345,0)*0.02175),"")</f>
        <v>2.1749999999999999E-2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15.47</v>
      </c>
      <c r="BN345" s="64">
        <f t="shared" si="33"/>
        <v>15.47</v>
      </c>
      <c r="BO345" s="64">
        <f t="shared" si="34"/>
        <v>2.0833333333333332E-2</v>
      </c>
      <c r="BP345" s="64">
        <f t="shared" si="35"/>
        <v>2.0833333333333332E-2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553</v>
      </c>
      <c r="B348" s="54" t="s">
        <v>554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3</v>
      </c>
      <c r="Y349" s="541">
        <f>IFERROR(Y342/H342,"0")+IFERROR(Y343/H343,"0")+IFERROR(Y344/H344,"0")+IFERROR(Y345/H345,"0")+IFERROR(Y346/H346,"0")+IFERROR(Y347/H347,"0")+IFERROR(Y348/H348,"0")</f>
        <v>3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6.5250000000000002E-2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45</v>
      </c>
      <c r="Y350" s="541">
        <f>IFERROR(SUM(Y342:Y348),"0")</f>
        <v>45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15</v>
      </c>
      <c r="Y352" s="540">
        <f>IFERROR(IF(X352="",0,CEILING((X352/$H352),1)*$H352),"")</f>
        <v>15</v>
      </c>
      <c r="Z352" s="36">
        <f>IFERROR(IF(Y352=0,"",ROUNDUP(Y352/H352,0)*0.02175),"")</f>
        <v>2.1749999999999999E-2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15.47</v>
      </c>
      <c r="BN352" s="64">
        <f>IFERROR(Y352*I352/H352,"0")</f>
        <v>15.47</v>
      </c>
      <c r="BO352" s="64">
        <f>IFERROR(1/J352*(X352/H352),"0")</f>
        <v>2.0833333333333332E-2</v>
      </c>
      <c r="BP352" s="64">
        <f>IFERROR(1/J352*(Y352/H352),"0")</f>
        <v>2.0833333333333332E-2</v>
      </c>
    </row>
    <row r="353" spans="1:68" ht="16.5" hidden="1" customHeight="1" x14ac:dyDescent="0.25">
      <c r="A353" s="54" t="s">
        <v>558</v>
      </c>
      <c r="B353" s="54" t="s">
        <v>559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1</v>
      </c>
      <c r="Y354" s="541">
        <f>IFERROR(Y352/H352,"0")+IFERROR(Y353/H353,"0")</f>
        <v>1</v>
      </c>
      <c r="Z354" s="541">
        <f>IFERROR(IF(Z352="",0,Z352),"0")+IFERROR(IF(Z353="",0,Z353),"0")</f>
        <v>2.1749999999999999E-2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15</v>
      </c>
      <c r="Y355" s="541">
        <f>IFERROR(SUM(Y352:Y353),"0")</f>
        <v>15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560</v>
      </c>
      <c r="B357" s="54" t="s">
        <v>561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hidden="1" customHeight="1" x14ac:dyDescent="0.25">
      <c r="A362" s="54" t="s">
        <v>566</v>
      </c>
      <c r="B362" s="54" t="s">
        <v>567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48" t="s">
        <v>569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hidden="1" customHeight="1" x14ac:dyDescent="0.25">
      <c r="A367" s="54" t="s">
        <v>570</v>
      </c>
      <c r="B367" s="54" t="s">
        <v>571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573</v>
      </c>
      <c r="B368" s="54" t="s">
        <v>574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575</v>
      </c>
      <c r="B372" s="54" t="s">
        <v>576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575</v>
      </c>
      <c r="B373" s="54" t="s">
        <v>578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hidden="1" customHeight="1" x14ac:dyDescent="0.25">
      <c r="A377" s="54" t="s">
        <v>580</v>
      </c>
      <c r="B377" s="54" t="s">
        <v>581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583</v>
      </c>
      <c r="B378" s="54" t="s">
        <v>584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5" t="s">
        <v>585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586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110</v>
      </c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4</v>
      </c>
      <c r="Y384" s="540">
        <f t="shared" ref="Y384:Y392" si="36">IFERROR(IF(X384="",0,CEILING((X384/$H384),1)*$H384),"")</f>
        <v>5.4</v>
      </c>
      <c r="Z384" s="36">
        <f>IFERROR(IF(Y384=0,"",ROUNDUP(Y384/H384,0)*0.00902),"")</f>
        <v>9.0200000000000002E-3</v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4.1407407407407399</v>
      </c>
      <c r="BN384" s="64">
        <f t="shared" ref="BN384:BN392" si="38">IFERROR(Y384*I384/H384,"0")</f>
        <v>5.59</v>
      </c>
      <c r="BO384" s="64">
        <f t="shared" ref="BO384:BO392" si="39">IFERROR(1/J384*(X384/H384),"0")</f>
        <v>5.6116722783389446E-3</v>
      </c>
      <c r="BP384" s="64">
        <f t="shared" ref="BP384:BP392" si="40">IFERROR(1/J384*(Y384/H384),"0")</f>
        <v>7.575757575757576E-3</v>
      </c>
    </row>
    <row r="385" spans="1:68" ht="27" hidden="1" customHeight="1" x14ac:dyDescent="0.25">
      <c r="A385" s="54" t="s">
        <v>590</v>
      </c>
      <c r="B385" s="54" t="s">
        <v>591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4</v>
      </c>
      <c r="Y386" s="540">
        <f t="shared" si="36"/>
        <v>5.4</v>
      </c>
      <c r="Z386" s="36">
        <f>IFERROR(IF(Y386=0,"",ROUNDUP(Y386/H386,0)*0.00902),"")</f>
        <v>9.0200000000000002E-3</v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4.1407407407407399</v>
      </c>
      <c r="BN386" s="64">
        <f t="shared" si="38"/>
        <v>5.59</v>
      </c>
      <c r="BO386" s="64">
        <f t="shared" si="39"/>
        <v>5.6116722783389446E-3</v>
      </c>
      <c r="BP386" s="64">
        <f t="shared" si="40"/>
        <v>7.575757575757576E-3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600</v>
      </c>
      <c r="B389" s="54" t="s">
        <v>601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603</v>
      </c>
      <c r="B390" s="54" t="s">
        <v>604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271</v>
      </c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609</v>
      </c>
      <c r="B392" s="54" t="s">
        <v>610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1.4814814814814814</v>
      </c>
      <c r="Y393" s="541">
        <f>IFERROR(Y384/H384,"0")+IFERROR(Y385/H385,"0")+IFERROR(Y386/H386,"0")+IFERROR(Y387/H387,"0")+IFERROR(Y388/H388,"0")+IFERROR(Y389/H389,"0")+IFERROR(Y390/H390,"0")+IFERROR(Y391/H391,"0")+IFERROR(Y392/H392,"0")</f>
        <v>2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1.804E-2</v>
      </c>
      <c r="AA393" s="542"/>
      <c r="AB393" s="542"/>
      <c r="AC393" s="542"/>
    </row>
    <row r="394" spans="1:68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8</v>
      </c>
      <c r="Y394" s="541">
        <f>IFERROR(SUM(Y384:Y392),"0")</f>
        <v>10.8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611</v>
      </c>
      <c r="B396" s="54" t="s">
        <v>612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614</v>
      </c>
      <c r="B397" s="54" t="s">
        <v>615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617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618</v>
      </c>
      <c r="B402" s="54" t="s">
        <v>619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621</v>
      </c>
      <c r="B406" s="54" t="s">
        <v>622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110</v>
      </c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1.4</v>
      </c>
      <c r="Y407" s="540">
        <f>IFERROR(IF(X407="",0,CEILING((X407/$H407),1)*$H407),"")</f>
        <v>2.1</v>
      </c>
      <c r="Z407" s="36">
        <f>IFERROR(IF(Y407=0,"",ROUNDUP(Y407/H407,0)*0.00502),"")</f>
        <v>5.0200000000000002E-3</v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1.4866666666666666</v>
      </c>
      <c r="BN407" s="64">
        <f>IFERROR(Y407*I407/H407,"0")</f>
        <v>2.23</v>
      </c>
      <c r="BO407" s="64">
        <f>IFERROR(1/J407*(X407/H407),"0")</f>
        <v>2.8490028490028491E-3</v>
      </c>
      <c r="BP407" s="64">
        <f>IFERROR(1/J407*(Y407/H407),"0")</f>
        <v>4.2735042735042739E-3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0.66666666666666663</v>
      </c>
      <c r="Y410" s="541">
        <f>IFERROR(Y406/H406,"0")+IFERROR(Y407/H407,"0")+IFERROR(Y408/H408,"0")+IFERROR(Y409/H409,"0")</f>
        <v>1</v>
      </c>
      <c r="Z410" s="541">
        <f>IFERROR(IF(Z406="",0,Z406),"0")+IFERROR(IF(Z407="",0,Z407),"0")+IFERROR(IF(Z408="",0,Z408),"0")+IFERROR(IF(Z409="",0,Z409),"0")</f>
        <v>5.0200000000000002E-3</v>
      </c>
      <c r="AA410" s="542"/>
      <c r="AB410" s="542"/>
      <c r="AC410" s="542"/>
    </row>
    <row r="411" spans="1:68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1.4</v>
      </c>
      <c r="Y411" s="541">
        <f>IFERROR(SUM(Y406:Y409),"0")</f>
        <v>2.1</v>
      </c>
      <c r="Z411" s="37"/>
      <c r="AA411" s="542"/>
      <c r="AB411" s="542"/>
      <c r="AC411" s="542"/>
    </row>
    <row r="412" spans="1:68" ht="16.5" hidden="1" customHeight="1" x14ac:dyDescent="0.25">
      <c r="A412" s="548" t="s">
        <v>632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hidden="1" customHeight="1" x14ac:dyDescent="0.25">
      <c r="A414" s="54" t="s">
        <v>633</v>
      </c>
      <c r="B414" s="54" t="s">
        <v>634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636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636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hidden="1" customHeight="1" x14ac:dyDescent="0.25">
      <c r="A420" s="54" t="s">
        <v>637</v>
      </c>
      <c r="B420" s="54" t="s">
        <v>638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hidden="1" customHeight="1" x14ac:dyDescent="0.25">
      <c r="A421" s="54" t="s">
        <v>639</v>
      </c>
      <c r="B421" s="54" t="s">
        <v>640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642</v>
      </c>
      <c r="B422" s="54" t="s">
        <v>643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648</v>
      </c>
      <c r="B424" s="54" t="s">
        <v>649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hidden="1" customHeight="1" x14ac:dyDescent="0.25">
      <c r="A425" s="54" t="s">
        <v>651</v>
      </c>
      <c r="B425" s="54" t="s">
        <v>652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0</v>
      </c>
      <c r="Y425" s="540">
        <f t="shared" si="42"/>
        <v>0</v>
      </c>
      <c r="Z425" s="36" t="str">
        <f t="shared" si="43"/>
        <v/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656</v>
      </c>
      <c r="B427" s="54" t="s">
        <v>657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 t="s">
        <v>110</v>
      </c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 t="s">
        <v>106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idden="1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542"/>
      <c r="AB431" s="542"/>
      <c r="AC431" s="542"/>
    </row>
    <row r="432" spans="1:68" hidden="1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0</v>
      </c>
      <c r="Y432" s="541">
        <f>IFERROR(SUM(Y420:Y430),"0")</f>
        <v>0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hidden="1" customHeight="1" x14ac:dyDescent="0.25">
      <c r="A434" s="54" t="s">
        <v>665</v>
      </c>
      <c r="B434" s="54" t="s">
        <v>666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hidden="1" customHeight="1" x14ac:dyDescent="0.25">
      <c r="A435" s="54" t="s">
        <v>668</v>
      </c>
      <c r="B435" s="54" t="s">
        <v>669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hidden="1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hidden="1" customHeight="1" x14ac:dyDescent="0.25">
      <c r="A440" s="54" t="s">
        <v>672</v>
      </c>
      <c r="B440" s="54" t="s">
        <v>673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hidden="1" customHeight="1" x14ac:dyDescent="0.25">
      <c r="A441" s="54" t="s">
        <v>675</v>
      </c>
      <c r="B441" s="54" t="s">
        <v>676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hidden="1" customHeight="1" x14ac:dyDescent="0.25">
      <c r="A442" s="54" t="s">
        <v>678</v>
      </c>
      <c r="B442" s="54" t="s">
        <v>679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idden="1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hidden="1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687</v>
      </c>
      <c r="B449" s="54" t="s">
        <v>688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690</v>
      </c>
      <c r="B450" s="54" t="s">
        <v>691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693</v>
      </c>
      <c r="B451" s="54" t="s">
        <v>694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696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696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697</v>
      </c>
      <c r="B457" s="54" t="s">
        <v>698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700</v>
      </c>
      <c r="B458" s="54" t="s">
        <v>701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708</v>
      </c>
      <c r="B464" s="54" t="s">
        <v>709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711</v>
      </c>
      <c r="B465" s="54" t="s">
        <v>712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717</v>
      </c>
      <c r="B470" s="54" t="s">
        <v>718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110</v>
      </c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720</v>
      </c>
      <c r="B471" s="54" t="s">
        <v>721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hidden="1" customHeight="1" x14ac:dyDescent="0.25">
      <c r="A475" s="54" t="s">
        <v>723</v>
      </c>
      <c r="B475" s="54" t="s">
        <v>724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726</v>
      </c>
      <c r="B479" s="54" t="s">
        <v>727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729</v>
      </c>
      <c r="B480" s="54" t="s">
        <v>730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732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733</v>
      </c>
      <c r="B485" s="54" t="s">
        <v>734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736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97.4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107.1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737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100.86825396825395</v>
      </c>
      <c r="Y489" s="541">
        <f>IFERROR(SUM(BN22:BN485),"0")</f>
        <v>110.94000000000001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738</v>
      </c>
      <c r="Q490" s="624"/>
      <c r="R490" s="624"/>
      <c r="S490" s="624"/>
      <c r="T490" s="624"/>
      <c r="U490" s="624"/>
      <c r="V490" s="625"/>
      <c r="W490" s="37" t="s">
        <v>739</v>
      </c>
      <c r="X490" s="38">
        <f>ROUNDUP(SUM(BO22:BO485),0)</f>
        <v>1</v>
      </c>
      <c r="Y490" s="38">
        <f>ROUNDUP(SUM(BP22:BP485),0)</f>
        <v>1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740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125.86825396825395</v>
      </c>
      <c r="Y491" s="541">
        <f>GrossWeightTotalR+PalletQtyTotalR*25</f>
        <v>135.94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741</v>
      </c>
      <c r="Q492" s="624"/>
      <c r="R492" s="624"/>
      <c r="S492" s="624"/>
      <c r="T492" s="624"/>
      <c r="U492" s="624"/>
      <c r="V492" s="625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11.968253968253967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14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742</v>
      </c>
      <c r="Q493" s="624"/>
      <c r="R493" s="624"/>
      <c r="S493" s="624"/>
      <c r="T493" s="624"/>
      <c r="U493" s="624"/>
      <c r="V493" s="625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0.17319999999999999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255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533</v>
      </c>
      <c r="T495" s="592"/>
      <c r="U495" s="571" t="s">
        <v>585</v>
      </c>
      <c r="V495" s="591"/>
      <c r="W495" s="592"/>
      <c r="X495" s="536" t="s">
        <v>636</v>
      </c>
      <c r="Y495" s="571" t="s">
        <v>696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745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190</v>
      </c>
      <c r="G496" s="571" t="s">
        <v>220</v>
      </c>
      <c r="H496" s="571" t="s">
        <v>97</v>
      </c>
      <c r="I496" s="571" t="s">
        <v>256</v>
      </c>
      <c r="J496" s="571" t="s">
        <v>297</v>
      </c>
      <c r="K496" s="571" t="s">
        <v>357</v>
      </c>
      <c r="L496" s="571" t="s">
        <v>399</v>
      </c>
      <c r="M496" s="571" t="s">
        <v>415</v>
      </c>
      <c r="N496" s="537"/>
      <c r="O496" s="571" t="s">
        <v>426</v>
      </c>
      <c r="P496" s="571" t="s">
        <v>435</v>
      </c>
      <c r="Q496" s="571" t="s">
        <v>445</v>
      </c>
      <c r="R496" s="571" t="s">
        <v>523</v>
      </c>
      <c r="S496" s="571" t="s">
        <v>534</v>
      </c>
      <c r="T496" s="571" t="s">
        <v>569</v>
      </c>
      <c r="U496" s="571" t="s">
        <v>586</v>
      </c>
      <c r="V496" s="571" t="s">
        <v>617</v>
      </c>
      <c r="W496" s="571" t="s">
        <v>632</v>
      </c>
      <c r="X496" s="571" t="s">
        <v>636</v>
      </c>
      <c r="Y496" s="571" t="s">
        <v>696</v>
      </c>
      <c r="Z496" s="571" t="s">
        <v>732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12.600000000000001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21.6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60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10.8</v>
      </c>
      <c r="V498" s="46">
        <f>IFERROR(Y402*1,"0")+IFERROR(Y406*1,"0")+IFERROR(Y407*1,"0")+IFERROR(Y408*1,"0")+IFERROR(Y409*1,"0")</f>
        <v>2.1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WRF4MJmqRR6Tavdt7qPivXsGT4XLKdcPbQtTqK/KFauPmTUv1iKS21C+RT1KASttqIYhxyOhXGve2EZuV5LQOQ==" saltValue="pX3tFUQDFiOiyGrAXZ47T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7"/>
        <filter val="1"/>
        <filter val="1,00"/>
        <filter val="1,40"/>
        <filter val="1,48"/>
        <filter val="100,87"/>
        <filter val="11,97"/>
        <filter val="12,00"/>
        <filter val="125,87"/>
        <filter val="15,00"/>
        <filter val="16,00"/>
        <filter val="2,86"/>
        <filter val="2,96"/>
        <filter val="3,00"/>
        <filter val="4,00"/>
        <filter val="45,00"/>
        <filter val="8,00"/>
        <filter val="97,40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2 X164:X165 X167:X168 X191 X195:X200 X202 X206:X209 X211:X214 X218:X219 X224 X254 X272:X273 X297 X300 X306 X310 X314:X316 X322:X323 X327 X329 X334:X336 X342:X344 X352 X358 X367 X372 X377:X378 X384 X386 X391 X406 X420:X422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xQmzfAfRBE17OOTyt9DP9XkTRlnt4FmDE0ERGBMnvss1BwXnDfS+XBUzIbJ81ZQYbvu3GmCnKFnsB0A0WCAMdg==" saltValue="hkX0MS6BbQG6JeXipS1x3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