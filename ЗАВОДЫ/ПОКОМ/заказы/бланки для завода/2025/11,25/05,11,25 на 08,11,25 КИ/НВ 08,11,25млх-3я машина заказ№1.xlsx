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29F457-317C-452F-93F2-F28EC82EE6D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Z30" i="1" l="1"/>
  <c r="BN30" i="1"/>
  <c r="Z53" i="1"/>
  <c r="BN53" i="1"/>
  <c r="Z55" i="1"/>
  <c r="BN55" i="1"/>
  <c r="Z75" i="1"/>
  <c r="BN75" i="1"/>
  <c r="Z76" i="1"/>
  <c r="BN76" i="1"/>
  <c r="Z95" i="1"/>
  <c r="BN95" i="1"/>
  <c r="Z114" i="1"/>
  <c r="BN114" i="1"/>
  <c r="Z142" i="1"/>
  <c r="BN142" i="1"/>
  <c r="Z165" i="1"/>
  <c r="BN165" i="1"/>
  <c r="Z175" i="1"/>
  <c r="BN175" i="1"/>
  <c r="Z198" i="1"/>
  <c r="BN198" i="1"/>
  <c r="Z210" i="1"/>
  <c r="BN210" i="1"/>
  <c r="Z227" i="1"/>
  <c r="BN227" i="1"/>
  <c r="Z247" i="1"/>
  <c r="BN247" i="1"/>
  <c r="Z265" i="1"/>
  <c r="BN265" i="1"/>
  <c r="Z279" i="1"/>
  <c r="BN279" i="1"/>
  <c r="Z300" i="1"/>
  <c r="BN300" i="1"/>
  <c r="Z316" i="1"/>
  <c r="BN316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Y453" i="1"/>
  <c r="Z472" i="1"/>
  <c r="BN472" i="1"/>
  <c r="BP61" i="1"/>
  <c r="BN61" i="1"/>
  <c r="Z61" i="1"/>
  <c r="BP80" i="1"/>
  <c r="BN80" i="1"/>
  <c r="Z80" i="1"/>
  <c r="BP100" i="1"/>
  <c r="BN100" i="1"/>
  <c r="Z100" i="1"/>
  <c r="BP116" i="1"/>
  <c r="BN116" i="1"/>
  <c r="Z116" i="1"/>
  <c r="BP148" i="1"/>
  <c r="BN148" i="1"/>
  <c r="Z148" i="1"/>
  <c r="BP167" i="1"/>
  <c r="BN167" i="1"/>
  <c r="Z167" i="1"/>
  <c r="BP177" i="1"/>
  <c r="BN177" i="1"/>
  <c r="Z177" i="1"/>
  <c r="BP200" i="1"/>
  <c r="BN200" i="1"/>
  <c r="Z200" i="1"/>
  <c r="BP212" i="1"/>
  <c r="BN212" i="1"/>
  <c r="Z212" i="1"/>
  <c r="BP229" i="1"/>
  <c r="BN229" i="1"/>
  <c r="Z229" i="1"/>
  <c r="BP249" i="1"/>
  <c r="BN249" i="1"/>
  <c r="Z249" i="1"/>
  <c r="BP267" i="1"/>
  <c r="BN267" i="1"/>
  <c r="Z267" i="1"/>
  <c r="BP290" i="1"/>
  <c r="BN290" i="1"/>
  <c r="Z290" i="1"/>
  <c r="BP302" i="1"/>
  <c r="BN302" i="1"/>
  <c r="Z302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BP73" i="1"/>
  <c r="BN73" i="1"/>
  <c r="Z73" i="1"/>
  <c r="BP93" i="1"/>
  <c r="BN93" i="1"/>
  <c r="Z93" i="1"/>
  <c r="BP108" i="1"/>
  <c r="BN108" i="1"/>
  <c r="Z108" i="1"/>
  <c r="BP131" i="1"/>
  <c r="BN131" i="1"/>
  <c r="Z131" i="1"/>
  <c r="BP135" i="1"/>
  <c r="BN135" i="1"/>
  <c r="Z135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8" i="1"/>
  <c r="BN208" i="1"/>
  <c r="Z208" i="1"/>
  <c r="BP220" i="1"/>
  <c r="BN220" i="1"/>
  <c r="Z220" i="1"/>
  <c r="BP225" i="1"/>
  <c r="BN225" i="1"/>
  <c r="Z225" i="1"/>
  <c r="BP233" i="1"/>
  <c r="BN233" i="1"/>
  <c r="Z233" i="1"/>
  <c r="BP258" i="1"/>
  <c r="BN258" i="1"/>
  <c r="Z258" i="1"/>
  <c r="BP274" i="1"/>
  <c r="BN274" i="1"/>
  <c r="Z274" i="1"/>
  <c r="BP298" i="1"/>
  <c r="BN298" i="1"/>
  <c r="Z298" i="1"/>
  <c r="BP310" i="1"/>
  <c r="BN310" i="1"/>
  <c r="Z310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69" i="1"/>
  <c r="Y83" i="1"/>
  <c r="Y380" i="1"/>
  <c r="Y454" i="1"/>
  <c r="Y31" i="1"/>
  <c r="Y43" i="1"/>
  <c r="Y64" i="1"/>
  <c r="Y70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D499" i="1"/>
  <c r="Y58" i="1"/>
  <c r="Y77" i="1"/>
  <c r="BP81" i="1"/>
  <c r="BN81" i="1"/>
  <c r="Z81" i="1"/>
  <c r="Z82" i="1" s="1"/>
  <c r="E499" i="1"/>
  <c r="Y89" i="1"/>
  <c r="BP86" i="1"/>
  <c r="BN86" i="1"/>
  <c r="Z86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31" i="1" l="1"/>
  <c r="Z473" i="1"/>
  <c r="Z172" i="1"/>
  <c r="Z150" i="1"/>
  <c r="Z117" i="1"/>
  <c r="Z104" i="1"/>
  <c r="Z69" i="1"/>
  <c r="Z178" i="1"/>
  <c r="Y490" i="1"/>
  <c r="Y493" i="1"/>
  <c r="Z304" i="1"/>
  <c r="Z294" i="1"/>
  <c r="Z411" i="1"/>
  <c r="Z193" i="1"/>
  <c r="Y491" i="1"/>
  <c r="Y492" i="1" s="1"/>
  <c r="Z57" i="1"/>
  <c r="Z31" i="1"/>
  <c r="Z235" i="1"/>
  <c r="Z204" i="1"/>
  <c r="Z137" i="1"/>
  <c r="Z462" i="1"/>
  <c r="Z438" i="1"/>
  <c r="Z447" i="1"/>
  <c r="Z432" i="1"/>
  <c r="Z350" i="1"/>
  <c r="Z325" i="1"/>
  <c r="Z338" i="1"/>
  <c r="Z216" i="1"/>
  <c r="Z77" i="1"/>
  <c r="Z63" i="1"/>
  <c r="X492" i="1"/>
  <c r="Z268" i="1"/>
  <c r="Z260" i="1"/>
  <c r="Z251" i="1"/>
  <c r="Z144" i="1"/>
  <c r="Z110" i="1"/>
  <c r="Z394" i="1"/>
  <c r="Z318" i="1"/>
  <c r="Z312" i="1"/>
  <c r="Y489" i="1"/>
  <c r="Z89" i="1"/>
  <c r="Z494" i="1" l="1"/>
</calcChain>
</file>

<file path=xl/sharedStrings.xml><?xml version="1.0" encoding="utf-8"?>
<sst xmlns="http://schemas.openxmlformats.org/spreadsheetml/2006/main" count="2321" uniqueCount="764">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</sst>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763</v>
      </c>
      <c r="I5" s="843"/>
      <c r="J5" s="843"/>
      <c r="K5" s="843"/>
      <c r="L5" s="843"/>
      <c r="M5" s="616"/>
      <c r="N5" s="58"/>
      <c r="P5" s="24" t="s">
        <v>10</v>
      </c>
      <c r="Q5" s="835">
        <v>45969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Суббота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0.45833333333333331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36</v>
      </c>
      <c r="Y42" s="542">
        <f>IFERROR(IF(X42="",0,CEILING((X42/$H42),1)*$H42),"")</f>
        <v>37</v>
      </c>
      <c r="Z42" s="36">
        <f>IFERROR(IF(Y42=0,"",ROUNDUP(Y42/H42,0)*0.00902),"")</f>
        <v>9.0200000000000002E-2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38.043243243243239</v>
      </c>
      <c r="BN42" s="64">
        <f>IFERROR(Y42*I42/H42,"0")</f>
        <v>39.1</v>
      </c>
      <c r="BO42" s="64">
        <f>IFERROR(1/J42*(X42/H42),"0")</f>
        <v>7.3710073710073709E-2</v>
      </c>
      <c r="BP42" s="64">
        <f>IFERROR(1/J42*(Y42/H42),"0")</f>
        <v>7.575757575757576E-2</v>
      </c>
    </row>
    <row r="43" spans="1:68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9.7297297297297298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9.0200000000000002E-2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36</v>
      </c>
      <c r="Y44" s="543">
        <f>IFERROR(SUM(Y40:Y42),"0")</f>
        <v>37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11</v>
      </c>
      <c r="Y54" s="542">
        <f t="shared" si="0"/>
        <v>12</v>
      </c>
      <c r="Z54" s="36">
        <f>IFERROR(IF(Y54=0,"",ROUNDUP(Y54/H54,0)*0.00902),"")</f>
        <v>2.7060000000000001E-2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11.577500000000001</v>
      </c>
      <c r="BN54" s="64">
        <f t="shared" si="2"/>
        <v>12.629999999999999</v>
      </c>
      <c r="BO54" s="64">
        <f t="shared" si="3"/>
        <v>2.0833333333333336E-2</v>
      </c>
      <c r="BP54" s="64">
        <f t="shared" si="4"/>
        <v>2.2727272727272728E-2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2.75</v>
      </c>
      <c r="Y57" s="543">
        <f>IFERROR(Y51/H51,"0")+IFERROR(Y52/H52,"0")+IFERROR(Y53/H53,"0")+IFERROR(Y54/H54,"0")+IFERROR(Y55/H55,"0")+IFERROR(Y56/H56,"0")</f>
        <v>3</v>
      </c>
      <c r="Z57" s="543">
        <f>IFERROR(IF(Z51="",0,Z51),"0")+IFERROR(IF(Z52="",0,Z52),"0")+IFERROR(IF(Z53="",0,Z53),"0")+IFERROR(IF(Z54="",0,Z54),"0")+IFERROR(IF(Z55="",0,Z55),"0")+IFERROR(IF(Z56="",0,Z56),"0")</f>
        <v>2.7060000000000001E-2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11</v>
      </c>
      <c r="Y58" s="543">
        <f>IFERROR(SUM(Y51:Y56),"0")</f>
        <v>12</v>
      </c>
      <c r="Z58" s="37"/>
      <c r="AA58" s="544"/>
      <c r="AB58" s="544"/>
      <c r="AC58" s="544"/>
    </row>
    <row r="59" spans="1:68" ht="14.25" hidden="1" customHeight="1" x14ac:dyDescent="0.25">
      <c r="A59" s="545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152</v>
      </c>
      <c r="B72" s="54" t="s">
        <v>153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 t="s">
        <v>103</v>
      </c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106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165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hidden="1" customHeight="1" x14ac:dyDescent="0.25">
      <c r="A80" s="54" t="s">
        <v>166</v>
      </c>
      <c r="B80" s="54" t="s">
        <v>167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hidden="1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hidden="1" customHeight="1" x14ac:dyDescent="0.25">
      <c r="A84" s="574" t="s">
        <v>172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hidden="1" customHeight="1" x14ac:dyDescent="0.25">
      <c r="A86" s="54" t="s">
        <v>173</v>
      </c>
      <c r="B86" s="54" t="s">
        <v>174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110</v>
      </c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0</v>
      </c>
      <c r="Y88" s="5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0</v>
      </c>
      <c r="Y89" s="543">
        <f>IFERROR(Y86/H86,"0")+IFERROR(Y87/H87,"0")+IFERROR(Y88/H88,"0")</f>
        <v>0</v>
      </c>
      <c r="Z89" s="543">
        <f>IFERROR(IF(Z86="",0,Z86),"0")+IFERROR(IF(Z87="",0,Z87),"0")+IFERROR(IF(Z88="",0,Z88),"0")</f>
        <v>0</v>
      </c>
      <c r="AA89" s="544"/>
      <c r="AB89" s="544"/>
      <c r="AC89" s="544"/>
    </row>
    <row r="90" spans="1:68" hidden="1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0</v>
      </c>
      <c r="Y90" s="543">
        <f>IFERROR(SUM(Y86:Y88),"0")</f>
        <v>0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168</v>
      </c>
      <c r="Y92" s="542">
        <f>IFERROR(IF(X92="",0,CEILING((X92/$H92),1)*$H92),"")</f>
        <v>170.1</v>
      </c>
      <c r="Z92" s="36">
        <f>IFERROR(IF(Y92=0,"",ROUNDUP(Y92/H92,0)*0.01898),"")</f>
        <v>0.39857999999999999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178.76444444444445</v>
      </c>
      <c r="BN92" s="64">
        <f>IFERROR(Y92*I92/H92,"0")</f>
        <v>180.999</v>
      </c>
      <c r="BO92" s="64">
        <f>IFERROR(1/J92*(X92/H92),"0")</f>
        <v>0.32407407407407407</v>
      </c>
      <c r="BP92" s="64">
        <f>IFERROR(1/J92*(Y92/H92),"0")</f>
        <v>0.328125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 t="s">
        <v>188</v>
      </c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 t="s">
        <v>106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 t="s">
        <v>188</v>
      </c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106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20.74074074074074</v>
      </c>
      <c r="Y96" s="543">
        <f>IFERROR(Y92/H92,"0")+IFERROR(Y93/H93,"0")+IFERROR(Y94/H94,"0")+IFERROR(Y95/H95,"0")</f>
        <v>21</v>
      </c>
      <c r="Z96" s="543">
        <f>IFERROR(IF(Z92="",0,Z92),"0")+IFERROR(IF(Z93="",0,Z93),"0")+IFERROR(IF(Z94="",0,Z94),"0")+IFERROR(IF(Z95="",0,Z95),"0")</f>
        <v>0.39857999999999999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168</v>
      </c>
      <c r="Y97" s="543">
        <f>IFERROR(SUM(Y92:Y95),"0")</f>
        <v>170.1</v>
      </c>
      <c r="Z97" s="37"/>
      <c r="AA97" s="544"/>
      <c r="AB97" s="544"/>
      <c r="AC97" s="544"/>
    </row>
    <row r="98" spans="1:68" ht="16.5" hidden="1" customHeight="1" x14ac:dyDescent="0.25">
      <c r="A98" s="574" t="s">
        <v>192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13</v>
      </c>
      <c r="Y100" s="542">
        <f>IFERROR(IF(X100="",0,CEILING((X100/$H100),1)*$H100),"")</f>
        <v>21.6</v>
      </c>
      <c r="Z100" s="36">
        <f>IFERROR(IF(Y100=0,"",ROUNDUP(Y100/H100,0)*0.01898),"")</f>
        <v>3.7960000000000001E-2</v>
      </c>
      <c r="AA100" s="56"/>
      <c r="AB100" s="57"/>
      <c r="AC100" s="143" t="s">
        <v>195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13.52361111111111</v>
      </c>
      <c r="BN100" s="64">
        <f>IFERROR(Y100*I100/H100,"0")</f>
        <v>22.47</v>
      </c>
      <c r="BO100" s="64">
        <f>IFERROR(1/J100*(X100/H100),"0")</f>
        <v>1.8807870370370371E-2</v>
      </c>
      <c r="BP100" s="64">
        <f>IFERROR(1/J100*(Y100/H100),"0")</f>
        <v>3.125E-2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110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35</v>
      </c>
      <c r="Y102" s="542">
        <f>IFERROR(IF(X102="",0,CEILING((X102/$H102),1)*$H102),"")</f>
        <v>36</v>
      </c>
      <c r="Z102" s="36">
        <f>IFERROR(IF(Y102=0,"",ROUNDUP(Y102/H102,0)*0.00902),"")</f>
        <v>7.2160000000000002E-2</v>
      </c>
      <c r="AA102" s="56"/>
      <c r="AB102" s="57"/>
      <c r="AC102" s="147" t="s">
        <v>195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36.633333333333333</v>
      </c>
      <c r="BN102" s="64">
        <f>IFERROR(Y102*I102/H102,"0")</f>
        <v>37.68</v>
      </c>
      <c r="BO102" s="64">
        <f>IFERROR(1/J102*(X102/H102),"0")</f>
        <v>5.8922558922558925E-2</v>
      </c>
      <c r="BP102" s="64">
        <f>IFERROR(1/J102*(Y102/H102),"0")</f>
        <v>6.0606060606060608E-2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8.981481481481481</v>
      </c>
      <c r="Y104" s="543">
        <f>IFERROR(Y100/H100,"0")+IFERROR(Y101/H101,"0")+IFERROR(Y102/H102,"0")+IFERROR(Y103/H103,"0")</f>
        <v>10</v>
      </c>
      <c r="Z104" s="543">
        <f>IFERROR(IF(Z100="",0,Z100),"0")+IFERROR(IF(Z101="",0,Z101),"0")+IFERROR(IF(Z102="",0,Z102),"0")+IFERROR(IF(Z103="",0,Z103),"0")</f>
        <v>0.11012</v>
      </c>
      <c r="AA104" s="544"/>
      <c r="AB104" s="544"/>
      <c r="AC104" s="544"/>
    </row>
    <row r="105" spans="1:68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48</v>
      </c>
      <c r="Y105" s="543">
        <f>IFERROR(SUM(Y100:Y103),"0")</f>
        <v>57.6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135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 t="s">
        <v>188</v>
      </c>
      <c r="M109" s="33" t="s">
        <v>104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17</v>
      </c>
      <c r="Y109" s="542">
        <f>IFERROR(IF(X109="",0,CEILING((X109/$H109),1)*$H109),"")</f>
        <v>19.2</v>
      </c>
      <c r="Z109" s="36">
        <f>IFERROR(IF(Y109=0,"",ROUNDUP(Y109/H109,0)*0.00651),"")</f>
        <v>5.2080000000000001E-2</v>
      </c>
      <c r="AA109" s="56"/>
      <c r="AB109" s="57"/>
      <c r="AC109" s="155" t="s">
        <v>204</v>
      </c>
      <c r="AG109" s="64"/>
      <c r="AJ109" s="68" t="s">
        <v>106</v>
      </c>
      <c r="AK109" s="68">
        <v>33.6</v>
      </c>
      <c r="BB109" s="156" t="s">
        <v>1</v>
      </c>
      <c r="BM109" s="64">
        <f>IFERROR(X109*I109/H109,"0")</f>
        <v>18.275000000000002</v>
      </c>
      <c r="BN109" s="64">
        <f>IFERROR(Y109*I109/H109,"0")</f>
        <v>20.64</v>
      </c>
      <c r="BO109" s="64">
        <f>IFERROR(1/J109*(X109/H109),"0")</f>
        <v>3.8919413919413927E-2</v>
      </c>
      <c r="BP109" s="64">
        <f>IFERROR(1/J109*(Y109/H109),"0")</f>
        <v>4.3956043956043959E-2</v>
      </c>
    </row>
    <row r="110" spans="1:68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7.0833333333333339</v>
      </c>
      <c r="Y110" s="543">
        <f>IFERROR(Y107/H107,"0")+IFERROR(Y108/H108,"0")+IFERROR(Y109/H109,"0")</f>
        <v>8</v>
      </c>
      <c r="Z110" s="543">
        <f>IFERROR(IF(Z107="",0,Z107),"0")+IFERROR(IF(Z108="",0,Z108),"0")+IFERROR(IF(Z109="",0,Z109),"0")</f>
        <v>5.2080000000000001E-2</v>
      </c>
      <c r="AA110" s="544"/>
      <c r="AB110" s="544"/>
      <c r="AC110" s="544"/>
    </row>
    <row r="111" spans="1:68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17</v>
      </c>
      <c r="Y111" s="543">
        <f>IFERROR(SUM(Y107:Y109),"0")</f>
        <v>19.2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39</v>
      </c>
      <c r="Y113" s="542">
        <f>IFERROR(IF(X113="",0,CEILING((X113/$H113),1)*$H113),"")</f>
        <v>40.5</v>
      </c>
      <c r="Z113" s="36">
        <f>IFERROR(IF(Y113=0,"",ROUNDUP(Y113/H113,0)*0.01898),"")</f>
        <v>9.4899999999999998E-2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41.47</v>
      </c>
      <c r="BN113" s="64">
        <f>IFERROR(Y113*I113/H113,"0")</f>
        <v>43.065000000000005</v>
      </c>
      <c r="BO113" s="64">
        <f>IFERROR(1/J113*(X113/H113),"0")</f>
        <v>7.5231481481481483E-2</v>
      </c>
      <c r="BP113" s="64">
        <f>IFERROR(1/J113*(Y113/H113),"0")</f>
        <v>7.8125E-2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188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4.8148148148148149</v>
      </c>
      <c r="Y117" s="543">
        <f>IFERROR(Y113/H113,"0")+IFERROR(Y114/H114,"0")+IFERROR(Y115/H115,"0")+IFERROR(Y116/H116,"0")</f>
        <v>5</v>
      </c>
      <c r="Z117" s="543">
        <f>IFERROR(IF(Z113="",0,Z113),"0")+IFERROR(IF(Z114="",0,Z114),"0")+IFERROR(IF(Z115="",0,Z115),"0")+IFERROR(IF(Z116="",0,Z116),"0")</f>
        <v>9.4899999999999998E-2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39</v>
      </c>
      <c r="Y118" s="543">
        <f>IFERROR(SUM(Y113:Y116),"0")</f>
        <v>40.5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165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hidden="1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hidden="1" customHeight="1" x14ac:dyDescent="0.25">
      <c r="A123" s="574" t="s">
        <v>222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188</v>
      </c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 t="s">
        <v>188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hidden="1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188</v>
      </c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hidden="1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hidden="1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255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258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135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37</v>
      </c>
      <c r="Y163" s="542">
        <f t="shared" ref="Y163:Y171" si="5">IFERROR(IF(X163="",0,CEILING((X163/$H163),1)*$H163),"")</f>
        <v>37.800000000000004</v>
      </c>
      <c r="Z163" s="36">
        <f>IFERROR(IF(Y163=0,"",ROUNDUP(Y163/H163,0)*0.00902),"")</f>
        <v>8.1180000000000002E-2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39.378571428571426</v>
      </c>
      <c r="BN163" s="64">
        <f t="shared" ref="BN163:BN171" si="7">IFERROR(Y163*I163/H163,"0")</f>
        <v>40.229999999999997</v>
      </c>
      <c r="BO163" s="64">
        <f t="shared" ref="BO163:BO171" si="8">IFERROR(1/J163*(X163/H163),"0")</f>
        <v>6.6738816738816736E-2</v>
      </c>
      <c r="BP163" s="64">
        <f t="shared" ref="BP163:BP171" si="9">IFERROR(1/J163*(Y163/H163),"0")</f>
        <v>6.8181818181818177E-2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49</v>
      </c>
      <c r="Y166" s="542">
        <f t="shared" si="5"/>
        <v>50.400000000000006</v>
      </c>
      <c r="Z166" s="36">
        <f>IFERROR(IF(Y166=0,"",ROUNDUP(Y166/H166,0)*0.00502),"")</f>
        <v>0.12048</v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52.033333333333331</v>
      </c>
      <c r="BN166" s="64">
        <f t="shared" si="7"/>
        <v>53.52</v>
      </c>
      <c r="BO166" s="64">
        <f t="shared" si="8"/>
        <v>9.9715099715099717E-2</v>
      </c>
      <c r="BP166" s="64">
        <f t="shared" si="9"/>
        <v>0.10256410256410257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32.142857142857139</v>
      </c>
      <c r="Y172" s="543">
        <f>IFERROR(Y163/H163,"0")+IFERROR(Y164/H164,"0")+IFERROR(Y165/H165,"0")+IFERROR(Y166/H166,"0")+IFERROR(Y167/H167,"0")+IFERROR(Y168/H168,"0")+IFERROR(Y169/H169,"0")+IFERROR(Y170/H170,"0")+IFERROR(Y171/H171,"0")</f>
        <v>33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0.20166000000000001</v>
      </c>
      <c r="AA172" s="544"/>
      <c r="AB172" s="544"/>
      <c r="AC172" s="544"/>
    </row>
    <row r="173" spans="1:68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86</v>
      </c>
      <c r="Y173" s="543">
        <f>IFERROR(SUM(Y163:Y171),"0")</f>
        <v>88.200000000000017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296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74" t="s">
        <v>299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135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188</v>
      </c>
      <c r="M192" s="33" t="s">
        <v>104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95</v>
      </c>
      <c r="Y196" s="542">
        <f t="shared" ref="Y196:Y203" si="10">IFERROR(IF(X196="",0,CEILING((X196/$H196),1)*$H196),"")</f>
        <v>97.2</v>
      </c>
      <c r="Z196" s="36">
        <f>IFERROR(IF(Y196=0,"",ROUNDUP(Y196/H196,0)*0.00902),"")</f>
        <v>0.16236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98.694444444444443</v>
      </c>
      <c r="BN196" s="64">
        <f t="shared" ref="BN196:BN203" si="12">IFERROR(Y196*I196/H196,"0")</f>
        <v>100.98</v>
      </c>
      <c r="BO196" s="64">
        <f t="shared" ref="BO196:BO203" si="13">IFERROR(1/J196*(X196/H196),"0")</f>
        <v>0.13327721661054995</v>
      </c>
      <c r="BP196" s="64">
        <f t="shared" ref="BP196:BP203" si="14">IFERROR(1/J196*(Y196/H196),"0")</f>
        <v>0.13636363636363635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59</v>
      </c>
      <c r="Y199" s="542">
        <f t="shared" si="10"/>
        <v>59.400000000000006</v>
      </c>
      <c r="Z199" s="36">
        <f>IFERROR(IF(Y199=0,"",ROUNDUP(Y199/H199,0)*0.00902),"")</f>
        <v>9.9220000000000003E-2</v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61.294444444444444</v>
      </c>
      <c r="BN199" s="64">
        <f t="shared" si="12"/>
        <v>61.71</v>
      </c>
      <c r="BO199" s="64">
        <f t="shared" si="13"/>
        <v>8.2772166105499437E-2</v>
      </c>
      <c r="BP199" s="64">
        <f t="shared" si="14"/>
        <v>8.3333333333333343E-2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36</v>
      </c>
      <c r="Y200" s="542">
        <f t="shared" si="10"/>
        <v>36</v>
      </c>
      <c r="Z200" s="36">
        <f>IFERROR(IF(Y200=0,"",ROUNDUP(Y200/H200,0)*0.00502),"")</f>
        <v>0.1004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38.6</v>
      </c>
      <c r="BN200" s="64">
        <f t="shared" si="12"/>
        <v>38.6</v>
      </c>
      <c r="BO200" s="64">
        <f t="shared" si="13"/>
        <v>8.5470085470085472E-2</v>
      </c>
      <c r="BP200" s="64">
        <f t="shared" si="14"/>
        <v>8.5470085470085472E-2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8</v>
      </c>
      <c r="Y201" s="542">
        <f t="shared" si="10"/>
        <v>9</v>
      </c>
      <c r="Z201" s="36">
        <f>IFERROR(IF(Y201=0,"",ROUNDUP(Y201/H201,0)*0.00502),"")</f>
        <v>2.5100000000000001E-2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8.4444444444444446</v>
      </c>
      <c r="BN201" s="64">
        <f t="shared" si="12"/>
        <v>9.4999999999999982</v>
      </c>
      <c r="BO201" s="64">
        <f t="shared" si="13"/>
        <v>1.8993352326685663E-2</v>
      </c>
      <c r="BP201" s="64">
        <f t="shared" si="14"/>
        <v>2.1367521367521368E-2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52.962962962962962</v>
      </c>
      <c r="Y204" s="543">
        <f>IFERROR(Y196/H196,"0")+IFERROR(Y197/H197,"0")+IFERROR(Y198/H198,"0")+IFERROR(Y199/H199,"0")+IFERROR(Y200/H200,"0")+IFERROR(Y201/H201,"0")+IFERROR(Y202/H202,"0")+IFERROR(Y203/H203,"0")</f>
        <v>54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0.38708000000000004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198</v>
      </c>
      <c r="Y205" s="543">
        <f>IFERROR(SUM(Y196:Y203),"0")</f>
        <v>201.60000000000002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30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31.922222222222224</v>
      </c>
      <c r="BN207" s="64">
        <f t="shared" ref="BN207:BN215" si="17">IFERROR(Y207*I207/H207,"0")</f>
        <v>34.475999999999999</v>
      </c>
      <c r="BO207" s="64">
        <f t="shared" ref="BO207:BO215" si="18">IFERROR(1/J207*(X207/H207),"0")</f>
        <v>5.7870370370370371E-2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30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335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31.855555555555561</v>
      </c>
      <c r="BN208" s="64">
        <f t="shared" si="17"/>
        <v>34.404000000000003</v>
      </c>
      <c r="BO208" s="64">
        <f t="shared" si="18"/>
        <v>5.7870370370370371E-2</v>
      </c>
      <c r="BP208" s="64">
        <f t="shared" si="19"/>
        <v>6.25E-2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64</v>
      </c>
      <c r="Y210" s="542">
        <f t="shared" si="15"/>
        <v>64.8</v>
      </c>
      <c r="Z210" s="36">
        <f t="shared" ref="Z210:Z215" si="20">IFERROR(IF(Y210=0,"",ROUNDUP(Y210/H210,0)*0.00651),"")</f>
        <v>0.17577000000000001</v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71.2</v>
      </c>
      <c r="BN210" s="64">
        <f t="shared" si="17"/>
        <v>72.09</v>
      </c>
      <c r="BO210" s="64">
        <f t="shared" si="18"/>
        <v>0.14652014652014653</v>
      </c>
      <c r="BP210" s="64">
        <f t="shared" si="19"/>
        <v>0.14835164835164835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188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79</v>
      </c>
      <c r="Y212" s="542">
        <f t="shared" si="15"/>
        <v>79.2</v>
      </c>
      <c r="Z212" s="36">
        <f t="shared" si="20"/>
        <v>0.21482999999999999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87.295000000000002</v>
      </c>
      <c r="BN212" s="64">
        <f t="shared" si="17"/>
        <v>87.51600000000002</v>
      </c>
      <c r="BO212" s="64">
        <f t="shared" si="18"/>
        <v>0.18086080586080591</v>
      </c>
      <c r="BP212" s="64">
        <f t="shared" si="19"/>
        <v>0.18131868131868134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188</v>
      </c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148</v>
      </c>
      <c r="Y213" s="542">
        <f t="shared" si="15"/>
        <v>148.79999999999998</v>
      </c>
      <c r="Z213" s="36">
        <f t="shared" si="20"/>
        <v>0.40362000000000003</v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163.54000000000002</v>
      </c>
      <c r="BN213" s="64">
        <f t="shared" si="17"/>
        <v>164.42400000000001</v>
      </c>
      <c r="BO213" s="64">
        <f t="shared" si="18"/>
        <v>0.3388278388278389</v>
      </c>
      <c r="BP213" s="64">
        <f t="shared" si="19"/>
        <v>0.34065934065934067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188</v>
      </c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188</v>
      </c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28</v>
      </c>
      <c r="Y215" s="542">
        <f t="shared" si="15"/>
        <v>28.799999999999997</v>
      </c>
      <c r="Z215" s="36">
        <f t="shared" si="20"/>
        <v>7.8119999999999995E-2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31.009999999999998</v>
      </c>
      <c r="BN215" s="64">
        <f t="shared" si="17"/>
        <v>31.896000000000001</v>
      </c>
      <c r="BO215" s="64">
        <f t="shared" si="18"/>
        <v>6.4102564102564111E-2</v>
      </c>
      <c r="BP215" s="64">
        <f t="shared" si="19"/>
        <v>6.5934065934065936E-2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140.32407407407408</v>
      </c>
      <c r="Y216" s="543">
        <f>IFERROR(Y207/H207,"0")+IFERROR(Y208/H208,"0")+IFERROR(Y209/H209,"0")+IFERROR(Y210/H210,"0")+IFERROR(Y211/H211,"0")+IFERROR(Y212/H212,"0")+IFERROR(Y213/H213,"0")+IFERROR(Y214/H214,"0")+IFERROR(Y215/H215,"0")</f>
        <v>142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1.0241800000000001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379</v>
      </c>
      <c r="Y217" s="543">
        <f>IFERROR(SUM(Y207:Y215),"0")</f>
        <v>386.40000000000003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165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188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3</v>
      </c>
      <c r="Y219" s="542">
        <f>IFERROR(IF(X219="",0,CEILING((X219/$H219),1)*$H219),"")</f>
        <v>4.8</v>
      </c>
      <c r="Z219" s="36">
        <f>IFERROR(IF(Y219=0,"",ROUNDUP(Y219/H219,0)*0.00651),"")</f>
        <v>1.302E-2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3.3150000000000004</v>
      </c>
      <c r="BN219" s="64">
        <f>IFERROR(Y219*I219/H219,"0")</f>
        <v>5.3040000000000003</v>
      </c>
      <c r="BO219" s="64">
        <f>IFERROR(1/J219*(X219/H219),"0")</f>
        <v>6.8681318681318689E-3</v>
      </c>
      <c r="BP219" s="64">
        <f>IFERROR(1/J219*(Y219/H219),"0")</f>
        <v>1.098901098901099E-2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188</v>
      </c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1.25</v>
      </c>
      <c r="Y221" s="543">
        <f>IFERROR(Y219/H219,"0")+IFERROR(Y220/H220,"0")</f>
        <v>2</v>
      </c>
      <c r="Z221" s="543">
        <f>IFERROR(IF(Z219="",0,Z219),"0")+IFERROR(IF(Z220="",0,Z220),"0")</f>
        <v>1.302E-2</v>
      </c>
      <c r="AA221" s="544"/>
      <c r="AB221" s="544"/>
      <c r="AC221" s="544"/>
    </row>
    <row r="222" spans="1:68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3</v>
      </c>
      <c r="Y222" s="543">
        <f>IFERROR(SUM(Y219:Y220),"0")</f>
        <v>4.8</v>
      </c>
      <c r="Z222" s="37"/>
      <c r="AA222" s="544"/>
      <c r="AB222" s="544"/>
      <c r="AC222" s="544"/>
    </row>
    <row r="223" spans="1:68" ht="16.5" hidden="1" customHeight="1" x14ac:dyDescent="0.25">
      <c r="A223" s="574" t="s">
        <v>359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135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385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45" t="s">
        <v>389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74" t="s">
        <v>401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417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428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188</v>
      </c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188</v>
      </c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120</v>
      </c>
      <c r="Y274" s="542">
        <f>IFERROR(IF(X274="",0,CEILING((X274/$H274),1)*$H274),"")</f>
        <v>120</v>
      </c>
      <c r="Z274" s="36">
        <f>IFERROR(IF(Y274=0,"",ROUNDUP(Y274/H274,0)*0.00651),"")</f>
        <v>0.32550000000000001</v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129.00000000000003</v>
      </c>
      <c r="BN274" s="64">
        <f>IFERROR(Y274*I274/H274,"0")</f>
        <v>129.00000000000003</v>
      </c>
      <c r="BO274" s="64">
        <f>IFERROR(1/J274*(X274/H274),"0")</f>
        <v>0.27472527472527475</v>
      </c>
      <c r="BP274" s="64">
        <f>IFERROR(1/J274*(Y274/H274),"0")</f>
        <v>0.27472527472527475</v>
      </c>
    </row>
    <row r="275" spans="1:68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50</v>
      </c>
      <c r="Y275" s="543">
        <f>IFERROR(Y272/H272,"0")+IFERROR(Y273/H273,"0")+IFERROR(Y274/H274,"0")</f>
        <v>50</v>
      </c>
      <c r="Z275" s="543">
        <f>IFERROR(IF(Z272="",0,Z272),"0")+IFERROR(IF(Z273="",0,Z273),"0")+IFERROR(IF(Z274="",0,Z274),"0")</f>
        <v>0.32550000000000001</v>
      </c>
      <c r="AA275" s="544"/>
      <c r="AB275" s="544"/>
      <c r="AC275" s="544"/>
    </row>
    <row r="276" spans="1:68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120</v>
      </c>
      <c r="Y276" s="543">
        <f>IFERROR(SUM(Y272:Y274),"0")</f>
        <v>120</v>
      </c>
      <c r="Z276" s="37"/>
      <c r="AA276" s="544"/>
      <c r="AB276" s="544"/>
      <c r="AC276" s="544"/>
    </row>
    <row r="277" spans="1:68" ht="16.5" hidden="1" customHeight="1" x14ac:dyDescent="0.25">
      <c r="A277" s="574" t="s">
        <v>437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447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 t="s">
        <v>188</v>
      </c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106</v>
      </c>
      <c r="AK311" s="68">
        <v>37.799999999999997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165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7</v>
      </c>
      <c r="Y315" s="542">
        <f>IFERROR(IF(X315="",0,CEILING((X315/$H315),1)*$H315),"")</f>
        <v>8.4</v>
      </c>
      <c r="Z315" s="36">
        <f>IFERROR(IF(Y315=0,"",ROUNDUP(Y315/H315,0)*0.01898),"")</f>
        <v>1.898E-2</v>
      </c>
      <c r="AA315" s="56"/>
      <c r="AB315" s="57"/>
      <c r="AC315" s="365" t="s">
        <v>498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7.4325000000000001</v>
      </c>
      <c r="BN315" s="64">
        <f>IFERROR(Y315*I315/H315,"0")</f>
        <v>8.9190000000000005</v>
      </c>
      <c r="BO315" s="64">
        <f>IFERROR(1/J315*(X315/H315),"0")</f>
        <v>1.3020833333333332E-2</v>
      </c>
      <c r="BP315" s="64">
        <f>IFERROR(1/J315*(Y315/H315),"0")</f>
        <v>1.5625E-2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22</v>
      </c>
      <c r="Y316" s="542">
        <f>IFERROR(IF(X316="",0,CEILING((X316/$H316),1)*$H316),"")</f>
        <v>23.4</v>
      </c>
      <c r="Z316" s="36">
        <f>IFERROR(IF(Y316=0,"",ROUNDUP(Y316/H316,0)*0.01898),"")</f>
        <v>5.6940000000000004E-2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23.463846153846159</v>
      </c>
      <c r="BN316" s="64">
        <f>IFERROR(Y316*I316/H316,"0")</f>
        <v>24.957000000000001</v>
      </c>
      <c r="BO316" s="64">
        <f>IFERROR(1/J316*(X316/H316),"0")</f>
        <v>4.4070512820512824E-2</v>
      </c>
      <c r="BP316" s="64">
        <f>IFERROR(1/J316*(Y316/H316),"0")</f>
        <v>4.6875E-2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3.6538461538461542</v>
      </c>
      <c r="Y318" s="543">
        <f>IFERROR(Y315/H315,"0")+IFERROR(Y316/H316,"0")+IFERROR(Y317/H317,"0")</f>
        <v>4</v>
      </c>
      <c r="Z318" s="543">
        <f>IFERROR(IF(Z315="",0,Z315),"0")+IFERROR(IF(Z316="",0,Z316),"0")+IFERROR(IF(Z317="",0,Z317),"0")</f>
        <v>7.5920000000000001E-2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29</v>
      </c>
      <c r="Y319" s="543">
        <f>IFERROR(SUM(Y315:Y317),"0")</f>
        <v>31.799999999999997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2" t="s">
        <v>510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188</v>
      </c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188</v>
      </c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516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188</v>
      </c>
      <c r="M328" s="33" t="s">
        <v>519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188</v>
      </c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4" t="s">
        <v>525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188</v>
      </c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44" t="s">
        <v>535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536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209</v>
      </c>
      <c r="Y343" s="542">
        <f t="shared" ref="Y343:Y349" si="31">IFERROR(IF(X343="",0,CEILING((X343/$H343),1)*$H343),"")</f>
        <v>210</v>
      </c>
      <c r="Z343" s="36">
        <f>IFERROR(IF(Y343=0,"",ROUNDUP(Y343/H343,0)*0.02175),"")</f>
        <v>0.30449999999999999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215.68800000000002</v>
      </c>
      <c r="BN343" s="64">
        <f t="shared" ref="BN343:BN349" si="33">IFERROR(Y343*I343/H343,"0")</f>
        <v>216.72</v>
      </c>
      <c r="BO343" s="64">
        <f t="shared" ref="BO343:BO349" si="34">IFERROR(1/J343*(X343/H343),"0")</f>
        <v>0.29027777777777775</v>
      </c>
      <c r="BP343" s="64">
        <f t="shared" ref="BP343:BP349" si="35">IFERROR(1/J343*(Y343/H343),"0")</f>
        <v>0.29166666666666663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194</v>
      </c>
      <c r="Y344" s="542">
        <f t="shared" si="31"/>
        <v>195</v>
      </c>
      <c r="Z344" s="36">
        <f>IFERROR(IF(Y344=0,"",ROUNDUP(Y344/H344,0)*0.02175),"")</f>
        <v>0.28275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200.208</v>
      </c>
      <c r="BN344" s="64">
        <f t="shared" si="33"/>
        <v>201.23999999999998</v>
      </c>
      <c r="BO344" s="64">
        <f t="shared" si="34"/>
        <v>0.26944444444444443</v>
      </c>
      <c r="BP344" s="64">
        <f t="shared" si="35"/>
        <v>0.27083333333333331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234</v>
      </c>
      <c r="Y345" s="542">
        <f t="shared" si="31"/>
        <v>240</v>
      </c>
      <c r="Z345" s="36">
        <f>IFERROR(IF(Y345=0,"",ROUNDUP(Y345/H345,0)*0.02175),"")</f>
        <v>0.34799999999999998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241.488</v>
      </c>
      <c r="BN345" s="64">
        <f t="shared" si="33"/>
        <v>247.68</v>
      </c>
      <c r="BO345" s="64">
        <f t="shared" si="34"/>
        <v>0.32499999999999996</v>
      </c>
      <c r="BP345" s="64">
        <f t="shared" si="35"/>
        <v>0.33333333333333331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530</v>
      </c>
      <c r="Y346" s="542">
        <f t="shared" si="31"/>
        <v>540</v>
      </c>
      <c r="Z346" s="36">
        <f>IFERROR(IF(Y346=0,"",ROUNDUP(Y346/H346,0)*0.02175),"")</f>
        <v>0.78299999999999992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546.95999999999992</v>
      </c>
      <c r="BN346" s="64">
        <f t="shared" si="33"/>
        <v>557.28000000000009</v>
      </c>
      <c r="BO346" s="64">
        <f t="shared" si="34"/>
        <v>0.73611111111111116</v>
      </c>
      <c r="BP346" s="64">
        <f t="shared" si="35"/>
        <v>0.75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77.800000000000011</v>
      </c>
      <c r="Y350" s="543">
        <f>IFERROR(Y343/H343,"0")+IFERROR(Y344/H344,"0")+IFERROR(Y345/H345,"0")+IFERROR(Y346/H346,"0")+IFERROR(Y347/H347,"0")+IFERROR(Y348/H348,"0")+IFERROR(Y349/H349,"0")</f>
        <v>79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1.7182499999999998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1167</v>
      </c>
      <c r="Y351" s="543">
        <f>IFERROR(SUM(Y343:Y349),"0")</f>
        <v>1185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135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272</v>
      </c>
      <c r="Y353" s="542">
        <f>IFERROR(IF(X353="",0,CEILING((X353/$H353),1)*$H353),"")</f>
        <v>285</v>
      </c>
      <c r="Z353" s="36">
        <f>IFERROR(IF(Y353=0,"",ROUNDUP(Y353/H353,0)*0.02175),"")</f>
        <v>0.41324999999999995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280.70400000000001</v>
      </c>
      <c r="BN353" s="64">
        <f>IFERROR(Y353*I353/H353,"0")</f>
        <v>294.12</v>
      </c>
      <c r="BO353" s="64">
        <f>IFERROR(1/J353*(X353/H353),"0")</f>
        <v>0.37777777777777777</v>
      </c>
      <c r="BP353" s="64">
        <f>IFERROR(1/J353*(Y353/H353),"0")</f>
        <v>0.39583333333333331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18.133333333333333</v>
      </c>
      <c r="Y355" s="543">
        <f>IFERROR(Y353/H353,"0")+IFERROR(Y354/H354,"0")</f>
        <v>19</v>
      </c>
      <c r="Z355" s="543">
        <f>IFERROR(IF(Z353="",0,Z353),"0")+IFERROR(IF(Z354="",0,Z354),"0")</f>
        <v>0.41324999999999995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272</v>
      </c>
      <c r="Y356" s="543">
        <f>IFERROR(SUM(Y353:Y354),"0")</f>
        <v>285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85</v>
      </c>
      <c r="Y359" s="542">
        <f>IFERROR(IF(X359="",0,CEILING((X359/$H359),1)*$H359),"")</f>
        <v>90</v>
      </c>
      <c r="Z359" s="36">
        <f>IFERROR(IF(Y359=0,"",ROUNDUP(Y359/H359,0)*0.01898),"")</f>
        <v>0.1898</v>
      </c>
      <c r="AA359" s="56"/>
      <c r="AB359" s="57"/>
      <c r="AC359" s="411" t="s">
        <v>566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89.901666666666671</v>
      </c>
      <c r="BN359" s="64">
        <f>IFERROR(Y359*I359/H359,"0")</f>
        <v>95.19</v>
      </c>
      <c r="BO359" s="64">
        <f>IFERROR(1/J359*(X359/H359),"0")</f>
        <v>0.14756944444444445</v>
      </c>
      <c r="BP359" s="64">
        <f>IFERROR(1/J359*(Y359/H359),"0")</f>
        <v>0.15625</v>
      </c>
    </row>
    <row r="360" spans="1:68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9.4444444444444446</v>
      </c>
      <c r="Y360" s="543">
        <f>IFERROR(Y358/H358,"0")+IFERROR(Y359/H359,"0")</f>
        <v>10</v>
      </c>
      <c r="Z360" s="543">
        <f>IFERROR(IF(Z358="",0,Z358),"0")+IFERROR(IF(Z359="",0,Z359),"0")</f>
        <v>0.1898</v>
      </c>
      <c r="AA360" s="544"/>
      <c r="AB360" s="544"/>
      <c r="AC360" s="544"/>
    </row>
    <row r="361" spans="1:68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85</v>
      </c>
      <c r="Y361" s="543">
        <f>IFERROR(SUM(Y358:Y359),"0")</f>
        <v>90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165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74" t="s">
        <v>570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80</v>
      </c>
      <c r="Y378" s="542">
        <f>IFERROR(IF(X378="",0,CEILING((X378/$H378),1)*$H378),"")</f>
        <v>81</v>
      </c>
      <c r="Z378" s="36">
        <f>IFERROR(IF(Y378=0,"",ROUNDUP(Y378/H378,0)*0.01898),"")</f>
        <v>0.17082</v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84.61333333333333</v>
      </c>
      <c r="BN378" s="64">
        <f>IFERROR(Y378*I378/H378,"0")</f>
        <v>85.670999999999992</v>
      </c>
      <c r="BO378" s="64">
        <f>IFERROR(1/J378*(X378/H378),"0")</f>
        <v>0.1388888888888889</v>
      </c>
      <c r="BP378" s="64">
        <f>IFERROR(1/J378*(Y378/H378),"0")</f>
        <v>0.140625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48</v>
      </c>
      <c r="Y379" s="542">
        <f>IFERROR(IF(X379="",0,CEILING((X379/$H379),1)*$H379),"")</f>
        <v>48</v>
      </c>
      <c r="Z379" s="36">
        <f>IFERROR(IF(Y379=0,"",ROUNDUP(Y379/H379,0)*0.00651),"")</f>
        <v>0.13020000000000001</v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53.280000000000008</v>
      </c>
      <c r="BN379" s="64">
        <f>IFERROR(Y379*I379/H379,"0")</f>
        <v>53.280000000000008</v>
      </c>
      <c r="BO379" s="64">
        <f>IFERROR(1/J379*(X379/H379),"0")</f>
        <v>0.1098901098901099</v>
      </c>
      <c r="BP379" s="64">
        <f>IFERROR(1/J379*(Y379/H379),"0")</f>
        <v>0.1098901098901099</v>
      </c>
    </row>
    <row r="380" spans="1:68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28.888888888888889</v>
      </c>
      <c r="Y380" s="543">
        <f>IFERROR(Y378/H378,"0")+IFERROR(Y379/H379,"0")</f>
        <v>29</v>
      </c>
      <c r="Z380" s="543">
        <f>IFERROR(IF(Z378="",0,Z378),"0")+IFERROR(IF(Z379="",0,Z379),"0")</f>
        <v>0.30102000000000001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128</v>
      </c>
      <c r="Y381" s="543">
        <f>IFERROR(SUM(Y378:Y379),"0")</f>
        <v>129</v>
      </c>
      <c r="Z381" s="37"/>
      <c r="AA381" s="544"/>
      <c r="AB381" s="544"/>
      <c r="AC381" s="544"/>
    </row>
    <row r="382" spans="1:68" ht="27.75" hidden="1" customHeight="1" x14ac:dyDescent="0.2">
      <c r="A382" s="644" t="s">
        <v>586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587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25</v>
      </c>
      <c r="Y385" s="542">
        <f t="shared" ref="Y385:Y393" si="36">IFERROR(IF(X385="",0,CEILING((X385/$H385),1)*$H385),"")</f>
        <v>27</v>
      </c>
      <c r="Z385" s="36">
        <f>IFERROR(IF(Y385=0,"",ROUNDUP(Y385/H385,0)*0.00902),"")</f>
        <v>4.5100000000000001E-2</v>
      </c>
      <c r="AA385" s="56"/>
      <c r="AB385" s="57"/>
      <c r="AC385" s="427" t="s">
        <v>590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25.972222222222221</v>
      </c>
      <c r="BN385" s="64">
        <f t="shared" ref="BN385:BN393" si="38">IFERROR(Y385*I385/H385,"0")</f>
        <v>28.049999999999997</v>
      </c>
      <c r="BO385" s="64">
        <f t="shared" ref="BO385:BO393" si="39">IFERROR(1/J385*(X385/H385),"0")</f>
        <v>3.5072951739618406E-2</v>
      </c>
      <c r="BP385" s="64">
        <f t="shared" ref="BP385:BP393" si="40">IFERROR(1/J385*(Y385/H385),"0")</f>
        <v>3.787878787878788E-2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273</v>
      </c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4.6296296296296298</v>
      </c>
      <c r="Y394" s="543">
        <f>IFERROR(Y385/H385,"0")+IFERROR(Y386/H386,"0")+IFERROR(Y387/H387,"0")+IFERROR(Y388/H388,"0")+IFERROR(Y389/H389,"0")+IFERROR(Y390/H390,"0")+IFERROR(Y391/H391,"0")+IFERROR(Y392/H392,"0")+IFERROR(Y393/H393,"0")</f>
        <v>5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4.5100000000000001E-2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25</v>
      </c>
      <c r="Y395" s="543">
        <f>IFERROR(SUM(Y385:Y393),"0")</f>
        <v>27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618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40</v>
      </c>
      <c r="Y407" s="542">
        <f>IFERROR(IF(X407="",0,CEILING((X407/$H407),1)*$H407),"")</f>
        <v>43.2</v>
      </c>
      <c r="Z407" s="36">
        <f>IFERROR(IF(Y407=0,"",ROUNDUP(Y407/H407,0)*0.00902),"")</f>
        <v>7.2160000000000002E-2</v>
      </c>
      <c r="AA407" s="56"/>
      <c r="AB407" s="57"/>
      <c r="AC407" s="451" t="s">
        <v>624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41.555555555555557</v>
      </c>
      <c r="BN407" s="64">
        <f>IFERROR(Y407*I407/H407,"0")</f>
        <v>44.88</v>
      </c>
      <c r="BO407" s="64">
        <f>IFERROR(1/J407*(X407/H407),"0")</f>
        <v>5.6116722783389444E-2</v>
      </c>
      <c r="BP407" s="64">
        <f>IFERROR(1/J407*(Y407/H407),"0")</f>
        <v>6.0606060606060608E-2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7.4074074074074066</v>
      </c>
      <c r="Y411" s="543">
        <f>IFERROR(Y407/H407,"0")+IFERROR(Y408/H408,"0")+IFERROR(Y409/H409,"0")+IFERROR(Y410/H410,"0")</f>
        <v>8</v>
      </c>
      <c r="Z411" s="543">
        <f>IFERROR(IF(Z407="",0,Z407),"0")+IFERROR(IF(Z408="",0,Z408),"0")+IFERROR(IF(Z409="",0,Z409),"0")+IFERROR(IF(Z410="",0,Z410),"0")</f>
        <v>7.2160000000000002E-2</v>
      </c>
      <c r="AA411" s="544"/>
      <c r="AB411" s="544"/>
      <c r="AC411" s="544"/>
    </row>
    <row r="412" spans="1:68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40</v>
      </c>
      <c r="Y412" s="543">
        <f>IFERROR(SUM(Y407:Y410),"0")</f>
        <v>43.2</v>
      </c>
      <c r="Z412" s="37"/>
      <c r="AA412" s="544"/>
      <c r="AB412" s="544"/>
      <c r="AC412" s="544"/>
    </row>
    <row r="413" spans="1:68" ht="16.5" hidden="1" customHeight="1" x14ac:dyDescent="0.25">
      <c r="A413" s="574" t="s">
        <v>633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4" t="s">
        <v>637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637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87</v>
      </c>
      <c r="Y421" s="542">
        <f t="shared" ref="Y421:Y431" si="42">IFERROR(IF(X421="",0,CEILING((X421/$H421),1)*$H421),"")</f>
        <v>89.76</v>
      </c>
      <c r="Z421" s="36">
        <f t="shared" ref="Z421:Z426" si="43">IFERROR(IF(Y421=0,"",ROUNDUP(Y421/H421,0)*0.01196),"")</f>
        <v>0.20332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92.931818181818173</v>
      </c>
      <c r="BN421" s="64">
        <f t="shared" ref="BN421:BN431" si="45">IFERROR(Y421*I421/H421,"0")</f>
        <v>95.88</v>
      </c>
      <c r="BO421" s="64">
        <f t="shared" ref="BO421:BO431" si="46">IFERROR(1/J421*(X421/H421),"0")</f>
        <v>0.15843531468531469</v>
      </c>
      <c r="BP421" s="64">
        <f t="shared" ref="BP421:BP431" si="47">IFERROR(1/J421*(Y421/H421),"0")</f>
        <v>0.16346153846153846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75</v>
      </c>
      <c r="Y423" s="542">
        <f t="shared" si="42"/>
        <v>79.2</v>
      </c>
      <c r="Z423" s="36">
        <f t="shared" si="43"/>
        <v>0.1794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80.11363636363636</v>
      </c>
      <c r="BN423" s="64">
        <f t="shared" si="45"/>
        <v>84.6</v>
      </c>
      <c r="BO423" s="64">
        <f t="shared" si="46"/>
        <v>0.13658216783216784</v>
      </c>
      <c r="BP423" s="64">
        <f t="shared" si="47"/>
        <v>0.14423076923076925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30.68181818181818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0.38272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162</v>
      </c>
      <c r="Y433" s="543">
        <f>IFERROR(SUM(Y421:Y431),"0")</f>
        <v>168.96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122</v>
      </c>
      <c r="Y435" s="542">
        <f>IFERROR(IF(X435="",0,CEILING((X435/$H435),1)*$H435),"")</f>
        <v>126.72</v>
      </c>
      <c r="Z435" s="36">
        <f>IFERROR(IF(Y435=0,"",ROUNDUP(Y435/H435,0)*0.01196),"")</f>
        <v>0.28704000000000002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130.31818181818178</v>
      </c>
      <c r="BN435" s="64">
        <f>IFERROR(Y435*I435/H435,"0")</f>
        <v>135.35999999999999</v>
      </c>
      <c r="BO435" s="64">
        <f>IFERROR(1/J435*(X435/H435),"0")</f>
        <v>0.22217365967365968</v>
      </c>
      <c r="BP435" s="64">
        <f>IFERROR(1/J435*(Y435/H435),"0")</f>
        <v>0.23076923076923078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23.106060606060606</v>
      </c>
      <c r="Y438" s="543">
        <f>IFERROR(Y435/H435,"0")+IFERROR(Y436/H436,"0")+IFERROR(Y437/H437,"0")</f>
        <v>24</v>
      </c>
      <c r="Z438" s="543">
        <f>IFERROR(IF(Z435="",0,Z435),"0")+IFERROR(IF(Z436="",0,Z436),"0")+IFERROR(IF(Z437="",0,Z437),"0")</f>
        <v>0.28704000000000002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122</v>
      </c>
      <c r="Y439" s="543">
        <f>IFERROR(SUM(Y435:Y437),"0")</f>
        <v>126.72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6</v>
      </c>
      <c r="Y441" s="542">
        <f t="shared" ref="Y441:Y446" si="48">IFERROR(IF(X441="",0,CEILING((X441/$H441),1)*$H441),"")</f>
        <v>10.56</v>
      </c>
      <c r="Z441" s="36">
        <f>IFERROR(IF(Y441=0,"",ROUNDUP(Y441/H441,0)*0.01196),"")</f>
        <v>2.392E-2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6.4090909090909083</v>
      </c>
      <c r="BN441" s="64">
        <f t="shared" ref="BN441:BN446" si="50">IFERROR(Y441*I441/H441,"0")</f>
        <v>11.28</v>
      </c>
      <c r="BO441" s="64">
        <f t="shared" ref="BO441:BO446" si="51">IFERROR(1/J441*(X441/H441),"0")</f>
        <v>1.0926573426573426E-2</v>
      </c>
      <c r="BP441" s="64">
        <f t="shared" ref="BP441:BP446" si="52">IFERROR(1/J441*(Y441/H441),"0")</f>
        <v>1.9230769230769232E-2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7</v>
      </c>
      <c r="Y442" s="542">
        <f t="shared" si="48"/>
        <v>10.56</v>
      </c>
      <c r="Z442" s="36">
        <f>IFERROR(IF(Y442=0,"",ROUNDUP(Y442/H442,0)*0.01196),"")</f>
        <v>2.392E-2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7.4772727272727266</v>
      </c>
      <c r="BN442" s="64">
        <f t="shared" si="50"/>
        <v>11.28</v>
      </c>
      <c r="BO442" s="64">
        <f t="shared" si="51"/>
        <v>1.2747668997668998E-2</v>
      </c>
      <c r="BP442" s="64">
        <f t="shared" si="52"/>
        <v>1.9230769230769232E-2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2.4621212121212119</v>
      </c>
      <c r="Y447" s="543">
        <f>IFERROR(Y441/H441,"0")+IFERROR(Y442/H442,"0")+IFERROR(Y443/H443,"0")+IFERROR(Y444/H444,"0")+IFERROR(Y445/H445,"0")+IFERROR(Y446/H446,"0")</f>
        <v>4</v>
      </c>
      <c r="Z447" s="543">
        <f>IFERROR(IF(Z441="",0,Z441),"0")+IFERROR(IF(Z442="",0,Z442),"0")+IFERROR(IF(Z443="",0,Z443),"0")+IFERROR(IF(Z444="",0,Z444),"0")+IFERROR(IF(Z445="",0,Z445),"0")+IFERROR(IF(Z446="",0,Z446),"0")</f>
        <v>4.7840000000000001E-2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13</v>
      </c>
      <c r="Y448" s="543">
        <f>IFERROR(SUM(Y441:Y446),"0")</f>
        <v>21.12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697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697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91</v>
      </c>
      <c r="Y476" s="542">
        <f>IFERROR(IF(X476="",0,CEILING((X476/$H476),1)*$H476),"")</f>
        <v>99</v>
      </c>
      <c r="Z476" s="36">
        <f>IFERROR(IF(Y476=0,"",ROUNDUP(Y476/H476,0)*0.01898),"")</f>
        <v>0.20877999999999999</v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96.247666666666674</v>
      </c>
      <c r="BN476" s="64">
        <f>IFERROR(Y476*I476/H476,"0")</f>
        <v>104.709</v>
      </c>
      <c r="BO476" s="64">
        <f>IFERROR(1/J476*(X476/H476),"0")</f>
        <v>0.1579861111111111</v>
      </c>
      <c r="BP476" s="64">
        <f>IFERROR(1/J476*(Y476/H476),"0")</f>
        <v>0.171875</v>
      </c>
    </row>
    <row r="477" spans="1:68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10.111111111111111</v>
      </c>
      <c r="Y477" s="543">
        <f>IFERROR(Y476/H476,"0")</f>
        <v>11</v>
      </c>
      <c r="Z477" s="543">
        <f>IFERROR(IF(Z476="",0,Z476),"0")</f>
        <v>0.20877999999999999</v>
      </c>
      <c r="AA477" s="544"/>
      <c r="AB477" s="544"/>
      <c r="AC477" s="544"/>
    </row>
    <row r="478" spans="1:68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91</v>
      </c>
      <c r="Y478" s="543">
        <f>IFERROR(SUM(Y476:Y476),"0")</f>
        <v>99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165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733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737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3239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3344.1999999999994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738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3410.634938603439</v>
      </c>
      <c r="Y490" s="543">
        <f>IFERROR(SUM(BN22:BN486),"0")</f>
        <v>3521.3300000000013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739</v>
      </c>
      <c r="Q491" s="620"/>
      <c r="R491" s="620"/>
      <c r="S491" s="620"/>
      <c r="T491" s="620"/>
      <c r="U491" s="620"/>
      <c r="V491" s="621"/>
      <c r="W491" s="37" t="s">
        <v>740</v>
      </c>
      <c r="X491" s="38">
        <f>ROUNDUP(SUM(BO22:BO486),0)</f>
        <v>6</v>
      </c>
      <c r="Y491" s="38">
        <f>ROUNDUP(SUM(BP22:BP486),0)</f>
        <v>6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741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3560.634938603439</v>
      </c>
      <c r="Y492" s="543">
        <f>GrossWeightTotalR+PalletQtyTotalR*25</f>
        <v>3671.3300000000013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742</v>
      </c>
      <c r="Q493" s="620"/>
      <c r="R493" s="620"/>
      <c r="S493" s="620"/>
      <c r="T493" s="620"/>
      <c r="U493" s="620"/>
      <c r="V493" s="621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547.09865524865529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563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743</v>
      </c>
      <c r="Q494" s="620"/>
      <c r="R494" s="620"/>
      <c r="S494" s="620"/>
      <c r="T494" s="620"/>
      <c r="U494" s="620"/>
      <c r="V494" s="621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6.4662599999999992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257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535</v>
      </c>
      <c r="T496" s="635"/>
      <c r="U496" s="590" t="s">
        <v>586</v>
      </c>
      <c r="V496" s="667"/>
      <c r="W496" s="635"/>
      <c r="X496" s="538" t="s">
        <v>637</v>
      </c>
      <c r="Y496" s="590" t="s">
        <v>697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746</v>
      </c>
      <c r="B497" s="590" t="s">
        <v>63</v>
      </c>
      <c r="C497" s="590" t="s">
        <v>98</v>
      </c>
      <c r="D497" s="590" t="s">
        <v>116</v>
      </c>
      <c r="E497" s="590" t="s">
        <v>172</v>
      </c>
      <c r="F497" s="590" t="s">
        <v>192</v>
      </c>
      <c r="G497" s="590" t="s">
        <v>222</v>
      </c>
      <c r="H497" s="590" t="s">
        <v>97</v>
      </c>
      <c r="I497" s="590" t="s">
        <v>258</v>
      </c>
      <c r="J497" s="590" t="s">
        <v>299</v>
      </c>
      <c r="K497" s="590" t="s">
        <v>359</v>
      </c>
      <c r="L497" s="590" t="s">
        <v>401</v>
      </c>
      <c r="M497" s="590" t="s">
        <v>417</v>
      </c>
      <c r="N497" s="539"/>
      <c r="O497" s="590" t="s">
        <v>428</v>
      </c>
      <c r="P497" s="590" t="s">
        <v>437</v>
      </c>
      <c r="Q497" s="590" t="s">
        <v>447</v>
      </c>
      <c r="R497" s="590" t="s">
        <v>525</v>
      </c>
      <c r="S497" s="590" t="s">
        <v>536</v>
      </c>
      <c r="T497" s="590" t="s">
        <v>570</v>
      </c>
      <c r="U497" s="590" t="s">
        <v>587</v>
      </c>
      <c r="V497" s="590" t="s">
        <v>618</v>
      </c>
      <c r="W497" s="590" t="s">
        <v>633</v>
      </c>
      <c r="X497" s="590" t="s">
        <v>637</v>
      </c>
      <c r="Y497" s="590" t="s">
        <v>697</v>
      </c>
      <c r="Z497" s="590" t="s">
        <v>733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37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12</v>
      </c>
      <c r="E499" s="46">
        <f>IFERROR(Y86*1,"0")+IFERROR(Y87*1,"0")+IFERROR(Y88*1,"0")+IFERROR(Y92*1,"0")+IFERROR(Y93*1,"0")+IFERROR(Y94*1,"0")+IFERROR(Y95*1,"0")</f>
        <v>170.1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117.3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88.200000000000017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592.79999999999995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120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31.799999999999997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1560</v>
      </c>
      <c r="T499" s="46">
        <f>IFERROR(Y368*1,"0")+IFERROR(Y369*1,"0")+IFERROR(Y373*1,"0")+IFERROR(Y374*1,"0")+IFERROR(Y378*1,"0")+IFERROR(Y379*1,"0")</f>
        <v>129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27</v>
      </c>
      <c r="V499" s="46">
        <f>IFERROR(Y403*1,"0")+IFERROR(Y407*1,"0")+IFERROR(Y408*1,"0")+IFERROR(Y409*1,"0")+IFERROR(Y410*1,"0")</f>
        <v>43.2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316.8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99</v>
      </c>
      <c r="Z499" s="46">
        <f>IFERROR(Y486*1,"0")</f>
        <v>0</v>
      </c>
      <c r="AB499" s="52"/>
      <c r="AC499" s="52"/>
      <c r="AF499" s="539"/>
    </row>
  </sheetData>
  <sheetProtection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7,00"/>
        <filter val="1,25"/>
        <filter val="10,11"/>
        <filter val="11,00"/>
        <filter val="120,00"/>
        <filter val="122,00"/>
        <filter val="128,00"/>
        <filter val="13,00"/>
        <filter val="140,32"/>
        <filter val="148,00"/>
        <filter val="162,00"/>
        <filter val="168,00"/>
        <filter val="17,00"/>
        <filter val="18,13"/>
        <filter val="194,00"/>
        <filter val="198,00"/>
        <filter val="2,46"/>
        <filter val="2,75"/>
        <filter val="20,74"/>
        <filter val="209,00"/>
        <filter val="22,00"/>
        <filter val="23,11"/>
        <filter val="234,00"/>
        <filter val="25,00"/>
        <filter val="272,00"/>
        <filter val="28,00"/>
        <filter val="28,89"/>
        <filter val="29,00"/>
        <filter val="3 239,00"/>
        <filter val="3 410,63"/>
        <filter val="3 560,63"/>
        <filter val="3,00"/>
        <filter val="3,65"/>
        <filter val="30,00"/>
        <filter val="30,68"/>
        <filter val="32,14"/>
        <filter val="35,00"/>
        <filter val="36,00"/>
        <filter val="37,00"/>
        <filter val="379,00"/>
        <filter val="39,00"/>
        <filter val="4,63"/>
        <filter val="4,81"/>
        <filter val="40,00"/>
        <filter val="48,00"/>
        <filter val="49,00"/>
        <filter val="50,00"/>
        <filter val="52,96"/>
        <filter val="530,00"/>
        <filter val="547,10"/>
        <filter val="59,00"/>
        <filter val="6"/>
        <filter val="6,00"/>
        <filter val="64,00"/>
        <filter val="7,00"/>
        <filter val="7,08"/>
        <filter val="7,41"/>
        <filter val="75,00"/>
        <filter val="77,80"/>
        <filter val="79,00"/>
        <filter val="8,00"/>
        <filter val="8,98"/>
        <filter val="80,00"/>
        <filter val="85,00"/>
        <filter val="86,00"/>
        <filter val="87,00"/>
        <filter val="9,44"/>
        <filter val="9,73"/>
        <filter val="91,00"/>
        <filter val="95,00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3 X80 X86 X88 X92 X94:X95 X100:X102 X107 X109 X113 X115 X125:X126 X131 X163 X165:X166 X168:X169 X192 X196:X201 X203 X207:X210 X212:X215 X219:X220 X225 X255 X273:X274 X298 X301 X307 X311 X315:X317 X323:X324 X328 X330 X335:X337 X343:X346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2025-11-05T11:13:38Z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