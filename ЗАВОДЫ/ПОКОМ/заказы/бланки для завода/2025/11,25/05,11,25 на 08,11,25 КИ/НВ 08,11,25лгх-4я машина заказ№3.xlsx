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3E309F-4CFB-4D5C-96C5-8C3CFFB5D07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N249" i="1"/>
  <c r="BM249" i="1"/>
  <c r="Z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Y173" i="1" s="1"/>
  <c r="P163" i="1"/>
  <c r="X161" i="1"/>
  <c r="X160" i="1"/>
  <c r="BO159" i="1"/>
  <c r="BM159" i="1"/>
  <c r="Y159" i="1"/>
  <c r="Y160" i="1" s="1"/>
  <c r="P159" i="1"/>
  <c r="X155" i="1"/>
  <c r="X154" i="1"/>
  <c r="BO153" i="1"/>
  <c r="BM153" i="1"/>
  <c r="Y153" i="1"/>
  <c r="Y155" i="1" s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Y151" i="1" s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Z29" i="1" l="1"/>
  <c r="BN29" i="1"/>
  <c r="Z56" i="1"/>
  <c r="BN56" i="1"/>
  <c r="Z68" i="1"/>
  <c r="BN68" i="1"/>
  <c r="Z80" i="1"/>
  <c r="BN80" i="1"/>
  <c r="Z100" i="1"/>
  <c r="BN100" i="1"/>
  <c r="Y105" i="1"/>
  <c r="Z116" i="1"/>
  <c r="BN116" i="1"/>
  <c r="Z142" i="1"/>
  <c r="BN142" i="1"/>
  <c r="Z165" i="1"/>
  <c r="BN165" i="1"/>
  <c r="Z175" i="1"/>
  <c r="Z178" i="1" s="1"/>
  <c r="BN175" i="1"/>
  <c r="Z198" i="1"/>
  <c r="BN198" i="1"/>
  <c r="Z210" i="1"/>
  <c r="BN210" i="1"/>
  <c r="Z225" i="1"/>
  <c r="BN225" i="1"/>
  <c r="Z233" i="1"/>
  <c r="BN233" i="1"/>
  <c r="Z265" i="1"/>
  <c r="BN265" i="1"/>
  <c r="Z279" i="1"/>
  <c r="BN279" i="1"/>
  <c r="Z300" i="1"/>
  <c r="BN300" i="1"/>
  <c r="Z316" i="1"/>
  <c r="BN316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0" i="1"/>
  <c r="X492" i="1" s="1"/>
  <c r="X493" i="1"/>
  <c r="Z27" i="1"/>
  <c r="BN27" i="1"/>
  <c r="Z41" i="1"/>
  <c r="BN41" i="1"/>
  <c r="Y57" i="1"/>
  <c r="Z54" i="1"/>
  <c r="BN54" i="1"/>
  <c r="Z60" i="1"/>
  <c r="BN60" i="1"/>
  <c r="BP60" i="1"/>
  <c r="Y63" i="1"/>
  <c r="Z66" i="1"/>
  <c r="BN66" i="1"/>
  <c r="BP66" i="1"/>
  <c r="Y69" i="1"/>
  <c r="Z72" i="1"/>
  <c r="BN72" i="1"/>
  <c r="Z76" i="1"/>
  <c r="BN76" i="1"/>
  <c r="Y82" i="1"/>
  <c r="Z87" i="1"/>
  <c r="BN87" i="1"/>
  <c r="Z95" i="1"/>
  <c r="BN95" i="1"/>
  <c r="Z102" i="1"/>
  <c r="BN102" i="1"/>
  <c r="Z114" i="1"/>
  <c r="BN114" i="1"/>
  <c r="Z120" i="1"/>
  <c r="Z121" i="1" s="1"/>
  <c r="BN120" i="1"/>
  <c r="BP120" i="1"/>
  <c r="Y121" i="1"/>
  <c r="Z125" i="1"/>
  <c r="BN125" i="1"/>
  <c r="Z135" i="1"/>
  <c r="BN135" i="1"/>
  <c r="BP135" i="1"/>
  <c r="Z148" i="1"/>
  <c r="BN148" i="1"/>
  <c r="Z153" i="1"/>
  <c r="Z154" i="1" s="1"/>
  <c r="BN153" i="1"/>
  <c r="BP153" i="1"/>
  <c r="Y154" i="1"/>
  <c r="Z159" i="1"/>
  <c r="Z160" i="1" s="1"/>
  <c r="BN159" i="1"/>
  <c r="BP159" i="1"/>
  <c r="Z163" i="1"/>
  <c r="BN163" i="1"/>
  <c r="BP163" i="1"/>
  <c r="Z167" i="1"/>
  <c r="BN167" i="1"/>
  <c r="Z171" i="1"/>
  <c r="BN171" i="1"/>
  <c r="Y179" i="1"/>
  <c r="Z177" i="1"/>
  <c r="BN177" i="1"/>
  <c r="Y178" i="1"/>
  <c r="Z181" i="1"/>
  <c r="Z182" i="1" s="1"/>
  <c r="BN181" i="1"/>
  <c r="BP181" i="1"/>
  <c r="Y182" i="1"/>
  <c r="Z186" i="1"/>
  <c r="BN186" i="1"/>
  <c r="Z196" i="1"/>
  <c r="BN196" i="1"/>
  <c r="BP196" i="1"/>
  <c r="Z200" i="1"/>
  <c r="BN200" i="1"/>
  <c r="Z208" i="1"/>
  <c r="BN208" i="1"/>
  <c r="Z212" i="1"/>
  <c r="BN212" i="1"/>
  <c r="Z220" i="1"/>
  <c r="BN220" i="1"/>
  <c r="Z227" i="1"/>
  <c r="BN227" i="1"/>
  <c r="Z231" i="1"/>
  <c r="BN231" i="1"/>
  <c r="Z247" i="1"/>
  <c r="BN247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BN67" i="1"/>
  <c r="BP67" i="1"/>
  <c r="Y78" i="1"/>
  <c r="Z73" i="1"/>
  <c r="BN73" i="1"/>
  <c r="Z75" i="1"/>
  <c r="BN75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H9" i="1"/>
  <c r="Y24" i="1"/>
  <c r="Y44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BP143" i="1"/>
  <c r="BN143" i="1"/>
  <c r="Z143" i="1"/>
  <c r="Y145" i="1"/>
  <c r="Y150" i="1"/>
  <c r="BP147" i="1"/>
  <c r="BN147" i="1"/>
  <c r="Z147" i="1"/>
  <c r="Z150" i="1" s="1"/>
  <c r="BP166" i="1"/>
  <c r="BN166" i="1"/>
  <c r="Z166" i="1"/>
  <c r="BP170" i="1"/>
  <c r="BN170" i="1"/>
  <c r="Z170" i="1"/>
  <c r="BP187" i="1"/>
  <c r="BN187" i="1"/>
  <c r="Z187" i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62" i="1"/>
  <c r="Z453" i="1"/>
  <c r="Z411" i="1"/>
  <c r="Z380" i="1"/>
  <c r="Z188" i="1"/>
  <c r="Z117" i="1"/>
  <c r="Z104" i="1"/>
  <c r="Z77" i="1"/>
  <c r="Z69" i="1"/>
  <c r="Z235" i="1"/>
  <c r="Z438" i="1"/>
  <c r="Z172" i="1"/>
  <c r="Z96" i="1"/>
  <c r="Z137" i="1"/>
  <c r="Z57" i="1"/>
  <c r="Z447" i="1"/>
  <c r="Z432" i="1"/>
  <c r="Z338" i="1"/>
  <c r="Z216" i="1"/>
  <c r="Y489" i="1"/>
  <c r="Z204" i="1"/>
  <c r="Z144" i="1"/>
  <c r="Z110" i="1"/>
  <c r="Z89" i="1"/>
  <c r="Z43" i="1"/>
  <c r="Z31" i="1"/>
  <c r="Y491" i="1"/>
  <c r="Z394" i="1"/>
  <c r="Z304" i="1"/>
  <c r="Z294" i="1"/>
  <c r="Z318" i="1"/>
  <c r="Z312" i="1"/>
  <c r="Z268" i="1"/>
  <c r="Z260" i="1"/>
  <c r="Z251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<sst xmlns="http://schemas.openxmlformats.org/spreadsheetml/2006/main" count="2257" uniqueCount="764">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</sst>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467</v>
      </c>
      <c r="Y40" s="542">
        <f>IFERROR(IF(X40="",0,CEILING((X40/$H40),1)*$H40),"")</f>
        <v>475.20000000000005</v>
      </c>
      <c r="Z40" s="36">
        <f>IFERROR(IF(Y40=0,"",ROUNDUP(Y40/H40,0)*0.01898),"")</f>
        <v>0.83511999999999997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485.80972222222221</v>
      </c>
      <c r="BN40" s="64">
        <f>IFERROR(Y40*I40/H40,"0")</f>
        <v>494.34</v>
      </c>
      <c r="BO40" s="64">
        <f>IFERROR(1/J40*(X40/H40),"0")</f>
        <v>0.67563657407407407</v>
      </c>
      <c r="BP40" s="64">
        <f>IFERROR(1/J40*(Y40/H40),"0")</f>
        <v>0.6875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104</v>
      </c>
      <c r="Y42" s="542">
        <f>IFERROR(IF(X42="",0,CEILING((X42/$H42),1)*$H42),"")</f>
        <v>107.30000000000001</v>
      </c>
      <c r="Z42" s="36">
        <f>IFERROR(IF(Y42=0,"",ROUNDUP(Y42/H42,0)*0.00902),"")</f>
        <v>0.26158000000000003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109.9027027027027</v>
      </c>
      <c r="BN42" s="64">
        <f>IFERROR(Y42*I42/H42,"0")</f>
        <v>113.39000000000001</v>
      </c>
      <c r="BO42" s="64">
        <f>IFERROR(1/J42*(X42/H42),"0")</f>
        <v>0.21294021294021293</v>
      </c>
      <c r="BP42" s="64">
        <f>IFERROR(1/J42*(Y42/H42),"0")</f>
        <v>0.2196969696969697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71.348848848848846</v>
      </c>
      <c r="Y43" s="543">
        <f>IFERROR(Y40/H40,"0")+IFERROR(Y41/H41,"0")+IFERROR(Y42/H42,"0")</f>
        <v>73</v>
      </c>
      <c r="Z43" s="543">
        <f>IFERROR(IF(Z40="",0,Z40),"0")+IFERROR(IF(Z41="",0,Z41),"0")+IFERROR(IF(Z42="",0,Z42),"0")</f>
        <v>1.0967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571</v>
      </c>
      <c r="Y44" s="543">
        <f>IFERROR(SUM(Y40:Y42),"0")</f>
        <v>582.5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107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111.30972222222222</v>
      </c>
      <c r="BN52" s="64">
        <f t="shared" si="2"/>
        <v>112.34999999999998</v>
      </c>
      <c r="BO52" s="64">
        <f t="shared" si="3"/>
        <v>0.15480324074074073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9.9074074074074066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0.1898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107</v>
      </c>
      <c r="Y58" s="543">
        <f>IFERROR(SUM(Y51:Y56),"0")</f>
        <v>108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172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178.92777777777775</v>
      </c>
      <c r="BN60" s="64">
        <f>IFERROR(Y60*I60/H60,"0")</f>
        <v>179.76</v>
      </c>
      <c r="BO60" s="64">
        <f>IFERROR(1/J60*(X60/H60),"0")</f>
        <v>0.24884259259259259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15.925925925925926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172</v>
      </c>
      <c r="Y64" s="543">
        <f>IFERROR(SUM(Y60:Y62),"0")</f>
        <v>172.8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23</v>
      </c>
      <c r="Y81" s="542">
        <f>IFERROR(IF(X81="",0,CEILING((X81/$H81),1)*$H81),"")</f>
        <v>24</v>
      </c>
      <c r="Z81" s="36">
        <f>IFERROR(IF(Y81=0,"",ROUNDUP(Y81/H81,0)*0.00902),"")</f>
        <v>9.0200000000000002E-2</v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25.012499999999999</v>
      </c>
      <c r="BN81" s="64">
        <f>IFERROR(Y81*I81/H81,"0")</f>
        <v>26.1</v>
      </c>
      <c r="BO81" s="64">
        <f>IFERROR(1/J81*(X81/H81),"0")</f>
        <v>7.2601010101010111E-2</v>
      </c>
      <c r="BP81" s="64">
        <f>IFERROR(1/J81*(Y81/H81),"0")</f>
        <v>7.575757575757576E-2</v>
      </c>
    </row>
    <row r="82" spans="1:68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9.5833333333333339</v>
      </c>
      <c r="Y82" s="543">
        <f>IFERROR(Y80/H80,"0")+IFERROR(Y81/H81,"0")</f>
        <v>10</v>
      </c>
      <c r="Z82" s="543">
        <f>IFERROR(IF(Z80="",0,Z80),"0")+IFERROR(IF(Z81="",0,Z81),"0")</f>
        <v>9.0200000000000002E-2</v>
      </c>
      <c r="AA82" s="544"/>
      <c r="AB82" s="544"/>
      <c r="AC82" s="544"/>
    </row>
    <row r="83" spans="1:68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23</v>
      </c>
      <c r="Y83" s="543">
        <f>IFERROR(SUM(Y80:Y81),"0")</f>
        <v>24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365</v>
      </c>
      <c r="Y86" s="542">
        <f>IFERROR(IF(X86="",0,CEILING((X86/$H86),1)*$H86),"")</f>
        <v>367.20000000000005</v>
      </c>
      <c r="Z86" s="36">
        <f>IFERROR(IF(Y86=0,"",ROUNDUP(Y86/H86,0)*0.01898),"")</f>
        <v>0.64532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379.70138888888886</v>
      </c>
      <c r="BN86" s="64">
        <f>IFERROR(Y86*I86/H86,"0")</f>
        <v>381.99</v>
      </c>
      <c r="BO86" s="64">
        <f>IFERROR(1/J86*(X86/H86),"0")</f>
        <v>0.52806712962962965</v>
      </c>
      <c r="BP86" s="64">
        <f>IFERROR(1/J86*(Y86/H86),"0")</f>
        <v>0.53125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112</v>
      </c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63</v>
      </c>
      <c r="Y88" s="542">
        <f>IFERROR(IF(X88="",0,CEILING((X88/$H88),1)*$H88),"")</f>
        <v>63</v>
      </c>
      <c r="Z88" s="36">
        <f>IFERROR(IF(Y88=0,"",ROUNDUP(Y88/H88,0)*0.00902),"")</f>
        <v>0.12628</v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65.94</v>
      </c>
      <c r="BN88" s="64">
        <f>IFERROR(Y88*I88/H88,"0")</f>
        <v>65.94</v>
      </c>
      <c r="BO88" s="64">
        <f>IFERROR(1/J88*(X88/H88),"0")</f>
        <v>0.10606060606060606</v>
      </c>
      <c r="BP88" s="64">
        <f>IFERROR(1/J88*(Y88/H88),"0")</f>
        <v>0.10606060606060606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47.796296296296298</v>
      </c>
      <c r="Y89" s="543">
        <f>IFERROR(Y86/H86,"0")+IFERROR(Y87/H87,"0")+IFERROR(Y88/H88,"0")</f>
        <v>48</v>
      </c>
      <c r="Z89" s="543">
        <f>IFERROR(IF(Z86="",0,Z86),"0")+IFERROR(IF(Z87="",0,Z87),"0")+IFERROR(IF(Z88="",0,Z88),"0")</f>
        <v>0.77160000000000006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428</v>
      </c>
      <c r="Y90" s="543">
        <f>IFERROR(SUM(Y86:Y88),"0")</f>
        <v>430.20000000000005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73</v>
      </c>
      <c r="Y92" s="542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77.677407407407415</v>
      </c>
      <c r="BN92" s="64">
        <f>IFERROR(Y92*I92/H92,"0")</f>
        <v>86.190000000000012</v>
      </c>
      <c r="BO92" s="64">
        <f>IFERROR(1/J92*(X92/H92),"0")</f>
        <v>0.14081790123456792</v>
      </c>
      <c r="BP92" s="64">
        <f>IFERROR(1/J92*(Y92/H92),"0")</f>
        <v>0.15625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79</v>
      </c>
      <c r="Y94" s="542">
        <f>IFERROR(IF(X94="",0,CEILING((X94/$H94),1)*$H94),"")</f>
        <v>81</v>
      </c>
      <c r="Z94" s="36">
        <f>IFERROR(IF(Y94=0,"",ROUNDUP(Y94/H94,0)*0.00651),"")</f>
        <v>0.1953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86.373333333333321</v>
      </c>
      <c r="BN94" s="64">
        <f>IFERROR(Y94*I94/H94,"0")</f>
        <v>88.559999999999988</v>
      </c>
      <c r="BO94" s="64">
        <f>IFERROR(1/J94*(X94/H94),"0")</f>
        <v>0.16076516076516076</v>
      </c>
      <c r="BP94" s="64">
        <f>IFERROR(1/J94*(Y94/H94),"0")</f>
        <v>0.16483516483516483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38.271604938271601</v>
      </c>
      <c r="Y96" s="543">
        <f>IFERROR(Y92/H92,"0")+IFERROR(Y93/H93,"0")+IFERROR(Y94/H94,"0")+IFERROR(Y95/H95,"0")</f>
        <v>40</v>
      </c>
      <c r="Z96" s="543">
        <f>IFERROR(IF(Z92="",0,Z92),"0")+IFERROR(IF(Z93="",0,Z93),"0")+IFERROR(IF(Z94="",0,Z94),"0")+IFERROR(IF(Z95="",0,Z95),"0")</f>
        <v>0.3851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152</v>
      </c>
      <c r="Y97" s="543">
        <f>IFERROR(SUM(Y92:Y95),"0")</f>
        <v>162</v>
      </c>
      <c r="Z97" s="37"/>
      <c r="AA97" s="544"/>
      <c r="AB97" s="544"/>
      <c r="AC97" s="544"/>
    </row>
    <row r="98" spans="1:68" ht="16.5" hidden="1" customHeight="1" x14ac:dyDescent="0.25">
      <c r="A98" s="574" t="s">
        <v>191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494</v>
      </c>
      <c r="Y100" s="542">
        <f>IFERROR(IF(X100="",0,CEILING((X100/$H100),1)*$H100),"")</f>
        <v>496.8</v>
      </c>
      <c r="Z100" s="36">
        <f>IFERROR(IF(Y100=0,"",ROUNDUP(Y100/H100,0)*0.01898),"")</f>
        <v>0.87307999999999997</v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513.89722222222224</v>
      </c>
      <c r="BN100" s="64">
        <f>IFERROR(Y100*I100/H100,"0")</f>
        <v>516.80999999999995</v>
      </c>
      <c r="BO100" s="64">
        <f>IFERROR(1/J100*(X100/H100),"0")</f>
        <v>0.71469907407407407</v>
      </c>
      <c r="BP100" s="64">
        <f>IFERROR(1/J100*(Y100/H100),"0")</f>
        <v>0.71875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112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22</v>
      </c>
      <c r="Y102" s="542">
        <f>IFERROR(IF(X102="",0,CEILING((X102/$H102),1)*$H102),"")</f>
        <v>22.5</v>
      </c>
      <c r="Z102" s="36">
        <f>IFERROR(IF(Y102=0,"",ROUNDUP(Y102/H102,0)*0.00902),"")</f>
        <v>4.5100000000000001E-2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23.026666666666667</v>
      </c>
      <c r="BN102" s="64">
        <f>IFERROR(Y102*I102/H102,"0")</f>
        <v>23.549999999999997</v>
      </c>
      <c r="BO102" s="64">
        <f>IFERROR(1/J102*(X102/H102),"0")</f>
        <v>3.7037037037037042E-2</v>
      </c>
      <c r="BP102" s="64">
        <f>IFERROR(1/J102*(Y102/H102),"0")</f>
        <v>3.787878787878788E-2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50.629629629629633</v>
      </c>
      <c r="Y104" s="543">
        <f>IFERROR(Y100/H100,"0")+IFERROR(Y101/H101,"0")+IFERROR(Y102/H102,"0")+IFERROR(Y103/H103,"0")</f>
        <v>51</v>
      </c>
      <c r="Z104" s="543">
        <f>IFERROR(IF(Z100="",0,Z100),"0")+IFERROR(IF(Z101="",0,Z101),"0")+IFERROR(IF(Z102="",0,Z102),"0")+IFERROR(IF(Z103="",0,Z103),"0")</f>
        <v>0.91818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516</v>
      </c>
      <c r="Y105" s="543">
        <f>IFERROR(SUM(Y100:Y103),"0")</f>
        <v>519.29999999999995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201</v>
      </c>
      <c r="B107" s="54" t="s">
        <v>202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203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206</v>
      </c>
      <c r="B109" s="54" t="s">
        <v>207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208</v>
      </c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11</v>
      </c>
      <c r="Y109" s="542">
        <f>IFERROR(IF(X109="",0,CEILING((X109/$H109),1)*$H109),"")</f>
        <v>12</v>
      </c>
      <c r="Z109" s="36">
        <f>IFERROR(IF(Y109=0,"",ROUNDUP(Y109/H109,0)*0.00651),"")</f>
        <v>3.2550000000000003E-2</v>
      </c>
      <c r="AA109" s="56"/>
      <c r="AB109" s="57"/>
      <c r="AC109" s="155" t="s">
        <v>203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11.825000000000001</v>
      </c>
      <c r="BN109" s="64">
        <f>IFERROR(Y109*I109/H109,"0")</f>
        <v>12.9</v>
      </c>
      <c r="BO109" s="64">
        <f>IFERROR(1/J109*(X109/H109),"0")</f>
        <v>2.5183150183150187E-2</v>
      </c>
      <c r="BP109" s="64">
        <f>IFERROR(1/J109*(Y109/H109),"0")</f>
        <v>2.7472527472527476E-2</v>
      </c>
    </row>
    <row r="110" spans="1:68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4.5833333333333339</v>
      </c>
      <c r="Y110" s="543">
        <f>IFERROR(Y107/H107,"0")+IFERROR(Y108/H108,"0")+IFERROR(Y109/H109,"0")</f>
        <v>5</v>
      </c>
      <c r="Z110" s="543">
        <f>IFERROR(IF(Z107="",0,Z107),"0")+IFERROR(IF(Z108="",0,Z108),"0")+IFERROR(IF(Z109="",0,Z109),"0")</f>
        <v>3.2550000000000003E-2</v>
      </c>
      <c r="AA110" s="544"/>
      <c r="AB110" s="544"/>
      <c r="AC110" s="544"/>
    </row>
    <row r="111" spans="1:68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11</v>
      </c>
      <c r="Y111" s="543">
        <f>IFERROR(SUM(Y107:Y109),"0")</f>
        <v>12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68</v>
      </c>
      <c r="Y113" s="542">
        <f>IFERROR(IF(X113="",0,CEILING((X113/$H113),1)*$H113),"")</f>
        <v>72.899999999999991</v>
      </c>
      <c r="Z113" s="36">
        <f>IFERROR(IF(Y113=0,"",ROUNDUP(Y113/H113,0)*0.01898),"")</f>
        <v>0.17082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72.306666666666672</v>
      </c>
      <c r="BN113" s="64">
        <f>IFERROR(Y113*I113/H113,"0")</f>
        <v>77.516999999999982</v>
      </c>
      <c r="BO113" s="64">
        <f>IFERROR(1/J113*(X113/H113),"0")</f>
        <v>0.13117283950617284</v>
      </c>
      <c r="BP113" s="64">
        <f>IFERROR(1/J113*(Y113/H113),"0")</f>
        <v>0.140625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208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193</v>
      </c>
      <c r="Y115" s="542">
        <f>IFERROR(IF(X115="",0,CEILING((X115/$H115),1)*$H115),"")</f>
        <v>194.4</v>
      </c>
      <c r="Z115" s="36">
        <f>IFERROR(IF(Y115=0,"",ROUNDUP(Y115/H115,0)*0.00651),"")</f>
        <v>0.46872000000000003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211.01333333333332</v>
      </c>
      <c r="BN115" s="64">
        <f>IFERROR(Y115*I115/H115,"0")</f>
        <v>212.54399999999998</v>
      </c>
      <c r="BO115" s="64">
        <f>IFERROR(1/J115*(X115/H115),"0")</f>
        <v>0.39275539275539278</v>
      </c>
      <c r="BP115" s="64">
        <f>IFERROR(1/J115*(Y115/H115),"0")</f>
        <v>0.39560439560439564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79.876543209876544</v>
      </c>
      <c r="Y117" s="543">
        <f>IFERROR(Y113/H113,"0")+IFERROR(Y114/H114,"0")+IFERROR(Y115/H115,"0")+IFERROR(Y116/H116,"0")</f>
        <v>81</v>
      </c>
      <c r="Z117" s="543">
        <f>IFERROR(IF(Z113="",0,Z113),"0")+IFERROR(IF(Z114="",0,Z114),"0")+IFERROR(IF(Z115="",0,Z115),"0")+IFERROR(IF(Z116="",0,Z116),"0")</f>
        <v>0.63954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261</v>
      </c>
      <c r="Y118" s="543">
        <f>IFERROR(SUM(Y113:Y116),"0")</f>
        <v>267.3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302</v>
      </c>
      <c r="Y165" s="542">
        <f t="shared" si="5"/>
        <v>302.40000000000003</v>
      </c>
      <c r="Z165" s="36">
        <f>IFERROR(IF(Y165=0,"",ROUNDUP(Y165/H165,0)*0.00902),"")</f>
        <v>0.64944000000000002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317.09999999999997</v>
      </c>
      <c r="BN165" s="64">
        <f t="shared" si="7"/>
        <v>317.52000000000004</v>
      </c>
      <c r="BO165" s="64">
        <f t="shared" si="8"/>
        <v>0.54473304473304474</v>
      </c>
      <c r="BP165" s="64">
        <f t="shared" si="9"/>
        <v>0.54545454545454541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24</v>
      </c>
      <c r="Y166" s="542">
        <f t="shared" si="5"/>
        <v>25.200000000000003</v>
      </c>
      <c r="Z166" s="36">
        <f>IFERROR(IF(Y166=0,"",ROUNDUP(Y166/H166,0)*0.00502),"")</f>
        <v>6.0240000000000002E-2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25.485714285714284</v>
      </c>
      <c r="BN166" s="64">
        <f t="shared" si="7"/>
        <v>26.76</v>
      </c>
      <c r="BO166" s="64">
        <f t="shared" si="8"/>
        <v>4.8840048840048847E-2</v>
      </c>
      <c r="BP166" s="64">
        <f t="shared" si="9"/>
        <v>5.1282051282051287E-2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27</v>
      </c>
      <c r="Y168" s="542">
        <f t="shared" si="5"/>
        <v>27</v>
      </c>
      <c r="Z168" s="36">
        <f>IFERROR(IF(Y168=0,"",ROUNDUP(Y168/H168,0)*0.00502),"")</f>
        <v>7.5300000000000006E-2</v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28.95</v>
      </c>
      <c r="BN168" s="64">
        <f t="shared" si="7"/>
        <v>28.95</v>
      </c>
      <c r="BO168" s="64">
        <f t="shared" si="8"/>
        <v>6.4102564102564111E-2</v>
      </c>
      <c r="BP168" s="64">
        <f t="shared" si="9"/>
        <v>6.4102564102564111E-2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168</v>
      </c>
      <c r="Y169" s="542">
        <f t="shared" si="5"/>
        <v>168</v>
      </c>
      <c r="Z169" s="36">
        <f>IFERROR(IF(Y169=0,"",ROUNDUP(Y169/H169,0)*0.00502),"")</f>
        <v>0.40160000000000001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176</v>
      </c>
      <c r="BN169" s="64">
        <f t="shared" si="7"/>
        <v>176</v>
      </c>
      <c r="BO169" s="64">
        <f t="shared" si="8"/>
        <v>0.34188034188034189</v>
      </c>
      <c r="BP169" s="64">
        <f t="shared" si="9"/>
        <v>0.34188034188034189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178.33333333333331</v>
      </c>
      <c r="Y172" s="543">
        <f>IFERROR(Y163/H163,"0")+IFERROR(Y164/H164,"0")+IFERROR(Y165/H165,"0")+IFERROR(Y166/H166,"0")+IFERROR(Y167/H167,"0")+IFERROR(Y168/H168,"0")+IFERROR(Y169/H169,"0")+IFERROR(Y170/H170,"0")+IFERROR(Y171/H171,"0")</f>
        <v>179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1.18658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521</v>
      </c>
      <c r="Y173" s="543">
        <f>IFERROR(SUM(Y163:Y171),"0")</f>
        <v>522.6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208</v>
      </c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90</v>
      </c>
      <c r="Y196" s="542">
        <f t="shared" ref="Y196:Y203" si="10">IFERROR(IF(X196="",0,CEILING((X196/$H196),1)*$H196),"")</f>
        <v>91.800000000000011</v>
      </c>
      <c r="Z196" s="36">
        <f>IFERROR(IF(Y196=0,"",ROUNDUP(Y196/H196,0)*0.00902),"")</f>
        <v>0.15334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93.5</v>
      </c>
      <c r="BN196" s="64">
        <f t="shared" ref="BN196:BN203" si="12">IFERROR(Y196*I196/H196,"0")</f>
        <v>95.37</v>
      </c>
      <c r="BO196" s="64">
        <f t="shared" ref="BO196:BO203" si="13">IFERROR(1/J196*(X196/H196),"0")</f>
        <v>0.12626262626262624</v>
      </c>
      <c r="BP196" s="64">
        <f t="shared" ref="BP196:BP203" si="14">IFERROR(1/J196*(Y196/H196),"0")</f>
        <v>0.12878787878787878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360</v>
      </c>
      <c r="Y197" s="542">
        <f t="shared" si="10"/>
        <v>361.8</v>
      </c>
      <c r="Z197" s="36">
        <f>IFERROR(IF(Y197=0,"",ROUNDUP(Y197/H197,0)*0.00902),"")</f>
        <v>0.60433999999999999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374</v>
      </c>
      <c r="BN197" s="64">
        <f t="shared" si="12"/>
        <v>375.87</v>
      </c>
      <c r="BO197" s="64">
        <f t="shared" si="13"/>
        <v>0.50505050505050497</v>
      </c>
      <c r="BP197" s="64">
        <f t="shared" si="14"/>
        <v>0.50757575757575757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384</v>
      </c>
      <c r="Y199" s="542">
        <f t="shared" si="10"/>
        <v>388.8</v>
      </c>
      <c r="Z199" s="36">
        <f>IFERROR(IF(Y199=0,"",ROUNDUP(Y199/H199,0)*0.00902),"")</f>
        <v>0.64944000000000002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398.93333333333334</v>
      </c>
      <c r="BN199" s="64">
        <f t="shared" si="12"/>
        <v>403.92</v>
      </c>
      <c r="BO199" s="64">
        <f t="shared" si="13"/>
        <v>0.5387205387205386</v>
      </c>
      <c r="BP199" s="64">
        <f t="shared" si="14"/>
        <v>0.54545454545454541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71</v>
      </c>
      <c r="Y200" s="542">
        <f t="shared" si="10"/>
        <v>72</v>
      </c>
      <c r="Z200" s="36">
        <f>IFERROR(IF(Y200=0,"",ROUNDUP(Y200/H200,0)*0.00502),"")</f>
        <v>0.20080000000000001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76.12777777777778</v>
      </c>
      <c r="BN200" s="64">
        <f t="shared" si="12"/>
        <v>77.2</v>
      </c>
      <c r="BO200" s="64">
        <f t="shared" si="13"/>
        <v>0.16856600189933524</v>
      </c>
      <c r="BP200" s="64">
        <f t="shared" si="14"/>
        <v>0.17094017094017094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43</v>
      </c>
      <c r="Y201" s="542">
        <f t="shared" si="10"/>
        <v>43.2</v>
      </c>
      <c r="Z201" s="36">
        <f>IFERROR(IF(Y201=0,"",ROUNDUP(Y201/H201,0)*0.00502),"")</f>
        <v>0.12048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45.388888888888893</v>
      </c>
      <c r="BN201" s="64">
        <f t="shared" si="12"/>
        <v>45.6</v>
      </c>
      <c r="BO201" s="64">
        <f t="shared" si="13"/>
        <v>0.10208926875593544</v>
      </c>
      <c r="BP201" s="64">
        <f t="shared" si="14"/>
        <v>0.10256410256410257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34</v>
      </c>
      <c r="Y203" s="542">
        <f t="shared" si="10"/>
        <v>34.200000000000003</v>
      </c>
      <c r="Z203" s="36">
        <f>IFERROR(IF(Y203=0,"",ROUNDUP(Y203/H203,0)*0.00502),"")</f>
        <v>9.5380000000000006E-2</v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35.888888888888886</v>
      </c>
      <c r="BN203" s="64">
        <f t="shared" si="12"/>
        <v>36.1</v>
      </c>
      <c r="BO203" s="64">
        <f t="shared" si="13"/>
        <v>8.0721747388414061E-2</v>
      </c>
      <c r="BP203" s="64">
        <f t="shared" si="14"/>
        <v>8.11965811965812E-2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236.66666666666663</v>
      </c>
      <c r="Y204" s="543">
        <f>IFERROR(Y196/H196,"0")+IFERROR(Y197/H197,"0")+IFERROR(Y198/H198,"0")+IFERROR(Y199/H199,"0")+IFERROR(Y200/H200,"0")+IFERROR(Y201/H201,"0")+IFERROR(Y202/H202,"0")+IFERROR(Y203/H203,"0")</f>
        <v>239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1.82378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982</v>
      </c>
      <c r="Y205" s="543">
        <f>IFERROR(SUM(Y196:Y203),"0")</f>
        <v>991.80000000000018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20</v>
      </c>
      <c r="Y207" s="542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21.281481481481482</v>
      </c>
      <c r="BN207" s="64">
        <f t="shared" ref="BN207:BN215" si="17">IFERROR(Y207*I207/H207,"0")</f>
        <v>25.856999999999996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20</v>
      </c>
      <c r="Y208" s="542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21.237037037037041</v>
      </c>
      <c r="BN208" s="64">
        <f t="shared" si="17"/>
        <v>25.803000000000001</v>
      </c>
      <c r="BO208" s="64">
        <f t="shared" si="18"/>
        <v>3.8580246913580252E-2</v>
      </c>
      <c r="BP208" s="64">
        <f t="shared" si="19"/>
        <v>4.6875E-2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232</v>
      </c>
      <c r="Y209" s="542">
        <f t="shared" si="15"/>
        <v>234.89999999999998</v>
      </c>
      <c r="Z209" s="36">
        <f>IFERROR(IF(Y209=0,"",ROUNDUP(Y209/H209,0)*0.01898),"")</f>
        <v>0.51246000000000003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245.84000000000003</v>
      </c>
      <c r="BN209" s="64">
        <f t="shared" si="17"/>
        <v>248.91300000000001</v>
      </c>
      <c r="BO209" s="64">
        <f t="shared" si="18"/>
        <v>0.41666666666666669</v>
      </c>
      <c r="BP209" s="64">
        <f t="shared" si="19"/>
        <v>0.421875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319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352.49500000000006</v>
      </c>
      <c r="BN212" s="64">
        <f t="shared" si="17"/>
        <v>352.71600000000001</v>
      </c>
      <c r="BO212" s="64">
        <f t="shared" si="18"/>
        <v>0.73031135531135549</v>
      </c>
      <c r="BP212" s="64">
        <f t="shared" si="19"/>
        <v>0.73076923076923084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208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208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76</v>
      </c>
      <c r="Y214" s="542">
        <f t="shared" si="15"/>
        <v>76.8</v>
      </c>
      <c r="Z214" s="36">
        <f t="shared" si="20"/>
        <v>0.20832000000000001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83.980000000000018</v>
      </c>
      <c r="BN214" s="64">
        <f t="shared" si="17"/>
        <v>84.864000000000004</v>
      </c>
      <c r="BO214" s="64">
        <f t="shared" si="18"/>
        <v>0.17399267399267401</v>
      </c>
      <c r="BP214" s="64">
        <f t="shared" si="19"/>
        <v>0.17582417582417584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208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5</v>
      </c>
      <c r="Y215" s="542">
        <f t="shared" si="15"/>
        <v>7.1999999999999993</v>
      </c>
      <c r="Z215" s="36">
        <f t="shared" si="20"/>
        <v>1.9529999999999999E-2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5.5374999999999996</v>
      </c>
      <c r="BN215" s="64">
        <f t="shared" si="17"/>
        <v>7.9740000000000002</v>
      </c>
      <c r="BO215" s="64">
        <f t="shared" si="18"/>
        <v>1.1446886446886448E-2</v>
      </c>
      <c r="BP215" s="64">
        <f t="shared" si="19"/>
        <v>1.6483516483516484E-2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198.27160493827162</v>
      </c>
      <c r="Y216" s="543">
        <f>IFERROR(Y207/H207,"0")+IFERROR(Y208/H208,"0")+IFERROR(Y209/H209,"0")+IFERROR(Y210/H210,"0")+IFERROR(Y211/H211,"0")+IFERROR(Y212/H212,"0")+IFERROR(Y213/H213,"0")+IFERROR(Y214/H214,"0")+IFERROR(Y215/H215,"0")</f>
        <v>201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1.7200200000000001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672</v>
      </c>
      <c r="Y217" s="543">
        <f>IFERROR(SUM(Y207:Y215),"0")</f>
        <v>686.7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208</v>
      </c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13</v>
      </c>
      <c r="Y220" s="542">
        <f>IFERROR(IF(X220="",0,CEILING((X220/$H220),1)*$H220),"")</f>
        <v>14.399999999999999</v>
      </c>
      <c r="Z220" s="36">
        <f>IFERROR(IF(Y220=0,"",ROUNDUP(Y220/H220,0)*0.00651),"")</f>
        <v>3.9059999999999997E-2</v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14.365</v>
      </c>
      <c r="BN220" s="64">
        <f>IFERROR(Y220*I220/H220,"0")</f>
        <v>15.912000000000001</v>
      </c>
      <c r="BO220" s="64">
        <f>IFERROR(1/J220*(X220/H220),"0")</f>
        <v>2.9761904761904767E-2</v>
      </c>
      <c r="BP220" s="64">
        <f>IFERROR(1/J220*(Y220/H220),"0")</f>
        <v>3.2967032967032968E-2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5.416666666666667</v>
      </c>
      <c r="Y221" s="543">
        <f>IFERROR(Y219/H219,"0")+IFERROR(Y220/H220,"0")</f>
        <v>6</v>
      </c>
      <c r="Z221" s="543">
        <f>IFERROR(IF(Z219="",0,Z219),"0")+IFERROR(IF(Z220="",0,Z220),"0")</f>
        <v>3.9059999999999997E-2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13</v>
      </c>
      <c r="Y222" s="543">
        <f>IFERROR(SUM(Y219:Y220),"0")</f>
        <v>14.399999999999999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188</v>
      </c>
      <c r="Y225" s="542">
        <f t="shared" ref="Y225:Y234" si="21">IFERROR(IF(X225="",0,CEILING((X225/$H225),1)*$H225),"")</f>
        <v>197.2</v>
      </c>
      <c r="Z225" s="36">
        <f>IFERROR(IF(Y225=0,"",ROUNDUP(Y225/H225,0)*0.01898),"")</f>
        <v>0.32266</v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195.05</v>
      </c>
      <c r="BN225" s="64">
        <f t="shared" ref="BN225:BN234" si="23">IFERROR(Y225*I225/H225,"0")</f>
        <v>204.59499999999997</v>
      </c>
      <c r="BO225" s="64">
        <f t="shared" ref="BO225:BO234" si="24">IFERROR(1/J225*(X225/H225),"0")</f>
        <v>0.25323275862068967</v>
      </c>
      <c r="BP225" s="64">
        <f t="shared" ref="BP225:BP234" si="25">IFERROR(1/J225*(Y225/H225),"0")</f>
        <v>0.265625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16.206896551724139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17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0.32266</v>
      </c>
      <c r="AA235" s="544"/>
      <c r="AB235" s="544"/>
      <c r="AC235" s="544"/>
    </row>
    <row r="236" spans="1:68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188</v>
      </c>
      <c r="Y236" s="543">
        <f>IFERROR(SUM(Y225:Y234),"0")</f>
        <v>197.2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10</v>
      </c>
      <c r="Y242" s="542">
        <f>IFERROR(IF(X242="",0,CEILING((X242/$H242),1)*$H242),"")</f>
        <v>10.8</v>
      </c>
      <c r="Z242" s="36">
        <f>IFERROR(IF(Y242=0,"",ROUNDUP(Y242/H242,0)*0.0059),"")</f>
        <v>3.5400000000000001E-2</v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10.972222222222221</v>
      </c>
      <c r="BN242" s="64">
        <f>IFERROR(Y242*I242/H242,"0")</f>
        <v>11.850000000000001</v>
      </c>
      <c r="BO242" s="64">
        <f>IFERROR(1/J242*(X242/H242),"0")</f>
        <v>2.5720164609053495E-2</v>
      </c>
      <c r="BP242" s="64">
        <f>IFERROR(1/J242*(Y242/H242),"0")</f>
        <v>2.7777777777777776E-2</v>
      </c>
    </row>
    <row r="243" spans="1:68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5.5555555555555554</v>
      </c>
      <c r="Y243" s="543">
        <f>IFERROR(Y242/H242,"0")</f>
        <v>6</v>
      </c>
      <c r="Z243" s="543">
        <f>IFERROR(IF(Z242="",0,Z242),"0")</f>
        <v>3.5400000000000001E-2</v>
      </c>
      <c r="AA243" s="544"/>
      <c r="AB243" s="544"/>
      <c r="AC243" s="544"/>
    </row>
    <row r="244" spans="1:68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10</v>
      </c>
      <c r="Y244" s="543">
        <f>IFERROR(SUM(Y242:Y242),"0")</f>
        <v>10.8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1.1111111111111112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1</v>
      </c>
      <c r="Y252" s="543">
        <f>IFERROR(SUM(Y246:Y250),"0")</f>
        <v>1.8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208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208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11</v>
      </c>
      <c r="Y303" s="542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12.393333333333333</v>
      </c>
      <c r="BN303" s="64">
        <f t="shared" si="28"/>
        <v>14.196</v>
      </c>
      <c r="BO303" s="64">
        <f t="shared" si="29"/>
        <v>3.3577533577533576E-2</v>
      </c>
      <c r="BP303" s="64">
        <f t="shared" si="30"/>
        <v>3.8461538461538464E-2</v>
      </c>
    </row>
    <row r="304" spans="1:68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6.1111111111111107</v>
      </c>
      <c r="Y304" s="543">
        <f>IFERROR(Y297/H297,"0")+IFERROR(Y298/H298,"0")+IFERROR(Y299/H299,"0")+IFERROR(Y300/H300,"0")+IFERROR(Y301/H301,"0")+IFERROR(Y302/H302,"0")+IFERROR(Y303/H303,"0")</f>
        <v>7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4.5569999999999999E-2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11</v>
      </c>
      <c r="Y305" s="543">
        <f>IFERROR(SUM(Y297:Y303),"0")</f>
        <v>12.6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78</v>
      </c>
      <c r="Y315" s="542">
        <f>IFERROR(IF(X315="",0,CEILING((X315/$H315),1)*$H315),"")</f>
        <v>84</v>
      </c>
      <c r="Z315" s="36">
        <f>IFERROR(IF(Y315=0,"",ROUNDUP(Y315/H315,0)*0.01898),"")</f>
        <v>0.1898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82.819285714285712</v>
      </c>
      <c r="BN315" s="64">
        <f>IFERROR(Y315*I315/H315,"0")</f>
        <v>89.19</v>
      </c>
      <c r="BO315" s="64">
        <f>IFERROR(1/J315*(X315/H315),"0")</f>
        <v>0.1450892857142857</v>
      </c>
      <c r="BP315" s="64">
        <f>IFERROR(1/J315*(Y315/H315),"0")</f>
        <v>0.15625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380</v>
      </c>
      <c r="Y316" s="542">
        <f>IFERROR(IF(X316="",0,CEILING((X316/$H316),1)*$H316),"")</f>
        <v>382.2</v>
      </c>
      <c r="Z316" s="36">
        <f>IFERROR(IF(Y316=0,"",ROUNDUP(Y316/H316,0)*0.01898),"")</f>
        <v>0.93002000000000007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405.28461538461545</v>
      </c>
      <c r="BN316" s="64">
        <f>IFERROR(Y316*I316/H316,"0")</f>
        <v>407.63100000000009</v>
      </c>
      <c r="BO316" s="64">
        <f>IFERROR(1/J316*(X316/H316),"0")</f>
        <v>0.76121794871794879</v>
      </c>
      <c r="BP316" s="64">
        <f>IFERROR(1/J316*(Y316/H316),"0")</f>
        <v>0.765625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93</v>
      </c>
      <c r="Y317" s="542">
        <f>IFERROR(IF(X317="",0,CEILING((X317/$H317),1)*$H317),"")</f>
        <v>100.80000000000001</v>
      </c>
      <c r="Z317" s="36">
        <f>IFERROR(IF(Y317=0,"",ROUNDUP(Y317/H317,0)*0.01898),"")</f>
        <v>0.22776000000000002</v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98.74607142857144</v>
      </c>
      <c r="BN317" s="64">
        <f>IFERROR(Y317*I317/H317,"0")</f>
        <v>107.02800000000001</v>
      </c>
      <c r="BO317" s="64">
        <f>IFERROR(1/J317*(X317/H317),"0")</f>
        <v>0.17299107142857142</v>
      </c>
      <c r="BP317" s="64">
        <f>IFERROR(1/J317*(Y317/H317),"0")</f>
        <v>0.1875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69.075091575091577</v>
      </c>
      <c r="Y318" s="543">
        <f>IFERROR(Y315/H315,"0")+IFERROR(Y316/H316,"0")+IFERROR(Y317/H317,"0")</f>
        <v>71</v>
      </c>
      <c r="Z318" s="543">
        <f>IFERROR(IF(Z315="",0,Z315),"0")+IFERROR(IF(Z316="",0,Z316),"0")+IFERROR(IF(Z317="",0,Z317),"0")</f>
        <v>1.34758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551</v>
      </c>
      <c r="Y319" s="543">
        <f>IFERROR(SUM(Y315:Y317),"0")</f>
        <v>567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6.08</v>
      </c>
      <c r="Z322" s="36">
        <f>IFERROR(IF(Y322=0,"",ROUNDUP(Y322/H322,0)*0.00902),"")</f>
        <v>1.804E-2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4.3289473684210522</v>
      </c>
      <c r="BN322" s="64">
        <f>IFERROR(Y322*I322/H322,"0")</f>
        <v>6.58</v>
      </c>
      <c r="BO322" s="64">
        <f>IFERROR(1/J322*(X322/H322),"0")</f>
        <v>9.9681020733652318E-3</v>
      </c>
      <c r="BP322" s="64">
        <f>IFERROR(1/J322*(Y322/H322),"0")</f>
        <v>1.5151515151515152E-2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208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21</v>
      </c>
      <c r="Y324" s="542">
        <f>IFERROR(IF(X324="",0,CEILING((X324/$H324),1)*$H324),"")</f>
        <v>22.95</v>
      </c>
      <c r="Z324" s="36">
        <f>IFERROR(IF(Y324=0,"",ROUNDUP(Y324/H324,0)*0.00651),"")</f>
        <v>5.8590000000000003E-2</v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23.71764705882353</v>
      </c>
      <c r="BN324" s="64">
        <f>IFERROR(Y324*I324/H324,"0")</f>
        <v>25.919999999999998</v>
      </c>
      <c r="BO324" s="64">
        <f>IFERROR(1/J324*(X324/H324),"0")</f>
        <v>4.5248868778280549E-2</v>
      </c>
      <c r="BP324" s="64">
        <f>IFERROR(1/J324*(Y324/H324),"0")</f>
        <v>4.9450549450549455E-2</v>
      </c>
    </row>
    <row r="325" spans="1:68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9.5510835913312704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7.6630000000000004E-2</v>
      </c>
      <c r="AA325" s="544"/>
      <c r="AB325" s="544"/>
      <c r="AC325" s="544"/>
    </row>
    <row r="326" spans="1:68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25</v>
      </c>
      <c r="Y326" s="543">
        <f>IFERROR(SUM(Y321:Y324),"0")</f>
        <v>29.03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2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23</v>
      </c>
      <c r="Y330" s="542">
        <f>IFERROR(IF(X330="",0,CEILING((X330/$H330),1)*$H330),"")</f>
        <v>24</v>
      </c>
      <c r="Z330" s="36">
        <f>IFERROR(IF(Y330=0,"",ROUNDUP(Y330/H330,0)*0.00474),"")</f>
        <v>5.688E-2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25.76</v>
      </c>
      <c r="BN330" s="64">
        <f>IFERROR(Y330*I330/H330,"0")</f>
        <v>26.880000000000003</v>
      </c>
      <c r="BO330" s="64">
        <f>IFERROR(1/J330*(X330/H330),"0")</f>
        <v>4.8319327731092432E-2</v>
      </c>
      <c r="BP330" s="64">
        <f>IFERROR(1/J330*(Y330/H330),"0")</f>
        <v>5.0420168067226892E-2</v>
      </c>
    </row>
    <row r="331" spans="1:68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12.5</v>
      </c>
      <c r="Y331" s="543">
        <f>IFERROR(Y328/H328,"0")+IFERROR(Y329/H329,"0")+IFERROR(Y330/H330,"0")</f>
        <v>13</v>
      </c>
      <c r="Z331" s="543">
        <f>IFERROR(IF(Z328="",0,Z328),"0")+IFERROR(IF(Z329="",0,Z329),"0")+IFERROR(IF(Z330="",0,Z330),"0")</f>
        <v>6.1620000000000001E-2</v>
      </c>
      <c r="AA331" s="544"/>
      <c r="AB331" s="544"/>
      <c r="AC331" s="544"/>
    </row>
    <row r="332" spans="1:68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25</v>
      </c>
      <c r="Y332" s="543">
        <f>IFERROR(SUM(Y328:Y330),"0")</f>
        <v>26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7</v>
      </c>
      <c r="Y335" s="542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7.4485185185185188</v>
      </c>
      <c r="BN335" s="64">
        <f>IFERROR(Y335*I335/H335,"0")</f>
        <v>8.6189999999999998</v>
      </c>
      <c r="BO335" s="64">
        <f>IFERROR(1/J335*(X335/H335),"0")</f>
        <v>1.3503086419753087E-2</v>
      </c>
      <c r="BP335" s="64">
        <f>IFERROR(1/J335*(Y335/H335),"0")</f>
        <v>1.5625E-2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0.86419753086419759</v>
      </c>
      <c r="Y338" s="543">
        <f>IFERROR(Y335/H335,"0")+IFERROR(Y336/H336,"0")+IFERROR(Y337/H337,"0")</f>
        <v>1</v>
      </c>
      <c r="Z338" s="543">
        <f>IFERROR(IF(Z335="",0,Z335),"0")+IFERROR(IF(Z336="",0,Z336),"0")+IFERROR(IF(Z337="",0,Z337),"0")</f>
        <v>1.898E-2</v>
      </c>
      <c r="AA338" s="544"/>
      <c r="AB338" s="544"/>
      <c r="AC338" s="544"/>
    </row>
    <row r="339" spans="1:68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7</v>
      </c>
      <c r="Y339" s="543">
        <f>IFERROR(SUM(Y335:Y337),"0")</f>
        <v>8.1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1136</v>
      </c>
      <c r="Y343" s="542">
        <f t="shared" ref="Y343:Y349" si="31">IFERROR(IF(X343="",0,CEILING((X343/$H343),1)*$H343),"")</f>
        <v>1140</v>
      </c>
      <c r="Z343" s="36">
        <f>IFERROR(IF(Y343=0,"",ROUNDUP(Y343/H343,0)*0.02175),"")</f>
        <v>1.6529999999999998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1172.3519999999999</v>
      </c>
      <c r="BN343" s="64">
        <f t="shared" ref="BN343:BN349" si="33">IFERROR(Y343*I343/H343,"0")</f>
        <v>1176.48</v>
      </c>
      <c r="BO343" s="64">
        <f t="shared" ref="BO343:BO349" si="34">IFERROR(1/J343*(X343/H343),"0")</f>
        <v>1.5777777777777777</v>
      </c>
      <c r="BP343" s="64">
        <f t="shared" ref="BP343:BP349" si="35">IFERROR(1/J343*(Y343/H343),"0")</f>
        <v>1.5833333333333333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601</v>
      </c>
      <c r="Y344" s="542">
        <f t="shared" si="31"/>
        <v>615</v>
      </c>
      <c r="Z344" s="36">
        <f>IFERROR(IF(Y344=0,"",ROUNDUP(Y344/H344,0)*0.02175),"")</f>
        <v>0.89174999999999993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620.23199999999997</v>
      </c>
      <c r="BN344" s="64">
        <f t="shared" si="33"/>
        <v>634.68000000000006</v>
      </c>
      <c r="BO344" s="64">
        <f t="shared" si="34"/>
        <v>0.83472222222222225</v>
      </c>
      <c r="BP344" s="64">
        <f t="shared" si="35"/>
        <v>0.85416666666666663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711</v>
      </c>
      <c r="Y345" s="542">
        <f t="shared" si="31"/>
        <v>720</v>
      </c>
      <c r="Z345" s="36">
        <f>IFERROR(IF(Y345=0,"",ROUNDUP(Y345/H345,0)*0.02175),"")</f>
        <v>1.044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733.75200000000007</v>
      </c>
      <c r="BN345" s="64">
        <f t="shared" si="33"/>
        <v>743.04000000000008</v>
      </c>
      <c r="BO345" s="64">
        <f t="shared" si="34"/>
        <v>0.98749999999999993</v>
      </c>
      <c r="BP345" s="64">
        <f t="shared" si="35"/>
        <v>1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557</v>
      </c>
      <c r="Y346" s="542">
        <f t="shared" si="31"/>
        <v>570</v>
      </c>
      <c r="Z346" s="36">
        <f>IFERROR(IF(Y346=0,"",ROUNDUP(Y346/H346,0)*0.02175),"")</f>
        <v>0.8264999999999999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574.82400000000007</v>
      </c>
      <c r="BN346" s="64">
        <f t="shared" si="33"/>
        <v>588.24</v>
      </c>
      <c r="BO346" s="64">
        <f t="shared" si="34"/>
        <v>0.77361111111111103</v>
      </c>
      <c r="BP346" s="64">
        <f t="shared" si="35"/>
        <v>0.79166666666666663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200.33333333333334</v>
      </c>
      <c r="Y350" s="543">
        <f>IFERROR(Y343/H343,"0")+IFERROR(Y344/H344,"0")+IFERROR(Y345/H345,"0")+IFERROR(Y346/H346,"0")+IFERROR(Y347/H347,"0")+IFERROR(Y348/H348,"0")+IFERROR(Y349/H349,"0")</f>
        <v>203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4.4152499999999995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3005</v>
      </c>
      <c r="Y351" s="543">
        <f>IFERROR(SUM(Y343:Y349),"0")</f>
        <v>3045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1070</v>
      </c>
      <c r="Y353" s="542">
        <f>IFERROR(IF(X353="",0,CEILING((X353/$H353),1)*$H353),"")</f>
        <v>1080</v>
      </c>
      <c r="Z353" s="36">
        <f>IFERROR(IF(Y353=0,"",ROUNDUP(Y353/H353,0)*0.02175),"")</f>
        <v>1.5659999999999998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1104.2400000000002</v>
      </c>
      <c r="BN353" s="64">
        <f>IFERROR(Y353*I353/H353,"0")</f>
        <v>1114.5600000000002</v>
      </c>
      <c r="BO353" s="64">
        <f>IFERROR(1/J353*(X353/H353),"0")</f>
        <v>1.4861111111111109</v>
      </c>
      <c r="BP353" s="64">
        <f>IFERROR(1/J353*(Y353/H353),"0")</f>
        <v>1.5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71.333333333333329</v>
      </c>
      <c r="Y355" s="543">
        <f>IFERROR(Y353/H353,"0")+IFERROR(Y354/H354,"0")</f>
        <v>72</v>
      </c>
      <c r="Z355" s="543">
        <f>IFERROR(IF(Z353="",0,Z353),"0")+IFERROR(IF(Z354="",0,Z354),"0")</f>
        <v>1.5659999999999998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1070</v>
      </c>
      <c r="Y356" s="543">
        <f>IFERROR(SUM(Y353:Y354),"0")</f>
        <v>1080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35</v>
      </c>
      <c r="Y363" s="542">
        <f>IFERROR(IF(X363="",0,CEILING((X363/$H363),1)*$H363),"")</f>
        <v>36</v>
      </c>
      <c r="Z363" s="36">
        <f>IFERROR(IF(Y363=0,"",ROUNDUP(Y363/H363,0)*0.01898),"")</f>
        <v>7.5920000000000001E-2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37.018333333333338</v>
      </c>
      <c r="BN363" s="64">
        <f>IFERROR(Y363*I363/H363,"0")</f>
        <v>38.076000000000001</v>
      </c>
      <c r="BO363" s="64">
        <f>IFERROR(1/J363*(X363/H363),"0")</f>
        <v>6.0763888888888888E-2</v>
      </c>
      <c r="BP363" s="64">
        <f>IFERROR(1/J363*(Y363/H363),"0")</f>
        <v>6.25E-2</v>
      </c>
    </row>
    <row r="364" spans="1:68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3.8888888888888888</v>
      </c>
      <c r="Y364" s="543">
        <f>IFERROR(Y363/H363,"0")</f>
        <v>4</v>
      </c>
      <c r="Z364" s="543">
        <f>IFERROR(IF(Z363="",0,Z363),"0")</f>
        <v>7.5920000000000001E-2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35</v>
      </c>
      <c r="Y365" s="543">
        <f>IFERROR(SUM(Y363:Y363),"0")</f>
        <v>36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594</v>
      </c>
      <c r="Y378" s="542">
        <f>IFERROR(IF(X378="",0,CEILING((X378/$H378),1)*$H378),"")</f>
        <v>594</v>
      </c>
      <c r="Z378" s="36">
        <f>IFERROR(IF(Y378=0,"",ROUNDUP(Y378/H378,0)*0.01898),"")</f>
        <v>1.25268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628.25400000000002</v>
      </c>
      <c r="BN378" s="64">
        <f>IFERROR(Y378*I378/H378,"0")</f>
        <v>628.25400000000002</v>
      </c>
      <c r="BO378" s="64">
        <f>IFERROR(1/J378*(X378/H378),"0")</f>
        <v>1.03125</v>
      </c>
      <c r="BP378" s="64">
        <f>IFERROR(1/J378*(Y378/H378),"0")</f>
        <v>1.03125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60</v>
      </c>
      <c r="Y379" s="542">
        <f>IFERROR(IF(X379="",0,CEILING((X379/$H379),1)*$H379),"")</f>
        <v>60</v>
      </c>
      <c r="Z379" s="36">
        <f>IFERROR(IF(Y379=0,"",ROUNDUP(Y379/H379,0)*0.00651),"")</f>
        <v>0.16275000000000001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66.600000000000009</v>
      </c>
      <c r="BN379" s="64">
        <f>IFERROR(Y379*I379/H379,"0")</f>
        <v>66.600000000000009</v>
      </c>
      <c r="BO379" s="64">
        <f>IFERROR(1/J379*(X379/H379),"0")</f>
        <v>0.13736263736263737</v>
      </c>
      <c r="BP379" s="64">
        <f>IFERROR(1/J379*(Y379/H379),"0")</f>
        <v>0.13736263736263737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91</v>
      </c>
      <c r="Y380" s="543">
        <f>IFERROR(Y378/H378,"0")+IFERROR(Y379/H379,"0")</f>
        <v>91</v>
      </c>
      <c r="Z380" s="543">
        <f>IFERROR(IF(Z378="",0,Z378),"0")+IFERROR(IF(Z379="",0,Z379),"0")</f>
        <v>1.41543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654</v>
      </c>
      <c r="Y381" s="543">
        <f>IFERROR(SUM(Y378:Y379),"0")</f>
        <v>654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124</v>
      </c>
      <c r="Y421" s="542">
        <f t="shared" ref="Y421:Y431" si="42">IFERROR(IF(X421="",0,CEILING((X421/$H421),1)*$H421),"")</f>
        <v>126.72</v>
      </c>
      <c r="Z421" s="36">
        <f t="shared" ref="Z421:Z426" si="43">IFERROR(IF(Y421=0,"",ROUNDUP(Y421/H421,0)*0.01196),"")</f>
        <v>0.28704000000000002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132.45454545454544</v>
      </c>
      <c r="BN421" s="64">
        <f t="shared" ref="BN421:BN431" si="45">IFERROR(Y421*I421/H421,"0")</f>
        <v>135.35999999999999</v>
      </c>
      <c r="BO421" s="64">
        <f t="shared" ref="BO421:BO431" si="46">IFERROR(1/J421*(X421/H421),"0")</f>
        <v>0.22581585081585082</v>
      </c>
      <c r="BP421" s="64">
        <f t="shared" ref="BP421:BP431" si="47">IFERROR(1/J421*(Y421/H421),"0")</f>
        <v>0.23076923076923078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14</v>
      </c>
      <c r="Y422" s="542">
        <f t="shared" si="42"/>
        <v>15.84</v>
      </c>
      <c r="Z422" s="36">
        <f t="shared" si="43"/>
        <v>3.5880000000000002E-2</v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14.954545454545453</v>
      </c>
      <c r="BN422" s="64">
        <f t="shared" si="45"/>
        <v>16.919999999999998</v>
      </c>
      <c r="BO422" s="64">
        <f t="shared" si="46"/>
        <v>2.5495337995337996E-2</v>
      </c>
      <c r="BP422" s="64">
        <f t="shared" si="47"/>
        <v>2.8846153846153848E-2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356</v>
      </c>
      <c r="Y423" s="542">
        <f t="shared" si="42"/>
        <v>359.04</v>
      </c>
      <c r="Z423" s="36">
        <f t="shared" si="43"/>
        <v>0.81328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380.27272727272725</v>
      </c>
      <c r="BN423" s="64">
        <f t="shared" si="45"/>
        <v>383.52</v>
      </c>
      <c r="BO423" s="64">
        <f t="shared" si="46"/>
        <v>0.6483100233100233</v>
      </c>
      <c r="BP423" s="64">
        <f t="shared" si="47"/>
        <v>0.65384615384615385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698</v>
      </c>
      <c r="Y426" s="542">
        <f t="shared" si="42"/>
        <v>702.24</v>
      </c>
      <c r="Z426" s="36">
        <f t="shared" si="43"/>
        <v>1.5906800000000001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745.59090909090901</v>
      </c>
      <c r="BN426" s="64">
        <f t="shared" si="45"/>
        <v>750.11999999999989</v>
      </c>
      <c r="BO426" s="64">
        <f t="shared" si="46"/>
        <v>1.2711247086247086</v>
      </c>
      <c r="BP426" s="64">
        <f t="shared" si="47"/>
        <v>1.278846153846154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225.75757575757575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228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2.7268800000000004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1192</v>
      </c>
      <c r="Y433" s="543">
        <f>IFERROR(SUM(Y421:Y431),"0")</f>
        <v>1203.8400000000001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392</v>
      </c>
      <c r="Y435" s="542">
        <f>IFERROR(IF(X435="",0,CEILING((X435/$H435),1)*$H435),"")</f>
        <v>396</v>
      </c>
      <c r="Z435" s="36">
        <f>IFERROR(IF(Y435=0,"",ROUNDUP(Y435/H435,0)*0.01196),"")</f>
        <v>0.89700000000000002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418.72727272727263</v>
      </c>
      <c r="BN435" s="64">
        <f>IFERROR(Y435*I435/H435,"0")</f>
        <v>423</v>
      </c>
      <c r="BO435" s="64">
        <f>IFERROR(1/J435*(X435/H435),"0")</f>
        <v>0.71386946386946382</v>
      </c>
      <c r="BP435" s="64">
        <f>IFERROR(1/J435*(Y435/H435),"0")</f>
        <v>0.72115384615384615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74.242424242424235</v>
      </c>
      <c r="Y438" s="543">
        <f>IFERROR(Y435/H435,"0")+IFERROR(Y436/H436,"0")+IFERROR(Y437/H437,"0")</f>
        <v>75</v>
      </c>
      <c r="Z438" s="543">
        <f>IFERROR(IF(Z435="",0,Z435),"0")+IFERROR(IF(Z436="",0,Z436),"0")+IFERROR(IF(Z437="",0,Z437),"0")</f>
        <v>0.89700000000000002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392</v>
      </c>
      <c r="Y439" s="543">
        <f>IFERROR(SUM(Y435:Y437),"0")</f>
        <v>396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105</v>
      </c>
      <c r="Y442" s="542">
        <f t="shared" si="48"/>
        <v>105.60000000000001</v>
      </c>
      <c r="Z442" s="36">
        <f>IFERROR(IF(Y442=0,"",ROUNDUP(Y442/H442,0)*0.01196),"")</f>
        <v>0.2392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112.15909090909089</v>
      </c>
      <c r="BN442" s="64">
        <f t="shared" si="50"/>
        <v>112.80000000000001</v>
      </c>
      <c r="BO442" s="64">
        <f t="shared" si="51"/>
        <v>0.19121503496503497</v>
      </c>
      <c r="BP442" s="64">
        <f t="shared" si="52"/>
        <v>0.19230769230769232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19.886363636363637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105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11703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11870.35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12283.689622471275</v>
      </c>
      <c r="Y490" s="543">
        <f>IFERROR(SUM(BN22:BN486),"0")</f>
        <v>12460.179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20</v>
      </c>
      <c r="Y491" s="38">
        <f>ROUNDUP(SUM(BP22:BP486),0)</f>
        <v>20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12783.689622471275</v>
      </c>
      <c r="Y492" s="543">
        <f>GrossWeightTotalR+PalletQtyTotalR*25</f>
        <v>12960.179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1756.4091131275216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1783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22.470409999999998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191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582.5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304.8</v>
      </c>
      <c r="E499" s="46">
        <f>IFERROR(Y86*1,"0")+IFERROR(Y87*1,"0")+IFERROR(Y88*1,"0")+IFERROR(Y92*1,"0")+IFERROR(Y93*1,"0")+IFERROR(Y94*1,"0")+IFERROR(Y95*1,"0")</f>
        <v>592.20000000000005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798.59999999999991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526.38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1692.9000000000003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209.8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634.63</v>
      </c>
      <c r="R499" s="46">
        <f>IFERROR(Y335*1,"0")+IFERROR(Y336*1,"0")+IFERROR(Y337*1,"0")</f>
        <v>8.1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4161</v>
      </c>
      <c r="T499" s="46">
        <f>IFERROR(Y368*1,"0")+IFERROR(Y369*1,"0")+IFERROR(Y373*1,"0")+IFERROR(Y374*1,"0")+IFERROR(Y378*1,"0")+IFERROR(Y379*1,"0")</f>
        <v>654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1705.44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6"/>
        <filter val="1 070,00"/>
        <filter val="1 136,00"/>
        <filter val="1 192,00"/>
        <filter val="1 756,41"/>
        <filter val="1,00"/>
        <filter val="1,11"/>
        <filter val="10,00"/>
        <filter val="104,00"/>
        <filter val="105,00"/>
        <filter val="107,00"/>
        <filter val="11 703,00"/>
        <filter val="11,00"/>
        <filter val="12 283,69"/>
        <filter val="12 783,69"/>
        <filter val="12,50"/>
        <filter val="124,00"/>
        <filter val="13,00"/>
        <filter val="14,00"/>
        <filter val="15,93"/>
        <filter val="152,00"/>
        <filter val="16,21"/>
        <filter val="168,00"/>
        <filter val="172,00"/>
        <filter val="178,33"/>
        <filter val="188,00"/>
        <filter val="19,89"/>
        <filter val="193,00"/>
        <filter val="198,27"/>
        <filter val="2,00"/>
        <filter val="2,38"/>
        <filter val="20"/>
        <filter val="20,00"/>
        <filter val="200,33"/>
        <filter val="21,00"/>
        <filter val="22,00"/>
        <filter val="225,76"/>
        <filter val="23,00"/>
        <filter val="232,00"/>
        <filter val="236,67"/>
        <filter val="24,00"/>
        <filter val="25,00"/>
        <filter val="261,00"/>
        <filter val="27,00"/>
        <filter val="3 005,00"/>
        <filter val="3,00"/>
        <filter val="3,89"/>
        <filter val="302,00"/>
        <filter val="319,00"/>
        <filter val="34,00"/>
        <filter val="35,00"/>
        <filter val="356,00"/>
        <filter val="360,00"/>
        <filter val="365,00"/>
        <filter val="38,27"/>
        <filter val="380,00"/>
        <filter val="384,00"/>
        <filter val="392,00"/>
        <filter val="4,00"/>
        <filter val="4,58"/>
        <filter val="428,00"/>
        <filter val="43,00"/>
        <filter val="467,00"/>
        <filter val="47,80"/>
        <filter val="494,00"/>
        <filter val="5,00"/>
        <filter val="5,42"/>
        <filter val="5,56"/>
        <filter val="50,63"/>
        <filter val="516,00"/>
        <filter val="521,00"/>
        <filter val="551,00"/>
        <filter val="557,00"/>
        <filter val="571,00"/>
        <filter val="594,00"/>
        <filter val="6,11"/>
        <filter val="60,00"/>
        <filter val="601,00"/>
        <filter val="63,00"/>
        <filter val="654,00"/>
        <filter val="672,00"/>
        <filter val="68,00"/>
        <filter val="69,08"/>
        <filter val="698,00"/>
        <filter val="7,00"/>
        <filter val="71,00"/>
        <filter val="71,33"/>
        <filter val="71,35"/>
        <filter val="711,00"/>
        <filter val="73,00"/>
        <filter val="74,24"/>
        <filter val="76,00"/>
        <filter val="78,00"/>
        <filter val="79,00"/>
        <filter val="79,88"/>
        <filter val="9,55"/>
        <filter val="9,58"/>
        <filter val="9,91"/>
        <filter val="90,00"/>
        <filter val="91,00"/>
        <filter val="93,00"/>
        <filter val="982,00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3 X80 X86 X88 X92 X100 X102 X107 X109 X113 X115 X163 X165:X166 X168:X169 X192 X196:X197 X199:X201 X203 X209:X210 X212:X215 X220 X225 X273:X274 X315:X317 X324 X335 X343:X346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