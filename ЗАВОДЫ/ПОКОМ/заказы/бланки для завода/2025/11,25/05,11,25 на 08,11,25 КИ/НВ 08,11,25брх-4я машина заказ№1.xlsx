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BC36E01-4798-4E69-9B14-68E43A8843E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Z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Y370" i="1" s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M499" i="1" s="1"/>
  <c r="P264" i="1"/>
  <c r="X261" i="1"/>
  <c r="X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Y179" i="1" s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X151" i="1"/>
  <c r="X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BP142" i="1" s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BP125" i="1" s="1"/>
  <c r="P125" i="1"/>
  <c r="X122" i="1"/>
  <c r="X121" i="1"/>
  <c r="BO120" i="1"/>
  <c r="BM120" i="1"/>
  <c r="Y120" i="1"/>
  <c r="Y122" i="1" s="1"/>
  <c r="P120" i="1"/>
  <c r="X118" i="1"/>
  <c r="X117" i="1"/>
  <c r="BO116" i="1"/>
  <c r="BM116" i="1"/>
  <c r="Y116" i="1"/>
  <c r="BP116" i="1" s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D7" i="1"/>
  <c r="Q6" i="1"/>
  <c r="P2" i="1"/>
  <c r="Y155" i="1" l="1"/>
  <c r="Y154" i="1"/>
  <c r="BP153" i="1"/>
  <c r="BN153" i="1"/>
  <c r="Z153" i="1"/>
  <c r="Z154" i="1" s="1"/>
  <c r="Y160" i="1"/>
  <c r="BP159" i="1"/>
  <c r="BN159" i="1"/>
  <c r="Z159" i="1"/>
  <c r="Z160" i="1" s="1"/>
  <c r="BP163" i="1"/>
  <c r="BN163" i="1"/>
  <c r="Z163" i="1"/>
  <c r="Y183" i="1"/>
  <c r="Y182" i="1"/>
  <c r="BP181" i="1"/>
  <c r="BN181" i="1"/>
  <c r="Z181" i="1"/>
  <c r="Z182" i="1" s="1"/>
  <c r="BP186" i="1"/>
  <c r="BN186" i="1"/>
  <c r="Z186" i="1"/>
  <c r="BP212" i="1"/>
  <c r="BN212" i="1"/>
  <c r="Z212" i="1"/>
  <c r="BP247" i="1"/>
  <c r="BN247" i="1"/>
  <c r="Z247" i="1"/>
  <c r="BP274" i="1"/>
  <c r="BN274" i="1"/>
  <c r="Z274" i="1"/>
  <c r="BP310" i="1"/>
  <c r="BN310" i="1"/>
  <c r="Z310" i="1"/>
  <c r="BP348" i="1"/>
  <c r="BN348" i="1"/>
  <c r="Z348" i="1"/>
  <c r="BP391" i="1"/>
  <c r="BN391" i="1"/>
  <c r="Z391" i="1"/>
  <c r="BP426" i="1"/>
  <c r="BN426" i="1"/>
  <c r="Z426" i="1"/>
  <c r="BP452" i="1"/>
  <c r="BN452" i="1"/>
  <c r="Z452" i="1"/>
  <c r="Z52" i="1"/>
  <c r="BN52" i="1"/>
  <c r="Z62" i="1"/>
  <c r="BN62" i="1"/>
  <c r="Z72" i="1"/>
  <c r="BN72" i="1"/>
  <c r="Z87" i="1"/>
  <c r="BN87" i="1"/>
  <c r="Z102" i="1"/>
  <c r="BN102" i="1"/>
  <c r="Z120" i="1"/>
  <c r="Z121" i="1" s="1"/>
  <c r="BN120" i="1"/>
  <c r="BP120" i="1"/>
  <c r="Y121" i="1"/>
  <c r="Z125" i="1"/>
  <c r="BN125" i="1"/>
  <c r="BP148" i="1"/>
  <c r="BN148" i="1"/>
  <c r="Z148" i="1"/>
  <c r="BP171" i="1"/>
  <c r="BN171" i="1"/>
  <c r="Z171" i="1"/>
  <c r="BP200" i="1"/>
  <c r="BN200" i="1"/>
  <c r="Z200" i="1"/>
  <c r="BP227" i="1"/>
  <c r="BN227" i="1"/>
  <c r="Z227" i="1"/>
  <c r="BP258" i="1"/>
  <c r="BN258" i="1"/>
  <c r="Z258" i="1"/>
  <c r="BP298" i="1"/>
  <c r="BN298" i="1"/>
  <c r="Z298" i="1"/>
  <c r="BP329" i="1"/>
  <c r="BN329" i="1"/>
  <c r="Z329" i="1"/>
  <c r="BP379" i="1"/>
  <c r="BN379" i="1"/>
  <c r="Z379" i="1"/>
  <c r="BP410" i="1"/>
  <c r="BN410" i="1"/>
  <c r="Z410" i="1"/>
  <c r="BP442" i="1"/>
  <c r="BN442" i="1"/>
  <c r="Z44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L499" i="1"/>
  <c r="Y63" i="1"/>
  <c r="Y178" i="1"/>
  <c r="BP272" i="1"/>
  <c r="BN272" i="1"/>
  <c r="Z272" i="1"/>
  <c r="BP292" i="1"/>
  <c r="BN292" i="1"/>
  <c r="Z292" i="1"/>
  <c r="BP308" i="1"/>
  <c r="BN308" i="1"/>
  <c r="Z308" i="1"/>
  <c r="BP323" i="1"/>
  <c r="BN323" i="1"/>
  <c r="Z323" i="1"/>
  <c r="BP346" i="1"/>
  <c r="BN346" i="1"/>
  <c r="Z346" i="1"/>
  <c r="BP369" i="1"/>
  <c r="BN369" i="1"/>
  <c r="Z369" i="1"/>
  <c r="BP373" i="1"/>
  <c r="BN373" i="1"/>
  <c r="Z373" i="1"/>
  <c r="BP389" i="1"/>
  <c r="BN389" i="1"/>
  <c r="Z389" i="1"/>
  <c r="BP408" i="1"/>
  <c r="BN408" i="1"/>
  <c r="Z408" i="1"/>
  <c r="BP424" i="1"/>
  <c r="BN424" i="1"/>
  <c r="Z424" i="1"/>
  <c r="BP436" i="1"/>
  <c r="BN436" i="1"/>
  <c r="Z436" i="1"/>
  <c r="BP450" i="1"/>
  <c r="BN450" i="1"/>
  <c r="Z450" i="1"/>
  <c r="BP466" i="1"/>
  <c r="BN466" i="1"/>
  <c r="Z466" i="1"/>
  <c r="X490" i="1"/>
  <c r="X493" i="1"/>
  <c r="Z27" i="1"/>
  <c r="BN27" i="1"/>
  <c r="Z41" i="1"/>
  <c r="BN41" i="1"/>
  <c r="Z54" i="1"/>
  <c r="BN54" i="1"/>
  <c r="Z60" i="1"/>
  <c r="Z63" i="1" s="1"/>
  <c r="BN60" i="1"/>
  <c r="BP60" i="1"/>
  <c r="Z68" i="1"/>
  <c r="BN68" i="1"/>
  <c r="Y78" i="1"/>
  <c r="Z74" i="1"/>
  <c r="BN74" i="1"/>
  <c r="Z80" i="1"/>
  <c r="BN80" i="1"/>
  <c r="BP80" i="1"/>
  <c r="Z93" i="1"/>
  <c r="BN93" i="1"/>
  <c r="Z100" i="1"/>
  <c r="BN100" i="1"/>
  <c r="Z108" i="1"/>
  <c r="BN108" i="1"/>
  <c r="Z116" i="1"/>
  <c r="BN116" i="1"/>
  <c r="Z131" i="1"/>
  <c r="BN131" i="1"/>
  <c r="Y137" i="1"/>
  <c r="Z142" i="1"/>
  <c r="BN142" i="1"/>
  <c r="Y173" i="1"/>
  <c r="Z165" i="1"/>
  <c r="BN165" i="1"/>
  <c r="Z169" i="1"/>
  <c r="BN169" i="1"/>
  <c r="Z175" i="1"/>
  <c r="BN175" i="1"/>
  <c r="BP175" i="1"/>
  <c r="Z192" i="1"/>
  <c r="BN192" i="1"/>
  <c r="Y204" i="1"/>
  <c r="Z198" i="1"/>
  <c r="BN198" i="1"/>
  <c r="Z202" i="1"/>
  <c r="BN202" i="1"/>
  <c r="Z210" i="1"/>
  <c r="BN210" i="1"/>
  <c r="Z214" i="1"/>
  <c r="BN214" i="1"/>
  <c r="Z225" i="1"/>
  <c r="BN225" i="1"/>
  <c r="Z229" i="1"/>
  <c r="BN229" i="1"/>
  <c r="Z233" i="1"/>
  <c r="BN233" i="1"/>
  <c r="Y251" i="1"/>
  <c r="Z249" i="1"/>
  <c r="BN249" i="1"/>
  <c r="BP256" i="1"/>
  <c r="BN256" i="1"/>
  <c r="BP265" i="1"/>
  <c r="BN265" i="1"/>
  <c r="Z265" i="1"/>
  <c r="BP279" i="1"/>
  <c r="BN279" i="1"/>
  <c r="Z279" i="1"/>
  <c r="BP300" i="1"/>
  <c r="BN300" i="1"/>
  <c r="Z300" i="1"/>
  <c r="BP316" i="1"/>
  <c r="BN316" i="1"/>
  <c r="Z316" i="1"/>
  <c r="BP336" i="1"/>
  <c r="BN336" i="1"/>
  <c r="Z336" i="1"/>
  <c r="BP354" i="1"/>
  <c r="BN354" i="1"/>
  <c r="Z354" i="1"/>
  <c r="U499" i="1"/>
  <c r="BP385" i="1"/>
  <c r="BN385" i="1"/>
  <c r="Z385" i="1"/>
  <c r="BP393" i="1"/>
  <c r="BN393" i="1"/>
  <c r="Z393" i="1"/>
  <c r="Y417" i="1"/>
  <c r="W499" i="1"/>
  <c r="Y416" i="1"/>
  <c r="BP415" i="1"/>
  <c r="BN415" i="1"/>
  <c r="Z415" i="1"/>
  <c r="Z416" i="1" s="1"/>
  <c r="BP421" i="1"/>
  <c r="BN421" i="1"/>
  <c r="Z421" i="1"/>
  <c r="BP428" i="1"/>
  <c r="BN428" i="1"/>
  <c r="Z428" i="1"/>
  <c r="BP444" i="1"/>
  <c r="BN444" i="1"/>
  <c r="Z444" i="1"/>
  <c r="Y462" i="1"/>
  <c r="BP458" i="1"/>
  <c r="BN458" i="1"/>
  <c r="Z458" i="1"/>
  <c r="Y360" i="1"/>
  <c r="Y399" i="1"/>
  <c r="BP28" i="1"/>
  <c r="BN28" i="1"/>
  <c r="Z28" i="1"/>
  <c r="Y47" i="1"/>
  <c r="BP46" i="1"/>
  <c r="BN46" i="1"/>
  <c r="Z46" i="1"/>
  <c r="Z47" i="1" s="1"/>
  <c r="D499" i="1"/>
  <c r="Y58" i="1"/>
  <c r="BP51" i="1"/>
  <c r="BN51" i="1"/>
  <c r="Z51" i="1"/>
  <c r="BP55" i="1"/>
  <c r="BN55" i="1"/>
  <c r="Z55" i="1"/>
  <c r="BP67" i="1"/>
  <c r="BN67" i="1"/>
  <c r="Z67" i="1"/>
  <c r="Z69" i="1" s="1"/>
  <c r="BP75" i="1"/>
  <c r="BN75" i="1"/>
  <c r="Z75" i="1"/>
  <c r="BP88" i="1"/>
  <c r="BN88" i="1"/>
  <c r="Z88" i="1"/>
  <c r="Y90" i="1"/>
  <c r="Y97" i="1"/>
  <c r="BP92" i="1"/>
  <c r="BN92" i="1"/>
  <c r="Z92" i="1"/>
  <c r="Y96" i="1"/>
  <c r="BP101" i="1"/>
  <c r="BN101" i="1"/>
  <c r="Z101" i="1"/>
  <c r="Z104" i="1" s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Z127" i="1" s="1"/>
  <c r="Y128" i="1"/>
  <c r="Y133" i="1"/>
  <c r="BP130" i="1"/>
  <c r="BN130" i="1"/>
  <c r="Z130" i="1"/>
  <c r="Z132" i="1" s="1"/>
  <c r="BP143" i="1"/>
  <c r="BN143" i="1"/>
  <c r="Z143" i="1"/>
  <c r="Y145" i="1"/>
  <c r="Y150" i="1"/>
  <c r="BP147" i="1"/>
  <c r="BN147" i="1"/>
  <c r="Z147" i="1"/>
  <c r="BP166" i="1"/>
  <c r="BN166" i="1"/>
  <c r="Z166" i="1"/>
  <c r="BP170" i="1"/>
  <c r="BN170" i="1"/>
  <c r="Z170" i="1"/>
  <c r="BP187" i="1"/>
  <c r="BN187" i="1"/>
  <c r="Z187" i="1"/>
  <c r="Z188" i="1" s="1"/>
  <c r="J499" i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Y221" i="1"/>
  <c r="F10" i="1"/>
  <c r="J9" i="1"/>
  <c r="F9" i="1"/>
  <c r="A10" i="1"/>
  <c r="BP42" i="1"/>
  <c r="BN42" i="1"/>
  <c r="Z42" i="1"/>
  <c r="Y44" i="1"/>
  <c r="Y48" i="1"/>
  <c r="H9" i="1"/>
  <c r="Y23" i="1"/>
  <c r="BP22" i="1"/>
  <c r="BN22" i="1"/>
  <c r="Z22" i="1"/>
  <c r="Z23" i="1" s="1"/>
  <c r="B499" i="1"/>
  <c r="X491" i="1"/>
  <c r="Y24" i="1"/>
  <c r="Y31" i="1"/>
  <c r="BP26" i="1"/>
  <c r="BN26" i="1"/>
  <c r="Z26" i="1"/>
  <c r="BP30" i="1"/>
  <c r="BN30" i="1"/>
  <c r="Z30" i="1"/>
  <c r="Y32" i="1"/>
  <c r="Y35" i="1"/>
  <c r="BP34" i="1"/>
  <c r="BN34" i="1"/>
  <c r="Z34" i="1"/>
  <c r="Z35" i="1" s="1"/>
  <c r="Y36" i="1"/>
  <c r="C499" i="1"/>
  <c r="Y43" i="1"/>
  <c r="BP40" i="1"/>
  <c r="BN40" i="1"/>
  <c r="Z40" i="1"/>
  <c r="Z43" i="1" s="1"/>
  <c r="BP53" i="1"/>
  <c r="BN53" i="1"/>
  <c r="Z53" i="1"/>
  <c r="Y57" i="1"/>
  <c r="BP61" i="1"/>
  <c r="BN61" i="1"/>
  <c r="Z61" i="1"/>
  <c r="Y70" i="1"/>
  <c r="Y69" i="1"/>
  <c r="BP73" i="1"/>
  <c r="BN73" i="1"/>
  <c r="Z73" i="1"/>
  <c r="Z77" i="1" s="1"/>
  <c r="Y77" i="1"/>
  <c r="BP81" i="1"/>
  <c r="BN81" i="1"/>
  <c r="Z81" i="1"/>
  <c r="Z82" i="1" s="1"/>
  <c r="Y83" i="1"/>
  <c r="E499" i="1"/>
  <c r="Y89" i="1"/>
  <c r="BP86" i="1"/>
  <c r="BN86" i="1"/>
  <c r="Z86" i="1"/>
  <c r="Z89" i="1" s="1"/>
  <c r="BP94" i="1"/>
  <c r="BN94" i="1"/>
  <c r="Z94" i="1"/>
  <c r="F499" i="1"/>
  <c r="BP103" i="1"/>
  <c r="BN103" i="1"/>
  <c r="Z103" i="1"/>
  <c r="Y105" i="1"/>
  <c r="Y110" i="1"/>
  <c r="BP107" i="1"/>
  <c r="BN107" i="1"/>
  <c r="Z107" i="1"/>
  <c r="Z110" i="1" s="1"/>
  <c r="BP115" i="1"/>
  <c r="BN115" i="1"/>
  <c r="Z115" i="1"/>
  <c r="Y132" i="1"/>
  <c r="BP136" i="1"/>
  <c r="BN136" i="1"/>
  <c r="Z136" i="1"/>
  <c r="Z137" i="1" s="1"/>
  <c r="Y138" i="1"/>
  <c r="H499" i="1"/>
  <c r="Y144" i="1"/>
  <c r="BP141" i="1"/>
  <c r="BN141" i="1"/>
  <c r="Z141" i="1"/>
  <c r="BP149" i="1"/>
  <c r="BN149" i="1"/>
  <c r="Z149" i="1"/>
  <c r="Y151" i="1"/>
  <c r="BP164" i="1"/>
  <c r="BN164" i="1"/>
  <c r="Z164" i="1"/>
  <c r="Z172" i="1" s="1"/>
  <c r="BP168" i="1"/>
  <c r="BN168" i="1"/>
  <c r="Z168" i="1"/>
  <c r="Y172" i="1"/>
  <c r="BP176" i="1"/>
  <c r="BN176" i="1"/>
  <c r="Z176" i="1"/>
  <c r="Z178" i="1" s="1"/>
  <c r="Y188" i="1"/>
  <c r="Y193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Y236" i="1"/>
  <c r="Y240" i="1"/>
  <c r="Y244" i="1"/>
  <c r="Y252" i="1"/>
  <c r="Y261" i="1"/>
  <c r="Y268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BP345" i="1"/>
  <c r="BN345" i="1"/>
  <c r="Z345" i="1"/>
  <c r="BP349" i="1"/>
  <c r="BN349" i="1"/>
  <c r="Z349" i="1"/>
  <c r="Y351" i="1"/>
  <c r="Y356" i="1"/>
  <c r="BP353" i="1"/>
  <c r="BN353" i="1"/>
  <c r="Z353" i="1"/>
  <c r="Z355" i="1" s="1"/>
  <c r="BP374" i="1"/>
  <c r="BN374" i="1"/>
  <c r="Z374" i="1"/>
  <c r="Z375" i="1" s="1"/>
  <c r="Y376" i="1"/>
  <c r="Y381" i="1"/>
  <c r="BP378" i="1"/>
  <c r="BN378" i="1"/>
  <c r="Z378" i="1"/>
  <c r="Z380" i="1" s="1"/>
  <c r="BP388" i="1"/>
  <c r="BN388" i="1"/>
  <c r="Z388" i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Y439" i="1"/>
  <c r="BP443" i="1"/>
  <c r="BN443" i="1"/>
  <c r="Z443" i="1"/>
  <c r="Y447" i="1"/>
  <c r="Z453" i="1"/>
  <c r="BP451" i="1"/>
  <c r="BN451" i="1"/>
  <c r="Z451" i="1"/>
  <c r="Y453" i="1"/>
  <c r="S499" i="1"/>
  <c r="X489" i="1"/>
  <c r="Y104" i="1"/>
  <c r="G499" i="1"/>
  <c r="Y127" i="1"/>
  <c r="I499" i="1"/>
  <c r="Y161" i="1"/>
  <c r="K499" i="1"/>
  <c r="Z226" i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Z251" i="1" s="1"/>
  <c r="BN246" i="1"/>
  <c r="BP246" i="1"/>
  <c r="Z248" i="1"/>
  <c r="BN248" i="1"/>
  <c r="Z250" i="1"/>
  <c r="BN250" i="1"/>
  <c r="Z255" i="1"/>
  <c r="BN255" i="1"/>
  <c r="BP255" i="1"/>
  <c r="Z257" i="1"/>
  <c r="BN257" i="1"/>
  <c r="Z259" i="1"/>
  <c r="BN259" i="1"/>
  <c r="Y260" i="1"/>
  <c r="Z264" i="1"/>
  <c r="BN264" i="1"/>
  <c r="BP264" i="1"/>
  <c r="Z266" i="1"/>
  <c r="BN266" i="1"/>
  <c r="Y269" i="1"/>
  <c r="Y276" i="1"/>
  <c r="Z273" i="1"/>
  <c r="Z275" i="1" s="1"/>
  <c r="BN273" i="1"/>
  <c r="Y275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Z294" i="1" s="1"/>
  <c r="BP293" i="1"/>
  <c r="BN293" i="1"/>
  <c r="Z293" i="1"/>
  <c r="Y295" i="1"/>
  <c r="Y304" i="1"/>
  <c r="BP297" i="1"/>
  <c r="BN297" i="1"/>
  <c r="Z297" i="1"/>
  <c r="Z304" i="1" s="1"/>
  <c r="BP301" i="1"/>
  <c r="BN301" i="1"/>
  <c r="Z301" i="1"/>
  <c r="BP309" i="1"/>
  <c r="BN309" i="1"/>
  <c r="Z309" i="1"/>
  <c r="BP317" i="1"/>
  <c r="BN317" i="1"/>
  <c r="Z317" i="1"/>
  <c r="Y319" i="1"/>
  <c r="Y325" i="1"/>
  <c r="BP321" i="1"/>
  <c r="BN321" i="1"/>
  <c r="Z321" i="1"/>
  <c r="Z325" i="1" s="1"/>
  <c r="BP324" i="1"/>
  <c r="BN324" i="1"/>
  <c r="Z324" i="1"/>
  <c r="Y326" i="1"/>
  <c r="Y331" i="1"/>
  <c r="BP328" i="1"/>
  <c r="BN328" i="1"/>
  <c r="Z328" i="1"/>
  <c r="Z331" i="1" s="1"/>
  <c r="BP337" i="1"/>
  <c r="BN337" i="1"/>
  <c r="Z337" i="1"/>
  <c r="Y339" i="1"/>
  <c r="Y350" i="1"/>
  <c r="BP343" i="1"/>
  <c r="BN343" i="1"/>
  <c r="Z343" i="1"/>
  <c r="Z350" i="1" s="1"/>
  <c r="BP347" i="1"/>
  <c r="BN347" i="1"/>
  <c r="Z347" i="1"/>
  <c r="Y355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Y375" i="1"/>
  <c r="Y380" i="1"/>
  <c r="BP386" i="1"/>
  <c r="BN386" i="1"/>
  <c r="Z386" i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Z411" i="1" s="1"/>
  <c r="Y411" i="1"/>
  <c r="BP422" i="1"/>
  <c r="BN422" i="1"/>
  <c r="Z422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P499" i="1"/>
  <c r="Y281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Z473" i="1" s="1"/>
  <c r="Y482" i="1"/>
  <c r="Y499" i="1"/>
  <c r="Z447" i="1" l="1"/>
  <c r="Z394" i="1"/>
  <c r="Z235" i="1"/>
  <c r="Z144" i="1"/>
  <c r="X492" i="1"/>
  <c r="Z468" i="1"/>
  <c r="Z268" i="1"/>
  <c r="Z260" i="1"/>
  <c r="Z338" i="1"/>
  <c r="Z318" i="1"/>
  <c r="Z312" i="1"/>
  <c r="Z204" i="1"/>
  <c r="Z31" i="1"/>
  <c r="Y489" i="1"/>
  <c r="Y490" i="1"/>
  <c r="Y493" i="1"/>
  <c r="Z117" i="1"/>
  <c r="Z96" i="1"/>
  <c r="Z57" i="1"/>
  <c r="Z432" i="1"/>
  <c r="Z438" i="1"/>
  <c r="Y491" i="1"/>
  <c r="Z216" i="1"/>
  <c r="Z150" i="1"/>
  <c r="Z494" i="1" s="1"/>
  <c r="Y492" i="1" l="1"/>
</calcChain>
</file>

<file path=xl/sharedStrings.xml><?xml version="1.0" encoding="utf-8"?>
<sst xmlns="http://schemas.openxmlformats.org/spreadsheetml/2006/main" count="2205" uniqueCount="764">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</sst>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1" t="s">
        <v>0</v>
      </c>
      <c r="E1" s="566"/>
      <c r="F1" s="566"/>
      <c r="G1" s="12" t="s">
        <v>1</v>
      </c>
      <c r="H1" s="611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6" t="s">
        <v>8</v>
      </c>
      <c r="B5" s="620"/>
      <c r="C5" s="621"/>
      <c r="D5" s="615"/>
      <c r="E5" s="616"/>
      <c r="F5" s="829" t="s">
        <v>9</v>
      </c>
      <c r="G5" s="621"/>
      <c r="H5" s="615" t="s">
        <v>763</v>
      </c>
      <c r="I5" s="843"/>
      <c r="J5" s="843"/>
      <c r="K5" s="843"/>
      <c r="L5" s="843"/>
      <c r="M5" s="616"/>
      <c r="N5" s="58"/>
      <c r="P5" s="24" t="s">
        <v>10</v>
      </c>
      <c r="Q5" s="835">
        <v>45969</v>
      </c>
      <c r="R5" s="665"/>
      <c r="T5" s="708" t="s">
        <v>11</v>
      </c>
      <c r="U5" s="709"/>
      <c r="V5" s="711" t="s">
        <v>12</v>
      </c>
      <c r="W5" s="665"/>
      <c r="AB5" s="51"/>
      <c r="AC5" s="51"/>
      <c r="AD5" s="51"/>
      <c r="AE5" s="51"/>
    </row>
    <row r="6" spans="1:32" s="535" customFormat="1" ht="24" customHeight="1" x14ac:dyDescent="0.2">
      <c r="A6" s="666" t="s">
        <v>13</v>
      </c>
      <c r="B6" s="620"/>
      <c r="C6" s="621"/>
      <c r="D6" s="772" t="s">
        <v>14</v>
      </c>
      <c r="E6" s="773"/>
      <c r="F6" s="773"/>
      <c r="G6" s="773"/>
      <c r="H6" s="773"/>
      <c r="I6" s="773"/>
      <c r="J6" s="773"/>
      <c r="K6" s="773"/>
      <c r="L6" s="773"/>
      <c r="M6" s="665"/>
      <c r="N6" s="59"/>
      <c r="P6" s="24" t="s">
        <v>15</v>
      </c>
      <c r="Q6" s="818" t="str">
        <f>IF(Q5=0," ",CHOOSE(WEEKDAY(Q5,2),"Понедельник","Вторник","Среда","Четверг","Пятница","Суббота","Воскресенье"))</f>
        <v>Суббота</v>
      </c>
      <c r="R6" s="548"/>
      <c r="T6" s="716" t="s">
        <v>16</v>
      </c>
      <c r="U6" s="709"/>
      <c r="V6" s="781" t="s">
        <v>17</v>
      </c>
      <c r="W6" s="581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46"/>
      <c r="U7" s="709"/>
      <c r="V7" s="782"/>
      <c r="W7" s="783"/>
      <c r="AB7" s="51"/>
      <c r="AC7" s="51"/>
      <c r="AD7" s="51"/>
      <c r="AE7" s="51"/>
    </row>
    <row r="8" spans="1:32" s="535" customFormat="1" ht="25.5" customHeight="1" x14ac:dyDescent="0.2">
      <c r="A8" s="866" t="s">
        <v>18</v>
      </c>
      <c r="B8" s="550"/>
      <c r="C8" s="551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73">
        <v>0.5</v>
      </c>
      <c r="R8" s="599"/>
      <c r="T8" s="546"/>
      <c r="U8" s="709"/>
      <c r="V8" s="782"/>
      <c r="W8" s="783"/>
      <c r="AB8" s="51"/>
      <c r="AC8" s="51"/>
      <c r="AD8" s="51"/>
      <c r="AE8" s="51"/>
    </row>
    <row r="9" spans="1:32" s="535" customFormat="1" ht="39.950000000000003" customHeight="1" x14ac:dyDescent="0.2">
      <c r="A9" s="6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85"/>
      <c r="E9" s="576"/>
      <c r="F9" s="6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575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533"/>
      <c r="P9" s="26" t="s">
        <v>21</v>
      </c>
      <c r="Q9" s="662"/>
      <c r="R9" s="663"/>
      <c r="T9" s="546"/>
      <c r="U9" s="709"/>
      <c r="V9" s="784"/>
      <c r="W9" s="78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85"/>
      <c r="E10" s="576"/>
      <c r="F10" s="6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758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17"/>
      <c r="R10" s="718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791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79" t="s">
        <v>29</v>
      </c>
      <c r="B12" s="620"/>
      <c r="C12" s="620"/>
      <c r="D12" s="620"/>
      <c r="E12" s="620"/>
      <c r="F12" s="620"/>
      <c r="G12" s="620"/>
      <c r="H12" s="620"/>
      <c r="I12" s="620"/>
      <c r="J12" s="620"/>
      <c r="K12" s="620"/>
      <c r="L12" s="620"/>
      <c r="M12" s="621"/>
      <c r="N12" s="62"/>
      <c r="P12" s="24" t="s">
        <v>30</v>
      </c>
      <c r="Q12" s="673"/>
      <c r="R12" s="599"/>
      <c r="S12" s="23"/>
      <c r="U12" s="24"/>
      <c r="V12" s="566"/>
      <c r="W12" s="546"/>
      <c r="AB12" s="51"/>
      <c r="AC12" s="51"/>
      <c r="AD12" s="51"/>
      <c r="AE12" s="51"/>
    </row>
    <row r="13" spans="1:32" s="535" customFormat="1" ht="23.25" customHeight="1" x14ac:dyDescent="0.2">
      <c r="A13" s="679" t="s">
        <v>31</v>
      </c>
      <c r="B13" s="620"/>
      <c r="C13" s="620"/>
      <c r="D13" s="620"/>
      <c r="E13" s="620"/>
      <c r="F13" s="620"/>
      <c r="G13" s="620"/>
      <c r="H13" s="620"/>
      <c r="I13" s="620"/>
      <c r="J13" s="620"/>
      <c r="K13" s="620"/>
      <c r="L13" s="620"/>
      <c r="M13" s="621"/>
      <c r="N13" s="62"/>
      <c r="O13" s="26"/>
      <c r="P13" s="26" t="s">
        <v>32</v>
      </c>
      <c r="Q13" s="791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79" t="s">
        <v>33</v>
      </c>
      <c r="B14" s="620"/>
      <c r="C14" s="620"/>
      <c r="D14" s="620"/>
      <c r="E14" s="620"/>
      <c r="F14" s="620"/>
      <c r="G14" s="620"/>
      <c r="H14" s="620"/>
      <c r="I14" s="620"/>
      <c r="J14" s="620"/>
      <c r="K14" s="620"/>
      <c r="L14" s="620"/>
      <c r="M14" s="62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30" t="s">
        <v>34</v>
      </c>
      <c r="B15" s="620"/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1"/>
      <c r="N15" s="63"/>
      <c r="P15" s="691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4" t="s">
        <v>36</v>
      </c>
      <c r="B17" s="554" t="s">
        <v>37</v>
      </c>
      <c r="C17" s="681" t="s">
        <v>38</v>
      </c>
      <c r="D17" s="554" t="s">
        <v>39</v>
      </c>
      <c r="E17" s="650"/>
      <c r="F17" s="554" t="s">
        <v>40</v>
      </c>
      <c r="G17" s="554" t="s">
        <v>41</v>
      </c>
      <c r="H17" s="554" t="s">
        <v>42</v>
      </c>
      <c r="I17" s="554" t="s">
        <v>43</v>
      </c>
      <c r="J17" s="554" t="s">
        <v>44</v>
      </c>
      <c r="K17" s="554" t="s">
        <v>45</v>
      </c>
      <c r="L17" s="554" t="s">
        <v>46</v>
      </c>
      <c r="M17" s="554" t="s">
        <v>47</v>
      </c>
      <c r="N17" s="554" t="s">
        <v>48</v>
      </c>
      <c r="O17" s="554" t="s">
        <v>49</v>
      </c>
      <c r="P17" s="554" t="s">
        <v>50</v>
      </c>
      <c r="Q17" s="649"/>
      <c r="R17" s="649"/>
      <c r="S17" s="649"/>
      <c r="T17" s="650"/>
      <c r="U17" s="858" t="s">
        <v>51</v>
      </c>
      <c r="V17" s="621"/>
      <c r="W17" s="554" t="s">
        <v>52</v>
      </c>
      <c r="X17" s="554" t="s">
        <v>53</v>
      </c>
      <c r="Y17" s="859" t="s">
        <v>54</v>
      </c>
      <c r="Z17" s="86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4"/>
      <c r="AF17" s="825"/>
      <c r="AG17" s="66"/>
      <c r="BD17" s="65" t="s">
        <v>60</v>
      </c>
    </row>
    <row r="18" spans="1:68" ht="14.25" customHeight="1" x14ac:dyDescent="0.2">
      <c r="A18" s="555"/>
      <c r="B18" s="555"/>
      <c r="C18" s="555"/>
      <c r="D18" s="651"/>
      <c r="E18" s="653"/>
      <c r="F18" s="555"/>
      <c r="G18" s="555"/>
      <c r="H18" s="555"/>
      <c r="I18" s="555"/>
      <c r="J18" s="555"/>
      <c r="K18" s="555"/>
      <c r="L18" s="555"/>
      <c r="M18" s="555"/>
      <c r="N18" s="555"/>
      <c r="O18" s="555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55"/>
      <c r="X18" s="555"/>
      <c r="Y18" s="860"/>
      <c r="Z18" s="863"/>
      <c r="AA18" s="757"/>
      <c r="AB18" s="757"/>
      <c r="AC18" s="757"/>
      <c r="AD18" s="826"/>
      <c r="AE18" s="827"/>
      <c r="AF18" s="828"/>
      <c r="AG18" s="66"/>
      <c r="BD18" s="65"/>
    </row>
    <row r="19" spans="1:68" ht="27.75" hidden="1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hidden="1" customHeight="1" x14ac:dyDescent="0.25">
      <c r="A20" s="574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hidden="1" customHeight="1" x14ac:dyDescent="0.25">
      <c r="A21" s="545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8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2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53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53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45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2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53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53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45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2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53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53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4" t="s">
        <v>97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hidden="1" customHeight="1" x14ac:dyDescent="0.25">
      <c r="A38" s="574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hidden="1" customHeight="1" x14ac:dyDescent="0.25">
      <c r="A39" s="545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7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4"/>
      <c r="V42" s="34"/>
      <c r="W42" s="35" t="s">
        <v>69</v>
      </c>
      <c r="X42" s="541">
        <v>17</v>
      </c>
      <c r="Y42" s="542">
        <f>IFERROR(IF(X42="",0,CEILING((X42/$H42),1)*$H42),"")</f>
        <v>18.5</v>
      </c>
      <c r="Z42" s="36">
        <f>IFERROR(IF(Y42=0,"",ROUNDUP(Y42/H42,0)*0.00902),"")</f>
        <v>4.5100000000000001E-2</v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17.964864864864865</v>
      </c>
      <c r="BN42" s="64">
        <f>IFERROR(Y42*I42/H42,"0")</f>
        <v>19.55</v>
      </c>
      <c r="BO42" s="64">
        <f>IFERROR(1/J42*(X42/H42),"0")</f>
        <v>3.4807534807534811E-2</v>
      </c>
      <c r="BP42" s="64">
        <f>IFERROR(1/J42*(Y42/H42),"0")</f>
        <v>3.787878787878788E-2</v>
      </c>
    </row>
    <row r="43" spans="1:68" x14ac:dyDescent="0.2">
      <c r="A43" s="552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53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4.5945945945945947</v>
      </c>
      <c r="Y43" s="543">
        <f>IFERROR(Y40/H40,"0")+IFERROR(Y41/H41,"0")+IFERROR(Y42/H42,"0")</f>
        <v>5</v>
      </c>
      <c r="Z43" s="543">
        <f>IFERROR(IF(Z40="",0,Z40),"0")+IFERROR(IF(Z41="",0,Z41),"0")+IFERROR(IF(Z42="",0,Z42),"0")</f>
        <v>4.5100000000000001E-2</v>
      </c>
      <c r="AA43" s="544"/>
      <c r="AB43" s="544"/>
      <c r="AC43" s="544"/>
    </row>
    <row r="44" spans="1:68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53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17</v>
      </c>
      <c r="Y44" s="543">
        <f>IFERROR(SUM(Y40:Y42),"0")</f>
        <v>18.5</v>
      </c>
      <c r="Z44" s="37"/>
      <c r="AA44" s="544"/>
      <c r="AB44" s="544"/>
      <c r="AC44" s="544"/>
    </row>
    <row r="45" spans="1:68" ht="14.25" hidden="1" customHeight="1" x14ac:dyDescent="0.25">
      <c r="A45" s="545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8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2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53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53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74" t="s">
        <v>115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hidden="1" customHeight="1" x14ac:dyDescent="0.25">
      <c r="A50" s="545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4"/>
      <c r="V54" s="34"/>
      <c r="W54" s="35" t="s">
        <v>69</v>
      </c>
      <c r="X54" s="541">
        <v>8</v>
      </c>
      <c r="Y54" s="542">
        <f t="shared" si="0"/>
        <v>8</v>
      </c>
      <c r="Z54" s="36">
        <f>IFERROR(IF(Y54=0,"",ROUNDUP(Y54/H54,0)*0.00902),"")</f>
        <v>1.804E-2</v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8.42</v>
      </c>
      <c r="BN54" s="64">
        <f t="shared" si="2"/>
        <v>8.42</v>
      </c>
      <c r="BO54" s="64">
        <f t="shared" si="3"/>
        <v>1.5151515151515152E-2</v>
      </c>
      <c r="BP54" s="64">
        <f t="shared" si="4"/>
        <v>1.5151515151515152E-2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7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2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53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2</v>
      </c>
      <c r="Y57" s="543">
        <f>IFERROR(Y51/H51,"0")+IFERROR(Y52/H52,"0")+IFERROR(Y53/H53,"0")+IFERROR(Y54/H54,"0")+IFERROR(Y55/H55,"0")+IFERROR(Y56/H56,"0")</f>
        <v>2</v>
      </c>
      <c r="Z57" s="543">
        <f>IFERROR(IF(Z51="",0,Z51),"0")+IFERROR(IF(Z52="",0,Z52),"0")+IFERROR(IF(Z53="",0,Z53),"0")+IFERROR(IF(Z54="",0,Z54),"0")+IFERROR(IF(Z55="",0,Z55),"0")+IFERROR(IF(Z56="",0,Z56),"0")</f>
        <v>1.804E-2</v>
      </c>
      <c r="AA57" s="544"/>
      <c r="AB57" s="544"/>
      <c r="AC57" s="544"/>
    </row>
    <row r="58" spans="1:68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53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8</v>
      </c>
      <c r="Y58" s="543">
        <f>IFERROR(SUM(Y51:Y56),"0")</f>
        <v>8</v>
      </c>
      <c r="Z58" s="37"/>
      <c r="AA58" s="544"/>
      <c r="AB58" s="544"/>
      <c r="AC58" s="544"/>
    </row>
    <row r="59" spans="1:68" ht="14.25" hidden="1" customHeight="1" x14ac:dyDescent="0.25">
      <c r="A59" s="545" t="s">
        <v>134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hidden="1" customHeight="1" x14ac:dyDescent="0.25">
      <c r="A60" s="54" t="s">
        <v>135</v>
      </c>
      <c r="B60" s="54" t="s">
        <v>136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2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53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53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45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2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53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53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45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16.5" hidden="1" customHeight="1" x14ac:dyDescent="0.25">
      <c r="A72" s="54" t="s">
        <v>151</v>
      </c>
      <c r="B72" s="54" t="s">
        <v>152</v>
      </c>
      <c r="C72" s="31">
        <v>4301051838</v>
      </c>
      <c r="D72" s="547">
        <v>4680115881891</v>
      </c>
      <c r="E72" s="548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154</v>
      </c>
      <c r="B73" s="54" t="s">
        <v>155</v>
      </c>
      <c r="C73" s="31">
        <v>4301051846</v>
      </c>
      <c r="D73" s="547">
        <v>4680115885769</v>
      </c>
      <c r="E73" s="548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/>
      <c r="M73" s="33" t="s">
        <v>77</v>
      </c>
      <c r="N73" s="33"/>
      <c r="O73" s="32">
        <v>45</v>
      </c>
      <c r="P73" s="5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157</v>
      </c>
      <c r="B74" s="54" t="s">
        <v>158</v>
      </c>
      <c r="C74" s="31">
        <v>4301051837</v>
      </c>
      <c r="D74" s="547">
        <v>4680115884311</v>
      </c>
      <c r="E74" s="548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4301051844</v>
      </c>
      <c r="D75" s="547">
        <v>4680115885929</v>
      </c>
      <c r="E75" s="548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156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161</v>
      </c>
      <c r="B76" s="54" t="s">
        <v>162</v>
      </c>
      <c r="C76" s="31">
        <v>4301051929</v>
      </c>
      <c r="D76" s="547">
        <v>4680115884403</v>
      </c>
      <c r="E76" s="548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163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2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53"/>
      <c r="P77" s="549" t="s">
        <v>71</v>
      </c>
      <c r="Q77" s="550"/>
      <c r="R77" s="550"/>
      <c r="S77" s="550"/>
      <c r="T77" s="550"/>
      <c r="U77" s="550"/>
      <c r="V77" s="551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hidden="1" x14ac:dyDescent="0.2">
      <c r="A78" s="546"/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53"/>
      <c r="P78" s="549" t="s">
        <v>71</v>
      </c>
      <c r="Q78" s="550"/>
      <c r="R78" s="550"/>
      <c r="S78" s="550"/>
      <c r="T78" s="550"/>
      <c r="U78" s="550"/>
      <c r="V78" s="551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hidden="1" customHeight="1" x14ac:dyDescent="0.25">
      <c r="A79" s="545" t="s">
        <v>164</v>
      </c>
      <c r="B79" s="546"/>
      <c r="C79" s="546"/>
      <c r="D79" s="546"/>
      <c r="E79" s="546"/>
      <c r="F79" s="546"/>
      <c r="G79" s="546"/>
      <c r="H79" s="546"/>
      <c r="I79" s="546"/>
      <c r="J79" s="546"/>
      <c r="K79" s="546"/>
      <c r="L79" s="546"/>
      <c r="M79" s="546"/>
      <c r="N79" s="546"/>
      <c r="O79" s="546"/>
      <c r="P79" s="546"/>
      <c r="Q79" s="546"/>
      <c r="R79" s="546"/>
      <c r="S79" s="546"/>
      <c r="T79" s="546"/>
      <c r="U79" s="546"/>
      <c r="V79" s="546"/>
      <c r="W79" s="546"/>
      <c r="X79" s="546"/>
      <c r="Y79" s="546"/>
      <c r="Z79" s="546"/>
      <c r="AA79" s="537"/>
      <c r="AB79" s="537"/>
      <c r="AC79" s="537"/>
    </row>
    <row r="80" spans="1:68" ht="27" hidden="1" customHeight="1" x14ac:dyDescent="0.25">
      <c r="A80" s="54" t="s">
        <v>165</v>
      </c>
      <c r="B80" s="54" t="s">
        <v>166</v>
      </c>
      <c r="C80" s="31">
        <v>4301060455</v>
      </c>
      <c r="D80" s="547">
        <v>4680115881532</v>
      </c>
      <c r="E80" s="548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/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168</v>
      </c>
      <c r="B81" s="54" t="s">
        <v>169</v>
      </c>
      <c r="C81" s="31">
        <v>4301060351</v>
      </c>
      <c r="D81" s="547">
        <v>4680115881464</v>
      </c>
      <c r="E81" s="548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170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2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53"/>
      <c r="P82" s="549" t="s">
        <v>71</v>
      </c>
      <c r="Q82" s="550"/>
      <c r="R82" s="550"/>
      <c r="S82" s="550"/>
      <c r="T82" s="550"/>
      <c r="U82" s="550"/>
      <c r="V82" s="551"/>
      <c r="W82" s="37" t="s">
        <v>72</v>
      </c>
      <c r="X82" s="543">
        <f>IFERROR(X80/H80,"0")+IFERROR(X81/H81,"0")</f>
        <v>0</v>
      </c>
      <c r="Y82" s="543">
        <f>IFERROR(Y80/H80,"0")+IFERROR(Y81/H81,"0")</f>
        <v>0</v>
      </c>
      <c r="Z82" s="543">
        <f>IFERROR(IF(Z80="",0,Z80),"0")+IFERROR(IF(Z81="",0,Z81),"0")</f>
        <v>0</v>
      </c>
      <c r="AA82" s="544"/>
      <c r="AB82" s="544"/>
      <c r="AC82" s="544"/>
    </row>
    <row r="83" spans="1:68" hidden="1" x14ac:dyDescent="0.2">
      <c r="A83" s="546"/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53"/>
      <c r="P83" s="549" t="s">
        <v>71</v>
      </c>
      <c r="Q83" s="550"/>
      <c r="R83" s="550"/>
      <c r="S83" s="550"/>
      <c r="T83" s="550"/>
      <c r="U83" s="550"/>
      <c r="V83" s="551"/>
      <c r="W83" s="37" t="s">
        <v>69</v>
      </c>
      <c r="X83" s="543">
        <f>IFERROR(SUM(X80:X81),"0")</f>
        <v>0</v>
      </c>
      <c r="Y83" s="543">
        <f>IFERROR(SUM(Y80:Y81),"0")</f>
        <v>0</v>
      </c>
      <c r="Z83" s="37"/>
      <c r="AA83" s="544"/>
      <c r="AB83" s="544"/>
      <c r="AC83" s="544"/>
    </row>
    <row r="84" spans="1:68" ht="16.5" hidden="1" customHeight="1" x14ac:dyDescent="0.25">
      <c r="A84" s="574" t="s">
        <v>171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6"/>
      <c r="AB84" s="536"/>
      <c r="AC84" s="536"/>
    </row>
    <row r="85" spans="1:68" ht="14.25" hidden="1" customHeight="1" x14ac:dyDescent="0.25">
      <c r="A85" s="545" t="s">
        <v>99</v>
      </c>
      <c r="B85" s="546"/>
      <c r="C85" s="546"/>
      <c r="D85" s="546"/>
      <c r="E85" s="546"/>
      <c r="F85" s="546"/>
      <c r="G85" s="546"/>
      <c r="H85" s="546"/>
      <c r="I85" s="546"/>
      <c r="J85" s="546"/>
      <c r="K85" s="546"/>
      <c r="L85" s="546"/>
      <c r="M85" s="546"/>
      <c r="N85" s="546"/>
      <c r="O85" s="546"/>
      <c r="P85" s="546"/>
      <c r="Q85" s="546"/>
      <c r="R85" s="546"/>
      <c r="S85" s="546"/>
      <c r="T85" s="546"/>
      <c r="U85" s="546"/>
      <c r="V85" s="546"/>
      <c r="W85" s="546"/>
      <c r="X85" s="546"/>
      <c r="Y85" s="546"/>
      <c r="Z85" s="546"/>
      <c r="AA85" s="537"/>
      <c r="AB85" s="537"/>
      <c r="AC85" s="537"/>
    </row>
    <row r="86" spans="1:68" ht="27" hidden="1" customHeight="1" x14ac:dyDescent="0.25">
      <c r="A86" s="54" t="s">
        <v>172</v>
      </c>
      <c r="B86" s="54" t="s">
        <v>173</v>
      </c>
      <c r="C86" s="31">
        <v>4301011468</v>
      </c>
      <c r="D86" s="547">
        <v>4680115881327</v>
      </c>
      <c r="E86" s="548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8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174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176</v>
      </c>
      <c r="C87" s="31">
        <v>4301011476</v>
      </c>
      <c r="D87" s="547">
        <v>4680115881518</v>
      </c>
      <c r="E87" s="548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/>
      <c r="M87" s="33" t="s">
        <v>77</v>
      </c>
      <c r="N87" s="33"/>
      <c r="O87" s="32">
        <v>50</v>
      </c>
      <c r="P87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177</v>
      </c>
      <c r="B88" s="54" t="s">
        <v>178</v>
      </c>
      <c r="C88" s="31">
        <v>4301011443</v>
      </c>
      <c r="D88" s="547">
        <v>4680115881303</v>
      </c>
      <c r="E88" s="548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/>
      <c r="M88" s="33" t="s">
        <v>84</v>
      </c>
      <c r="N88" s="33"/>
      <c r="O88" s="32">
        <v>50</v>
      </c>
      <c r="P88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4"/>
      <c r="V88" s="34"/>
      <c r="W88" s="35" t="s">
        <v>69</v>
      </c>
      <c r="X88" s="541">
        <v>0</v>
      </c>
      <c r="Y88" s="54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174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52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53"/>
      <c r="P89" s="549" t="s">
        <v>71</v>
      </c>
      <c r="Q89" s="550"/>
      <c r="R89" s="550"/>
      <c r="S89" s="550"/>
      <c r="T89" s="550"/>
      <c r="U89" s="550"/>
      <c r="V89" s="551"/>
      <c r="W89" s="37" t="s">
        <v>72</v>
      </c>
      <c r="X89" s="543">
        <f>IFERROR(X86/H86,"0")+IFERROR(X87/H87,"0")+IFERROR(X88/H88,"0")</f>
        <v>0</v>
      </c>
      <c r="Y89" s="543">
        <f>IFERROR(Y86/H86,"0")+IFERROR(Y87/H87,"0")+IFERROR(Y88/H88,"0")</f>
        <v>0</v>
      </c>
      <c r="Z89" s="543">
        <f>IFERROR(IF(Z86="",0,Z86),"0")+IFERROR(IF(Z87="",0,Z87),"0")+IFERROR(IF(Z88="",0,Z88),"0")</f>
        <v>0</v>
      </c>
      <c r="AA89" s="544"/>
      <c r="AB89" s="544"/>
      <c r="AC89" s="544"/>
    </row>
    <row r="90" spans="1:68" hidden="1" x14ac:dyDescent="0.2">
      <c r="A90" s="546"/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53"/>
      <c r="P90" s="549" t="s">
        <v>71</v>
      </c>
      <c r="Q90" s="550"/>
      <c r="R90" s="550"/>
      <c r="S90" s="550"/>
      <c r="T90" s="550"/>
      <c r="U90" s="550"/>
      <c r="V90" s="551"/>
      <c r="W90" s="37" t="s">
        <v>69</v>
      </c>
      <c r="X90" s="543">
        <f>IFERROR(SUM(X86:X88),"0")</f>
        <v>0</v>
      </c>
      <c r="Y90" s="543">
        <f>IFERROR(SUM(Y86:Y88),"0")</f>
        <v>0</v>
      </c>
      <c r="Z90" s="37"/>
      <c r="AA90" s="544"/>
      <c r="AB90" s="544"/>
      <c r="AC90" s="544"/>
    </row>
    <row r="91" spans="1:68" ht="14.25" hidden="1" customHeight="1" x14ac:dyDescent="0.25">
      <c r="A91" s="545" t="s">
        <v>73</v>
      </c>
      <c r="B91" s="546"/>
      <c r="C91" s="546"/>
      <c r="D91" s="546"/>
      <c r="E91" s="546"/>
      <c r="F91" s="546"/>
      <c r="G91" s="546"/>
      <c r="H91" s="546"/>
      <c r="I91" s="546"/>
      <c r="J91" s="546"/>
      <c r="K91" s="546"/>
      <c r="L91" s="546"/>
      <c r="M91" s="546"/>
      <c r="N91" s="546"/>
      <c r="O91" s="546"/>
      <c r="P91" s="546"/>
      <c r="Q91" s="546"/>
      <c r="R91" s="546"/>
      <c r="S91" s="546"/>
      <c r="T91" s="546"/>
      <c r="U91" s="546"/>
      <c r="V91" s="546"/>
      <c r="W91" s="546"/>
      <c r="X91" s="546"/>
      <c r="Y91" s="546"/>
      <c r="Z91" s="546"/>
      <c r="AA91" s="537"/>
      <c r="AB91" s="537"/>
      <c r="AC91" s="537"/>
    </row>
    <row r="92" spans="1:68" ht="16.5" customHeight="1" x14ac:dyDescent="0.25">
      <c r="A92" s="54" t="s">
        <v>179</v>
      </c>
      <c r="B92" s="54" t="s">
        <v>180</v>
      </c>
      <c r="C92" s="31">
        <v>4301051712</v>
      </c>
      <c r="D92" s="547">
        <v>4607091386967</v>
      </c>
      <c r="E92" s="548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4"/>
      <c r="V92" s="34"/>
      <c r="W92" s="35" t="s">
        <v>69</v>
      </c>
      <c r="X92" s="541">
        <v>14</v>
      </c>
      <c r="Y92" s="542">
        <f>IFERROR(IF(X92="",0,CEILING((X92/$H92),1)*$H92),"")</f>
        <v>16.2</v>
      </c>
      <c r="Z92" s="36">
        <f>IFERROR(IF(Y92=0,"",ROUNDUP(Y92/H92,0)*0.01898),"")</f>
        <v>3.7960000000000001E-2</v>
      </c>
      <c r="AA92" s="56"/>
      <c r="AB92" s="57"/>
      <c r="AC92" s="135" t="s">
        <v>181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14.897037037037038</v>
      </c>
      <c r="BN92" s="64">
        <f>IFERROR(Y92*I92/H92,"0")</f>
        <v>17.238</v>
      </c>
      <c r="BO92" s="64">
        <f>IFERROR(1/J92*(X92/H92),"0")</f>
        <v>2.7006172839506175E-2</v>
      </c>
      <c r="BP92" s="64">
        <f>IFERROR(1/J92*(Y92/H92),"0")</f>
        <v>3.125E-2</v>
      </c>
    </row>
    <row r="93" spans="1:68" ht="27" hidden="1" customHeight="1" x14ac:dyDescent="0.25">
      <c r="A93" s="54" t="s">
        <v>182</v>
      </c>
      <c r="B93" s="54" t="s">
        <v>183</v>
      </c>
      <c r="C93" s="31">
        <v>4301051788</v>
      </c>
      <c r="D93" s="547">
        <v>4680115884953</v>
      </c>
      <c r="E93" s="548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4301051718</v>
      </c>
      <c r="D94" s="547">
        <v>4607091385731</v>
      </c>
      <c r="E94" s="548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187</v>
      </c>
      <c r="B95" s="54" t="s">
        <v>188</v>
      </c>
      <c r="C95" s="31">
        <v>4301051438</v>
      </c>
      <c r="D95" s="547">
        <v>4680115880894</v>
      </c>
      <c r="E95" s="548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/>
      <c r="M95" s="33" t="s">
        <v>77</v>
      </c>
      <c r="N95" s="33"/>
      <c r="O95" s="32">
        <v>45</v>
      </c>
      <c r="P95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2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53"/>
      <c r="P96" s="549" t="s">
        <v>71</v>
      </c>
      <c r="Q96" s="550"/>
      <c r="R96" s="550"/>
      <c r="S96" s="550"/>
      <c r="T96" s="550"/>
      <c r="U96" s="550"/>
      <c r="V96" s="551"/>
      <c r="W96" s="37" t="s">
        <v>72</v>
      </c>
      <c r="X96" s="543">
        <f>IFERROR(X92/H92,"0")+IFERROR(X93/H93,"0")+IFERROR(X94/H94,"0")+IFERROR(X95/H95,"0")</f>
        <v>1.7283950617283952</v>
      </c>
      <c r="Y96" s="543">
        <f>IFERROR(Y92/H92,"0")+IFERROR(Y93/H93,"0")+IFERROR(Y94/H94,"0")+IFERROR(Y95/H95,"0")</f>
        <v>2</v>
      </c>
      <c r="Z96" s="543">
        <f>IFERROR(IF(Z92="",0,Z92),"0")+IFERROR(IF(Z93="",0,Z93),"0")+IFERROR(IF(Z94="",0,Z94),"0")+IFERROR(IF(Z95="",0,Z95),"0")</f>
        <v>3.7960000000000001E-2</v>
      </c>
      <c r="AA96" s="544"/>
      <c r="AB96" s="544"/>
      <c r="AC96" s="544"/>
    </row>
    <row r="97" spans="1:68" x14ac:dyDescent="0.2">
      <c r="A97" s="546"/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53"/>
      <c r="P97" s="549" t="s">
        <v>71</v>
      </c>
      <c r="Q97" s="550"/>
      <c r="R97" s="550"/>
      <c r="S97" s="550"/>
      <c r="T97" s="550"/>
      <c r="U97" s="550"/>
      <c r="V97" s="551"/>
      <c r="W97" s="37" t="s">
        <v>69</v>
      </c>
      <c r="X97" s="543">
        <f>IFERROR(SUM(X92:X95),"0")</f>
        <v>14</v>
      </c>
      <c r="Y97" s="543">
        <f>IFERROR(SUM(Y92:Y95),"0")</f>
        <v>16.2</v>
      </c>
      <c r="Z97" s="37"/>
      <c r="AA97" s="544"/>
      <c r="AB97" s="544"/>
      <c r="AC97" s="544"/>
    </row>
    <row r="98" spans="1:68" ht="16.5" hidden="1" customHeight="1" x14ac:dyDescent="0.25">
      <c r="A98" s="574" t="s">
        <v>190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6"/>
      <c r="AB98" s="536"/>
      <c r="AC98" s="536"/>
    </row>
    <row r="99" spans="1:68" ht="14.25" hidden="1" customHeight="1" x14ac:dyDescent="0.25">
      <c r="A99" s="545" t="s">
        <v>99</v>
      </c>
      <c r="B99" s="546"/>
      <c r="C99" s="546"/>
      <c r="D99" s="546"/>
      <c r="E99" s="546"/>
      <c r="F99" s="546"/>
      <c r="G99" s="546"/>
      <c r="H99" s="546"/>
      <c r="I99" s="546"/>
      <c r="J99" s="546"/>
      <c r="K99" s="546"/>
      <c r="L99" s="546"/>
      <c r="M99" s="546"/>
      <c r="N99" s="546"/>
      <c r="O99" s="546"/>
      <c r="P99" s="546"/>
      <c r="Q99" s="546"/>
      <c r="R99" s="546"/>
      <c r="S99" s="546"/>
      <c r="T99" s="546"/>
      <c r="U99" s="546"/>
      <c r="V99" s="546"/>
      <c r="W99" s="546"/>
      <c r="X99" s="546"/>
      <c r="Y99" s="546"/>
      <c r="Z99" s="546"/>
      <c r="AA99" s="537"/>
      <c r="AB99" s="537"/>
      <c r="AC99" s="537"/>
    </row>
    <row r="100" spans="1:68" ht="37.5" customHeight="1" x14ac:dyDescent="0.25">
      <c r="A100" s="54" t="s">
        <v>191</v>
      </c>
      <c r="B100" s="54" t="s">
        <v>192</v>
      </c>
      <c r="C100" s="31">
        <v>4301011514</v>
      </c>
      <c r="D100" s="547">
        <v>4680115882133</v>
      </c>
      <c r="E100" s="548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4"/>
      <c r="V100" s="34"/>
      <c r="W100" s="35" t="s">
        <v>69</v>
      </c>
      <c r="X100" s="541">
        <v>74</v>
      </c>
      <c r="Y100" s="542">
        <f>IFERROR(IF(X100="",0,CEILING((X100/$H100),1)*$H100),"")</f>
        <v>75.600000000000009</v>
      </c>
      <c r="Z100" s="36">
        <f>IFERROR(IF(Y100=0,"",ROUNDUP(Y100/H100,0)*0.01898),"")</f>
        <v>0.13286000000000001</v>
      </c>
      <c r="AA100" s="56"/>
      <c r="AB100" s="57"/>
      <c r="AC100" s="143" t="s">
        <v>193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76.980555555555554</v>
      </c>
      <c r="BN100" s="64">
        <f>IFERROR(Y100*I100/H100,"0")</f>
        <v>78.64500000000001</v>
      </c>
      <c r="BO100" s="64">
        <f>IFERROR(1/J100*(X100/H100),"0")</f>
        <v>0.10706018518518517</v>
      </c>
      <c r="BP100" s="64">
        <f>IFERROR(1/J100*(Y100/H100),"0")</f>
        <v>0.109375</v>
      </c>
    </row>
    <row r="101" spans="1:68" ht="37.5" hidden="1" customHeight="1" x14ac:dyDescent="0.25">
      <c r="A101" s="54" t="s">
        <v>194</v>
      </c>
      <c r="B101" s="54" t="s">
        <v>195</v>
      </c>
      <c r="C101" s="31">
        <v>4301011417</v>
      </c>
      <c r="D101" s="547">
        <v>4680115880269</v>
      </c>
      <c r="E101" s="548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/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196</v>
      </c>
      <c r="B102" s="54" t="s">
        <v>197</v>
      </c>
      <c r="C102" s="31">
        <v>4301011415</v>
      </c>
      <c r="D102" s="547">
        <v>4680115880429</v>
      </c>
      <c r="E102" s="548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198</v>
      </c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4"/>
      <c r="V102" s="34"/>
      <c r="W102" s="35" t="s">
        <v>69</v>
      </c>
      <c r="X102" s="541">
        <v>7</v>
      </c>
      <c r="Y102" s="542">
        <f>IFERROR(IF(X102="",0,CEILING((X102/$H102),1)*$H102),"")</f>
        <v>9</v>
      </c>
      <c r="Z102" s="36">
        <f>IFERROR(IF(Y102=0,"",ROUNDUP(Y102/H102,0)*0.00902),"")</f>
        <v>1.804E-2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7.3266666666666662</v>
      </c>
      <c r="BN102" s="64">
        <f>IFERROR(Y102*I102/H102,"0")</f>
        <v>9.42</v>
      </c>
      <c r="BO102" s="64">
        <f>IFERROR(1/J102*(X102/H102),"0")</f>
        <v>1.1784511784511785E-2</v>
      </c>
      <c r="BP102" s="64">
        <f>IFERROR(1/J102*(Y102/H102),"0")</f>
        <v>1.5151515151515152E-2</v>
      </c>
    </row>
    <row r="103" spans="1:68" ht="37.5" hidden="1" customHeight="1" x14ac:dyDescent="0.25">
      <c r="A103" s="54" t="s">
        <v>199</v>
      </c>
      <c r="B103" s="54" t="s">
        <v>200</v>
      </c>
      <c r="C103" s="31">
        <v>4301011462</v>
      </c>
      <c r="D103" s="547">
        <v>4680115881457</v>
      </c>
      <c r="E103" s="548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2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53"/>
      <c r="P104" s="549" t="s">
        <v>71</v>
      </c>
      <c r="Q104" s="550"/>
      <c r="R104" s="550"/>
      <c r="S104" s="550"/>
      <c r="T104" s="550"/>
      <c r="U104" s="550"/>
      <c r="V104" s="551"/>
      <c r="W104" s="37" t="s">
        <v>72</v>
      </c>
      <c r="X104" s="543">
        <f>IFERROR(X100/H100,"0")+IFERROR(X101/H101,"0")+IFERROR(X102/H102,"0")+IFERROR(X103/H103,"0")</f>
        <v>8.4074074074074066</v>
      </c>
      <c r="Y104" s="543">
        <f>IFERROR(Y100/H100,"0")+IFERROR(Y101/H101,"0")+IFERROR(Y102/H102,"0")+IFERROR(Y103/H103,"0")</f>
        <v>9</v>
      </c>
      <c r="Z104" s="543">
        <f>IFERROR(IF(Z100="",0,Z100),"0")+IFERROR(IF(Z101="",0,Z101),"0")+IFERROR(IF(Z102="",0,Z102),"0")+IFERROR(IF(Z103="",0,Z103),"0")</f>
        <v>0.15090000000000001</v>
      </c>
      <c r="AA104" s="544"/>
      <c r="AB104" s="544"/>
      <c r="AC104" s="544"/>
    </row>
    <row r="105" spans="1:68" x14ac:dyDescent="0.2">
      <c r="A105" s="546"/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53"/>
      <c r="P105" s="549" t="s">
        <v>71</v>
      </c>
      <c r="Q105" s="550"/>
      <c r="R105" s="550"/>
      <c r="S105" s="550"/>
      <c r="T105" s="550"/>
      <c r="U105" s="550"/>
      <c r="V105" s="551"/>
      <c r="W105" s="37" t="s">
        <v>69</v>
      </c>
      <c r="X105" s="543">
        <f>IFERROR(SUM(X100:X103),"0")</f>
        <v>81</v>
      </c>
      <c r="Y105" s="543">
        <f>IFERROR(SUM(Y100:Y103),"0")</f>
        <v>84.600000000000009</v>
      </c>
      <c r="Z105" s="37"/>
      <c r="AA105" s="544"/>
      <c r="AB105" s="544"/>
      <c r="AC105" s="544"/>
    </row>
    <row r="106" spans="1:68" ht="14.25" hidden="1" customHeight="1" x14ac:dyDescent="0.25">
      <c r="A106" s="545" t="s">
        <v>134</v>
      </c>
      <c r="B106" s="546"/>
      <c r="C106" s="546"/>
      <c r="D106" s="546"/>
      <c r="E106" s="546"/>
      <c r="F106" s="546"/>
      <c r="G106" s="546"/>
      <c r="H106" s="546"/>
      <c r="I106" s="546"/>
      <c r="J106" s="546"/>
      <c r="K106" s="546"/>
      <c r="L106" s="546"/>
      <c r="M106" s="546"/>
      <c r="N106" s="546"/>
      <c r="O106" s="546"/>
      <c r="P106" s="546"/>
      <c r="Q106" s="546"/>
      <c r="R106" s="546"/>
      <c r="S106" s="546"/>
      <c r="T106" s="546"/>
      <c r="U106" s="546"/>
      <c r="V106" s="546"/>
      <c r="W106" s="546"/>
      <c r="X106" s="546"/>
      <c r="Y106" s="546"/>
      <c r="Z106" s="546"/>
      <c r="AA106" s="537"/>
      <c r="AB106" s="537"/>
      <c r="AC106" s="537"/>
    </row>
    <row r="107" spans="1:68" ht="16.5" hidden="1" customHeight="1" x14ac:dyDescent="0.25">
      <c r="A107" s="54" t="s">
        <v>201</v>
      </c>
      <c r="B107" s="54" t="s">
        <v>202</v>
      </c>
      <c r="C107" s="31">
        <v>4301020345</v>
      </c>
      <c r="D107" s="547">
        <v>4680115881488</v>
      </c>
      <c r="E107" s="548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203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4301020346</v>
      </c>
      <c r="D108" s="547">
        <v>4680115882775</v>
      </c>
      <c r="E108" s="548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203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206</v>
      </c>
      <c r="B109" s="54" t="s">
        <v>207</v>
      </c>
      <c r="C109" s="31">
        <v>4301020344</v>
      </c>
      <c r="D109" s="547">
        <v>4680115880658</v>
      </c>
      <c r="E109" s="548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/>
      <c r="M109" s="33" t="s">
        <v>104</v>
      </c>
      <c r="N109" s="33"/>
      <c r="O109" s="32">
        <v>55</v>
      </c>
      <c r="P109" s="7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4"/>
      <c r="V109" s="34"/>
      <c r="W109" s="35" t="s">
        <v>69</v>
      </c>
      <c r="X109" s="541">
        <v>22</v>
      </c>
      <c r="Y109" s="542">
        <f>IFERROR(IF(X109="",0,CEILING((X109/$H109),1)*$H109),"")</f>
        <v>24</v>
      </c>
      <c r="Z109" s="36">
        <f>IFERROR(IF(Y109=0,"",ROUNDUP(Y109/H109,0)*0.00651),"")</f>
        <v>6.5100000000000005E-2</v>
      </c>
      <c r="AA109" s="56"/>
      <c r="AB109" s="57"/>
      <c r="AC109" s="155" t="s">
        <v>203</v>
      </c>
      <c r="AG109" s="64"/>
      <c r="AJ109" s="68"/>
      <c r="AK109" s="68">
        <v>0</v>
      </c>
      <c r="BB109" s="156" t="s">
        <v>1</v>
      </c>
      <c r="BM109" s="64">
        <f>IFERROR(X109*I109/H109,"0")</f>
        <v>23.650000000000002</v>
      </c>
      <c r="BN109" s="64">
        <f>IFERROR(Y109*I109/H109,"0")</f>
        <v>25.8</v>
      </c>
      <c r="BO109" s="64">
        <f>IFERROR(1/J109*(X109/H109),"0")</f>
        <v>5.0366300366300375E-2</v>
      </c>
      <c r="BP109" s="64">
        <f>IFERROR(1/J109*(Y109/H109),"0")</f>
        <v>5.4945054945054951E-2</v>
      </c>
    </row>
    <row r="110" spans="1:68" x14ac:dyDescent="0.2">
      <c r="A110" s="552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53"/>
      <c r="P110" s="549" t="s">
        <v>71</v>
      </c>
      <c r="Q110" s="550"/>
      <c r="R110" s="550"/>
      <c r="S110" s="550"/>
      <c r="T110" s="550"/>
      <c r="U110" s="550"/>
      <c r="V110" s="551"/>
      <c r="W110" s="37" t="s">
        <v>72</v>
      </c>
      <c r="X110" s="543">
        <f>IFERROR(X107/H107,"0")+IFERROR(X108/H108,"0")+IFERROR(X109/H109,"0")</f>
        <v>9.1666666666666679</v>
      </c>
      <c r="Y110" s="543">
        <f>IFERROR(Y107/H107,"0")+IFERROR(Y108/H108,"0")+IFERROR(Y109/H109,"0")</f>
        <v>10</v>
      </c>
      <c r="Z110" s="543">
        <f>IFERROR(IF(Z107="",0,Z107),"0")+IFERROR(IF(Z108="",0,Z108),"0")+IFERROR(IF(Z109="",0,Z109),"0")</f>
        <v>6.5100000000000005E-2</v>
      </c>
      <c r="AA110" s="544"/>
      <c r="AB110" s="544"/>
      <c r="AC110" s="544"/>
    </row>
    <row r="111" spans="1:68" x14ac:dyDescent="0.2">
      <c r="A111" s="546"/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53"/>
      <c r="P111" s="549" t="s">
        <v>71</v>
      </c>
      <c r="Q111" s="550"/>
      <c r="R111" s="550"/>
      <c r="S111" s="550"/>
      <c r="T111" s="550"/>
      <c r="U111" s="550"/>
      <c r="V111" s="551"/>
      <c r="W111" s="37" t="s">
        <v>69</v>
      </c>
      <c r="X111" s="543">
        <f>IFERROR(SUM(X107:X109),"0")</f>
        <v>22</v>
      </c>
      <c r="Y111" s="543">
        <f>IFERROR(SUM(Y107:Y109),"0")</f>
        <v>24</v>
      </c>
      <c r="Z111" s="37"/>
      <c r="AA111" s="544"/>
      <c r="AB111" s="544"/>
      <c r="AC111" s="544"/>
    </row>
    <row r="112" spans="1:68" ht="14.25" hidden="1" customHeight="1" x14ac:dyDescent="0.25">
      <c r="A112" s="545" t="s">
        <v>73</v>
      </c>
      <c r="B112" s="546"/>
      <c r="C112" s="546"/>
      <c r="D112" s="546"/>
      <c r="E112" s="546"/>
      <c r="F112" s="546"/>
      <c r="G112" s="546"/>
      <c r="H112" s="546"/>
      <c r="I112" s="546"/>
      <c r="J112" s="546"/>
      <c r="K112" s="546"/>
      <c r="L112" s="546"/>
      <c r="M112" s="546"/>
      <c r="N112" s="546"/>
      <c r="O112" s="546"/>
      <c r="P112" s="546"/>
      <c r="Q112" s="546"/>
      <c r="R112" s="546"/>
      <c r="S112" s="546"/>
      <c r="T112" s="546"/>
      <c r="U112" s="546"/>
      <c r="V112" s="546"/>
      <c r="W112" s="546"/>
      <c r="X112" s="546"/>
      <c r="Y112" s="546"/>
      <c r="Z112" s="546"/>
      <c r="AA112" s="537"/>
      <c r="AB112" s="537"/>
      <c r="AC112" s="537"/>
    </row>
    <row r="113" spans="1:68" ht="16.5" hidden="1" customHeight="1" x14ac:dyDescent="0.25">
      <c r="A113" s="54" t="s">
        <v>208</v>
      </c>
      <c r="B113" s="54" t="s">
        <v>209</v>
      </c>
      <c r="C113" s="31">
        <v>4301051724</v>
      </c>
      <c r="D113" s="547">
        <v>4607091385168</v>
      </c>
      <c r="E113" s="548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210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211</v>
      </c>
      <c r="B114" s="54" t="s">
        <v>212</v>
      </c>
      <c r="C114" s="31">
        <v>4301051730</v>
      </c>
      <c r="D114" s="547">
        <v>4607091383256</v>
      </c>
      <c r="E114" s="548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210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213</v>
      </c>
      <c r="B115" s="54" t="s">
        <v>214</v>
      </c>
      <c r="C115" s="31">
        <v>4301051721</v>
      </c>
      <c r="D115" s="547">
        <v>4607091385748</v>
      </c>
      <c r="E115" s="548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215</v>
      </c>
      <c r="M115" s="33" t="s">
        <v>84</v>
      </c>
      <c r="N115" s="33"/>
      <c r="O115" s="32">
        <v>45</v>
      </c>
      <c r="P115" s="72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210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552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53"/>
      <c r="P117" s="549" t="s">
        <v>71</v>
      </c>
      <c r="Q117" s="550"/>
      <c r="R117" s="550"/>
      <c r="S117" s="550"/>
      <c r="T117" s="550"/>
      <c r="U117" s="550"/>
      <c r="V117" s="551"/>
      <c r="W117" s="37" t="s">
        <v>72</v>
      </c>
      <c r="X117" s="543">
        <f>IFERROR(X113/H113,"0")+IFERROR(X114/H114,"0")+IFERROR(X115/H115,"0")+IFERROR(X116/H116,"0")</f>
        <v>0</v>
      </c>
      <c r="Y117" s="543">
        <f>IFERROR(Y113/H113,"0")+IFERROR(Y114/H114,"0")+IFERROR(Y115/H115,"0")+IFERROR(Y116/H116,"0")</f>
        <v>0</v>
      </c>
      <c r="Z117" s="543">
        <f>IFERROR(IF(Z113="",0,Z113),"0")+IFERROR(IF(Z114="",0,Z114),"0")+IFERROR(IF(Z115="",0,Z115),"0")+IFERROR(IF(Z116="",0,Z116),"0")</f>
        <v>0</v>
      </c>
      <c r="AA117" s="544"/>
      <c r="AB117" s="544"/>
      <c r="AC117" s="544"/>
    </row>
    <row r="118" spans="1:68" hidden="1" x14ac:dyDescent="0.2">
      <c r="A118" s="546"/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53"/>
      <c r="P118" s="549" t="s">
        <v>71</v>
      </c>
      <c r="Q118" s="550"/>
      <c r="R118" s="550"/>
      <c r="S118" s="550"/>
      <c r="T118" s="550"/>
      <c r="U118" s="550"/>
      <c r="V118" s="551"/>
      <c r="W118" s="37" t="s">
        <v>69</v>
      </c>
      <c r="X118" s="543">
        <f>IFERROR(SUM(X113:X116),"0")</f>
        <v>0</v>
      </c>
      <c r="Y118" s="543">
        <f>IFERROR(SUM(Y113:Y116),"0")</f>
        <v>0</v>
      </c>
      <c r="Z118" s="37"/>
      <c r="AA118" s="544"/>
      <c r="AB118" s="544"/>
      <c r="AC118" s="544"/>
    </row>
    <row r="119" spans="1:68" ht="14.25" hidden="1" customHeight="1" x14ac:dyDescent="0.25">
      <c r="A119" s="545" t="s">
        <v>164</v>
      </c>
      <c r="B119" s="546"/>
      <c r="C119" s="546"/>
      <c r="D119" s="546"/>
      <c r="E119" s="546"/>
      <c r="F119" s="546"/>
      <c r="G119" s="546"/>
      <c r="H119" s="546"/>
      <c r="I119" s="546"/>
      <c r="J119" s="546"/>
      <c r="K119" s="546"/>
      <c r="L119" s="546"/>
      <c r="M119" s="546"/>
      <c r="N119" s="546"/>
      <c r="O119" s="546"/>
      <c r="P119" s="546"/>
      <c r="Q119" s="546"/>
      <c r="R119" s="546"/>
      <c r="S119" s="546"/>
      <c r="T119" s="546"/>
      <c r="U119" s="546"/>
      <c r="V119" s="546"/>
      <c r="W119" s="546"/>
      <c r="X119" s="546"/>
      <c r="Y119" s="546"/>
      <c r="Z119" s="546"/>
      <c r="AA119" s="537"/>
      <c r="AB119" s="537"/>
      <c r="AC119" s="537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2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53"/>
      <c r="P121" s="549" t="s">
        <v>71</v>
      </c>
      <c r="Q121" s="550"/>
      <c r="R121" s="550"/>
      <c r="S121" s="550"/>
      <c r="T121" s="550"/>
      <c r="U121" s="550"/>
      <c r="V121" s="551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hidden="1" x14ac:dyDescent="0.2">
      <c r="A122" s="546"/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53"/>
      <c r="P122" s="549" t="s">
        <v>71</v>
      </c>
      <c r="Q122" s="550"/>
      <c r="R122" s="550"/>
      <c r="S122" s="550"/>
      <c r="T122" s="550"/>
      <c r="U122" s="550"/>
      <c r="V122" s="551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hidden="1" customHeight="1" x14ac:dyDescent="0.25">
      <c r="A123" s="574" t="s">
        <v>222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6"/>
      <c r="AB123" s="536"/>
      <c r="AC123" s="536"/>
    </row>
    <row r="124" spans="1:68" ht="14.25" hidden="1" customHeight="1" x14ac:dyDescent="0.25">
      <c r="A124" s="545" t="s">
        <v>99</v>
      </c>
      <c r="B124" s="546"/>
      <c r="C124" s="546"/>
      <c r="D124" s="546"/>
      <c r="E124" s="546"/>
      <c r="F124" s="546"/>
      <c r="G124" s="546"/>
      <c r="H124" s="546"/>
      <c r="I124" s="546"/>
      <c r="J124" s="546"/>
      <c r="K124" s="546"/>
      <c r="L124" s="546"/>
      <c r="M124" s="546"/>
      <c r="N124" s="546"/>
      <c r="O124" s="546"/>
      <c r="P124" s="546"/>
      <c r="Q124" s="546"/>
      <c r="R124" s="546"/>
      <c r="S124" s="546"/>
      <c r="T124" s="546"/>
      <c r="U124" s="546"/>
      <c r="V124" s="546"/>
      <c r="W124" s="546"/>
      <c r="X124" s="546"/>
      <c r="Y124" s="546"/>
      <c r="Z124" s="546"/>
      <c r="AA124" s="537"/>
      <c r="AB124" s="537"/>
      <c r="AC124" s="537"/>
    </row>
    <row r="125" spans="1:68" ht="27" hidden="1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2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53"/>
      <c r="P127" s="549" t="s">
        <v>71</v>
      </c>
      <c r="Q127" s="550"/>
      <c r="R127" s="550"/>
      <c r="S127" s="550"/>
      <c r="T127" s="550"/>
      <c r="U127" s="550"/>
      <c r="V127" s="551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hidden="1" x14ac:dyDescent="0.2">
      <c r="A128" s="546"/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53"/>
      <c r="P128" s="549" t="s">
        <v>71</v>
      </c>
      <c r="Q128" s="550"/>
      <c r="R128" s="550"/>
      <c r="S128" s="550"/>
      <c r="T128" s="550"/>
      <c r="U128" s="550"/>
      <c r="V128" s="551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hidden="1" customHeight="1" x14ac:dyDescent="0.25">
      <c r="A129" s="545" t="s">
        <v>64</v>
      </c>
      <c r="B129" s="546"/>
      <c r="C129" s="546"/>
      <c r="D129" s="546"/>
      <c r="E129" s="546"/>
      <c r="F129" s="546"/>
      <c r="G129" s="546"/>
      <c r="H129" s="546"/>
      <c r="I129" s="546"/>
      <c r="J129" s="546"/>
      <c r="K129" s="546"/>
      <c r="L129" s="546"/>
      <c r="M129" s="546"/>
      <c r="N129" s="546"/>
      <c r="O129" s="546"/>
      <c r="P129" s="546"/>
      <c r="Q129" s="546"/>
      <c r="R129" s="546"/>
      <c r="S129" s="546"/>
      <c r="T129" s="546"/>
      <c r="U129" s="546"/>
      <c r="V129" s="546"/>
      <c r="W129" s="546"/>
      <c r="X129" s="546"/>
      <c r="Y129" s="546"/>
      <c r="Z129" s="546"/>
      <c r="AA129" s="537"/>
      <c r="AB129" s="537"/>
      <c r="AC129" s="537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8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/>
      <c r="M131" s="33" t="s">
        <v>94</v>
      </c>
      <c r="N131" s="33"/>
      <c r="O131" s="32">
        <v>90</v>
      </c>
      <c r="P131" s="62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2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53"/>
      <c r="P132" s="549" t="s">
        <v>71</v>
      </c>
      <c r="Q132" s="550"/>
      <c r="R132" s="550"/>
      <c r="S132" s="550"/>
      <c r="T132" s="550"/>
      <c r="U132" s="550"/>
      <c r="V132" s="551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hidden="1" x14ac:dyDescent="0.2">
      <c r="A133" s="546"/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53"/>
      <c r="P133" s="549" t="s">
        <v>71</v>
      </c>
      <c r="Q133" s="550"/>
      <c r="R133" s="550"/>
      <c r="S133" s="550"/>
      <c r="T133" s="550"/>
      <c r="U133" s="550"/>
      <c r="V133" s="551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hidden="1" customHeight="1" x14ac:dyDescent="0.25">
      <c r="A134" s="545" t="s">
        <v>73</v>
      </c>
      <c r="B134" s="546"/>
      <c r="C134" s="546"/>
      <c r="D134" s="546"/>
      <c r="E134" s="546"/>
      <c r="F134" s="546"/>
      <c r="G134" s="546"/>
      <c r="H134" s="546"/>
      <c r="I134" s="546"/>
      <c r="J134" s="546"/>
      <c r="K134" s="546"/>
      <c r="L134" s="546"/>
      <c r="M134" s="546"/>
      <c r="N134" s="546"/>
      <c r="O134" s="546"/>
      <c r="P134" s="546"/>
      <c r="Q134" s="546"/>
      <c r="R134" s="546"/>
      <c r="S134" s="546"/>
      <c r="T134" s="546"/>
      <c r="U134" s="546"/>
      <c r="V134" s="546"/>
      <c r="W134" s="546"/>
      <c r="X134" s="546"/>
      <c r="Y134" s="546"/>
      <c r="Z134" s="546"/>
      <c r="AA134" s="537"/>
      <c r="AB134" s="537"/>
      <c r="AC134" s="537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2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53"/>
      <c r="P137" s="549" t="s">
        <v>71</v>
      </c>
      <c r="Q137" s="550"/>
      <c r="R137" s="550"/>
      <c r="S137" s="550"/>
      <c r="T137" s="550"/>
      <c r="U137" s="550"/>
      <c r="V137" s="551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hidden="1" x14ac:dyDescent="0.2">
      <c r="A138" s="546"/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53"/>
      <c r="P138" s="549" t="s">
        <v>71</v>
      </c>
      <c r="Q138" s="550"/>
      <c r="R138" s="550"/>
      <c r="S138" s="550"/>
      <c r="T138" s="550"/>
      <c r="U138" s="550"/>
      <c r="V138" s="551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hidden="1" customHeight="1" x14ac:dyDescent="0.25">
      <c r="A139" s="574" t="s">
        <v>97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6"/>
      <c r="AB139" s="536"/>
      <c r="AC139" s="536"/>
    </row>
    <row r="140" spans="1:68" ht="14.25" hidden="1" customHeight="1" x14ac:dyDescent="0.25">
      <c r="A140" s="545" t="s">
        <v>99</v>
      </c>
      <c r="B140" s="546"/>
      <c r="C140" s="546"/>
      <c r="D140" s="546"/>
      <c r="E140" s="546"/>
      <c r="F140" s="546"/>
      <c r="G140" s="546"/>
      <c r="H140" s="546"/>
      <c r="I140" s="546"/>
      <c r="J140" s="546"/>
      <c r="K140" s="546"/>
      <c r="L140" s="546"/>
      <c r="M140" s="546"/>
      <c r="N140" s="546"/>
      <c r="O140" s="546"/>
      <c r="P140" s="546"/>
      <c r="Q140" s="546"/>
      <c r="R140" s="546"/>
      <c r="S140" s="546"/>
      <c r="T140" s="546"/>
      <c r="U140" s="546"/>
      <c r="V140" s="546"/>
      <c r="W140" s="546"/>
      <c r="X140" s="546"/>
      <c r="Y140" s="546"/>
      <c r="Z140" s="546"/>
      <c r="AA140" s="537"/>
      <c r="AB140" s="537"/>
      <c r="AC140" s="537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2"/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53"/>
      <c r="P144" s="549" t="s">
        <v>71</v>
      </c>
      <c r="Q144" s="550"/>
      <c r="R144" s="550"/>
      <c r="S144" s="550"/>
      <c r="T144" s="550"/>
      <c r="U144" s="550"/>
      <c r="V144" s="551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hidden="1" x14ac:dyDescent="0.2">
      <c r="A145" s="546"/>
      <c r="B145" s="546"/>
      <c r="C145" s="546"/>
      <c r="D145" s="546"/>
      <c r="E145" s="546"/>
      <c r="F145" s="546"/>
      <c r="G145" s="546"/>
      <c r="H145" s="546"/>
      <c r="I145" s="546"/>
      <c r="J145" s="546"/>
      <c r="K145" s="546"/>
      <c r="L145" s="546"/>
      <c r="M145" s="546"/>
      <c r="N145" s="546"/>
      <c r="O145" s="553"/>
      <c r="P145" s="549" t="s">
        <v>71</v>
      </c>
      <c r="Q145" s="550"/>
      <c r="R145" s="550"/>
      <c r="S145" s="550"/>
      <c r="T145" s="550"/>
      <c r="U145" s="550"/>
      <c r="V145" s="551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hidden="1" customHeight="1" x14ac:dyDescent="0.25">
      <c r="A146" s="545" t="s">
        <v>64</v>
      </c>
      <c r="B146" s="546"/>
      <c r="C146" s="546"/>
      <c r="D146" s="546"/>
      <c r="E146" s="546"/>
      <c r="F146" s="546"/>
      <c r="G146" s="546"/>
      <c r="H146" s="546"/>
      <c r="I146" s="546"/>
      <c r="J146" s="546"/>
      <c r="K146" s="546"/>
      <c r="L146" s="546"/>
      <c r="M146" s="546"/>
      <c r="N146" s="546"/>
      <c r="O146" s="546"/>
      <c r="P146" s="546"/>
      <c r="Q146" s="546"/>
      <c r="R146" s="546"/>
      <c r="S146" s="546"/>
      <c r="T146" s="546"/>
      <c r="U146" s="546"/>
      <c r="V146" s="546"/>
      <c r="W146" s="546"/>
      <c r="X146" s="546"/>
      <c r="Y146" s="546"/>
      <c r="Z146" s="546"/>
      <c r="AA146" s="537"/>
      <c r="AB146" s="537"/>
      <c r="AC146" s="537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56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52"/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53"/>
      <c r="P150" s="549" t="s">
        <v>71</v>
      </c>
      <c r="Q150" s="550"/>
      <c r="R150" s="550"/>
      <c r="S150" s="550"/>
      <c r="T150" s="550"/>
      <c r="U150" s="550"/>
      <c r="V150" s="551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hidden="1" x14ac:dyDescent="0.2">
      <c r="A151" s="546"/>
      <c r="B151" s="546"/>
      <c r="C151" s="546"/>
      <c r="D151" s="546"/>
      <c r="E151" s="546"/>
      <c r="F151" s="546"/>
      <c r="G151" s="546"/>
      <c r="H151" s="546"/>
      <c r="I151" s="546"/>
      <c r="J151" s="546"/>
      <c r="K151" s="546"/>
      <c r="L151" s="546"/>
      <c r="M151" s="546"/>
      <c r="N151" s="546"/>
      <c r="O151" s="553"/>
      <c r="P151" s="549" t="s">
        <v>71</v>
      </c>
      <c r="Q151" s="550"/>
      <c r="R151" s="550"/>
      <c r="S151" s="550"/>
      <c r="T151" s="550"/>
      <c r="U151" s="550"/>
      <c r="V151" s="551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hidden="1" customHeight="1" x14ac:dyDescent="0.25">
      <c r="A152" s="545" t="s">
        <v>73</v>
      </c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46"/>
      <c r="P152" s="546"/>
      <c r="Q152" s="546"/>
      <c r="R152" s="546"/>
      <c r="S152" s="546"/>
      <c r="T152" s="546"/>
      <c r="U152" s="546"/>
      <c r="V152" s="546"/>
      <c r="W152" s="546"/>
      <c r="X152" s="546"/>
      <c r="Y152" s="546"/>
      <c r="Z152" s="546"/>
      <c r="AA152" s="537"/>
      <c r="AB152" s="537"/>
      <c r="AC152" s="537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8" t="s">
        <v>255</v>
      </c>
      <c r="Q153" s="557"/>
      <c r="R153" s="557"/>
      <c r="S153" s="557"/>
      <c r="T153" s="558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52"/>
      <c r="B154" s="546"/>
      <c r="C154" s="546"/>
      <c r="D154" s="546"/>
      <c r="E154" s="546"/>
      <c r="F154" s="546"/>
      <c r="G154" s="546"/>
      <c r="H154" s="546"/>
      <c r="I154" s="546"/>
      <c r="J154" s="546"/>
      <c r="K154" s="546"/>
      <c r="L154" s="546"/>
      <c r="M154" s="546"/>
      <c r="N154" s="546"/>
      <c r="O154" s="553"/>
      <c r="P154" s="549" t="s">
        <v>71</v>
      </c>
      <c r="Q154" s="550"/>
      <c r="R154" s="550"/>
      <c r="S154" s="550"/>
      <c r="T154" s="550"/>
      <c r="U154" s="550"/>
      <c r="V154" s="551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hidden="1" x14ac:dyDescent="0.2">
      <c r="A155" s="546"/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53"/>
      <c r="P155" s="549" t="s">
        <v>71</v>
      </c>
      <c r="Q155" s="550"/>
      <c r="R155" s="550"/>
      <c r="S155" s="550"/>
      <c r="T155" s="550"/>
      <c r="U155" s="550"/>
      <c r="V155" s="551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hidden="1" customHeight="1" x14ac:dyDescent="0.2">
      <c r="A156" s="644" t="s">
        <v>257</v>
      </c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5"/>
      <c r="P156" s="645"/>
      <c r="Q156" s="645"/>
      <c r="R156" s="645"/>
      <c r="S156" s="645"/>
      <c r="T156" s="645"/>
      <c r="U156" s="645"/>
      <c r="V156" s="645"/>
      <c r="W156" s="645"/>
      <c r="X156" s="645"/>
      <c r="Y156" s="645"/>
      <c r="Z156" s="645"/>
      <c r="AA156" s="48"/>
      <c r="AB156" s="48"/>
      <c r="AC156" s="48"/>
    </row>
    <row r="157" spans="1:68" ht="16.5" hidden="1" customHeight="1" x14ac:dyDescent="0.25">
      <c r="A157" s="574" t="s">
        <v>258</v>
      </c>
      <c r="B157" s="546"/>
      <c r="C157" s="546"/>
      <c r="D157" s="546"/>
      <c r="E157" s="546"/>
      <c r="F157" s="546"/>
      <c r="G157" s="546"/>
      <c r="H157" s="546"/>
      <c r="I157" s="546"/>
      <c r="J157" s="546"/>
      <c r="K157" s="546"/>
      <c r="L157" s="546"/>
      <c r="M157" s="546"/>
      <c r="N157" s="546"/>
      <c r="O157" s="546"/>
      <c r="P157" s="546"/>
      <c r="Q157" s="546"/>
      <c r="R157" s="546"/>
      <c r="S157" s="546"/>
      <c r="T157" s="546"/>
      <c r="U157" s="546"/>
      <c r="V157" s="546"/>
      <c r="W157" s="546"/>
      <c r="X157" s="546"/>
      <c r="Y157" s="546"/>
      <c r="Z157" s="546"/>
      <c r="AA157" s="536"/>
      <c r="AB157" s="536"/>
      <c r="AC157" s="536"/>
    </row>
    <row r="158" spans="1:68" ht="14.25" hidden="1" customHeight="1" x14ac:dyDescent="0.25">
      <c r="A158" s="545" t="s">
        <v>134</v>
      </c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46"/>
      <c r="P158" s="546"/>
      <c r="Q158" s="546"/>
      <c r="R158" s="546"/>
      <c r="S158" s="546"/>
      <c r="T158" s="546"/>
      <c r="U158" s="546"/>
      <c r="V158" s="546"/>
      <c r="W158" s="546"/>
      <c r="X158" s="546"/>
      <c r="Y158" s="546"/>
      <c r="Z158" s="546"/>
      <c r="AA158" s="537"/>
      <c r="AB158" s="537"/>
      <c r="AC158" s="537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52"/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53"/>
      <c r="P160" s="549" t="s">
        <v>71</v>
      </c>
      <c r="Q160" s="550"/>
      <c r="R160" s="550"/>
      <c r="S160" s="550"/>
      <c r="T160" s="550"/>
      <c r="U160" s="550"/>
      <c r="V160" s="551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hidden="1" x14ac:dyDescent="0.2">
      <c r="A161" s="546"/>
      <c r="B161" s="546"/>
      <c r="C161" s="546"/>
      <c r="D161" s="546"/>
      <c r="E161" s="546"/>
      <c r="F161" s="546"/>
      <c r="G161" s="546"/>
      <c r="H161" s="546"/>
      <c r="I161" s="546"/>
      <c r="J161" s="546"/>
      <c r="K161" s="546"/>
      <c r="L161" s="546"/>
      <c r="M161" s="546"/>
      <c r="N161" s="546"/>
      <c r="O161" s="553"/>
      <c r="P161" s="549" t="s">
        <v>71</v>
      </c>
      <c r="Q161" s="550"/>
      <c r="R161" s="550"/>
      <c r="S161" s="550"/>
      <c r="T161" s="550"/>
      <c r="U161" s="550"/>
      <c r="V161" s="551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hidden="1" customHeight="1" x14ac:dyDescent="0.25">
      <c r="A162" s="545" t="s">
        <v>64</v>
      </c>
      <c r="B162" s="546"/>
      <c r="C162" s="546"/>
      <c r="D162" s="546"/>
      <c r="E162" s="546"/>
      <c r="F162" s="546"/>
      <c r="G162" s="546"/>
      <c r="H162" s="546"/>
      <c r="I162" s="546"/>
      <c r="J162" s="546"/>
      <c r="K162" s="546"/>
      <c r="L162" s="546"/>
      <c r="M162" s="546"/>
      <c r="N162" s="546"/>
      <c r="O162" s="546"/>
      <c r="P162" s="546"/>
      <c r="Q162" s="546"/>
      <c r="R162" s="546"/>
      <c r="S162" s="546"/>
      <c r="T162" s="546"/>
      <c r="U162" s="546"/>
      <c r="V162" s="546"/>
      <c r="W162" s="546"/>
      <c r="X162" s="546"/>
      <c r="Y162" s="546"/>
      <c r="Z162" s="546"/>
      <c r="AA162" s="537"/>
      <c r="AB162" s="537"/>
      <c r="AC162" s="537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 t="s">
        <v>198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4"/>
      <c r="V163" s="34"/>
      <c r="W163" s="35" t="s">
        <v>69</v>
      </c>
      <c r="X163" s="541">
        <v>84</v>
      </c>
      <c r="Y163" s="542">
        <f t="shared" ref="Y163:Y171" si="5">IFERROR(IF(X163="",0,CEILING((X163/$H163),1)*$H163),"")</f>
        <v>84</v>
      </c>
      <c r="Z163" s="36">
        <f>IFERROR(IF(Y163=0,"",ROUNDUP(Y163/H163,0)*0.00902),"")</f>
        <v>0.1804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ref="BM163:BM171" si="6">IFERROR(X163*I163/H163,"0")</f>
        <v>89.399999999999991</v>
      </c>
      <c r="BN163" s="64">
        <f t="shared" ref="BN163:BN171" si="7">IFERROR(Y163*I163/H163,"0")</f>
        <v>89.399999999999991</v>
      </c>
      <c r="BO163" s="64">
        <f t="shared" ref="BO163:BO171" si="8">IFERROR(1/J163*(X163/H163),"0")</f>
        <v>0.15151515151515152</v>
      </c>
      <c r="BP163" s="64">
        <f t="shared" ref="BP163:BP171" si="9">IFERROR(1/J163*(Y163/H163),"0")</f>
        <v>0.15151515151515152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198</v>
      </c>
      <c r="M165" s="33" t="s">
        <v>68</v>
      </c>
      <c r="N165" s="33"/>
      <c r="O165" s="32">
        <v>40</v>
      </c>
      <c r="P165" s="5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4"/>
      <c r="V165" s="34"/>
      <c r="W165" s="35" t="s">
        <v>69</v>
      </c>
      <c r="X165" s="541">
        <v>24</v>
      </c>
      <c r="Y165" s="542">
        <f t="shared" si="5"/>
        <v>25.200000000000003</v>
      </c>
      <c r="Z165" s="36">
        <f>IFERROR(IF(Y165=0,"",ROUNDUP(Y165/H165,0)*0.00902),"")</f>
        <v>5.4120000000000001E-2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25.2</v>
      </c>
      <c r="BN165" s="64">
        <f t="shared" si="7"/>
        <v>26.460000000000004</v>
      </c>
      <c r="BO165" s="64">
        <f t="shared" si="8"/>
        <v>4.3290043290043295E-2</v>
      </c>
      <c r="BP165" s="64">
        <f t="shared" si="9"/>
        <v>4.5454545454545456E-2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4"/>
      <c r="V166" s="34"/>
      <c r="W166" s="35" t="s">
        <v>69</v>
      </c>
      <c r="X166" s="541">
        <v>46</v>
      </c>
      <c r="Y166" s="542">
        <f t="shared" si="5"/>
        <v>46.2</v>
      </c>
      <c r="Z166" s="36">
        <f>IFERROR(IF(Y166=0,"",ROUNDUP(Y166/H166,0)*0.00502),"")</f>
        <v>0.11044000000000001</v>
      </c>
      <c r="AA166" s="56"/>
      <c r="AB166" s="57"/>
      <c r="AC166" s="201" t="s">
        <v>264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48.847619047619048</v>
      </c>
      <c r="BN166" s="64">
        <f t="shared" si="7"/>
        <v>49.06</v>
      </c>
      <c r="BO166" s="64">
        <f t="shared" si="8"/>
        <v>9.361009361009362E-2</v>
      </c>
      <c r="BP166" s="64">
        <f t="shared" si="9"/>
        <v>9.401709401709403E-2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4"/>
      <c r="V168" s="34"/>
      <c r="W168" s="35" t="s">
        <v>69</v>
      </c>
      <c r="X168" s="541">
        <v>18</v>
      </c>
      <c r="Y168" s="542">
        <f t="shared" si="5"/>
        <v>18</v>
      </c>
      <c r="Z168" s="36">
        <f>IFERROR(IF(Y168=0,"",ROUNDUP(Y168/H168,0)*0.00502),"")</f>
        <v>5.0200000000000002E-2</v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19.3</v>
      </c>
      <c r="BN168" s="64">
        <f t="shared" si="7"/>
        <v>19.3</v>
      </c>
      <c r="BO168" s="64">
        <f t="shared" si="8"/>
        <v>4.2735042735042736E-2</v>
      </c>
      <c r="BP168" s="64">
        <f t="shared" si="9"/>
        <v>4.2735042735042736E-2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/>
      <c r="M169" s="33" t="s">
        <v>68</v>
      </c>
      <c r="N169" s="33"/>
      <c r="O169" s="32">
        <v>40</v>
      </c>
      <c r="P169" s="67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4"/>
      <c r="V169" s="34"/>
      <c r="W169" s="35" t="s">
        <v>69</v>
      </c>
      <c r="X169" s="541">
        <v>18</v>
      </c>
      <c r="Y169" s="542">
        <f t="shared" si="5"/>
        <v>18.900000000000002</v>
      </c>
      <c r="Z169" s="36">
        <f>IFERROR(IF(Y169=0,"",ROUNDUP(Y169/H169,0)*0.00502),"")</f>
        <v>4.5179999999999998E-2</v>
      </c>
      <c r="AA169" s="56"/>
      <c r="AB169" s="57"/>
      <c r="AC169" s="207" t="s">
        <v>270</v>
      </c>
      <c r="AG169" s="64"/>
      <c r="AJ169" s="68"/>
      <c r="AK169" s="68">
        <v>0</v>
      </c>
      <c r="BB169" s="208" t="s">
        <v>1</v>
      </c>
      <c r="BM169" s="64">
        <f t="shared" si="6"/>
        <v>18.857142857142858</v>
      </c>
      <c r="BN169" s="64">
        <f t="shared" si="7"/>
        <v>19.8</v>
      </c>
      <c r="BO169" s="64">
        <f t="shared" si="8"/>
        <v>3.6630036630036632E-2</v>
      </c>
      <c r="BP169" s="64">
        <f t="shared" si="9"/>
        <v>3.8461538461538464E-2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2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53"/>
      <c r="P172" s="549" t="s">
        <v>71</v>
      </c>
      <c r="Q172" s="550"/>
      <c r="R172" s="550"/>
      <c r="S172" s="550"/>
      <c r="T172" s="550"/>
      <c r="U172" s="550"/>
      <c r="V172" s="551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66.19047619047619</v>
      </c>
      <c r="Y172" s="543">
        <f>IFERROR(Y163/H163,"0")+IFERROR(Y164/H164,"0")+IFERROR(Y165/H165,"0")+IFERROR(Y166/H166,"0")+IFERROR(Y167/H167,"0")+IFERROR(Y168/H168,"0")+IFERROR(Y169/H169,"0")+IFERROR(Y170/H170,"0")+IFERROR(Y171/H171,"0")</f>
        <v>67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0.44034000000000006</v>
      </c>
      <c r="AA172" s="544"/>
      <c r="AB172" s="544"/>
      <c r="AC172" s="544"/>
    </row>
    <row r="173" spans="1:68" x14ac:dyDescent="0.2">
      <c r="A173" s="546"/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53"/>
      <c r="P173" s="549" t="s">
        <v>71</v>
      </c>
      <c r="Q173" s="550"/>
      <c r="R173" s="550"/>
      <c r="S173" s="550"/>
      <c r="T173" s="550"/>
      <c r="U173" s="550"/>
      <c r="V173" s="551"/>
      <c r="W173" s="37" t="s">
        <v>69</v>
      </c>
      <c r="X173" s="543">
        <f>IFERROR(SUM(X163:X171),"0")</f>
        <v>190</v>
      </c>
      <c r="Y173" s="543">
        <f>IFERROR(SUM(Y163:Y171),"0")</f>
        <v>192.3</v>
      </c>
      <c r="Z173" s="37"/>
      <c r="AA173" s="544"/>
      <c r="AB173" s="544"/>
      <c r="AC173" s="544"/>
    </row>
    <row r="174" spans="1:68" ht="14.25" hidden="1" customHeight="1" x14ac:dyDescent="0.25">
      <c r="A174" s="545" t="s">
        <v>91</v>
      </c>
      <c r="B174" s="546"/>
      <c r="C174" s="546"/>
      <c r="D174" s="546"/>
      <c r="E174" s="546"/>
      <c r="F174" s="546"/>
      <c r="G174" s="546"/>
      <c r="H174" s="546"/>
      <c r="I174" s="546"/>
      <c r="J174" s="546"/>
      <c r="K174" s="546"/>
      <c r="L174" s="546"/>
      <c r="M174" s="546"/>
      <c r="N174" s="546"/>
      <c r="O174" s="546"/>
      <c r="P174" s="546"/>
      <c r="Q174" s="546"/>
      <c r="R174" s="546"/>
      <c r="S174" s="546"/>
      <c r="T174" s="546"/>
      <c r="U174" s="546"/>
      <c r="V174" s="546"/>
      <c r="W174" s="546"/>
      <c r="X174" s="546"/>
      <c r="Y174" s="546"/>
      <c r="Z174" s="546"/>
      <c r="AA174" s="537"/>
      <c r="AB174" s="537"/>
      <c r="AC174" s="537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79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2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53"/>
      <c r="P178" s="549" t="s">
        <v>71</v>
      </c>
      <c r="Q178" s="550"/>
      <c r="R178" s="550"/>
      <c r="S178" s="550"/>
      <c r="T178" s="550"/>
      <c r="U178" s="550"/>
      <c r="V178" s="55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46"/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53"/>
      <c r="P179" s="549" t="s">
        <v>71</v>
      </c>
      <c r="Q179" s="550"/>
      <c r="R179" s="550"/>
      <c r="S179" s="550"/>
      <c r="T179" s="550"/>
      <c r="U179" s="550"/>
      <c r="V179" s="55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45" t="s">
        <v>296</v>
      </c>
      <c r="B180" s="546"/>
      <c r="C180" s="546"/>
      <c r="D180" s="546"/>
      <c r="E180" s="546"/>
      <c r="F180" s="546"/>
      <c r="G180" s="546"/>
      <c r="H180" s="546"/>
      <c r="I180" s="546"/>
      <c r="J180" s="546"/>
      <c r="K180" s="546"/>
      <c r="L180" s="546"/>
      <c r="M180" s="546"/>
      <c r="N180" s="546"/>
      <c r="O180" s="546"/>
      <c r="P180" s="546"/>
      <c r="Q180" s="546"/>
      <c r="R180" s="546"/>
      <c r="S180" s="546"/>
      <c r="T180" s="546"/>
      <c r="U180" s="546"/>
      <c r="V180" s="546"/>
      <c r="W180" s="546"/>
      <c r="X180" s="546"/>
      <c r="Y180" s="546"/>
      <c r="Z180" s="546"/>
      <c r="AA180" s="537"/>
      <c r="AB180" s="537"/>
      <c r="AC180" s="537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2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53"/>
      <c r="P182" s="549" t="s">
        <v>71</v>
      </c>
      <c r="Q182" s="550"/>
      <c r="R182" s="550"/>
      <c r="S182" s="550"/>
      <c r="T182" s="550"/>
      <c r="U182" s="550"/>
      <c r="V182" s="55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46"/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53"/>
      <c r="P183" s="549" t="s">
        <v>71</v>
      </c>
      <c r="Q183" s="550"/>
      <c r="R183" s="550"/>
      <c r="S183" s="550"/>
      <c r="T183" s="550"/>
      <c r="U183" s="550"/>
      <c r="V183" s="55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74" t="s">
        <v>299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6"/>
      <c r="AB184" s="536"/>
      <c r="AC184" s="536"/>
    </row>
    <row r="185" spans="1:68" ht="14.25" hidden="1" customHeight="1" x14ac:dyDescent="0.25">
      <c r="A185" s="545" t="s">
        <v>99</v>
      </c>
      <c r="B185" s="546"/>
      <c r="C185" s="546"/>
      <c r="D185" s="546"/>
      <c r="E185" s="546"/>
      <c r="F185" s="546"/>
      <c r="G185" s="546"/>
      <c r="H185" s="546"/>
      <c r="I185" s="546"/>
      <c r="J185" s="546"/>
      <c r="K185" s="546"/>
      <c r="L185" s="546"/>
      <c r="M185" s="546"/>
      <c r="N185" s="546"/>
      <c r="O185" s="546"/>
      <c r="P185" s="546"/>
      <c r="Q185" s="546"/>
      <c r="R185" s="546"/>
      <c r="S185" s="546"/>
      <c r="T185" s="546"/>
      <c r="U185" s="546"/>
      <c r="V185" s="546"/>
      <c r="W185" s="546"/>
      <c r="X185" s="546"/>
      <c r="Y185" s="546"/>
      <c r="Z185" s="546"/>
      <c r="AA185" s="537"/>
      <c r="AB185" s="537"/>
      <c r="AC185" s="537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2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53"/>
      <c r="P188" s="549" t="s">
        <v>71</v>
      </c>
      <c r="Q188" s="550"/>
      <c r="R188" s="550"/>
      <c r="S188" s="550"/>
      <c r="T188" s="550"/>
      <c r="U188" s="550"/>
      <c r="V188" s="55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46"/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53"/>
      <c r="P189" s="549" t="s">
        <v>71</v>
      </c>
      <c r="Q189" s="550"/>
      <c r="R189" s="550"/>
      <c r="S189" s="550"/>
      <c r="T189" s="550"/>
      <c r="U189" s="550"/>
      <c r="V189" s="55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45" t="s">
        <v>134</v>
      </c>
      <c r="B190" s="546"/>
      <c r="C190" s="546"/>
      <c r="D190" s="546"/>
      <c r="E190" s="546"/>
      <c r="F190" s="546"/>
      <c r="G190" s="546"/>
      <c r="H190" s="546"/>
      <c r="I190" s="546"/>
      <c r="J190" s="546"/>
      <c r="K190" s="546"/>
      <c r="L190" s="546"/>
      <c r="M190" s="546"/>
      <c r="N190" s="546"/>
      <c r="O190" s="546"/>
      <c r="P190" s="546"/>
      <c r="Q190" s="546"/>
      <c r="R190" s="546"/>
      <c r="S190" s="546"/>
      <c r="T190" s="546"/>
      <c r="U190" s="546"/>
      <c r="V190" s="546"/>
      <c r="W190" s="546"/>
      <c r="X190" s="546"/>
      <c r="Y190" s="546"/>
      <c r="Z190" s="546"/>
      <c r="AA190" s="537"/>
      <c r="AB190" s="537"/>
      <c r="AC190" s="537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2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53"/>
      <c r="P193" s="549" t="s">
        <v>71</v>
      </c>
      <c r="Q193" s="550"/>
      <c r="R193" s="550"/>
      <c r="S193" s="550"/>
      <c r="T193" s="550"/>
      <c r="U193" s="550"/>
      <c r="V193" s="55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46"/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53"/>
      <c r="P194" s="549" t="s">
        <v>71</v>
      </c>
      <c r="Q194" s="550"/>
      <c r="R194" s="550"/>
      <c r="S194" s="550"/>
      <c r="T194" s="550"/>
      <c r="U194" s="550"/>
      <c r="V194" s="55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45" t="s">
        <v>64</v>
      </c>
      <c r="B195" s="546"/>
      <c r="C195" s="546"/>
      <c r="D195" s="546"/>
      <c r="E195" s="546"/>
      <c r="F195" s="546"/>
      <c r="G195" s="546"/>
      <c r="H195" s="546"/>
      <c r="I195" s="546"/>
      <c r="J195" s="546"/>
      <c r="K195" s="546"/>
      <c r="L195" s="546"/>
      <c r="M195" s="546"/>
      <c r="N195" s="546"/>
      <c r="O195" s="546"/>
      <c r="P195" s="546"/>
      <c r="Q195" s="546"/>
      <c r="R195" s="546"/>
      <c r="S195" s="546"/>
      <c r="T195" s="546"/>
      <c r="U195" s="546"/>
      <c r="V195" s="546"/>
      <c r="W195" s="546"/>
      <c r="X195" s="546"/>
      <c r="Y195" s="546"/>
      <c r="Z195" s="546"/>
      <c r="AA195" s="537"/>
      <c r="AB195" s="537"/>
      <c r="AC195" s="537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198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198</v>
      </c>
      <c r="M197" s="33" t="s">
        <v>68</v>
      </c>
      <c r="N197" s="33"/>
      <c r="O197" s="32">
        <v>40</v>
      </c>
      <c r="P197" s="6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4"/>
      <c r="V197" s="34"/>
      <c r="W197" s="35" t="s">
        <v>69</v>
      </c>
      <c r="X197" s="541">
        <v>180</v>
      </c>
      <c r="Y197" s="542">
        <f t="shared" si="10"/>
        <v>183.60000000000002</v>
      </c>
      <c r="Z197" s="36">
        <f>IFERROR(IF(Y197=0,"",ROUNDUP(Y197/H197,0)*0.00902),"")</f>
        <v>0.30668000000000001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187</v>
      </c>
      <c r="BN197" s="64">
        <f t="shared" si="12"/>
        <v>190.74</v>
      </c>
      <c r="BO197" s="64">
        <f t="shared" si="13"/>
        <v>0.25252525252525249</v>
      </c>
      <c r="BP197" s="64">
        <f t="shared" si="14"/>
        <v>0.25757575757575757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198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4"/>
      <c r="V199" s="34"/>
      <c r="W199" s="35" t="s">
        <v>69</v>
      </c>
      <c r="X199" s="541">
        <v>195</v>
      </c>
      <c r="Y199" s="542">
        <f t="shared" si="10"/>
        <v>199.8</v>
      </c>
      <c r="Z199" s="36">
        <f>IFERROR(IF(Y199=0,"",ROUNDUP(Y199/H199,0)*0.00902),"")</f>
        <v>0.33374000000000004</v>
      </c>
      <c r="AA199" s="56"/>
      <c r="AB199" s="57"/>
      <c r="AC199" s="235" t="s">
        <v>321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202.58333333333331</v>
      </c>
      <c r="BN199" s="64">
        <f t="shared" si="12"/>
        <v>207.57000000000002</v>
      </c>
      <c r="BO199" s="64">
        <f t="shared" si="13"/>
        <v>0.27356902356902357</v>
      </c>
      <c r="BP199" s="64">
        <f t="shared" si="14"/>
        <v>0.28030303030303033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7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/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2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53"/>
      <c r="P204" s="549" t="s">
        <v>71</v>
      </c>
      <c r="Q204" s="550"/>
      <c r="R204" s="550"/>
      <c r="S204" s="550"/>
      <c r="T204" s="550"/>
      <c r="U204" s="550"/>
      <c r="V204" s="55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69.444444444444429</v>
      </c>
      <c r="Y204" s="543">
        <f>IFERROR(Y196/H196,"0")+IFERROR(Y197/H197,"0")+IFERROR(Y198/H198,"0")+IFERROR(Y199/H199,"0")+IFERROR(Y200/H200,"0")+IFERROR(Y201/H201,"0")+IFERROR(Y202/H202,"0")+IFERROR(Y203/H203,"0")</f>
        <v>71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0.64041999999999999</v>
      </c>
      <c r="AA204" s="544"/>
      <c r="AB204" s="544"/>
      <c r="AC204" s="544"/>
    </row>
    <row r="205" spans="1:68" x14ac:dyDescent="0.2">
      <c r="A205" s="546"/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53"/>
      <c r="P205" s="549" t="s">
        <v>71</v>
      </c>
      <c r="Q205" s="550"/>
      <c r="R205" s="550"/>
      <c r="S205" s="550"/>
      <c r="T205" s="550"/>
      <c r="U205" s="550"/>
      <c r="V205" s="551"/>
      <c r="W205" s="37" t="s">
        <v>69</v>
      </c>
      <c r="X205" s="543">
        <f>IFERROR(SUM(X196:X203),"0")</f>
        <v>375</v>
      </c>
      <c r="Y205" s="543">
        <f>IFERROR(SUM(Y196:Y203),"0")</f>
        <v>383.40000000000003</v>
      </c>
      <c r="Z205" s="37"/>
      <c r="AA205" s="544"/>
      <c r="AB205" s="544"/>
      <c r="AC205" s="544"/>
    </row>
    <row r="206" spans="1:68" ht="14.25" hidden="1" customHeight="1" x14ac:dyDescent="0.25">
      <c r="A206" s="545" t="s">
        <v>73</v>
      </c>
      <c r="B206" s="546"/>
      <c r="C206" s="546"/>
      <c r="D206" s="546"/>
      <c r="E206" s="546"/>
      <c r="F206" s="546"/>
      <c r="G206" s="546"/>
      <c r="H206" s="546"/>
      <c r="I206" s="546"/>
      <c r="J206" s="546"/>
      <c r="K206" s="546"/>
      <c r="L206" s="546"/>
      <c r="M206" s="546"/>
      <c r="N206" s="546"/>
      <c r="O206" s="546"/>
      <c r="P206" s="546"/>
      <c r="Q206" s="546"/>
      <c r="R206" s="546"/>
      <c r="S206" s="546"/>
      <c r="T206" s="546"/>
      <c r="U206" s="546"/>
      <c r="V206" s="546"/>
      <c r="W206" s="546"/>
      <c r="X206" s="546"/>
      <c r="Y206" s="546"/>
      <c r="Z206" s="546"/>
      <c r="AA206" s="537"/>
      <c r="AB206" s="537"/>
      <c r="AC206" s="537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4"/>
      <c r="V207" s="34"/>
      <c r="W207" s="35" t="s">
        <v>69</v>
      </c>
      <c r="X207" s="541">
        <v>30</v>
      </c>
      <c r="Y207" s="542">
        <f t="shared" ref="Y207:Y215" si="15">IFERROR(IF(X207="",0,CEILING((X207/$H207),1)*$H207),"")</f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31.922222222222224</v>
      </c>
      <c r="BN207" s="64">
        <f t="shared" ref="BN207:BN215" si="17">IFERROR(Y207*I207/H207,"0")</f>
        <v>34.475999999999999</v>
      </c>
      <c r="BO207" s="64">
        <f t="shared" ref="BO207:BO215" si="18">IFERROR(1/J207*(X207/H207),"0")</f>
        <v>5.7870370370370371E-2</v>
      </c>
      <c r="BP207" s="64">
        <f t="shared" ref="BP207:BP215" si="19">IFERROR(1/J207*(Y207/H207),"0")</f>
        <v>6.25E-2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4"/>
      <c r="V208" s="34"/>
      <c r="W208" s="35" t="s">
        <v>69</v>
      </c>
      <c r="X208" s="541">
        <v>30</v>
      </c>
      <c r="Y208" s="542">
        <f t="shared" si="15"/>
        <v>32.4</v>
      </c>
      <c r="Z208" s="36">
        <f>IFERROR(IF(Y208=0,"",ROUNDUP(Y208/H208,0)*0.01898),"")</f>
        <v>7.5920000000000001E-2</v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31.855555555555561</v>
      </c>
      <c r="BN208" s="64">
        <f t="shared" si="17"/>
        <v>34.404000000000003</v>
      </c>
      <c r="BO208" s="64">
        <f t="shared" si="18"/>
        <v>5.7870370370370371E-2</v>
      </c>
      <c r="BP208" s="64">
        <f t="shared" si="19"/>
        <v>6.25E-2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/>
      <c r="M209" s="33" t="s">
        <v>77</v>
      </c>
      <c r="N209" s="33"/>
      <c r="O209" s="32">
        <v>45</v>
      </c>
      <c r="P209" s="5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/>
      <c r="AK209" s="68">
        <v>0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215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4"/>
      <c r="V210" s="34"/>
      <c r="W210" s="35" t="s">
        <v>69</v>
      </c>
      <c r="X210" s="541">
        <v>57</v>
      </c>
      <c r="Y210" s="542">
        <f t="shared" si="15"/>
        <v>57.599999999999994</v>
      </c>
      <c r="Z210" s="36">
        <f t="shared" ref="Z210:Z215" si="20">IFERROR(IF(Y210=0,"",ROUNDUP(Y210/H210,0)*0.00651),"")</f>
        <v>0.15623999999999999</v>
      </c>
      <c r="AA210" s="56"/>
      <c r="AB210" s="57"/>
      <c r="AC210" s="251" t="s">
        <v>332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63.412500000000001</v>
      </c>
      <c r="BN210" s="64">
        <f t="shared" si="17"/>
        <v>64.079999999999984</v>
      </c>
      <c r="BO210" s="64">
        <f t="shared" si="18"/>
        <v>0.1304945054945055</v>
      </c>
      <c r="BP210" s="64">
        <f t="shared" si="19"/>
        <v>0.13186813186813187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215</v>
      </c>
      <c r="M212" s="33" t="s">
        <v>77</v>
      </c>
      <c r="N212" s="33"/>
      <c r="O212" s="32">
        <v>45</v>
      </c>
      <c r="P212" s="75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4"/>
      <c r="V212" s="34"/>
      <c r="W212" s="35" t="s">
        <v>69</v>
      </c>
      <c r="X212" s="541">
        <v>79</v>
      </c>
      <c r="Y212" s="542">
        <f t="shared" si="15"/>
        <v>79.2</v>
      </c>
      <c r="Z212" s="36">
        <f t="shared" si="20"/>
        <v>0.21482999999999999</v>
      </c>
      <c r="AA212" s="56"/>
      <c r="AB212" s="57"/>
      <c r="AC212" s="255" t="s">
        <v>338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87.295000000000002</v>
      </c>
      <c r="BN212" s="64">
        <f t="shared" si="17"/>
        <v>87.51600000000002</v>
      </c>
      <c r="BO212" s="64">
        <f t="shared" si="18"/>
        <v>0.18086080586080591</v>
      </c>
      <c r="BP212" s="64">
        <f t="shared" si="19"/>
        <v>0.18131868131868134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215</v>
      </c>
      <c r="M213" s="33" t="s">
        <v>77</v>
      </c>
      <c r="N213" s="33"/>
      <c r="O213" s="32">
        <v>45</v>
      </c>
      <c r="P213" s="5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215</v>
      </c>
      <c r="M214" s="33" t="s">
        <v>84</v>
      </c>
      <c r="N214" s="33"/>
      <c r="O214" s="32">
        <v>40</v>
      </c>
      <c r="P214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4"/>
      <c r="V214" s="34"/>
      <c r="W214" s="35" t="s">
        <v>69</v>
      </c>
      <c r="X214" s="541">
        <v>56</v>
      </c>
      <c r="Y214" s="542">
        <f t="shared" si="15"/>
        <v>57.599999999999994</v>
      </c>
      <c r="Z214" s="36">
        <f t="shared" si="20"/>
        <v>0.15623999999999999</v>
      </c>
      <c r="AA214" s="56"/>
      <c r="AB214" s="57"/>
      <c r="AC214" s="259" t="s">
        <v>350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61.88</v>
      </c>
      <c r="BN214" s="64">
        <f t="shared" si="17"/>
        <v>63.648000000000003</v>
      </c>
      <c r="BO214" s="64">
        <f t="shared" si="18"/>
        <v>0.12820512820512822</v>
      </c>
      <c r="BP214" s="64">
        <f t="shared" si="19"/>
        <v>0.13186813186813187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215</v>
      </c>
      <c r="M215" s="33" t="s">
        <v>77</v>
      </c>
      <c r="N215" s="33"/>
      <c r="O215" s="32">
        <v>40</v>
      </c>
      <c r="P215" s="5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4"/>
      <c r="V215" s="34"/>
      <c r="W215" s="35" t="s">
        <v>69</v>
      </c>
      <c r="X215" s="541">
        <v>30</v>
      </c>
      <c r="Y215" s="542">
        <f t="shared" si="15"/>
        <v>31.2</v>
      </c>
      <c r="Z215" s="36">
        <f t="shared" si="20"/>
        <v>8.4629999999999997E-2</v>
      </c>
      <c r="AA215" s="56"/>
      <c r="AB215" s="57"/>
      <c r="AC215" s="261" t="s">
        <v>335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33.225000000000001</v>
      </c>
      <c r="BN215" s="64">
        <f t="shared" si="17"/>
        <v>34.554000000000002</v>
      </c>
      <c r="BO215" s="64">
        <f t="shared" si="18"/>
        <v>6.8681318681318687E-2</v>
      </c>
      <c r="BP215" s="64">
        <f t="shared" si="19"/>
        <v>7.1428571428571438E-2</v>
      </c>
    </row>
    <row r="216" spans="1:68" x14ac:dyDescent="0.2">
      <c r="A216" s="552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53"/>
      <c r="P216" s="549" t="s">
        <v>71</v>
      </c>
      <c r="Q216" s="550"/>
      <c r="R216" s="550"/>
      <c r="S216" s="550"/>
      <c r="T216" s="550"/>
      <c r="U216" s="550"/>
      <c r="V216" s="55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99.907407407407419</v>
      </c>
      <c r="Y216" s="543">
        <f>IFERROR(Y207/H207,"0")+IFERROR(Y208/H208,"0")+IFERROR(Y209/H209,"0")+IFERROR(Y210/H210,"0")+IFERROR(Y211/H211,"0")+IFERROR(Y212/H212,"0")+IFERROR(Y213/H213,"0")+IFERROR(Y214/H214,"0")+IFERROR(Y215/H215,"0")</f>
        <v>102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0.7637799999999999</v>
      </c>
      <c r="AA216" s="544"/>
      <c r="AB216" s="544"/>
      <c r="AC216" s="544"/>
    </row>
    <row r="217" spans="1:68" x14ac:dyDescent="0.2">
      <c r="A217" s="546"/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53"/>
      <c r="P217" s="549" t="s">
        <v>71</v>
      </c>
      <c r="Q217" s="550"/>
      <c r="R217" s="550"/>
      <c r="S217" s="550"/>
      <c r="T217" s="550"/>
      <c r="U217" s="550"/>
      <c r="V217" s="551"/>
      <c r="W217" s="37" t="s">
        <v>69</v>
      </c>
      <c r="X217" s="543">
        <f>IFERROR(SUM(X207:X215),"0")</f>
        <v>282</v>
      </c>
      <c r="Y217" s="543">
        <f>IFERROR(SUM(Y207:Y215),"0")</f>
        <v>290.39999999999998</v>
      </c>
      <c r="Z217" s="37"/>
      <c r="AA217" s="544"/>
      <c r="AB217" s="544"/>
      <c r="AC217" s="544"/>
    </row>
    <row r="218" spans="1:68" ht="14.25" hidden="1" customHeight="1" x14ac:dyDescent="0.25">
      <c r="A218" s="545" t="s">
        <v>164</v>
      </c>
      <c r="B218" s="546"/>
      <c r="C218" s="546"/>
      <c r="D218" s="546"/>
      <c r="E218" s="546"/>
      <c r="F218" s="546"/>
      <c r="G218" s="546"/>
      <c r="H218" s="546"/>
      <c r="I218" s="546"/>
      <c r="J218" s="546"/>
      <c r="K218" s="546"/>
      <c r="L218" s="546"/>
      <c r="M218" s="546"/>
      <c r="N218" s="546"/>
      <c r="O218" s="546"/>
      <c r="P218" s="546"/>
      <c r="Q218" s="546"/>
      <c r="R218" s="546"/>
      <c r="S218" s="546"/>
      <c r="T218" s="546"/>
      <c r="U218" s="546"/>
      <c r="V218" s="546"/>
      <c r="W218" s="546"/>
      <c r="X218" s="546"/>
      <c r="Y218" s="546"/>
      <c r="Z218" s="546"/>
      <c r="AA218" s="537"/>
      <c r="AB218" s="537"/>
      <c r="AC218" s="537"/>
    </row>
    <row r="219" spans="1:68" ht="27" hidden="1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6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2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53"/>
      <c r="P221" s="549" t="s">
        <v>71</v>
      </c>
      <c r="Q221" s="550"/>
      <c r="R221" s="550"/>
      <c r="S221" s="550"/>
      <c r="T221" s="550"/>
      <c r="U221" s="550"/>
      <c r="V221" s="55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46"/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53"/>
      <c r="P222" s="549" t="s">
        <v>71</v>
      </c>
      <c r="Q222" s="550"/>
      <c r="R222" s="550"/>
      <c r="S222" s="550"/>
      <c r="T222" s="550"/>
      <c r="U222" s="550"/>
      <c r="V222" s="55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74" t="s">
        <v>359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6"/>
      <c r="AB223" s="536"/>
      <c r="AC223" s="536"/>
    </row>
    <row r="224" spans="1:68" ht="14.25" hidden="1" customHeight="1" x14ac:dyDescent="0.25">
      <c r="A224" s="545" t="s">
        <v>99</v>
      </c>
      <c r="B224" s="546"/>
      <c r="C224" s="546"/>
      <c r="D224" s="546"/>
      <c r="E224" s="546"/>
      <c r="F224" s="546"/>
      <c r="G224" s="546"/>
      <c r="H224" s="546"/>
      <c r="I224" s="546"/>
      <c r="J224" s="546"/>
      <c r="K224" s="546"/>
      <c r="L224" s="546"/>
      <c r="M224" s="546"/>
      <c r="N224" s="546"/>
      <c r="O224" s="546"/>
      <c r="P224" s="546"/>
      <c r="Q224" s="546"/>
      <c r="R224" s="546"/>
      <c r="S224" s="546"/>
      <c r="T224" s="546"/>
      <c r="U224" s="546"/>
      <c r="V224" s="546"/>
      <c r="W224" s="546"/>
      <c r="X224" s="546"/>
      <c r="Y224" s="546"/>
      <c r="Z224" s="546"/>
      <c r="AA224" s="537"/>
      <c r="AB224" s="537"/>
      <c r="AC224" s="537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2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53"/>
      <c r="P235" s="549" t="s">
        <v>71</v>
      </c>
      <c r="Q235" s="550"/>
      <c r="R235" s="550"/>
      <c r="S235" s="550"/>
      <c r="T235" s="550"/>
      <c r="U235" s="550"/>
      <c r="V235" s="55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46"/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53"/>
      <c r="P236" s="549" t="s">
        <v>71</v>
      </c>
      <c r="Q236" s="550"/>
      <c r="R236" s="550"/>
      <c r="S236" s="550"/>
      <c r="T236" s="550"/>
      <c r="U236" s="550"/>
      <c r="V236" s="55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45" t="s">
        <v>134</v>
      </c>
      <c r="B237" s="546"/>
      <c r="C237" s="546"/>
      <c r="D237" s="546"/>
      <c r="E237" s="546"/>
      <c r="F237" s="546"/>
      <c r="G237" s="546"/>
      <c r="H237" s="546"/>
      <c r="I237" s="546"/>
      <c r="J237" s="546"/>
      <c r="K237" s="546"/>
      <c r="L237" s="546"/>
      <c r="M237" s="546"/>
      <c r="N237" s="546"/>
      <c r="O237" s="546"/>
      <c r="P237" s="546"/>
      <c r="Q237" s="546"/>
      <c r="R237" s="546"/>
      <c r="S237" s="546"/>
      <c r="T237" s="546"/>
      <c r="U237" s="546"/>
      <c r="V237" s="546"/>
      <c r="W237" s="546"/>
      <c r="X237" s="546"/>
      <c r="Y237" s="546"/>
      <c r="Z237" s="546"/>
      <c r="AA237" s="537"/>
      <c r="AB237" s="537"/>
      <c r="AC237" s="537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2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53"/>
      <c r="P239" s="549" t="s">
        <v>71</v>
      </c>
      <c r="Q239" s="550"/>
      <c r="R239" s="550"/>
      <c r="S239" s="550"/>
      <c r="T239" s="550"/>
      <c r="U239" s="550"/>
      <c r="V239" s="55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46"/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53"/>
      <c r="P240" s="549" t="s">
        <v>71</v>
      </c>
      <c r="Q240" s="550"/>
      <c r="R240" s="550"/>
      <c r="S240" s="550"/>
      <c r="T240" s="550"/>
      <c r="U240" s="550"/>
      <c r="V240" s="55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45" t="s">
        <v>385</v>
      </c>
      <c r="B241" s="546"/>
      <c r="C241" s="546"/>
      <c r="D241" s="546"/>
      <c r="E241" s="546"/>
      <c r="F241" s="546"/>
      <c r="G241" s="546"/>
      <c r="H241" s="546"/>
      <c r="I241" s="546"/>
      <c r="J241" s="546"/>
      <c r="K241" s="546"/>
      <c r="L241" s="546"/>
      <c r="M241" s="546"/>
      <c r="N241" s="546"/>
      <c r="O241" s="546"/>
      <c r="P241" s="546"/>
      <c r="Q241" s="546"/>
      <c r="R241" s="546"/>
      <c r="S241" s="546"/>
      <c r="T241" s="546"/>
      <c r="U241" s="546"/>
      <c r="V241" s="546"/>
      <c r="W241" s="546"/>
      <c r="X241" s="546"/>
      <c r="Y241" s="546"/>
      <c r="Z241" s="546"/>
      <c r="AA241" s="537"/>
      <c r="AB241" s="537"/>
      <c r="AC241" s="537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1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2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53"/>
      <c r="P243" s="549" t="s">
        <v>71</v>
      </c>
      <c r="Q243" s="550"/>
      <c r="R243" s="550"/>
      <c r="S243" s="550"/>
      <c r="T243" s="550"/>
      <c r="U243" s="550"/>
      <c r="V243" s="55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46"/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53"/>
      <c r="P244" s="549" t="s">
        <v>71</v>
      </c>
      <c r="Q244" s="550"/>
      <c r="R244" s="550"/>
      <c r="S244" s="550"/>
      <c r="T244" s="550"/>
      <c r="U244" s="550"/>
      <c r="V244" s="55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45" t="s">
        <v>389</v>
      </c>
      <c r="B245" s="546"/>
      <c r="C245" s="546"/>
      <c r="D245" s="546"/>
      <c r="E245" s="546"/>
      <c r="F245" s="546"/>
      <c r="G245" s="546"/>
      <c r="H245" s="546"/>
      <c r="I245" s="546"/>
      <c r="J245" s="546"/>
      <c r="K245" s="546"/>
      <c r="L245" s="546"/>
      <c r="M245" s="546"/>
      <c r="N245" s="546"/>
      <c r="O245" s="546"/>
      <c r="P245" s="546"/>
      <c r="Q245" s="546"/>
      <c r="R245" s="546"/>
      <c r="S245" s="546"/>
      <c r="T245" s="546"/>
      <c r="U245" s="546"/>
      <c r="V245" s="546"/>
      <c r="W245" s="546"/>
      <c r="X245" s="546"/>
      <c r="Y245" s="546"/>
      <c r="Z245" s="546"/>
      <c r="AA245" s="537"/>
      <c r="AB245" s="537"/>
      <c r="AC245" s="537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79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4"/>
      <c r="V248" s="34"/>
      <c r="W248" s="35" t="s">
        <v>69</v>
      </c>
      <c r="X248" s="541">
        <v>2</v>
      </c>
      <c r="Y248" s="542">
        <f>IFERROR(IF(X248="",0,CEILING((X248/$H248),1)*$H248),"")</f>
        <v>2.7</v>
      </c>
      <c r="Z248" s="36">
        <f>IFERROR(IF(Y248=0,"",ROUNDUP(Y248/H248,0)*0.0059),"")</f>
        <v>1.77E-2</v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2.4222222222222225</v>
      </c>
      <c r="BN248" s="64">
        <f>IFERROR(Y248*I248/H248,"0")</f>
        <v>3.2700000000000005</v>
      </c>
      <c r="BO248" s="64">
        <f>IFERROR(1/J248*(X248/H248),"0")</f>
        <v>1.0288065843621399E-2</v>
      </c>
      <c r="BP248" s="64">
        <f>IFERROR(1/J248*(Y248/H248),"0")</f>
        <v>1.3888888888888888E-2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6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4"/>
      <c r="V250" s="34"/>
      <c r="W250" s="35" t="s">
        <v>69</v>
      </c>
      <c r="X250" s="541">
        <v>2</v>
      </c>
      <c r="Y250" s="542">
        <f>IFERROR(IF(X250="",0,CEILING((X250/$H250),1)*$H250),"")</f>
        <v>2.9699999999999998</v>
      </c>
      <c r="Z250" s="36">
        <f>IFERROR(IF(Y250=0,"",ROUNDUP(Y250/H250,0)*0.0059),"")</f>
        <v>1.77E-2</v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2.3838383838383836</v>
      </c>
      <c r="BN250" s="64">
        <f>IFERROR(Y250*I250/H250,"0")</f>
        <v>3.5399999999999996</v>
      </c>
      <c r="BO250" s="64">
        <f>IFERROR(1/J250*(X250/H250),"0")</f>
        <v>9.3527871305649091E-3</v>
      </c>
      <c r="BP250" s="64">
        <f>IFERROR(1/J250*(Y250/H250),"0")</f>
        <v>1.3888888888888886E-2</v>
      </c>
    </row>
    <row r="251" spans="1:68" x14ac:dyDescent="0.2">
      <c r="A251" s="552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53"/>
      <c r="P251" s="549" t="s">
        <v>71</v>
      </c>
      <c r="Q251" s="550"/>
      <c r="R251" s="550"/>
      <c r="S251" s="550"/>
      <c r="T251" s="550"/>
      <c r="U251" s="550"/>
      <c r="V251" s="551"/>
      <c r="W251" s="37" t="s">
        <v>72</v>
      </c>
      <c r="X251" s="543">
        <f>IFERROR(X246/H246,"0")+IFERROR(X247/H247,"0")+IFERROR(X248/H248,"0")+IFERROR(X249/H249,"0")+IFERROR(X250/H250,"0")</f>
        <v>4.2424242424242422</v>
      </c>
      <c r="Y251" s="543">
        <f>IFERROR(Y246/H246,"0")+IFERROR(Y247/H247,"0")+IFERROR(Y248/H248,"0")+IFERROR(Y249/H249,"0")+IFERROR(Y250/H250,"0")</f>
        <v>6</v>
      </c>
      <c r="Z251" s="543">
        <f>IFERROR(IF(Z246="",0,Z246),"0")+IFERROR(IF(Z247="",0,Z247),"0")+IFERROR(IF(Z248="",0,Z248),"0")+IFERROR(IF(Z249="",0,Z249),"0")+IFERROR(IF(Z250="",0,Z250),"0")</f>
        <v>3.5400000000000001E-2</v>
      </c>
      <c r="AA251" s="544"/>
      <c r="AB251" s="544"/>
      <c r="AC251" s="544"/>
    </row>
    <row r="252" spans="1:68" x14ac:dyDescent="0.2">
      <c r="A252" s="546"/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53"/>
      <c r="P252" s="549" t="s">
        <v>71</v>
      </c>
      <c r="Q252" s="550"/>
      <c r="R252" s="550"/>
      <c r="S252" s="550"/>
      <c r="T252" s="550"/>
      <c r="U252" s="550"/>
      <c r="V252" s="551"/>
      <c r="W252" s="37" t="s">
        <v>69</v>
      </c>
      <c r="X252" s="543">
        <f>IFERROR(SUM(X246:X250),"0")</f>
        <v>4</v>
      </c>
      <c r="Y252" s="543">
        <f>IFERROR(SUM(Y246:Y250),"0")</f>
        <v>5.67</v>
      </c>
      <c r="Z252" s="37"/>
      <c r="AA252" s="544"/>
      <c r="AB252" s="544"/>
      <c r="AC252" s="544"/>
    </row>
    <row r="253" spans="1:68" ht="16.5" hidden="1" customHeight="1" x14ac:dyDescent="0.25">
      <c r="A253" s="574" t="s">
        <v>401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6"/>
      <c r="AB253" s="536"/>
      <c r="AC253" s="536"/>
    </row>
    <row r="254" spans="1:68" ht="14.25" hidden="1" customHeight="1" x14ac:dyDescent="0.25">
      <c r="A254" s="545" t="s">
        <v>99</v>
      </c>
      <c r="B254" s="546"/>
      <c r="C254" s="546"/>
      <c r="D254" s="546"/>
      <c r="E254" s="546"/>
      <c r="F254" s="546"/>
      <c r="G254" s="546"/>
      <c r="H254" s="546"/>
      <c r="I254" s="546"/>
      <c r="J254" s="546"/>
      <c r="K254" s="546"/>
      <c r="L254" s="546"/>
      <c r="M254" s="546"/>
      <c r="N254" s="546"/>
      <c r="O254" s="546"/>
      <c r="P254" s="546"/>
      <c r="Q254" s="546"/>
      <c r="R254" s="546"/>
      <c r="S254" s="546"/>
      <c r="T254" s="546"/>
      <c r="U254" s="546"/>
      <c r="V254" s="546"/>
      <c r="W254" s="546"/>
      <c r="X254" s="546"/>
      <c r="Y254" s="546"/>
      <c r="Z254" s="546"/>
      <c r="AA254" s="537"/>
      <c r="AB254" s="537"/>
      <c r="AC254" s="537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5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2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53"/>
      <c r="P260" s="549" t="s">
        <v>71</v>
      </c>
      <c r="Q260" s="550"/>
      <c r="R260" s="550"/>
      <c r="S260" s="550"/>
      <c r="T260" s="550"/>
      <c r="U260" s="550"/>
      <c r="V260" s="55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46"/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53"/>
      <c r="P261" s="549" t="s">
        <v>71</v>
      </c>
      <c r="Q261" s="550"/>
      <c r="R261" s="550"/>
      <c r="S261" s="550"/>
      <c r="T261" s="550"/>
      <c r="U261" s="550"/>
      <c r="V261" s="55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74" t="s">
        <v>417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6"/>
      <c r="AB262" s="536"/>
      <c r="AC262" s="536"/>
    </row>
    <row r="263" spans="1:68" ht="14.25" hidden="1" customHeight="1" x14ac:dyDescent="0.25">
      <c r="A263" s="545" t="s">
        <v>99</v>
      </c>
      <c r="B263" s="546"/>
      <c r="C263" s="546"/>
      <c r="D263" s="546"/>
      <c r="E263" s="546"/>
      <c r="F263" s="546"/>
      <c r="G263" s="546"/>
      <c r="H263" s="546"/>
      <c r="I263" s="546"/>
      <c r="J263" s="546"/>
      <c r="K263" s="546"/>
      <c r="L263" s="546"/>
      <c r="M263" s="546"/>
      <c r="N263" s="546"/>
      <c r="O263" s="546"/>
      <c r="P263" s="546"/>
      <c r="Q263" s="546"/>
      <c r="R263" s="546"/>
      <c r="S263" s="546"/>
      <c r="T263" s="546"/>
      <c r="U263" s="546"/>
      <c r="V263" s="546"/>
      <c r="W263" s="546"/>
      <c r="X263" s="546"/>
      <c r="Y263" s="546"/>
      <c r="Z263" s="546"/>
      <c r="AA263" s="537"/>
      <c r="AB263" s="537"/>
      <c r="AC263" s="537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2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53"/>
      <c r="P268" s="549" t="s">
        <v>71</v>
      </c>
      <c r="Q268" s="550"/>
      <c r="R268" s="550"/>
      <c r="S268" s="550"/>
      <c r="T268" s="550"/>
      <c r="U268" s="550"/>
      <c r="V268" s="55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46"/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53"/>
      <c r="P269" s="549" t="s">
        <v>71</v>
      </c>
      <c r="Q269" s="550"/>
      <c r="R269" s="550"/>
      <c r="S269" s="550"/>
      <c r="T269" s="550"/>
      <c r="U269" s="550"/>
      <c r="V269" s="55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74" t="s">
        <v>428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6"/>
      <c r="AB270" s="536"/>
      <c r="AC270" s="536"/>
    </row>
    <row r="271" spans="1:68" ht="14.25" hidden="1" customHeight="1" x14ac:dyDescent="0.25">
      <c r="A271" s="545" t="s">
        <v>73</v>
      </c>
      <c r="B271" s="546"/>
      <c r="C271" s="546"/>
      <c r="D271" s="546"/>
      <c r="E271" s="546"/>
      <c r="F271" s="546"/>
      <c r="G271" s="546"/>
      <c r="H271" s="546"/>
      <c r="I271" s="546"/>
      <c r="J271" s="546"/>
      <c r="K271" s="546"/>
      <c r="L271" s="546"/>
      <c r="M271" s="546"/>
      <c r="N271" s="546"/>
      <c r="O271" s="546"/>
      <c r="P271" s="546"/>
      <c r="Q271" s="546"/>
      <c r="R271" s="546"/>
      <c r="S271" s="546"/>
      <c r="T271" s="546"/>
      <c r="U271" s="546"/>
      <c r="V271" s="546"/>
      <c r="W271" s="546"/>
      <c r="X271" s="546"/>
      <c r="Y271" s="546"/>
      <c r="Z271" s="546"/>
      <c r="AA271" s="537"/>
      <c r="AB271" s="537"/>
      <c r="AC271" s="537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215</v>
      </c>
      <c r="M273" s="33" t="s">
        <v>84</v>
      </c>
      <c r="N273" s="33"/>
      <c r="O273" s="32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215</v>
      </c>
      <c r="M274" s="33" t="s">
        <v>77</v>
      </c>
      <c r="N274" s="33"/>
      <c r="O274" s="32">
        <v>45</v>
      </c>
      <c r="P27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2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53"/>
      <c r="P275" s="549" t="s">
        <v>71</v>
      </c>
      <c r="Q275" s="550"/>
      <c r="R275" s="550"/>
      <c r="S275" s="550"/>
      <c r="T275" s="550"/>
      <c r="U275" s="550"/>
      <c r="V275" s="55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46"/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53"/>
      <c r="P276" s="549" t="s">
        <v>71</v>
      </c>
      <c r="Q276" s="550"/>
      <c r="R276" s="550"/>
      <c r="S276" s="550"/>
      <c r="T276" s="550"/>
      <c r="U276" s="550"/>
      <c r="V276" s="55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74" t="s">
        <v>437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6"/>
      <c r="AB277" s="536"/>
      <c r="AC277" s="536"/>
    </row>
    <row r="278" spans="1:68" ht="14.25" hidden="1" customHeight="1" x14ac:dyDescent="0.25">
      <c r="A278" s="545" t="s">
        <v>64</v>
      </c>
      <c r="B278" s="546"/>
      <c r="C278" s="546"/>
      <c r="D278" s="546"/>
      <c r="E278" s="546"/>
      <c r="F278" s="546"/>
      <c r="G278" s="546"/>
      <c r="H278" s="546"/>
      <c r="I278" s="546"/>
      <c r="J278" s="546"/>
      <c r="K278" s="546"/>
      <c r="L278" s="546"/>
      <c r="M278" s="546"/>
      <c r="N278" s="546"/>
      <c r="O278" s="546"/>
      <c r="P278" s="546"/>
      <c r="Q278" s="546"/>
      <c r="R278" s="546"/>
      <c r="S278" s="546"/>
      <c r="T278" s="546"/>
      <c r="U278" s="546"/>
      <c r="V278" s="546"/>
      <c r="W278" s="546"/>
      <c r="X278" s="546"/>
      <c r="Y278" s="546"/>
      <c r="Z278" s="546"/>
      <c r="AA278" s="537"/>
      <c r="AB278" s="537"/>
      <c r="AC278" s="537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2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53"/>
      <c r="P281" s="549" t="s">
        <v>71</v>
      </c>
      <c r="Q281" s="550"/>
      <c r="R281" s="550"/>
      <c r="S281" s="550"/>
      <c r="T281" s="550"/>
      <c r="U281" s="550"/>
      <c r="V281" s="55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46"/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53"/>
      <c r="P282" s="549" t="s">
        <v>71</v>
      </c>
      <c r="Q282" s="550"/>
      <c r="R282" s="550"/>
      <c r="S282" s="550"/>
      <c r="T282" s="550"/>
      <c r="U282" s="550"/>
      <c r="V282" s="55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45" t="s">
        <v>73</v>
      </c>
      <c r="B283" s="546"/>
      <c r="C283" s="546"/>
      <c r="D283" s="546"/>
      <c r="E283" s="546"/>
      <c r="F283" s="546"/>
      <c r="G283" s="546"/>
      <c r="H283" s="546"/>
      <c r="I283" s="546"/>
      <c r="J283" s="546"/>
      <c r="K283" s="546"/>
      <c r="L283" s="546"/>
      <c r="M283" s="546"/>
      <c r="N283" s="546"/>
      <c r="O283" s="546"/>
      <c r="P283" s="546"/>
      <c r="Q283" s="546"/>
      <c r="R283" s="546"/>
      <c r="S283" s="546"/>
      <c r="T283" s="546"/>
      <c r="U283" s="546"/>
      <c r="V283" s="546"/>
      <c r="W283" s="546"/>
      <c r="X283" s="546"/>
      <c r="Y283" s="546"/>
      <c r="Z283" s="546"/>
      <c r="AA283" s="537"/>
      <c r="AB283" s="537"/>
      <c r="AC283" s="537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2"/>
      <c r="B285" s="546"/>
      <c r="C285" s="546"/>
      <c r="D285" s="546"/>
      <c r="E285" s="546"/>
      <c r="F285" s="546"/>
      <c r="G285" s="546"/>
      <c r="H285" s="546"/>
      <c r="I285" s="546"/>
      <c r="J285" s="546"/>
      <c r="K285" s="546"/>
      <c r="L285" s="546"/>
      <c r="M285" s="546"/>
      <c r="N285" s="546"/>
      <c r="O285" s="553"/>
      <c r="P285" s="549" t="s">
        <v>71</v>
      </c>
      <c r="Q285" s="550"/>
      <c r="R285" s="550"/>
      <c r="S285" s="550"/>
      <c r="T285" s="550"/>
      <c r="U285" s="550"/>
      <c r="V285" s="551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hidden="1" x14ac:dyDescent="0.2">
      <c r="A286" s="546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53"/>
      <c r="P286" s="549" t="s">
        <v>71</v>
      </c>
      <c r="Q286" s="550"/>
      <c r="R286" s="550"/>
      <c r="S286" s="550"/>
      <c r="T286" s="550"/>
      <c r="U286" s="550"/>
      <c r="V286" s="551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74" t="s">
        <v>447</v>
      </c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36"/>
      <c r="AB287" s="536"/>
      <c r="AC287" s="536"/>
    </row>
    <row r="288" spans="1:68" ht="14.25" hidden="1" customHeight="1" x14ac:dyDescent="0.25">
      <c r="A288" s="545" t="s">
        <v>99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7">
        <v>4680115885615</v>
      </c>
      <c r="E289" s="548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9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7">
        <v>4680115885646</v>
      </c>
      <c r="E290" s="548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7">
        <v>4680115885554</v>
      </c>
      <c r="E291" s="548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7">
        <v>4680115885622</v>
      </c>
      <c r="E292" s="548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7">
        <v>4680115885608</v>
      </c>
      <c r="E293" s="548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2"/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53"/>
      <c r="P294" s="549" t="s">
        <v>71</v>
      </c>
      <c r="Q294" s="550"/>
      <c r="R294" s="550"/>
      <c r="S294" s="550"/>
      <c r="T294" s="550"/>
      <c r="U294" s="550"/>
      <c r="V294" s="551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46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53"/>
      <c r="P295" s="549" t="s">
        <v>71</v>
      </c>
      <c r="Q295" s="550"/>
      <c r="R295" s="550"/>
      <c r="S295" s="550"/>
      <c r="T295" s="550"/>
      <c r="U295" s="550"/>
      <c r="V295" s="551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45" t="s">
        <v>64</v>
      </c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37"/>
      <c r="AB296" s="537"/>
      <c r="AC296" s="537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7">
        <v>4607091387193</v>
      </c>
      <c r="E297" s="548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7">
        <v>4607091387230</v>
      </c>
      <c r="E298" s="548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7">
        <v>4607091387292</v>
      </c>
      <c r="E299" s="548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7">
        <v>4607091387285</v>
      </c>
      <c r="E300" s="548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7">
        <v>4607091389845</v>
      </c>
      <c r="E301" s="548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7">
        <v>4680115882881</v>
      </c>
      <c r="E302" s="548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6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70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4"/>
      <c r="V303" s="34"/>
      <c r="W303" s="35" t="s">
        <v>69</v>
      </c>
      <c r="X303" s="541">
        <v>4</v>
      </c>
      <c r="Y303" s="542">
        <f t="shared" si="26"/>
        <v>5.4</v>
      </c>
      <c r="Z303" s="36">
        <f>IFERROR(IF(Y303=0,"",ROUNDUP(Y303/H303,0)*0.00651),"")</f>
        <v>1.9529999999999999E-2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4.5066666666666668</v>
      </c>
      <c r="BN303" s="64">
        <f t="shared" si="28"/>
        <v>6.0839999999999996</v>
      </c>
      <c r="BO303" s="64">
        <f t="shared" si="29"/>
        <v>1.2210012210012212E-2</v>
      </c>
      <c r="BP303" s="64">
        <f t="shared" si="30"/>
        <v>1.6483516483516484E-2</v>
      </c>
    </row>
    <row r="304" spans="1:68" x14ac:dyDescent="0.2">
      <c r="A304" s="552"/>
      <c r="B304" s="546"/>
      <c r="C304" s="546"/>
      <c r="D304" s="546"/>
      <c r="E304" s="546"/>
      <c r="F304" s="546"/>
      <c r="G304" s="546"/>
      <c r="H304" s="546"/>
      <c r="I304" s="546"/>
      <c r="J304" s="546"/>
      <c r="K304" s="546"/>
      <c r="L304" s="546"/>
      <c r="M304" s="546"/>
      <c r="N304" s="546"/>
      <c r="O304" s="553"/>
      <c r="P304" s="549" t="s">
        <v>71</v>
      </c>
      <c r="Q304" s="550"/>
      <c r="R304" s="550"/>
      <c r="S304" s="550"/>
      <c r="T304" s="550"/>
      <c r="U304" s="550"/>
      <c r="V304" s="551"/>
      <c r="W304" s="37" t="s">
        <v>72</v>
      </c>
      <c r="X304" s="543">
        <f>IFERROR(X297/H297,"0")+IFERROR(X298/H298,"0")+IFERROR(X299/H299,"0")+IFERROR(X300/H300,"0")+IFERROR(X301/H301,"0")+IFERROR(X302/H302,"0")+IFERROR(X303/H303,"0")</f>
        <v>2.2222222222222223</v>
      </c>
      <c r="Y304" s="543">
        <f>IFERROR(Y297/H297,"0")+IFERROR(Y298/H298,"0")+IFERROR(Y299/H299,"0")+IFERROR(Y300/H300,"0")+IFERROR(Y301/H301,"0")+IFERROR(Y302/H302,"0")+IFERROR(Y303/H303,"0")</f>
        <v>3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1.9529999999999999E-2</v>
      </c>
      <c r="AA304" s="544"/>
      <c r="AB304" s="544"/>
      <c r="AC304" s="544"/>
    </row>
    <row r="305" spans="1:68" x14ac:dyDescent="0.2">
      <c r="A305" s="546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53"/>
      <c r="P305" s="549" t="s">
        <v>71</v>
      </c>
      <c r="Q305" s="550"/>
      <c r="R305" s="550"/>
      <c r="S305" s="550"/>
      <c r="T305" s="550"/>
      <c r="U305" s="550"/>
      <c r="V305" s="551"/>
      <c r="W305" s="37" t="s">
        <v>69</v>
      </c>
      <c r="X305" s="543">
        <f>IFERROR(SUM(X297:X303),"0")</f>
        <v>4</v>
      </c>
      <c r="Y305" s="543">
        <f>IFERROR(SUM(Y297:Y303),"0")</f>
        <v>5.4</v>
      </c>
      <c r="Z305" s="37"/>
      <c r="AA305" s="544"/>
      <c r="AB305" s="544"/>
      <c r="AC305" s="544"/>
    </row>
    <row r="306" spans="1:68" ht="14.25" hidden="1" customHeight="1" x14ac:dyDescent="0.25">
      <c r="A306" s="545" t="s">
        <v>73</v>
      </c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37"/>
      <c r="AB306" s="537"/>
      <c r="AC306" s="537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4301051578</v>
      </c>
      <c r="D311" s="547">
        <v>4607091387513</v>
      </c>
      <c r="E311" s="548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2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53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46"/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53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45" t="s">
        <v>164</v>
      </c>
      <c r="B314" s="546"/>
      <c r="C314" s="546"/>
      <c r="D314" s="546"/>
      <c r="E314" s="546"/>
      <c r="F314" s="546"/>
      <c r="G314" s="546"/>
      <c r="H314" s="546"/>
      <c r="I314" s="546"/>
      <c r="J314" s="546"/>
      <c r="K314" s="546"/>
      <c r="L314" s="546"/>
      <c r="M314" s="546"/>
      <c r="N314" s="546"/>
      <c r="O314" s="546"/>
      <c r="P314" s="546"/>
      <c r="Q314" s="546"/>
      <c r="R314" s="546"/>
      <c r="S314" s="546"/>
      <c r="T314" s="546"/>
      <c r="U314" s="546"/>
      <c r="V314" s="546"/>
      <c r="W314" s="546"/>
      <c r="X314" s="546"/>
      <c r="Y314" s="546"/>
      <c r="Z314" s="546"/>
      <c r="AA314" s="537"/>
      <c r="AB314" s="537"/>
      <c r="AC314" s="537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4"/>
      <c r="V316" s="34"/>
      <c r="W316" s="35" t="s">
        <v>69</v>
      </c>
      <c r="X316" s="541">
        <v>49</v>
      </c>
      <c r="Y316" s="542">
        <f>IFERROR(IF(X316="",0,CEILING((X316/$H316),1)*$H316),"")</f>
        <v>54.6</v>
      </c>
      <c r="Z316" s="36">
        <f>IFERROR(IF(Y316=0,"",ROUNDUP(Y316/H316,0)*0.01898),"")</f>
        <v>0.13286000000000001</v>
      </c>
      <c r="AA316" s="56"/>
      <c r="AB316" s="57"/>
      <c r="AC316" s="367" t="s">
        <v>501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52.260384615384623</v>
      </c>
      <c r="BN316" s="64">
        <f>IFERROR(Y316*I316/H316,"0")</f>
        <v>58.233000000000011</v>
      </c>
      <c r="BO316" s="64">
        <f>IFERROR(1/J316*(X316/H316),"0")</f>
        <v>9.815705128205128E-2</v>
      </c>
      <c r="BP316" s="64">
        <f>IFERROR(1/J316*(Y316/H316),"0")</f>
        <v>0.109375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2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53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6.2820512820512819</v>
      </c>
      <c r="Y318" s="543">
        <f>IFERROR(Y315/H315,"0")+IFERROR(Y316/H316,"0")+IFERROR(Y317/H317,"0")</f>
        <v>7</v>
      </c>
      <c r="Z318" s="543">
        <f>IFERROR(IF(Z315="",0,Z315),"0")+IFERROR(IF(Z316="",0,Z316),"0")+IFERROR(IF(Z317="",0,Z317),"0")</f>
        <v>0.13286000000000001</v>
      </c>
      <c r="AA318" s="544"/>
      <c r="AB318" s="544"/>
      <c r="AC318" s="544"/>
    </row>
    <row r="319" spans="1:68" x14ac:dyDescent="0.2">
      <c r="A319" s="546"/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53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49</v>
      </c>
      <c r="Y319" s="543">
        <f>IFERROR(SUM(Y315:Y317),"0")</f>
        <v>54.6</v>
      </c>
      <c r="Z319" s="37"/>
      <c r="AA319" s="544"/>
      <c r="AB319" s="544"/>
      <c r="AC319" s="544"/>
    </row>
    <row r="320" spans="1:68" ht="14.25" hidden="1" customHeight="1" x14ac:dyDescent="0.25">
      <c r="A320" s="545" t="s">
        <v>91</v>
      </c>
      <c r="B320" s="546"/>
      <c r="C320" s="546"/>
      <c r="D320" s="546"/>
      <c r="E320" s="546"/>
      <c r="F320" s="546"/>
      <c r="G320" s="546"/>
      <c r="H320" s="546"/>
      <c r="I320" s="546"/>
      <c r="J320" s="546"/>
      <c r="K320" s="546"/>
      <c r="L320" s="546"/>
      <c r="M320" s="546"/>
      <c r="N320" s="546"/>
      <c r="O320" s="546"/>
      <c r="P320" s="546"/>
      <c r="Q320" s="546"/>
      <c r="R320" s="546"/>
      <c r="S320" s="546"/>
      <c r="T320" s="546"/>
      <c r="U320" s="546"/>
      <c r="V320" s="546"/>
      <c r="W320" s="546"/>
      <c r="X320" s="546"/>
      <c r="Y320" s="546"/>
      <c r="Z320" s="546"/>
      <c r="AA320" s="537"/>
      <c r="AB320" s="537"/>
      <c r="AC320" s="537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2" t="s">
        <v>510</v>
      </c>
      <c r="Q322" s="557"/>
      <c r="R322" s="557"/>
      <c r="S322" s="557"/>
      <c r="T322" s="558"/>
      <c r="U322" s="34"/>
      <c r="V322" s="34"/>
      <c r="W322" s="35" t="s">
        <v>69</v>
      </c>
      <c r="X322" s="541">
        <v>11</v>
      </c>
      <c r="Y322" s="542">
        <f>IFERROR(IF(X322="",0,CEILING((X322/$H322),1)*$H322),"")</f>
        <v>12.16</v>
      </c>
      <c r="Z322" s="36">
        <f>IFERROR(IF(Y322=0,"",ROUNDUP(Y322/H322,0)*0.00902),"")</f>
        <v>3.6080000000000001E-2</v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11.904605263157894</v>
      </c>
      <c r="BN322" s="64">
        <f>IFERROR(Y322*I322/H322,"0")</f>
        <v>13.16</v>
      </c>
      <c r="BO322" s="64">
        <f>IFERROR(1/J322*(X322/H322),"0")</f>
        <v>2.7412280701754384E-2</v>
      </c>
      <c r="BP322" s="64">
        <f>IFERROR(1/J322*(Y322/H322),"0")</f>
        <v>3.0303030303030304E-2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94</v>
      </c>
      <c r="N324" s="33"/>
      <c r="O324" s="32">
        <v>180</v>
      </c>
      <c r="P324" s="7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2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53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3.6184210526315788</v>
      </c>
      <c r="Y325" s="543">
        <f>IFERROR(Y321/H321,"0")+IFERROR(Y322/H322,"0")+IFERROR(Y323/H323,"0")+IFERROR(Y324/H324,"0")</f>
        <v>4</v>
      </c>
      <c r="Z325" s="543">
        <f>IFERROR(IF(Z321="",0,Z321),"0")+IFERROR(IF(Z322="",0,Z322),"0")+IFERROR(IF(Z323="",0,Z323),"0")+IFERROR(IF(Z324="",0,Z324),"0")</f>
        <v>3.6080000000000001E-2</v>
      </c>
      <c r="AA325" s="544"/>
      <c r="AB325" s="544"/>
      <c r="AC325" s="544"/>
    </row>
    <row r="326" spans="1:68" x14ac:dyDescent="0.2">
      <c r="A326" s="546"/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53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11</v>
      </c>
      <c r="Y326" s="543">
        <f>IFERROR(SUM(Y321:Y324),"0")</f>
        <v>12.16</v>
      </c>
      <c r="Z326" s="37"/>
      <c r="AA326" s="544"/>
      <c r="AB326" s="544"/>
      <c r="AC326" s="544"/>
    </row>
    <row r="327" spans="1:68" ht="14.25" hidden="1" customHeight="1" x14ac:dyDescent="0.25">
      <c r="A327" s="545" t="s">
        <v>516</v>
      </c>
      <c r="B327" s="546"/>
      <c r="C327" s="546"/>
      <c r="D327" s="546"/>
      <c r="E327" s="546"/>
      <c r="F327" s="546"/>
      <c r="G327" s="546"/>
      <c r="H327" s="546"/>
      <c r="I327" s="546"/>
      <c r="J327" s="546"/>
      <c r="K327" s="546"/>
      <c r="L327" s="546"/>
      <c r="M327" s="546"/>
      <c r="N327" s="546"/>
      <c r="O327" s="546"/>
      <c r="P327" s="546"/>
      <c r="Q327" s="546"/>
      <c r="R327" s="546"/>
      <c r="S327" s="546"/>
      <c r="T327" s="546"/>
      <c r="U327" s="546"/>
      <c r="V327" s="546"/>
      <c r="W327" s="546"/>
      <c r="X327" s="546"/>
      <c r="Y327" s="546"/>
      <c r="Z327" s="546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0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2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53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46"/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53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74" t="s">
        <v>525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6"/>
      <c r="AB333" s="536"/>
      <c r="AC333" s="536"/>
    </row>
    <row r="334" spans="1:68" ht="14.25" hidden="1" customHeight="1" x14ac:dyDescent="0.25">
      <c r="A334" s="545" t="s">
        <v>73</v>
      </c>
      <c r="B334" s="546"/>
      <c r="C334" s="546"/>
      <c r="D334" s="546"/>
      <c r="E334" s="546"/>
      <c r="F334" s="546"/>
      <c r="G334" s="546"/>
      <c r="H334" s="546"/>
      <c r="I334" s="546"/>
      <c r="J334" s="546"/>
      <c r="K334" s="546"/>
      <c r="L334" s="546"/>
      <c r="M334" s="546"/>
      <c r="N334" s="546"/>
      <c r="O334" s="546"/>
      <c r="P334" s="546"/>
      <c r="Q334" s="546"/>
      <c r="R334" s="546"/>
      <c r="S334" s="546"/>
      <c r="T334" s="546"/>
      <c r="U334" s="546"/>
      <c r="V334" s="546"/>
      <c r="W334" s="546"/>
      <c r="X334" s="546"/>
      <c r="Y334" s="546"/>
      <c r="Z334" s="546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2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53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46"/>
      <c r="B339" s="546"/>
      <c r="C339" s="546"/>
      <c r="D339" s="546"/>
      <c r="E339" s="546"/>
      <c r="F339" s="546"/>
      <c r="G339" s="546"/>
      <c r="H339" s="546"/>
      <c r="I339" s="546"/>
      <c r="J339" s="546"/>
      <c r="K339" s="546"/>
      <c r="L339" s="546"/>
      <c r="M339" s="546"/>
      <c r="N339" s="546"/>
      <c r="O339" s="553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44" t="s">
        <v>535</v>
      </c>
      <c r="B340" s="645"/>
      <c r="C340" s="645"/>
      <c r="D340" s="645"/>
      <c r="E340" s="645"/>
      <c r="F340" s="645"/>
      <c r="G340" s="645"/>
      <c r="H340" s="645"/>
      <c r="I340" s="645"/>
      <c r="J340" s="645"/>
      <c r="K340" s="645"/>
      <c r="L340" s="645"/>
      <c r="M340" s="645"/>
      <c r="N340" s="645"/>
      <c r="O340" s="645"/>
      <c r="P340" s="645"/>
      <c r="Q340" s="645"/>
      <c r="R340" s="645"/>
      <c r="S340" s="645"/>
      <c r="T340" s="645"/>
      <c r="U340" s="645"/>
      <c r="V340" s="645"/>
      <c r="W340" s="645"/>
      <c r="X340" s="645"/>
      <c r="Y340" s="645"/>
      <c r="Z340" s="645"/>
      <c r="AA340" s="48"/>
      <c r="AB340" s="48"/>
      <c r="AC340" s="48"/>
    </row>
    <row r="341" spans="1:68" ht="16.5" hidden="1" customHeight="1" x14ac:dyDescent="0.25">
      <c r="A341" s="574" t="s">
        <v>536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6"/>
      <c r="AB341" s="536"/>
      <c r="AC341" s="536"/>
    </row>
    <row r="342" spans="1:68" ht="14.25" hidden="1" customHeight="1" x14ac:dyDescent="0.25">
      <c r="A342" s="545" t="s">
        <v>99</v>
      </c>
      <c r="B342" s="546"/>
      <c r="C342" s="546"/>
      <c r="D342" s="546"/>
      <c r="E342" s="546"/>
      <c r="F342" s="546"/>
      <c r="G342" s="546"/>
      <c r="H342" s="546"/>
      <c r="I342" s="546"/>
      <c r="J342" s="546"/>
      <c r="K342" s="546"/>
      <c r="L342" s="546"/>
      <c r="M342" s="546"/>
      <c r="N342" s="546"/>
      <c r="O342" s="546"/>
      <c r="P342" s="546"/>
      <c r="Q342" s="546"/>
      <c r="R342" s="546"/>
      <c r="S342" s="546"/>
      <c r="T342" s="546"/>
      <c r="U342" s="546"/>
      <c r="V342" s="546"/>
      <c r="W342" s="546"/>
      <c r="X342" s="546"/>
      <c r="Y342" s="546"/>
      <c r="Z342" s="546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4"/>
      <c r="V343" s="34"/>
      <c r="W343" s="35" t="s">
        <v>69</v>
      </c>
      <c r="X343" s="541">
        <v>747</v>
      </c>
      <c r="Y343" s="542">
        <f t="shared" ref="Y343:Y349" si="31">IFERROR(IF(X343="",0,CEILING((X343/$H343),1)*$H343),"")</f>
        <v>750</v>
      </c>
      <c r="Z343" s="36">
        <f>IFERROR(IF(Y343=0,"",ROUNDUP(Y343/H343,0)*0.02175),"")</f>
        <v>1.0874999999999999</v>
      </c>
      <c r="AA343" s="56"/>
      <c r="AB343" s="57"/>
      <c r="AC343" s="391" t="s">
        <v>539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770.904</v>
      </c>
      <c r="BN343" s="64">
        <f t="shared" ref="BN343:BN349" si="33">IFERROR(Y343*I343/H343,"0")</f>
        <v>774</v>
      </c>
      <c r="BO343" s="64">
        <f t="shared" ref="BO343:BO349" si="34">IFERROR(1/J343*(X343/H343),"0")</f>
        <v>1.0374999999999999</v>
      </c>
      <c r="BP343" s="64">
        <f t="shared" ref="BP343:BP349" si="35">IFERROR(1/J343*(Y343/H343),"0")</f>
        <v>1.0416666666666665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4"/>
      <c r="V344" s="34"/>
      <c r="W344" s="35" t="s">
        <v>69</v>
      </c>
      <c r="X344" s="541">
        <v>707</v>
      </c>
      <c r="Y344" s="542">
        <f t="shared" si="31"/>
        <v>720</v>
      </c>
      <c r="Z344" s="36">
        <f>IFERROR(IF(Y344=0,"",ROUNDUP(Y344/H344,0)*0.02175),"")</f>
        <v>1.044</v>
      </c>
      <c r="AA344" s="56"/>
      <c r="AB344" s="57"/>
      <c r="AC344" s="393" t="s">
        <v>542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729.62400000000002</v>
      </c>
      <c r="BN344" s="64">
        <f t="shared" si="33"/>
        <v>743.04000000000008</v>
      </c>
      <c r="BO344" s="64">
        <f t="shared" si="34"/>
        <v>0.9819444444444444</v>
      </c>
      <c r="BP344" s="64">
        <f t="shared" si="35"/>
        <v>1</v>
      </c>
    </row>
    <row r="345" spans="1:68" ht="27" customHeight="1" x14ac:dyDescent="0.25">
      <c r="A345" s="54" t="s">
        <v>543</v>
      </c>
      <c r="B345" s="54" t="s">
        <v>544</v>
      </c>
      <c r="C345" s="31">
        <v>4301011832</v>
      </c>
      <c r="D345" s="547">
        <v>4607091383997</v>
      </c>
      <c r="E345" s="548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8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4"/>
      <c r="V345" s="34"/>
      <c r="W345" s="35" t="s">
        <v>69</v>
      </c>
      <c r="X345" s="541">
        <v>290</v>
      </c>
      <c r="Y345" s="542">
        <f t="shared" si="31"/>
        <v>300</v>
      </c>
      <c r="Z345" s="36">
        <f>IFERROR(IF(Y345=0,"",ROUNDUP(Y345/H345,0)*0.02175),"")</f>
        <v>0.43499999999999994</v>
      </c>
      <c r="AA345" s="56"/>
      <c r="AB345" s="57"/>
      <c r="AC345" s="395" t="s">
        <v>545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299.27999999999997</v>
      </c>
      <c r="BN345" s="64">
        <f t="shared" si="33"/>
        <v>309.60000000000002</v>
      </c>
      <c r="BO345" s="64">
        <f t="shared" si="34"/>
        <v>0.40277777777777773</v>
      </c>
      <c r="BP345" s="64">
        <f t="shared" si="35"/>
        <v>0.41666666666666663</v>
      </c>
    </row>
    <row r="346" spans="1:68" ht="37.5" customHeight="1" x14ac:dyDescent="0.25">
      <c r="A346" s="54" t="s">
        <v>546</v>
      </c>
      <c r="B346" s="54" t="s">
        <v>547</v>
      </c>
      <c r="C346" s="31">
        <v>4301011867</v>
      </c>
      <c r="D346" s="547">
        <v>4680115884830</v>
      </c>
      <c r="E346" s="548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 t="s">
        <v>103</v>
      </c>
      <c r="M346" s="33" t="s">
        <v>68</v>
      </c>
      <c r="N346" s="33"/>
      <c r="O346" s="32">
        <v>60</v>
      </c>
      <c r="P346" s="7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4"/>
      <c r="V346" s="34"/>
      <c r="W346" s="35" t="s">
        <v>69</v>
      </c>
      <c r="X346" s="541">
        <v>342</v>
      </c>
      <c r="Y346" s="542">
        <f t="shared" si="31"/>
        <v>345</v>
      </c>
      <c r="Z346" s="36">
        <f>IFERROR(IF(Y346=0,"",ROUNDUP(Y346/H346,0)*0.02175),"")</f>
        <v>0.50024999999999997</v>
      </c>
      <c r="AA346" s="56"/>
      <c r="AB346" s="57"/>
      <c r="AC346" s="397" t="s">
        <v>548</v>
      </c>
      <c r="AG346" s="64"/>
      <c r="AJ346" s="68" t="s">
        <v>106</v>
      </c>
      <c r="AK346" s="68">
        <v>120</v>
      </c>
      <c r="BB346" s="398" t="s">
        <v>1</v>
      </c>
      <c r="BM346" s="64">
        <f t="shared" si="32"/>
        <v>352.94400000000002</v>
      </c>
      <c r="BN346" s="64">
        <f t="shared" si="33"/>
        <v>356.04</v>
      </c>
      <c r="BO346" s="64">
        <f t="shared" si="34"/>
        <v>0.47499999999999998</v>
      </c>
      <c r="BP346" s="64">
        <f t="shared" si="35"/>
        <v>0.47916666666666663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2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53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139.06666666666666</v>
      </c>
      <c r="Y350" s="543">
        <f>IFERROR(Y343/H343,"0")+IFERROR(Y344/H344,"0")+IFERROR(Y345/H345,"0")+IFERROR(Y346/H346,"0")+IFERROR(Y347/H347,"0")+IFERROR(Y348/H348,"0")+IFERROR(Y349/H349,"0")</f>
        <v>141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3.0667499999999999</v>
      </c>
      <c r="AA350" s="544"/>
      <c r="AB350" s="544"/>
      <c r="AC350" s="544"/>
    </row>
    <row r="351" spans="1:68" x14ac:dyDescent="0.2">
      <c r="A351" s="546"/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53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2086</v>
      </c>
      <c r="Y351" s="543">
        <f>IFERROR(SUM(Y343:Y349),"0")</f>
        <v>2115</v>
      </c>
      <c r="Z351" s="37"/>
      <c r="AA351" s="544"/>
      <c r="AB351" s="544"/>
      <c r="AC351" s="544"/>
    </row>
    <row r="352" spans="1:68" ht="14.25" hidden="1" customHeight="1" x14ac:dyDescent="0.25">
      <c r="A352" s="545" t="s">
        <v>134</v>
      </c>
      <c r="B352" s="546"/>
      <c r="C352" s="546"/>
      <c r="D352" s="546"/>
      <c r="E352" s="546"/>
      <c r="F352" s="546"/>
      <c r="G352" s="546"/>
      <c r="H352" s="546"/>
      <c r="I352" s="546"/>
      <c r="J352" s="546"/>
      <c r="K352" s="546"/>
      <c r="L352" s="546"/>
      <c r="M352" s="546"/>
      <c r="N352" s="546"/>
      <c r="O352" s="546"/>
      <c r="P352" s="546"/>
      <c r="Q352" s="546"/>
      <c r="R352" s="546"/>
      <c r="S352" s="546"/>
      <c r="T352" s="546"/>
      <c r="U352" s="546"/>
      <c r="V352" s="546"/>
      <c r="W352" s="546"/>
      <c r="X352" s="546"/>
      <c r="Y352" s="546"/>
      <c r="Z352" s="546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4"/>
      <c r="V353" s="34"/>
      <c r="W353" s="35" t="s">
        <v>69</v>
      </c>
      <c r="X353" s="541">
        <v>494</v>
      </c>
      <c r="Y353" s="542">
        <f>IFERROR(IF(X353="",0,CEILING((X353/$H353),1)*$H353),"")</f>
        <v>495</v>
      </c>
      <c r="Z353" s="36">
        <f>IFERROR(IF(Y353=0,"",ROUNDUP(Y353/H353,0)*0.02175),"")</f>
        <v>0.71775</v>
      </c>
      <c r="AA353" s="56"/>
      <c r="AB353" s="57"/>
      <c r="AC353" s="405" t="s">
        <v>558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509.80799999999999</v>
      </c>
      <c r="BN353" s="64">
        <f>IFERROR(Y353*I353/H353,"0")</f>
        <v>510.84000000000003</v>
      </c>
      <c r="BO353" s="64">
        <f>IFERROR(1/J353*(X353/H353),"0")</f>
        <v>0.68611111111111101</v>
      </c>
      <c r="BP353" s="64">
        <f>IFERROR(1/J353*(Y353/H353),"0")</f>
        <v>0.6875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2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53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32.93333333333333</v>
      </c>
      <c r="Y355" s="543">
        <f>IFERROR(Y353/H353,"0")+IFERROR(Y354/H354,"0")</f>
        <v>33</v>
      </c>
      <c r="Z355" s="543">
        <f>IFERROR(IF(Z353="",0,Z353),"0")+IFERROR(IF(Z354="",0,Z354),"0")</f>
        <v>0.71775</v>
      </c>
      <c r="AA355" s="544"/>
      <c r="AB355" s="544"/>
      <c r="AC355" s="544"/>
    </row>
    <row r="356" spans="1:68" x14ac:dyDescent="0.2">
      <c r="A356" s="546"/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53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494</v>
      </c>
      <c r="Y356" s="543">
        <f>IFERROR(SUM(Y353:Y354),"0")</f>
        <v>495</v>
      </c>
      <c r="Z356" s="37"/>
      <c r="AA356" s="544"/>
      <c r="AB356" s="544"/>
      <c r="AC356" s="544"/>
    </row>
    <row r="357" spans="1:68" ht="14.25" hidden="1" customHeight="1" x14ac:dyDescent="0.25">
      <c r="A357" s="545" t="s">
        <v>73</v>
      </c>
      <c r="B357" s="546"/>
      <c r="C357" s="546"/>
      <c r="D357" s="546"/>
      <c r="E357" s="546"/>
      <c r="F357" s="546"/>
      <c r="G357" s="546"/>
      <c r="H357" s="546"/>
      <c r="I357" s="546"/>
      <c r="J357" s="546"/>
      <c r="K357" s="546"/>
      <c r="L357" s="546"/>
      <c r="M357" s="546"/>
      <c r="N357" s="546"/>
      <c r="O357" s="546"/>
      <c r="P357" s="546"/>
      <c r="Q357" s="546"/>
      <c r="R357" s="546"/>
      <c r="S357" s="546"/>
      <c r="T357" s="546"/>
      <c r="U357" s="546"/>
      <c r="V357" s="546"/>
      <c r="W357" s="546"/>
      <c r="X357" s="546"/>
      <c r="Y357" s="546"/>
      <c r="Z357" s="546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2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53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46"/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53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45" t="s">
        <v>164</v>
      </c>
      <c r="B362" s="546"/>
      <c r="C362" s="546"/>
      <c r="D362" s="546"/>
      <c r="E362" s="546"/>
      <c r="F362" s="546"/>
      <c r="G362" s="546"/>
      <c r="H362" s="546"/>
      <c r="I362" s="546"/>
      <c r="J362" s="546"/>
      <c r="K362" s="546"/>
      <c r="L362" s="546"/>
      <c r="M362" s="546"/>
      <c r="N362" s="546"/>
      <c r="O362" s="546"/>
      <c r="P362" s="546"/>
      <c r="Q362" s="546"/>
      <c r="R362" s="546"/>
      <c r="S362" s="546"/>
      <c r="T362" s="546"/>
      <c r="U362" s="546"/>
      <c r="V362" s="546"/>
      <c r="W362" s="546"/>
      <c r="X362" s="546"/>
      <c r="Y362" s="546"/>
      <c r="Z362" s="546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2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53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46"/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53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74" t="s">
        <v>570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6"/>
      <c r="AB366" s="536"/>
      <c r="AC366" s="536"/>
    </row>
    <row r="367" spans="1:68" ht="14.25" hidden="1" customHeight="1" x14ac:dyDescent="0.25">
      <c r="A367" s="545" t="s">
        <v>99</v>
      </c>
      <c r="B367" s="546"/>
      <c r="C367" s="546"/>
      <c r="D367" s="546"/>
      <c r="E367" s="546"/>
      <c r="F367" s="546"/>
      <c r="G367" s="546"/>
      <c r="H367" s="546"/>
      <c r="I367" s="546"/>
      <c r="J367" s="546"/>
      <c r="K367" s="546"/>
      <c r="L367" s="546"/>
      <c r="M367" s="546"/>
      <c r="N367" s="546"/>
      <c r="O367" s="546"/>
      <c r="P367" s="546"/>
      <c r="Q367" s="546"/>
      <c r="R367" s="546"/>
      <c r="S367" s="546"/>
      <c r="T367" s="546"/>
      <c r="U367" s="546"/>
      <c r="V367" s="546"/>
      <c r="W367" s="546"/>
      <c r="X367" s="546"/>
      <c r="Y367" s="546"/>
      <c r="Z367" s="546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2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53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46"/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53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45" t="s">
        <v>64</v>
      </c>
      <c r="B372" s="546"/>
      <c r="C372" s="546"/>
      <c r="D372" s="546"/>
      <c r="E372" s="546"/>
      <c r="F372" s="546"/>
      <c r="G372" s="546"/>
      <c r="H372" s="546"/>
      <c r="I372" s="546"/>
      <c r="J372" s="546"/>
      <c r="K372" s="546"/>
      <c r="L372" s="546"/>
      <c r="M372" s="546"/>
      <c r="N372" s="546"/>
      <c r="O372" s="546"/>
      <c r="P372" s="546"/>
      <c r="Q372" s="546"/>
      <c r="R372" s="546"/>
      <c r="S372" s="546"/>
      <c r="T372" s="546"/>
      <c r="U372" s="546"/>
      <c r="V372" s="546"/>
      <c r="W372" s="546"/>
      <c r="X372" s="546"/>
      <c r="Y372" s="546"/>
      <c r="Z372" s="546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2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53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46"/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53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45" t="s">
        <v>73</v>
      </c>
      <c r="B377" s="546"/>
      <c r="C377" s="546"/>
      <c r="D377" s="546"/>
      <c r="E377" s="546"/>
      <c r="F377" s="546"/>
      <c r="G377" s="546"/>
      <c r="H377" s="546"/>
      <c r="I377" s="546"/>
      <c r="J377" s="546"/>
      <c r="K377" s="546"/>
      <c r="L377" s="546"/>
      <c r="M377" s="546"/>
      <c r="N377" s="546"/>
      <c r="O377" s="546"/>
      <c r="P377" s="546"/>
      <c r="Q377" s="546"/>
      <c r="R377" s="546"/>
      <c r="S377" s="546"/>
      <c r="T377" s="546"/>
      <c r="U377" s="546"/>
      <c r="V377" s="546"/>
      <c r="W377" s="546"/>
      <c r="X377" s="546"/>
      <c r="Y377" s="546"/>
      <c r="Z377" s="546"/>
      <c r="AA377" s="537"/>
      <c r="AB377" s="537"/>
      <c r="AC377" s="537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4"/>
      <c r="V379" s="34"/>
      <c r="W379" s="35" t="s">
        <v>69</v>
      </c>
      <c r="X379" s="541">
        <v>48</v>
      </c>
      <c r="Y379" s="542">
        <f>IFERROR(IF(X379="",0,CEILING((X379/$H379),1)*$H379),"")</f>
        <v>48</v>
      </c>
      <c r="Z379" s="36">
        <f>IFERROR(IF(Y379=0,"",ROUNDUP(Y379/H379,0)*0.00651),"")</f>
        <v>0.13020000000000001</v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>IFERROR(X379*I379/H379,"0")</f>
        <v>53.280000000000008</v>
      </c>
      <c r="BN379" s="64">
        <f>IFERROR(Y379*I379/H379,"0")</f>
        <v>53.280000000000008</v>
      </c>
      <c r="BO379" s="64">
        <f>IFERROR(1/J379*(X379/H379),"0")</f>
        <v>0.1098901098901099</v>
      </c>
      <c r="BP379" s="64">
        <f>IFERROR(1/J379*(Y379/H379),"0")</f>
        <v>0.1098901098901099</v>
      </c>
    </row>
    <row r="380" spans="1:68" x14ac:dyDescent="0.2">
      <c r="A380" s="552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53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20</v>
      </c>
      <c r="Y380" s="543">
        <f>IFERROR(Y378/H378,"0")+IFERROR(Y379/H379,"0")</f>
        <v>20</v>
      </c>
      <c r="Z380" s="543">
        <f>IFERROR(IF(Z378="",0,Z378),"0")+IFERROR(IF(Z379="",0,Z379),"0")</f>
        <v>0.13020000000000001</v>
      </c>
      <c r="AA380" s="544"/>
      <c r="AB380" s="544"/>
      <c r="AC380" s="544"/>
    </row>
    <row r="381" spans="1:68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53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48</v>
      </c>
      <c r="Y381" s="543">
        <f>IFERROR(SUM(Y378:Y379),"0")</f>
        <v>48</v>
      </c>
      <c r="Z381" s="37"/>
      <c r="AA381" s="544"/>
      <c r="AB381" s="544"/>
      <c r="AC381" s="544"/>
    </row>
    <row r="382" spans="1:68" ht="27.75" hidden="1" customHeight="1" x14ac:dyDescent="0.2">
      <c r="A382" s="644" t="s">
        <v>586</v>
      </c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5"/>
      <c r="P382" s="645"/>
      <c r="Q382" s="645"/>
      <c r="R382" s="645"/>
      <c r="S382" s="645"/>
      <c r="T382" s="645"/>
      <c r="U382" s="645"/>
      <c r="V382" s="645"/>
      <c r="W382" s="645"/>
      <c r="X382" s="645"/>
      <c r="Y382" s="645"/>
      <c r="Z382" s="645"/>
      <c r="AA382" s="48"/>
      <c r="AB382" s="48"/>
      <c r="AC382" s="48"/>
    </row>
    <row r="383" spans="1:68" ht="16.5" hidden="1" customHeight="1" x14ac:dyDescent="0.25">
      <c r="A383" s="574" t="s">
        <v>587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hidden="1" customHeight="1" x14ac:dyDescent="0.25">
      <c r="A384" s="545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 t="s">
        <v>198</v>
      </c>
      <c r="M385" s="33" t="s">
        <v>68</v>
      </c>
      <c r="N385" s="33"/>
      <c r="O385" s="32">
        <v>50</v>
      </c>
      <c r="P385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4"/>
      <c r="V385" s="34"/>
      <c r="W385" s="35" t="s">
        <v>69</v>
      </c>
      <c r="X385" s="541">
        <v>41</v>
      </c>
      <c r="Y385" s="542">
        <f t="shared" ref="Y385:Y393" si="36">IFERROR(IF(X385="",0,CEILING((X385/$H385),1)*$H385),"")</f>
        <v>43.2</v>
      </c>
      <c r="Z385" s="36">
        <f>IFERROR(IF(Y385=0,"",ROUNDUP(Y385/H385,0)*0.00902),"")</f>
        <v>7.2160000000000002E-2</v>
      </c>
      <c r="AA385" s="56"/>
      <c r="AB385" s="57"/>
      <c r="AC385" s="427" t="s">
        <v>590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42.594444444444449</v>
      </c>
      <c r="BN385" s="64">
        <f t="shared" ref="BN385:BN393" si="38">IFERROR(Y385*I385/H385,"0")</f>
        <v>44.88</v>
      </c>
      <c r="BO385" s="64">
        <f t="shared" ref="BO385:BO393" si="39">IFERROR(1/J385*(X385/H385),"0")</f>
        <v>5.7519640852974181E-2</v>
      </c>
      <c r="BP385" s="64">
        <f t="shared" ref="BP385:BP393" si="40">IFERROR(1/J385*(Y385/H385),"0")</f>
        <v>6.0606060606060608E-2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56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6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2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53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7.5925925925925917</v>
      </c>
      <c r="Y394" s="543">
        <f>IFERROR(Y385/H385,"0")+IFERROR(Y386/H386,"0")+IFERROR(Y387/H387,"0")+IFERROR(Y388/H388,"0")+IFERROR(Y389/H389,"0")+IFERROR(Y390/H390,"0")+IFERROR(Y391/H391,"0")+IFERROR(Y392/H392,"0")+IFERROR(Y393/H393,"0")</f>
        <v>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7.2160000000000002E-2</v>
      </c>
      <c r="AA394" s="544"/>
      <c r="AB394" s="544"/>
      <c r="AC394" s="544"/>
    </row>
    <row r="395" spans="1:68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53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41</v>
      </c>
      <c r="Y395" s="543">
        <f>IFERROR(SUM(Y385:Y393),"0")</f>
        <v>43.2</v>
      </c>
      <c r="Z395" s="37"/>
      <c r="AA395" s="544"/>
      <c r="AB395" s="544"/>
      <c r="AC395" s="544"/>
    </row>
    <row r="396" spans="1:68" ht="14.25" hidden="1" customHeight="1" x14ac:dyDescent="0.25">
      <c r="A396" s="545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2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53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53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74" t="s">
        <v>618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hidden="1" customHeight="1" x14ac:dyDescent="0.25">
      <c r="A402" s="545" t="s">
        <v>134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2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53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53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45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 t="s">
        <v>198</v>
      </c>
      <c r="M407" s="33" t="s">
        <v>104</v>
      </c>
      <c r="N407" s="33"/>
      <c r="O407" s="32">
        <v>50</v>
      </c>
      <c r="P407" s="5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2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53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53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74" t="s">
        <v>633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hidden="1" customHeight="1" x14ac:dyDescent="0.25">
      <c r="A414" s="545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2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53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53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4" t="s">
        <v>637</v>
      </c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5"/>
      <c r="P418" s="645"/>
      <c r="Q418" s="645"/>
      <c r="R418" s="645"/>
      <c r="S418" s="645"/>
      <c r="T418" s="645"/>
      <c r="U418" s="645"/>
      <c r="V418" s="645"/>
      <c r="W418" s="645"/>
      <c r="X418" s="645"/>
      <c r="Y418" s="645"/>
      <c r="Z418" s="645"/>
      <c r="AA418" s="48"/>
      <c r="AB418" s="48"/>
      <c r="AC418" s="48"/>
    </row>
    <row r="419" spans="1:68" ht="16.5" hidden="1" customHeight="1" x14ac:dyDescent="0.25">
      <c r="A419" s="574" t="s">
        <v>637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hidden="1" customHeight="1" x14ac:dyDescent="0.25">
      <c r="A420" s="545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4"/>
      <c r="V421" s="34"/>
      <c r="W421" s="35" t="s">
        <v>69</v>
      </c>
      <c r="X421" s="541">
        <v>51</v>
      </c>
      <c r="Y421" s="542">
        <f t="shared" ref="Y421:Y431" si="42">IFERROR(IF(X421="",0,CEILING((X421/$H421),1)*$H421),"")</f>
        <v>52.800000000000004</v>
      </c>
      <c r="Z421" s="36">
        <f t="shared" ref="Z421:Z426" si="43">IFERROR(IF(Y421=0,"",ROUNDUP(Y421/H421,0)*0.01196),"")</f>
        <v>0.1196</v>
      </c>
      <c r="AA421" s="56"/>
      <c r="AB421" s="57"/>
      <c r="AC421" s="461" t="s">
        <v>105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54.47727272727272</v>
      </c>
      <c r="BN421" s="64">
        <f t="shared" ref="BN421:BN431" si="45">IFERROR(Y421*I421/H421,"0")</f>
        <v>56.400000000000006</v>
      </c>
      <c r="BO421" s="64">
        <f t="shared" ref="BO421:BO431" si="46">IFERROR(1/J421*(X421/H421),"0")</f>
        <v>9.2875874125874128E-2</v>
      </c>
      <c r="BP421" s="64">
        <f t="shared" ref="BP421:BP431" si="47">IFERROR(1/J421*(Y421/H421),"0")</f>
        <v>9.6153846153846159E-2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7">
        <v>4680115885271</v>
      </c>
      <c r="E422" s="548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4"/>
      <c r="V422" s="34"/>
      <c r="W422" s="35" t="s">
        <v>69</v>
      </c>
      <c r="X422" s="541">
        <v>5</v>
      </c>
      <c r="Y422" s="542">
        <f t="shared" si="42"/>
        <v>5.28</v>
      </c>
      <c r="Z422" s="36">
        <f t="shared" si="43"/>
        <v>1.196E-2</v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5.3409090909090908</v>
      </c>
      <c r="BN422" s="64">
        <f t="shared" si="45"/>
        <v>5.64</v>
      </c>
      <c r="BO422" s="64">
        <f t="shared" si="46"/>
        <v>9.1054778554778559E-3</v>
      </c>
      <c r="BP422" s="64">
        <f t="shared" si="47"/>
        <v>9.6153846153846159E-3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7">
        <v>4680115885226</v>
      </c>
      <c r="E423" s="548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2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4"/>
      <c r="V423" s="34"/>
      <c r="W423" s="35" t="s">
        <v>69</v>
      </c>
      <c r="X423" s="541">
        <v>7</v>
      </c>
      <c r="Y423" s="542">
        <f t="shared" si="42"/>
        <v>10.56</v>
      </c>
      <c r="Z423" s="36">
        <f t="shared" si="43"/>
        <v>2.392E-2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7.4772727272727266</v>
      </c>
      <c r="BN423" s="64">
        <f t="shared" si="45"/>
        <v>11.28</v>
      </c>
      <c r="BO423" s="64">
        <f t="shared" si="46"/>
        <v>1.2747668997668998E-2</v>
      </c>
      <c r="BP423" s="64">
        <f t="shared" si="47"/>
        <v>1.9230769230769232E-2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4301012145</v>
      </c>
      <c r="D424" s="547">
        <v>4607091383522</v>
      </c>
      <c r="E424" s="548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654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2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53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11.931818181818182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13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0.15548000000000001</v>
      </c>
      <c r="AA432" s="544"/>
      <c r="AB432" s="544"/>
      <c r="AC432" s="544"/>
    </row>
    <row r="433" spans="1:68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53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63</v>
      </c>
      <c r="Y433" s="543">
        <f>IFERROR(SUM(Y421:Y431),"0")</f>
        <v>68.64</v>
      </c>
      <c r="Z433" s="37"/>
      <c r="AA433" s="544"/>
      <c r="AB433" s="544"/>
      <c r="AC433" s="544"/>
    </row>
    <row r="434" spans="1:68" ht="14.25" hidden="1" customHeight="1" x14ac:dyDescent="0.25">
      <c r="A434" s="545" t="s">
        <v>134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4"/>
      <c r="V435" s="34"/>
      <c r="W435" s="35" t="s">
        <v>69</v>
      </c>
      <c r="X435" s="541">
        <v>127</v>
      </c>
      <c r="Y435" s="542">
        <f>IFERROR(IF(X435="",0,CEILING((X435/$H435),1)*$H435),"")</f>
        <v>132</v>
      </c>
      <c r="Z435" s="36">
        <f>IFERROR(IF(Y435=0,"",ROUNDUP(Y435/H435,0)*0.01196),"")</f>
        <v>0.29899999999999999</v>
      </c>
      <c r="AA435" s="56"/>
      <c r="AB435" s="57"/>
      <c r="AC435" s="483" t="s">
        <v>668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135.65909090909091</v>
      </c>
      <c r="BN435" s="64">
        <f>IFERROR(Y435*I435/H435,"0")</f>
        <v>140.99999999999997</v>
      </c>
      <c r="BO435" s="64">
        <f>IFERROR(1/J435*(X435/H435),"0")</f>
        <v>0.23127913752913754</v>
      </c>
      <c r="BP435" s="64">
        <f>IFERROR(1/J435*(Y435/H435),"0")</f>
        <v>0.24038461538461539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2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53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24.053030303030301</v>
      </c>
      <c r="Y438" s="543">
        <f>IFERROR(Y435/H435,"0")+IFERROR(Y436/H436,"0")+IFERROR(Y437/H437,"0")</f>
        <v>25</v>
      </c>
      <c r="Z438" s="543">
        <f>IFERROR(IF(Z435="",0,Z435),"0")+IFERROR(IF(Z436="",0,Z436),"0")+IFERROR(IF(Z437="",0,Z437),"0")</f>
        <v>0.29899999999999999</v>
      </c>
      <c r="AA438" s="544"/>
      <c r="AB438" s="544"/>
      <c r="AC438" s="544"/>
    </row>
    <row r="439" spans="1:68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53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127</v>
      </c>
      <c r="Y439" s="543">
        <f>IFERROR(SUM(Y435:Y437),"0")</f>
        <v>132</v>
      </c>
      <c r="Z439" s="37"/>
      <c r="AA439" s="544"/>
      <c r="AB439" s="544"/>
      <c r="AC439" s="544"/>
    </row>
    <row r="440" spans="1:68" ht="14.25" hidden="1" customHeight="1" x14ac:dyDescent="0.25">
      <c r="A440" s="545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4"/>
      <c r="V441" s="34"/>
      <c r="W441" s="35" t="s">
        <v>69</v>
      </c>
      <c r="X441" s="541">
        <v>55</v>
      </c>
      <c r="Y441" s="542">
        <f t="shared" ref="Y441:Y446" si="48">IFERROR(IF(X441="",0,CEILING((X441/$H441),1)*$H441),"")</f>
        <v>58.080000000000005</v>
      </c>
      <c r="Z441" s="36">
        <f>IFERROR(IF(Y441=0,"",ROUNDUP(Y441/H441,0)*0.01196),"")</f>
        <v>0.13156000000000001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58.749999999999993</v>
      </c>
      <c r="BN441" s="64">
        <f t="shared" ref="BN441:BN446" si="50">IFERROR(Y441*I441/H441,"0")</f>
        <v>62.040000000000006</v>
      </c>
      <c r="BO441" s="64">
        <f t="shared" ref="BO441:BO446" si="51">IFERROR(1/J441*(X441/H441),"0")</f>
        <v>0.10016025641025642</v>
      </c>
      <c r="BP441" s="64">
        <f t="shared" ref="BP441:BP446" si="52">IFERROR(1/J441*(Y441/H441),"0")</f>
        <v>0.10576923076923078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4"/>
      <c r="V442" s="34"/>
      <c r="W442" s="35" t="s">
        <v>69</v>
      </c>
      <c r="X442" s="541">
        <v>23</v>
      </c>
      <c r="Y442" s="542">
        <f t="shared" si="48"/>
        <v>26.400000000000002</v>
      </c>
      <c r="Z442" s="36">
        <f>IFERROR(IF(Y442=0,"",ROUNDUP(Y442/H442,0)*0.01196),"")</f>
        <v>5.9799999999999999E-2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24.568181818181817</v>
      </c>
      <c r="BN442" s="64">
        <f t="shared" si="50"/>
        <v>28.200000000000003</v>
      </c>
      <c r="BO442" s="64">
        <f t="shared" si="51"/>
        <v>4.1885198135198129E-2</v>
      </c>
      <c r="BP442" s="64">
        <f t="shared" si="52"/>
        <v>4.807692307692308E-2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4"/>
      <c r="V443" s="34"/>
      <c r="W443" s="35" t="s">
        <v>69</v>
      </c>
      <c r="X443" s="541">
        <v>96</v>
      </c>
      <c r="Y443" s="542">
        <f t="shared" si="48"/>
        <v>100.32000000000001</v>
      </c>
      <c r="Z443" s="36">
        <f>IFERROR(IF(Y443=0,"",ROUNDUP(Y443/H443,0)*0.01196),"")</f>
        <v>0.22724</v>
      </c>
      <c r="AA443" s="56"/>
      <c r="AB443" s="57"/>
      <c r="AC443" s="493" t="s">
        <v>681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102.54545454545453</v>
      </c>
      <c r="BN443" s="64">
        <f t="shared" si="50"/>
        <v>107.16</v>
      </c>
      <c r="BO443" s="64">
        <f t="shared" si="51"/>
        <v>0.17482517482517482</v>
      </c>
      <c r="BP443" s="64">
        <f t="shared" si="52"/>
        <v>0.18269230769230771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4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2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53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32.954545454545453</v>
      </c>
      <c r="Y447" s="543">
        <f>IFERROR(Y441/H441,"0")+IFERROR(Y442/H442,"0")+IFERROR(Y443/H443,"0")+IFERROR(Y444/H444,"0")+IFERROR(Y445/H445,"0")+IFERROR(Y446/H446,"0")</f>
        <v>35</v>
      </c>
      <c r="Z447" s="543">
        <f>IFERROR(IF(Z441="",0,Z441),"0")+IFERROR(IF(Z442="",0,Z442),"0")+IFERROR(IF(Z443="",0,Z443),"0")+IFERROR(IF(Z444="",0,Z444),"0")+IFERROR(IF(Z445="",0,Z445),"0")+IFERROR(IF(Z446="",0,Z446),"0")</f>
        <v>0.41859999999999997</v>
      </c>
      <c r="AA447" s="544"/>
      <c r="AB447" s="544"/>
      <c r="AC447" s="544"/>
    </row>
    <row r="448" spans="1:68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53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174</v>
      </c>
      <c r="Y448" s="543">
        <f>IFERROR(SUM(Y441:Y446),"0")</f>
        <v>184.8</v>
      </c>
      <c r="Z448" s="37"/>
      <c r="AA448" s="544"/>
      <c r="AB448" s="544"/>
      <c r="AC448" s="544"/>
    </row>
    <row r="449" spans="1:68" ht="14.25" hidden="1" customHeight="1" x14ac:dyDescent="0.25">
      <c r="A449" s="545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2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63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2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53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53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4" t="s">
        <v>697</v>
      </c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5"/>
      <c r="P455" s="645"/>
      <c r="Q455" s="645"/>
      <c r="R455" s="645"/>
      <c r="S455" s="645"/>
      <c r="T455" s="645"/>
      <c r="U455" s="645"/>
      <c r="V455" s="645"/>
      <c r="W455" s="645"/>
      <c r="X455" s="645"/>
      <c r="Y455" s="645"/>
      <c r="Z455" s="645"/>
      <c r="AA455" s="48"/>
      <c r="AB455" s="48"/>
      <c r="AC455" s="48"/>
    </row>
    <row r="456" spans="1:68" ht="16.5" hidden="1" customHeight="1" x14ac:dyDescent="0.25">
      <c r="A456" s="574" t="s">
        <v>697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hidden="1" customHeight="1" x14ac:dyDescent="0.25">
      <c r="A457" s="545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2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53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53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45" t="s">
        <v>134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2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53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53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45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2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53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53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45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2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53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53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45" t="s">
        <v>164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2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53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53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74" t="s">
        <v>733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hidden="1" customHeight="1" x14ac:dyDescent="0.25">
      <c r="A485" s="545" t="s">
        <v>134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2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53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53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49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709"/>
      <c r="P489" s="619" t="s">
        <v>737</v>
      </c>
      <c r="Q489" s="620"/>
      <c r="R489" s="620"/>
      <c r="S489" s="620"/>
      <c r="T489" s="620"/>
      <c r="U489" s="620"/>
      <c r="V489" s="621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4090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4181.87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709"/>
      <c r="P490" s="619" t="s">
        <v>738</v>
      </c>
      <c r="Q490" s="620"/>
      <c r="R490" s="620"/>
      <c r="S490" s="620"/>
      <c r="T490" s="620"/>
      <c r="U490" s="620"/>
      <c r="V490" s="621"/>
      <c r="W490" s="37" t="s">
        <v>69</v>
      </c>
      <c r="X490" s="543">
        <f>IFERROR(SUM(BM22:BM486),"0")</f>
        <v>4270.7478405538932</v>
      </c>
      <c r="Y490" s="543">
        <f>IFERROR(SUM(BN22:BN486),"0")</f>
        <v>4367.768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709"/>
      <c r="P491" s="619" t="s">
        <v>739</v>
      </c>
      <c r="Q491" s="620"/>
      <c r="R491" s="620"/>
      <c r="S491" s="620"/>
      <c r="T491" s="620"/>
      <c r="U491" s="620"/>
      <c r="V491" s="621"/>
      <c r="W491" s="37" t="s">
        <v>740</v>
      </c>
      <c r="X491" s="38">
        <f>ROUNDUP(SUM(BO22:BO486),0)</f>
        <v>7</v>
      </c>
      <c r="Y491" s="38">
        <f>ROUNDUP(SUM(BP22:BP486),0)</f>
        <v>7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709"/>
      <c r="P492" s="619" t="s">
        <v>741</v>
      </c>
      <c r="Q492" s="620"/>
      <c r="R492" s="620"/>
      <c r="S492" s="620"/>
      <c r="T492" s="620"/>
      <c r="U492" s="620"/>
      <c r="V492" s="621"/>
      <c r="W492" s="37" t="s">
        <v>69</v>
      </c>
      <c r="X492" s="543">
        <f>GrossWeightTotal+PalletQtyTotal*25</f>
        <v>4445.7478405538932</v>
      </c>
      <c r="Y492" s="543">
        <f>GrossWeightTotalR+PalletQtyTotalR*25</f>
        <v>4542.768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709"/>
      <c r="P493" s="619" t="s">
        <v>742</v>
      </c>
      <c r="Q493" s="620"/>
      <c r="R493" s="620"/>
      <c r="S493" s="620"/>
      <c r="T493" s="620"/>
      <c r="U493" s="620"/>
      <c r="V493" s="621"/>
      <c r="W493" s="37" t="s">
        <v>740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546.33649710404097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563</v>
      </c>
      <c r="Z493" s="37"/>
      <c r="AA493" s="544"/>
      <c r="AB493" s="544"/>
      <c r="AC493" s="544"/>
    </row>
    <row r="494" spans="1:68" ht="14.25" hidden="1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709"/>
      <c r="P494" s="619" t="s">
        <v>743</v>
      </c>
      <c r="Q494" s="620"/>
      <c r="R494" s="620"/>
      <c r="S494" s="620"/>
      <c r="T494" s="620"/>
      <c r="U494" s="620"/>
      <c r="V494" s="621"/>
      <c r="W494" s="39" t="s">
        <v>744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7.2454500000000008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0" t="s">
        <v>97</v>
      </c>
      <c r="D496" s="667"/>
      <c r="E496" s="667"/>
      <c r="F496" s="667"/>
      <c r="G496" s="667"/>
      <c r="H496" s="635"/>
      <c r="I496" s="590" t="s">
        <v>257</v>
      </c>
      <c r="J496" s="667"/>
      <c r="K496" s="667"/>
      <c r="L496" s="667"/>
      <c r="M496" s="667"/>
      <c r="N496" s="667"/>
      <c r="O496" s="667"/>
      <c r="P496" s="667"/>
      <c r="Q496" s="667"/>
      <c r="R496" s="635"/>
      <c r="S496" s="590" t="s">
        <v>535</v>
      </c>
      <c r="T496" s="635"/>
      <c r="U496" s="590" t="s">
        <v>586</v>
      </c>
      <c r="V496" s="667"/>
      <c r="W496" s="635"/>
      <c r="X496" s="538" t="s">
        <v>637</v>
      </c>
      <c r="Y496" s="590" t="s">
        <v>697</v>
      </c>
      <c r="Z496" s="635"/>
      <c r="AB496" s="52"/>
      <c r="AC496" s="52"/>
      <c r="AF496" s="539"/>
    </row>
    <row r="497" spans="1:32" ht="14.25" customHeight="1" thickTop="1" x14ac:dyDescent="0.2">
      <c r="A497" s="846" t="s">
        <v>746</v>
      </c>
      <c r="B497" s="590" t="s">
        <v>63</v>
      </c>
      <c r="C497" s="590" t="s">
        <v>98</v>
      </c>
      <c r="D497" s="590" t="s">
        <v>115</v>
      </c>
      <c r="E497" s="590" t="s">
        <v>171</v>
      </c>
      <c r="F497" s="590" t="s">
        <v>190</v>
      </c>
      <c r="G497" s="590" t="s">
        <v>222</v>
      </c>
      <c r="H497" s="590" t="s">
        <v>97</v>
      </c>
      <c r="I497" s="590" t="s">
        <v>258</v>
      </c>
      <c r="J497" s="590" t="s">
        <v>299</v>
      </c>
      <c r="K497" s="590" t="s">
        <v>359</v>
      </c>
      <c r="L497" s="590" t="s">
        <v>401</v>
      </c>
      <c r="M497" s="590" t="s">
        <v>417</v>
      </c>
      <c r="N497" s="539"/>
      <c r="O497" s="590" t="s">
        <v>428</v>
      </c>
      <c r="P497" s="590" t="s">
        <v>437</v>
      </c>
      <c r="Q497" s="590" t="s">
        <v>447</v>
      </c>
      <c r="R497" s="590" t="s">
        <v>525</v>
      </c>
      <c r="S497" s="590" t="s">
        <v>536</v>
      </c>
      <c r="T497" s="590" t="s">
        <v>570</v>
      </c>
      <c r="U497" s="590" t="s">
        <v>587</v>
      </c>
      <c r="V497" s="590" t="s">
        <v>618</v>
      </c>
      <c r="W497" s="590" t="s">
        <v>633</v>
      </c>
      <c r="X497" s="590" t="s">
        <v>637</v>
      </c>
      <c r="Y497" s="590" t="s">
        <v>697</v>
      </c>
      <c r="Z497" s="590" t="s">
        <v>733</v>
      </c>
      <c r="AB497" s="52"/>
      <c r="AC497" s="52"/>
      <c r="AF497" s="539"/>
    </row>
    <row r="498" spans="1:32" ht="13.5" customHeight="1" thickBot="1" x14ac:dyDescent="0.25">
      <c r="A498" s="847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9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18.5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8</v>
      </c>
      <c r="E499" s="46">
        <f>IFERROR(Y86*1,"0")+IFERROR(Y87*1,"0")+IFERROR(Y88*1,"0")+IFERROR(Y92*1,"0")+IFERROR(Y93*1,"0")+IFERROR(Y94*1,"0")+IFERROR(Y95*1,"0")</f>
        <v>16.2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108.60000000000001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192.3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673.80000000000007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5.67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72.16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2610</v>
      </c>
      <c r="T499" s="46">
        <f>IFERROR(Y368*1,"0")+IFERROR(Y369*1,"0")+IFERROR(Y373*1,"0")+IFERROR(Y374*1,"0")+IFERROR(Y378*1,"0")+IFERROR(Y379*1,"0")</f>
        <v>48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43.2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385.43999999999994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73"/>
        <filter val="11,00"/>
        <filter val="11,93"/>
        <filter val="127,00"/>
        <filter val="139,07"/>
        <filter val="14,00"/>
        <filter val="17,00"/>
        <filter val="174,00"/>
        <filter val="18,00"/>
        <filter val="180,00"/>
        <filter val="190,00"/>
        <filter val="195,00"/>
        <filter val="2 086,00"/>
        <filter val="2,00"/>
        <filter val="2,22"/>
        <filter val="20,00"/>
        <filter val="22,00"/>
        <filter val="23,00"/>
        <filter val="24,00"/>
        <filter val="24,05"/>
        <filter val="282,00"/>
        <filter val="290,00"/>
        <filter val="3,62"/>
        <filter val="30,00"/>
        <filter val="32,93"/>
        <filter val="32,95"/>
        <filter val="342,00"/>
        <filter val="375,00"/>
        <filter val="4 090,00"/>
        <filter val="4 270,75"/>
        <filter val="4 445,75"/>
        <filter val="4,00"/>
        <filter val="4,24"/>
        <filter val="4,59"/>
        <filter val="41,00"/>
        <filter val="46,00"/>
        <filter val="48,00"/>
        <filter val="49,00"/>
        <filter val="494,00"/>
        <filter val="5,00"/>
        <filter val="51,00"/>
        <filter val="546,34"/>
        <filter val="55,00"/>
        <filter val="56,00"/>
        <filter val="57,00"/>
        <filter val="6,28"/>
        <filter val="63,00"/>
        <filter val="66,19"/>
        <filter val="69,44"/>
        <filter val="7"/>
        <filter val="7,00"/>
        <filter val="7,59"/>
        <filter val="707,00"/>
        <filter val="74,00"/>
        <filter val="747,00"/>
        <filter val="79,00"/>
        <filter val="8,00"/>
        <filter val="8,41"/>
        <filter val="81,00"/>
        <filter val="84,00"/>
        <filter val="9,17"/>
        <filter val="96,00"/>
        <filter val="99,91"/>
      </filters>
    </filterColumn>
    <filterColumn colId="29" showButton="0"/>
    <filterColumn colId="30" showButton="0"/>
  </autoFilter>
  <mergeCells count="874"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U17:V17"/>
    <mergeCell ref="Y17:Y18"/>
    <mergeCell ref="A33:Z33"/>
    <mergeCell ref="P22:T22"/>
    <mergeCell ref="Z17:Z18"/>
    <mergeCell ref="G17:G18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X17:X18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P410:T410"/>
    <mergeCell ref="P385:T385"/>
    <mergeCell ref="A484:Z484"/>
    <mergeCell ref="A479:Z479"/>
    <mergeCell ref="P373:T373"/>
    <mergeCell ref="P307:T307"/>
    <mergeCell ref="A487:O488"/>
    <mergeCell ref="P473:V473"/>
    <mergeCell ref="A456:Z456"/>
    <mergeCell ref="P225:T225"/>
    <mergeCell ref="D186:E186"/>
    <mergeCell ref="P405:V405"/>
    <mergeCell ref="A401:Z401"/>
    <mergeCell ref="P57:V57"/>
    <mergeCell ref="D159:E159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H5:M5"/>
    <mergeCell ref="P31:V31"/>
    <mergeCell ref="D212:E212"/>
    <mergeCell ref="D317:E317"/>
    <mergeCell ref="A341:Z341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P52:T52"/>
    <mergeCell ref="D108:E108"/>
    <mergeCell ref="D316:E316"/>
    <mergeCell ref="P273:T273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D203:E203"/>
    <mergeCell ref="P232:T232"/>
    <mergeCell ref="P159:T159"/>
    <mergeCell ref="H17:H18"/>
    <mergeCell ref="A146:Z146"/>
    <mergeCell ref="D42:E42"/>
    <mergeCell ref="P216:V21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P26:T26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A14:M14"/>
    <mergeCell ref="P324:T324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P35:V35"/>
    <mergeCell ref="P399:V399"/>
    <mergeCell ref="P127:V127"/>
    <mergeCell ref="P153:T153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477:V477"/>
    <mergeCell ref="P476:T476"/>
    <mergeCell ref="P471:T471"/>
    <mergeCell ref="D486:E486"/>
    <mergeCell ref="P452:T452"/>
    <mergeCell ref="D472:E472"/>
    <mergeCell ref="P453:V453"/>
    <mergeCell ref="P481:T481"/>
    <mergeCell ref="P480:T480"/>
    <mergeCell ref="P491:V491"/>
    <mergeCell ref="P338:V338"/>
    <mergeCell ref="P313:V313"/>
    <mergeCell ref="P326:V326"/>
    <mergeCell ref="P330:T330"/>
    <mergeCell ref="D267:E26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P443:T443"/>
    <mergeCell ref="A281:O282"/>
    <mergeCell ref="P249:T249"/>
    <mergeCell ref="D363:E363"/>
    <mergeCell ref="D410:E410"/>
    <mergeCell ref="A334:Z334"/>
    <mergeCell ref="D297:E297"/>
    <mergeCell ref="A350:O351"/>
    <mergeCell ref="P391:T391"/>
    <mergeCell ref="P220:T220"/>
    <mergeCell ref="D408:E40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P188:V188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D197:E197"/>
    <mergeCell ref="D53:E53"/>
    <mergeCell ref="A84:Z84"/>
    <mergeCell ref="P96:V96"/>
    <mergeCell ref="A50:Z50"/>
    <mergeCell ref="W17:W18"/>
    <mergeCell ref="P90:V90"/>
    <mergeCell ref="D142:E142"/>
    <mergeCell ref="P407:T407"/>
    <mergeCell ref="P259:T259"/>
    <mergeCell ref="A216:O217"/>
    <mergeCell ref="P86:T86"/>
    <mergeCell ref="P328:T328"/>
    <mergeCell ref="P213:T213"/>
    <mergeCell ref="A47:O48"/>
    <mergeCell ref="P166:T166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A352:Z352"/>
    <mergeCell ref="A270:Z270"/>
    <mergeCell ref="H9:I9"/>
    <mergeCell ref="P24:V24"/>
    <mergeCell ref="A49:Z49"/>
    <mergeCell ref="P260:V260"/>
    <mergeCell ref="P89:V89"/>
    <mergeCell ref="P389:T389"/>
    <mergeCell ref="A383:Z383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  <mergeCell ref="P81:T81"/>
    <mergeCell ref="P56:T5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6 X92 X100 X102 X113 X115 X163 X165:X166 X196:X197 X199 X210 X212:X215 X273:X274 X316 X343:X346 X353 X378 X385 X407 X423 X426 X435 X441:X443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2025-11-05T11:17:46Z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