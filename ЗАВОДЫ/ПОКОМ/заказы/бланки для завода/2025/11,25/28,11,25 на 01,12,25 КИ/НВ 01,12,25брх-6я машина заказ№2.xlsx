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FB22D2-AB1F-430B-AD80-6906279223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Y354" i="1" s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Y338" i="1" s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Y171" i="1" s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H499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P26" i="1"/>
  <c r="X24" i="1"/>
  <c r="X489" i="1" s="1"/>
  <c r="X23" i="1"/>
  <c r="BO22" i="1"/>
  <c r="X491" i="1" s="1"/>
  <c r="BM22" i="1"/>
  <c r="Y22" i="1"/>
  <c r="B499" i="1" s="1"/>
  <c r="P22" i="1"/>
  <c r="H10" i="1"/>
  <c r="A9" i="1"/>
  <c r="F10" i="1" s="1"/>
  <c r="D7" i="1"/>
  <c r="Q6" i="1"/>
  <c r="P2" i="1"/>
  <c r="BP27" i="1" l="1"/>
  <c r="BN27" i="1"/>
  <c r="Z27" i="1"/>
  <c r="BP66" i="1"/>
  <c r="BN66" i="1"/>
  <c r="Z66" i="1"/>
  <c r="BP101" i="1"/>
  <c r="BN101" i="1"/>
  <c r="Z101" i="1"/>
  <c r="BP145" i="1"/>
  <c r="BN145" i="1"/>
  <c r="Z145" i="1"/>
  <c r="BP195" i="1"/>
  <c r="BN195" i="1"/>
  <c r="Z195" i="1"/>
  <c r="BP218" i="1"/>
  <c r="BN218" i="1"/>
  <c r="Z218" i="1"/>
  <c r="BP249" i="1"/>
  <c r="BN249" i="1"/>
  <c r="Z249" i="1"/>
  <c r="BP290" i="1"/>
  <c r="BN290" i="1"/>
  <c r="Z290" i="1"/>
  <c r="BP316" i="1"/>
  <c r="BN316" i="1"/>
  <c r="Z316" i="1"/>
  <c r="BP320" i="1"/>
  <c r="BN320" i="1"/>
  <c r="Z320" i="1"/>
  <c r="BP424" i="1"/>
  <c r="BN424" i="1"/>
  <c r="Z424" i="1"/>
  <c r="BP450" i="1"/>
  <c r="BN450" i="1"/>
  <c r="Z450" i="1"/>
  <c r="D499" i="1"/>
  <c r="BP54" i="1"/>
  <c r="BN54" i="1"/>
  <c r="Z54" i="1"/>
  <c r="BP86" i="1"/>
  <c r="BN86" i="1"/>
  <c r="Z86" i="1"/>
  <c r="Y121" i="1"/>
  <c r="Y120" i="1"/>
  <c r="BP119" i="1"/>
  <c r="BN119" i="1"/>
  <c r="Z119" i="1"/>
  <c r="Z120" i="1" s="1"/>
  <c r="BP124" i="1"/>
  <c r="BN124" i="1"/>
  <c r="Z124" i="1"/>
  <c r="BP174" i="1"/>
  <c r="BN174" i="1"/>
  <c r="Z174" i="1"/>
  <c r="BP207" i="1"/>
  <c r="BN207" i="1"/>
  <c r="Z207" i="1"/>
  <c r="BP231" i="1"/>
  <c r="BN231" i="1"/>
  <c r="Z231" i="1"/>
  <c r="BP263" i="1"/>
  <c r="BN263" i="1"/>
  <c r="Z263" i="1"/>
  <c r="BP302" i="1"/>
  <c r="BN302" i="1"/>
  <c r="Z302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X490" i="1"/>
  <c r="X492" i="1" s="1"/>
  <c r="X493" i="1"/>
  <c r="Y148" i="1"/>
  <c r="Y177" i="1"/>
  <c r="Y204" i="1"/>
  <c r="Y234" i="1"/>
  <c r="Y325" i="1"/>
  <c r="BP99" i="1"/>
  <c r="BN99" i="1"/>
  <c r="Z99" i="1"/>
  <c r="BP115" i="1"/>
  <c r="BN115" i="1"/>
  <c r="Z115" i="1"/>
  <c r="BP141" i="1"/>
  <c r="BN141" i="1"/>
  <c r="Z141" i="1"/>
  <c r="BP163" i="1"/>
  <c r="BN163" i="1"/>
  <c r="Z163" i="1"/>
  <c r="BP170" i="1"/>
  <c r="BN170" i="1"/>
  <c r="Z170" i="1"/>
  <c r="BP191" i="1"/>
  <c r="BN191" i="1"/>
  <c r="Z191" i="1"/>
  <c r="BP201" i="1"/>
  <c r="BN201" i="1"/>
  <c r="Z201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79" i="1"/>
  <c r="BN279" i="1"/>
  <c r="Z279" i="1"/>
  <c r="BP283" i="1"/>
  <c r="BN283" i="1"/>
  <c r="Z283" i="1"/>
  <c r="Y31" i="1"/>
  <c r="Z29" i="1"/>
  <c r="BN29" i="1"/>
  <c r="C499" i="1"/>
  <c r="Z52" i="1"/>
  <c r="BN52" i="1"/>
  <c r="Z56" i="1"/>
  <c r="BN56" i="1"/>
  <c r="Y64" i="1"/>
  <c r="Z62" i="1"/>
  <c r="BN62" i="1"/>
  <c r="Z68" i="1"/>
  <c r="BN68" i="1"/>
  <c r="Z73" i="1"/>
  <c r="BN73" i="1"/>
  <c r="Z79" i="1"/>
  <c r="BN79" i="1"/>
  <c r="BP79" i="1"/>
  <c r="Z92" i="1"/>
  <c r="BN92" i="1"/>
  <c r="BP107" i="1"/>
  <c r="BN107" i="1"/>
  <c r="Z107" i="1"/>
  <c r="BP130" i="1"/>
  <c r="BN130" i="1"/>
  <c r="Z130" i="1"/>
  <c r="BP147" i="1"/>
  <c r="BN147" i="1"/>
  <c r="Z147" i="1"/>
  <c r="BP166" i="1"/>
  <c r="BN166" i="1"/>
  <c r="Z166" i="1"/>
  <c r="BP176" i="1"/>
  <c r="BN176" i="1"/>
  <c r="Z176" i="1"/>
  <c r="BP197" i="1"/>
  <c r="BN197" i="1"/>
  <c r="Z197" i="1"/>
  <c r="BP209" i="1"/>
  <c r="BN209" i="1"/>
  <c r="Z209" i="1"/>
  <c r="BP225" i="1"/>
  <c r="BN225" i="1"/>
  <c r="Z225" i="1"/>
  <c r="BP233" i="1"/>
  <c r="BN233" i="1"/>
  <c r="Z233" i="1"/>
  <c r="Y260" i="1"/>
  <c r="BP254" i="1"/>
  <c r="BN254" i="1"/>
  <c r="Z254" i="1"/>
  <c r="BP265" i="1"/>
  <c r="BN265" i="1"/>
  <c r="Z265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36" i="1"/>
  <c r="Y149" i="1"/>
  <c r="Y172" i="1"/>
  <c r="Y178" i="1"/>
  <c r="Y203" i="1"/>
  <c r="Y216" i="1"/>
  <c r="Y251" i="1"/>
  <c r="Y275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05" i="1"/>
  <c r="Y454" i="1"/>
  <c r="Y453" i="1"/>
  <c r="H9" i="1"/>
  <c r="A10" i="1"/>
  <c r="Y24" i="1"/>
  <c r="Y32" i="1"/>
  <c r="Y36" i="1"/>
  <c r="Y44" i="1"/>
  <c r="Y48" i="1"/>
  <c r="Y57" i="1"/>
  <c r="Y63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Y127" i="1"/>
  <c r="BP125" i="1"/>
  <c r="BN125" i="1"/>
  <c r="Z125" i="1"/>
  <c r="Z126" i="1" s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Y69" i="1"/>
  <c r="Z67" i="1"/>
  <c r="BN67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F499" i="1"/>
  <c r="Y103" i="1"/>
  <c r="G499" i="1"/>
  <c r="Y126" i="1"/>
  <c r="Z129" i="1"/>
  <c r="Z131" i="1" s="1"/>
  <c r="BN129" i="1"/>
  <c r="BP129" i="1"/>
  <c r="Y132" i="1"/>
  <c r="Z135" i="1"/>
  <c r="Z136" i="1" s="1"/>
  <c r="BN135" i="1"/>
  <c r="BP135" i="1"/>
  <c r="Z140" i="1"/>
  <c r="BN140" i="1"/>
  <c r="BP140" i="1"/>
  <c r="Y143" i="1"/>
  <c r="Z146" i="1"/>
  <c r="BN146" i="1"/>
  <c r="BP146" i="1"/>
  <c r="I499" i="1"/>
  <c r="Y159" i="1"/>
  <c r="Z162" i="1"/>
  <c r="BN162" i="1"/>
  <c r="BP162" i="1"/>
  <c r="Z164" i="1"/>
  <c r="BN164" i="1"/>
  <c r="Z165" i="1"/>
  <c r="BN165" i="1"/>
  <c r="Z167" i="1"/>
  <c r="BN167" i="1"/>
  <c r="Z169" i="1"/>
  <c r="BN169" i="1"/>
  <c r="Z175" i="1"/>
  <c r="BN175" i="1"/>
  <c r="BP175" i="1"/>
  <c r="J499" i="1"/>
  <c r="Z186" i="1"/>
  <c r="Z187" i="1" s="1"/>
  <c r="BN186" i="1"/>
  <c r="BP186" i="1"/>
  <c r="Y187" i="1"/>
  <c r="Z190" i="1"/>
  <c r="Z192" i="1" s="1"/>
  <c r="BN190" i="1"/>
  <c r="BP190" i="1"/>
  <c r="Y193" i="1"/>
  <c r="Z196" i="1"/>
  <c r="BN196" i="1"/>
  <c r="BP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Y142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Z259" i="1" s="1"/>
  <c r="BP266" i="1"/>
  <c r="BN266" i="1"/>
  <c r="Z266" i="1"/>
  <c r="Y268" i="1"/>
  <c r="O499" i="1"/>
  <c r="Y274" i="1"/>
  <c r="BP271" i="1"/>
  <c r="BN271" i="1"/>
  <c r="Z271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BP329" i="1"/>
  <c r="BN329" i="1"/>
  <c r="Z329" i="1"/>
  <c r="Y331" i="1"/>
  <c r="R499" i="1"/>
  <c r="Y337" i="1"/>
  <c r="BP334" i="1"/>
  <c r="BN334" i="1"/>
  <c r="Z334" i="1"/>
  <c r="Z337" i="1" s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374" i="1"/>
  <c r="Z473" i="1"/>
  <c r="Z324" i="1"/>
  <c r="Z274" i="1"/>
  <c r="Z203" i="1"/>
  <c r="Z177" i="1"/>
  <c r="Z148" i="1"/>
  <c r="Z142" i="1"/>
  <c r="Z88" i="1"/>
  <c r="Z81" i="1"/>
  <c r="Z76" i="1"/>
  <c r="Z69" i="1"/>
  <c r="Z43" i="1"/>
  <c r="Z31" i="1"/>
  <c r="Z447" i="1"/>
  <c r="Z411" i="1"/>
  <c r="Z250" i="1"/>
  <c r="Z103" i="1"/>
  <c r="Z462" i="1"/>
  <c r="Z304" i="1"/>
  <c r="Z294" i="1"/>
  <c r="Z215" i="1"/>
  <c r="Z171" i="1"/>
  <c r="Z394" i="1"/>
  <c r="Z311" i="1"/>
  <c r="Z267" i="1"/>
  <c r="Z57" i="1"/>
  <c r="Y493" i="1"/>
  <c r="Y490" i="1"/>
  <c r="Z116" i="1"/>
  <c r="Z95" i="1"/>
  <c r="Z432" i="1"/>
  <c r="Z234" i="1"/>
  <c r="Z349" i="1"/>
  <c r="Z330" i="1"/>
  <c r="Y491" i="1"/>
  <c r="Z494" i="1"/>
  <c r="Y489" i="1"/>
  <c r="Y492" i="1" l="1"/>
</calcChain>
</file>

<file path=xl/sharedStrings.xml><?xml version="1.0" encoding="utf-8"?>
<sst xmlns="http://schemas.openxmlformats.org/spreadsheetml/2006/main" count="2201" uniqueCount="763">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</sst>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45992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0.58333333333333337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86</v>
      </c>
      <c r="Y40" s="542">
        <f>IFERROR(IF(X40="",0,CEILING((X40/$H40),1)*$H40),"")</f>
        <v>86.4</v>
      </c>
      <c r="Z40" s="36">
        <f>IFERROR(IF(Y40=0,"",ROUNDUP(Y40/H40,0)*0.01898),"")</f>
        <v>0.15184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89.264814814814812</v>
      </c>
      <c r="BN40" s="64">
        <f>IFERROR(Y40*I40/H40,"0")</f>
        <v>89.68</v>
      </c>
      <c r="BO40" s="64">
        <f>IFERROR(1/J40*(X40/H40),"0")</f>
        <v>0.12442129629629629</v>
      </c>
      <c r="BP40" s="64">
        <f>IFERROR(1/J40*(Y40/H40),"0")</f>
        <v>0.125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22</v>
      </c>
      <c r="Y42" s="542">
        <f>IFERROR(IF(X42="",0,CEILING((X42/$H42),1)*$H42),"")</f>
        <v>22.200000000000003</v>
      </c>
      <c r="Z42" s="36">
        <f>IFERROR(IF(Y42=0,"",ROUNDUP(Y42/H42,0)*0.00902),"")</f>
        <v>5.4120000000000001E-2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23.129729729729728</v>
      </c>
      <c r="BN42" s="64">
        <f>IFERROR(Y42*I42/H42,"0")</f>
        <v>23.340000000000003</v>
      </c>
      <c r="BO42" s="64">
        <f>IFERROR(1/J42*(X42/H42),"0")</f>
        <v>4.5045045045045043E-2</v>
      </c>
      <c r="BP42" s="64">
        <f>IFERROR(1/J42*(Y42/H42),"0")</f>
        <v>4.5454545454545463E-2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13.908908908908909</v>
      </c>
      <c r="Y43" s="543">
        <f>IFERROR(Y40/H40,"0")+IFERROR(Y41/H41,"0")+IFERROR(Y42/H42,"0")</f>
        <v>14</v>
      </c>
      <c r="Z43" s="543">
        <f>IFERROR(IF(Z40="",0,Z40),"0")+IFERROR(IF(Z41="",0,Z41),"0")+IFERROR(IF(Z42="",0,Z42),"0")</f>
        <v>0.20596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108</v>
      </c>
      <c r="Y44" s="543">
        <f>IFERROR(SUM(Y40:Y42),"0")</f>
        <v>108.60000000000001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2</v>
      </c>
      <c r="Y54" s="542">
        <f t="shared" si="0"/>
        <v>4</v>
      </c>
      <c r="Z54" s="36">
        <f>IFERROR(IF(Y54=0,"",ROUNDUP(Y54/H54,0)*0.00902),"")</f>
        <v>9.0200000000000002E-3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2.0950000000000002</v>
      </c>
      <c r="BN54" s="64">
        <f t="shared" si="2"/>
        <v>4.1900000000000004</v>
      </c>
      <c r="BO54" s="64">
        <f t="shared" si="3"/>
        <v>3.787878787878788E-3</v>
      </c>
      <c r="BP54" s="64">
        <f t="shared" si="4"/>
        <v>7.575757575757576E-3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0.5</v>
      </c>
      <c r="Y57" s="543">
        <f>IFERROR(Y51/H51,"0")+IFERROR(Y52/H52,"0")+IFERROR(Y53/H53,"0")+IFERROR(Y54/H54,"0")+IFERROR(Y55/H55,"0")+IFERROR(Y56/H56,"0")</f>
        <v>1</v>
      </c>
      <c r="Z57" s="543">
        <f>IFERROR(IF(Z51="",0,Z51),"0")+IFERROR(IF(Z52="",0,Z52),"0")+IFERROR(IF(Z53="",0,Z53),"0")+IFERROR(IF(Z54="",0,Z54),"0")+IFERROR(IF(Z55="",0,Z55),"0")+IFERROR(IF(Z56="",0,Z56),"0")</f>
        <v>9.0200000000000002E-3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2</v>
      </c>
      <c r="Y58" s="543">
        <f>IFERROR(SUM(Y51:Y56),"0")</f>
        <v>4</v>
      </c>
      <c r="Z58" s="37"/>
      <c r="AA58" s="544"/>
      <c r="AB58" s="544"/>
      <c r="AC58" s="544"/>
    </row>
    <row r="59" spans="1:68" ht="14.25" hidden="1" customHeight="1" x14ac:dyDescent="0.25">
      <c r="A59" s="561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157</v>
      </c>
      <c r="Y85" s="542">
        <f>IFERROR(IF(X85="",0,CEILING((X85/$H85),1)*$H85),"")</f>
        <v>162</v>
      </c>
      <c r="Z85" s="36">
        <f>IFERROR(IF(Y85=0,"",ROUNDUP(Y85/H85,0)*0.01898),"")</f>
        <v>0.28470000000000001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162.96018518518517</v>
      </c>
      <c r="BN85" s="64">
        <f>IFERROR(Y85*I85/H85,"0")</f>
        <v>168.15</v>
      </c>
      <c r="BO85" s="64">
        <f>IFERROR(1/J85*(X85/H85),"0")</f>
        <v>0.22714120370370369</v>
      </c>
      <c r="BP85" s="64">
        <f>IFERROR(1/J85*(Y85/H85),"0")</f>
        <v>0.23437499999999997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17</v>
      </c>
      <c r="Y87" s="542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17.71777777777778</v>
      </c>
      <c r="BN87" s="64">
        <f>IFERROR(Y87*I87/H87,"0")</f>
        <v>18.760000000000002</v>
      </c>
      <c r="BO87" s="64">
        <f>IFERROR(1/J87*(X87/H87),"0")</f>
        <v>2.8619528619528621E-2</v>
      </c>
      <c r="BP87" s="64">
        <f>IFERROR(1/J87*(Y87/H87),"0")</f>
        <v>3.0303030303030304E-2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18.314814814814813</v>
      </c>
      <c r="Y88" s="543">
        <f>IFERROR(Y85/H85,"0")+IFERROR(Y86/H86,"0")+IFERROR(Y87/H87,"0")</f>
        <v>19</v>
      </c>
      <c r="Z88" s="543">
        <f>IFERROR(IF(Z85="",0,Z85),"0")+IFERROR(IF(Z86="",0,Z86),"0")+IFERROR(IF(Z87="",0,Z87),"0")</f>
        <v>0.32078000000000001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174</v>
      </c>
      <c r="Y89" s="543">
        <f>IFERROR(SUM(Y85:Y87),"0")</f>
        <v>180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177</v>
      </c>
      <c r="B91" s="54" t="s">
        <v>178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20</v>
      </c>
      <c r="Y93" s="542">
        <f>IFERROR(IF(X93="",0,CEILING((X93/$H93),1)*$H93),"")</f>
        <v>21.6</v>
      </c>
      <c r="Z93" s="36">
        <f>IFERROR(IF(Y93=0,"",ROUNDUP(Y93/H93,0)*0.00651),"")</f>
        <v>5.2080000000000001E-2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21.866666666666664</v>
      </c>
      <c r="BN93" s="64">
        <f>IFERROR(Y93*I93/H93,"0")</f>
        <v>23.616</v>
      </c>
      <c r="BO93" s="64">
        <f>IFERROR(1/J93*(X93/H93),"0")</f>
        <v>4.0700040700040699E-2</v>
      </c>
      <c r="BP93" s="64">
        <f>IFERROR(1/J93*(Y93/H93),"0")</f>
        <v>4.3956043956043959E-2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7.4074074074074066</v>
      </c>
      <c r="Y95" s="543">
        <f>IFERROR(Y91/H91,"0")+IFERROR(Y92/H92,"0")+IFERROR(Y93/H93,"0")+IFERROR(Y94/H94,"0")</f>
        <v>8</v>
      </c>
      <c r="Z95" s="543">
        <f>IFERROR(IF(Z91="",0,Z91),"0")+IFERROR(IF(Z92="",0,Z92),"0")+IFERROR(IF(Z93="",0,Z93),"0")+IFERROR(IF(Z94="",0,Z94),"0")</f>
        <v>5.2080000000000001E-2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20</v>
      </c>
      <c r="Y96" s="543">
        <f>IFERROR(SUM(Y91:Y94),"0")</f>
        <v>21.6</v>
      </c>
      <c r="Z96" s="37"/>
      <c r="AA96" s="544"/>
      <c r="AB96" s="544"/>
      <c r="AC96" s="544"/>
    </row>
    <row r="97" spans="1:68" ht="16.5" hidden="1" customHeight="1" x14ac:dyDescent="0.25">
      <c r="A97" s="560" t="s">
        <v>188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60</v>
      </c>
      <c r="Y99" s="542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54</v>
      </c>
      <c r="Y101" s="542">
        <f>IFERROR(IF(X101="",0,CEILING((X101/$H101),1)*$H101),"")</f>
        <v>54</v>
      </c>
      <c r="Z101" s="36">
        <f>IFERROR(IF(Y101=0,"",ROUNDUP(Y101/H101,0)*0.00902),"")</f>
        <v>0.10824</v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56.28</v>
      </c>
      <c r="BN101" s="64">
        <f>IFERROR(Y101*I101/H101,"0")</f>
        <v>56.28</v>
      </c>
      <c r="BO101" s="64">
        <f>IFERROR(1/J101*(X101/H101),"0")</f>
        <v>9.0909090909090912E-2</v>
      </c>
      <c r="BP101" s="64">
        <f>IFERROR(1/J101*(Y101/H101),"0")</f>
        <v>9.0909090909090912E-2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17.555555555555557</v>
      </c>
      <c r="Y103" s="543">
        <f>IFERROR(Y99/H99,"0")+IFERROR(Y100/H100,"0")+IFERROR(Y101/H101,"0")+IFERROR(Y102/H102,"0")</f>
        <v>18</v>
      </c>
      <c r="Z103" s="543">
        <f>IFERROR(IF(Z99="",0,Z99),"0")+IFERROR(IF(Z100="",0,Z100),"0")+IFERROR(IF(Z101="",0,Z101),"0")+IFERROR(IF(Z102="",0,Z102),"0")</f>
        <v>0.22212000000000001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114</v>
      </c>
      <c r="Y104" s="543">
        <f>IFERROR(SUM(Y99:Y102),"0")</f>
        <v>118.80000000000001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43</v>
      </c>
      <c r="Y106" s="542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44.632407407407406</v>
      </c>
      <c r="BN106" s="64">
        <f>IFERROR(Y106*I106/H106,"0")</f>
        <v>44.84</v>
      </c>
      <c r="BO106" s="64">
        <f>IFERROR(1/J106*(X106/H106),"0")</f>
        <v>6.2210648148148147E-2</v>
      </c>
      <c r="BP106" s="64">
        <f>IFERROR(1/J106*(Y106/H106),"0")</f>
        <v>6.25E-2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14</v>
      </c>
      <c r="Y108" s="542">
        <f>IFERROR(IF(X108="",0,CEILING((X108/$H108),1)*$H108),"")</f>
        <v>14.399999999999999</v>
      </c>
      <c r="Z108" s="36">
        <f>IFERROR(IF(Y108=0,"",ROUNDUP(Y108/H108,0)*0.00651),"")</f>
        <v>3.9059999999999997E-2</v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15.050000000000002</v>
      </c>
      <c r="BN108" s="64">
        <f>IFERROR(Y108*I108/H108,"0")</f>
        <v>15.479999999999999</v>
      </c>
      <c r="BO108" s="64">
        <f>IFERROR(1/J108*(X108/H108),"0")</f>
        <v>3.2051282051282055E-2</v>
      </c>
      <c r="BP108" s="64">
        <f>IFERROR(1/J108*(Y108/H108),"0")</f>
        <v>3.2967032967032968E-2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9.8148148148148149</v>
      </c>
      <c r="Y109" s="543">
        <f>IFERROR(Y106/H106,"0")+IFERROR(Y107/H107,"0")+IFERROR(Y108/H108,"0")</f>
        <v>10</v>
      </c>
      <c r="Z109" s="543">
        <f>IFERROR(IF(Z106="",0,Z106),"0")+IFERROR(IF(Z107="",0,Z107),"0")+IFERROR(IF(Z108="",0,Z108),"0")</f>
        <v>0.11498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57</v>
      </c>
      <c r="Y110" s="543">
        <f>IFERROR(SUM(Y106:Y108),"0")</f>
        <v>57.6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hidden="1" customHeight="1" x14ac:dyDescent="0.25">
      <c r="A112" s="54" t="s">
        <v>206</v>
      </c>
      <c r="B112" s="54" t="s">
        <v>207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118</v>
      </c>
      <c r="Y114" s="542">
        <f>IFERROR(IF(X114="",0,CEILING((X114/$H114),1)*$H114),"")</f>
        <v>118.80000000000001</v>
      </c>
      <c r="Z114" s="36">
        <f>IFERROR(IF(Y114=0,"",ROUNDUP(Y114/H114,0)*0.00651),"")</f>
        <v>0.28644000000000003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129.01333333333332</v>
      </c>
      <c r="BN114" s="64">
        <f>IFERROR(Y114*I114/H114,"0")</f>
        <v>129.88800000000001</v>
      </c>
      <c r="BO114" s="64">
        <f>IFERROR(1/J114*(X114/H114),"0")</f>
        <v>0.24013024013024015</v>
      </c>
      <c r="BP114" s="64">
        <f>IFERROR(1/J114*(Y114/H114),"0")</f>
        <v>0.24175824175824179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43.703703703703702</v>
      </c>
      <c r="Y116" s="543">
        <f>IFERROR(Y112/H112,"0")+IFERROR(Y113/H113,"0")+IFERROR(Y114/H114,"0")+IFERROR(Y115/H115,"0")</f>
        <v>44</v>
      </c>
      <c r="Z116" s="543">
        <f>IFERROR(IF(Z112="",0,Z112),"0")+IFERROR(IF(Z113="",0,Z113),"0")+IFERROR(IF(Z114="",0,Z114),"0")+IFERROR(IF(Z115="",0,Z115),"0")</f>
        <v>0.28644000000000003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118</v>
      </c>
      <c r="Y117" s="543">
        <f>IFERROR(SUM(Y112:Y115),"0")</f>
        <v>118.80000000000001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196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96</v>
      </c>
      <c r="Y168" s="542">
        <f t="shared" si="5"/>
        <v>96.600000000000009</v>
      </c>
      <c r="Z168" s="36">
        <f>IFERROR(IF(Y168=0,"",ROUNDUP(Y168/H168,0)*0.00502),"")</f>
        <v>0.23092000000000001</v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100.57142857142857</v>
      </c>
      <c r="BN168" s="64">
        <f t="shared" si="7"/>
        <v>101.20000000000002</v>
      </c>
      <c r="BO168" s="64">
        <f t="shared" si="8"/>
        <v>0.19536019536019539</v>
      </c>
      <c r="BP168" s="64">
        <f t="shared" si="9"/>
        <v>0.1965811965811966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45.714285714285715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46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0.23092000000000001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96</v>
      </c>
      <c r="Y172" s="543">
        <f>IFERROR(SUM(Y161:Y170),"0")</f>
        <v>96.600000000000009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1</v>
      </c>
      <c r="Y180" s="542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0.79365079365079361</v>
      </c>
      <c r="Y181" s="543">
        <f>IFERROR(Y180/H180,"0")</f>
        <v>1</v>
      </c>
      <c r="Z181" s="543">
        <f>IFERROR(IF(Z180="",0,Z180),"0")</f>
        <v>5.8999999999999999E-3</v>
      </c>
      <c r="AA181" s="544"/>
      <c r="AB181" s="544"/>
      <c r="AC181" s="544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1</v>
      </c>
      <c r="Y182" s="543">
        <f>IFERROR(SUM(Y180:Y180),"0")</f>
        <v>1.26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72</v>
      </c>
      <c r="Y195" s="542">
        <f t="shared" ref="Y195:Y202" si="10">IFERROR(IF(X195="",0,CEILING((X195/$H195),1)*$H195),"")</f>
        <v>75.600000000000009</v>
      </c>
      <c r="Z195" s="36">
        <f>IFERROR(IF(Y195=0,"",ROUNDUP(Y195/H195,0)*0.00902),"")</f>
        <v>0.12628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74.533333333333331</v>
      </c>
      <c r="BN195" s="64">
        <f t="shared" ref="BN195:BN202" si="12">IFERROR(Y195*I195/H195,"0")</f>
        <v>78.260000000000005</v>
      </c>
      <c r="BO195" s="64">
        <f t="shared" ref="BO195:BO202" si="13">IFERROR(1/J195*(X195/H195),"0")</f>
        <v>0.10101010101010101</v>
      </c>
      <c r="BP195" s="64">
        <f t="shared" ref="BP195:BP202" si="14">IFERROR(1/J195*(Y195/H195),"0")</f>
        <v>0.10606060606060606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75</v>
      </c>
      <c r="Y196" s="542">
        <f t="shared" si="10"/>
        <v>75.600000000000009</v>
      </c>
      <c r="Z196" s="36">
        <f>IFERROR(IF(Y196=0,"",ROUNDUP(Y196/H196,0)*0.00902),"")</f>
        <v>0.12628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77.638888888888886</v>
      </c>
      <c r="BN196" s="64">
        <f t="shared" si="12"/>
        <v>78.260000000000005</v>
      </c>
      <c r="BO196" s="64">
        <f t="shared" si="13"/>
        <v>0.10521885521885521</v>
      </c>
      <c r="BP196" s="64">
        <f t="shared" si="14"/>
        <v>0.10606060606060606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230</v>
      </c>
      <c r="Y198" s="542">
        <f t="shared" si="10"/>
        <v>232.20000000000002</v>
      </c>
      <c r="Z198" s="36">
        <f>IFERROR(IF(Y198=0,"",ROUNDUP(Y198/H198,0)*0.00902),"")</f>
        <v>0.38785999999999998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238.09259259259258</v>
      </c>
      <c r="BN198" s="64">
        <f t="shared" si="12"/>
        <v>240.37</v>
      </c>
      <c r="BO198" s="64">
        <f t="shared" si="13"/>
        <v>0.32267115600448931</v>
      </c>
      <c r="BP198" s="64">
        <f t="shared" si="14"/>
        <v>0.32575757575757575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17</v>
      </c>
      <c r="Y199" s="542">
        <f t="shared" si="10"/>
        <v>18</v>
      </c>
      <c r="Z199" s="36">
        <f>IFERROR(IF(Y199=0,"",ROUNDUP(Y199/H199,0)*0.00502),"")</f>
        <v>5.0200000000000002E-2</v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18.227777777777778</v>
      </c>
      <c r="BN199" s="64">
        <f t="shared" si="12"/>
        <v>19.3</v>
      </c>
      <c r="BO199" s="64">
        <f t="shared" si="13"/>
        <v>4.0360873694207031E-2</v>
      </c>
      <c r="BP199" s="64">
        <f t="shared" si="14"/>
        <v>4.2735042735042736E-2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16</v>
      </c>
      <c r="Y200" s="542">
        <f t="shared" si="10"/>
        <v>16.2</v>
      </c>
      <c r="Z200" s="36">
        <f>IFERROR(IF(Y200=0,"",ROUNDUP(Y200/H200,0)*0.00502),"")</f>
        <v>4.5179999999999998E-2</v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16.888888888888889</v>
      </c>
      <c r="BN200" s="64">
        <f t="shared" si="12"/>
        <v>17.099999999999998</v>
      </c>
      <c r="BO200" s="64">
        <f t="shared" si="13"/>
        <v>3.7986704653371325E-2</v>
      </c>
      <c r="BP200" s="64">
        <f t="shared" si="14"/>
        <v>3.8461538461538464E-2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88.148148148148138</v>
      </c>
      <c r="Y203" s="543">
        <f>IFERROR(Y195/H195,"0")+IFERROR(Y196/H196,"0")+IFERROR(Y197/H197,"0")+IFERROR(Y198/H198,"0")+IFERROR(Y199/H199,"0")+IFERROR(Y200/H200,"0")+IFERROR(Y201/H201,"0")+IFERROR(Y202/H202,"0")</f>
        <v>90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0.73580000000000001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410</v>
      </c>
      <c r="Y204" s="543">
        <f>IFERROR(SUM(Y195:Y202),"0")</f>
        <v>417.6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11</v>
      </c>
      <c r="Y208" s="542">
        <f t="shared" si="15"/>
        <v>17.399999999999999</v>
      </c>
      <c r="Z208" s="36">
        <f>IFERROR(IF(Y208=0,"",ROUNDUP(Y208/H208,0)*0.01898),"")</f>
        <v>3.7960000000000001E-2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11.624597701149428</v>
      </c>
      <c r="BN208" s="64">
        <f t="shared" si="17"/>
        <v>18.388000000000002</v>
      </c>
      <c r="BO208" s="64">
        <f t="shared" si="18"/>
        <v>1.9755747126436782E-2</v>
      </c>
      <c r="BP208" s="64">
        <f t="shared" si="19"/>
        <v>3.125E-2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102</v>
      </c>
      <c r="Y209" s="542">
        <f t="shared" si="15"/>
        <v>103.2</v>
      </c>
      <c r="Z209" s="36">
        <f t="shared" ref="Z209:Z214" si="20">IFERROR(IF(Y209=0,"",ROUNDUP(Y209/H209,0)*0.00651),"")</f>
        <v>0.27993000000000001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113.47499999999999</v>
      </c>
      <c r="BN209" s="64">
        <f t="shared" si="17"/>
        <v>114.81</v>
      </c>
      <c r="BO209" s="64">
        <f t="shared" si="18"/>
        <v>0.23351648351648355</v>
      </c>
      <c r="BP209" s="64">
        <f t="shared" si="19"/>
        <v>0.23626373626373628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191</v>
      </c>
      <c r="Y211" s="542">
        <f t="shared" si="15"/>
        <v>192</v>
      </c>
      <c r="Z211" s="36">
        <f t="shared" si="20"/>
        <v>0.52080000000000004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211.05500000000004</v>
      </c>
      <c r="BN211" s="64">
        <f t="shared" si="17"/>
        <v>212.16000000000003</v>
      </c>
      <c r="BO211" s="64">
        <f t="shared" si="18"/>
        <v>0.43727106227106238</v>
      </c>
      <c r="BP211" s="64">
        <f t="shared" si="19"/>
        <v>0.43956043956043961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105</v>
      </c>
      <c r="Y212" s="542">
        <f t="shared" si="15"/>
        <v>105.6</v>
      </c>
      <c r="Z212" s="36">
        <f t="shared" si="20"/>
        <v>0.28644000000000003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116.02500000000002</v>
      </c>
      <c r="BN212" s="64">
        <f t="shared" si="17"/>
        <v>116.688</v>
      </c>
      <c r="BO212" s="64">
        <f t="shared" si="18"/>
        <v>0.24038461538461539</v>
      </c>
      <c r="BP212" s="64">
        <f t="shared" si="19"/>
        <v>0.24175824175824179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75</v>
      </c>
      <c r="Y213" s="542">
        <f t="shared" si="15"/>
        <v>76.8</v>
      </c>
      <c r="Z213" s="36">
        <f t="shared" si="20"/>
        <v>0.20832000000000001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82.875</v>
      </c>
      <c r="BN213" s="64">
        <f t="shared" si="17"/>
        <v>84.864000000000004</v>
      </c>
      <c r="BO213" s="64">
        <f t="shared" si="18"/>
        <v>0.1717032967032967</v>
      </c>
      <c r="BP213" s="64">
        <f t="shared" si="19"/>
        <v>0.17582417582417584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87</v>
      </c>
      <c r="Y214" s="542">
        <f t="shared" si="15"/>
        <v>88.8</v>
      </c>
      <c r="Z214" s="36">
        <f t="shared" si="20"/>
        <v>0.24087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96.352499999999992</v>
      </c>
      <c r="BN214" s="64">
        <f t="shared" si="17"/>
        <v>98.346000000000004</v>
      </c>
      <c r="BO214" s="64">
        <f t="shared" si="18"/>
        <v>0.19917582417582419</v>
      </c>
      <c r="BP214" s="64">
        <f t="shared" si="19"/>
        <v>0.20329670329670332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234.59770114942529</v>
      </c>
      <c r="Y215" s="543">
        <f>IFERROR(Y206/H206,"0")+IFERROR(Y207/H207,"0")+IFERROR(Y208/H208,"0")+IFERROR(Y209/H209,"0")+IFERROR(Y210/H210,"0")+IFERROR(Y211/H211,"0")+IFERROR(Y212/H212,"0")+IFERROR(Y213/H213,"0")+IFERROR(Y214/H214,"0")</f>
        <v>238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1.5743199999999999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571</v>
      </c>
      <c r="Y216" s="543">
        <f>IFERROR(SUM(Y206:Y214),"0")</f>
        <v>583.80000000000007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13</v>
      </c>
      <c r="Y219" s="542">
        <f>IFERROR(IF(X219="",0,CEILING((X219/$H219),1)*$H219),"")</f>
        <v>14.399999999999999</v>
      </c>
      <c r="Z219" s="36">
        <f>IFERROR(IF(Y219=0,"",ROUNDUP(Y219/H219,0)*0.00651),"")</f>
        <v>3.9059999999999997E-2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14.365</v>
      </c>
      <c r="BN219" s="64">
        <f>IFERROR(Y219*I219/H219,"0")</f>
        <v>15.912000000000001</v>
      </c>
      <c r="BO219" s="64">
        <f>IFERROR(1/J219*(X219/H219),"0")</f>
        <v>2.9761904761904767E-2</v>
      </c>
      <c r="BP219" s="64">
        <f>IFERROR(1/J219*(Y219/H219),"0")</f>
        <v>3.2967032967032968E-2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5.416666666666667</v>
      </c>
      <c r="Y220" s="543">
        <f>IFERROR(Y218/H218,"0")+IFERROR(Y219/H219,"0")</f>
        <v>6</v>
      </c>
      <c r="Z220" s="543">
        <f>IFERROR(IF(Z218="",0,Z218),"0")+IFERROR(IF(Z219="",0,Z219),"0")</f>
        <v>3.9059999999999997E-2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13</v>
      </c>
      <c r="Y221" s="543">
        <f>IFERROR(SUM(Y218:Y219),"0")</f>
        <v>14.399999999999999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40</v>
      </c>
      <c r="Y272" s="542">
        <f>IFERROR(IF(X272="",0,CEILING((X272/$H272),1)*$H272),"")</f>
        <v>40.799999999999997</v>
      </c>
      <c r="Z272" s="36">
        <f>IFERROR(IF(Y272=0,"",ROUNDUP(Y272/H272,0)*0.00651),"")</f>
        <v>0.11067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44.20000000000001</v>
      </c>
      <c r="BN272" s="64">
        <f>IFERROR(Y272*I272/H272,"0")</f>
        <v>45.084000000000003</v>
      </c>
      <c r="BO272" s="64">
        <f>IFERROR(1/J272*(X272/H272),"0")</f>
        <v>9.1575091575091583E-2</v>
      </c>
      <c r="BP272" s="64">
        <f>IFERROR(1/J272*(Y272/H272),"0")</f>
        <v>9.3406593406593408E-2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98</v>
      </c>
      <c r="Y273" s="542">
        <f>IFERROR(IF(X273="",0,CEILING((X273/$H273),1)*$H273),"")</f>
        <v>98.399999999999991</v>
      </c>
      <c r="Z273" s="36">
        <f>IFERROR(IF(Y273=0,"",ROUNDUP(Y273/H273,0)*0.00651),"")</f>
        <v>0.26690999999999998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105.35000000000001</v>
      </c>
      <c r="BN273" s="64">
        <f>IFERROR(Y273*I273/H273,"0")</f>
        <v>105.78</v>
      </c>
      <c r="BO273" s="64">
        <f>IFERROR(1/J273*(X273/H273),"0")</f>
        <v>0.22435897435897439</v>
      </c>
      <c r="BP273" s="64">
        <f>IFERROR(1/J273*(Y273/H273),"0")</f>
        <v>0.22527472527472528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57.5</v>
      </c>
      <c r="Y274" s="543">
        <f>IFERROR(Y271/H271,"0")+IFERROR(Y272/H272,"0")+IFERROR(Y273/H273,"0")</f>
        <v>58</v>
      </c>
      <c r="Z274" s="543">
        <f>IFERROR(IF(Z271="",0,Z271),"0")+IFERROR(IF(Z272="",0,Z272),"0")+IFERROR(IF(Z273="",0,Z273),"0")</f>
        <v>0.37757999999999997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138</v>
      </c>
      <c r="Y275" s="543">
        <f>IFERROR(SUM(Y271:Y273),"0")</f>
        <v>139.19999999999999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1</v>
      </c>
      <c r="Y329" s="542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1.1200000000000001</v>
      </c>
      <c r="BN329" s="64">
        <f>IFERROR(Y329*I329/H329,"0")</f>
        <v>2.2400000000000002</v>
      </c>
      <c r="BO329" s="64">
        <f>IFERROR(1/J329*(X329/H329),"0")</f>
        <v>2.1008403361344537E-3</v>
      </c>
      <c r="BP329" s="64">
        <f>IFERROR(1/J329*(Y329/H329),"0")</f>
        <v>4.2016806722689074E-3</v>
      </c>
    </row>
    <row r="330" spans="1:68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0.5</v>
      </c>
      <c r="Y330" s="543">
        <f>IFERROR(Y327/H327,"0")+IFERROR(Y328/H328,"0")+IFERROR(Y329/H329,"0")</f>
        <v>1</v>
      </c>
      <c r="Z330" s="543">
        <f>IFERROR(IF(Z327="",0,Z327),"0")+IFERROR(IF(Z328="",0,Z328),"0")+IFERROR(IF(Z329="",0,Z329),"0")</f>
        <v>4.7400000000000003E-3</v>
      </c>
      <c r="AA330" s="544"/>
      <c r="AB330" s="544"/>
      <c r="AC330" s="544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1</v>
      </c>
      <c r="Y331" s="543">
        <f>IFERROR(SUM(Y327:Y329),"0")</f>
        <v>2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214</v>
      </c>
      <c r="Y342" s="542">
        <f t="shared" ref="Y342:Y348" si="31">IFERROR(IF(X342="",0,CEILING((X342/$H342),1)*$H342),"")</f>
        <v>225</v>
      </c>
      <c r="Z342" s="36">
        <f>IFERROR(IF(Y342=0,"",ROUNDUP(Y342/H342,0)*0.02175),"")</f>
        <v>0.32624999999999998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220.70533333333333</v>
      </c>
      <c r="BN342" s="64">
        <f t="shared" ref="BN342:BN348" si="33">IFERROR(Y342*I342/H342,"0")</f>
        <v>232.05</v>
      </c>
      <c r="BO342" s="64">
        <f t="shared" ref="BO342:BO348" si="34">IFERROR(1/J342*(X342/H342),"0")</f>
        <v>0.29722222222222222</v>
      </c>
      <c r="BP342" s="64">
        <f t="shared" ref="BP342:BP348" si="35">IFERROR(1/J342*(Y342/H342),"0")</f>
        <v>0.3125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203</v>
      </c>
      <c r="Y343" s="542">
        <f t="shared" si="31"/>
        <v>210</v>
      </c>
      <c r="Z343" s="36">
        <f>IFERROR(IF(Y343=0,"",ROUNDUP(Y343/H343,0)*0.02175),"")</f>
        <v>0.30449999999999999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209.36066666666667</v>
      </c>
      <c r="BN343" s="64">
        <f t="shared" si="33"/>
        <v>216.58</v>
      </c>
      <c r="BO343" s="64">
        <f t="shared" si="34"/>
        <v>0.28194444444444444</v>
      </c>
      <c r="BP343" s="64">
        <f t="shared" si="35"/>
        <v>0.29166666666666663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241</v>
      </c>
      <c r="Y344" s="542">
        <f t="shared" si="31"/>
        <v>255</v>
      </c>
      <c r="Z344" s="36">
        <f>IFERROR(IF(Y344=0,"",ROUNDUP(Y344/H344,0)*0.02175),"")</f>
        <v>0.36974999999999997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248.55133333333333</v>
      </c>
      <c r="BN344" s="64">
        <f t="shared" si="33"/>
        <v>262.99</v>
      </c>
      <c r="BO344" s="64">
        <f t="shared" si="34"/>
        <v>0.3347222222222222</v>
      </c>
      <c r="BP344" s="64">
        <f t="shared" si="35"/>
        <v>0.35416666666666663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349</v>
      </c>
      <c r="Y345" s="542">
        <f t="shared" si="31"/>
        <v>360</v>
      </c>
      <c r="Z345" s="36">
        <f>IFERROR(IF(Y345=0,"",ROUNDUP(Y345/H345,0)*0.02175),"")</f>
        <v>0.52200000000000002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359.9353333333334</v>
      </c>
      <c r="BN345" s="64">
        <f t="shared" si="33"/>
        <v>371.28</v>
      </c>
      <c r="BO345" s="64">
        <f t="shared" si="34"/>
        <v>0.48472222222222217</v>
      </c>
      <c r="BP345" s="64">
        <f t="shared" si="35"/>
        <v>0.5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67.133333333333326</v>
      </c>
      <c r="Y349" s="543">
        <f>IFERROR(Y342/H342,"0")+IFERROR(Y343/H343,"0")+IFERROR(Y344/H344,"0")+IFERROR(Y345/H345,"0")+IFERROR(Y346/H346,"0")+IFERROR(Y347/H347,"0")+IFERROR(Y348/H348,"0")</f>
        <v>70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1.5225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1007</v>
      </c>
      <c r="Y350" s="543">
        <f>IFERROR(SUM(Y342:Y348),"0")</f>
        <v>1050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690</v>
      </c>
      <c r="Y352" s="542">
        <f>IFERROR(IF(X352="",0,CEILING((X352/$H352),1)*$H352),"")</f>
        <v>690</v>
      </c>
      <c r="Z352" s="36">
        <f>IFERROR(IF(Y352=0,"",ROUNDUP(Y352/H352,0)*0.02175),"")</f>
        <v>1.0004999999999999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711.62000000000012</v>
      </c>
      <c r="BN352" s="64">
        <f>IFERROR(Y352*I352/H352,"0")</f>
        <v>711.62000000000012</v>
      </c>
      <c r="BO352" s="64">
        <f>IFERROR(1/J352*(X352/H352),"0")</f>
        <v>0.95833333333333326</v>
      </c>
      <c r="BP352" s="64">
        <f>IFERROR(1/J352*(Y352/H352),"0")</f>
        <v>0.95833333333333326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46</v>
      </c>
      <c r="Y354" s="543">
        <f>IFERROR(Y352/H352,"0")+IFERROR(Y353/H353,"0")</f>
        <v>46</v>
      </c>
      <c r="Z354" s="543">
        <f>IFERROR(IF(Z352="",0,Z352),"0")+IFERROR(IF(Z353="",0,Z353),"0")</f>
        <v>1.0004999999999999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690</v>
      </c>
      <c r="Y355" s="543">
        <f>IFERROR(SUM(Y352:Y353),"0")</f>
        <v>690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34</v>
      </c>
      <c r="Y358" s="542">
        <f>IFERROR(IF(X358="",0,CEILING((X358/$H358),1)*$H358),"")</f>
        <v>36</v>
      </c>
      <c r="Z358" s="36">
        <f>IFERROR(IF(Y358=0,"",ROUNDUP(Y358/H358,0)*0.01898),"")</f>
        <v>7.5920000000000001E-2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35.86622222222222</v>
      </c>
      <c r="BN358" s="64">
        <f>IFERROR(Y358*I358/H358,"0")</f>
        <v>37.975999999999999</v>
      </c>
      <c r="BO358" s="64">
        <f>IFERROR(1/J358*(X358/H358),"0")</f>
        <v>5.9027777777777776E-2</v>
      </c>
      <c r="BP358" s="64">
        <f>IFERROR(1/J358*(Y358/H358),"0")</f>
        <v>6.25E-2</v>
      </c>
    </row>
    <row r="359" spans="1:68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3.7777777777777777</v>
      </c>
      <c r="Y359" s="543">
        <f>IFERROR(Y357/H357,"0")+IFERROR(Y358/H358,"0")</f>
        <v>4</v>
      </c>
      <c r="Z359" s="543">
        <f>IFERROR(IF(Z357="",0,Z357),"0")+IFERROR(IF(Z358="",0,Z358),"0")</f>
        <v>7.5920000000000001E-2</v>
      </c>
      <c r="AA359" s="544"/>
      <c r="AB359" s="544"/>
      <c r="AC359" s="544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34</v>
      </c>
      <c r="Y360" s="543">
        <f>IFERROR(SUM(Y357:Y358),"0")</f>
        <v>36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72</v>
      </c>
      <c r="Y362" s="542">
        <f>IFERROR(IF(X362="",0,CEILING((X362/$H362),1)*$H362),"")</f>
        <v>72</v>
      </c>
      <c r="Z362" s="36">
        <f>IFERROR(IF(Y362=0,"",ROUNDUP(Y362/H362,0)*0.01898),"")</f>
        <v>0.15184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75.951999999999998</v>
      </c>
      <c r="BN362" s="64">
        <f>IFERROR(Y362*I362/H362,"0")</f>
        <v>75.951999999999998</v>
      </c>
      <c r="BO362" s="64">
        <f>IFERROR(1/J362*(X362/H362),"0")</f>
        <v>0.125</v>
      </c>
      <c r="BP362" s="64">
        <f>IFERROR(1/J362*(Y362/H362),"0")</f>
        <v>0.125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8</v>
      </c>
      <c r="Y363" s="543">
        <f>IFERROR(Y362/H362,"0")</f>
        <v>8</v>
      </c>
      <c r="Z363" s="543">
        <f>IFERROR(IF(Z362="",0,Z362),"0")</f>
        <v>0.15184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72</v>
      </c>
      <c r="Y364" s="543">
        <f>IFERROR(SUM(Y362:Y362),"0")</f>
        <v>72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514</v>
      </c>
      <c r="Y377" s="542">
        <f>IFERROR(IF(X377="",0,CEILING((X377/$H377),1)*$H377),"")</f>
        <v>522</v>
      </c>
      <c r="Z377" s="36">
        <f>IFERROR(IF(Y377=0,"",ROUNDUP(Y377/H377,0)*0.01898),"")</f>
        <v>1.10084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542.21288888888887</v>
      </c>
      <c r="BN377" s="64">
        <f>IFERROR(Y377*I377/H377,"0")</f>
        <v>550.65199999999993</v>
      </c>
      <c r="BO377" s="64">
        <f>IFERROR(1/J377*(X377/H377),"0")</f>
        <v>0.89236111111111116</v>
      </c>
      <c r="BP377" s="64">
        <f>IFERROR(1/J377*(Y377/H377),"0")</f>
        <v>0.90625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57.111111111111114</v>
      </c>
      <c r="Y380" s="543">
        <f>IFERROR(Y377/H377,"0")+IFERROR(Y378/H378,"0")+IFERROR(Y379/H379,"0")</f>
        <v>58</v>
      </c>
      <c r="Z380" s="543">
        <f>IFERROR(IF(Z377="",0,Z377),"0")+IFERROR(IF(Z378="",0,Z378),"0")+IFERROR(IF(Z379="",0,Z379),"0")</f>
        <v>1.10084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514</v>
      </c>
      <c r="Y381" s="543">
        <f>IFERROR(SUM(Y377:Y379),"0")</f>
        <v>522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26</v>
      </c>
      <c r="Y385" s="542">
        <f t="shared" ref="Y385:Y393" si="36">IFERROR(IF(X385="",0,CEILING((X385/$H385),1)*$H385),"")</f>
        <v>27</v>
      </c>
      <c r="Z385" s="36">
        <f>IFERROR(IF(Y385=0,"",ROUNDUP(Y385/H385,0)*0.00902),"")</f>
        <v>4.5100000000000001E-2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26.914814814814815</v>
      </c>
      <c r="BN385" s="64">
        <f t="shared" ref="BN385:BN393" si="38">IFERROR(Y385*I385/H385,"0")</f>
        <v>27.95</v>
      </c>
      <c r="BO385" s="64">
        <f t="shared" ref="BO385:BO393" si="39">IFERROR(1/J385*(X385/H385),"0")</f>
        <v>3.6475869809203143E-2</v>
      </c>
      <c r="BP385" s="64">
        <f t="shared" ref="BP385:BP393" si="40">IFERROR(1/J385*(Y385/H385),"0")</f>
        <v>3.787878787878788E-2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4.8148148148148149</v>
      </c>
      <c r="Y394" s="543">
        <f>IFERROR(Y385/H385,"0")+IFERROR(Y386/H386,"0")+IFERROR(Y387/H387,"0")+IFERROR(Y388/H388,"0")+IFERROR(Y389/H389,"0")+IFERROR(Y390/H390,"0")+IFERROR(Y391/H391,"0")+IFERROR(Y392/H392,"0")+IFERROR(Y393/H393,"0")</f>
        <v>5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4.5100000000000001E-2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26</v>
      </c>
      <c r="Y395" s="543">
        <f>IFERROR(SUM(Y385:Y393),"0")</f>
        <v>27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134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34</v>
      </c>
      <c r="Y407" s="542">
        <f>IFERROR(IF(X407="",0,CEILING((X407/$H407),1)*$H407),"")</f>
        <v>37.800000000000004</v>
      </c>
      <c r="Z407" s="36">
        <f>IFERROR(IF(Y407=0,"",ROUNDUP(Y407/H407,0)*0.00902),"")</f>
        <v>6.3140000000000002E-2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35.196296296296296</v>
      </c>
      <c r="BN407" s="64">
        <f>IFERROR(Y407*I407/H407,"0")</f>
        <v>39.130000000000003</v>
      </c>
      <c r="BO407" s="64">
        <f>IFERROR(1/J407*(X407/H407),"0")</f>
        <v>4.7699214365881031E-2</v>
      </c>
      <c r="BP407" s="64">
        <f>IFERROR(1/J407*(Y407/H407),"0")</f>
        <v>5.3030303030303032E-2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6.2962962962962958</v>
      </c>
      <c r="Y411" s="543">
        <f>IFERROR(Y407/H407,"0")+IFERROR(Y408/H408,"0")+IFERROR(Y409/H409,"0")+IFERROR(Y410/H410,"0")</f>
        <v>7</v>
      </c>
      <c r="Z411" s="543">
        <f>IFERROR(IF(Z407="",0,Z407),"0")+IFERROR(IF(Z408="",0,Z408),"0")+IFERROR(IF(Z409="",0,Z409),"0")+IFERROR(IF(Z410="",0,Z410),"0")</f>
        <v>6.3140000000000002E-2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34</v>
      </c>
      <c r="Y412" s="543">
        <f>IFERROR(SUM(Y407:Y410),"0")</f>
        <v>37.800000000000004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29</v>
      </c>
      <c r="Y423" s="542">
        <f t="shared" si="42"/>
        <v>31.68</v>
      </c>
      <c r="Z423" s="36">
        <f t="shared" si="43"/>
        <v>7.1760000000000004E-2</v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30.922348484848484</v>
      </c>
      <c r="BN423" s="64">
        <f t="shared" si="45"/>
        <v>33.779999999999994</v>
      </c>
      <c r="BO423" s="64">
        <f t="shared" si="46"/>
        <v>5.281177156177156E-2</v>
      </c>
      <c r="BP423" s="64">
        <f t="shared" si="47"/>
        <v>5.7692307692307696E-2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169</v>
      </c>
      <c r="Y426" s="542">
        <f t="shared" si="42"/>
        <v>174.24</v>
      </c>
      <c r="Z426" s="36">
        <f t="shared" si="43"/>
        <v>0.39468000000000003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180.2026515151515</v>
      </c>
      <c r="BN426" s="64">
        <f t="shared" si="45"/>
        <v>185.79</v>
      </c>
      <c r="BO426" s="64">
        <f t="shared" si="46"/>
        <v>0.30776515151515155</v>
      </c>
      <c r="BP426" s="64">
        <f t="shared" si="47"/>
        <v>0.31730769230769235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37.5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0.46644000000000002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198</v>
      </c>
      <c r="Y433" s="543">
        <f>IFERROR(SUM(Y421:Y431),"0")</f>
        <v>205.92000000000002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134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54</v>
      </c>
      <c r="Y435" s="542">
        <f>IFERROR(IF(X435="",0,CEILING((X435/$H435),1)*$H435),"")</f>
        <v>58.080000000000005</v>
      </c>
      <c r="Z435" s="36">
        <f>IFERROR(IF(Y435=0,"",ROUNDUP(Y435/H435,0)*0.01196),"")</f>
        <v>0.13156000000000001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57.579545454545446</v>
      </c>
      <c r="BN435" s="64">
        <f>IFERROR(Y435*I435/H435,"0")</f>
        <v>61.93</v>
      </c>
      <c r="BO435" s="64">
        <f>IFERROR(1/J435*(X435/H435),"0")</f>
        <v>9.8339160839160833E-2</v>
      </c>
      <c r="BP435" s="64">
        <f>IFERROR(1/J435*(Y435/H435),"0")</f>
        <v>0.10576923076923078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4</v>
      </c>
      <c r="Y437" s="542">
        <f>IFERROR(IF(X437="",0,CEILING((X437/$H437),1)*$H437),"")</f>
        <v>4.8</v>
      </c>
      <c r="Z437" s="36">
        <f>IFERROR(IF(Y437=0,"",ROUNDUP(Y437/H437,0)*0.00902),"")</f>
        <v>9.0200000000000002E-3</v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5.7583333333333337</v>
      </c>
      <c r="BN437" s="64">
        <f>IFERROR(Y437*I437/H437,"0")</f>
        <v>6.91</v>
      </c>
      <c r="BO437" s="64">
        <f>IFERROR(1/J437*(X437/H437),"0")</f>
        <v>6.3131313131313139E-3</v>
      </c>
      <c r="BP437" s="64">
        <f>IFERROR(1/J437*(Y437/H437),"0")</f>
        <v>7.575757575757576E-3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11.060606060606061</v>
      </c>
      <c r="Y438" s="543">
        <f>IFERROR(Y435/H435,"0")+IFERROR(Y436/H436,"0")+IFERROR(Y437/H437,"0")</f>
        <v>12</v>
      </c>
      <c r="Z438" s="543">
        <f>IFERROR(IF(Z435="",0,Z435),"0")+IFERROR(IF(Z436="",0,Z436),"0")+IFERROR(IF(Z437="",0,Z437),"0")</f>
        <v>0.14058000000000001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58</v>
      </c>
      <c r="Y439" s="543">
        <f>IFERROR(SUM(Y435:Y437),"0")</f>
        <v>62.88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48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51.18181818181818</v>
      </c>
      <c r="BN441" s="64">
        <f t="shared" ref="BN441:BN446" si="50">IFERROR(Y441*I441/H441,"0")</f>
        <v>56.3</v>
      </c>
      <c r="BO441" s="64">
        <f t="shared" ref="BO441:BO446" si="51">IFERROR(1/J441*(X441/H441),"0")</f>
        <v>8.7412587412587409E-2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80</v>
      </c>
      <c r="Y442" s="542">
        <f t="shared" si="48"/>
        <v>84.48</v>
      </c>
      <c r="Z442" s="36">
        <f>IFERROR(IF(Y442=0,"",ROUNDUP(Y442/H442,0)*0.01196),"")</f>
        <v>0.19136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85.303030303030297</v>
      </c>
      <c r="BN442" s="64">
        <f t="shared" si="50"/>
        <v>90.08</v>
      </c>
      <c r="BO442" s="64">
        <f t="shared" si="51"/>
        <v>0.14568764568764569</v>
      </c>
      <c r="BP442" s="64">
        <f t="shared" si="52"/>
        <v>0.15384615384615385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24.242424242424242</v>
      </c>
      <c r="Y447" s="543">
        <f>IFERROR(Y441/H441,"0")+IFERROR(Y442/H442,"0")+IFERROR(Y443/H443,"0")+IFERROR(Y444/H444,"0")+IFERROR(Y445/H445,"0")+IFERROR(Y446/H446,"0")</f>
        <v>26</v>
      </c>
      <c r="Z447" s="543">
        <f>IFERROR(IF(Z441="",0,Z441),"0")+IFERROR(IF(Z442="",0,Z442),"0")+IFERROR(IF(Z443="",0,Z443),"0")+IFERROR(IF(Z444="",0,Z444),"0")+IFERROR(IF(Z445="",0,Z445),"0")+IFERROR(IF(Z446="",0,Z446),"0")</f>
        <v>0.31096000000000001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128</v>
      </c>
      <c r="Y448" s="543">
        <f>IFERROR(SUM(Y441:Y446),"0")</f>
        <v>137.28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134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162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134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4584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4705.1400000000003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4825.09611025916</v>
      </c>
      <c r="Y490" s="543">
        <f>IFERROR(SUM(BN22:BN486),"0")</f>
        <v>4952.6659999999993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5025.09611025916</v>
      </c>
      <c r="Y492" s="543">
        <f>GrossWeightTotalR+PalletQtyTotalR*25</f>
        <v>5152.6659999999993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809.81202131374539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829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9.0575200000000002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115</v>
      </c>
      <c r="E497" s="592" t="s">
        <v>169</v>
      </c>
      <c r="F497" s="592" t="s">
        <v>188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108.60000000000001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</v>
      </c>
      <c r="E499" s="46">
        <f>IFERROR(Y85*1,"0")+IFERROR(Y86*1,"0")+IFERROR(Y87*1,"0")+IFERROR(Y91*1,"0")+IFERROR(Y92*1,"0")+IFERROR(Y93*1,"0")+IFERROR(Y94*1,"0")</f>
        <v>201.6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295.20000000000005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97.860000000000014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1015.8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139.19999999999999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1848</v>
      </c>
      <c r="T499" s="46">
        <f>IFERROR(Y367*1,"0")+IFERROR(Y368*1,"0")+IFERROR(Y372*1,"0")+IFERROR(Y373*1,"0")+IFERROR(Y377*1,"0")+IFERROR(Y378*1,"0")+IFERROR(Y379*1,"0")</f>
        <v>522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27</v>
      </c>
      <c r="V499" s="46">
        <f>IFERROR(Y403*1,"0")+IFERROR(Y407*1,"0")+IFERROR(Y408*1,"0")+IFERROR(Y409*1,"0")+IFERROR(Y410*1,"0")</f>
        <v>37.800000000000004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406.08000000000004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MmF0Z7PRJ+Q9FG7Olh2hkzLguW1AV6U3JtJeOUvtdFcdhslpA8CEZvL7RghaJeiU8DBCtTHGI/BYicCYH00HEA==" saltValue="0SFlHE+WcFNuiwY7bKjUw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0"/>
        <filter val="0,79"/>
        <filter val="1 007,00"/>
        <filter val="1,00"/>
        <filter val="102,00"/>
        <filter val="105,00"/>
        <filter val="108,00"/>
        <filter val="11,00"/>
        <filter val="11,06"/>
        <filter val="114,00"/>
        <filter val="118,00"/>
        <filter val="128,00"/>
        <filter val="13,00"/>
        <filter val="13,91"/>
        <filter val="138,00"/>
        <filter val="14,00"/>
        <filter val="157,00"/>
        <filter val="16,00"/>
        <filter val="169,00"/>
        <filter val="17,00"/>
        <filter val="17,56"/>
        <filter val="174,00"/>
        <filter val="18,31"/>
        <filter val="191,00"/>
        <filter val="198,00"/>
        <filter val="2,00"/>
        <filter val="20,00"/>
        <filter val="203,00"/>
        <filter val="214,00"/>
        <filter val="22,00"/>
        <filter val="230,00"/>
        <filter val="234,60"/>
        <filter val="24,24"/>
        <filter val="241,00"/>
        <filter val="26,00"/>
        <filter val="29,00"/>
        <filter val="3,78"/>
        <filter val="34,00"/>
        <filter val="349,00"/>
        <filter val="37,50"/>
        <filter val="4 584,00"/>
        <filter val="4 825,10"/>
        <filter val="4,00"/>
        <filter val="4,81"/>
        <filter val="40,00"/>
        <filter val="410,00"/>
        <filter val="43,00"/>
        <filter val="43,70"/>
        <filter val="45,71"/>
        <filter val="46,00"/>
        <filter val="48,00"/>
        <filter val="5 025,10"/>
        <filter val="5,42"/>
        <filter val="514,00"/>
        <filter val="54,00"/>
        <filter val="57,00"/>
        <filter val="57,11"/>
        <filter val="57,50"/>
        <filter val="571,00"/>
        <filter val="58,00"/>
        <filter val="6,30"/>
        <filter val="60,00"/>
        <filter val="67,13"/>
        <filter val="690,00"/>
        <filter val="7,41"/>
        <filter val="72,00"/>
        <filter val="75,00"/>
        <filter val="8"/>
        <filter val="8,00"/>
        <filter val="80,00"/>
        <filter val="809,81"/>
        <filter val="86,00"/>
        <filter val="87,00"/>
        <filter val="88,15"/>
        <filter val="9,81"/>
        <filter val="96,00"/>
        <filter val="98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4 X352 X377 X385 X407 X424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Ckd+E0guhVu9Rhs1pSLrrcwBG96kteWsnBNccrXKv8vAhtw4Ee0DNs3HfBrSTeDPJQX0djkcLCEFj2Ncy73heg==" saltValue="Rly/VtTV4cfNDcA5ZFwbx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