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374B868-5194-42ED-96DD-DABB1C4B9E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Z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147" i="1" l="1"/>
  <c r="BN147" i="1"/>
  <c r="Z147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Z79" i="1"/>
  <c r="BN79" i="1"/>
  <c r="BP92" i="1"/>
  <c r="BN92" i="1"/>
  <c r="Z92" i="1"/>
  <c r="Y121" i="1"/>
  <c r="Y120" i="1"/>
  <c r="BP119" i="1"/>
  <c r="BN119" i="1"/>
  <c r="Z119" i="1"/>
  <c r="Z120" i="1" s="1"/>
  <c r="BP124" i="1"/>
  <c r="BN124" i="1"/>
  <c r="Z124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BP130" i="1"/>
  <c r="BN130" i="1"/>
  <c r="Z130" i="1"/>
  <c r="BP134" i="1"/>
  <c r="BN134" i="1"/>
  <c r="Z134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F9" i="1"/>
  <c r="J9" i="1"/>
  <c r="F10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62" i="1"/>
  <c r="Z438" i="1"/>
  <c r="Z411" i="1"/>
  <c r="Z311" i="1"/>
  <c r="Z267" i="1"/>
  <c r="Z259" i="1"/>
  <c r="Z250" i="1"/>
  <c r="Z380" i="1"/>
  <c r="Z285" i="1"/>
  <c r="Z148" i="1"/>
  <c r="Z126" i="1"/>
  <c r="Z116" i="1"/>
  <c r="Z103" i="1"/>
  <c r="Z95" i="1"/>
  <c r="Z43" i="1"/>
  <c r="Z187" i="1"/>
  <c r="Y490" i="1"/>
  <c r="Z203" i="1"/>
  <c r="Y491" i="1"/>
  <c r="Z63" i="1"/>
  <c r="Z57" i="1"/>
  <c r="Z31" i="1"/>
  <c r="Z171" i="1"/>
  <c r="Y493" i="1"/>
  <c r="Z324" i="1"/>
  <c r="Z394" i="1"/>
  <c r="Z304" i="1"/>
  <c r="Z294" i="1"/>
  <c r="Z274" i="1"/>
  <c r="Z69" i="1"/>
  <c r="Y489" i="1"/>
  <c r="Z337" i="1"/>
  <c r="Z234" i="1"/>
  <c r="Z109" i="1"/>
  <c r="Z447" i="1"/>
  <c r="Z432" i="1"/>
  <c r="Z349" i="1"/>
  <c r="X492" i="1"/>
  <c r="Z215" i="1"/>
  <c r="Z88" i="1"/>
  <c r="Z76" i="1"/>
  <c r="Y492" i="1" l="1"/>
  <c r="Z494" i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<sst xmlns="http://schemas.openxmlformats.org/spreadsheetml/2006/main" count="2317" uniqueCount="763">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</sst>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0.58333333333333337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56</v>
      </c>
      <c r="Y42" s="542">
        <f>IFERROR(IF(X42="",0,CEILING((X42/$H42),1)*$H42),"")</f>
        <v>59.2</v>
      </c>
      <c r="Z42" s="36">
        <f>IFERROR(IF(Y42=0,"",ROUNDUP(Y42/H42,0)*0.00902),"")</f>
        <v>0.14432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58.875675675675673</v>
      </c>
      <c r="BN42" s="64">
        <f>IFERROR(Y42*I42/H42,"0")</f>
        <v>62.24</v>
      </c>
      <c r="BO42" s="64">
        <f>IFERROR(1/J42*(X42/H42),"0")</f>
        <v>0.11466011466011466</v>
      </c>
      <c r="BP42" s="64">
        <f>IFERROR(1/J42*(Y42/H42),"0")</f>
        <v>0.12121212121212122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15.135135135135135</v>
      </c>
      <c r="Y43" s="543">
        <f>IFERROR(Y40/H40,"0")+IFERROR(Y41/H41,"0")+IFERROR(Y42/H42,"0")</f>
        <v>16</v>
      </c>
      <c r="Z43" s="543">
        <f>IFERROR(IF(Z40="",0,Z40),"0")+IFERROR(IF(Z41="",0,Z41),"0")+IFERROR(IF(Z42="",0,Z42),"0")</f>
        <v>0.14432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56</v>
      </c>
      <c r="Y44" s="543">
        <f>IFERROR(SUM(Y40:Y42),"0")</f>
        <v>59.2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28</v>
      </c>
      <c r="Y54" s="542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7</v>
      </c>
      <c r="Y57" s="543">
        <f>IFERROR(Y51/H51,"0")+IFERROR(Y52/H52,"0")+IFERROR(Y53/H53,"0")+IFERROR(Y54/H54,"0")+IFERROR(Y55/H55,"0")+IFERROR(Y56/H56,"0")</f>
        <v>7</v>
      </c>
      <c r="Z57" s="543">
        <f>IFERROR(IF(Z51="",0,Z51),"0")+IFERROR(IF(Z52="",0,Z52),"0")+IFERROR(IF(Z53="",0,Z53),"0")+IFERROR(IF(Z54="",0,Z54),"0")+IFERROR(IF(Z55="",0,Z55),"0")+IFERROR(IF(Z56="",0,Z56),"0")</f>
        <v>6.3140000000000002E-2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28</v>
      </c>
      <c r="Y58" s="543">
        <f>IFERROR(SUM(Y51:Y56),"0")</f>
        <v>28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27</v>
      </c>
      <c r="Y60" s="542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28.024999999999999</v>
      </c>
      <c r="BN60" s="64">
        <f>IFERROR(Y60*I60/H60,"0")</f>
        <v>33.630000000000003</v>
      </c>
      <c r="BO60" s="64">
        <f>IFERROR(1/J60*(X60/H60),"0")</f>
        <v>3.90625E-2</v>
      </c>
      <c r="BP60" s="64">
        <f>IFERROR(1/J60*(Y60/H60),"0")</f>
        <v>4.6875000000000007E-2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2.5</v>
      </c>
      <c r="Y63" s="543">
        <f>IFERROR(Y60/H60,"0")+IFERROR(Y61/H61,"0")+IFERROR(Y62/H62,"0")</f>
        <v>3.0000000000000004</v>
      </c>
      <c r="Z63" s="543">
        <f>IFERROR(IF(Z60="",0,Z60),"0")+IFERROR(IF(Z61="",0,Z61),"0")+IFERROR(IF(Z62="",0,Z62),"0")</f>
        <v>5.6940000000000004E-2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27</v>
      </c>
      <c r="Y64" s="543">
        <f>IFERROR(SUM(Y60:Y62),"0")</f>
        <v>32.400000000000006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64</v>
      </c>
      <c r="Y85" s="542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66.42962962962963</v>
      </c>
      <c r="BN85" s="64">
        <f>IFERROR(Y85*I85/H85,"0")</f>
        <v>67.260000000000005</v>
      </c>
      <c r="BO85" s="64">
        <f>IFERROR(1/J85*(X85/H85),"0")</f>
        <v>9.2592592592592587E-2</v>
      </c>
      <c r="BP85" s="64">
        <f>IFERROR(1/J85*(Y85/H85),"0")</f>
        <v>9.3750000000000014E-2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40</v>
      </c>
      <c r="Y87" s="542">
        <f>IFERROR(IF(X87="",0,CEILING((X87/$H87),1)*$H87),"")</f>
        <v>40.5</v>
      </c>
      <c r="Z87" s="36">
        <f>IFERROR(IF(Y87=0,"",ROUNDUP(Y87/H87,0)*0.00902),"")</f>
        <v>8.1180000000000002E-2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41.688888888888897</v>
      </c>
      <c r="BN87" s="64">
        <f>IFERROR(Y87*I87/H87,"0")</f>
        <v>42.210000000000008</v>
      </c>
      <c r="BO87" s="64">
        <f>IFERROR(1/J87*(X87/H87),"0")</f>
        <v>6.7340067340067339E-2</v>
      </c>
      <c r="BP87" s="64">
        <f>IFERROR(1/J87*(Y87/H87),"0")</f>
        <v>6.8181818181818177E-2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14.814814814814815</v>
      </c>
      <c r="Y88" s="543">
        <f>IFERROR(Y85/H85,"0")+IFERROR(Y86/H86,"0")+IFERROR(Y87/H87,"0")</f>
        <v>15</v>
      </c>
      <c r="Z88" s="543">
        <f>IFERROR(IF(Z85="",0,Z85),"0")+IFERROR(IF(Z86="",0,Z86),"0")+IFERROR(IF(Z87="",0,Z87),"0")</f>
        <v>0.19506000000000001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104</v>
      </c>
      <c r="Y89" s="543">
        <f>IFERROR(SUM(Y85:Y87),"0")</f>
        <v>105.30000000000001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46</v>
      </c>
      <c r="Y93" s="542">
        <f>IFERROR(IF(X93="",0,CEILING((X93/$H93),1)*$H93),"")</f>
        <v>48.6</v>
      </c>
      <c r="Z93" s="36">
        <f>IFERROR(IF(Y93=0,"",ROUNDUP(Y93/H93,0)*0.00651),"")</f>
        <v>0.11718000000000001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50.293333333333329</v>
      </c>
      <c r="BN93" s="64">
        <f>IFERROR(Y93*I93/H93,"0")</f>
        <v>53.135999999999996</v>
      </c>
      <c r="BO93" s="64">
        <f>IFERROR(1/J93*(X93/H93),"0")</f>
        <v>9.3610093610093606E-2</v>
      </c>
      <c r="BP93" s="64">
        <f>IFERROR(1/J93*(Y93/H93),"0")</f>
        <v>9.8901098901098911E-2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17.037037037037035</v>
      </c>
      <c r="Y95" s="543">
        <f>IFERROR(Y91/H91,"0")+IFERROR(Y92/H92,"0")+IFERROR(Y93/H93,"0")+IFERROR(Y94/H94,"0")</f>
        <v>18</v>
      </c>
      <c r="Z95" s="543">
        <f>IFERROR(IF(Z91="",0,Z91),"0")+IFERROR(IF(Z92="",0,Z92),"0")+IFERROR(IF(Z93="",0,Z93),"0")+IFERROR(IF(Z94="",0,Z94),"0")</f>
        <v>0.11718000000000001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46</v>
      </c>
      <c r="Y96" s="543">
        <f>IFERROR(SUM(Y91:Y94),"0")</f>
        <v>48.6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63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65.391666666666666</v>
      </c>
      <c r="BN99" s="64">
        <f>IFERROR(Y99*I99/H99,"0")</f>
        <v>67.260000000000005</v>
      </c>
      <c r="BO99" s="64">
        <f>IFERROR(1/J99*(X99/H99),"0")</f>
        <v>9.1145833333333329E-2</v>
      </c>
      <c r="BP99" s="64">
        <f>IFERROR(1/J99*(Y99/H99),"0")</f>
        <v>9.3750000000000014E-2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90</v>
      </c>
      <c r="Y101" s="542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25.833333333333332</v>
      </c>
      <c r="Y103" s="543">
        <f>IFERROR(Y99/H99,"0")+IFERROR(Y100/H100,"0")+IFERROR(Y101/H101,"0")+IFERROR(Y102/H102,"0")</f>
        <v>26</v>
      </c>
      <c r="Z103" s="543">
        <f>IFERROR(IF(Z99="",0,Z99),"0")+IFERROR(IF(Z100="",0,Z100),"0")+IFERROR(IF(Z101="",0,Z101),"0")+IFERROR(IF(Z102="",0,Z102),"0")</f>
        <v>0.29427999999999999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153</v>
      </c>
      <c r="Y104" s="543">
        <f>IFERROR(SUM(Y99:Y102),"0")</f>
        <v>154.80000000000001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2</v>
      </c>
      <c r="Y108" s="542">
        <f>IFERROR(IF(X108="",0,CEILING((X108/$H108),1)*$H108),"")</f>
        <v>2.4</v>
      </c>
      <c r="Z108" s="36">
        <f>IFERROR(IF(Y108=0,"",ROUNDUP(Y108/H108,0)*0.00651),"")</f>
        <v>6.5100000000000002E-3</v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2.1500000000000004</v>
      </c>
      <c r="BN108" s="64">
        <f>IFERROR(Y108*I108/H108,"0")</f>
        <v>2.58</v>
      </c>
      <c r="BO108" s="64">
        <f>IFERROR(1/J108*(X108/H108),"0")</f>
        <v>4.578754578754579E-3</v>
      </c>
      <c r="BP108" s="64">
        <f>IFERROR(1/J108*(Y108/H108),"0")</f>
        <v>5.4945054945054949E-3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0.83333333333333337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6.5100000000000002E-3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2</v>
      </c>
      <c r="Y110" s="543">
        <f>IFERROR(SUM(Y106:Y108),"0")</f>
        <v>2.4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27</v>
      </c>
      <c r="Y112" s="542">
        <f>IFERROR(IF(X112="",0,CEILING((X112/$H112),1)*$H112),"")</f>
        <v>32.4</v>
      </c>
      <c r="Z112" s="36">
        <f>IFERROR(IF(Y112=0,"",ROUNDUP(Y112/H112,0)*0.01898),"")</f>
        <v>7.5920000000000001E-2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28.626666666666665</v>
      </c>
      <c r="BN112" s="64">
        <f>IFERROR(Y112*I112/H112,"0")</f>
        <v>34.351999999999997</v>
      </c>
      <c r="BO112" s="64">
        <f>IFERROR(1/J112*(X112/H112),"0")</f>
        <v>5.2083333333333336E-2</v>
      </c>
      <c r="BP112" s="64">
        <f>IFERROR(1/J112*(Y112/H112),"0")</f>
        <v>6.25E-2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41</v>
      </c>
      <c r="Y114" s="542">
        <f>IFERROR(IF(X114="",0,CEILING((X114/$H114),1)*$H114),"")</f>
        <v>43.2</v>
      </c>
      <c r="Z114" s="36">
        <f>IFERROR(IF(Y114=0,"",ROUNDUP(Y114/H114,0)*0.00651),"")</f>
        <v>0.10416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44.826666666666661</v>
      </c>
      <c r="BN114" s="64">
        <f>IFERROR(Y114*I114/H114,"0")</f>
        <v>47.231999999999999</v>
      </c>
      <c r="BO114" s="64">
        <f>IFERROR(1/J114*(X114/H114),"0")</f>
        <v>8.3435083435083435E-2</v>
      </c>
      <c r="BP114" s="64">
        <f>IFERROR(1/J114*(Y114/H114),"0")</f>
        <v>8.7912087912087919E-2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18.518518518518515</v>
      </c>
      <c r="Y116" s="543">
        <f>IFERROR(Y112/H112,"0")+IFERROR(Y113/H113,"0")+IFERROR(Y114/H114,"0")+IFERROR(Y115/H115,"0")</f>
        <v>20</v>
      </c>
      <c r="Z116" s="543">
        <f>IFERROR(IF(Z112="",0,Z112),"0")+IFERROR(IF(Z113="",0,Z113),"0")+IFERROR(IF(Z114="",0,Z114),"0")+IFERROR(IF(Z115="",0,Z115),"0")</f>
        <v>0.18008000000000002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68</v>
      </c>
      <c r="Y117" s="543">
        <f>IFERROR(SUM(Y112:Y115),"0")</f>
        <v>75.599999999999994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99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104.89285714285714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0.17857142857142855</v>
      </c>
      <c r="BP161" s="64">
        <f t="shared" ref="BP161:BP170" si="9">IFERROR(1/J161*(Y161/H161),"0")</f>
        <v>0.18181818181818182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73</v>
      </c>
      <c r="Y163" s="542">
        <f t="shared" si="5"/>
        <v>75.600000000000009</v>
      </c>
      <c r="Z163" s="36">
        <f>IFERROR(IF(Y163=0,"",ROUNDUP(Y163/H163,0)*0.00902),"")</f>
        <v>0.16236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76.302380952380943</v>
      </c>
      <c r="BN163" s="64">
        <f t="shared" si="7"/>
        <v>79.02</v>
      </c>
      <c r="BO163" s="64">
        <f t="shared" si="8"/>
        <v>0.13167388167388167</v>
      </c>
      <c r="BP163" s="64">
        <f t="shared" si="9"/>
        <v>0.13636363636363635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17</v>
      </c>
      <c r="Y164" s="542">
        <f t="shared" si="5"/>
        <v>18.900000000000002</v>
      </c>
      <c r="Z164" s="36">
        <f>IFERROR(IF(Y164=0,"",ROUNDUP(Y164/H164,0)*0.00502),"")</f>
        <v>4.5179999999999998E-2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18.05238095238095</v>
      </c>
      <c r="BN164" s="64">
        <f t="shared" si="7"/>
        <v>20.07</v>
      </c>
      <c r="BO164" s="64">
        <f t="shared" si="8"/>
        <v>3.4595034595034595E-2</v>
      </c>
      <c r="BP164" s="64">
        <f t="shared" si="9"/>
        <v>3.8461538461538464E-2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15</v>
      </c>
      <c r="Y167" s="542">
        <f t="shared" si="5"/>
        <v>16.2</v>
      </c>
      <c r="Z167" s="36">
        <f>IFERROR(IF(Y167=0,"",ROUNDUP(Y167/H167,0)*0.00502),"")</f>
        <v>4.5179999999999998E-2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16.083333333333332</v>
      </c>
      <c r="BN167" s="64">
        <f t="shared" si="7"/>
        <v>17.369999999999997</v>
      </c>
      <c r="BO167" s="64">
        <f t="shared" si="8"/>
        <v>3.561253561253562E-2</v>
      </c>
      <c r="BP167" s="64">
        <f t="shared" si="9"/>
        <v>3.8461538461538464E-2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59</v>
      </c>
      <c r="Y168" s="542">
        <f t="shared" si="5"/>
        <v>60.900000000000006</v>
      </c>
      <c r="Z168" s="36">
        <f>IFERROR(IF(Y168=0,"",ROUNDUP(Y168/H168,0)*0.00502),"")</f>
        <v>0.14558000000000001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61.80952380952381</v>
      </c>
      <c r="BN168" s="64">
        <f t="shared" si="7"/>
        <v>63.800000000000004</v>
      </c>
      <c r="BO168" s="64">
        <f t="shared" si="8"/>
        <v>0.12006512006512007</v>
      </c>
      <c r="BP168" s="64">
        <f t="shared" si="9"/>
        <v>0.12393162393162395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85.476190476190482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89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0.61477999999999999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263</v>
      </c>
      <c r="Y172" s="543">
        <f>IFERROR(SUM(Y161:Y170),"0")</f>
        <v>272.40000000000003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120</v>
      </c>
      <c r="Y195" s="542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103</v>
      </c>
      <c r="Y196" s="542">
        <f t="shared" si="10"/>
        <v>108</v>
      </c>
      <c r="Z196" s="36">
        <f>IFERROR(IF(Y196=0,"",ROUNDUP(Y196/H196,0)*0.00902),"")</f>
        <v>0.1804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106.62407407407406</v>
      </c>
      <c r="BN196" s="64">
        <f t="shared" si="12"/>
        <v>111.8</v>
      </c>
      <c r="BO196" s="64">
        <f t="shared" si="13"/>
        <v>0.14450056116722781</v>
      </c>
      <c r="BP196" s="64">
        <f t="shared" si="14"/>
        <v>0.15151515151515152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43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44.512962962962959</v>
      </c>
      <c r="BN198" s="64">
        <f t="shared" si="12"/>
        <v>44.72</v>
      </c>
      <c r="BO198" s="64">
        <f t="shared" si="13"/>
        <v>6.0325476992143662E-2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20</v>
      </c>
      <c r="Y199" s="542">
        <f t="shared" si="10"/>
        <v>21.6</v>
      </c>
      <c r="Z199" s="36">
        <f>IFERROR(IF(Y199=0,"",ROUNDUP(Y199/H199,0)*0.00502),"")</f>
        <v>6.0240000000000002E-2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21.444444444444446</v>
      </c>
      <c r="BN199" s="64">
        <f t="shared" si="12"/>
        <v>23.16</v>
      </c>
      <c r="BO199" s="64">
        <f t="shared" si="13"/>
        <v>4.7483380816714153E-2</v>
      </c>
      <c r="BP199" s="64">
        <f t="shared" si="14"/>
        <v>5.1282051282051287E-2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17</v>
      </c>
      <c r="Y200" s="542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17.944444444444443</v>
      </c>
      <c r="BN200" s="64">
        <f t="shared" si="12"/>
        <v>18.999999999999996</v>
      </c>
      <c r="BO200" s="64">
        <f t="shared" si="13"/>
        <v>4.0360873694207031E-2</v>
      </c>
      <c r="BP200" s="64">
        <f t="shared" si="14"/>
        <v>4.2735042735042736E-2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69.81481481481481</v>
      </c>
      <c r="Y203" s="543">
        <f>IFERROR(Y195/H195,"0")+IFERROR(Y196/H196,"0")+IFERROR(Y197/H197,"0")+IFERROR(Y198/H198,"0")+IFERROR(Y199/H199,"0")+IFERROR(Y200/H200,"0")+IFERROR(Y201/H201,"0")+IFERROR(Y202/H202,"0")</f>
        <v>73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0.57045999999999997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303</v>
      </c>
      <c r="Y204" s="543">
        <f>IFERROR(SUM(Y195:Y202),"0")</f>
        <v>315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102</v>
      </c>
      <c r="Y209" s="542">
        <f t="shared" si="15"/>
        <v>103.2</v>
      </c>
      <c r="Z209" s="36">
        <f t="shared" ref="Z209:Z214" si="20">IFERROR(IF(Y209=0,"",ROUNDUP(Y209/H209,0)*0.00651),"")</f>
        <v>0.27993000000000001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113.47499999999999</v>
      </c>
      <c r="BN209" s="64">
        <f t="shared" si="17"/>
        <v>114.81</v>
      </c>
      <c r="BO209" s="64">
        <f t="shared" si="18"/>
        <v>0.23351648351648355</v>
      </c>
      <c r="BP209" s="64">
        <f t="shared" si="19"/>
        <v>0.23626373626373628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101</v>
      </c>
      <c r="Y211" s="542">
        <f t="shared" si="15"/>
        <v>103.2</v>
      </c>
      <c r="Z211" s="36">
        <f t="shared" si="20"/>
        <v>0.27993000000000001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111.60500000000002</v>
      </c>
      <c r="BN211" s="64">
        <f t="shared" si="17"/>
        <v>114.03600000000003</v>
      </c>
      <c r="BO211" s="64">
        <f t="shared" si="18"/>
        <v>0.23122710622710627</v>
      </c>
      <c r="BP211" s="64">
        <f t="shared" si="19"/>
        <v>0.23626373626373628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53</v>
      </c>
      <c r="Y212" s="542">
        <f t="shared" si="15"/>
        <v>55.199999999999996</v>
      </c>
      <c r="Z212" s="36">
        <f t="shared" si="20"/>
        <v>0.14973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58.565000000000005</v>
      </c>
      <c r="BN212" s="64">
        <f t="shared" si="17"/>
        <v>60.996000000000002</v>
      </c>
      <c r="BO212" s="64">
        <f t="shared" si="18"/>
        <v>0.12133699633699636</v>
      </c>
      <c r="BP212" s="64">
        <f t="shared" si="19"/>
        <v>0.1263736263736264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18</v>
      </c>
      <c r="Y213" s="542">
        <f t="shared" si="15"/>
        <v>19.2</v>
      </c>
      <c r="Z213" s="36">
        <f t="shared" si="20"/>
        <v>5.2080000000000001E-2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19.890000000000004</v>
      </c>
      <c r="BN213" s="64">
        <f t="shared" si="17"/>
        <v>21.216000000000001</v>
      </c>
      <c r="BO213" s="64">
        <f t="shared" si="18"/>
        <v>4.1208791208791215E-2</v>
      </c>
      <c r="BP213" s="64">
        <f t="shared" si="19"/>
        <v>4.3956043956043959E-2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41</v>
      </c>
      <c r="Y214" s="542">
        <f t="shared" si="15"/>
        <v>43.199999999999996</v>
      </c>
      <c r="Z214" s="36">
        <f t="shared" si="20"/>
        <v>0.11718000000000001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45.407499999999999</v>
      </c>
      <c r="BN214" s="64">
        <f t="shared" si="17"/>
        <v>47.843999999999994</v>
      </c>
      <c r="BO214" s="64">
        <f t="shared" si="18"/>
        <v>9.3864468864468878E-2</v>
      </c>
      <c r="BP214" s="64">
        <f t="shared" si="19"/>
        <v>9.8901098901098911E-2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131.25000000000003</v>
      </c>
      <c r="Y215" s="543">
        <f>IFERROR(Y206/H206,"0")+IFERROR(Y207/H207,"0")+IFERROR(Y208/H208,"0")+IFERROR(Y209/H209,"0")+IFERROR(Y210/H210,"0")+IFERROR(Y211/H211,"0")+IFERROR(Y212/H212,"0")+IFERROR(Y213/H213,"0")+IFERROR(Y214/H214,"0")</f>
        <v>135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0.87885000000000013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315</v>
      </c>
      <c r="Y216" s="543">
        <f>IFERROR(SUM(Y206:Y214),"0")</f>
        <v>324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43</v>
      </c>
      <c r="Y218" s="542">
        <f>IFERROR(IF(X218="",0,CEILING((X218/$H218),1)*$H218),"")</f>
        <v>43.199999999999996</v>
      </c>
      <c r="Z218" s="36">
        <f>IFERROR(IF(Y218=0,"",ROUNDUP(Y218/H218,0)*0.00651),"")</f>
        <v>0.11718000000000001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47.515000000000001</v>
      </c>
      <c r="BN218" s="64">
        <f>IFERROR(Y218*I218/H218,"0")</f>
        <v>47.736000000000004</v>
      </c>
      <c r="BO218" s="64">
        <f>IFERROR(1/J218*(X218/H218),"0")</f>
        <v>9.8443223443223454E-2</v>
      </c>
      <c r="BP218" s="64">
        <f>IFERROR(1/J218*(Y218/H218),"0")</f>
        <v>9.8901098901098911E-2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23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25.415000000000003</v>
      </c>
      <c r="BN219" s="64">
        <f>IFERROR(Y219*I219/H219,"0")</f>
        <v>26.520000000000003</v>
      </c>
      <c r="BO219" s="64">
        <f>IFERROR(1/J219*(X219/H219),"0")</f>
        <v>5.2655677655677663E-2</v>
      </c>
      <c r="BP219" s="64">
        <f>IFERROR(1/J219*(Y219/H219),"0")</f>
        <v>5.4945054945054951E-2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27.5</v>
      </c>
      <c r="Y220" s="543">
        <f>IFERROR(Y218/H218,"0")+IFERROR(Y219/H219,"0")</f>
        <v>28</v>
      </c>
      <c r="Z220" s="543">
        <f>IFERROR(IF(Z218="",0,Z218),"0")+IFERROR(IF(Z219="",0,Z219),"0")</f>
        <v>0.18228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66</v>
      </c>
      <c r="Y221" s="543">
        <f>IFERROR(SUM(Y218:Y219),"0")</f>
        <v>67.199999999999989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30</v>
      </c>
      <c r="Y227" s="542">
        <f t="shared" si="21"/>
        <v>32</v>
      </c>
      <c r="Z227" s="36">
        <f>IFERROR(IF(Y227=0,"",ROUNDUP(Y227/H227,0)*0.00902),"")</f>
        <v>7.2160000000000002E-2</v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31.425000000000004</v>
      </c>
      <c r="BN227" s="64">
        <f t="shared" si="23"/>
        <v>33.520000000000003</v>
      </c>
      <c r="BO227" s="64">
        <f t="shared" si="24"/>
        <v>5.6818181818181823E-2</v>
      </c>
      <c r="BP227" s="64">
        <f t="shared" si="25"/>
        <v>6.0606060606060608E-2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7.5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8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7.2160000000000002E-2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30</v>
      </c>
      <c r="Y235" s="543">
        <f>IFERROR(SUM(Y224:Y233),"0")</f>
        <v>32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1.0101010101010102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</v>
      </c>
      <c r="Y251" s="543">
        <f>IFERROR(SUM(Y245:Y249),"0")</f>
        <v>1.98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34</v>
      </c>
      <c r="Y272" s="542">
        <f>IFERROR(IF(X272="",0,CEILING((X272/$H272),1)*$H272),"")</f>
        <v>36</v>
      </c>
      <c r="Z272" s="36">
        <f>IFERROR(IF(Y272=0,"",ROUNDUP(Y272/H272,0)*0.00651),"")</f>
        <v>9.7650000000000001E-2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37.570000000000007</v>
      </c>
      <c r="BN272" s="64">
        <f>IFERROR(Y272*I272/H272,"0")</f>
        <v>39.780000000000008</v>
      </c>
      <c r="BO272" s="64">
        <f>IFERROR(1/J272*(X272/H272),"0")</f>
        <v>7.7838827838827854E-2</v>
      </c>
      <c r="BP272" s="64">
        <f>IFERROR(1/J272*(Y272/H272),"0")</f>
        <v>8.241758241758243E-2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28</v>
      </c>
      <c r="Y273" s="542">
        <f>IFERROR(IF(X273="",0,CEILING((X273/$H273),1)*$H273),"")</f>
        <v>28.799999999999997</v>
      </c>
      <c r="Z273" s="36">
        <f>IFERROR(IF(Y273=0,"",ROUNDUP(Y273/H273,0)*0.00651),"")</f>
        <v>7.8119999999999995E-2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30.100000000000005</v>
      </c>
      <c r="BN273" s="64">
        <f>IFERROR(Y273*I273/H273,"0")</f>
        <v>30.959999999999997</v>
      </c>
      <c r="BO273" s="64">
        <f>IFERROR(1/J273*(X273/H273),"0")</f>
        <v>6.4102564102564111E-2</v>
      </c>
      <c r="BP273" s="64">
        <f>IFERROR(1/J273*(Y273/H273),"0")</f>
        <v>6.5934065934065936E-2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25.833333333333336</v>
      </c>
      <c r="Y274" s="543">
        <f>IFERROR(Y271/H271,"0")+IFERROR(Y272/H272,"0")+IFERROR(Y273/H273,"0")</f>
        <v>27</v>
      </c>
      <c r="Z274" s="543">
        <f>IFERROR(IF(Z271="",0,Z271),"0")+IFERROR(IF(Z272="",0,Z272),"0")+IFERROR(IF(Z273="",0,Z273),"0")</f>
        <v>0.17576999999999998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62</v>
      </c>
      <c r="Y275" s="543">
        <f>IFERROR(SUM(Y271:Y273),"0")</f>
        <v>64.8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11</v>
      </c>
      <c r="Y303" s="542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12.393333333333333</v>
      </c>
      <c r="BN303" s="64">
        <f t="shared" si="28"/>
        <v>14.196</v>
      </c>
      <c r="BO303" s="64">
        <f t="shared" si="29"/>
        <v>3.3577533577533576E-2</v>
      </c>
      <c r="BP303" s="64">
        <f t="shared" si="30"/>
        <v>3.8461538461538464E-2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6.1111111111111107</v>
      </c>
      <c r="Y304" s="543">
        <f>IFERROR(Y297/H297,"0")+IFERROR(Y298/H298,"0")+IFERROR(Y299/H299,"0")+IFERROR(Y300/H300,"0")+IFERROR(Y301/H301,"0")+IFERROR(Y302/H302,"0")+IFERROR(Y303/H303,"0")</f>
        <v>7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4.5569999999999999E-2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11</v>
      </c>
      <c r="Y305" s="543">
        <f>IFERROR(SUM(Y297:Y303),"0")</f>
        <v>12.6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28</v>
      </c>
      <c r="Y314" s="542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29.646666666666668</v>
      </c>
      <c r="BN314" s="64">
        <f>IFERROR(Y314*I314/H314,"0")</f>
        <v>35.576000000000001</v>
      </c>
      <c r="BO314" s="64">
        <f>IFERROR(1/J314*(X314/H314),"0")</f>
        <v>5.2083333333333329E-2</v>
      </c>
      <c r="BP314" s="64">
        <f>IFERROR(1/J314*(Y314/H314),"0")</f>
        <v>6.25E-2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66</v>
      </c>
      <c r="Y315" s="542">
        <f>IFERROR(IF(X315="",0,CEILING((X315/$H315),1)*$H315),"")</f>
        <v>70.2</v>
      </c>
      <c r="Z315" s="36">
        <f>IFERROR(IF(Y315=0,"",ROUNDUP(Y315/H315,0)*0.01898),"")</f>
        <v>0.17082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70.180000000000007</v>
      </c>
      <c r="BN315" s="64">
        <f>IFERROR(Y315*I315/H315,"0")</f>
        <v>74.646000000000015</v>
      </c>
      <c r="BO315" s="64">
        <f>IFERROR(1/J315*(X315/H315),"0")</f>
        <v>0.13221153846153846</v>
      </c>
      <c r="BP315" s="64">
        <f>IFERROR(1/J315*(Y315/H315),"0")</f>
        <v>0.140625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25.200000000000003</v>
      </c>
      <c r="Z316" s="36">
        <f>IFERROR(IF(Y316=0,"",ROUNDUP(Y316/H316,0)*0.01898),"")</f>
        <v>5.6940000000000004E-2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26.470238095238095</v>
      </c>
      <c r="BN316" s="64">
        <f>IFERROR(Y316*I316/H316,"0")</f>
        <v>26.682000000000002</v>
      </c>
      <c r="BO316" s="64">
        <f>IFERROR(1/J316*(X316/H316),"0")</f>
        <v>4.6502976190476192E-2</v>
      </c>
      <c r="BP316" s="64">
        <f>IFERROR(1/J316*(Y316/H316),"0")</f>
        <v>4.6875E-2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14.771062271062272</v>
      </c>
      <c r="Y317" s="543">
        <f>IFERROR(Y314/H314,"0")+IFERROR(Y315/H315,"0")+IFERROR(Y316/H316,"0")</f>
        <v>16</v>
      </c>
      <c r="Z317" s="543">
        <f>IFERROR(IF(Z314="",0,Z314),"0")+IFERROR(IF(Z315="",0,Z315),"0")+IFERROR(IF(Z316="",0,Z316),"0")</f>
        <v>0.30368000000000001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119</v>
      </c>
      <c r="Y318" s="543">
        <f>IFERROR(SUM(Y314:Y316),"0")</f>
        <v>129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90</v>
      </c>
      <c r="Y342" s="542">
        <f t="shared" ref="Y342:Y348" si="31">IFERROR(IF(X342="",0,CEILING((X342/$H342),1)*$H342),"")</f>
        <v>90</v>
      </c>
      <c r="Z342" s="36">
        <f>IFERROR(IF(Y342=0,"",ROUNDUP(Y342/H342,0)*0.02175),"")</f>
        <v>0.1305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92.82</v>
      </c>
      <c r="BN342" s="64">
        <f t="shared" ref="BN342:BN348" si="33">IFERROR(Y342*I342/H342,"0")</f>
        <v>92.82</v>
      </c>
      <c r="BO342" s="64">
        <f t="shared" ref="BO342:BO348" si="34">IFERROR(1/J342*(X342/H342),"0")</f>
        <v>0.125</v>
      </c>
      <c r="BP342" s="64">
        <f t="shared" ref="BP342:BP348" si="35">IFERROR(1/J342*(Y342/H342),"0")</f>
        <v>0.125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72</v>
      </c>
      <c r="Y343" s="542">
        <f t="shared" si="31"/>
        <v>75</v>
      </c>
      <c r="Z343" s="36">
        <f>IFERROR(IF(Y343=0,"",ROUNDUP(Y343/H343,0)*0.02175),"")</f>
        <v>0.10874999999999999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74.256000000000014</v>
      </c>
      <c r="BN343" s="64">
        <f t="shared" si="33"/>
        <v>77.349999999999994</v>
      </c>
      <c r="BO343" s="64">
        <f t="shared" si="34"/>
        <v>9.9999999999999992E-2</v>
      </c>
      <c r="BP343" s="64">
        <f t="shared" si="35"/>
        <v>0.10416666666666666</v>
      </c>
    </row>
    <row r="344" spans="1:68" ht="37.5" hidden="1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278</v>
      </c>
      <c r="Y345" s="542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286.71066666666667</v>
      </c>
      <c r="BN345" s="64">
        <f t="shared" si="33"/>
        <v>293.93</v>
      </c>
      <c r="BO345" s="64">
        <f t="shared" si="34"/>
        <v>0.38611111111111113</v>
      </c>
      <c r="BP345" s="64">
        <f t="shared" si="35"/>
        <v>0.39583333333333331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29.333333333333336</v>
      </c>
      <c r="Y349" s="543">
        <f>IFERROR(Y342/H342,"0")+IFERROR(Y343/H343,"0")+IFERROR(Y344/H344,"0")+IFERROR(Y345/H345,"0")+IFERROR(Y346/H346,"0")+IFERROR(Y347/H347,"0")+IFERROR(Y348/H348,"0")</f>
        <v>30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0.65249999999999997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440</v>
      </c>
      <c r="Y350" s="543">
        <f>IFERROR(SUM(Y342:Y348),"0")</f>
        <v>450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115</v>
      </c>
      <c r="Y352" s="542">
        <f>IFERROR(IF(X352="",0,CEILING((X352/$H352),1)*$H352),"")</f>
        <v>120</v>
      </c>
      <c r="Z352" s="36">
        <f>IFERROR(IF(Y352=0,"",ROUNDUP(Y352/H352,0)*0.02175),"")</f>
        <v>0.17399999999999999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118.60333333333334</v>
      </c>
      <c r="BN352" s="64">
        <f>IFERROR(Y352*I352/H352,"0")</f>
        <v>123.76</v>
      </c>
      <c r="BO352" s="64">
        <f>IFERROR(1/J352*(X352/H352),"0")</f>
        <v>0.15972222222222221</v>
      </c>
      <c r="BP352" s="64">
        <f>IFERROR(1/J352*(Y352/H352),"0")</f>
        <v>0.16666666666666666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7.666666666666667</v>
      </c>
      <c r="Y354" s="543">
        <f>IFERROR(Y352/H352,"0")+IFERROR(Y353/H353,"0")</f>
        <v>8</v>
      </c>
      <c r="Z354" s="543">
        <f>IFERROR(IF(Z352="",0,Z352),"0")+IFERROR(IF(Z353="",0,Z353),"0")</f>
        <v>0.17399999999999999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115</v>
      </c>
      <c r="Y355" s="543">
        <f>IFERROR(SUM(Y352:Y353),"0")</f>
        <v>120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37</v>
      </c>
      <c r="Y362" s="542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39.030888888888889</v>
      </c>
      <c r="BN362" s="64">
        <f>IFERROR(Y362*I362/H362,"0")</f>
        <v>47.47</v>
      </c>
      <c r="BO362" s="64">
        <f>IFERROR(1/J362*(X362/H362),"0")</f>
        <v>6.4236111111111105E-2</v>
      </c>
      <c r="BP362" s="64">
        <f>IFERROR(1/J362*(Y362/H362),"0")</f>
        <v>7.8125E-2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4.1111111111111107</v>
      </c>
      <c r="Y363" s="543">
        <f>IFERROR(Y362/H362,"0")</f>
        <v>5</v>
      </c>
      <c r="Z363" s="543">
        <f>IFERROR(IF(Z362="",0,Z362),"0")</f>
        <v>9.4899999999999998E-2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37</v>
      </c>
      <c r="Y364" s="543">
        <f>IFERROR(SUM(Y362:Y362),"0")</f>
        <v>45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108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113.92799999999998</v>
      </c>
      <c r="BN377" s="64">
        <f>IFERROR(Y377*I377/H377,"0")</f>
        <v>113.92799999999998</v>
      </c>
      <c r="BO377" s="64">
        <f>IFERROR(1/J377*(X377/H377),"0")</f>
        <v>0.1875</v>
      </c>
      <c r="BP377" s="64">
        <f>IFERROR(1/J377*(Y377/H377),"0")</f>
        <v>0.1875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12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108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75</v>
      </c>
      <c r="Y385" s="542">
        <f t="shared" ref="Y385:Y393" si="36">IFERROR(IF(X385="",0,CEILING((X385/$H385),1)*$H385),"")</f>
        <v>75.600000000000009</v>
      </c>
      <c r="Z385" s="36">
        <f>IFERROR(IF(Y385=0,"",ROUNDUP(Y385/H385,0)*0.00902),"")</f>
        <v>0.12628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77.638888888888886</v>
      </c>
      <c r="BN385" s="64">
        <f t="shared" ref="BN385:BN393" si="38">IFERROR(Y385*I385/H385,"0")</f>
        <v>78.260000000000005</v>
      </c>
      <c r="BO385" s="64">
        <f t="shared" ref="BO385:BO393" si="39">IFERROR(1/J385*(X385/H385),"0")</f>
        <v>0.10521885521885521</v>
      </c>
      <c r="BP385" s="64">
        <f t="shared" ref="BP385:BP393" si="40">IFERROR(1/J385*(Y385/H385),"0")</f>
        <v>0.10606060606060606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13.888888888888888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0.12628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75</v>
      </c>
      <c r="Y395" s="543">
        <f>IFERROR(SUM(Y385:Y393),"0")</f>
        <v>75.600000000000009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74</v>
      </c>
      <c r="Y407" s="542">
        <f>IFERROR(IF(X407="",0,CEILING((X407/$H407),1)*$H407),"")</f>
        <v>75.600000000000009</v>
      </c>
      <c r="Z407" s="36">
        <f>IFERROR(IF(Y407=0,"",ROUNDUP(Y407/H407,0)*0.00902),"")</f>
        <v>0.12628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76.603703703703687</v>
      </c>
      <c r="BN407" s="64">
        <f>IFERROR(Y407*I407/H407,"0")</f>
        <v>78.260000000000005</v>
      </c>
      <c r="BO407" s="64">
        <f>IFERROR(1/J407*(X407/H407),"0")</f>
        <v>0.10381593714927048</v>
      </c>
      <c r="BP407" s="64">
        <f>IFERROR(1/J407*(Y407/H407),"0")</f>
        <v>0.10606060606060606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13.703703703703702</v>
      </c>
      <c r="Y411" s="543">
        <f>IFERROR(Y407/H407,"0")+IFERROR(Y408/H408,"0")+IFERROR(Y409/H409,"0")+IFERROR(Y410/H410,"0")</f>
        <v>14</v>
      </c>
      <c r="Z411" s="543">
        <f>IFERROR(IF(Z407="",0,Z407),"0")+IFERROR(IF(Z408="",0,Z408),"0")+IFERROR(IF(Z409="",0,Z409),"0")+IFERROR(IF(Z410="",0,Z410),"0")</f>
        <v>0.12628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74</v>
      </c>
      <c r="Y412" s="543">
        <f>IFERROR(SUM(Y407:Y410),"0")</f>
        <v>75.600000000000009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68</v>
      </c>
      <c r="Y424" s="542">
        <f t="shared" si="42"/>
        <v>68.64</v>
      </c>
      <c r="Z424" s="36">
        <f t="shared" si="43"/>
        <v>0.15548000000000001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72.507575757575751</v>
      </c>
      <c r="BN424" s="64">
        <f t="shared" si="45"/>
        <v>73.19</v>
      </c>
      <c r="BO424" s="64">
        <f t="shared" si="46"/>
        <v>0.12383449883449885</v>
      </c>
      <c r="BP424" s="64">
        <f t="shared" si="47"/>
        <v>0.125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95</v>
      </c>
      <c r="Y426" s="542">
        <f t="shared" si="42"/>
        <v>95.04</v>
      </c>
      <c r="Z426" s="36">
        <f t="shared" si="43"/>
        <v>0.21528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101.29734848484848</v>
      </c>
      <c r="BN426" s="64">
        <f t="shared" si="45"/>
        <v>101.33999999999999</v>
      </c>
      <c r="BO426" s="64">
        <f t="shared" si="46"/>
        <v>0.17300407925407926</v>
      </c>
      <c r="BP426" s="64">
        <f t="shared" si="47"/>
        <v>0.17307692307692307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30.871212121212121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0.37075999999999998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163</v>
      </c>
      <c r="Y433" s="543">
        <f>IFERROR(SUM(Y421:Y431),"0")</f>
        <v>163.68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57</v>
      </c>
      <c r="Y435" s="542">
        <f>IFERROR(IF(X435="",0,CEILING((X435/$H435),1)*$H435),"")</f>
        <v>58.080000000000005</v>
      </c>
      <c r="Z435" s="36">
        <f>IFERROR(IF(Y435=0,"",ROUNDUP(Y435/H435,0)*0.01196),"")</f>
        <v>0.13156000000000001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60.778409090909079</v>
      </c>
      <c r="BN435" s="64">
        <f>IFERROR(Y435*I435/H435,"0")</f>
        <v>61.93</v>
      </c>
      <c r="BO435" s="64">
        <f>IFERROR(1/J435*(X435/H435),"0")</f>
        <v>0.10380244755244755</v>
      </c>
      <c r="BP435" s="64">
        <f>IFERROR(1/J435*(Y435/H435),"0")</f>
        <v>0.10576923076923078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10.795454545454545</v>
      </c>
      <c r="Y438" s="543">
        <f>IFERROR(Y435/H435,"0")+IFERROR(Y436/H436,"0")+IFERROR(Y437/H437,"0")</f>
        <v>11</v>
      </c>
      <c r="Z438" s="543">
        <f>IFERROR(IF(Z435="",0,Z435),"0")+IFERROR(IF(Z436="",0,Z436),"0")+IFERROR(IF(Z437="",0,Z437),"0")</f>
        <v>0.13156000000000001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57</v>
      </c>
      <c r="Y439" s="543">
        <f>IFERROR(SUM(Y435:Y437),"0")</f>
        <v>58.080000000000005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126</v>
      </c>
      <c r="Y441" s="542">
        <f t="shared" ref="Y441:Y446" si="48">IFERROR(IF(X441="",0,CEILING((X441/$H441),1)*$H441),"")</f>
        <v>126.72</v>
      </c>
      <c r="Z441" s="36">
        <f>IFERROR(IF(Y441=0,"",ROUNDUP(Y441/H441,0)*0.01196),"")</f>
        <v>0.28704000000000002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134.35227272727272</v>
      </c>
      <c r="BN441" s="64">
        <f t="shared" ref="BN441:BN446" si="50">IFERROR(Y441*I441/H441,"0")</f>
        <v>135.11999999999998</v>
      </c>
      <c r="BO441" s="64">
        <f t="shared" ref="BO441:BO446" si="51">IFERROR(1/J441*(X441/H441),"0")</f>
        <v>0.22945804195804198</v>
      </c>
      <c r="BP441" s="64">
        <f t="shared" ref="BP441:BP446" si="52">IFERROR(1/J441*(Y441/H441),"0")</f>
        <v>0.23076923076923078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39</v>
      </c>
      <c r="Y442" s="542">
        <f t="shared" si="48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41.585227272727266</v>
      </c>
      <c r="BN442" s="64">
        <f t="shared" si="50"/>
        <v>45.04</v>
      </c>
      <c r="BO442" s="64">
        <f t="shared" si="51"/>
        <v>7.1022727272727265E-2</v>
      </c>
      <c r="BP442" s="64">
        <f t="shared" si="52"/>
        <v>7.6923076923076927E-2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45</v>
      </c>
      <c r="Y443" s="542">
        <f t="shared" si="48"/>
        <v>47.52</v>
      </c>
      <c r="Z443" s="36">
        <f>IFERROR(IF(Y443=0,"",ROUNDUP(Y443/H443,0)*0.01196),"")</f>
        <v>0.10764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47.98295454545454</v>
      </c>
      <c r="BN443" s="64">
        <f t="shared" si="50"/>
        <v>50.669999999999995</v>
      </c>
      <c r="BO443" s="64">
        <f t="shared" si="51"/>
        <v>8.1949300699300689E-2</v>
      </c>
      <c r="BP443" s="64">
        <f t="shared" si="52"/>
        <v>8.6538461538461536E-2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39.772727272727273</v>
      </c>
      <c r="Y447" s="543">
        <f>IFERROR(Y441/H441,"0")+IFERROR(Y442/H442,"0")+IFERROR(Y443/H443,"0")+IFERROR(Y444/H444,"0")+IFERROR(Y445/H445,"0")+IFERROR(Y446/H446,"0")</f>
        <v>41</v>
      </c>
      <c r="Z447" s="543">
        <f>IFERROR(IF(Z441="",0,Z441),"0")+IFERROR(IF(Z442="",0,Z442),"0")+IFERROR(IF(Z443="",0,Z443),"0")+IFERROR(IF(Z444="",0,Z444),"0")+IFERROR(IF(Z445="",0,Z445),"0")+IFERROR(IF(Z446="",0,Z446),"0")</f>
        <v>0.49036000000000002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210</v>
      </c>
      <c r="Y448" s="543">
        <f>IFERROR(SUM(Y441:Y446),"0")</f>
        <v>216.48000000000002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2933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3037.7199999999993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3100.2710785135787</v>
      </c>
      <c r="Y490" s="543">
        <f>IFERROR(SUM(BN22:BN486),"0")</f>
        <v>3211.2860000000001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3250.2710785135787</v>
      </c>
      <c r="Y492" s="543">
        <f>GrossWeightTotalR+PalletQtyTotalR*25</f>
        <v>3361.2860000000001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633.08188283188269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657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6.3072600000000012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59.2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60.400000000000006</v>
      </c>
      <c r="E499" s="46">
        <f>IFERROR(Y85*1,"0")+IFERROR(Y86*1,"0")+IFERROR(Y87*1,"0")+IFERROR(Y91*1,"0")+IFERROR(Y92*1,"0")+IFERROR(Y93*1,"0")+IFERROR(Y94*1,"0")</f>
        <v>153.9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232.8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272.40000000000003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706.20000000000016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33.979999999999997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64.8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141.60000000000002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615</v>
      </c>
      <c r="T499" s="46">
        <f>IFERROR(Y367*1,"0")+IFERROR(Y368*1,"0")+IFERROR(Y372*1,"0")+IFERROR(Y373*1,"0")+IFERROR(Y377*1,"0")+IFERROR(Y378*1,"0")+IFERROR(Y379*1,"0")</f>
        <v>108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75.600000000000009</v>
      </c>
      <c r="V499" s="46">
        <f>IFERROR(Y403*1,"0")+IFERROR(Y407*1,"0")+IFERROR(Y408*1,"0")+IFERROR(Y409*1,"0")+IFERROR(Y410*1,"0")</f>
        <v>75.600000000000009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438.24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,01"/>
        <filter val="10,80"/>
        <filter val="101,00"/>
        <filter val="102,00"/>
        <filter val="103,00"/>
        <filter val="104,00"/>
        <filter val="108,00"/>
        <filter val="11,00"/>
        <filter val="115,00"/>
        <filter val="119,00"/>
        <filter val="12,00"/>
        <filter val="120,00"/>
        <filter val="126,00"/>
        <filter val="13,70"/>
        <filter val="13,89"/>
        <filter val="131,25"/>
        <filter val="14,77"/>
        <filter val="14,81"/>
        <filter val="15,00"/>
        <filter val="15,14"/>
        <filter val="153,00"/>
        <filter val="163,00"/>
        <filter val="17,00"/>
        <filter val="17,04"/>
        <filter val="18,00"/>
        <filter val="18,52"/>
        <filter val="2 933,00"/>
        <filter val="2,00"/>
        <filter val="2,50"/>
        <filter val="20,00"/>
        <filter val="210,00"/>
        <filter val="23,00"/>
        <filter val="25,00"/>
        <filter val="25,83"/>
        <filter val="263,00"/>
        <filter val="27,00"/>
        <filter val="27,50"/>
        <filter val="278,00"/>
        <filter val="28,00"/>
        <filter val="29,33"/>
        <filter val="3 100,27"/>
        <filter val="3 250,27"/>
        <filter val="30,00"/>
        <filter val="30,87"/>
        <filter val="303,00"/>
        <filter val="315,00"/>
        <filter val="34,00"/>
        <filter val="37,00"/>
        <filter val="39,00"/>
        <filter val="39,77"/>
        <filter val="4,11"/>
        <filter val="40,00"/>
        <filter val="41,00"/>
        <filter val="43,00"/>
        <filter val="440,00"/>
        <filter val="45,00"/>
        <filter val="46,00"/>
        <filter val="53,00"/>
        <filter val="56,00"/>
        <filter val="57,00"/>
        <filter val="59,00"/>
        <filter val="6"/>
        <filter val="6,11"/>
        <filter val="62,00"/>
        <filter val="63,00"/>
        <filter val="633,08"/>
        <filter val="64,00"/>
        <filter val="66,00"/>
        <filter val="68,00"/>
        <filter val="69,81"/>
        <filter val="7,00"/>
        <filter val="7,50"/>
        <filter val="7,67"/>
        <filter val="72,00"/>
        <filter val="73,00"/>
        <filter val="74,00"/>
        <filter val="75,00"/>
        <filter val="85,48"/>
        <filter val="90,00"/>
        <filter val="95,00"/>
        <filter val="99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