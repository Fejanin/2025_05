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41DC66-5D1D-4648-B7C6-CBB13BEB48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O195" i="1"/>
  <c r="BM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X149" i="1"/>
  <c r="X148" i="1"/>
  <c r="BO147" i="1"/>
  <c r="BM147" i="1"/>
  <c r="Y147" i="1"/>
  <c r="P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68" i="1" l="1"/>
  <c r="BN68" i="1"/>
  <c r="Z68" i="1"/>
  <c r="BP100" i="1"/>
  <c r="BN100" i="1"/>
  <c r="Z100" i="1"/>
  <c r="BP135" i="1"/>
  <c r="BN135" i="1"/>
  <c r="Z135" i="1"/>
  <c r="BP140" i="1"/>
  <c r="BN140" i="1"/>
  <c r="Z140" i="1"/>
  <c r="BP166" i="1"/>
  <c r="BN166" i="1"/>
  <c r="Z166" i="1"/>
  <c r="BP197" i="1"/>
  <c r="BN197" i="1"/>
  <c r="Z197" i="1"/>
  <c r="BP225" i="1"/>
  <c r="BN225" i="1"/>
  <c r="Z225" i="1"/>
  <c r="BP254" i="1"/>
  <c r="BN254" i="1"/>
  <c r="Z254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30" i="1"/>
  <c r="BN30" i="1"/>
  <c r="BP53" i="1"/>
  <c r="BN53" i="1"/>
  <c r="Z53" i="1"/>
  <c r="BP80" i="1"/>
  <c r="BN80" i="1"/>
  <c r="Z80" i="1"/>
  <c r="BP85" i="1"/>
  <c r="BN85" i="1"/>
  <c r="Z85" i="1"/>
  <c r="BP112" i="1"/>
  <c r="BN112" i="1"/>
  <c r="Z112" i="1"/>
  <c r="Y172" i="1"/>
  <c r="BP163" i="1"/>
  <c r="BN163" i="1"/>
  <c r="Z163" i="1"/>
  <c r="BP176" i="1"/>
  <c r="BN176" i="1"/>
  <c r="Z176" i="1"/>
  <c r="BP210" i="1"/>
  <c r="BN210" i="1"/>
  <c r="Z210" i="1"/>
  <c r="BP233" i="1"/>
  <c r="BN233" i="1"/>
  <c r="Z233" i="1"/>
  <c r="BP265" i="1"/>
  <c r="BN265" i="1"/>
  <c r="Z265" i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251" i="1"/>
  <c r="Y69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3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4" i="1"/>
  <c r="Z66" i="1"/>
  <c r="BN66" i="1"/>
  <c r="BP66" i="1"/>
  <c r="Z74" i="1"/>
  <c r="BN74" i="1"/>
  <c r="Z87" i="1"/>
  <c r="BN87" i="1"/>
  <c r="Y95" i="1"/>
  <c r="Z93" i="1"/>
  <c r="BN93" i="1"/>
  <c r="Z102" i="1"/>
  <c r="BN102" i="1"/>
  <c r="Z108" i="1"/>
  <c r="BN108" i="1"/>
  <c r="Y116" i="1"/>
  <c r="Z114" i="1"/>
  <c r="BN114" i="1"/>
  <c r="Z129" i="1"/>
  <c r="BN129" i="1"/>
  <c r="BP129" i="1"/>
  <c r="Z146" i="1"/>
  <c r="BN146" i="1"/>
  <c r="Z151" i="1"/>
  <c r="Z152" i="1" s="1"/>
  <c r="BN151" i="1"/>
  <c r="BP151" i="1"/>
  <c r="Y152" i="1"/>
  <c r="Z157" i="1"/>
  <c r="Z158" i="1" s="1"/>
  <c r="BN157" i="1"/>
  <c r="BP157" i="1"/>
  <c r="Z161" i="1"/>
  <c r="BN161" i="1"/>
  <c r="BP161" i="1"/>
  <c r="Z168" i="1"/>
  <c r="BN168" i="1"/>
  <c r="Z174" i="1"/>
  <c r="BN174" i="1"/>
  <c r="Z180" i="1"/>
  <c r="Z181" i="1" s="1"/>
  <c r="BN180" i="1"/>
  <c r="BP180" i="1"/>
  <c r="Y181" i="1"/>
  <c r="Z185" i="1"/>
  <c r="BN185" i="1"/>
  <c r="Z195" i="1"/>
  <c r="BN195" i="1"/>
  <c r="BP195" i="1"/>
  <c r="Z199" i="1"/>
  <c r="BN199" i="1"/>
  <c r="Z207" i="1"/>
  <c r="BN207" i="1"/>
  <c r="Z212" i="1"/>
  <c r="BN212" i="1"/>
  <c r="Z218" i="1"/>
  <c r="BN21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9" i="1"/>
  <c r="BN249" i="1"/>
  <c r="Y260" i="1"/>
  <c r="Z256" i="1"/>
  <c r="BN256" i="1"/>
  <c r="Z263" i="1"/>
  <c r="BN263" i="1"/>
  <c r="Z272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18" i="1"/>
  <c r="Y380" i="1"/>
  <c r="Y454" i="1"/>
  <c r="Y453" i="1"/>
  <c r="F9" i="1"/>
  <c r="J9" i="1"/>
  <c r="F10" i="1"/>
  <c r="Y31" i="1"/>
  <c r="Y43" i="1"/>
  <c r="Y58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1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Y63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BP316" i="1"/>
  <c r="BN316" i="1"/>
  <c r="Z316" i="1"/>
  <c r="Z318" i="1" s="1"/>
  <c r="Y325" i="1"/>
  <c r="BP324" i="1"/>
  <c r="BN324" i="1"/>
  <c r="Z324" i="1"/>
  <c r="Z325" i="1" s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53" i="1" l="1"/>
  <c r="Z399" i="1"/>
  <c r="Z375" i="1"/>
  <c r="Z411" i="1"/>
  <c r="Z171" i="1"/>
  <c r="Z142" i="1"/>
  <c r="Z88" i="1"/>
  <c r="Z69" i="1"/>
  <c r="Y490" i="1"/>
  <c r="Y493" i="1"/>
  <c r="Z438" i="1"/>
  <c r="Z250" i="1"/>
  <c r="Z462" i="1"/>
  <c r="Z95" i="1"/>
  <c r="Y491" i="1"/>
  <c r="Z63" i="1"/>
  <c r="Z57" i="1"/>
  <c r="Z31" i="1"/>
  <c r="Z295" i="1"/>
  <c r="Z203" i="1"/>
  <c r="Z76" i="1"/>
  <c r="Y492" i="1"/>
  <c r="Z447" i="1"/>
  <c r="Z432" i="1"/>
  <c r="Z215" i="1"/>
  <c r="Z103" i="1"/>
  <c r="Z394" i="1"/>
  <c r="Z338" i="1"/>
  <c r="Z234" i="1"/>
  <c r="Y489" i="1"/>
  <c r="X492" i="1"/>
  <c r="Z305" i="1"/>
  <c r="Z274" i="1"/>
  <c r="Z148" i="1"/>
  <c r="Z494" i="1" l="1"/>
</calcChain>
</file>

<file path=xl/sharedStrings.xml><?xml version="1.0" encoding="utf-8"?>
<sst xmlns="http://schemas.openxmlformats.org/spreadsheetml/2006/main" count="2228" uniqueCount="764">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</sst>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45991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0.375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88</v>
      </c>
      <c r="B29" s="54" t="s">
        <v>89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20</v>
      </c>
      <c r="Y40" s="542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20.75925925925926</v>
      </c>
      <c r="BN40" s="64">
        <f>IFERROR(Y40*I40/H40,"0")</f>
        <v>22.42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1.8518518518518516</v>
      </c>
      <c r="Y43" s="543">
        <f>IFERROR(Y40/H40,"0")+IFERROR(Y41/H41,"0")+IFERROR(Y42/H42,"0")</f>
        <v>2</v>
      </c>
      <c r="Z43" s="543">
        <f>IFERROR(IF(Z40="",0,Z40),"0")+IFERROR(IF(Z41="",0,Z41),"0")+IFERROR(IF(Z42="",0,Z42),"0")</f>
        <v>3.7960000000000001E-2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20</v>
      </c>
      <c r="Y44" s="543">
        <f>IFERROR(SUM(Y40:Y42),"0")</f>
        <v>21.6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60</v>
      </c>
      <c r="Y52" s="542">
        <f t="shared" si="0"/>
        <v>64.800000000000011</v>
      </c>
      <c r="Z52" s="36">
        <f>IFERROR(IF(Y52=0,"",ROUNDUP(Y52/H52,0)*0.01898),"")</f>
        <v>0.11388000000000001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62.277777777777779</v>
      </c>
      <c r="BN52" s="64">
        <f t="shared" si="2"/>
        <v>67.260000000000005</v>
      </c>
      <c r="BO52" s="64">
        <f t="shared" si="3"/>
        <v>8.6805555555555552E-2</v>
      </c>
      <c r="BP52" s="64">
        <f t="shared" si="4"/>
        <v>9.3750000000000014E-2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27</v>
      </c>
      <c r="Y56" s="542">
        <f t="shared" si="0"/>
        <v>27</v>
      </c>
      <c r="Z56" s="36">
        <f>IFERROR(IF(Y56=0,"",ROUNDUP(Y56/H56,0)*0.00902),"")</f>
        <v>5.4120000000000001E-2</v>
      </c>
      <c r="AA56" s="56"/>
      <c r="AB56" s="57"/>
      <c r="AC56" s="101" t="s">
        <v>135</v>
      </c>
      <c r="AG56" s="64"/>
      <c r="AJ56" s="68" t="s">
        <v>80</v>
      </c>
      <c r="AK56" s="68">
        <v>54</v>
      </c>
      <c r="BB56" s="102" t="s">
        <v>1</v>
      </c>
      <c r="BM56" s="64">
        <f t="shared" si="1"/>
        <v>28.14</v>
      </c>
      <c r="BN56" s="64">
        <f t="shared" si="2"/>
        <v>28.14</v>
      </c>
      <c r="BO56" s="64">
        <f t="shared" si="3"/>
        <v>4.5454545454545456E-2</v>
      </c>
      <c r="BP56" s="64">
        <f t="shared" si="4"/>
        <v>4.5454545454545456E-2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11.555555555555555</v>
      </c>
      <c r="Y57" s="543">
        <f>IFERROR(Y51/H51,"0")+IFERROR(Y52/H52,"0")+IFERROR(Y53/H53,"0")+IFERROR(Y54/H54,"0")+IFERROR(Y55/H55,"0")+IFERROR(Y56/H56,"0")</f>
        <v>12</v>
      </c>
      <c r="Z57" s="543">
        <f>IFERROR(IF(Z51="",0,Z51),"0")+IFERROR(IF(Z52="",0,Z52),"0")+IFERROR(IF(Z53="",0,Z53),"0")+IFERROR(IF(Z54="",0,Z54),"0")+IFERROR(IF(Z55="",0,Z55),"0")+IFERROR(IF(Z56="",0,Z56),"0")</f>
        <v>0.16800000000000001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87</v>
      </c>
      <c r="Y58" s="543">
        <f>IFERROR(SUM(Y51:Y56),"0")</f>
        <v>91.800000000000011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30</v>
      </c>
      <c r="Y60" s="542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31.138888888888889</v>
      </c>
      <c r="BN60" s="64">
        <f>IFERROR(Y60*I60/H60,"0")</f>
        <v>33.630000000000003</v>
      </c>
      <c r="BO60" s="64">
        <f>IFERROR(1/J60*(X60/H60),"0")</f>
        <v>4.3402777777777776E-2</v>
      </c>
      <c r="BP60" s="64">
        <f>IFERROR(1/J60*(Y60/H60),"0")</f>
        <v>4.6875000000000007E-2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2.7777777777777777</v>
      </c>
      <c r="Y63" s="543">
        <f>IFERROR(Y60/H60,"0")+IFERROR(Y61/H61,"0")+IFERROR(Y62/H62,"0")</f>
        <v>3.0000000000000004</v>
      </c>
      <c r="Z63" s="543">
        <f>IFERROR(IF(Z60="",0,Z60),"0")+IFERROR(IF(Z61="",0,Z61),"0")+IFERROR(IF(Z62="",0,Z62),"0")</f>
        <v>5.6940000000000004E-2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30</v>
      </c>
      <c r="Y64" s="543">
        <f>IFERROR(SUM(Y60:Y62),"0")</f>
        <v>32.400000000000006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80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15</v>
      </c>
      <c r="Y91" s="542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181</v>
      </c>
      <c r="AG91" s="64"/>
      <c r="AJ91" s="68"/>
      <c r="AK91" s="68">
        <v>0</v>
      </c>
      <c r="BB91" s="134" t="s">
        <v>1</v>
      </c>
      <c r="BM91" s="64">
        <f>IFERROR(X91*I91/H91,"0")</f>
        <v>15.914814814814815</v>
      </c>
      <c r="BN91" s="64">
        <f>IFERROR(Y91*I91/H91,"0")</f>
        <v>17.187999999999999</v>
      </c>
      <c r="BO91" s="64">
        <f>IFERROR(1/J91*(X91/H91),"0")</f>
        <v>2.8935185185185185E-2</v>
      </c>
      <c r="BP91" s="64">
        <f>IFERROR(1/J91*(Y91/H91),"0")</f>
        <v>3.125E-2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1.8518518518518519</v>
      </c>
      <c r="Y95" s="543">
        <f>IFERROR(Y91/H91,"0")+IFERROR(Y92/H92,"0")+IFERROR(Y93/H93,"0")+IFERROR(Y94/H94,"0")</f>
        <v>2</v>
      </c>
      <c r="Z95" s="543">
        <f>IFERROR(IF(Z91="",0,Z91),"0")+IFERROR(IF(Z92="",0,Z92),"0")+IFERROR(IF(Z93="",0,Z93),"0")+IFERROR(IF(Z94="",0,Z94),"0")</f>
        <v>3.7960000000000001E-2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15</v>
      </c>
      <c r="Y96" s="543">
        <f>IFERROR(SUM(Y91:Y94),"0")</f>
        <v>16.2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78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60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/>
      <c r="AK112" s="68">
        <v>0</v>
      </c>
      <c r="BB112" s="156" t="s">
        <v>1</v>
      </c>
      <c r="BM112" s="64">
        <f>IFERROR(X112*I112/H112,"0")</f>
        <v>63.614814814814814</v>
      </c>
      <c r="BN112" s="64">
        <f>IFERROR(Y112*I112/H112,"0")</f>
        <v>68.703999999999994</v>
      </c>
      <c r="BO112" s="64">
        <f>IFERROR(1/J112*(X112/H112),"0")</f>
        <v>0.11574074074074074</v>
      </c>
      <c r="BP112" s="64">
        <f>IFERROR(1/J112*(Y112/H112),"0")</f>
        <v>0.125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13.5</v>
      </c>
      <c r="Y114" s="542">
        <f>IFERROR(IF(X114="",0,CEILING((X114/$H114),1)*$H114),"")</f>
        <v>13.5</v>
      </c>
      <c r="Z114" s="36">
        <f>IFERROR(IF(Y114=0,"",ROUNDUP(Y114/H114,0)*0.00651),"")</f>
        <v>3.2550000000000003E-2</v>
      </c>
      <c r="AA114" s="56"/>
      <c r="AB114" s="57"/>
      <c r="AC114" s="159" t="s">
        <v>209</v>
      </c>
      <c r="AG114" s="64"/>
      <c r="AJ114" s="68"/>
      <c r="AK114" s="68">
        <v>0</v>
      </c>
      <c r="BB114" s="160" t="s">
        <v>1</v>
      </c>
      <c r="BM114" s="64">
        <f>IFERROR(X114*I114/H114,"0")</f>
        <v>14.759999999999998</v>
      </c>
      <c r="BN114" s="64">
        <f>IFERROR(Y114*I114/H114,"0")</f>
        <v>14.759999999999998</v>
      </c>
      <c r="BO114" s="64">
        <f>IFERROR(1/J114*(X114/H114),"0")</f>
        <v>2.7472527472527476E-2</v>
      </c>
      <c r="BP114" s="64">
        <f>IFERROR(1/J114*(Y114/H114),"0")</f>
        <v>2.7472527472527476E-2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12.407407407407408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0.18439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73.5</v>
      </c>
      <c r="Y117" s="543">
        <f>IFERROR(SUM(Y112:Y115),"0")</f>
        <v>78.3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/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/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78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80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20</v>
      </c>
      <c r="Y162" s="542">
        <f t="shared" si="5"/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21.19047619047619</v>
      </c>
      <c r="BN162" s="64">
        <f t="shared" si="7"/>
        <v>22.25</v>
      </c>
      <c r="BO162" s="64">
        <f t="shared" si="8"/>
        <v>3.6075036075036072E-2</v>
      </c>
      <c r="BP162" s="64">
        <f t="shared" si="9"/>
        <v>3.787878787878788E-2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20</v>
      </c>
      <c r="Y163" s="542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264</v>
      </c>
      <c r="AG163" s="64"/>
      <c r="AJ163" s="68" t="s">
        <v>80</v>
      </c>
      <c r="AK163" s="68">
        <v>50.4</v>
      </c>
      <c r="BB163" s="196" t="s">
        <v>1</v>
      </c>
      <c r="BM163" s="64">
        <f t="shared" si="6"/>
        <v>20.904761904761902</v>
      </c>
      <c r="BN163" s="64">
        <f t="shared" si="7"/>
        <v>21.95</v>
      </c>
      <c r="BO163" s="64">
        <f t="shared" si="8"/>
        <v>3.6075036075036072E-2</v>
      </c>
      <c r="BP163" s="64">
        <f t="shared" si="9"/>
        <v>3.787878787878788E-2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269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80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80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9.5238095238095237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9.0200000000000002E-2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40</v>
      </c>
      <c r="Y172" s="543">
        <f>IFERROR(SUM(Y161:Y170),"0")</f>
        <v>42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60</v>
      </c>
      <c r="Y195" s="542">
        <f t="shared" ref="Y195:Y202" si="10">IFERROR(IF(X195="",0,CEILING((X195/$H195),1)*$H195),"")</f>
        <v>64.800000000000011</v>
      </c>
      <c r="Z195" s="36">
        <f>IFERROR(IF(Y195=0,"",ROUNDUP(Y195/H195,0)*0.00902),"")</f>
        <v>0.10824</v>
      </c>
      <c r="AA195" s="56"/>
      <c r="AB195" s="57"/>
      <c r="AC195" s="227" t="s">
        <v>310</v>
      </c>
      <c r="AG195" s="64"/>
      <c r="AJ195" s="68" t="s">
        <v>80</v>
      </c>
      <c r="AK195" s="68">
        <v>64.8</v>
      </c>
      <c r="BB195" s="228" t="s">
        <v>1</v>
      </c>
      <c r="BM195" s="64">
        <f t="shared" ref="BM195:BM202" si="11">IFERROR(X195*I195/H195,"0")</f>
        <v>62.1111111111111</v>
      </c>
      <c r="BN195" s="64">
        <f t="shared" ref="BN195:BN202" si="12">IFERROR(Y195*I195/H195,"0")</f>
        <v>67.08</v>
      </c>
      <c r="BO195" s="64">
        <f t="shared" ref="BO195:BO202" si="13">IFERROR(1/J195*(X195/H195),"0")</f>
        <v>8.4175084175084181E-2</v>
      </c>
      <c r="BP195" s="64">
        <f t="shared" ref="BP195:BP202" si="14">IFERROR(1/J195*(Y195/H195),"0")</f>
        <v>9.0909090909090925E-2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30</v>
      </c>
      <c r="Y196" s="542">
        <f t="shared" si="10"/>
        <v>32.400000000000006</v>
      </c>
      <c r="Z196" s="36">
        <f>IFERROR(IF(Y196=0,"",ROUNDUP(Y196/H196,0)*0.00902),"")</f>
        <v>5.4120000000000001E-2</v>
      </c>
      <c r="AA196" s="56"/>
      <c r="AB196" s="57"/>
      <c r="AC196" s="229" t="s">
        <v>313</v>
      </c>
      <c r="AG196" s="64"/>
      <c r="AJ196" s="68" t="s">
        <v>80</v>
      </c>
      <c r="AK196" s="68">
        <v>64.8</v>
      </c>
      <c r="BB196" s="230" t="s">
        <v>1</v>
      </c>
      <c r="BM196" s="64">
        <f t="shared" si="11"/>
        <v>31.05555555555555</v>
      </c>
      <c r="BN196" s="64">
        <f t="shared" si="12"/>
        <v>33.54</v>
      </c>
      <c r="BO196" s="64">
        <f t="shared" si="13"/>
        <v>4.208754208754209E-2</v>
      </c>
      <c r="BP196" s="64">
        <f t="shared" si="14"/>
        <v>4.5454545454545463E-2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50</v>
      </c>
      <c r="Y197" s="542">
        <f t="shared" si="10"/>
        <v>54</v>
      </c>
      <c r="Z197" s="36">
        <f>IFERROR(IF(Y197=0,"",ROUNDUP(Y197/H197,0)*0.00902),"")</f>
        <v>9.0200000000000002E-2</v>
      </c>
      <c r="AA197" s="56"/>
      <c r="AB197" s="57"/>
      <c r="AC197" s="231" t="s">
        <v>316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51.759259259259252</v>
      </c>
      <c r="BN197" s="64">
        <f t="shared" si="12"/>
        <v>55.9</v>
      </c>
      <c r="BO197" s="64">
        <f t="shared" si="13"/>
        <v>7.0145903479236812E-2</v>
      </c>
      <c r="BP197" s="64">
        <f t="shared" si="14"/>
        <v>7.575757575757576E-2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50</v>
      </c>
      <c r="Y198" s="542">
        <f t="shared" si="10"/>
        <v>54</v>
      </c>
      <c r="Z198" s="36">
        <f>IFERROR(IF(Y198=0,"",ROUNDUP(Y198/H198,0)*0.00902),"")</f>
        <v>9.0200000000000002E-2</v>
      </c>
      <c r="AA198" s="56"/>
      <c r="AB198" s="57"/>
      <c r="AC198" s="233" t="s">
        <v>319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51.759259259259252</v>
      </c>
      <c r="BN198" s="64">
        <f t="shared" si="12"/>
        <v>55.9</v>
      </c>
      <c r="BO198" s="64">
        <f t="shared" si="13"/>
        <v>7.0145903479236812E-2</v>
      </c>
      <c r="BP198" s="64">
        <f t="shared" si="14"/>
        <v>7.575757575757576E-2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80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273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35.185185185185183</v>
      </c>
      <c r="Y203" s="543">
        <f>IFERROR(Y195/H195,"0")+IFERROR(Y196/H196,"0")+IFERROR(Y197/H197,"0")+IFERROR(Y198/H198,"0")+IFERROR(Y199/H199,"0")+IFERROR(Y200/H200,"0")+IFERROR(Y201/H201,"0")+IFERROR(Y202/H202,"0")</f>
        <v>38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0.34276000000000001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190</v>
      </c>
      <c r="Y204" s="543">
        <f>IFERROR(SUM(Y195:Y202),"0")</f>
        <v>205.20000000000002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78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78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80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77</v>
      </c>
      <c r="M209" s="33" t="s">
        <v>78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4.8000000000000007</v>
      </c>
      <c r="Y209" s="542">
        <f t="shared" si="15"/>
        <v>4.8</v>
      </c>
      <c r="Z209" s="36">
        <f t="shared" ref="Z209:Z214" si="20">IFERROR(IF(Y209=0,"",ROUNDUP(Y209/H209,0)*0.00651),"")</f>
        <v>1.302E-2</v>
      </c>
      <c r="AA209" s="56"/>
      <c r="AB209" s="57"/>
      <c r="AC209" s="249" t="s">
        <v>330</v>
      </c>
      <c r="AG209" s="64"/>
      <c r="AJ209" s="68" t="s">
        <v>80</v>
      </c>
      <c r="AK209" s="68">
        <v>33.6</v>
      </c>
      <c r="BB209" s="250" t="s">
        <v>1</v>
      </c>
      <c r="BM209" s="64">
        <f t="shared" si="16"/>
        <v>5.3400000000000007</v>
      </c>
      <c r="BN209" s="64">
        <f t="shared" si="17"/>
        <v>5.34</v>
      </c>
      <c r="BO209" s="64">
        <f t="shared" si="18"/>
        <v>1.0989010989010992E-2</v>
      </c>
      <c r="BP209" s="64">
        <f t="shared" si="19"/>
        <v>1.098901098901099E-2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86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77</v>
      </c>
      <c r="M211" s="33" t="s">
        <v>78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80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78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77</v>
      </c>
      <c r="M213" s="33" t="s">
        <v>86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80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77</v>
      </c>
      <c r="M214" s="33" t="s">
        <v>78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2.0000000000000004</v>
      </c>
      <c r="Y215" s="543">
        <f>IFERROR(Y206/H206,"0")+IFERROR(Y207/H207,"0")+IFERROR(Y208/H208,"0")+IFERROR(Y209/H209,"0")+IFERROR(Y210/H210,"0")+IFERROR(Y211/H211,"0")+IFERROR(Y212/H212,"0")+IFERROR(Y213/H213,"0")+IFERROR(Y214/H214,"0")</f>
        <v>2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1.302E-2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4.8000000000000007</v>
      </c>
      <c r="Y216" s="543">
        <f>IFERROR(SUM(Y206:Y214),"0")</f>
        <v>4.8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77</v>
      </c>
      <c r="M218" s="33" t="s">
        <v>86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80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77</v>
      </c>
      <c r="M219" s="33" t="s">
        <v>78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/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80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78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/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20</v>
      </c>
      <c r="Y256" s="542">
        <f>IFERROR(IF(X256="",0,CEILING((X256/$H256),1)*$H256),"")</f>
        <v>21.6</v>
      </c>
      <c r="Z256" s="36">
        <f>IFERROR(IF(Y256=0,"",ROUNDUP(Y256/H256,0)*0.01898),"")</f>
        <v>3.7960000000000001E-2</v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20.75925925925926</v>
      </c>
      <c r="BN256" s="64">
        <f>IFERROR(Y256*I256/H256,"0")</f>
        <v>22.42</v>
      </c>
      <c r="BO256" s="64">
        <f>IFERROR(1/J256*(X256/H256),"0")</f>
        <v>2.8935185185185182E-2</v>
      </c>
      <c r="BP256" s="64">
        <f>IFERROR(1/J256*(Y256/H256),"0")</f>
        <v>3.125E-2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1.8518518518518516</v>
      </c>
      <c r="Y259" s="543">
        <f>IFERROR(Y254/H254,"0")+IFERROR(Y255/H255,"0")+IFERROR(Y256/H256,"0")+IFERROR(Y257/H257,"0")+IFERROR(Y258/H258,"0")</f>
        <v>2</v>
      </c>
      <c r="Z259" s="543">
        <f>IFERROR(IF(Z254="",0,Z254),"0")+IFERROR(IF(Z255="",0,Z255),"0")+IFERROR(IF(Z256="",0,Z256),"0")+IFERROR(IF(Z257="",0,Z257),"0")+IFERROR(IF(Z258="",0,Z258),"0")</f>
        <v>3.7960000000000001E-2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20</v>
      </c>
      <c r="Y260" s="543">
        <f>IFERROR(SUM(Y254:Y258),"0")</f>
        <v>21.6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78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78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77</v>
      </c>
      <c r="M272" s="33" t="s">
        <v>86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80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78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/>
      <c r="M283" s="33" t="s">
        <v>78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78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/>
      <c r="M290" s="33" t="s">
        <v>78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78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/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/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20</v>
      </c>
      <c r="Y298" s="542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80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77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80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4.7619047619047619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4.5100000000000001E-2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20</v>
      </c>
      <c r="Y306" s="543">
        <f>IFERROR(SUM(Y298:Y304),"0")</f>
        <v>21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hidden="1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/>
      <c r="M308" s="33" t="s">
        <v>78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78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78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78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80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30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80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/>
      <c r="M317" s="33" t="s">
        <v>86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3.8461538461538463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30</v>
      </c>
      <c r="Y319" s="543">
        <f>IFERROR(SUM(Y315:Y317),"0")</f>
        <v>31.2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77</v>
      </c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80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/>
      <c r="M335" s="33" t="s">
        <v>86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77</v>
      </c>
      <c r="M336" s="33" t="s">
        <v>78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8.3999999999999986</v>
      </c>
      <c r="Y336" s="542">
        <f>IFERROR(IF(X336="",0,CEILING((X336/$H336),1)*$H336),"")</f>
        <v>8.4</v>
      </c>
      <c r="Z336" s="36">
        <f>IFERROR(IF(Y336=0,"",ROUNDUP(Y336/H336,0)*0.00651),"")</f>
        <v>2.6040000000000001E-2</v>
      </c>
      <c r="AA336" s="56"/>
      <c r="AB336" s="57"/>
      <c r="AC336" s="387" t="s">
        <v>531</v>
      </c>
      <c r="AG336" s="64"/>
      <c r="AJ336" s="68" t="s">
        <v>80</v>
      </c>
      <c r="AK336" s="68">
        <v>29.4</v>
      </c>
      <c r="BB336" s="388" t="s">
        <v>1</v>
      </c>
      <c r="BM336" s="64">
        <f>IFERROR(X336*I336/H336,"0")</f>
        <v>9.4079999999999977</v>
      </c>
      <c r="BN336" s="64">
        <f>IFERROR(Y336*I336/H336,"0")</f>
        <v>9.4079999999999995</v>
      </c>
      <c r="BO336" s="64">
        <f>IFERROR(1/J336*(X336/H336),"0")</f>
        <v>2.1978021978021976E-2</v>
      </c>
      <c r="BP336" s="64">
        <f>IFERROR(1/J336*(Y336/H336),"0")</f>
        <v>2.197802197802198E-2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77</v>
      </c>
      <c r="M337" s="33" t="s">
        <v>86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6.3</v>
      </c>
      <c r="Y337" s="542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534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7.02</v>
      </c>
      <c r="BN337" s="64">
        <f>IFERROR(Y337*I337/H337,"0")</f>
        <v>7.0200000000000005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6.9999999999999991</v>
      </c>
      <c r="Y338" s="543">
        <f>IFERROR(Y335/H335,"0")+IFERROR(Y336/H336,"0")+IFERROR(Y337/H337,"0")</f>
        <v>7</v>
      </c>
      <c r="Z338" s="543">
        <f>IFERROR(IF(Z335="",0,Z335),"0")+IFERROR(IF(Z336="",0,Z336),"0")+IFERROR(IF(Z337="",0,Z337),"0")</f>
        <v>4.5569999999999999E-2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14.7</v>
      </c>
      <c r="Y339" s="543">
        <f>IFERROR(SUM(Y335:Y337),"0")</f>
        <v>14.700000000000001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hidden="1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 t="s">
        <v>105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 t="s">
        <v>80</v>
      </c>
      <c r="AK343" s="68">
        <v>120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 t="s">
        <v>105</v>
      </c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90</v>
      </c>
      <c r="Y344" s="542">
        <f t="shared" si="36"/>
        <v>90</v>
      </c>
      <c r="Z344" s="36">
        <f>IFERROR(IF(Y344=0,"",ROUNDUP(Y344/H344,0)*0.02175),"")</f>
        <v>0.1305</v>
      </c>
      <c r="AA344" s="56"/>
      <c r="AB344" s="57"/>
      <c r="AC344" s="393" t="s">
        <v>542</v>
      </c>
      <c r="AG344" s="64"/>
      <c r="AJ344" s="68" t="s">
        <v>80</v>
      </c>
      <c r="AK344" s="68">
        <v>120</v>
      </c>
      <c r="BB344" s="394" t="s">
        <v>1</v>
      </c>
      <c r="BM344" s="64">
        <f t="shared" si="37"/>
        <v>92.82</v>
      </c>
      <c r="BN344" s="64">
        <f t="shared" si="38"/>
        <v>92.82</v>
      </c>
      <c r="BO344" s="64">
        <f t="shared" si="39"/>
        <v>0.125</v>
      </c>
      <c r="BP344" s="64">
        <f t="shared" si="40"/>
        <v>0.125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 t="s">
        <v>105</v>
      </c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90</v>
      </c>
      <c r="Y345" s="542">
        <f t="shared" si="36"/>
        <v>90</v>
      </c>
      <c r="Z345" s="36">
        <f>IFERROR(IF(Y345=0,"",ROUNDUP(Y345/H345,0)*0.02175),"")</f>
        <v>0.1305</v>
      </c>
      <c r="AA345" s="56"/>
      <c r="AB345" s="57"/>
      <c r="AC345" s="395" t="s">
        <v>545</v>
      </c>
      <c r="AG345" s="64"/>
      <c r="AJ345" s="68" t="s">
        <v>80</v>
      </c>
      <c r="AK345" s="68">
        <v>120</v>
      </c>
      <c r="BB345" s="396" t="s">
        <v>1</v>
      </c>
      <c r="BM345" s="64">
        <f t="shared" si="37"/>
        <v>92.82</v>
      </c>
      <c r="BN345" s="64">
        <f t="shared" si="38"/>
        <v>92.82</v>
      </c>
      <c r="BO345" s="64">
        <f t="shared" si="39"/>
        <v>0.125</v>
      </c>
      <c r="BP345" s="64">
        <f t="shared" si="40"/>
        <v>0.125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86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12</v>
      </c>
      <c r="Y350" s="543">
        <f>IFERROR(Y343/H343,"0")+IFERROR(Y344/H344,"0")+IFERROR(Y345/H345,"0")+IFERROR(Y346/H346,"0")+IFERROR(Y347/H347,"0")+IFERROR(Y348/H348,"0")+IFERROR(Y349/H349,"0")</f>
        <v>12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0.26100000000000001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180</v>
      </c>
      <c r="Y351" s="543">
        <f>IFERROR(SUM(Y343:Y349),"0")</f>
        <v>180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 t="s">
        <v>105</v>
      </c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 t="s">
        <v>80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hidden="1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/>
      <c r="M358" s="33" t="s">
        <v>78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78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/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/>
      <c r="M378" s="33" t="s">
        <v>78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78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/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25</v>
      </c>
      <c r="Y385" s="542">
        <f t="shared" ref="Y385:Y393" si="41">IFERROR(IF(X385="",0,CEILING((X385/$H385),1)*$H385),"")</f>
        <v>27</v>
      </c>
      <c r="Z385" s="36">
        <f>IFERROR(IF(Y385=0,"",ROUNDUP(Y385/H385,0)*0.00902),"")</f>
        <v>4.5100000000000001E-2</v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42">IFERROR(X385*I385/H385,"0")</f>
        <v>25.879629629629626</v>
      </c>
      <c r="BN385" s="64">
        <f t="shared" ref="BN385:BN393" si="43">IFERROR(Y385*I385/H385,"0")</f>
        <v>27.95</v>
      </c>
      <c r="BO385" s="64">
        <f t="shared" ref="BO385:BO393" si="44">IFERROR(1/J385*(X385/H385),"0")</f>
        <v>3.5072951739618406E-2</v>
      </c>
      <c r="BP385" s="64">
        <f t="shared" ref="BP385:BP393" si="45">IFERROR(1/J385*(Y385/H385),"0")</f>
        <v>3.787878787878788E-2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15</v>
      </c>
      <c r="Y387" s="542">
        <f t="shared" si="41"/>
        <v>16.200000000000003</v>
      </c>
      <c r="Z387" s="36">
        <f>IFERROR(IF(Y387=0,"",ROUNDUP(Y387/H387,0)*0.00902),"")</f>
        <v>2.7060000000000001E-2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15.527777777777775</v>
      </c>
      <c r="BN387" s="64">
        <f t="shared" si="43"/>
        <v>16.77</v>
      </c>
      <c r="BO387" s="64">
        <f t="shared" si="44"/>
        <v>2.1043771043771045E-2</v>
      </c>
      <c r="BP387" s="64">
        <f t="shared" si="45"/>
        <v>2.2727272727272731E-2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273</v>
      </c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 t="s">
        <v>80</v>
      </c>
      <c r="AK389" s="68">
        <v>37.799999999999997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7.4074074074074074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7.2160000000000002E-2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40</v>
      </c>
      <c r="Y395" s="543">
        <f>IFERROR(SUM(Y385:Y393),"0")</f>
        <v>43.2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/>
      <c r="M397" s="33" t="s">
        <v>78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78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/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80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20</v>
      </c>
      <c r="Y423" s="542">
        <f t="shared" si="47"/>
        <v>21.12</v>
      </c>
      <c r="Z423" s="36">
        <f t="shared" si="48"/>
        <v>4.7840000000000001E-2</v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21.325757575757574</v>
      </c>
      <c r="BN423" s="64">
        <f t="shared" si="50"/>
        <v>22.52</v>
      </c>
      <c r="BO423" s="64">
        <f t="shared" si="51"/>
        <v>3.6421911421911424E-2</v>
      </c>
      <c r="BP423" s="64">
        <f t="shared" si="52"/>
        <v>3.8461538461538464E-2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78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60</v>
      </c>
      <c r="Y424" s="542">
        <f t="shared" si="47"/>
        <v>63.36</v>
      </c>
      <c r="Z424" s="36">
        <f t="shared" si="48"/>
        <v>0.14352000000000001</v>
      </c>
      <c r="AA424" s="56"/>
      <c r="AB424" s="57"/>
      <c r="AC424" s="467" t="s">
        <v>648</v>
      </c>
      <c r="AG424" s="64"/>
      <c r="AJ424" s="68" t="s">
        <v>80</v>
      </c>
      <c r="AK424" s="68">
        <v>42.24</v>
      </c>
      <c r="BB424" s="468" t="s">
        <v>1</v>
      </c>
      <c r="BM424" s="64">
        <f t="shared" si="49"/>
        <v>63.977272727272727</v>
      </c>
      <c r="BN424" s="64">
        <f t="shared" si="50"/>
        <v>67.559999999999988</v>
      </c>
      <c r="BO424" s="64">
        <f t="shared" si="51"/>
        <v>0.10926573426573427</v>
      </c>
      <c r="BP424" s="64">
        <f t="shared" si="52"/>
        <v>0.11538461538461539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130</v>
      </c>
      <c r="Y426" s="542">
        <f t="shared" si="47"/>
        <v>132</v>
      </c>
      <c r="Z426" s="36">
        <f t="shared" si="48"/>
        <v>0.29899999999999999</v>
      </c>
      <c r="AA426" s="56"/>
      <c r="AB426" s="57"/>
      <c r="AC426" s="471" t="s">
        <v>654</v>
      </c>
      <c r="AG426" s="64"/>
      <c r="AJ426" s="68" t="s">
        <v>80</v>
      </c>
      <c r="AK426" s="68">
        <v>42.24</v>
      </c>
      <c r="BB426" s="472" t="s">
        <v>1</v>
      </c>
      <c r="BM426" s="64">
        <f t="shared" si="49"/>
        <v>138.61742424242422</v>
      </c>
      <c r="BN426" s="64">
        <f t="shared" si="50"/>
        <v>140.75</v>
      </c>
      <c r="BO426" s="64">
        <f t="shared" si="51"/>
        <v>0.23674242424242425</v>
      </c>
      <c r="BP426" s="64">
        <f t="shared" si="52"/>
        <v>0.24038461538461539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78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39.772727272727273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0.49036000000000002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210</v>
      </c>
      <c r="Y433" s="543">
        <f>IFERROR(SUM(Y421:Y431),"0")</f>
        <v>216.48000000000002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/>
      <c r="M435" s="33" t="s">
        <v>78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60</v>
      </c>
      <c r="Y435" s="542">
        <f>IFERROR(IF(X435="",0,CEILING((X435/$H435),1)*$H435),"")</f>
        <v>63.36</v>
      </c>
      <c r="Z435" s="36">
        <f>IFERROR(IF(Y435=0,"",ROUNDUP(Y435/H435,0)*0.01196),"")</f>
        <v>0.14352000000000001</v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63.977272727272727</v>
      </c>
      <c r="BN435" s="64">
        <f>IFERROR(Y435*I435/H435,"0")</f>
        <v>67.559999999999988</v>
      </c>
      <c r="BO435" s="64">
        <f>IFERROR(1/J435*(X435/H435),"0")</f>
        <v>0.10926573426573427</v>
      </c>
      <c r="BP435" s="64">
        <f>IFERROR(1/J435*(Y435/H435),"0")</f>
        <v>0.11538461538461539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78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11.363636363636363</v>
      </c>
      <c r="Y438" s="543">
        <f>IFERROR(Y435/H435,"0")+IFERROR(Y436/H436,"0")+IFERROR(Y437/H437,"0")</f>
        <v>12</v>
      </c>
      <c r="Z438" s="543">
        <f>IFERROR(IF(Z435="",0,Z435),"0")+IFERROR(IF(Z436="",0,Z436),"0")+IFERROR(IF(Z437="",0,Z437),"0")</f>
        <v>0.14352000000000001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60</v>
      </c>
      <c r="Y439" s="543">
        <f>IFERROR(SUM(Y435:Y437),"0")</f>
        <v>63.36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/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/>
      <c r="AK441" s="68">
        <v>0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10</v>
      </c>
      <c r="Y442" s="542">
        <f t="shared" si="53"/>
        <v>10.56</v>
      </c>
      <c r="Z442" s="36">
        <f>IFERROR(IF(Y442=0,"",ROUNDUP(Y442/H442,0)*0.01196),"")</f>
        <v>2.392E-2</v>
      </c>
      <c r="AA442" s="56"/>
      <c r="AB442" s="57"/>
      <c r="AC442" s="491" t="s">
        <v>678</v>
      </c>
      <c r="AG442" s="64"/>
      <c r="AJ442" s="68" t="s">
        <v>80</v>
      </c>
      <c r="AK442" s="68">
        <v>42.24</v>
      </c>
      <c r="BB442" s="492" t="s">
        <v>1</v>
      </c>
      <c r="BM442" s="64">
        <f t="shared" si="54"/>
        <v>10.662878787878787</v>
      </c>
      <c r="BN442" s="64">
        <f t="shared" si="55"/>
        <v>11.26</v>
      </c>
      <c r="BO442" s="64">
        <f t="shared" si="56"/>
        <v>1.8210955710955712E-2</v>
      </c>
      <c r="BP442" s="64">
        <f t="shared" si="57"/>
        <v>1.9230769230769232E-2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1.8939393939393938</v>
      </c>
      <c r="Y447" s="543">
        <f>IFERROR(Y441/H441,"0")+IFERROR(Y442/H442,"0")+IFERROR(Y443/H443,"0")+IFERROR(Y444/H444,"0")+IFERROR(Y445/H445,"0")+IFERROR(Y446/H446,"0")</f>
        <v>2</v>
      </c>
      <c r="Z447" s="543">
        <f>IFERROR(IF(Z441="",0,Z441),"0")+IFERROR(IF(Z442="",0,Z442),"0")+IFERROR(IF(Z443="",0,Z443),"0")+IFERROR(IF(Z444="",0,Z444),"0")+IFERROR(IF(Z445="",0,Z445),"0")+IFERROR(IF(Z446="",0,Z446),"0")</f>
        <v>2.392E-2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10</v>
      </c>
      <c r="Y448" s="543">
        <f>IFERROR(SUM(Y441:Y446),"0")</f>
        <v>10.56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78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78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78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78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/>
      <c r="M476" s="33" t="s">
        <v>86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60</v>
      </c>
      <c r="Y476" s="542">
        <f>IFERROR(IF(X476="",0,CEILING((X476/$H476),1)*$H476),"")</f>
        <v>63</v>
      </c>
      <c r="Z476" s="36">
        <f>IFERROR(IF(Y476=0,"",ROUNDUP(Y476/H476,0)*0.01898),"")</f>
        <v>0.13286000000000001</v>
      </c>
      <c r="AA476" s="56"/>
      <c r="AB476" s="57"/>
      <c r="AC476" s="525" t="s">
        <v>726</v>
      </c>
      <c r="AG476" s="64"/>
      <c r="AJ476" s="68"/>
      <c r="AK476" s="68">
        <v>0</v>
      </c>
      <c r="BB476" s="526" t="s">
        <v>1</v>
      </c>
      <c r="BM476" s="64">
        <f>IFERROR(X476*I476/H476,"0")</f>
        <v>63.293333333333329</v>
      </c>
      <c r="BN476" s="64">
        <f>IFERROR(Y476*I476/H476,"0")</f>
        <v>66.457999999999998</v>
      </c>
      <c r="BO476" s="64">
        <f>IFERROR(1/J476*(X476/H476),"0")</f>
        <v>0.10416666666666667</v>
      </c>
      <c r="BP476" s="64">
        <f>IFERROR(1/J476*(Y476/H476),"0")</f>
        <v>0.109375</v>
      </c>
    </row>
    <row r="477" spans="1:68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6.666666666666667</v>
      </c>
      <c r="Y477" s="543">
        <f>IFERROR(Y476/H476,"0")</f>
        <v>7</v>
      </c>
      <c r="Z477" s="543">
        <f>IFERROR(IF(Z476="",0,Z476),"0")</f>
        <v>0.13286000000000001</v>
      </c>
      <c r="AA477" s="544"/>
      <c r="AB477" s="544"/>
      <c r="AC477" s="544"/>
    </row>
    <row r="478" spans="1:68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60</v>
      </c>
      <c r="Y478" s="543">
        <f>IFERROR(SUM(Y476:Y476),"0")</f>
        <v>63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78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1105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1157.4000000000001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1159.9050610870611</v>
      </c>
      <c r="Y490" s="543">
        <f>IFERROR(SUM(BN22:BN486),"0")</f>
        <v>1214.8039999999999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1209.9050610870611</v>
      </c>
      <c r="Y492" s="543">
        <f>GrossWeightTotalR+PalletQtyTotalR*25</f>
        <v>1264.8039999999999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173.71772671772672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182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2.2596000000000003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21.6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124.20000000000002</v>
      </c>
      <c r="E499" s="46">
        <f>IFERROR(Y85*1,"0")+IFERROR(Y86*1,"0")+IFERROR(Y87*1,"0")+IFERROR(Y91*1,"0")+IFERROR(Y92*1,"0")+IFERROR(Y93*1,"0")+IFERROR(Y94*1,"0")</f>
        <v>16.2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78.3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210.00000000000003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21.6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52.2</v>
      </c>
      <c r="R499" s="46">
        <f>IFERROR(Y335*1,"0")+IFERROR(Y336*1,"0")+IFERROR(Y337*1,"0")</f>
        <v>14.700000000000001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180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43.2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290.40000000000003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63</v>
      </c>
      <c r="Z499" s="46">
        <f>IFERROR(Y486*1,"0")</f>
        <v>0</v>
      </c>
      <c r="AB499" s="52"/>
      <c r="AC499" s="52"/>
      <c r="AF499" s="539"/>
    </row>
  </sheetData>
  <sheetProtection algorithmName="SHA-512" hashValue="DzXPN+uhEiVXfmV8Af/JQBSNBnBHrdFEUe6JD1/iZl5vpy3wtg6SYDB6eXDfdKaMQ2f2vGHqBTZu9MNQ32O6vA==" saltValue="aljrk3B1BGI+oCBWfXSAR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5,00"/>
        <filter val="1 159,91"/>
        <filter val="1 209,91"/>
        <filter val="1,85"/>
        <filter val="1,89"/>
        <filter val="10,00"/>
        <filter val="11,36"/>
        <filter val="11,56"/>
        <filter val="12,00"/>
        <filter val="12,41"/>
        <filter val="13,50"/>
        <filter val="130,00"/>
        <filter val="14,70"/>
        <filter val="15,00"/>
        <filter val="173,72"/>
        <filter val="180,00"/>
        <filter val="190,00"/>
        <filter val="2"/>
        <filter val="2,00"/>
        <filter val="2,78"/>
        <filter val="20,00"/>
        <filter val="210,00"/>
        <filter val="25,00"/>
        <filter val="27,00"/>
        <filter val="3,85"/>
        <filter val="30,00"/>
        <filter val="35,19"/>
        <filter val="39,77"/>
        <filter val="4,76"/>
        <filter val="4,80"/>
        <filter val="40,00"/>
        <filter val="50,00"/>
        <filter val="6,30"/>
        <filter val="6,67"/>
        <filter val="60,00"/>
        <filter val="7,00"/>
        <filter val="7,41"/>
        <filter val="73,50"/>
        <filter val="8,40"/>
        <filter val="87,00"/>
        <filter val="9,52"/>
        <filter val="90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6 X62 X85 X87 X99 X101 X115 X119 X161 X163 X166 X168 X195:X198 X200:X202 X208:X209 X211 X213:X214 X218:X219 X232 X272 X302 X304 X315:X316 X323 X336:X337 X343:X345 X353 X389 X421 X424 X426 X442:X443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/xQu7XP8mRc4PCH/543gTJaZGHWw1RIKNvlAEekABD6Eyq8tzcXj6n/LLiR8g1Gd3eAeuJhKEc6L0SlXO5qOYg==" saltValue="xj5Uy0bWf9BUuVF5iOek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