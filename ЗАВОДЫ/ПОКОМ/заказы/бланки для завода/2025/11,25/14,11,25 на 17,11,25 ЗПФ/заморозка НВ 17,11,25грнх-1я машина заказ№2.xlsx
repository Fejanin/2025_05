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C71A044-D8F6-4100-9CC3-3032F09666C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Y249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BO183" i="1"/>
  <c r="BM183" i="1"/>
  <c r="Z183" i="1"/>
  <c r="Y183" i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0" i="1" s="1"/>
  <c r="P149" i="1"/>
  <c r="X146" i="1"/>
  <c r="X145" i="1"/>
  <c r="BO144" i="1"/>
  <c r="BM144" i="1"/>
  <c r="Z144" i="1"/>
  <c r="Z145" i="1" s="1"/>
  <c r="Y144" i="1"/>
  <c r="Y145" i="1" s="1"/>
  <c r="P144" i="1"/>
  <c r="X141" i="1"/>
  <c r="X140" i="1"/>
  <c r="BO139" i="1"/>
  <c r="BM139" i="1"/>
  <c r="Z139" i="1"/>
  <c r="Z140" i="1" s="1"/>
  <c r="Y139" i="1"/>
  <c r="Y140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Y128" i="1"/>
  <c r="P128" i="1"/>
  <c r="BO127" i="1"/>
  <c r="BM127" i="1"/>
  <c r="Z127" i="1"/>
  <c r="Y127" i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BP121" i="1" s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P108" i="1"/>
  <c r="BO107" i="1"/>
  <c r="BM107" i="1"/>
  <c r="Z107" i="1"/>
  <c r="Y107" i="1"/>
  <c r="BP107" i="1" s="1"/>
  <c r="P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P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6" i="1" s="1"/>
  <c r="P75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P62" i="1"/>
  <c r="X60" i="1"/>
  <c r="X59" i="1"/>
  <c r="BO58" i="1"/>
  <c r="BM58" i="1"/>
  <c r="Z58" i="1"/>
  <c r="Y58" i="1"/>
  <c r="P58" i="1"/>
  <c r="BO57" i="1"/>
  <c r="BM57" i="1"/>
  <c r="Z57" i="1"/>
  <c r="Z59" i="1" s="1"/>
  <c r="Y57" i="1"/>
  <c r="P57" i="1"/>
  <c r="X55" i="1"/>
  <c r="X54" i="1"/>
  <c r="BO53" i="1"/>
  <c r="BM53" i="1"/>
  <c r="Z53" i="1"/>
  <c r="Z54" i="1" s="1"/>
  <c r="Y53" i="1"/>
  <c r="Y54" i="1" s="1"/>
  <c r="P53" i="1"/>
  <c r="X51" i="1"/>
  <c r="X50" i="1"/>
  <c r="BO49" i="1"/>
  <c r="BM49" i="1"/>
  <c r="Z49" i="1"/>
  <c r="Z50" i="1" s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P41" i="1"/>
  <c r="X38" i="1"/>
  <c r="X37" i="1"/>
  <c r="BO36" i="1"/>
  <c r="BM36" i="1"/>
  <c r="Z36" i="1"/>
  <c r="Y36" i="1"/>
  <c r="P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Y28" i="1"/>
  <c r="Y31" i="1" s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X275" i="1" l="1"/>
  <c r="X278" i="1"/>
  <c r="Y83" i="1"/>
  <c r="BN81" i="1"/>
  <c r="Y99" i="1"/>
  <c r="BN97" i="1"/>
  <c r="BN112" i="1"/>
  <c r="BP112" i="1"/>
  <c r="Y113" i="1"/>
  <c r="BN116" i="1"/>
  <c r="BP116" i="1"/>
  <c r="Y117" i="1"/>
  <c r="Z123" i="1"/>
  <c r="BN121" i="1"/>
  <c r="Z129" i="1"/>
  <c r="Z135" i="1"/>
  <c r="BN133" i="1"/>
  <c r="Z170" i="1"/>
  <c r="BN167" i="1"/>
  <c r="BN169" i="1"/>
  <c r="Z187" i="1"/>
  <c r="BN185" i="1"/>
  <c r="Z196" i="1"/>
  <c r="Y92" i="1"/>
  <c r="BP86" i="1"/>
  <c r="BN86" i="1"/>
  <c r="BP88" i="1"/>
  <c r="BN88" i="1"/>
  <c r="BP90" i="1"/>
  <c r="BN90" i="1"/>
  <c r="Y110" i="1"/>
  <c r="BP102" i="1"/>
  <c r="BN102" i="1"/>
  <c r="BP104" i="1"/>
  <c r="BN104" i="1"/>
  <c r="BP106" i="1"/>
  <c r="BN106" i="1"/>
  <c r="BP108" i="1"/>
  <c r="BN108" i="1"/>
  <c r="BP128" i="1"/>
  <c r="BN128" i="1"/>
  <c r="X274" i="1"/>
  <c r="Y38" i="1"/>
  <c r="BP34" i="1"/>
  <c r="BN34" i="1"/>
  <c r="BP36" i="1"/>
  <c r="BN36" i="1"/>
  <c r="BP58" i="1"/>
  <c r="BN58" i="1"/>
  <c r="Y71" i="1"/>
  <c r="BP69" i="1"/>
  <c r="BN69" i="1"/>
  <c r="Y197" i="1"/>
  <c r="X276" i="1"/>
  <c r="X277" i="1" s="1"/>
  <c r="Z30" i="1"/>
  <c r="Z37" i="1"/>
  <c r="Y45" i="1"/>
  <c r="Y60" i="1"/>
  <c r="Y66" i="1"/>
  <c r="Z71" i="1"/>
  <c r="Z82" i="1"/>
  <c r="Z92" i="1"/>
  <c r="Z98" i="1"/>
  <c r="Z109" i="1"/>
  <c r="Y123" i="1"/>
  <c r="Y130" i="1"/>
  <c r="Y135" i="1"/>
  <c r="BN161" i="1"/>
  <c r="BN192" i="1"/>
  <c r="BN194" i="1"/>
  <c r="Z212" i="1"/>
  <c r="BN210" i="1"/>
  <c r="Z218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P245" i="1"/>
  <c r="BN247" i="1"/>
  <c r="Y253" i="1"/>
  <c r="Y254" i="1"/>
  <c r="Z259" i="1"/>
  <c r="BN257" i="1"/>
  <c r="Z272" i="1"/>
  <c r="H9" i="1"/>
  <c r="A10" i="1"/>
  <c r="Y24" i="1"/>
  <c r="Y30" i="1"/>
  <c r="Y37" i="1"/>
  <c r="Y46" i="1"/>
  <c r="Y51" i="1"/>
  <c r="Y55" i="1"/>
  <c r="Y59" i="1"/>
  <c r="Y65" i="1"/>
  <c r="Y72" i="1"/>
  <c r="Y77" i="1"/>
  <c r="Y82" i="1"/>
  <c r="Y93" i="1"/>
  <c r="Y98" i="1"/>
  <c r="Y109" i="1"/>
  <c r="Y124" i="1"/>
  <c r="Y129" i="1"/>
  <c r="Y136" i="1"/>
  <c r="Y141" i="1"/>
  <c r="Y14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22" i="1"/>
  <c r="BN127" i="1"/>
  <c r="BP127" i="1"/>
  <c r="BN134" i="1"/>
  <c r="BN139" i="1"/>
  <c r="BP139" i="1"/>
  <c r="BN144" i="1"/>
  <c r="BP144" i="1"/>
  <c r="BN149" i="1"/>
  <c r="BP149" i="1"/>
  <c r="Y151" i="1"/>
  <c r="Y155" i="1"/>
  <c r="BP154" i="1"/>
  <c r="BN154" i="1"/>
  <c r="Z162" i="1"/>
  <c r="Y171" i="1"/>
  <c r="Y175" i="1"/>
  <c r="Y180" i="1"/>
  <c r="BP179" i="1"/>
  <c r="BN179" i="1"/>
  <c r="Y188" i="1"/>
  <c r="Y196" i="1"/>
  <c r="BP191" i="1"/>
  <c r="BN191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Z279" i="1" l="1"/>
  <c r="Y278" i="1"/>
  <c r="Y276" i="1"/>
  <c r="Y274" i="1"/>
  <c r="C287" i="1"/>
  <c r="Y275" i="1"/>
  <c r="Y277" i="1" s="1"/>
  <c r="B287" i="1" l="1"/>
  <c r="A287" i="1"/>
</calcChain>
</file>

<file path=xl/sharedStrings.xml><?xml version="1.0" encoding="utf-8"?>
<sst xmlns="http://schemas.openxmlformats.org/spreadsheetml/2006/main" count="1230" uniqueCount="396">
  <si>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</si>
  <si>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</si>
  <si>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</si>
  <si>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</si>
  <si>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</si>
  <si>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</si>
  <si>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</si>
  <si>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</si>
  <si>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</si>
  <si>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</si>
  <si>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</si>
  <si>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</si>
  <si>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</si>
  <si>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</si>
  <si>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</si>
  <si>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</si>
  <si>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</si>
  <si>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</si>
  <si>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</si>
  <si>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</si>
  <si>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</si>
  <si>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</si>
  <si>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</si>
  <si>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</si>
  <si>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</si>
  <si>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</si>
  <si>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</si>
  <si>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</si>
  <si>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</si>
  <si>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</si>
  <si>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</si>
  <si>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</si>
  <si>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</si>
  <si>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</si>
  <si>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</si>
  <si>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</si>
  <si>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</si>
  <si>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</si>
  <si>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</si>
  <si>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</si>
  <si>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</si>
  <si>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</si>
  <si>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</si>
  <si>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</si>
  <si>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</si>
  <si>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</si>
  <si>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</si>
  <si>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</si>
  <si>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</si>
  <si>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</si>
  <si>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</si>
  <si>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</si>
  <si>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</si>
  <si>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</si>
  <si>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</si>
  <si>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</si>
  <si>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</si>
  <si>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</si>
  <si>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</si>
  <si>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</si>
  <si>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</si>
  <si>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</si>
  <si>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</si>
  <si>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</si>
  <si>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</si>
  <si>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</si>
  <si>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</si>
  <si>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</si>
  <si>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</si>
  <si>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</si>
  <si>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</si>
  <si>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</si>
  <si>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</si>
  <si>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</si>
  <si>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</si>
  <si>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</si>
  <si>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</si>
  <si>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</si>
  <si>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</si>
  <si>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</si>
  <si>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</si>
  <si>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</si>
  <si>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</si>
  <si>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</si>
  <si>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</si>
  <si>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</si>
  <si>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</si>
  <si>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</si>
  <si>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</si>
  <si>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</si>
  <si>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</si>
  <si>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</si>
  <si>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</si>
  <si>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</si>
  <si>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</si>
  <si>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</si>
  <si>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</si>
  <si>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</si>
  <si>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</si>
  <si>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</si>
  <si>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</si>
  <si>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</si>
  <si>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</si>
  <si>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</si>
  <si>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</si>
  <si>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</si>
  <si>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</si>
  <si>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</si>
  <si>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</si>
  <si>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</si>
  <si>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</si>
  <si>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</si>
  <si>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</si>
  <si>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</si>
  <si>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</si>
  <si>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</si>
  <si>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</si>
  <si>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</si>
  <si>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</si>
  <si>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</si>
  <si>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</si>
  <si>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</si>
  <si>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</si>
  <si>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</si>
  <si>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</si>
  <si>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</si>
  <si>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</si>
  <si>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</si>
  <si>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</si>
  <si>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</si>
  <si>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</si>
  <si>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</si>
  <si>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</si>
  <si>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</si>
  <si>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</si>
  <si>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</si>
  <si>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</si>
  <si>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</si>
  <si>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</si>
  <si>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</si>
  <si>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</si>
  <si>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</si>
  <si>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</si>
  <si>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</si>
  <si>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</si>
  <si>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</si>
  <si>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</si>
  <si>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</si>
  <si>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</si>
  <si>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</si>
  <si>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</si>
  <si>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</si>
  <si>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</si>
  <si>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</si>
  <si>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</si>
  <si>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</si>
  <si>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</si>
  <si>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</si>
  <si>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</si>
  <si>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</si>
  <si>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</si>
  <si>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</si>
  <si>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</si>
  <si>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</si>
  <si>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</si>
  <si>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</si>
  <si>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</si>
  <si>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</si>
  <si>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</si>
  <si>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</si>
  <si>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</si>
  <si>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</si>
  <si>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</si>
  <si>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</si>
  <si>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</si>
  <si>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</si>
  <si>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</si>
  <si>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</si>
  <si>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</si>
  <si>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</si>
  <si>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</si>
  <si>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</si>
  <si>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</si>
  <si>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</si>
  <si>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</si>
  <si>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</si>
  <si>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</si>
  <si>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</si>
  <si>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</si>
  <si>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</si>
  <si>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</si>
  <si>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</si>
  <si>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</si>
  <si>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</si>
  <si>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</si>
  <si>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</si>
  <si>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</si>
  <si>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</si>
  <si>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</si>
  <si>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</si>
  <si>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</si>
  <si>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</si>
  <si>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</si>
  <si>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</si>
  <si>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</si>
  <si>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</si>
  <si>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</si>
  <si>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</si>
  <si>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</si>
  <si>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</si>
  <si>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</si>
  <si>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</si>
  <si>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</si>
  <si>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</si>
  <si>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</si>
  <si>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</si>
  <si>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</si>
  <si>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</si>
  <si>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</si>
  <si>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</si>
  <si>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</si>
  <si>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</si>
  <si>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</si>
  <si>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</si>
  <si>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</si>
  <si>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</si>
  <si>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</si>
  <si>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</si>
  <si>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</si>
  <si>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</si>
  <si>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</si>
  <si>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</si>
  <si>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</si>
  <si>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</si>
  <si>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</si>
  <si>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</si>
  <si>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</si>
  <si>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</si>
  <si>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</si>
  <si>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</si>
  <si>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</si>
  <si>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</si>
  <si>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</si>
  <si>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</si>
  <si>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</si>
  <si>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</si>
  <si>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</si>
  <si>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</si>
  <si>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</si>
  <si>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</si>
  <si>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</si>
  <si>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</si>
  <si>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</si>
  <si>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</si>
  <si>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</si>
  <si>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</si>
  <si>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</si>
  <si>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</si>
  <si>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</si>
  <si>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</si>
  <si>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</si>
  <si>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</si>
  <si>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</si>
  <si>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</si>
  <si>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</si>
  <si>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</si>
  <si>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</si>
  <si>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</si>
  <si>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</si>
  <si>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</si>
  <si>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</si>
  <si>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</si>
  <si>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</si>
  <si>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</si>
  <si>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</si>
  <si>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</si>
  <si>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</si>
  <si>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SU003974</t>
  </si>
  <si>
    <t>P005106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</si>
  <si>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</si>
  <si>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</si>
  <si>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</si>
  <si>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</si>
  <si>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</si>
  <si>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</si>
  <si>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</si>
  <si>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</si>
  <si>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</si>
  <si>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</si>
  <si>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</si>
  <si>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</si>
  <si>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</si>
  <si>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</si>
  <si>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</si>
  <si>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</si>
  <si>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</si>
  <si>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</si>
  <si>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</si>
  <si>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</si>
  <si>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</si>
  <si>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</si>
  <si>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</si>
  <si>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</si>
  <si>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</si>
  <si>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</si>
  <si>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</si>
  <si>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</si>
  <si>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</si>
  <si>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</si>
  <si>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</si>
  <si>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</si>
  <si>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</si>
  <si>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</si>
  <si>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</si>
  <si>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</si>
  <si>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</si>
  <si>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</si>
  <si>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</si>
  <si>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</si>
  <si>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</si>
  <si>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</si>
  <si>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</si>
  <si>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</si>
  <si>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</si>
  <si>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</si>
  <si>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</si>
  <si>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</si>
  <si>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</si>
  <si>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</si>
  <si>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</si>
  <si>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</si>
  <si>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</si>
  <si>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</si>
  <si>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</si>
  <si>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</si>
  <si>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</si>
  <si>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</si>
  <si>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</si>
  <si>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</si>
  <si>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</si>
  <si>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</si>
  <si>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</si>
  <si>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</si>
  <si>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</si>
  <si>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</si>
  <si>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</si>
  <si>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</si>
  <si>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</si>
  <si>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</si>
  <si>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</si>
  <si>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</si>
  <si>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</si>
  <si>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</si>
  <si>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</si>
  <si>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</si>
  <si>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</si>
  <si>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</si>
  <si>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</si>
  <si>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</si>
  <si>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</si>
  <si>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</si>
  <si>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</si>
  <si>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</si>
  <si>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</si>
  <si>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</si>
  <si>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</si>
  <si>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</si>
  <si>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</si>
  <si>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</si>
  <si>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</si>
  <si>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</si>
  <si>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</si>
  <si>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</si>
  <si>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</si>
  <si>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</si>
  <si>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</si>
  <si>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</si>
  <si>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</si>
  <si>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</si>
  <si>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</si>
  <si>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</si>
  <si>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</si>
  <si>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</si>
  <si>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</si>
  <si>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</si>
  <si>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</si>
  <si>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</si>
  <si>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</si>
  <si>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</si>
  <si>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</si>
  <si>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</si>
  <si>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</si>
  <si>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</si>
  <si>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</si>
  <si>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</si>
  <si>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№",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</si>
</sst>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2" t="s">
        <v>0</v>
      </c>
      <c r="E1" s="293"/>
      <c r="F1" s="293"/>
      <c r="G1" s="12" t="s">
        <v>1</v>
      </c>
      <c r="H1" s="322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6" t="s">
        <v>7</v>
      </c>
      <c r="B5" s="317"/>
      <c r="C5" s="318"/>
      <c r="D5" s="324"/>
      <c r="E5" s="325"/>
      <c r="F5" s="441" t="s">
        <v>8</v>
      </c>
      <c r="G5" s="318"/>
      <c r="H5" s="324" t="s">
        <v>395</v>
      </c>
      <c r="I5" s="435"/>
      <c r="J5" s="435"/>
      <c r="K5" s="435"/>
      <c r="L5" s="435"/>
      <c r="M5" s="325"/>
      <c r="N5" s="61"/>
      <c r="P5" s="24" t="s">
        <v>9</v>
      </c>
      <c r="Q5" s="434">
        <v>45978</v>
      </c>
      <c r="R5" s="351"/>
      <c r="T5" s="367" t="s">
        <v>10</v>
      </c>
      <c r="U5" s="368"/>
      <c r="V5" s="369" t="s">
        <v>11</v>
      </c>
      <c r="W5" s="351"/>
      <c r="AB5" s="51"/>
      <c r="AC5" s="51"/>
      <c r="AD5" s="51"/>
      <c r="AE5" s="51"/>
    </row>
    <row r="6" spans="1:32" s="262" customFormat="1" ht="24" customHeight="1" x14ac:dyDescent="0.2">
      <c r="A6" s="336" t="s">
        <v>12</v>
      </c>
      <c r="B6" s="317"/>
      <c r="C6" s="318"/>
      <c r="D6" s="421" t="s">
        <v>13</v>
      </c>
      <c r="E6" s="422"/>
      <c r="F6" s="422"/>
      <c r="G6" s="422"/>
      <c r="H6" s="422"/>
      <c r="I6" s="422"/>
      <c r="J6" s="422"/>
      <c r="K6" s="422"/>
      <c r="L6" s="422"/>
      <c r="M6" s="351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71" t="s">
        <v>15</v>
      </c>
      <c r="U6" s="368"/>
      <c r="V6" s="392" t="s">
        <v>16</v>
      </c>
      <c r="W6" s="300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0"/>
      <c r="U7" s="368"/>
      <c r="V7" s="393"/>
      <c r="W7" s="394"/>
      <c r="AB7" s="51"/>
      <c r="AC7" s="51"/>
      <c r="AD7" s="51"/>
      <c r="AE7" s="51"/>
    </row>
    <row r="8" spans="1:32" s="262" customFormat="1" ht="25.5" customHeight="1" x14ac:dyDescent="0.2">
      <c r="A8" s="450" t="s">
        <v>17</v>
      </c>
      <c r="B8" s="277"/>
      <c r="C8" s="278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54">
        <v>0.41666666666666669</v>
      </c>
      <c r="R8" s="305"/>
      <c r="T8" s="280"/>
      <c r="U8" s="368"/>
      <c r="V8" s="393"/>
      <c r="W8" s="394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9"/>
      <c r="E9" s="275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20</v>
      </c>
      <c r="Q9" s="334"/>
      <c r="R9" s="335"/>
      <c r="T9" s="280"/>
      <c r="U9" s="368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9"/>
      <c r="E10" s="275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9" t="str">
        <f>IFERROR(VLOOKUP($D$10,Proxy,2,FALSE),"")</f>
        <v/>
      </c>
      <c r="I10" s="280"/>
      <c r="J10" s="280"/>
      <c r="K10" s="280"/>
      <c r="L10" s="280"/>
      <c r="M10" s="280"/>
      <c r="N10" s="261"/>
      <c r="P10" s="26" t="s">
        <v>21</v>
      </c>
      <c r="Q10" s="372"/>
      <c r="R10" s="373"/>
      <c r="U10" s="24" t="s">
        <v>22</v>
      </c>
      <c r="V10" s="299" t="s">
        <v>23</v>
      </c>
      <c r="W10" s="300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0"/>
      <c r="R11" s="351"/>
      <c r="U11" s="24" t="s">
        <v>26</v>
      </c>
      <c r="V11" s="416" t="s">
        <v>27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29</v>
      </c>
      <c r="Q12" s="354"/>
      <c r="R12" s="305"/>
      <c r="S12" s="23"/>
      <c r="U12" s="24"/>
      <c r="V12" s="293"/>
      <c r="W12" s="280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31</v>
      </c>
      <c r="Q13" s="416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0" t="s">
        <v>33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8" t="s">
        <v>37</v>
      </c>
      <c r="D17" s="296" t="s">
        <v>38</v>
      </c>
      <c r="E17" s="342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41"/>
      <c r="R17" s="341"/>
      <c r="S17" s="341"/>
      <c r="T17" s="342"/>
      <c r="U17" s="384" t="s">
        <v>50</v>
      </c>
      <c r="V17" s="318"/>
      <c r="W17" s="296" t="s">
        <v>51</v>
      </c>
      <c r="X17" s="296" t="s">
        <v>52</v>
      </c>
      <c r="Y17" s="385" t="s">
        <v>53</v>
      </c>
      <c r="Z17" s="414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6"/>
      <c r="AF17" s="437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43"/>
      <c r="E18" s="345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43"/>
      <c r="Q18" s="344"/>
      <c r="R18" s="344"/>
      <c r="S18" s="344"/>
      <c r="T18" s="345"/>
      <c r="U18" s="70" t="s">
        <v>60</v>
      </c>
      <c r="V18" s="70" t="s">
        <v>61</v>
      </c>
      <c r="W18" s="297"/>
      <c r="X18" s="297"/>
      <c r="Y18" s="386"/>
      <c r="Z18" s="415"/>
      <c r="AA18" s="408"/>
      <c r="AB18" s="408"/>
      <c r="AC18" s="408"/>
      <c r="AD18" s="438"/>
      <c r="AE18" s="439"/>
      <c r="AF18" s="440"/>
      <c r="AG18" s="69"/>
      <c r="BD18" s="68"/>
    </row>
    <row r="19" spans="1:68" ht="27.75" hidden="1" customHeight="1" x14ac:dyDescent="0.2">
      <c r="A19" s="319" t="s">
        <v>62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291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1">
        <v>4607111035752</v>
      </c>
      <c r="E22" s="282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3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4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4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9" t="s">
        <v>74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291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hidden="1" customHeight="1" x14ac:dyDescent="0.25">
      <c r="A28" s="54" t="s">
        <v>77</v>
      </c>
      <c r="B28" s="54" t="s">
        <v>78</v>
      </c>
      <c r="C28" s="31">
        <v>4301132190</v>
      </c>
      <c r="D28" s="281">
        <v>4607111036537</v>
      </c>
      <c r="E28" s="282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69</v>
      </c>
      <c r="X28" s="268">
        <v>0</v>
      </c>
      <c r="Y28" s="269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4301132188</v>
      </c>
      <c r="D29" s="281">
        <v>4607111036605</v>
      </c>
      <c r="E29" s="282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6"/>
      <c r="R29" s="286"/>
      <c r="S29" s="286"/>
      <c r="T29" s="287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idden="1" x14ac:dyDescent="0.2">
      <c r="A30" s="283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4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0</v>
      </c>
      <c r="Y30" s="270">
        <f>IFERROR(SUM(Y28:Y29),"0")</f>
        <v>0</v>
      </c>
      <c r="Z30" s="270">
        <f>IFERROR(IF(Z28="",0,Z28),"0")+IFERROR(IF(Z29="",0,Z29),"0")</f>
        <v>0</v>
      </c>
      <c r="AA30" s="271"/>
      <c r="AB30" s="271"/>
      <c r="AC30" s="271"/>
    </row>
    <row r="31" spans="1:68" hidden="1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4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0</v>
      </c>
      <c r="Y31" s="270">
        <f>IFERROR(SUMPRODUCT(Y28:Y29*H28:H29),"0")</f>
        <v>0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291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4"/>
      <c r="AB33" s="264"/>
      <c r="AC33" s="264"/>
    </row>
    <row r="34" spans="1:68" ht="27" hidden="1" customHeight="1" x14ac:dyDescent="0.25">
      <c r="A34" s="54" t="s">
        <v>87</v>
      </c>
      <c r="B34" s="54" t="s">
        <v>88</v>
      </c>
      <c r="C34" s="31">
        <v>4301071090</v>
      </c>
      <c r="D34" s="281">
        <v>4620207490075</v>
      </c>
      <c r="E34" s="282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6"/>
      <c r="R34" s="286"/>
      <c r="S34" s="286"/>
      <c r="T34" s="287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1">
        <v>4620207490174</v>
      </c>
      <c r="E35" s="282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2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6"/>
      <c r="R35" s="286"/>
      <c r="S35" s="286"/>
      <c r="T35" s="287"/>
      <c r="U35" s="34"/>
      <c r="V35" s="34"/>
      <c r="W35" s="35" t="s">
        <v>69</v>
      </c>
      <c r="X35" s="268">
        <v>24</v>
      </c>
      <c r="Y35" s="269">
        <f>IFERROR(IF(X35="","",X35),"")</f>
        <v>24</v>
      </c>
      <c r="Z35" s="36">
        <f>IFERROR(IF(X35="","",X35*0.0155),"")</f>
        <v>0.372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140.88</v>
      </c>
      <c r="BN35" s="67">
        <f>IFERROR(Y35*I35,"0")</f>
        <v>140.88</v>
      </c>
      <c r="BO35" s="67">
        <f>IFERROR(X35/J35,"0")</f>
        <v>0.2857142857142857</v>
      </c>
      <c r="BP35" s="67">
        <f>IFERROR(Y35/J35,"0")</f>
        <v>0.2857142857142857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1">
        <v>4620207490044</v>
      </c>
      <c r="E36" s="282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6"/>
      <c r="R36" s="286"/>
      <c r="S36" s="286"/>
      <c r="T36" s="287"/>
      <c r="U36" s="34"/>
      <c r="V36" s="34"/>
      <c r="W36" s="35" t="s">
        <v>69</v>
      </c>
      <c r="X36" s="268">
        <v>24</v>
      </c>
      <c r="Y36" s="269">
        <f>IFERROR(IF(X36="","",X36),"")</f>
        <v>24</v>
      </c>
      <c r="Z36" s="36">
        <f>IFERROR(IF(X36="","",X36*0.0155),"")</f>
        <v>0.372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140.88</v>
      </c>
      <c r="BN36" s="67">
        <f>IFERROR(Y36*I36,"0")</f>
        <v>140.88</v>
      </c>
      <c r="BO36" s="67">
        <f>IFERROR(X36/J36,"0")</f>
        <v>0.2857142857142857</v>
      </c>
      <c r="BP36" s="67">
        <f>IFERROR(Y36/J36,"0")</f>
        <v>0.2857142857142857</v>
      </c>
    </row>
    <row r="37" spans="1:68" x14ac:dyDescent="0.2">
      <c r="A37" s="283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4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48</v>
      </c>
      <c r="Y37" s="270">
        <f>IFERROR(SUM(Y34:Y36),"0")</f>
        <v>48</v>
      </c>
      <c r="Z37" s="270">
        <f>IFERROR(IF(Z34="",0,Z34),"0")+IFERROR(IF(Z35="",0,Z35),"0")+IFERROR(IF(Z36="",0,Z36),"0")</f>
        <v>0.74399999999999999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4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268.79999999999995</v>
      </c>
      <c r="Y38" s="270">
        <f>IFERROR(SUMPRODUCT(Y34:Y36*H34:H36),"0")</f>
        <v>268.79999999999995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291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1">
        <v>4607111039385</v>
      </c>
      <c r="E41" s="282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6"/>
      <c r="R41" s="286"/>
      <c r="S41" s="286"/>
      <c r="T41" s="287"/>
      <c r="U41" s="34"/>
      <c r="V41" s="34"/>
      <c r="W41" s="35" t="s">
        <v>69</v>
      </c>
      <c r="X41" s="268">
        <v>24</v>
      </c>
      <c r="Y41" s="269">
        <f>IFERROR(IF(X41="","",X41),"")</f>
        <v>24</v>
      </c>
      <c r="Z41" s="36">
        <f>IFERROR(IF(X41="","",X41*0.0155),"")</f>
        <v>0.372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175.2</v>
      </c>
      <c r="BN41" s="67">
        <f>IFERROR(Y41*I41,"0")</f>
        <v>175.2</v>
      </c>
      <c r="BO41" s="67">
        <f>IFERROR(X41/J41,"0")</f>
        <v>0.2857142857142857</v>
      </c>
      <c r="BP41" s="67">
        <f>IFERROR(Y41/J41,"0")</f>
        <v>0.2857142857142857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1">
        <v>4607111038982</v>
      </c>
      <c r="E42" s="282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6"/>
      <c r="R42" s="286"/>
      <c r="S42" s="286"/>
      <c r="T42" s="287"/>
      <c r="U42" s="34"/>
      <c r="V42" s="34"/>
      <c r="W42" s="35" t="s">
        <v>69</v>
      </c>
      <c r="X42" s="268">
        <v>24</v>
      </c>
      <c r="Y42" s="269">
        <f>IFERROR(IF(X42="","",X42),"")</f>
        <v>24</v>
      </c>
      <c r="Z42" s="36">
        <f>IFERROR(IF(X42="","",X42*0.0155),"")</f>
        <v>0.372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174.86399999999998</v>
      </c>
      <c r="BN42" s="67">
        <f>IFERROR(Y42*I42,"0")</f>
        <v>174.86399999999998</v>
      </c>
      <c r="BO42" s="67">
        <f>IFERROR(X42/J42,"0")</f>
        <v>0.2857142857142857</v>
      </c>
      <c r="BP42" s="67">
        <f>IFERROR(Y42/J42,"0")</f>
        <v>0.2857142857142857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1">
        <v>4607111039354</v>
      </c>
      <c r="E43" s="282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4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6"/>
      <c r="R43" s="286"/>
      <c r="S43" s="286"/>
      <c r="T43" s="287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1">
        <v>4607111039330</v>
      </c>
      <c r="E44" s="282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6"/>
      <c r="R44" s="286"/>
      <c r="S44" s="286"/>
      <c r="T44" s="287"/>
      <c r="U44" s="34"/>
      <c r="V44" s="34"/>
      <c r="W44" s="35" t="s">
        <v>69</v>
      </c>
      <c r="X44" s="268">
        <v>24</v>
      </c>
      <c r="Y44" s="269">
        <f>IFERROR(IF(X44="","",X44),"")</f>
        <v>24</v>
      </c>
      <c r="Z44" s="36">
        <f>IFERROR(IF(X44="","",X44*0.0155),"")</f>
        <v>0.372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175.2</v>
      </c>
      <c r="BN44" s="67">
        <f>IFERROR(Y44*I44,"0")</f>
        <v>175.2</v>
      </c>
      <c r="BO44" s="67">
        <f>IFERROR(X44/J44,"0")</f>
        <v>0.2857142857142857</v>
      </c>
      <c r="BP44" s="67">
        <f>IFERROR(Y44/J44,"0")</f>
        <v>0.2857142857142857</v>
      </c>
    </row>
    <row r="45" spans="1:68" x14ac:dyDescent="0.2">
      <c r="A45" s="283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4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72</v>
      </c>
      <c r="Y45" s="270">
        <f>IFERROR(SUM(Y41:Y44),"0")</f>
        <v>72</v>
      </c>
      <c r="Z45" s="270">
        <f>IFERROR(IF(Z41="",0,Z41),"0")+IFERROR(IF(Z42="",0,Z42),"0")+IFERROR(IF(Z43="",0,Z43),"0")+IFERROR(IF(Z44="",0,Z44),"0")</f>
        <v>1.1160000000000001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4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504</v>
      </c>
      <c r="Y46" s="270">
        <f>IFERROR(SUMPRODUCT(Y41:Y44*H41:H44),"0")</f>
        <v>504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291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4"/>
      <c r="AB48" s="264"/>
      <c r="AC48" s="264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1">
        <v>4620207490822</v>
      </c>
      <c r="E49" s="282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9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6"/>
      <c r="R49" s="286"/>
      <c r="S49" s="286"/>
      <c r="T49" s="287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3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4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4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91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4"/>
      <c r="AB52" s="264"/>
      <c r="AC52" s="264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1">
        <v>4607111039712</v>
      </c>
      <c r="E53" s="282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3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4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4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91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4"/>
      <c r="AB56" s="264"/>
      <c r="AC56" s="264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1">
        <v>4607111037008</v>
      </c>
      <c r="E57" s="282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6"/>
      <c r="R57" s="286"/>
      <c r="S57" s="286"/>
      <c r="T57" s="287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1">
        <v>4607111037398</v>
      </c>
      <c r="E58" s="282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6"/>
      <c r="R58" s="286"/>
      <c r="S58" s="286"/>
      <c r="T58" s="287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3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4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4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91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4"/>
      <c r="AB61" s="264"/>
      <c r="AC61" s="264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1">
        <v>4607111039705</v>
      </c>
      <c r="E62" s="282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5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6"/>
      <c r="R62" s="286"/>
      <c r="S62" s="286"/>
      <c r="T62" s="287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1">
        <v>4607111039729</v>
      </c>
      <c r="E63" s="282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1">
        <v>4620207490228</v>
      </c>
      <c r="E64" s="282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4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4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291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4"/>
      <c r="AB68" s="264"/>
      <c r="AC68" s="264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1">
        <v>4607111037411</v>
      </c>
      <c r="E69" s="282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6"/>
      <c r="R69" s="286"/>
      <c r="S69" s="286"/>
      <c r="T69" s="28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1">
        <v>4607111036728</v>
      </c>
      <c r="E70" s="282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6"/>
      <c r="R70" s="286"/>
      <c r="S70" s="286"/>
      <c r="T70" s="287"/>
      <c r="U70" s="34"/>
      <c r="V70" s="34"/>
      <c r="W70" s="35" t="s">
        <v>69</v>
      </c>
      <c r="X70" s="268">
        <v>24</v>
      </c>
      <c r="Y70" s="269">
        <f>IFERROR(IF(X70="","",X70),"")</f>
        <v>24</v>
      </c>
      <c r="Z70" s="36">
        <f>IFERROR(IF(X70="","",X70*0.00866),"")</f>
        <v>0.20783999999999997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125.11679999999998</v>
      </c>
      <c r="BN70" s="67">
        <f>IFERROR(Y70*I70,"0")</f>
        <v>125.11679999999998</v>
      </c>
      <c r="BO70" s="67">
        <f>IFERROR(X70/J70,"0")</f>
        <v>0.16666666666666666</v>
      </c>
      <c r="BP70" s="67">
        <f>IFERROR(Y70/J70,"0")</f>
        <v>0.16666666666666666</v>
      </c>
    </row>
    <row r="71" spans="1:68" x14ac:dyDescent="0.2">
      <c r="A71" s="283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4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24</v>
      </c>
      <c r="Y71" s="270">
        <f>IFERROR(SUM(Y69:Y70),"0")</f>
        <v>24</v>
      </c>
      <c r="Z71" s="270">
        <f>IFERROR(IF(Z69="",0,Z69),"0")+IFERROR(IF(Z70="",0,Z70),"0")</f>
        <v>0.20783999999999997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4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120</v>
      </c>
      <c r="Y72" s="270">
        <f>IFERROR(SUMPRODUCT(Y69:Y70*H69:H70),"0")</f>
        <v>120</v>
      </c>
      <c r="Z72" s="37"/>
      <c r="AA72" s="271"/>
      <c r="AB72" s="271"/>
      <c r="AC72" s="271"/>
    </row>
    <row r="73" spans="1:68" ht="16.5" hidden="1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291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4"/>
      <c r="AB74" s="264"/>
      <c r="AC74" s="264"/>
    </row>
    <row r="75" spans="1:68" ht="27" hidden="1" customHeight="1" x14ac:dyDescent="0.25">
      <c r="A75" s="54" t="s">
        <v>136</v>
      </c>
      <c r="B75" s="54" t="s">
        <v>137</v>
      </c>
      <c r="C75" s="31">
        <v>4301135574</v>
      </c>
      <c r="D75" s="281">
        <v>4607111033659</v>
      </c>
      <c r="E75" s="282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IFERROR(IF(X75="","",X75*0.01788),"")</f>
        <v>0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4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0</v>
      </c>
      <c r="Y76" s="270">
        <f>IFERROR(SUM(Y75:Y75),"0")</f>
        <v>0</v>
      </c>
      <c r="Z76" s="270">
        <f>IFERROR(IF(Z75="",0,Z75),"0")</f>
        <v>0</v>
      </c>
      <c r="AA76" s="271"/>
      <c r="AB76" s="271"/>
      <c r="AC76" s="271"/>
    </row>
    <row r="77" spans="1:68" hidden="1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4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0</v>
      </c>
      <c r="Y77" s="270">
        <f>IFERROR(SUMPRODUCT(Y75:Y75*H75:H75),"0")</f>
        <v>0</v>
      </c>
      <c r="Z77" s="37"/>
      <c r="AA77" s="271"/>
      <c r="AB77" s="271"/>
      <c r="AC77" s="271"/>
    </row>
    <row r="78" spans="1:68" ht="16.5" hidden="1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291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4"/>
      <c r="AB79" s="264"/>
      <c r="AC79" s="264"/>
    </row>
    <row r="80" spans="1:68" ht="27" hidden="1" customHeight="1" x14ac:dyDescent="0.25">
      <c r="A80" s="54" t="s">
        <v>141</v>
      </c>
      <c r="B80" s="54" t="s">
        <v>142</v>
      </c>
      <c r="C80" s="31">
        <v>4301131047</v>
      </c>
      <c r="D80" s="281">
        <v>4607111034120</v>
      </c>
      <c r="E80" s="282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6"/>
      <c r="R80" s="286"/>
      <c r="S80" s="286"/>
      <c r="T80" s="287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144</v>
      </c>
      <c r="B81" s="54" t="s">
        <v>145</v>
      </c>
      <c r="C81" s="31">
        <v>4301131046</v>
      </c>
      <c r="D81" s="281">
        <v>4607111034137</v>
      </c>
      <c r="E81" s="282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3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4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4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291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4"/>
      <c r="AB85" s="264"/>
      <c r="AC85" s="264"/>
    </row>
    <row r="86" spans="1:68" ht="27" hidden="1" customHeight="1" x14ac:dyDescent="0.25">
      <c r="A86" s="54" t="s">
        <v>148</v>
      </c>
      <c r="B86" s="54" t="s">
        <v>149</v>
      </c>
      <c r="C86" s="31">
        <v>4301135763</v>
      </c>
      <c r="D86" s="281">
        <v>4620207491027</v>
      </c>
      <c r="E86" s="282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1">
        <v>4620207491003</v>
      </c>
      <c r="E87" s="282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69</v>
      </c>
      <c r="X87" s="268">
        <v>70</v>
      </c>
      <c r="Y87" s="269">
        <f t="shared" si="0"/>
        <v>70</v>
      </c>
      <c r="Z87" s="36">
        <f t="shared" si="1"/>
        <v>1.2516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hidden="1" customHeight="1" x14ac:dyDescent="0.25">
      <c r="A88" s="54" t="s">
        <v>152</v>
      </c>
      <c r="B88" s="54" t="s">
        <v>153</v>
      </c>
      <c r="C88" s="31">
        <v>4301135768</v>
      </c>
      <c r="D88" s="281">
        <v>4620207491034</v>
      </c>
      <c r="E88" s="282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1">
        <v>4620207491010</v>
      </c>
      <c r="E89" s="282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69</v>
      </c>
      <c r="X89" s="268">
        <v>14</v>
      </c>
      <c r="Y89" s="269">
        <f t="shared" si="0"/>
        <v>14</v>
      </c>
      <c r="Z89" s="36">
        <f t="shared" si="1"/>
        <v>0.25031999999999999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50.170400000000001</v>
      </c>
      <c r="BN89" s="67">
        <f t="shared" si="3"/>
        <v>50.170400000000001</v>
      </c>
      <c r="BO89" s="67">
        <f t="shared" si="4"/>
        <v>0.2</v>
      </c>
      <c r="BP89" s="67">
        <f t="shared" si="5"/>
        <v>0.2</v>
      </c>
    </row>
    <row r="90" spans="1:68" ht="27" hidden="1" customHeight="1" x14ac:dyDescent="0.25">
      <c r="A90" s="54" t="s">
        <v>157</v>
      </c>
      <c r="B90" s="54" t="s">
        <v>158</v>
      </c>
      <c r="C90" s="31">
        <v>4301135571</v>
      </c>
      <c r="D90" s="281">
        <v>4607111035028</v>
      </c>
      <c r="E90" s="282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6"/>
      <c r="R90" s="286"/>
      <c r="S90" s="286"/>
      <c r="T90" s="287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81">
        <v>4607111036407</v>
      </c>
      <c r="E91" s="282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6"/>
      <c r="R91" s="286"/>
      <c r="S91" s="286"/>
      <c r="T91" s="287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3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4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84</v>
      </c>
      <c r="Y92" s="270">
        <f>IFERROR(SUM(Y86:Y91),"0")</f>
        <v>84</v>
      </c>
      <c r="Z92" s="270">
        <f>IFERROR(IF(Z86="",0,Z86),"0")+IFERROR(IF(Z87="",0,Z87),"0")+IFERROR(IF(Z88="",0,Z88),"0")+IFERROR(IF(Z89="",0,Z89),"0")+IFERROR(IF(Z90="",0,Z90),"0")+IFERROR(IF(Z91="",0,Z91),"0")</f>
        <v>1.5019200000000001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4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241.92</v>
      </c>
      <c r="Y93" s="270">
        <f>IFERROR(SUMPRODUCT(Y86:Y91*H86:H91),"0")</f>
        <v>241.92</v>
      </c>
      <c r="Z93" s="37"/>
      <c r="AA93" s="271"/>
      <c r="AB93" s="271"/>
      <c r="AC93" s="271"/>
    </row>
    <row r="94" spans="1:68" ht="16.5" hidden="1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291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4"/>
      <c r="AB95" s="264"/>
      <c r="AC95" s="264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81">
        <v>4607025784012</v>
      </c>
      <c r="E96" s="282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6"/>
      <c r="R96" s="286"/>
      <c r="S96" s="286"/>
      <c r="T96" s="287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166</v>
      </c>
      <c r="B97" s="54" t="s">
        <v>167</v>
      </c>
      <c r="C97" s="31">
        <v>4301136079</v>
      </c>
      <c r="D97" s="281">
        <v>4607025784319</v>
      </c>
      <c r="E97" s="282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2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3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4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4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291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4"/>
      <c r="AB101" s="264"/>
      <c r="AC101" s="264"/>
    </row>
    <row r="102" spans="1:68" ht="27" hidden="1" customHeight="1" x14ac:dyDescent="0.25">
      <c r="A102" s="54" t="s">
        <v>169</v>
      </c>
      <c r="B102" s="54" t="s">
        <v>170</v>
      </c>
      <c r="C102" s="31">
        <v>4301071074</v>
      </c>
      <c r="D102" s="281">
        <v>4620207491157</v>
      </c>
      <c r="E102" s="282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6"/>
      <c r="R102" s="286"/>
      <c r="S102" s="286"/>
      <c r="T102" s="287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hidden="1" customHeight="1" x14ac:dyDescent="0.25">
      <c r="A103" s="54" t="s">
        <v>172</v>
      </c>
      <c r="B103" s="54" t="s">
        <v>173</v>
      </c>
      <c r="C103" s="31">
        <v>4301071051</v>
      </c>
      <c r="D103" s="281">
        <v>4607111039262</v>
      </c>
      <c r="E103" s="282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6"/>
      <c r="R103" s="286"/>
      <c r="S103" s="286"/>
      <c r="T103" s="287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1">
        <v>4607111039248</v>
      </c>
      <c r="E104" s="282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6"/>
      <c r="R104" s="286"/>
      <c r="S104" s="286"/>
      <c r="T104" s="287"/>
      <c r="U104" s="34"/>
      <c r="V104" s="34"/>
      <c r="W104" s="35" t="s">
        <v>69</v>
      </c>
      <c r="X104" s="268">
        <v>84</v>
      </c>
      <c r="Y104" s="269">
        <f t="shared" si="6"/>
        <v>84</v>
      </c>
      <c r="Z104" s="36">
        <f t="shared" si="7"/>
        <v>1.302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613.19999999999993</v>
      </c>
      <c r="BN104" s="67">
        <f t="shared" si="9"/>
        <v>613.19999999999993</v>
      </c>
      <c r="BO104" s="67">
        <f t="shared" si="10"/>
        <v>1</v>
      </c>
      <c r="BP104" s="67">
        <f t="shared" si="11"/>
        <v>1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1">
        <v>4607111037145</v>
      </c>
      <c r="E105" s="282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6"/>
      <c r="R105" s="286"/>
      <c r="S105" s="286"/>
      <c r="T105" s="287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hidden="1" customHeight="1" x14ac:dyDescent="0.25">
      <c r="A106" s="54" t="s">
        <v>179</v>
      </c>
      <c r="B106" s="54" t="s">
        <v>180</v>
      </c>
      <c r="C106" s="31">
        <v>4301071049</v>
      </c>
      <c r="D106" s="281">
        <v>4607111039293</v>
      </c>
      <c r="E106" s="282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6"/>
      <c r="R106" s="286"/>
      <c r="S106" s="286"/>
      <c r="T106" s="287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1">
        <v>4607111039279</v>
      </c>
      <c r="E107" s="282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6"/>
      <c r="R107" s="286"/>
      <c r="S107" s="286"/>
      <c r="T107" s="287"/>
      <c r="U107" s="34"/>
      <c r="V107" s="34"/>
      <c r="W107" s="35" t="s">
        <v>69</v>
      </c>
      <c r="X107" s="268">
        <v>12</v>
      </c>
      <c r="Y107" s="269">
        <f t="shared" si="6"/>
        <v>12</v>
      </c>
      <c r="Z107" s="36">
        <f t="shared" si="7"/>
        <v>0.186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87.6</v>
      </c>
      <c r="BN107" s="67">
        <f t="shared" si="9"/>
        <v>87.6</v>
      </c>
      <c r="BO107" s="67">
        <f t="shared" si="10"/>
        <v>0.14285714285714285</v>
      </c>
      <c r="BP107" s="67">
        <f t="shared" si="11"/>
        <v>0.14285714285714285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1">
        <v>4607111037435</v>
      </c>
      <c r="E108" s="282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3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4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96</v>
      </c>
      <c r="Y109" s="270">
        <f>IFERROR(SUM(Y102:Y108),"0")</f>
        <v>96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1.488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4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672</v>
      </c>
      <c r="Y110" s="270">
        <f>IFERROR(SUMPRODUCT(Y102:Y108*H102:H108),"0")</f>
        <v>672</v>
      </c>
      <c r="Z110" s="37"/>
      <c r="AA110" s="271"/>
      <c r="AB110" s="271"/>
      <c r="AC110" s="271"/>
    </row>
    <row r="111" spans="1:68" ht="14.25" hidden="1" customHeight="1" x14ac:dyDescent="0.25">
      <c r="A111" s="291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4"/>
      <c r="AB111" s="264"/>
      <c r="AC111" s="264"/>
    </row>
    <row r="112" spans="1:68" ht="27" hidden="1" customHeight="1" x14ac:dyDescent="0.25">
      <c r="A112" s="54" t="s">
        <v>186</v>
      </c>
      <c r="B112" s="54" t="s">
        <v>187</v>
      </c>
      <c r="C112" s="31">
        <v>4301135826</v>
      </c>
      <c r="D112" s="281">
        <v>4620207490983</v>
      </c>
      <c r="E112" s="282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6"/>
      <c r="R112" s="286"/>
      <c r="S112" s="286"/>
      <c r="T112" s="287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idden="1" x14ac:dyDescent="0.2">
      <c r="A113" s="283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4"/>
      <c r="P113" s="276" t="s">
        <v>72</v>
      </c>
      <c r="Q113" s="277"/>
      <c r="R113" s="277"/>
      <c r="S113" s="277"/>
      <c r="T113" s="277"/>
      <c r="U113" s="277"/>
      <c r="V113" s="278"/>
      <c r="W113" s="37" t="s">
        <v>69</v>
      </c>
      <c r="X113" s="270">
        <f>IFERROR(SUM(X112:X112),"0")</f>
        <v>0</v>
      </c>
      <c r="Y113" s="270">
        <f>IFERROR(SUM(Y112:Y112),"0")</f>
        <v>0</v>
      </c>
      <c r="Z113" s="270">
        <f>IFERROR(IF(Z112="",0,Z112),"0")</f>
        <v>0</v>
      </c>
      <c r="AA113" s="271"/>
      <c r="AB113" s="271"/>
      <c r="AC113" s="271"/>
    </row>
    <row r="114" spans="1:68" hidden="1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4"/>
      <c r="P114" s="276" t="s">
        <v>72</v>
      </c>
      <c r="Q114" s="277"/>
      <c r="R114" s="277"/>
      <c r="S114" s="277"/>
      <c r="T114" s="277"/>
      <c r="U114" s="277"/>
      <c r="V114" s="278"/>
      <c r="W114" s="37" t="s">
        <v>73</v>
      </c>
      <c r="X114" s="270">
        <f>IFERROR(SUMPRODUCT(X112:X112*H112:H112),"0")</f>
        <v>0</v>
      </c>
      <c r="Y114" s="270">
        <f>IFERROR(SUMPRODUCT(Y112:Y112*H112:H112),"0")</f>
        <v>0</v>
      </c>
      <c r="Z114" s="37"/>
      <c r="AA114" s="271"/>
      <c r="AB114" s="271"/>
      <c r="AC114" s="271"/>
    </row>
    <row r="115" spans="1:68" ht="14.25" hidden="1" customHeight="1" x14ac:dyDescent="0.25">
      <c r="A115" s="291" t="s">
        <v>189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4"/>
      <c r="AB115" s="264"/>
      <c r="AC115" s="264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81">
        <v>4620207491140</v>
      </c>
      <c r="E116" s="282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8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83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4"/>
      <c r="P117" s="276" t="s">
        <v>72</v>
      </c>
      <c r="Q117" s="277"/>
      <c r="R117" s="277"/>
      <c r="S117" s="277"/>
      <c r="T117" s="277"/>
      <c r="U117" s="277"/>
      <c r="V117" s="278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4"/>
      <c r="P118" s="276" t="s">
        <v>72</v>
      </c>
      <c r="Q118" s="277"/>
      <c r="R118" s="277"/>
      <c r="S118" s="277"/>
      <c r="T118" s="277"/>
      <c r="U118" s="277"/>
      <c r="V118" s="278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79" t="s">
        <v>193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3"/>
      <c r="AB119" s="263"/>
      <c r="AC119" s="263"/>
    </row>
    <row r="120" spans="1:68" ht="14.25" hidden="1" customHeight="1" x14ac:dyDescent="0.25">
      <c r="A120" s="291" t="s">
        <v>120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1">
        <v>4607111034014</v>
      </c>
      <c r="E121" s="282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68">
        <v>140</v>
      </c>
      <c r="Y121" s="269">
        <f>IFERROR(IF(X121="","",X121),"")</f>
        <v>140</v>
      </c>
      <c r="Z121" s="36">
        <f>IFERROR(IF(X121="","",X121*0.01788),"")</f>
        <v>2.5032000000000001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518.50400000000002</v>
      </c>
      <c r="BN121" s="67">
        <f>IFERROR(Y121*I121,"0")</f>
        <v>518.50400000000002</v>
      </c>
      <c r="BO121" s="67">
        <f>IFERROR(X121/J121,"0")</f>
        <v>2</v>
      </c>
      <c r="BP121" s="67">
        <f>IFERROR(Y121/J121,"0")</f>
        <v>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1">
        <v>4607111033994</v>
      </c>
      <c r="E122" s="282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69</v>
      </c>
      <c r="X122" s="268">
        <v>140</v>
      </c>
      <c r="Y122" s="269">
        <f>IFERROR(IF(X122="","",X122),"")</f>
        <v>140</v>
      </c>
      <c r="Z122" s="36">
        <f>IFERROR(IF(X122="","",X122*0.01788),"")</f>
        <v>2.5032000000000001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518.50400000000002</v>
      </c>
      <c r="BN122" s="67">
        <f>IFERROR(Y122*I122,"0")</f>
        <v>518.50400000000002</v>
      </c>
      <c r="BO122" s="67">
        <f>IFERROR(X122/J122,"0")</f>
        <v>2</v>
      </c>
      <c r="BP122" s="67">
        <f>IFERROR(Y122/J122,"0")</f>
        <v>2</v>
      </c>
    </row>
    <row r="123" spans="1:68" x14ac:dyDescent="0.2">
      <c r="A123" s="283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4"/>
      <c r="P123" s="276" t="s">
        <v>72</v>
      </c>
      <c r="Q123" s="277"/>
      <c r="R123" s="277"/>
      <c r="S123" s="277"/>
      <c r="T123" s="277"/>
      <c r="U123" s="277"/>
      <c r="V123" s="278"/>
      <c r="W123" s="37" t="s">
        <v>69</v>
      </c>
      <c r="X123" s="270">
        <f>IFERROR(SUM(X121:X122),"0")</f>
        <v>280</v>
      </c>
      <c r="Y123" s="270">
        <f>IFERROR(SUM(Y121:Y122),"0")</f>
        <v>280</v>
      </c>
      <c r="Z123" s="270">
        <f>IFERROR(IF(Z121="",0,Z121),"0")+IFERROR(IF(Z122="",0,Z122),"0")</f>
        <v>5.0064000000000002</v>
      </c>
      <c r="AA123" s="271"/>
      <c r="AB123" s="271"/>
      <c r="AC123" s="271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4"/>
      <c r="P124" s="276" t="s">
        <v>72</v>
      </c>
      <c r="Q124" s="277"/>
      <c r="R124" s="277"/>
      <c r="S124" s="277"/>
      <c r="T124" s="277"/>
      <c r="U124" s="277"/>
      <c r="V124" s="278"/>
      <c r="W124" s="37" t="s">
        <v>73</v>
      </c>
      <c r="X124" s="270">
        <f>IFERROR(SUMPRODUCT(X121:X122*H121:H122),"0")</f>
        <v>840</v>
      </c>
      <c r="Y124" s="270">
        <f>IFERROR(SUMPRODUCT(Y121:Y122*H121:H122),"0")</f>
        <v>840</v>
      </c>
      <c r="Z124" s="37"/>
      <c r="AA124" s="271"/>
      <c r="AB124" s="271"/>
      <c r="AC124" s="271"/>
    </row>
    <row r="125" spans="1:68" ht="16.5" hidden="1" customHeight="1" x14ac:dyDescent="0.25">
      <c r="A125" s="279" t="s">
        <v>201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3"/>
      <c r="AB125" s="263"/>
      <c r="AC125" s="263"/>
    </row>
    <row r="126" spans="1:68" ht="14.25" hidden="1" customHeight="1" x14ac:dyDescent="0.25">
      <c r="A126" s="291" t="s">
        <v>120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4"/>
      <c r="AB126" s="264"/>
      <c r="AC126" s="264"/>
    </row>
    <row r="127" spans="1:68" ht="27" hidden="1" customHeight="1" x14ac:dyDescent="0.25">
      <c r="A127" s="54" t="s">
        <v>202</v>
      </c>
      <c r="B127" s="54" t="s">
        <v>203</v>
      </c>
      <c r="C127" s="31">
        <v>4301135824</v>
      </c>
      <c r="D127" s="281">
        <v>4607111039095</v>
      </c>
      <c r="E127" s="282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6"/>
      <c r="R127" s="286"/>
      <c r="S127" s="286"/>
      <c r="T127" s="287"/>
      <c r="U127" s="34"/>
      <c r="V127" s="34"/>
      <c r="W127" s="35" t="s">
        <v>69</v>
      </c>
      <c r="X127" s="268">
        <v>0</v>
      </c>
      <c r="Y127" s="269">
        <f>IFERROR(IF(X127="","",X127),"")</f>
        <v>0</v>
      </c>
      <c r="Z127" s="36">
        <f>IFERROR(IF(X127="","",X127*0.01788),"")</f>
        <v>0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t="16.5" hidden="1" customHeight="1" x14ac:dyDescent="0.25">
      <c r="A128" s="54" t="s">
        <v>205</v>
      </c>
      <c r="B128" s="54" t="s">
        <v>206</v>
      </c>
      <c r="C128" s="31">
        <v>4301135550</v>
      </c>
      <c r="D128" s="281">
        <v>4607111034199</v>
      </c>
      <c r="E128" s="282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6"/>
      <c r="R128" s="286"/>
      <c r="S128" s="286"/>
      <c r="T128" s="287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4"/>
      <c r="P129" s="276" t="s">
        <v>72</v>
      </c>
      <c r="Q129" s="277"/>
      <c r="R129" s="277"/>
      <c r="S129" s="277"/>
      <c r="T129" s="277"/>
      <c r="U129" s="277"/>
      <c r="V129" s="278"/>
      <c r="W129" s="37" t="s">
        <v>69</v>
      </c>
      <c r="X129" s="270">
        <f>IFERROR(SUM(X127:X128),"0")</f>
        <v>0</v>
      </c>
      <c r="Y129" s="270">
        <f>IFERROR(SUM(Y127:Y128),"0")</f>
        <v>0</v>
      </c>
      <c r="Z129" s="270">
        <f>IFERROR(IF(Z127="",0,Z127),"0")+IFERROR(IF(Z128="",0,Z128),"0")</f>
        <v>0</v>
      </c>
      <c r="AA129" s="271"/>
      <c r="AB129" s="271"/>
      <c r="AC129" s="271"/>
    </row>
    <row r="130" spans="1:68" hidden="1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4"/>
      <c r="P130" s="276" t="s">
        <v>72</v>
      </c>
      <c r="Q130" s="277"/>
      <c r="R130" s="277"/>
      <c r="S130" s="277"/>
      <c r="T130" s="277"/>
      <c r="U130" s="277"/>
      <c r="V130" s="278"/>
      <c r="W130" s="37" t="s">
        <v>73</v>
      </c>
      <c r="X130" s="270">
        <f>IFERROR(SUMPRODUCT(X127:X128*H127:H128),"0")</f>
        <v>0</v>
      </c>
      <c r="Y130" s="270">
        <f>IFERROR(SUMPRODUCT(Y127:Y128*H127:H128),"0")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79" t="s">
        <v>208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3"/>
      <c r="AB131" s="263"/>
      <c r="AC131" s="263"/>
    </row>
    <row r="132" spans="1:68" ht="14.25" hidden="1" customHeight="1" x14ac:dyDescent="0.25">
      <c r="A132" s="291" t="s">
        <v>120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4"/>
      <c r="AB132" s="264"/>
      <c r="AC132" s="264"/>
    </row>
    <row r="133" spans="1:68" ht="27" hidden="1" customHeight="1" x14ac:dyDescent="0.25">
      <c r="A133" s="54" t="s">
        <v>209</v>
      </c>
      <c r="B133" s="54" t="s">
        <v>210</v>
      </c>
      <c r="C133" s="31">
        <v>4301135753</v>
      </c>
      <c r="D133" s="281">
        <v>4620207490914</v>
      </c>
      <c r="E133" s="282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6"/>
      <c r="R133" s="286"/>
      <c r="S133" s="286"/>
      <c r="T133" s="287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211</v>
      </c>
      <c r="B134" s="54" t="s">
        <v>212</v>
      </c>
      <c r="C134" s="31">
        <v>4301135778</v>
      </c>
      <c r="D134" s="281">
        <v>4620207490853</v>
      </c>
      <c r="E134" s="282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196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83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4"/>
      <c r="P135" s="276" t="s">
        <v>72</v>
      </c>
      <c r="Q135" s="277"/>
      <c r="R135" s="277"/>
      <c r="S135" s="277"/>
      <c r="T135" s="277"/>
      <c r="U135" s="277"/>
      <c r="V135" s="278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4"/>
      <c r="P136" s="276" t="s">
        <v>72</v>
      </c>
      <c r="Q136" s="277"/>
      <c r="R136" s="277"/>
      <c r="S136" s="277"/>
      <c r="T136" s="277"/>
      <c r="U136" s="277"/>
      <c r="V136" s="278"/>
      <c r="W136" s="37" t="s">
        <v>73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79" t="s">
        <v>213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3"/>
      <c r="AB137" s="263"/>
      <c r="AC137" s="263"/>
    </row>
    <row r="138" spans="1:68" ht="14.25" hidden="1" customHeight="1" x14ac:dyDescent="0.25">
      <c r="A138" s="291" t="s">
        <v>120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4"/>
      <c r="AB138" s="264"/>
      <c r="AC138" s="264"/>
    </row>
    <row r="139" spans="1:68" ht="27" customHeight="1" x14ac:dyDescent="0.25">
      <c r="A139" s="54" t="s">
        <v>214</v>
      </c>
      <c r="B139" s="54" t="s">
        <v>215</v>
      </c>
      <c r="C139" s="31">
        <v>4301135570</v>
      </c>
      <c r="D139" s="281">
        <v>4607111035806</v>
      </c>
      <c r="E139" s="282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69</v>
      </c>
      <c r="X139" s="268">
        <v>70</v>
      </c>
      <c r="Y139" s="269">
        <f>IFERROR(IF(X139="","",X139),"")</f>
        <v>70</v>
      </c>
      <c r="Z139" s="36">
        <f>IFERROR(IF(X139="","",X139*0.01788),"")</f>
        <v>1.2516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259.25200000000001</v>
      </c>
      <c r="BN139" s="67">
        <f>IFERROR(Y139*I139,"0")</f>
        <v>259.25200000000001</v>
      </c>
      <c r="BO139" s="67">
        <f>IFERROR(X139/J139,"0")</f>
        <v>1</v>
      </c>
      <c r="BP139" s="67">
        <f>IFERROR(Y139/J139,"0")</f>
        <v>1</v>
      </c>
    </row>
    <row r="140" spans="1:68" x14ac:dyDescent="0.2">
      <c r="A140" s="283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4"/>
      <c r="P140" s="276" t="s">
        <v>72</v>
      </c>
      <c r="Q140" s="277"/>
      <c r="R140" s="277"/>
      <c r="S140" s="277"/>
      <c r="T140" s="277"/>
      <c r="U140" s="277"/>
      <c r="V140" s="278"/>
      <c r="W140" s="37" t="s">
        <v>69</v>
      </c>
      <c r="X140" s="270">
        <f>IFERROR(SUM(X139:X139),"0")</f>
        <v>70</v>
      </c>
      <c r="Y140" s="270">
        <f>IFERROR(SUM(Y139:Y139),"0")</f>
        <v>70</v>
      </c>
      <c r="Z140" s="270">
        <f>IFERROR(IF(Z139="",0,Z139),"0")</f>
        <v>1.2516</v>
      </c>
      <c r="AA140" s="271"/>
      <c r="AB140" s="271"/>
      <c r="AC140" s="271"/>
    </row>
    <row r="141" spans="1:68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4"/>
      <c r="P141" s="276" t="s">
        <v>72</v>
      </c>
      <c r="Q141" s="277"/>
      <c r="R141" s="277"/>
      <c r="S141" s="277"/>
      <c r="T141" s="277"/>
      <c r="U141" s="277"/>
      <c r="V141" s="278"/>
      <c r="W141" s="37" t="s">
        <v>73</v>
      </c>
      <c r="X141" s="270">
        <f>IFERROR(SUMPRODUCT(X139:X139*H139:H139),"0")</f>
        <v>210</v>
      </c>
      <c r="Y141" s="270">
        <f>IFERROR(SUMPRODUCT(Y139:Y139*H139:H139),"0")</f>
        <v>210</v>
      </c>
      <c r="Z141" s="37"/>
      <c r="AA141" s="271"/>
      <c r="AB141" s="271"/>
      <c r="AC141" s="271"/>
    </row>
    <row r="142" spans="1:68" ht="16.5" hidden="1" customHeight="1" x14ac:dyDescent="0.25">
      <c r="A142" s="279" t="s">
        <v>217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3"/>
      <c r="AB142" s="263"/>
      <c r="AC142" s="263"/>
    </row>
    <row r="143" spans="1:68" ht="14.25" hidden="1" customHeight="1" x14ac:dyDescent="0.25">
      <c r="A143" s="291" t="s">
        <v>120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4"/>
      <c r="AB143" s="264"/>
      <c r="AC143" s="264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1">
        <v>4607111039613</v>
      </c>
      <c r="E144" s="282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6"/>
      <c r="R144" s="286"/>
      <c r="S144" s="286"/>
      <c r="T144" s="287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83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4"/>
      <c r="P145" s="276" t="s">
        <v>72</v>
      </c>
      <c r="Q145" s="277"/>
      <c r="R145" s="277"/>
      <c r="S145" s="277"/>
      <c r="T145" s="277"/>
      <c r="U145" s="277"/>
      <c r="V145" s="278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4"/>
      <c r="P146" s="276" t="s">
        <v>72</v>
      </c>
      <c r="Q146" s="277"/>
      <c r="R146" s="277"/>
      <c r="S146" s="277"/>
      <c r="T146" s="277"/>
      <c r="U146" s="277"/>
      <c r="V146" s="278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79" t="s">
        <v>220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3"/>
      <c r="AB147" s="263"/>
      <c r="AC147" s="263"/>
    </row>
    <row r="148" spans="1:68" ht="14.25" hidden="1" customHeight="1" x14ac:dyDescent="0.25">
      <c r="A148" s="291" t="s">
        <v>189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4"/>
      <c r="AB148" s="264"/>
      <c r="AC148" s="264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81">
        <v>4607111035646</v>
      </c>
      <c r="E149" s="282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80</v>
      </c>
      <c r="M149" s="33" t="s">
        <v>68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6"/>
      <c r="R149" s="286"/>
      <c r="S149" s="286"/>
      <c r="T149" s="287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82</v>
      </c>
      <c r="AK149" s="71">
        <v>6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83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4"/>
      <c r="P150" s="276" t="s">
        <v>72</v>
      </c>
      <c r="Q150" s="277"/>
      <c r="R150" s="277"/>
      <c r="S150" s="277"/>
      <c r="T150" s="277"/>
      <c r="U150" s="277"/>
      <c r="V150" s="278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4"/>
      <c r="P151" s="276" t="s">
        <v>72</v>
      </c>
      <c r="Q151" s="277"/>
      <c r="R151" s="277"/>
      <c r="S151" s="277"/>
      <c r="T151" s="277"/>
      <c r="U151" s="277"/>
      <c r="V151" s="278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79" t="s">
        <v>225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3"/>
      <c r="AB152" s="263"/>
      <c r="AC152" s="263"/>
    </row>
    <row r="153" spans="1:68" ht="14.25" hidden="1" customHeight="1" x14ac:dyDescent="0.25">
      <c r="A153" s="291" t="s">
        <v>120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4"/>
      <c r="AB153" s="264"/>
      <c r="AC153" s="264"/>
    </row>
    <row r="154" spans="1:68" ht="27" hidden="1" customHeight="1" x14ac:dyDescent="0.25">
      <c r="A154" s="54" t="s">
        <v>226</v>
      </c>
      <c r="B154" s="54" t="s">
        <v>227</v>
      </c>
      <c r="C154" s="31">
        <v>4301135591</v>
      </c>
      <c r="D154" s="281">
        <v>4607111036568</v>
      </c>
      <c r="E154" s="282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9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6"/>
      <c r="R154" s="286"/>
      <c r="S154" s="286"/>
      <c r="T154" s="287"/>
      <c r="U154" s="34"/>
      <c r="V154" s="34"/>
      <c r="W154" s="35" t="s">
        <v>69</v>
      </c>
      <c r="X154" s="268">
        <v>0</v>
      </c>
      <c r="Y154" s="269">
        <f>IFERROR(IF(X154="","",X154),"")</f>
        <v>0</v>
      </c>
      <c r="Z154" s="36">
        <f>IFERROR(IF(X154="","",X154*0.00941),"")</f>
        <v>0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283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4"/>
      <c r="P155" s="276" t="s">
        <v>72</v>
      </c>
      <c r="Q155" s="277"/>
      <c r="R155" s="277"/>
      <c r="S155" s="277"/>
      <c r="T155" s="277"/>
      <c r="U155" s="277"/>
      <c r="V155" s="278"/>
      <c r="W155" s="37" t="s">
        <v>69</v>
      </c>
      <c r="X155" s="270">
        <f>IFERROR(SUM(X154:X154),"0")</f>
        <v>0</v>
      </c>
      <c r="Y155" s="270">
        <f>IFERROR(SUM(Y154:Y154),"0")</f>
        <v>0</v>
      </c>
      <c r="Z155" s="270">
        <f>IFERROR(IF(Z154="",0,Z154),"0")</f>
        <v>0</v>
      </c>
      <c r="AA155" s="271"/>
      <c r="AB155" s="271"/>
      <c r="AC155" s="271"/>
    </row>
    <row r="156" spans="1:68" hidden="1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4"/>
      <c r="P156" s="276" t="s">
        <v>72</v>
      </c>
      <c r="Q156" s="277"/>
      <c r="R156" s="277"/>
      <c r="S156" s="277"/>
      <c r="T156" s="277"/>
      <c r="U156" s="277"/>
      <c r="V156" s="278"/>
      <c r="W156" s="37" t="s">
        <v>73</v>
      </c>
      <c r="X156" s="270">
        <f>IFERROR(SUMPRODUCT(X154:X154*H154:H154),"0")</f>
        <v>0</v>
      </c>
      <c r="Y156" s="270">
        <f>IFERROR(SUMPRODUCT(Y154:Y154*H154:H154),"0")</f>
        <v>0</v>
      </c>
      <c r="Z156" s="37"/>
      <c r="AA156" s="271"/>
      <c r="AB156" s="271"/>
      <c r="AC156" s="271"/>
    </row>
    <row r="157" spans="1:68" ht="27.75" hidden="1" customHeight="1" x14ac:dyDescent="0.2">
      <c r="A157" s="319" t="s">
        <v>229</v>
      </c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48"/>
      <c r="AB157" s="48"/>
      <c r="AC157" s="48"/>
    </row>
    <row r="158" spans="1:68" ht="16.5" hidden="1" customHeight="1" x14ac:dyDescent="0.25">
      <c r="A158" s="279" t="s">
        <v>230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3"/>
      <c r="AB158" s="263"/>
      <c r="AC158" s="263"/>
    </row>
    <row r="159" spans="1:68" ht="14.25" hidden="1" customHeight="1" x14ac:dyDescent="0.25">
      <c r="A159" s="291" t="s">
        <v>63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4"/>
      <c r="AB159" s="264"/>
      <c r="AC159" s="264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1">
        <v>4607111036384</v>
      </c>
      <c r="E160" s="282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6"/>
      <c r="R160" s="286"/>
      <c r="S160" s="286"/>
      <c r="T160" s="287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hidden="1" customHeight="1" x14ac:dyDescent="0.25">
      <c r="A161" s="54" t="s">
        <v>234</v>
      </c>
      <c r="B161" s="54" t="s">
        <v>235</v>
      </c>
      <c r="C161" s="31">
        <v>4301071050</v>
      </c>
      <c r="D161" s="281">
        <v>4607111036216</v>
      </c>
      <c r="E161" s="282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6"/>
      <c r="R161" s="286"/>
      <c r="S161" s="286"/>
      <c r="T161" s="287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4"/>
      <c r="P162" s="276" t="s">
        <v>72</v>
      </c>
      <c r="Q162" s="277"/>
      <c r="R162" s="277"/>
      <c r="S162" s="277"/>
      <c r="T162" s="277"/>
      <c r="U162" s="277"/>
      <c r="V162" s="278"/>
      <c r="W162" s="37" t="s">
        <v>69</v>
      </c>
      <c r="X162" s="270">
        <f>IFERROR(SUM(X160:X161),"0")</f>
        <v>0</v>
      </c>
      <c r="Y162" s="270">
        <f>IFERROR(SUM(Y160:Y161),"0")</f>
        <v>0</v>
      </c>
      <c r="Z162" s="270">
        <f>IFERROR(IF(Z160="",0,Z160),"0")+IFERROR(IF(Z161="",0,Z161),"0")</f>
        <v>0</v>
      </c>
      <c r="AA162" s="271"/>
      <c r="AB162" s="271"/>
      <c r="AC162" s="271"/>
    </row>
    <row r="163" spans="1:68" hidden="1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4"/>
      <c r="P163" s="276" t="s">
        <v>72</v>
      </c>
      <c r="Q163" s="277"/>
      <c r="R163" s="277"/>
      <c r="S163" s="277"/>
      <c r="T163" s="277"/>
      <c r="U163" s="277"/>
      <c r="V163" s="278"/>
      <c r="W163" s="37" t="s">
        <v>73</v>
      </c>
      <c r="X163" s="270">
        <f>IFERROR(SUMPRODUCT(X160:X161*H160:H161),"0")</f>
        <v>0</v>
      </c>
      <c r="Y163" s="270">
        <f>IFERROR(SUMPRODUCT(Y160:Y161*H160:H161),"0")</f>
        <v>0</v>
      </c>
      <c r="Z163" s="37"/>
      <c r="AA163" s="271"/>
      <c r="AB163" s="271"/>
      <c r="AC163" s="271"/>
    </row>
    <row r="164" spans="1:68" ht="27.75" hidden="1" customHeight="1" x14ac:dyDescent="0.2">
      <c r="A164" s="319" t="s">
        <v>237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48"/>
      <c r="AB164" s="48"/>
      <c r="AC164" s="48"/>
    </row>
    <row r="165" spans="1:68" ht="16.5" hidden="1" customHeight="1" x14ac:dyDescent="0.25">
      <c r="A165" s="279" t="s">
        <v>238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3"/>
      <c r="AB165" s="263"/>
      <c r="AC165" s="263"/>
    </row>
    <row r="166" spans="1:68" ht="14.25" hidden="1" customHeight="1" x14ac:dyDescent="0.25">
      <c r="A166" s="291" t="s">
        <v>76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4"/>
      <c r="AB166" s="264"/>
      <c r="AC166" s="264"/>
    </row>
    <row r="167" spans="1:68" ht="16.5" hidden="1" customHeight="1" x14ac:dyDescent="0.25">
      <c r="A167" s="54" t="s">
        <v>239</v>
      </c>
      <c r="B167" s="54" t="s">
        <v>240</v>
      </c>
      <c r="C167" s="31">
        <v>4301132179</v>
      </c>
      <c r="D167" s="281">
        <v>4607111035691</v>
      </c>
      <c r="E167" s="282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6"/>
      <c r="R167" s="286"/>
      <c r="S167" s="286"/>
      <c r="T167" s="287"/>
      <c r="U167" s="34"/>
      <c r="V167" s="34"/>
      <c r="W167" s="35" t="s">
        <v>69</v>
      </c>
      <c r="X167" s="268">
        <v>0</v>
      </c>
      <c r="Y167" s="269">
        <f>IFERROR(IF(X167="","",X167),"")</f>
        <v>0</v>
      </c>
      <c r="Z167" s="36">
        <f>IFERROR(IF(X167="","",X167*0.01788),"")</f>
        <v>0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t="27" hidden="1" customHeight="1" x14ac:dyDescent="0.25">
      <c r="A168" s="54" t="s">
        <v>242</v>
      </c>
      <c r="B168" s="54" t="s">
        <v>243</v>
      </c>
      <c r="C168" s="31">
        <v>4301132182</v>
      </c>
      <c r="D168" s="281">
        <v>4607111035721</v>
      </c>
      <c r="E168" s="282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6"/>
      <c r="R168" s="286"/>
      <c r="S168" s="286"/>
      <c r="T168" s="287"/>
      <c r="U168" s="34"/>
      <c r="V168" s="34"/>
      <c r="W168" s="35" t="s">
        <v>69</v>
      </c>
      <c r="X168" s="268">
        <v>0</v>
      </c>
      <c r="Y168" s="269">
        <f>IFERROR(IF(X168="","",X168),"")</f>
        <v>0</v>
      </c>
      <c r="Z168" s="36">
        <f>IFERROR(IF(X168="","",X168*0.01788),"")</f>
        <v>0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t="27" hidden="1" customHeight="1" x14ac:dyDescent="0.25">
      <c r="A169" s="54" t="s">
        <v>245</v>
      </c>
      <c r="B169" s="54" t="s">
        <v>246</v>
      </c>
      <c r="C169" s="31">
        <v>4301132170</v>
      </c>
      <c r="D169" s="281">
        <v>4607111038487</v>
      </c>
      <c r="E169" s="282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6"/>
      <c r="R169" s="286"/>
      <c r="S169" s="286"/>
      <c r="T169" s="287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idden="1" x14ac:dyDescent="0.2">
      <c r="A170" s="283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4"/>
      <c r="P170" s="276" t="s">
        <v>72</v>
      </c>
      <c r="Q170" s="277"/>
      <c r="R170" s="277"/>
      <c r="S170" s="277"/>
      <c r="T170" s="277"/>
      <c r="U170" s="277"/>
      <c r="V170" s="278"/>
      <c r="W170" s="37" t="s">
        <v>69</v>
      </c>
      <c r="X170" s="270">
        <f>IFERROR(SUM(X167:X169),"0")</f>
        <v>0</v>
      </c>
      <c r="Y170" s="270">
        <f>IFERROR(SUM(Y167:Y169),"0")</f>
        <v>0</v>
      </c>
      <c r="Z170" s="270">
        <f>IFERROR(IF(Z167="",0,Z167),"0")+IFERROR(IF(Z168="",0,Z168),"0")+IFERROR(IF(Z169="",0,Z169),"0")</f>
        <v>0</v>
      </c>
      <c r="AA170" s="271"/>
      <c r="AB170" s="271"/>
      <c r="AC170" s="271"/>
    </row>
    <row r="171" spans="1:68" hidden="1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4"/>
      <c r="P171" s="276" t="s">
        <v>72</v>
      </c>
      <c r="Q171" s="277"/>
      <c r="R171" s="277"/>
      <c r="S171" s="277"/>
      <c r="T171" s="277"/>
      <c r="U171" s="277"/>
      <c r="V171" s="278"/>
      <c r="W171" s="37" t="s">
        <v>73</v>
      </c>
      <c r="X171" s="270">
        <f>IFERROR(SUMPRODUCT(X167:X169*H167:H169),"0")</f>
        <v>0</v>
      </c>
      <c r="Y171" s="270">
        <f>IFERROR(SUMPRODUCT(Y167:Y169*H167:H169),"0")</f>
        <v>0</v>
      </c>
      <c r="Z171" s="37"/>
      <c r="AA171" s="271"/>
      <c r="AB171" s="271"/>
      <c r="AC171" s="271"/>
    </row>
    <row r="172" spans="1:68" ht="14.25" hidden="1" customHeight="1" x14ac:dyDescent="0.25">
      <c r="A172" s="291" t="s">
        <v>248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4"/>
      <c r="AB172" s="264"/>
      <c r="AC172" s="264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1">
        <v>4680115885875</v>
      </c>
      <c r="E173" s="282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8" t="s">
        <v>253</v>
      </c>
      <c r="Q173" s="286"/>
      <c r="R173" s="286"/>
      <c r="S173" s="286"/>
      <c r="T173" s="287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4"/>
      <c r="P174" s="276" t="s">
        <v>72</v>
      </c>
      <c r="Q174" s="277"/>
      <c r="R174" s="277"/>
      <c r="S174" s="277"/>
      <c r="T174" s="277"/>
      <c r="U174" s="277"/>
      <c r="V174" s="278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4"/>
      <c r="P175" s="276" t="s">
        <v>72</v>
      </c>
      <c r="Q175" s="277"/>
      <c r="R175" s="277"/>
      <c r="S175" s="277"/>
      <c r="T175" s="277"/>
      <c r="U175" s="277"/>
      <c r="V175" s="278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319" t="s">
        <v>256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279" t="s">
        <v>257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3"/>
      <c r="AB177" s="263"/>
      <c r="AC177" s="263"/>
    </row>
    <row r="178" spans="1:68" ht="14.25" hidden="1" customHeight="1" x14ac:dyDescent="0.25">
      <c r="A178" s="291" t="s">
        <v>76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4"/>
      <c r="AB178" s="264"/>
      <c r="AC178" s="264"/>
    </row>
    <row r="179" spans="1:68" ht="27" hidden="1" customHeight="1" x14ac:dyDescent="0.25">
      <c r="A179" s="54" t="s">
        <v>258</v>
      </c>
      <c r="B179" s="54" t="s">
        <v>259</v>
      </c>
      <c r="C179" s="31">
        <v>4301132227</v>
      </c>
      <c r="D179" s="281">
        <v>4620207491133</v>
      </c>
      <c r="E179" s="282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6"/>
      <c r="R179" s="286"/>
      <c r="S179" s="286"/>
      <c r="T179" s="287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3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4"/>
      <c r="P180" s="276" t="s">
        <v>72</v>
      </c>
      <c r="Q180" s="277"/>
      <c r="R180" s="277"/>
      <c r="S180" s="277"/>
      <c r="T180" s="277"/>
      <c r="U180" s="277"/>
      <c r="V180" s="278"/>
      <c r="W180" s="37" t="s">
        <v>69</v>
      </c>
      <c r="X180" s="270">
        <f>IFERROR(SUM(X179:X179),"0")</f>
        <v>0</v>
      </c>
      <c r="Y180" s="270">
        <f>IFERROR(SUM(Y179:Y179),"0")</f>
        <v>0</v>
      </c>
      <c r="Z180" s="270">
        <f>IFERROR(IF(Z179="",0,Z179),"0")</f>
        <v>0</v>
      </c>
      <c r="AA180" s="271"/>
      <c r="AB180" s="271"/>
      <c r="AC180" s="271"/>
    </row>
    <row r="181" spans="1:68" hidden="1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4"/>
      <c r="P181" s="276" t="s">
        <v>72</v>
      </c>
      <c r="Q181" s="277"/>
      <c r="R181" s="277"/>
      <c r="S181" s="277"/>
      <c r="T181" s="277"/>
      <c r="U181" s="277"/>
      <c r="V181" s="278"/>
      <c r="W181" s="37" t="s">
        <v>73</v>
      </c>
      <c r="X181" s="270">
        <f>IFERROR(SUMPRODUCT(X179:X179*H179:H179),"0")</f>
        <v>0</v>
      </c>
      <c r="Y181" s="270">
        <f>IFERROR(SUMPRODUCT(Y179:Y179*H179:H179),"0")</f>
        <v>0</v>
      </c>
      <c r="Z181" s="37"/>
      <c r="AA181" s="271"/>
      <c r="AB181" s="271"/>
      <c r="AC181" s="271"/>
    </row>
    <row r="182" spans="1:68" ht="14.25" hidden="1" customHeight="1" x14ac:dyDescent="0.25">
      <c r="A182" s="291" t="s">
        <v>120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4"/>
      <c r="AB182" s="264"/>
      <c r="AC182" s="264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1">
        <v>4620207490198</v>
      </c>
      <c r="E183" s="282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0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6"/>
      <c r="R183" s="286"/>
      <c r="S183" s="286"/>
      <c r="T183" s="287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1">
        <v>4620207490235</v>
      </c>
      <c r="E184" s="282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3" t="s">
        <v>266</v>
      </c>
      <c r="Q184" s="286"/>
      <c r="R184" s="286"/>
      <c r="S184" s="286"/>
      <c r="T184" s="287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6"/>
      <c r="R185" s="286"/>
      <c r="S185" s="286"/>
      <c r="T185" s="287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6"/>
      <c r="R186" s="286"/>
      <c r="S186" s="286"/>
      <c r="T186" s="287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4"/>
      <c r="P187" s="276" t="s">
        <v>72</v>
      </c>
      <c r="Q187" s="277"/>
      <c r="R187" s="277"/>
      <c r="S187" s="277"/>
      <c r="T187" s="277"/>
      <c r="U187" s="277"/>
      <c r="V187" s="278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4"/>
      <c r="P188" s="276" t="s">
        <v>72</v>
      </c>
      <c r="Q188" s="277"/>
      <c r="R188" s="277"/>
      <c r="S188" s="277"/>
      <c r="T188" s="277"/>
      <c r="U188" s="277"/>
      <c r="V188" s="278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3"/>
      <c r="AB189" s="263"/>
      <c r="AC189" s="263"/>
    </row>
    <row r="190" spans="1:68" ht="14.25" hidden="1" customHeight="1" x14ac:dyDescent="0.25">
      <c r="A190" s="291" t="s">
        <v>63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4301071110</v>
      </c>
      <c r="D191" s="281">
        <v>4607111035103</v>
      </c>
      <c r="E191" s="282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1" s="286"/>
      <c r="R191" s="286"/>
      <c r="S191" s="286"/>
      <c r="T191" s="287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4301071108</v>
      </c>
      <c r="D192" s="281">
        <v>4607111035912</v>
      </c>
      <c r="E192" s="282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4301071109</v>
      </c>
      <c r="D193" s="281">
        <v>4607111035929</v>
      </c>
      <c r="E193" s="282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1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81">
        <v>4607111035882</v>
      </c>
      <c r="E194" s="282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7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4301071107</v>
      </c>
      <c r="D195" s="281">
        <v>4607111035905</v>
      </c>
      <c r="E195" s="282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idden="1" x14ac:dyDescent="0.2">
      <c r="A196" s="283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4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IFERROR(SUM(X191:X195),"0")</f>
        <v>0</v>
      </c>
      <c r="Y196" s="270">
        <f>IFERROR(SUM(Y191:Y195),"0")</f>
        <v>0</v>
      </c>
      <c r="Z196" s="270">
        <f>IFERROR(IF(Z191="",0,Z191),"0")+IFERROR(IF(Z192="",0,Z192),"0")+IFERROR(IF(Z193="",0,Z193),"0")+IFERROR(IF(Z194="",0,Z194),"0")+IFERROR(IF(Z195="",0,Z195),"0")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hidden="1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4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IFERROR(SUMPRODUCT(X191:X195*H191:H195),"0")</f>
        <v>0</v>
      </c>
      <c r="Y197" s="270">
        <f>IFERROR(SUMPRODUCT(Y191:Y195*H191:H195),"0")</f>
        <v>0</v>
      </c>
      <c r="Z197" s="37"/>
      <c r="AA197" s="271"/>
      <c r="AB197" s="271"/>
      <c r="AC197" s="271"/>
    </row>
    <row r="198" spans="1:68" ht="16.5" hidden="1" customHeight="1" x14ac:dyDescent="0.25">
      <c r="A198" s="279" t="s">
        <v>285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291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4"/>
      <c r="AB199" s="264"/>
      <c r="AC199" s="264"/>
    </row>
    <row r="200" spans="1:68" ht="27" hidden="1" customHeight="1" x14ac:dyDescent="0.25">
      <c r="A200" s="54" t="s">
        <v>286</v>
      </c>
      <c r="B200" s="54" t="s">
        <v>287</v>
      </c>
      <c r="C200" s="31">
        <v>4301071097</v>
      </c>
      <c r="D200" s="281">
        <v>4620207491096</v>
      </c>
      <c r="E200" s="282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4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4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79" t="s">
        <v>289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291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4"/>
      <c r="AB204" s="264"/>
      <c r="AC204" s="264"/>
    </row>
    <row r="205" spans="1:68" ht="27" hidden="1" customHeight="1" x14ac:dyDescent="0.25">
      <c r="A205" s="54" t="s">
        <v>290</v>
      </c>
      <c r="B205" s="54" t="s">
        <v>291</v>
      </c>
      <c r="C205" s="31">
        <v>4301071093</v>
      </c>
      <c r="D205" s="281">
        <v>4620207490709</v>
      </c>
      <c r="E205" s="282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4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4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91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4"/>
      <c r="AB208" s="264"/>
      <c r="AC208" s="264"/>
    </row>
    <row r="209" spans="1:68" ht="27" hidden="1" customHeight="1" x14ac:dyDescent="0.25">
      <c r="A209" s="54" t="s">
        <v>293</v>
      </c>
      <c r="B209" s="54" t="s">
        <v>294</v>
      </c>
      <c r="C209" s="31">
        <v>4301135692</v>
      </c>
      <c r="D209" s="281">
        <v>4620207490570</v>
      </c>
      <c r="E209" s="282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4301135691</v>
      </c>
      <c r="D210" s="281">
        <v>4620207490549</v>
      </c>
      <c r="E210" s="282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298</v>
      </c>
      <c r="B211" s="54" t="s">
        <v>299</v>
      </c>
      <c r="C211" s="31">
        <v>4301135694</v>
      </c>
      <c r="D211" s="281">
        <v>4620207490501</v>
      </c>
      <c r="E211" s="282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4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4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300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291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4"/>
      <c r="AB215" s="264"/>
      <c r="AC215" s="264"/>
    </row>
    <row r="216" spans="1:68" ht="16.5" hidden="1" customHeight="1" x14ac:dyDescent="0.25">
      <c r="A216" s="54" t="s">
        <v>301</v>
      </c>
      <c r="B216" s="54" t="s">
        <v>302</v>
      </c>
      <c r="C216" s="31">
        <v>4301071099</v>
      </c>
      <c r="D216" s="281">
        <v>4607111039019</v>
      </c>
      <c r="E216" s="282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6"/>
      <c r="R216" s="286"/>
      <c r="S216" s="286"/>
      <c r="T216" s="287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304</v>
      </c>
      <c r="B217" s="54" t="s">
        <v>305</v>
      </c>
      <c r="C217" s="31">
        <v>4301071100</v>
      </c>
      <c r="D217" s="281">
        <v>4607111038708</v>
      </c>
      <c r="E217" s="282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6"/>
      <c r="R217" s="286"/>
      <c r="S217" s="286"/>
      <c r="T217" s="287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4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4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9" t="s">
        <v>306</v>
      </c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48"/>
      <c r="AB220" s="48"/>
      <c r="AC220" s="48"/>
    </row>
    <row r="221" spans="1:68" ht="16.5" hidden="1" customHeight="1" x14ac:dyDescent="0.25">
      <c r="A221" s="279" t="s">
        <v>307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291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4"/>
      <c r="AB222" s="264"/>
      <c r="AC222" s="264"/>
    </row>
    <row r="223" spans="1:68" ht="27" hidden="1" customHeight="1" x14ac:dyDescent="0.25">
      <c r="A223" s="54" t="s">
        <v>308</v>
      </c>
      <c r="B223" s="54" t="s">
        <v>309</v>
      </c>
      <c r="C223" s="31">
        <v>4301071036</v>
      </c>
      <c r="D223" s="281">
        <v>4607111036162</v>
      </c>
      <c r="E223" s="282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6"/>
      <c r="R223" s="286"/>
      <c r="S223" s="286"/>
      <c r="T223" s="287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4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4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9" t="s">
        <v>311</v>
      </c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48"/>
      <c r="AB226" s="48"/>
      <c r="AC226" s="48"/>
    </row>
    <row r="227" spans="1:68" ht="16.5" hidden="1" customHeight="1" x14ac:dyDescent="0.25">
      <c r="A227" s="279" t="s">
        <v>312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291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4"/>
      <c r="AB228" s="264"/>
      <c r="AC228" s="264"/>
    </row>
    <row r="229" spans="1:68" ht="27" hidden="1" customHeight="1" x14ac:dyDescent="0.25">
      <c r="A229" s="54" t="s">
        <v>313</v>
      </c>
      <c r="B229" s="54" t="s">
        <v>314</v>
      </c>
      <c r="C229" s="31">
        <v>4301071029</v>
      </c>
      <c r="D229" s="281">
        <v>4607111035899</v>
      </c>
      <c r="E229" s="282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6"/>
      <c r="R229" s="286"/>
      <c r="S229" s="286"/>
      <c r="T229" s="287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71</v>
      </c>
      <c r="AK229" s="71">
        <v>1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4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4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19" t="s">
        <v>315</v>
      </c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48"/>
      <c r="AB232" s="48"/>
      <c r="AC232" s="48"/>
    </row>
    <row r="233" spans="1:68" ht="16.5" hidden="1" customHeight="1" x14ac:dyDescent="0.25">
      <c r="A233" s="279" t="s">
        <v>316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291" t="s">
        <v>317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4"/>
      <c r="AB234" s="264"/>
      <c r="AC234" s="264"/>
    </row>
    <row r="235" spans="1:68" ht="27" hidden="1" customHeight="1" x14ac:dyDescent="0.25">
      <c r="A235" s="54" t="s">
        <v>318</v>
      </c>
      <c r="B235" s="54" t="s">
        <v>319</v>
      </c>
      <c r="C235" s="31">
        <v>4301133004</v>
      </c>
      <c r="D235" s="281">
        <v>4607111039774</v>
      </c>
      <c r="E235" s="282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6"/>
      <c r="R235" s="286"/>
      <c r="S235" s="286"/>
      <c r="T235" s="287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3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4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4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91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4"/>
      <c r="AB238" s="264"/>
      <c r="AC238" s="264"/>
    </row>
    <row r="239" spans="1:68" ht="37.5" hidden="1" customHeight="1" x14ac:dyDescent="0.25">
      <c r="A239" s="54" t="s">
        <v>321</v>
      </c>
      <c r="B239" s="54" t="s">
        <v>322</v>
      </c>
      <c r="C239" s="31">
        <v>4301135400</v>
      </c>
      <c r="D239" s="281">
        <v>4607111039361</v>
      </c>
      <c r="E239" s="282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6"/>
      <c r="R239" s="286"/>
      <c r="S239" s="286"/>
      <c r="T239" s="287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3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4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4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9" t="s">
        <v>323</v>
      </c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48"/>
      <c r="AB242" s="48"/>
      <c r="AC242" s="48"/>
    </row>
    <row r="243" spans="1:68" ht="16.5" hidden="1" customHeight="1" x14ac:dyDescent="0.25">
      <c r="A243" s="279" t="s">
        <v>323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291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4"/>
      <c r="AB244" s="264"/>
      <c r="AC244" s="264"/>
    </row>
    <row r="245" spans="1:68" ht="27" hidden="1" customHeight="1" x14ac:dyDescent="0.25">
      <c r="A245" s="54" t="s">
        <v>324</v>
      </c>
      <c r="B245" s="54" t="s">
        <v>325</v>
      </c>
      <c r="C245" s="31">
        <v>4301071014</v>
      </c>
      <c r="D245" s="281">
        <v>4640242181264</v>
      </c>
      <c r="E245" s="282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6"/>
      <c r="R245" s="286"/>
      <c r="S245" s="286"/>
      <c r="T245" s="287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hidden="1" customHeight="1" x14ac:dyDescent="0.25">
      <c r="A246" s="54" t="s">
        <v>327</v>
      </c>
      <c r="B246" s="54" t="s">
        <v>328</v>
      </c>
      <c r="C246" s="31">
        <v>4301071021</v>
      </c>
      <c r="D246" s="281">
        <v>4640242181325</v>
      </c>
      <c r="E246" s="282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6"/>
      <c r="R246" s="286"/>
      <c r="S246" s="286"/>
      <c r="T246" s="287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326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329</v>
      </c>
      <c r="B247" s="54" t="s">
        <v>330</v>
      </c>
      <c r="C247" s="31">
        <v>4301070993</v>
      </c>
      <c r="D247" s="281">
        <v>4640242180670</v>
      </c>
      <c r="E247" s="282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67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6"/>
      <c r="R247" s="286"/>
      <c r="S247" s="286"/>
      <c r="T247" s="287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71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3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4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hidden="1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4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hidden="1" customHeight="1" x14ac:dyDescent="0.25">
      <c r="A250" s="291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1">
        <v>4640242180397</v>
      </c>
      <c r="E251" s="282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6"/>
      <c r="R251" s="286"/>
      <c r="S251" s="286"/>
      <c r="T251" s="287"/>
      <c r="U251" s="34"/>
      <c r="V251" s="34"/>
      <c r="W251" s="35" t="s">
        <v>69</v>
      </c>
      <c r="X251" s="268">
        <v>84</v>
      </c>
      <c r="Y251" s="269">
        <f>IFERROR(IF(X251="","",X251),"")</f>
        <v>84</v>
      </c>
      <c r="Z251" s="36">
        <f>IFERROR(IF(X251="","",X251*0.0155),"")</f>
        <v>1.302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525.84</v>
      </c>
      <c r="BN251" s="67">
        <f>IFERROR(Y251*I251,"0")</f>
        <v>525.84</v>
      </c>
      <c r="BO251" s="67">
        <f>IFERROR(X251/J251,"0")</f>
        <v>1</v>
      </c>
      <c r="BP251" s="67">
        <f>IFERROR(Y251/J251,"0")</f>
        <v>1</v>
      </c>
    </row>
    <row r="252" spans="1:68" ht="27" hidden="1" customHeight="1" x14ac:dyDescent="0.25">
      <c r="A252" s="54" t="s">
        <v>335</v>
      </c>
      <c r="B252" s="54" t="s">
        <v>336</v>
      </c>
      <c r="C252" s="31">
        <v>4301132104</v>
      </c>
      <c r="D252" s="281">
        <v>4640242181219</v>
      </c>
      <c r="E252" s="282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8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6"/>
      <c r="R252" s="286"/>
      <c r="S252" s="286"/>
      <c r="T252" s="287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3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4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84</v>
      </c>
      <c r="Y253" s="270">
        <f>IFERROR(SUM(Y251:Y252),"0")</f>
        <v>84</v>
      </c>
      <c r="Z253" s="270">
        <f>IFERROR(IF(Z251="",0,Z251),"0")+IFERROR(IF(Z252="",0,Z252),"0")</f>
        <v>1.302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4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504</v>
      </c>
      <c r="Y254" s="270">
        <f>IFERROR(SUMPRODUCT(Y251:Y252*H251:H252),"0")</f>
        <v>504</v>
      </c>
      <c r="Z254" s="37"/>
      <c r="AA254" s="271"/>
      <c r="AB254" s="271"/>
      <c r="AC254" s="271"/>
    </row>
    <row r="255" spans="1:68" ht="14.25" hidden="1" customHeight="1" x14ac:dyDescent="0.25">
      <c r="A255" s="291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4"/>
      <c r="AB255" s="264"/>
      <c r="AC255" s="264"/>
    </row>
    <row r="256" spans="1:68" ht="27" hidden="1" customHeight="1" x14ac:dyDescent="0.25">
      <c r="A256" s="54" t="s">
        <v>337</v>
      </c>
      <c r="B256" s="54" t="s">
        <v>338</v>
      </c>
      <c r="C256" s="31">
        <v>4301136051</v>
      </c>
      <c r="D256" s="281">
        <v>4640242180304</v>
      </c>
      <c r="E256" s="282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6"/>
      <c r="R256" s="286"/>
      <c r="S256" s="286"/>
      <c r="T256" s="287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1">
        <v>4640242180236</v>
      </c>
      <c r="E257" s="282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6"/>
      <c r="R257" s="286"/>
      <c r="S257" s="286"/>
      <c r="T257" s="287"/>
      <c r="U257" s="34"/>
      <c r="V257" s="34"/>
      <c r="W257" s="35" t="s">
        <v>69</v>
      </c>
      <c r="X257" s="268">
        <v>168</v>
      </c>
      <c r="Y257" s="269">
        <f>IFERROR(IF(X257="","",X257),"")</f>
        <v>168</v>
      </c>
      <c r="Z257" s="36">
        <f>IFERROR(IF(X257="","",X257*0.0155),"")</f>
        <v>2.6040000000000001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879.48</v>
      </c>
      <c r="BN257" s="67">
        <f>IFERROR(Y257*I257,"0")</f>
        <v>879.48</v>
      </c>
      <c r="BO257" s="67">
        <f>IFERROR(X257/J257,"0")</f>
        <v>2</v>
      </c>
      <c r="BP257" s="67">
        <f>IFERROR(Y257/J257,"0")</f>
        <v>2</v>
      </c>
    </row>
    <row r="258" spans="1:68" ht="27" hidden="1" customHeight="1" x14ac:dyDescent="0.25">
      <c r="A258" s="54" t="s">
        <v>342</v>
      </c>
      <c r="B258" s="54" t="s">
        <v>343</v>
      </c>
      <c r="C258" s="31">
        <v>4301136052</v>
      </c>
      <c r="D258" s="281">
        <v>4640242180410</v>
      </c>
      <c r="E258" s="282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6"/>
      <c r="R258" s="286"/>
      <c r="S258" s="286"/>
      <c r="T258" s="287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3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4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168</v>
      </c>
      <c r="Y259" s="270">
        <f>IFERROR(SUM(Y256:Y258),"0")</f>
        <v>168</v>
      </c>
      <c r="Z259" s="270">
        <f>IFERROR(IF(Z256="",0,Z256),"0")+IFERROR(IF(Z257="",0,Z257),"0")+IFERROR(IF(Z258="",0,Z258),"0")</f>
        <v>2.6040000000000001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4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840</v>
      </c>
      <c r="Y260" s="270">
        <f>IFERROR(SUMPRODUCT(Y256:Y258*H256:H258),"0")</f>
        <v>840</v>
      </c>
      <c r="Z260" s="37"/>
      <c r="AA260" s="271"/>
      <c r="AB260" s="271"/>
      <c r="AC260" s="271"/>
    </row>
    <row r="261" spans="1:68" ht="14.25" hidden="1" customHeight="1" x14ac:dyDescent="0.25">
      <c r="A261" s="291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4"/>
      <c r="AB261" s="264"/>
      <c r="AC261" s="264"/>
    </row>
    <row r="262" spans="1:68" ht="37.5" hidden="1" customHeight="1" x14ac:dyDescent="0.25">
      <c r="A262" s="54" t="s">
        <v>344</v>
      </c>
      <c r="B262" s="54" t="s">
        <v>345</v>
      </c>
      <c r="C262" s="31">
        <v>4301135504</v>
      </c>
      <c r="D262" s="281">
        <v>4640242181554</v>
      </c>
      <c r="E262" s="282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6"/>
      <c r="R262" s="286"/>
      <c r="S262" s="286"/>
      <c r="T262" s="287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1">
        <v>4640242181561</v>
      </c>
      <c r="E263" s="282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68">
        <v>378</v>
      </c>
      <c r="Y263" s="269">
        <f t="shared" si="12"/>
        <v>378</v>
      </c>
      <c r="Z263" s="36">
        <f>IFERROR(IF(X263="","",X263*0.00936),"")</f>
        <v>3.5380799999999999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1471.1759999999999</v>
      </c>
      <c r="BN263" s="67">
        <f t="shared" si="14"/>
        <v>1471.1759999999999</v>
      </c>
      <c r="BO263" s="67">
        <f t="shared" si="15"/>
        <v>3</v>
      </c>
      <c r="BP263" s="67">
        <f t="shared" si="16"/>
        <v>3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1">
        <v>4640242181424</v>
      </c>
      <c r="E264" s="282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6"/>
      <c r="R264" s="286"/>
      <c r="S264" s="286"/>
      <c r="T264" s="287"/>
      <c r="U264" s="34"/>
      <c r="V264" s="34"/>
      <c r="W264" s="35" t="s">
        <v>69</v>
      </c>
      <c r="X264" s="268">
        <v>168</v>
      </c>
      <c r="Y264" s="269">
        <f t="shared" si="12"/>
        <v>168</v>
      </c>
      <c r="Z264" s="36">
        <f>IFERROR(IF(X264="","",X264*0.0155),"")</f>
        <v>2.6040000000000001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963.48</v>
      </c>
      <c r="BN264" s="67">
        <f t="shared" si="14"/>
        <v>963.48</v>
      </c>
      <c r="BO264" s="67">
        <f t="shared" si="15"/>
        <v>2</v>
      </c>
      <c r="BP264" s="67">
        <f t="shared" si="16"/>
        <v>2</v>
      </c>
    </row>
    <row r="265" spans="1:68" ht="27" hidden="1" customHeight="1" x14ac:dyDescent="0.25">
      <c r="A265" s="54" t="s">
        <v>352</v>
      </c>
      <c r="B265" s="54" t="s">
        <v>353</v>
      </c>
      <c r="C265" s="31">
        <v>4301135405</v>
      </c>
      <c r="D265" s="281">
        <v>4640242181523</v>
      </c>
      <c r="E265" s="282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6"/>
      <c r="R265" s="286"/>
      <c r="S265" s="286"/>
      <c r="T265" s="287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354</v>
      </c>
      <c r="B266" s="54" t="s">
        <v>355</v>
      </c>
      <c r="C266" s="31">
        <v>4301135375</v>
      </c>
      <c r="D266" s="281">
        <v>4640242181486</v>
      </c>
      <c r="E266" s="282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199</v>
      </c>
      <c r="M266" s="33" t="s">
        <v>68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6"/>
      <c r="R266" s="286"/>
      <c r="S266" s="286"/>
      <c r="T266" s="287"/>
      <c r="U266" s="34"/>
      <c r="V266" s="34"/>
      <c r="W266" s="35" t="s">
        <v>69</v>
      </c>
      <c r="X266" s="268">
        <v>126</v>
      </c>
      <c r="Y266" s="269">
        <f t="shared" si="12"/>
        <v>126</v>
      </c>
      <c r="Z266" s="36">
        <f t="shared" si="17"/>
        <v>1.17936</v>
      </c>
      <c r="AA266" s="56"/>
      <c r="AB266" s="57"/>
      <c r="AC266" s="248" t="s">
        <v>346</v>
      </c>
      <c r="AG266" s="67"/>
      <c r="AJ266" s="71" t="s">
        <v>200</v>
      </c>
      <c r="AK266" s="71">
        <v>126</v>
      </c>
      <c r="BB266" s="249" t="s">
        <v>83</v>
      </c>
      <c r="BM266" s="67">
        <f t="shared" si="13"/>
        <v>490.392</v>
      </c>
      <c r="BN266" s="67">
        <f t="shared" si="14"/>
        <v>490.392</v>
      </c>
      <c r="BO266" s="67">
        <f t="shared" si="15"/>
        <v>1</v>
      </c>
      <c r="BP266" s="67">
        <f t="shared" si="16"/>
        <v>1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4301135402</v>
      </c>
      <c r="D267" s="281">
        <v>4640242181493</v>
      </c>
      <c r="E267" s="282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358</v>
      </c>
      <c r="B268" s="54" t="s">
        <v>359</v>
      </c>
      <c r="C268" s="31">
        <v>4301135403</v>
      </c>
      <c r="D268" s="281">
        <v>4640242181509</v>
      </c>
      <c r="E268" s="282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6"/>
      <c r="R268" s="286"/>
      <c r="S268" s="286"/>
      <c r="T268" s="287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4301135304</v>
      </c>
      <c r="D269" s="281">
        <v>4640242181240</v>
      </c>
      <c r="E269" s="282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6"/>
      <c r="R269" s="286"/>
      <c r="S269" s="286"/>
      <c r="T269" s="287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4301135610</v>
      </c>
      <c r="D270" s="281">
        <v>4640242181318</v>
      </c>
      <c r="E270" s="282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4301135306</v>
      </c>
      <c r="D271" s="281">
        <v>4640242181387</v>
      </c>
      <c r="E271" s="282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3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4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672</v>
      </c>
      <c r="Y272" s="270">
        <f>IFERROR(SUM(Y262:Y271),"0")</f>
        <v>672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7.3214399999999999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4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2788.8</v>
      </c>
      <c r="Y273" s="270">
        <f>IFERROR(SUMPRODUCT(Y262:Y271*H262:H271),"0")</f>
        <v>2788.8</v>
      </c>
      <c r="Z273" s="37"/>
      <c r="AA273" s="271"/>
      <c r="AB273" s="271"/>
      <c r="AC273" s="271"/>
    </row>
    <row r="274" spans="1:32" ht="15" customHeight="1" x14ac:dyDescent="0.2">
      <c r="A274" s="433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8"/>
      <c r="P274" s="316" t="s">
        <v>366</v>
      </c>
      <c r="Q274" s="317"/>
      <c r="R274" s="317"/>
      <c r="S274" s="317"/>
      <c r="T274" s="317"/>
      <c r="U274" s="317"/>
      <c r="V274" s="318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6989.52</v>
      </c>
      <c r="Y274" s="270">
        <f>IFERROR(Y24+Y31+Y38+Y46+Y51+Y55+Y60+Y66+Y72+Y77+Y83+Y93+Y99+Y110+Y114+Y118+Y124+Y130+Y136+Y141+Y146+Y151+Y156+Y163+Y171+Y175+Y181+Y188+Y197+Y202+Y207+Y213+Y219+Y225+Y231+Y237+Y241+Y249+Y254+Y260+Y273,"0")</f>
        <v>6989.52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8"/>
      <c r="P275" s="316" t="s">
        <v>367</v>
      </c>
      <c r="Q275" s="317"/>
      <c r="R275" s="317"/>
      <c r="S275" s="317"/>
      <c r="T275" s="317"/>
      <c r="U275" s="317"/>
      <c r="V275" s="318"/>
      <c r="W275" s="37" t="s">
        <v>73</v>
      </c>
      <c r="X275" s="270">
        <f>IFERROR(SUM(BM22:BM271),"0")</f>
        <v>7560.5911999999989</v>
      </c>
      <c r="Y275" s="270">
        <f>IFERROR(SUM(BN22:BN271),"0")</f>
        <v>7560.5911999999989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8"/>
      <c r="P276" s="316" t="s">
        <v>368</v>
      </c>
      <c r="Q276" s="317"/>
      <c r="R276" s="317"/>
      <c r="S276" s="317"/>
      <c r="T276" s="317"/>
      <c r="U276" s="317"/>
      <c r="V276" s="318"/>
      <c r="W276" s="37" t="s">
        <v>369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8"/>
      <c r="P277" s="316" t="s">
        <v>370</v>
      </c>
      <c r="Q277" s="317"/>
      <c r="R277" s="317"/>
      <c r="S277" s="317"/>
      <c r="T277" s="317"/>
      <c r="U277" s="317"/>
      <c r="V277" s="318"/>
      <c r="W277" s="37" t="s">
        <v>73</v>
      </c>
      <c r="X277" s="270">
        <f>GrossWeightTotal+PalletQtyTotal*25</f>
        <v>8010.5911999999989</v>
      </c>
      <c r="Y277" s="270">
        <f>GrossWeightTotalR+PalletQtyTotalR*25</f>
        <v>8010.5911999999989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8"/>
      <c r="P278" s="316" t="s">
        <v>371</v>
      </c>
      <c r="Q278" s="317"/>
      <c r="R278" s="317"/>
      <c r="S278" s="317"/>
      <c r="T278" s="317"/>
      <c r="U278" s="317"/>
      <c r="V278" s="318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1598</v>
      </c>
      <c r="Y278" s="270">
        <f>IFERROR(Y23+Y30+Y37+Y45+Y50+Y54+Y59+Y65+Y71+Y76+Y82+Y92+Y98+Y109+Y113+Y117+Y123+Y129+Y135+Y140+Y145+Y150+Y155+Y162+Y170+Y174+Y180+Y187+Y196+Y201+Y206+Y212+Y218+Y224+Y230+Y236+Y240+Y248+Y253+Y259+Y272,"0")</f>
        <v>1598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8"/>
      <c r="P279" s="316" t="s">
        <v>372</v>
      </c>
      <c r="Q279" s="317"/>
      <c r="R279" s="317"/>
      <c r="S279" s="317"/>
      <c r="T279" s="317"/>
      <c r="U279" s="317"/>
      <c r="V279" s="318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22.543199999999999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2" t="s">
        <v>74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5" t="s">
        <v>229</v>
      </c>
      <c r="V281" s="265" t="s">
        <v>237</v>
      </c>
      <c r="W281" s="272" t="s">
        <v>256</v>
      </c>
      <c r="X281" s="306"/>
      <c r="Y281" s="306"/>
      <c r="Z281" s="306"/>
      <c r="AA281" s="307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89" t="s">
        <v>375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193</v>
      </c>
      <c r="N282" s="266"/>
      <c r="O282" s="272" t="s">
        <v>201</v>
      </c>
      <c r="P282" s="272" t="s">
        <v>208</v>
      </c>
      <c r="Q282" s="272" t="s">
        <v>213</v>
      </c>
      <c r="R282" s="272" t="s">
        <v>217</v>
      </c>
      <c r="S282" s="272" t="s">
        <v>220</v>
      </c>
      <c r="T282" s="272" t="s">
        <v>225</v>
      </c>
      <c r="U282" s="272" t="s">
        <v>230</v>
      </c>
      <c r="V282" s="272" t="s">
        <v>238</v>
      </c>
      <c r="W282" s="272" t="s">
        <v>257</v>
      </c>
      <c r="X282" s="272" t="s">
        <v>273</v>
      </c>
      <c r="Y282" s="272" t="s">
        <v>285</v>
      </c>
      <c r="Z282" s="272" t="s">
        <v>289</v>
      </c>
      <c r="AA282" s="272" t="s">
        <v>300</v>
      </c>
      <c r="AB282" s="272" t="s">
        <v>307</v>
      </c>
      <c r="AC282" s="272" t="s">
        <v>312</v>
      </c>
      <c r="AD282" s="272" t="s">
        <v>316</v>
      </c>
      <c r="AE282" s="272" t="s">
        <v>323</v>
      </c>
      <c r="AF282" s="266"/>
    </row>
    <row r="283" spans="1:32" ht="13.5" customHeight="1" thickBot="1" x14ac:dyDescent="0.25">
      <c r="A283" s="290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0</v>
      </c>
      <c r="D284" s="46">
        <f>IFERROR(X34*H34,"0")+IFERROR(X35*H35,"0")+IFERROR(X36*H36,"0")</f>
        <v>268.79999999999995</v>
      </c>
      <c r="E284" s="46">
        <f>IFERROR(X41*H41,"0")+IFERROR(X42*H42,"0")+IFERROR(X43*H43,"0")+IFERROR(X44*H44,"0")</f>
        <v>504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120</v>
      </c>
      <c r="H284" s="46">
        <f>IFERROR(X75*H75,"0")</f>
        <v>0</v>
      </c>
      <c r="I284" s="46">
        <f>IFERROR(X80*H80,"0")+IFERROR(X81*H81,"0")</f>
        <v>0</v>
      </c>
      <c r="J284" s="46">
        <f>IFERROR(X86*H86,"0")+IFERROR(X87*H87,"0")+IFERROR(X88*H88,"0")+IFERROR(X89*H89,"0")+IFERROR(X90*H90,"0")+IFERROR(X91*H91,"0")</f>
        <v>241.92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672</v>
      </c>
      <c r="M284" s="46">
        <f>IFERROR(X121*H121,"0")+IFERROR(X122*H122,"0")</f>
        <v>840</v>
      </c>
      <c r="N284" s="266"/>
      <c r="O284" s="46">
        <f>IFERROR(X127*H127,"0")+IFERROR(X128*H128,"0")</f>
        <v>0</v>
      </c>
      <c r="P284" s="46">
        <f>IFERROR(X133*H133,"0")+IFERROR(X134*H134,"0")</f>
        <v>0</v>
      </c>
      <c r="Q284" s="46">
        <f>IFERROR(X139*H139,"0")</f>
        <v>210</v>
      </c>
      <c r="R284" s="46">
        <f>IFERROR(X144*H144,"0")</f>
        <v>0</v>
      </c>
      <c r="S284" s="46">
        <f>IFERROR(X149*H149,"0")</f>
        <v>0</v>
      </c>
      <c r="T284" s="46">
        <f>IFERROR(X154*H154,"0")</f>
        <v>0</v>
      </c>
      <c r="U284" s="46">
        <f>IFERROR(X160*H160,"0")+IFERROR(X161*H161,"0")</f>
        <v>0</v>
      </c>
      <c r="V284" s="46">
        <f>IFERROR(X167*H167,"0")+IFERROR(X168*H168,"0")+IFERROR(X169*H169,"0")+IFERROR(X173*H173,"0")</f>
        <v>0</v>
      </c>
      <c r="W284" s="46">
        <f>IFERROR(X179*H179,"0")+IFERROR(X183*H183,"0")+IFERROR(X184*H184,"0")+IFERROR(X185*H185,"0")+IFERROR(X186*H186,"0")</f>
        <v>0</v>
      </c>
      <c r="X284" s="46">
        <f>IFERROR(X191*H191,"0")+IFERROR(X192*H192,"0")+IFERROR(X193*H193,"0")+IFERROR(X194*H194,"0")+IFERROR(X195*H195,"0")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4132.8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1564.8</v>
      </c>
      <c r="B287" s="60">
        <f>SUMPRODUCT(--(BB:BB="ПГП"),--(W:W="кор"),H:H,Y:Y)+SUMPRODUCT(--(BB:BB="ПГП"),--(W:W="кг"),Y:Y)</f>
        <v>5424.72</v>
      </c>
      <c r="C287" s="60">
        <f>SUMPRODUCT(--(BB:BB="КИЗ"),--(W:W="кор"),H:H,Y:Y)+SUMPRODUCT(--(BB:BB="КИЗ"),--(W:W="кг"),Y:Y)</f>
        <v>0</v>
      </c>
    </row>
  </sheetData>
  <sheetProtection algorithmName="SHA-512" hashValue="gitIeHlrN076vuJTjxoJyPctkJ1e6z/8RGuxaNIQCbWeYwl0ZQ2p2a9zYo4SHEfvNA24W6huMf7nZqp1OvuT6w==" saltValue="i8Dlm78AM3bfeeJipC79Lg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98,00"/>
        <filter val="12,00"/>
        <filter val="120,00"/>
        <filter val="126,00"/>
        <filter val="14,00"/>
        <filter val="140,00"/>
        <filter val="168,00"/>
        <filter val="18"/>
        <filter val="2 788,80"/>
        <filter val="210,00"/>
        <filter val="24,00"/>
        <filter val="241,92"/>
        <filter val="268,80"/>
        <filter val="280,00"/>
        <filter val="378,00"/>
        <filter val="48,00"/>
        <filter val="504,00"/>
        <filter val="6 989,52"/>
        <filter val="672,00"/>
        <filter val="7 560,59"/>
        <filter val="70,00"/>
        <filter val="72,00"/>
        <filter val="8 010,59"/>
        <filter val="84,00"/>
        <filter val="840,00"/>
        <filter val="96,00"/>
      </filters>
    </filterColumn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105 X108 X112 X116 X127 X133 X160 X173 X184 X186 X191:X195 X205 X209:X211 X216:X217 X223 X229 X235 X239 X245 X247 X252 X258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1 X96:X97 X102:X104 X106:X107 X121 X128 X134 X139 X144 X149 X154 X161 X167:X169 X179 X183 X185 X200 X246 X251 X256:X257 X263:X265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 X266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l09+Iayen5swmQe7PNjXFB2PwGbCcpm0cDtXuMThh6tigSdkp4dwR9V1pmbDeq+lC1hwdNo5CPOZaNdeesrGFw==" saltValue="3o2b6gYUsAQ6iTz81d7m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