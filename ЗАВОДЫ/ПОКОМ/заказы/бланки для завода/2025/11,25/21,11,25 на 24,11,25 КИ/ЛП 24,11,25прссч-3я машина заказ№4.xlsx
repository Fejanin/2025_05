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6DAA591-EB16-4ECC-AF71-957AFF6D897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Z272" i="1" s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P175" i="1"/>
  <c r="BO174" i="1"/>
  <c r="BM174" i="1"/>
  <c r="Y174" i="1"/>
  <c r="Y177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O164" i="1"/>
  <c r="BM164" i="1"/>
  <c r="Y164" i="1"/>
  <c r="P164" i="1"/>
  <c r="BO163" i="1"/>
  <c r="BM163" i="1"/>
  <c r="Y163" i="1"/>
  <c r="P163" i="1"/>
  <c r="BO162" i="1"/>
  <c r="BM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O147" i="1"/>
  <c r="BM147" i="1"/>
  <c r="Y147" i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X127" i="1"/>
  <c r="Y126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Y109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Z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BO66" i="1"/>
  <c r="BM66" i="1"/>
  <c r="Y66" i="1"/>
  <c r="BP66" i="1" s="1"/>
  <c r="P66" i="1"/>
  <c r="X64" i="1"/>
  <c r="X63" i="1"/>
  <c r="BO62" i="1"/>
  <c r="BM62" i="1"/>
  <c r="Y62" i="1"/>
  <c r="BP62" i="1" s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D499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A10" i="1" s="1"/>
  <c r="D7" i="1"/>
  <c r="Q6" i="1"/>
  <c r="P2" i="1"/>
  <c r="BP93" i="1" l="1"/>
  <c r="BN93" i="1"/>
  <c r="Z93" i="1"/>
  <c r="BP140" i="1"/>
  <c r="BN140" i="1"/>
  <c r="Z140" i="1"/>
  <c r="BP166" i="1"/>
  <c r="BN166" i="1"/>
  <c r="Z166" i="1"/>
  <c r="BP199" i="1"/>
  <c r="BN199" i="1"/>
  <c r="Z199" i="1"/>
  <c r="BP227" i="1"/>
  <c r="BN227" i="1"/>
  <c r="Z227" i="1"/>
  <c r="BP256" i="1"/>
  <c r="BN256" i="1"/>
  <c r="Z256" i="1"/>
  <c r="BP293" i="1"/>
  <c r="BN293" i="1"/>
  <c r="Z293" i="1"/>
  <c r="BP323" i="1"/>
  <c r="BN323" i="1"/>
  <c r="Z323" i="1"/>
  <c r="BP378" i="1"/>
  <c r="BN378" i="1"/>
  <c r="Z378" i="1"/>
  <c r="BP424" i="1"/>
  <c r="BN424" i="1"/>
  <c r="Z424" i="1"/>
  <c r="BP450" i="1"/>
  <c r="BN450" i="1"/>
  <c r="Z450" i="1"/>
  <c r="X490" i="1"/>
  <c r="X492" i="1" s="1"/>
  <c r="X493" i="1"/>
  <c r="Z27" i="1"/>
  <c r="BN27" i="1"/>
  <c r="Z54" i="1"/>
  <c r="BN54" i="1"/>
  <c r="Z66" i="1"/>
  <c r="BN66" i="1"/>
  <c r="Y69" i="1"/>
  <c r="Y88" i="1"/>
  <c r="BP108" i="1"/>
  <c r="BN108" i="1"/>
  <c r="Z108" i="1"/>
  <c r="BP112" i="1"/>
  <c r="BN112" i="1"/>
  <c r="Z112" i="1"/>
  <c r="BP163" i="1"/>
  <c r="BN163" i="1"/>
  <c r="Z163" i="1"/>
  <c r="BP176" i="1"/>
  <c r="BN176" i="1"/>
  <c r="Z176" i="1"/>
  <c r="Y182" i="1"/>
  <c r="Y181" i="1"/>
  <c r="BP180" i="1"/>
  <c r="BN180" i="1"/>
  <c r="Z180" i="1"/>
  <c r="Z181" i="1" s="1"/>
  <c r="BP185" i="1"/>
  <c r="BN185" i="1"/>
  <c r="Z185" i="1"/>
  <c r="BP212" i="1"/>
  <c r="BN212" i="1"/>
  <c r="Z212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309" i="1"/>
  <c r="BN309" i="1"/>
  <c r="Z309" i="1"/>
  <c r="BP346" i="1"/>
  <c r="BN346" i="1"/>
  <c r="Z346" i="1"/>
  <c r="BP392" i="1"/>
  <c r="BN392" i="1"/>
  <c r="Z392" i="1"/>
  <c r="BP436" i="1"/>
  <c r="BN436" i="1"/>
  <c r="Z436" i="1"/>
  <c r="BP472" i="1"/>
  <c r="BN472" i="1"/>
  <c r="Z472" i="1"/>
  <c r="Y117" i="1"/>
  <c r="B499" i="1"/>
  <c r="X491" i="1"/>
  <c r="Y32" i="1"/>
  <c r="Z29" i="1"/>
  <c r="BN29" i="1"/>
  <c r="C499" i="1"/>
  <c r="Z52" i="1"/>
  <c r="BN52" i="1"/>
  <c r="Z56" i="1"/>
  <c r="BN56" i="1"/>
  <c r="Z62" i="1"/>
  <c r="Z63" i="1" s="1"/>
  <c r="BN62" i="1"/>
  <c r="Z68" i="1"/>
  <c r="BN68" i="1"/>
  <c r="Y76" i="1"/>
  <c r="Z74" i="1"/>
  <c r="BN74" i="1"/>
  <c r="BP80" i="1"/>
  <c r="BN80" i="1"/>
  <c r="BP87" i="1"/>
  <c r="BN87" i="1"/>
  <c r="Z87" i="1"/>
  <c r="BP91" i="1"/>
  <c r="BN91" i="1"/>
  <c r="Z91" i="1"/>
  <c r="Y110" i="1"/>
  <c r="BP106" i="1"/>
  <c r="BN106" i="1"/>
  <c r="Z106" i="1"/>
  <c r="BP135" i="1"/>
  <c r="BN135" i="1"/>
  <c r="Z135" i="1"/>
  <c r="Y153" i="1"/>
  <c r="Y152" i="1"/>
  <c r="BP151" i="1"/>
  <c r="BN151" i="1"/>
  <c r="Z151" i="1"/>
  <c r="Z152" i="1" s="1"/>
  <c r="Y158" i="1"/>
  <c r="BP157" i="1"/>
  <c r="BN157" i="1"/>
  <c r="Z157" i="1"/>
  <c r="Z158" i="1" s="1"/>
  <c r="BP161" i="1"/>
  <c r="BN161" i="1"/>
  <c r="Z161" i="1"/>
  <c r="Y178" i="1"/>
  <c r="BP174" i="1"/>
  <c r="BN174" i="1"/>
  <c r="Z174" i="1"/>
  <c r="BP197" i="1"/>
  <c r="BN197" i="1"/>
  <c r="Z197" i="1"/>
  <c r="BP210" i="1"/>
  <c r="BN210" i="1"/>
  <c r="Z210" i="1"/>
  <c r="BP225" i="1"/>
  <c r="BN225" i="1"/>
  <c r="Z225" i="1"/>
  <c r="BP233" i="1"/>
  <c r="BN233" i="1"/>
  <c r="Z233" i="1"/>
  <c r="Y260" i="1"/>
  <c r="BP254" i="1"/>
  <c r="BN254" i="1"/>
  <c r="Z254" i="1"/>
  <c r="BP265" i="1"/>
  <c r="BN265" i="1"/>
  <c r="Z265" i="1"/>
  <c r="BP100" i="1"/>
  <c r="BN100" i="1"/>
  <c r="Z100" i="1"/>
  <c r="BP114" i="1"/>
  <c r="BN114" i="1"/>
  <c r="Z114" i="1"/>
  <c r="BP146" i="1"/>
  <c r="BN146" i="1"/>
  <c r="Z146" i="1"/>
  <c r="BP168" i="1"/>
  <c r="BN168" i="1"/>
  <c r="Z168" i="1"/>
  <c r="BP191" i="1"/>
  <c r="BN191" i="1"/>
  <c r="Z191" i="1"/>
  <c r="BP201" i="1"/>
  <c r="BN201" i="1"/>
  <c r="Z201" i="1"/>
  <c r="BP214" i="1"/>
  <c r="BN214" i="1"/>
  <c r="Z214" i="1"/>
  <c r="BP229" i="1"/>
  <c r="BN229" i="1"/>
  <c r="Z229" i="1"/>
  <c r="BP247" i="1"/>
  <c r="BN247" i="1"/>
  <c r="Z247" i="1"/>
  <c r="BP258" i="1"/>
  <c r="BN258" i="1"/>
  <c r="Z258" i="1"/>
  <c r="BP299" i="1"/>
  <c r="BN299" i="1"/>
  <c r="Z299" i="1"/>
  <c r="BP311" i="1"/>
  <c r="BN311" i="1"/>
  <c r="Z311" i="1"/>
  <c r="BP329" i="1"/>
  <c r="BN329" i="1"/>
  <c r="Z329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96" i="1"/>
  <c r="Y171" i="1"/>
  <c r="Y203" i="1"/>
  <c r="Y251" i="1"/>
  <c r="BP272" i="1"/>
  <c r="BN272" i="1"/>
  <c r="BP291" i="1"/>
  <c r="BN291" i="1"/>
  <c r="Z291" i="1"/>
  <c r="BP303" i="1"/>
  <c r="BN303" i="1"/>
  <c r="Z303" i="1"/>
  <c r="BP317" i="1"/>
  <c r="BN317" i="1"/>
  <c r="Z317" i="1"/>
  <c r="BP321" i="1"/>
  <c r="BN321" i="1"/>
  <c r="Z321" i="1"/>
  <c r="BP344" i="1"/>
  <c r="BN344" i="1"/>
  <c r="Z344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Y319" i="1"/>
  <c r="Y318" i="1"/>
  <c r="Y380" i="1"/>
  <c r="Y454" i="1"/>
  <c r="Y453" i="1"/>
  <c r="F9" i="1"/>
  <c r="J9" i="1"/>
  <c r="F10" i="1"/>
  <c r="Z22" i="1"/>
  <c r="Z23" i="1" s="1"/>
  <c r="BN22" i="1"/>
  <c r="BP22" i="1"/>
  <c r="Y23" i="1"/>
  <c r="X489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Y64" i="1"/>
  <c r="Z61" i="1"/>
  <c r="BN61" i="1"/>
  <c r="BP61" i="1"/>
  <c r="Y70" i="1"/>
  <c r="BP73" i="1"/>
  <c r="BN73" i="1"/>
  <c r="Z73" i="1"/>
  <c r="BP86" i="1"/>
  <c r="BN86" i="1"/>
  <c r="Z86" i="1"/>
  <c r="Z88" i="1" s="1"/>
  <c r="Y95" i="1"/>
  <c r="BP94" i="1"/>
  <c r="BN94" i="1"/>
  <c r="Z94" i="1"/>
  <c r="F499" i="1"/>
  <c r="Y104" i="1"/>
  <c r="BP99" i="1"/>
  <c r="BN99" i="1"/>
  <c r="Z99" i="1"/>
  <c r="Y103" i="1"/>
  <c r="BP107" i="1"/>
  <c r="BN107" i="1"/>
  <c r="Z107" i="1"/>
  <c r="Y116" i="1"/>
  <c r="BP115" i="1"/>
  <c r="BN115" i="1"/>
  <c r="Z115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Y131" i="1"/>
  <c r="BP141" i="1"/>
  <c r="BN141" i="1"/>
  <c r="Z141" i="1"/>
  <c r="Y143" i="1"/>
  <c r="Y148" i="1"/>
  <c r="BP145" i="1"/>
  <c r="BN145" i="1"/>
  <c r="Z145" i="1"/>
  <c r="Y172" i="1"/>
  <c r="BP164" i="1"/>
  <c r="BN164" i="1"/>
  <c r="Z164" i="1"/>
  <c r="BP167" i="1"/>
  <c r="BN167" i="1"/>
  <c r="Z167" i="1"/>
  <c r="BP175" i="1"/>
  <c r="BN175" i="1"/>
  <c r="Z175" i="1"/>
  <c r="Z177" i="1" s="1"/>
  <c r="BP196" i="1"/>
  <c r="BN196" i="1"/>
  <c r="Z196" i="1"/>
  <c r="BP200" i="1"/>
  <c r="BN200" i="1"/>
  <c r="Z200" i="1"/>
  <c r="BP208" i="1"/>
  <c r="BN208" i="1"/>
  <c r="Z208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90" i="1"/>
  <c r="BN290" i="1"/>
  <c r="Z290" i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H9" i="1"/>
  <c r="Y24" i="1"/>
  <c r="Y44" i="1"/>
  <c r="Y57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92" i="1"/>
  <c r="BN92" i="1"/>
  <c r="Z92" i="1"/>
  <c r="BP101" i="1"/>
  <c r="BN101" i="1"/>
  <c r="Z101" i="1"/>
  <c r="BP113" i="1"/>
  <c r="BN113" i="1"/>
  <c r="Z113" i="1"/>
  <c r="Z116" i="1" s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2" i="1"/>
  <c r="BN322" i="1"/>
  <c r="Z322" i="1"/>
  <c r="Y326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U499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2" i="1" s="1"/>
  <c r="Y312" i="1"/>
  <c r="Z318" i="1"/>
  <c r="BP316" i="1"/>
  <c r="BN316" i="1"/>
  <c r="Z316" i="1"/>
  <c r="Y325" i="1"/>
  <c r="BP324" i="1"/>
  <c r="BN324" i="1"/>
  <c r="Z324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Y473" i="1"/>
  <c r="M499" i="1"/>
  <c r="Y267" i="1"/>
  <c r="Y295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73" i="1" l="1"/>
  <c r="Z171" i="1"/>
  <c r="Z95" i="1"/>
  <c r="Z142" i="1"/>
  <c r="Z109" i="1"/>
  <c r="Z295" i="1"/>
  <c r="Z411" i="1"/>
  <c r="Z468" i="1"/>
  <c r="Z462" i="1"/>
  <c r="Z331" i="1"/>
  <c r="Z325" i="1"/>
  <c r="Z394" i="1"/>
  <c r="Z350" i="1"/>
  <c r="Z338" i="1"/>
  <c r="Z234" i="1"/>
  <c r="Y489" i="1"/>
  <c r="Z305" i="1"/>
  <c r="Z274" i="1"/>
  <c r="Z203" i="1"/>
  <c r="Z148" i="1"/>
  <c r="Z103" i="1"/>
  <c r="Z57" i="1"/>
  <c r="Z43" i="1"/>
  <c r="Z31" i="1"/>
  <c r="Y493" i="1"/>
  <c r="Y490" i="1"/>
  <c r="Z447" i="1"/>
  <c r="Z432" i="1"/>
  <c r="Z215" i="1"/>
  <c r="Z76" i="1"/>
  <c r="Y491" i="1"/>
  <c r="Z494" i="1"/>
  <c r="Y492" i="1" l="1"/>
</calcChain>
</file>

<file path=xl/sharedStrings.xml><?xml version="1.0" encoding="utf-8"?>
<sst xmlns="http://schemas.openxmlformats.org/spreadsheetml/2006/main" count="2338" uniqueCount="764">
  <si>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</si>
  <si>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</si>
  <si>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</si>
  <si>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</si>
  <si>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</si>
  <si>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</si>
  <si>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</si>
  <si>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</si>
  <si>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</si>
  <si>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</si>
  <si>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</si>
  <si>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</si>
  <si>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</si>
  <si>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</si>
  <si>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</si>
  <si>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</si>
  <si>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</si>
  <si>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</si>
  <si>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</si>
  <si>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</si>
  <si>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</si>
  <si>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</si>
  <si>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</si>
  <si>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</si>
  <si>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</si>
  <si>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</si>
  <si>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</si>
  <si>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</si>
  <si>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</si>
  <si>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</si>
  <si>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</si>
  <si>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</si>
  <si>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</si>
  <si>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</si>
  <si>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</si>
  <si>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</si>
  <si>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</si>
  <si>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</si>
  <si>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</si>
  <si>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</si>
  <si>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</si>
  <si>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</si>
  <si>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</si>
  <si>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</si>
  <si>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</si>
  <si>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</si>
  <si>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</si>
  <si>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</si>
  <si>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</si>
  <si>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</si>
  <si>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</si>
  <si>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</si>
  <si>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</si>
  <si>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</si>
  <si>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</si>
  <si>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</si>
  <si>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</si>
  <si>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</si>
  <si>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</si>
  <si>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</si>
  <si>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</si>
  <si>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</si>
  <si>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</si>
  <si>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</si>
  <si>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</si>
  <si>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</si>
  <si>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</si>
  <si>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</si>
  <si>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</si>
  <si>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</si>
  <si>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</si>
  <si>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</si>
  <si>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</si>
  <si>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</si>
  <si>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</si>
  <si>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</si>
  <si>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</si>
  <si>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</si>
  <si>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</si>
  <si>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</si>
  <si>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</si>
  <si>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</si>
  <si>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</si>
  <si>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</si>
  <si>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</si>
  <si>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</si>
  <si>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</si>
  <si>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</si>
  <si>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</si>
  <si>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</si>
  <si>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</si>
  <si>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</si>
  <si>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</si>
  <si>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</si>
  <si>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</si>
  <si>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</si>
  <si>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</si>
  <si>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</si>
  <si>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</si>
  <si>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</si>
  <si>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</si>
  <si>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</si>
  <si>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</si>
  <si>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</si>
  <si>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</si>
  <si>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</si>
  <si>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</si>
  <si>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</si>
  <si>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</si>
  <si>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</si>
  <si>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</si>
  <si>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</si>
  <si>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</si>
  <si>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</si>
  <si>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</si>
  <si>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</si>
  <si>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</si>
  <si>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</si>
  <si>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</si>
  <si>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</si>
  <si>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</si>
  <si>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</si>
  <si>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</si>
  <si>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</si>
  <si>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</si>
  <si>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</si>
  <si>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</si>
  <si>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</si>
  <si>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</si>
  <si>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</si>
  <si>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</si>
  <si>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</si>
  <si>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</si>
  <si>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</si>
  <si>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</si>
  <si>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</si>
  <si>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</si>
  <si>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</si>
  <si>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</si>
  <si>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</si>
  <si>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</si>
  <si>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</si>
  <si>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</si>
  <si>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</si>
  <si>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</si>
  <si>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</si>
  <si>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</si>
  <si>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</si>
  <si>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</si>
  <si>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</si>
  <si>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</si>
  <si>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</si>
  <si>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</si>
  <si>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</si>
  <si>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</si>
  <si>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</si>
  <si>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</si>
  <si>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</si>
  <si>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</si>
  <si>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</si>
  <si>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</si>
  <si>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</si>
  <si>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</si>
  <si>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</si>
  <si>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</si>
  <si>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</si>
  <si>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</si>
  <si>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</si>
  <si>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</si>
  <si>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</si>
  <si>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</si>
  <si>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</si>
  <si>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</si>
  <si>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</si>
  <si>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</si>
  <si>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</si>
  <si>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</si>
  <si>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</si>
  <si>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</si>
  <si>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</si>
  <si>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</si>
  <si>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</si>
  <si>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</si>
  <si>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</si>
  <si>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</si>
  <si>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</si>
  <si>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</si>
  <si>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</si>
  <si>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</si>
  <si>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</si>
  <si>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</si>
  <si>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</si>
  <si>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</si>
  <si>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</si>
  <si>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</si>
  <si>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</si>
  <si>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</si>
  <si>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</si>
  <si>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</si>
  <si>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</si>
  <si>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</si>
  <si>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</si>
  <si>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</si>
  <si>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</si>
  <si>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</si>
  <si>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</si>
  <si>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</si>
  <si>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</si>
  <si>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</si>
  <si>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</si>
  <si>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</si>
  <si>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</si>
  <si>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</si>
  <si>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</si>
  <si>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</si>
  <si>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</si>
  <si>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</si>
  <si>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</si>
  <si>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</si>
  <si>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</si>
  <si>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</si>
  <si>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</si>
  <si>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</si>
  <si>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</si>
  <si>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</si>
  <si>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</si>
  <si>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</si>
  <si>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</si>
  <si>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</si>
  <si>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</si>
  <si>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</si>
  <si>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</si>
  <si>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</si>
  <si>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</si>
  <si>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</si>
  <si>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</si>
  <si>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</si>
  <si>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</si>
  <si>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</si>
  <si>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</si>
  <si>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</si>
  <si>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</si>
  <si>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</si>
  <si>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</si>
  <si>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</si>
  <si>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</si>
  <si>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</si>
  <si>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</si>
  <si>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</si>
  <si>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</si>
  <si>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</si>
  <si>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</si>
  <si>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</si>
  <si>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</si>
  <si>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</si>
  <si>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</si>
  <si>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</si>
  <si>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</si>
  <si>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</si>
  <si>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</si>
  <si>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</si>
  <si>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</si>
  <si>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</si>
  <si>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</si>
  <si>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</si>
  <si>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</si>
  <si>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</si>
  <si>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</si>
  <si>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</si>
  <si>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</si>
  <si>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</si>
  <si>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</si>
  <si>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</si>
  <si>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</si>
  <si>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</si>
  <si>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</si>
  <si>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</si>
  <si>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</si>
  <si>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</si>
  <si>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</si>
  <si>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</si>
  <si>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</si>
  <si>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</si>
  <si>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</si>
  <si>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</si>
  <si>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</si>
  <si>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</si>
  <si>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</si>
  <si>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</si>
  <si>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</si>
  <si>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</si>
  <si>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</si>
  <si>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</si>
  <si>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</si>
  <si>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</si>
  <si>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</si>
  <si>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</si>
  <si>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</si>
  <si>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</si>
  <si>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</si>
  <si>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</si>
  <si>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</si>
  <si>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</si>
  <si>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</si>
  <si>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</si>
  <si>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</si>
  <si>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</si>
  <si>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</si>
  <si>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</si>
  <si>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</si>
  <si>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</si>
  <si>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</si>
  <si>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</si>
  <si>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</si>
  <si>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</si>
  <si>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</si>
  <si>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</si>
  <si>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</si>
  <si>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</si>
  <si>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</si>
  <si>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</si>
  <si>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</si>
  <si>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</si>
  <si>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</si>
  <si>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</si>
  <si>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</si>
  <si>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</si>
  <si>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</si>
  <si>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</si>
  <si>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</si>
  <si>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</si>
  <si>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</si>
  <si>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</si>
  <si>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</si>
  <si>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</si>
  <si>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</si>
  <si>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</si>
  <si>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</si>
  <si>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</si>
  <si>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</si>
  <si>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</si>
  <si>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</si>
  <si>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</si>
  <si>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</si>
  <si>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</si>
  <si>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</si>
  <si>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</si>
  <si>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</si>
  <si>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</si>
  <si>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</si>
  <si>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</si>
  <si>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</si>
  <si>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</si>
  <si>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</si>
  <si>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</si>
  <si>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</si>
  <si>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</si>
  <si>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</si>
  <si>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</si>
  <si>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</si>
  <si>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</si>
  <si>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</si>
  <si>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</si>
  <si>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</si>
  <si>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</si>
  <si>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</si>
  <si>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</si>
  <si>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</si>
  <si>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</si>
  <si>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</si>
  <si>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</si>
  <si>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</si>
  <si>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</si>
  <si>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</si>
  <si>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</si>
  <si>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</si>
  <si>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</si>
  <si>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</si>
  <si>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</si>
  <si>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</si>
  <si>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</si>
  <si>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</si>
  <si>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</si>
  <si>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</si>
  <si>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</si>
  <si>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</si>
  <si>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</si>
  <si>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</si>
  <si>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</si>
  <si>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</si>
  <si>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</si>
  <si>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</si>
  <si>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</si>
  <si>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</si>
  <si>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</si>
  <si>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</si>
  <si>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</si>
  <si>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</si>
  <si>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</si>
  <si>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</si>
  <si>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</si>
  <si>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</si>
  <si>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</si>
  <si>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</si>
  <si>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</si>
  <si>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</si>
  <si>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</si>
  <si>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</si>
  <si>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</si>
  <si>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</si>
  <si>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</si>
  <si>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</si>
  <si>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</si>
  <si>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</si>
  <si>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</si>
  <si>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</si>
  <si>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</si>
  <si>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</si>
  <si>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</si>
  <si>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</si>
  <si>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</si>
  <si>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</si>
  <si>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</si>
  <si>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</si>
  <si>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</si>
  <si>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</si>
  <si>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</si>
  <si>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</si>
  <si>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</si>
  <si>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</si>
  <si>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</si>
  <si>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</si>
  <si>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</si>
  <si>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</si>
  <si>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</si>
  <si>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</si>
  <si>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</si>
  <si>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</si>
  <si>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</si>
  <si>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</si>
  <si>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</si>
  <si>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</si>
  <si>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</si>
  <si>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</si>
  <si>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</si>
  <si>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</si>
  <si>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</si>
  <si>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</si>
  <si>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</si>
  <si>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</si>
  <si>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</si>
  <si>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</si>
  <si>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</si>
  <si>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</si>
  <si>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</si>
  <si>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</si>
  <si>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</si>
  <si>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</si>
  <si>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</si>
  <si>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</si>
  <si>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</si>
  <si>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</si>
  <si>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</si>
  <si>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</si>
  <si>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</si>
  <si>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</si>
  <si>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</si>
  <si>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</si>
  <si>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</si>
  <si>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</si>
  <si>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</si>
  <si>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</si>
  <si>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</si>
  <si>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</si>
  <si>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</si>
  <si>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</si>
  <si>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</si>
  <si>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</si>
  <si>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</si>
  <si>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</si>
  <si>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</si>
  <si>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</si>
  <si>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</si>
  <si>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</si>
  <si>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</si>
  <si>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</si>
  <si>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</si>
  <si>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</si>
  <si>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</si>
  <si>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</si>
  <si>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</si>
  <si>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</si>
  <si>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</si>
  <si>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</si>
  <si>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</si>
  <si>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</si>
  <si>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</si>
  <si>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</si>
  <si>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</si>
  <si>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</si>
  <si>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</si>
  <si>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</si>
  <si>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</si>
  <si>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</si>
  <si>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</si>
  <si>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</si>
  <si>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</si>
  <si>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</si>
  <si>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</si>
  <si>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</si>
  <si>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</si>
  <si>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</si>
  <si>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</si>
  <si>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</si>
  <si>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</si>
  <si>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</si>
  <si>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</si>
  <si>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</si>
  <si>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</si>
  <si>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</si>
  <si>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</si>
  <si>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</si>
  <si>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</si>
  <si>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</si>
  <si>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</si>
  <si>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</si>
  <si>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</si>
  <si>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</si>
  <si>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</si>
  <si>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</si>
  <si>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</si>
  <si>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</si>
  <si>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</si>
  <si>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</si>
  <si>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</si>
  <si>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</si>
  <si>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</si>
  <si>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</si>
  <si>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</si>
  <si>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</si>
  <si>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</si>
  <si>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</si>
  <si>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</si>
  <si>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</si>
  <si>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</si>
  <si>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</si>
  <si>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</si>
  <si>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</si>
  <si>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</si>
  <si>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</si>
  <si>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</si>
  <si>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</si>
  <si>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</si>
  <si>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</si>
  <si>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</si>
  <si>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</si>
  <si>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</si>
  <si>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</si>
  <si>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</si>
  <si>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</si>
  <si>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</si>
  <si>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</si>
  <si>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</si>
  <si>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</si>
  <si>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</si>
  <si>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</si>
  <si>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</si>
  <si>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</si>
  <si>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</si>
  <si>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</si>
  <si>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</si>
  <si>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</si>
  <si>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</si>
  <si>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</si>
  <si>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</si>
  <si>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</si>
  <si>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</si>
  <si>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</si>
  <si>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</si>
  <si>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</si>
  <si>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</si>
  <si>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</si>
  <si>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</si>
  <si>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</si>
  <si>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</si>
  <si>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</si>
  <si>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</si>
  <si>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</si>
  <si>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</si>
  <si>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</si>
  <si>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</si>
  <si>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</si>
  <si>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</si>
  <si>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</si>
  <si>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</si>
  <si>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</si>
  <si>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</si>
  <si>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</si>
  <si>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</si>
  <si>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</si>
  <si>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</si>
  <si>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</si>
  <si>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</si>
  <si>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</si>
  <si>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</si>
  <si>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</si>
  <si>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</si>
  <si>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</si>
  <si>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</si>
  <si>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</si>
  <si>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</si>
  <si>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</si>
  <si>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</si>
  <si>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</si>
  <si>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</si>
  <si>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</si>
  <si>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</si>
  <si>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</si>
  <si>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</si>
  <si>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</si>
  <si>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</si>
  <si>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</si>
  <si>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</si>
  <si>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</si>
  <si>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</si>
  <si>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</si>
  <si>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</si>
  <si>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</si>
  <si>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</si>
  <si>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</si>
  <si>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</si>
  <si>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</si>
  <si>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</si>
  <si>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</si>
  <si>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</si>
  <si>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</si>
  <si>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</si>
  <si>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</si>
  <si>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</si>
  <si>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</si>
  <si>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</si>
  <si>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</si>
  <si>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</si>
  <si>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</si>
  <si>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</si>
  <si>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</si>
  <si>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</si>
  <si>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</si>
  <si>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</si>
  <si>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</si>
  <si>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</si>
  <si>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</si>
  <si>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</si>
  <si>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</si>
  <si>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</si>
  <si>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</si>
  <si>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</si>
  <si>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</si>
  <si>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</si>
  <si>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</si>
  <si>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</si>
  <si>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</si>
  <si>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</si>
  <si>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</si>
  <si>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</si>
  <si>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</si>
  <si>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</si>
  <si>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</si>
  <si>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</si>
  <si>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</si>
  <si>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</si>
  <si>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</si>
  <si>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</si>
  <si>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</si>
  <si>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</si>
  <si>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</si>
  <si>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</si>
  <si>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</si>
  <si>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</si>
  <si>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</si>
  <si>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</si>
  <si>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</si>
  <si>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</si>
  <si>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</si>
  <si>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</si>
  <si>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</si>
  <si>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</si>
  <si>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</si>
  <si>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</si>
  <si>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</si>
  <si>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</si>
  <si>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</si>
  <si>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</si>
  <si>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</si>
  <si>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</si>
  <si>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</si>
  <si>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</si>
  <si>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</si>
  <si>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</si>
  <si>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</si>
  <si>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</si>
  <si>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</si>
  <si>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</si>
  <si>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</si>
  <si>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</si>
  <si>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</si>
  <si>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</si>
  <si>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</si>
  <si>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</si>
  <si>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</si>
  <si>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</si>
  <si>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</si>
  <si>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</si>
  <si>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</si>
  <si>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</si>
  <si>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</si>
  <si>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</si>
  <si>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</si>
  <si>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</si>
  <si>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</si>
  <si>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</si>
  <si>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</si>
  <si>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</si>
  <si>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</si>
  <si>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</si>
  <si>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</si>
  <si>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</si>
  <si>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</si>
  <si>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</si>
  <si>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</si>
  <si>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</si>
  <si>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</si>
  <si>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</si>
  <si>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</si>
  <si>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</si>
  <si>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</si>
  <si>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</si>
  <si>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</si>
  <si>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</si>
  <si>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</si>
  <si>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</si>
  <si>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</si>
  <si>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</si>
  <si>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</si>
  <si>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</si>
  <si>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</si>
  <si>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</si>
  <si>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</si>
  <si>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</si>
  <si>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</si>
  <si>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</si>
  <si>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</si>
  <si>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</si>
  <si>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</si>
  <si>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</si>
  <si>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</si>
  <si>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</si>
  <si>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</si>
  <si>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</si>
  <si>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</si>
  <si>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</si>
  <si>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</si>
  <si>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</si>
  <si>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№4,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</si>
</sst>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0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1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20" t="s">
        <v>0</v>
      </c>
      <c r="E1" s="572"/>
      <c r="F1" s="572"/>
      <c r="G1" s="12" t="s">
        <v>1</v>
      </c>
      <c r="H1" s="620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1"/>
      <c r="R2" s="551"/>
      <c r="S2" s="551"/>
      <c r="T2" s="551"/>
      <c r="U2" s="551"/>
      <c r="V2" s="551"/>
      <c r="W2" s="551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1"/>
      <c r="Q3" s="551"/>
      <c r="R3" s="551"/>
      <c r="S3" s="551"/>
      <c r="T3" s="551"/>
      <c r="U3" s="551"/>
      <c r="V3" s="551"/>
      <c r="W3" s="551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30"/>
      <c r="C5" s="631"/>
      <c r="D5" s="621"/>
      <c r="E5" s="622"/>
      <c r="F5" s="826" t="s">
        <v>9</v>
      </c>
      <c r="G5" s="631"/>
      <c r="H5" s="621" t="s">
        <v>763</v>
      </c>
      <c r="I5" s="780"/>
      <c r="J5" s="780"/>
      <c r="K5" s="780"/>
      <c r="L5" s="780"/>
      <c r="M5" s="622"/>
      <c r="N5" s="58"/>
      <c r="P5" s="24" t="s">
        <v>10</v>
      </c>
      <c r="Q5" s="832">
        <v>45985</v>
      </c>
      <c r="R5" s="655"/>
      <c r="T5" s="714" t="s">
        <v>11</v>
      </c>
      <c r="U5" s="715"/>
      <c r="V5" s="71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30"/>
      <c r="C6" s="631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55"/>
      <c r="N6" s="59"/>
      <c r="P6" s="24" t="s">
        <v>15</v>
      </c>
      <c r="Q6" s="838" t="str">
        <f>IF(Q5=0," ",CHOOSE(WEEKDAY(Q5,2),"Понедельник","Вторник","Среда","Четверг","Пятница","Суббота","Воскресенье"))</f>
        <v>Понедельник</v>
      </c>
      <c r="R6" s="560"/>
      <c r="T6" s="720" t="s">
        <v>16</v>
      </c>
      <c r="U6" s="715"/>
      <c r="V6" s="737" t="s">
        <v>17</v>
      </c>
      <c r="W6" s="589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1"/>
      <c r="U7" s="715"/>
      <c r="V7" s="738"/>
      <c r="W7" s="739"/>
      <c r="AB7" s="51"/>
      <c r="AC7" s="51"/>
      <c r="AD7" s="51"/>
      <c r="AE7" s="51"/>
    </row>
    <row r="8" spans="1:32" s="535" customFormat="1" ht="25.5" customHeight="1" x14ac:dyDescent="0.2">
      <c r="A8" s="864" t="s">
        <v>18</v>
      </c>
      <c r="B8" s="548"/>
      <c r="C8" s="549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0">
        <v>0.45833333333333331</v>
      </c>
      <c r="R8" s="607"/>
      <c r="T8" s="551"/>
      <c r="U8" s="715"/>
      <c r="V8" s="738"/>
      <c r="W8" s="739"/>
      <c r="AB8" s="51"/>
      <c r="AC8" s="51"/>
      <c r="AD8" s="51"/>
      <c r="AE8" s="51"/>
    </row>
    <row r="9" spans="1:32" s="535" customFormat="1" ht="39.950000000000003" customHeight="1" x14ac:dyDescent="0.2">
      <c r="A9" s="65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1"/>
      <c r="C9" s="551"/>
      <c r="D9" s="680"/>
      <c r="E9" s="546"/>
      <c r="F9" s="65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1"/>
      <c r="H9" s="545" t="str">
        <f>IF(AND($A$9="Тип доверенности/получателя при получении в адресе перегруза:",$D$9="Разовая доверенность"),"Введите ФИО","")</f>
        <v/>
      </c>
      <c r="I9" s="546"/>
      <c r="J9" s="5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46"/>
      <c r="L9" s="546"/>
      <c r="M9" s="546"/>
      <c r="N9" s="533"/>
      <c r="P9" s="26" t="s">
        <v>21</v>
      </c>
      <c r="Q9" s="652"/>
      <c r="R9" s="653"/>
      <c r="T9" s="551"/>
      <c r="U9" s="715"/>
      <c r="V9" s="740"/>
      <c r="W9" s="741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1"/>
      <c r="C10" s="551"/>
      <c r="D10" s="680"/>
      <c r="E10" s="546"/>
      <c r="F10" s="65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1"/>
      <c r="H10" s="759" t="str">
        <f>IFERROR(VLOOKUP($D$10,Proxy,2,FALSE),"")</f>
        <v/>
      </c>
      <c r="I10" s="551"/>
      <c r="J10" s="551"/>
      <c r="K10" s="551"/>
      <c r="L10" s="551"/>
      <c r="M10" s="551"/>
      <c r="N10" s="534"/>
      <c r="P10" s="26" t="s">
        <v>22</v>
      </c>
      <c r="Q10" s="721"/>
      <c r="R10" s="722"/>
      <c r="U10" s="24" t="s">
        <v>23</v>
      </c>
      <c r="V10" s="588" t="s">
        <v>24</v>
      </c>
      <c r="W10" s="589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91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8" t="s">
        <v>29</v>
      </c>
      <c r="B12" s="630"/>
      <c r="C12" s="630"/>
      <c r="D12" s="630"/>
      <c r="E12" s="630"/>
      <c r="F12" s="630"/>
      <c r="G12" s="630"/>
      <c r="H12" s="630"/>
      <c r="I12" s="630"/>
      <c r="J12" s="630"/>
      <c r="K12" s="630"/>
      <c r="L12" s="630"/>
      <c r="M12" s="631"/>
      <c r="N12" s="62"/>
      <c r="P12" s="24" t="s">
        <v>30</v>
      </c>
      <c r="Q12" s="670"/>
      <c r="R12" s="607"/>
      <c r="S12" s="23"/>
      <c r="U12" s="24"/>
      <c r="V12" s="572"/>
      <c r="W12" s="551"/>
      <c r="AB12" s="51"/>
      <c r="AC12" s="51"/>
      <c r="AD12" s="51"/>
      <c r="AE12" s="51"/>
    </row>
    <row r="13" spans="1:32" s="535" customFormat="1" ht="23.25" customHeight="1" x14ac:dyDescent="0.2">
      <c r="A13" s="698" t="s">
        <v>31</v>
      </c>
      <c r="B13" s="630"/>
      <c r="C13" s="630"/>
      <c r="D13" s="630"/>
      <c r="E13" s="630"/>
      <c r="F13" s="630"/>
      <c r="G13" s="630"/>
      <c r="H13" s="630"/>
      <c r="I13" s="630"/>
      <c r="J13" s="630"/>
      <c r="K13" s="630"/>
      <c r="L13" s="630"/>
      <c r="M13" s="631"/>
      <c r="N13" s="62"/>
      <c r="O13" s="26"/>
      <c r="P13" s="26" t="s">
        <v>32</v>
      </c>
      <c r="Q13" s="791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8" t="s">
        <v>33</v>
      </c>
      <c r="B14" s="630"/>
      <c r="C14" s="630"/>
      <c r="D14" s="630"/>
      <c r="E14" s="630"/>
      <c r="F14" s="630"/>
      <c r="G14" s="630"/>
      <c r="H14" s="630"/>
      <c r="I14" s="630"/>
      <c r="J14" s="630"/>
      <c r="K14" s="630"/>
      <c r="L14" s="630"/>
      <c r="M14" s="63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04" t="s">
        <v>34</v>
      </c>
      <c r="B15" s="630"/>
      <c r="C15" s="630"/>
      <c r="D15" s="630"/>
      <c r="E15" s="630"/>
      <c r="F15" s="630"/>
      <c r="G15" s="630"/>
      <c r="H15" s="630"/>
      <c r="I15" s="630"/>
      <c r="J15" s="630"/>
      <c r="K15" s="630"/>
      <c r="L15" s="630"/>
      <c r="M15" s="631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7" t="s">
        <v>38</v>
      </c>
      <c r="D17" s="581" t="s">
        <v>39</v>
      </c>
      <c r="E17" s="641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0"/>
      <c r="R17" s="640"/>
      <c r="S17" s="640"/>
      <c r="T17" s="641"/>
      <c r="U17" s="859" t="s">
        <v>51</v>
      </c>
      <c r="V17" s="631"/>
      <c r="W17" s="581" t="s">
        <v>52</v>
      </c>
      <c r="X17" s="581" t="s">
        <v>53</v>
      </c>
      <c r="Y17" s="862" t="s">
        <v>54</v>
      </c>
      <c r="Z17" s="768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21"/>
      <c r="AF17" s="822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2"/>
      <c r="E18" s="644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2"/>
      <c r="Q18" s="643"/>
      <c r="R18" s="643"/>
      <c r="S18" s="643"/>
      <c r="T18" s="644"/>
      <c r="U18" s="67" t="s">
        <v>61</v>
      </c>
      <c r="V18" s="67" t="s">
        <v>62</v>
      </c>
      <c r="W18" s="582"/>
      <c r="X18" s="582"/>
      <c r="Y18" s="863"/>
      <c r="Z18" s="769"/>
      <c r="AA18" s="758"/>
      <c r="AB18" s="758"/>
      <c r="AC18" s="758"/>
      <c r="AD18" s="823"/>
      <c r="AE18" s="824"/>
      <c r="AF18" s="825"/>
      <c r="AG18" s="66"/>
      <c r="BD18" s="65"/>
    </row>
    <row r="19" spans="1:68" ht="27.75" hidden="1" customHeight="1" x14ac:dyDescent="0.2">
      <c r="A19" s="635" t="s">
        <v>63</v>
      </c>
      <c r="B19" s="636"/>
      <c r="C19" s="636"/>
      <c r="D19" s="636"/>
      <c r="E19" s="636"/>
      <c r="F19" s="636"/>
      <c r="G19" s="636"/>
      <c r="H19" s="636"/>
      <c r="I19" s="636"/>
      <c r="J19" s="636"/>
      <c r="K19" s="636"/>
      <c r="L19" s="636"/>
      <c r="M19" s="636"/>
      <c r="N19" s="636"/>
      <c r="O19" s="636"/>
      <c r="P19" s="636"/>
      <c r="Q19" s="636"/>
      <c r="R19" s="636"/>
      <c r="S19" s="636"/>
      <c r="T19" s="636"/>
      <c r="U19" s="636"/>
      <c r="V19" s="636"/>
      <c r="W19" s="636"/>
      <c r="X19" s="636"/>
      <c r="Y19" s="636"/>
      <c r="Z19" s="636"/>
      <c r="AA19" s="48"/>
      <c r="AB19" s="48"/>
      <c r="AC19" s="48"/>
    </row>
    <row r="20" spans="1:68" ht="16.5" hidden="1" customHeight="1" x14ac:dyDescent="0.25">
      <c r="A20" s="550" t="s">
        <v>63</v>
      </c>
      <c r="B20" s="551"/>
      <c r="C20" s="551"/>
      <c r="D20" s="551"/>
      <c r="E20" s="551"/>
      <c r="F20" s="551"/>
      <c r="G20" s="551"/>
      <c r="H20" s="551"/>
      <c r="I20" s="551"/>
      <c r="J20" s="551"/>
      <c r="K20" s="551"/>
      <c r="L20" s="551"/>
      <c r="M20" s="551"/>
      <c r="N20" s="551"/>
      <c r="O20" s="551"/>
      <c r="P20" s="551"/>
      <c r="Q20" s="551"/>
      <c r="R20" s="551"/>
      <c r="S20" s="551"/>
      <c r="T20" s="551"/>
      <c r="U20" s="551"/>
      <c r="V20" s="551"/>
      <c r="W20" s="551"/>
      <c r="X20" s="551"/>
      <c r="Y20" s="551"/>
      <c r="Z20" s="551"/>
      <c r="AA20" s="536"/>
      <c r="AB20" s="536"/>
      <c r="AC20" s="536"/>
    </row>
    <row r="21" spans="1:68" ht="14.25" hidden="1" customHeight="1" x14ac:dyDescent="0.25">
      <c r="A21" s="555" t="s">
        <v>64</v>
      </c>
      <c r="B21" s="551"/>
      <c r="C21" s="551"/>
      <c r="D21" s="551"/>
      <c r="E21" s="551"/>
      <c r="F21" s="551"/>
      <c r="G21" s="551"/>
      <c r="H21" s="551"/>
      <c r="I21" s="551"/>
      <c r="J21" s="551"/>
      <c r="K21" s="551"/>
      <c r="L21" s="551"/>
      <c r="M21" s="551"/>
      <c r="N21" s="551"/>
      <c r="O21" s="551"/>
      <c r="P21" s="551"/>
      <c r="Q21" s="551"/>
      <c r="R21" s="551"/>
      <c r="S21" s="551"/>
      <c r="T21" s="551"/>
      <c r="U21" s="551"/>
      <c r="V21" s="551"/>
      <c r="W21" s="551"/>
      <c r="X21" s="551"/>
      <c r="Y21" s="551"/>
      <c r="Z21" s="551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9">
        <v>4680115886643</v>
      </c>
      <c r="E22" s="560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3"/>
      <c r="R22" s="553"/>
      <c r="S22" s="553"/>
      <c r="T22" s="554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6"/>
      <c r="B23" s="551"/>
      <c r="C23" s="551"/>
      <c r="D23" s="551"/>
      <c r="E23" s="551"/>
      <c r="F23" s="551"/>
      <c r="G23" s="551"/>
      <c r="H23" s="551"/>
      <c r="I23" s="551"/>
      <c r="J23" s="551"/>
      <c r="K23" s="551"/>
      <c r="L23" s="551"/>
      <c r="M23" s="551"/>
      <c r="N23" s="551"/>
      <c r="O23" s="557"/>
      <c r="P23" s="547" t="s">
        <v>71</v>
      </c>
      <c r="Q23" s="548"/>
      <c r="R23" s="548"/>
      <c r="S23" s="548"/>
      <c r="T23" s="548"/>
      <c r="U23" s="548"/>
      <c r="V23" s="54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1"/>
      <c r="B24" s="551"/>
      <c r="C24" s="551"/>
      <c r="D24" s="551"/>
      <c r="E24" s="551"/>
      <c r="F24" s="551"/>
      <c r="G24" s="551"/>
      <c r="H24" s="551"/>
      <c r="I24" s="551"/>
      <c r="J24" s="551"/>
      <c r="K24" s="551"/>
      <c r="L24" s="551"/>
      <c r="M24" s="551"/>
      <c r="N24" s="551"/>
      <c r="O24" s="557"/>
      <c r="P24" s="547" t="s">
        <v>71</v>
      </c>
      <c r="Q24" s="548"/>
      <c r="R24" s="548"/>
      <c r="S24" s="548"/>
      <c r="T24" s="548"/>
      <c r="U24" s="548"/>
      <c r="V24" s="54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5" t="s">
        <v>73</v>
      </c>
      <c r="B25" s="551"/>
      <c r="C25" s="551"/>
      <c r="D25" s="551"/>
      <c r="E25" s="551"/>
      <c r="F25" s="551"/>
      <c r="G25" s="551"/>
      <c r="H25" s="551"/>
      <c r="I25" s="551"/>
      <c r="J25" s="551"/>
      <c r="K25" s="551"/>
      <c r="L25" s="551"/>
      <c r="M25" s="551"/>
      <c r="N25" s="551"/>
      <c r="O25" s="551"/>
      <c r="P25" s="551"/>
      <c r="Q25" s="551"/>
      <c r="R25" s="551"/>
      <c r="S25" s="551"/>
      <c r="T25" s="551"/>
      <c r="U25" s="551"/>
      <c r="V25" s="551"/>
      <c r="W25" s="551"/>
      <c r="X25" s="551"/>
      <c r="Y25" s="551"/>
      <c r="Z25" s="551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9">
        <v>4680115885912</v>
      </c>
      <c r="E26" s="560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3"/>
      <c r="R26" s="553"/>
      <c r="S26" s="553"/>
      <c r="T26" s="554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59">
        <v>4607091388237</v>
      </c>
      <c r="E27" s="560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3"/>
      <c r="R27" s="553"/>
      <c r="S27" s="553"/>
      <c r="T27" s="554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59">
        <v>4680115887350</v>
      </c>
      <c r="E28" s="560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3"/>
      <c r="R28" s="553"/>
      <c r="S28" s="553"/>
      <c r="T28" s="554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59">
        <v>4680115885905</v>
      </c>
      <c r="E29" s="560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3"/>
      <c r="R29" s="553"/>
      <c r="S29" s="553"/>
      <c r="T29" s="554"/>
      <c r="U29" s="34"/>
      <c r="V29" s="34"/>
      <c r="W29" s="35" t="s">
        <v>69</v>
      </c>
      <c r="X29" s="541">
        <v>90</v>
      </c>
      <c r="Y29" s="542">
        <f>IFERROR(IF(X29="",0,CEILING((X29/$H29),1)*$H29),"")</f>
        <v>90</v>
      </c>
      <c r="Z29" s="36">
        <f>IFERROR(IF(Y29=0,"",ROUNDUP(Y29/H29,0)*0.00651),"")</f>
        <v>0.32550000000000001</v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159</v>
      </c>
      <c r="BN29" s="64">
        <f>IFERROR(Y29*I29/H29,"0")</f>
        <v>159</v>
      </c>
      <c r="BO29" s="64">
        <f>IFERROR(1/J29*(X29/H29),"0")</f>
        <v>0.27472527472527475</v>
      </c>
      <c r="BP29" s="64">
        <f>IFERROR(1/J29*(Y29/H29),"0")</f>
        <v>0.27472527472527475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59">
        <v>4607091388244</v>
      </c>
      <c r="E30" s="560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3"/>
      <c r="R30" s="553"/>
      <c r="S30" s="553"/>
      <c r="T30" s="554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6"/>
      <c r="B31" s="551"/>
      <c r="C31" s="551"/>
      <c r="D31" s="551"/>
      <c r="E31" s="551"/>
      <c r="F31" s="551"/>
      <c r="G31" s="551"/>
      <c r="H31" s="551"/>
      <c r="I31" s="551"/>
      <c r="J31" s="551"/>
      <c r="K31" s="551"/>
      <c r="L31" s="551"/>
      <c r="M31" s="551"/>
      <c r="N31" s="551"/>
      <c r="O31" s="557"/>
      <c r="P31" s="547" t="s">
        <v>71</v>
      </c>
      <c r="Q31" s="548"/>
      <c r="R31" s="548"/>
      <c r="S31" s="548"/>
      <c r="T31" s="548"/>
      <c r="U31" s="548"/>
      <c r="V31" s="549"/>
      <c r="W31" s="37" t="s">
        <v>72</v>
      </c>
      <c r="X31" s="543">
        <f>IFERROR(X26/H26,"0")+IFERROR(X27/H27,"0")+IFERROR(X28/H28,"0")+IFERROR(X29/H29,"0")+IFERROR(X30/H30,"0")</f>
        <v>50</v>
      </c>
      <c r="Y31" s="543">
        <f>IFERROR(Y26/H26,"0")+IFERROR(Y27/H27,"0")+IFERROR(Y28/H28,"0")+IFERROR(Y29/H29,"0")+IFERROR(Y30/H30,"0")</f>
        <v>50</v>
      </c>
      <c r="Z31" s="543">
        <f>IFERROR(IF(Z26="",0,Z26),"0")+IFERROR(IF(Z27="",0,Z27),"0")+IFERROR(IF(Z28="",0,Z28),"0")+IFERROR(IF(Z29="",0,Z29),"0")+IFERROR(IF(Z30="",0,Z30),"0")</f>
        <v>0.32550000000000001</v>
      </c>
      <c r="AA31" s="544"/>
      <c r="AB31" s="544"/>
      <c r="AC31" s="544"/>
    </row>
    <row r="32" spans="1:68" x14ac:dyDescent="0.2">
      <c r="A32" s="551"/>
      <c r="B32" s="551"/>
      <c r="C32" s="551"/>
      <c r="D32" s="551"/>
      <c r="E32" s="551"/>
      <c r="F32" s="551"/>
      <c r="G32" s="551"/>
      <c r="H32" s="551"/>
      <c r="I32" s="551"/>
      <c r="J32" s="551"/>
      <c r="K32" s="551"/>
      <c r="L32" s="551"/>
      <c r="M32" s="551"/>
      <c r="N32" s="551"/>
      <c r="O32" s="557"/>
      <c r="P32" s="547" t="s">
        <v>71</v>
      </c>
      <c r="Q32" s="548"/>
      <c r="R32" s="548"/>
      <c r="S32" s="548"/>
      <c r="T32" s="548"/>
      <c r="U32" s="548"/>
      <c r="V32" s="549"/>
      <c r="W32" s="37" t="s">
        <v>69</v>
      </c>
      <c r="X32" s="543">
        <f>IFERROR(SUM(X26:X30),"0")</f>
        <v>90</v>
      </c>
      <c r="Y32" s="543">
        <f>IFERROR(SUM(Y26:Y30),"0")</f>
        <v>90</v>
      </c>
      <c r="Z32" s="37"/>
      <c r="AA32" s="544"/>
      <c r="AB32" s="544"/>
      <c r="AC32" s="544"/>
    </row>
    <row r="33" spans="1:68" ht="14.25" hidden="1" customHeight="1" x14ac:dyDescent="0.25">
      <c r="A33" s="555" t="s">
        <v>93</v>
      </c>
      <c r="B33" s="551"/>
      <c r="C33" s="551"/>
      <c r="D33" s="551"/>
      <c r="E33" s="551"/>
      <c r="F33" s="551"/>
      <c r="G33" s="551"/>
      <c r="H33" s="551"/>
      <c r="I33" s="551"/>
      <c r="J33" s="551"/>
      <c r="K33" s="551"/>
      <c r="L33" s="551"/>
      <c r="M33" s="551"/>
      <c r="N33" s="551"/>
      <c r="O33" s="551"/>
      <c r="P33" s="551"/>
      <c r="Q33" s="551"/>
      <c r="R33" s="551"/>
      <c r="S33" s="551"/>
      <c r="T33" s="551"/>
      <c r="U33" s="551"/>
      <c r="V33" s="551"/>
      <c r="W33" s="551"/>
      <c r="X33" s="551"/>
      <c r="Y33" s="551"/>
      <c r="Z33" s="551"/>
      <c r="AA33" s="537"/>
      <c r="AB33" s="537"/>
      <c r="AC33" s="53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9">
        <v>4607091388503</v>
      </c>
      <c r="E34" s="560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3"/>
      <c r="R34" s="553"/>
      <c r="S34" s="553"/>
      <c r="T34" s="554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6"/>
      <c r="B35" s="551"/>
      <c r="C35" s="551"/>
      <c r="D35" s="551"/>
      <c r="E35" s="551"/>
      <c r="F35" s="551"/>
      <c r="G35" s="551"/>
      <c r="H35" s="551"/>
      <c r="I35" s="551"/>
      <c r="J35" s="551"/>
      <c r="K35" s="551"/>
      <c r="L35" s="551"/>
      <c r="M35" s="551"/>
      <c r="N35" s="551"/>
      <c r="O35" s="557"/>
      <c r="P35" s="547" t="s">
        <v>71</v>
      </c>
      <c r="Q35" s="548"/>
      <c r="R35" s="548"/>
      <c r="S35" s="548"/>
      <c r="T35" s="548"/>
      <c r="U35" s="548"/>
      <c r="V35" s="54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1"/>
      <c r="B36" s="551"/>
      <c r="C36" s="551"/>
      <c r="D36" s="551"/>
      <c r="E36" s="551"/>
      <c r="F36" s="551"/>
      <c r="G36" s="551"/>
      <c r="H36" s="551"/>
      <c r="I36" s="551"/>
      <c r="J36" s="551"/>
      <c r="K36" s="551"/>
      <c r="L36" s="551"/>
      <c r="M36" s="551"/>
      <c r="N36" s="551"/>
      <c r="O36" s="557"/>
      <c r="P36" s="547" t="s">
        <v>71</v>
      </c>
      <c r="Q36" s="548"/>
      <c r="R36" s="548"/>
      <c r="S36" s="548"/>
      <c r="T36" s="548"/>
      <c r="U36" s="548"/>
      <c r="V36" s="54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5" t="s">
        <v>99</v>
      </c>
      <c r="B37" s="636"/>
      <c r="C37" s="636"/>
      <c r="D37" s="636"/>
      <c r="E37" s="636"/>
      <c r="F37" s="636"/>
      <c r="G37" s="636"/>
      <c r="H37" s="636"/>
      <c r="I37" s="636"/>
      <c r="J37" s="636"/>
      <c r="K37" s="636"/>
      <c r="L37" s="636"/>
      <c r="M37" s="636"/>
      <c r="N37" s="636"/>
      <c r="O37" s="636"/>
      <c r="P37" s="636"/>
      <c r="Q37" s="636"/>
      <c r="R37" s="636"/>
      <c r="S37" s="636"/>
      <c r="T37" s="636"/>
      <c r="U37" s="636"/>
      <c r="V37" s="636"/>
      <c r="W37" s="636"/>
      <c r="X37" s="636"/>
      <c r="Y37" s="636"/>
      <c r="Z37" s="636"/>
      <c r="AA37" s="48"/>
      <c r="AB37" s="48"/>
      <c r="AC37" s="48"/>
    </row>
    <row r="38" spans="1:68" ht="16.5" hidden="1" customHeight="1" x14ac:dyDescent="0.25">
      <c r="A38" s="550" t="s">
        <v>100</v>
      </c>
      <c r="B38" s="551"/>
      <c r="C38" s="551"/>
      <c r="D38" s="551"/>
      <c r="E38" s="551"/>
      <c r="F38" s="551"/>
      <c r="G38" s="551"/>
      <c r="H38" s="551"/>
      <c r="I38" s="551"/>
      <c r="J38" s="551"/>
      <c r="K38" s="551"/>
      <c r="L38" s="551"/>
      <c r="M38" s="551"/>
      <c r="N38" s="551"/>
      <c r="O38" s="551"/>
      <c r="P38" s="551"/>
      <c r="Q38" s="551"/>
      <c r="R38" s="551"/>
      <c r="S38" s="551"/>
      <c r="T38" s="551"/>
      <c r="U38" s="551"/>
      <c r="V38" s="551"/>
      <c r="W38" s="551"/>
      <c r="X38" s="551"/>
      <c r="Y38" s="551"/>
      <c r="Z38" s="551"/>
      <c r="AA38" s="536"/>
      <c r="AB38" s="536"/>
      <c r="AC38" s="536"/>
    </row>
    <row r="39" spans="1:68" ht="14.25" hidden="1" customHeight="1" x14ac:dyDescent="0.25">
      <c r="A39" s="555" t="s">
        <v>101</v>
      </c>
      <c r="B39" s="551"/>
      <c r="C39" s="551"/>
      <c r="D39" s="551"/>
      <c r="E39" s="551"/>
      <c r="F39" s="551"/>
      <c r="G39" s="551"/>
      <c r="H39" s="551"/>
      <c r="I39" s="551"/>
      <c r="J39" s="551"/>
      <c r="K39" s="551"/>
      <c r="L39" s="551"/>
      <c r="M39" s="551"/>
      <c r="N39" s="551"/>
      <c r="O39" s="551"/>
      <c r="P39" s="551"/>
      <c r="Q39" s="551"/>
      <c r="R39" s="551"/>
      <c r="S39" s="551"/>
      <c r="T39" s="551"/>
      <c r="U39" s="551"/>
      <c r="V39" s="551"/>
      <c r="W39" s="551"/>
      <c r="X39" s="551"/>
      <c r="Y39" s="551"/>
      <c r="Z39" s="551"/>
      <c r="AA39" s="537"/>
      <c r="AB39" s="537"/>
      <c r="AC39" s="537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59">
        <v>4607091385670</v>
      </c>
      <c r="E40" s="560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3"/>
      <c r="R40" s="553"/>
      <c r="S40" s="553"/>
      <c r="T40" s="554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59">
        <v>4607091385687</v>
      </c>
      <c r="E41" s="560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3"/>
      <c r="R41" s="553"/>
      <c r="S41" s="553"/>
      <c r="T41" s="554"/>
      <c r="U41" s="34"/>
      <c r="V41" s="34"/>
      <c r="W41" s="35" t="s">
        <v>69</v>
      </c>
      <c r="X41" s="541">
        <v>140</v>
      </c>
      <c r="Y41" s="542">
        <f>IFERROR(IF(X41="",0,CEILING((X41/$H41),1)*$H41),"")</f>
        <v>140</v>
      </c>
      <c r="Z41" s="36">
        <f>IFERROR(IF(Y41=0,"",ROUNDUP(Y41/H41,0)*0.00902),"")</f>
        <v>0.31569999999999998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146.65</v>
      </c>
      <c r="BN41" s="64">
        <f>IFERROR(Y41*I41/H41,"0")</f>
        <v>146.65</v>
      </c>
      <c r="BO41" s="64">
        <f>IFERROR(1/J41*(X41/H41),"0")</f>
        <v>0.26515151515151514</v>
      </c>
      <c r="BP41" s="64">
        <f>IFERROR(1/J41*(Y41/H41),"0")</f>
        <v>0.26515151515151514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9">
        <v>4680115882539</v>
      </c>
      <c r="E42" s="560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3"/>
      <c r="R42" s="553"/>
      <c r="S42" s="553"/>
      <c r="T42" s="554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6"/>
      <c r="B43" s="551"/>
      <c r="C43" s="551"/>
      <c r="D43" s="551"/>
      <c r="E43" s="551"/>
      <c r="F43" s="551"/>
      <c r="G43" s="551"/>
      <c r="H43" s="551"/>
      <c r="I43" s="551"/>
      <c r="J43" s="551"/>
      <c r="K43" s="551"/>
      <c r="L43" s="551"/>
      <c r="M43" s="551"/>
      <c r="N43" s="551"/>
      <c r="O43" s="557"/>
      <c r="P43" s="547" t="s">
        <v>71</v>
      </c>
      <c r="Q43" s="548"/>
      <c r="R43" s="548"/>
      <c r="S43" s="548"/>
      <c r="T43" s="548"/>
      <c r="U43" s="548"/>
      <c r="V43" s="549"/>
      <c r="W43" s="37" t="s">
        <v>72</v>
      </c>
      <c r="X43" s="543">
        <f>IFERROR(X40/H40,"0")+IFERROR(X41/H41,"0")+IFERROR(X42/H42,"0")</f>
        <v>35</v>
      </c>
      <c r="Y43" s="543">
        <f>IFERROR(Y40/H40,"0")+IFERROR(Y41/H41,"0")+IFERROR(Y42/H42,"0")</f>
        <v>35</v>
      </c>
      <c r="Z43" s="543">
        <f>IFERROR(IF(Z40="",0,Z40),"0")+IFERROR(IF(Z41="",0,Z41),"0")+IFERROR(IF(Z42="",0,Z42),"0")</f>
        <v>0.31569999999999998</v>
      </c>
      <c r="AA43" s="544"/>
      <c r="AB43" s="544"/>
      <c r="AC43" s="544"/>
    </row>
    <row r="44" spans="1:68" x14ac:dyDescent="0.2">
      <c r="A44" s="551"/>
      <c r="B44" s="551"/>
      <c r="C44" s="551"/>
      <c r="D44" s="551"/>
      <c r="E44" s="551"/>
      <c r="F44" s="551"/>
      <c r="G44" s="551"/>
      <c r="H44" s="551"/>
      <c r="I44" s="551"/>
      <c r="J44" s="551"/>
      <c r="K44" s="551"/>
      <c r="L44" s="551"/>
      <c r="M44" s="551"/>
      <c r="N44" s="551"/>
      <c r="O44" s="557"/>
      <c r="P44" s="547" t="s">
        <v>71</v>
      </c>
      <c r="Q44" s="548"/>
      <c r="R44" s="548"/>
      <c r="S44" s="548"/>
      <c r="T44" s="548"/>
      <c r="U44" s="548"/>
      <c r="V44" s="549"/>
      <c r="W44" s="37" t="s">
        <v>69</v>
      </c>
      <c r="X44" s="543">
        <f>IFERROR(SUM(X40:X42),"0")</f>
        <v>140</v>
      </c>
      <c r="Y44" s="543">
        <f>IFERROR(SUM(Y40:Y42),"0")</f>
        <v>140</v>
      </c>
      <c r="Z44" s="37"/>
      <c r="AA44" s="544"/>
      <c r="AB44" s="544"/>
      <c r="AC44" s="544"/>
    </row>
    <row r="45" spans="1:68" ht="14.25" hidden="1" customHeight="1" x14ac:dyDescent="0.25">
      <c r="A45" s="555" t="s">
        <v>73</v>
      </c>
      <c r="B45" s="551"/>
      <c r="C45" s="551"/>
      <c r="D45" s="551"/>
      <c r="E45" s="551"/>
      <c r="F45" s="551"/>
      <c r="G45" s="551"/>
      <c r="H45" s="551"/>
      <c r="I45" s="551"/>
      <c r="J45" s="551"/>
      <c r="K45" s="551"/>
      <c r="L45" s="551"/>
      <c r="M45" s="551"/>
      <c r="N45" s="551"/>
      <c r="O45" s="551"/>
      <c r="P45" s="551"/>
      <c r="Q45" s="551"/>
      <c r="R45" s="551"/>
      <c r="S45" s="551"/>
      <c r="T45" s="551"/>
      <c r="U45" s="551"/>
      <c r="V45" s="551"/>
      <c r="W45" s="551"/>
      <c r="X45" s="551"/>
      <c r="Y45" s="551"/>
      <c r="Z45" s="551"/>
      <c r="AA45" s="537"/>
      <c r="AB45" s="537"/>
      <c r="AC45" s="53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9">
        <v>4680115884915</v>
      </c>
      <c r="E46" s="560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5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3"/>
      <c r="R46" s="553"/>
      <c r="S46" s="553"/>
      <c r="T46" s="554"/>
      <c r="U46" s="34"/>
      <c r="V46" s="34"/>
      <c r="W46" s="35" t="s">
        <v>69</v>
      </c>
      <c r="X46" s="541">
        <v>105</v>
      </c>
      <c r="Y46" s="542">
        <f>IFERROR(IF(X46="",0,CEILING((X46/$H46),1)*$H46),"")</f>
        <v>106.2</v>
      </c>
      <c r="Z46" s="36">
        <f>IFERROR(IF(Y46=0,"",ROUNDUP(Y46/H46,0)*0.00651),"")</f>
        <v>0.38408999999999999</v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115.5</v>
      </c>
      <c r="BN46" s="64">
        <f>IFERROR(Y46*I46/H46,"0")</f>
        <v>116.82000000000001</v>
      </c>
      <c r="BO46" s="64">
        <f>IFERROR(1/J46*(X46/H46),"0")</f>
        <v>0.32051282051282048</v>
      </c>
      <c r="BP46" s="64">
        <f>IFERROR(1/J46*(Y46/H46),"0")</f>
        <v>0.32417582417582419</v>
      </c>
    </row>
    <row r="47" spans="1:68" x14ac:dyDescent="0.2">
      <c r="A47" s="556"/>
      <c r="B47" s="551"/>
      <c r="C47" s="551"/>
      <c r="D47" s="551"/>
      <c r="E47" s="551"/>
      <c r="F47" s="551"/>
      <c r="G47" s="551"/>
      <c r="H47" s="551"/>
      <c r="I47" s="551"/>
      <c r="J47" s="551"/>
      <c r="K47" s="551"/>
      <c r="L47" s="551"/>
      <c r="M47" s="551"/>
      <c r="N47" s="551"/>
      <c r="O47" s="557"/>
      <c r="P47" s="547" t="s">
        <v>71</v>
      </c>
      <c r="Q47" s="548"/>
      <c r="R47" s="548"/>
      <c r="S47" s="548"/>
      <c r="T47" s="548"/>
      <c r="U47" s="548"/>
      <c r="V47" s="549"/>
      <c r="W47" s="37" t="s">
        <v>72</v>
      </c>
      <c r="X47" s="543">
        <f>IFERROR(X46/H46,"0")</f>
        <v>58.333333333333329</v>
      </c>
      <c r="Y47" s="543">
        <f>IFERROR(Y46/H46,"0")</f>
        <v>59</v>
      </c>
      <c r="Z47" s="543">
        <f>IFERROR(IF(Z46="",0,Z46),"0")</f>
        <v>0.38408999999999999</v>
      </c>
      <c r="AA47" s="544"/>
      <c r="AB47" s="544"/>
      <c r="AC47" s="544"/>
    </row>
    <row r="48" spans="1:68" x14ac:dyDescent="0.2">
      <c r="A48" s="551"/>
      <c r="B48" s="551"/>
      <c r="C48" s="551"/>
      <c r="D48" s="551"/>
      <c r="E48" s="551"/>
      <c r="F48" s="551"/>
      <c r="G48" s="551"/>
      <c r="H48" s="551"/>
      <c r="I48" s="551"/>
      <c r="J48" s="551"/>
      <c r="K48" s="551"/>
      <c r="L48" s="551"/>
      <c r="M48" s="551"/>
      <c r="N48" s="551"/>
      <c r="O48" s="557"/>
      <c r="P48" s="547" t="s">
        <v>71</v>
      </c>
      <c r="Q48" s="548"/>
      <c r="R48" s="548"/>
      <c r="S48" s="548"/>
      <c r="T48" s="548"/>
      <c r="U48" s="548"/>
      <c r="V48" s="549"/>
      <c r="W48" s="37" t="s">
        <v>69</v>
      </c>
      <c r="X48" s="543">
        <f>IFERROR(SUM(X46:X46),"0")</f>
        <v>105</v>
      </c>
      <c r="Y48" s="543">
        <f>IFERROR(SUM(Y46:Y46),"0")</f>
        <v>106.2</v>
      </c>
      <c r="Z48" s="37"/>
      <c r="AA48" s="544"/>
      <c r="AB48" s="544"/>
      <c r="AC48" s="544"/>
    </row>
    <row r="49" spans="1:68" ht="16.5" hidden="1" customHeight="1" x14ac:dyDescent="0.25">
      <c r="A49" s="550" t="s">
        <v>117</v>
      </c>
      <c r="B49" s="551"/>
      <c r="C49" s="551"/>
      <c r="D49" s="551"/>
      <c r="E49" s="551"/>
      <c r="F49" s="551"/>
      <c r="G49" s="551"/>
      <c r="H49" s="551"/>
      <c r="I49" s="551"/>
      <c r="J49" s="551"/>
      <c r="K49" s="551"/>
      <c r="L49" s="551"/>
      <c r="M49" s="551"/>
      <c r="N49" s="551"/>
      <c r="O49" s="551"/>
      <c r="P49" s="551"/>
      <c r="Q49" s="551"/>
      <c r="R49" s="551"/>
      <c r="S49" s="551"/>
      <c r="T49" s="551"/>
      <c r="U49" s="551"/>
      <c r="V49" s="551"/>
      <c r="W49" s="551"/>
      <c r="X49" s="551"/>
      <c r="Y49" s="551"/>
      <c r="Z49" s="551"/>
      <c r="AA49" s="536"/>
      <c r="AB49" s="536"/>
      <c r="AC49" s="536"/>
    </row>
    <row r="50" spans="1:68" ht="14.25" hidden="1" customHeight="1" x14ac:dyDescent="0.25">
      <c r="A50" s="555" t="s">
        <v>101</v>
      </c>
      <c r="B50" s="551"/>
      <c r="C50" s="551"/>
      <c r="D50" s="551"/>
      <c r="E50" s="551"/>
      <c r="F50" s="551"/>
      <c r="G50" s="551"/>
      <c r="H50" s="551"/>
      <c r="I50" s="551"/>
      <c r="J50" s="551"/>
      <c r="K50" s="551"/>
      <c r="L50" s="551"/>
      <c r="M50" s="551"/>
      <c r="N50" s="551"/>
      <c r="O50" s="551"/>
      <c r="P50" s="551"/>
      <c r="Q50" s="551"/>
      <c r="R50" s="551"/>
      <c r="S50" s="551"/>
      <c r="T50" s="551"/>
      <c r="U50" s="551"/>
      <c r="V50" s="551"/>
      <c r="W50" s="551"/>
      <c r="X50" s="551"/>
      <c r="Y50" s="551"/>
      <c r="Z50" s="551"/>
      <c r="AA50" s="537"/>
      <c r="AB50" s="537"/>
      <c r="AC50" s="53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9">
        <v>4680115885882</v>
      </c>
      <c r="E51" s="560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3"/>
      <c r="R51" s="553"/>
      <c r="S51" s="553"/>
      <c r="T51" s="554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59">
        <v>4680115881426</v>
      </c>
      <c r="E52" s="560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58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3"/>
      <c r="R52" s="553"/>
      <c r="S52" s="553"/>
      <c r="T52" s="554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9">
        <v>4680115880283</v>
      </c>
      <c r="E53" s="560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3"/>
      <c r="R53" s="553"/>
      <c r="S53" s="553"/>
      <c r="T53" s="554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59">
        <v>4680115881525</v>
      </c>
      <c r="E54" s="560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3"/>
      <c r="R54" s="553"/>
      <c r="S54" s="553"/>
      <c r="T54" s="554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9">
        <v>4680115885899</v>
      </c>
      <c r="E55" s="560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3"/>
      <c r="R55" s="553"/>
      <c r="S55" s="553"/>
      <c r="T55" s="554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59">
        <v>4680115881419</v>
      </c>
      <c r="E56" s="560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3"/>
      <c r="R56" s="553"/>
      <c r="S56" s="553"/>
      <c r="T56" s="554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6"/>
      <c r="B57" s="551"/>
      <c r="C57" s="551"/>
      <c r="D57" s="551"/>
      <c r="E57" s="551"/>
      <c r="F57" s="551"/>
      <c r="G57" s="551"/>
      <c r="H57" s="551"/>
      <c r="I57" s="551"/>
      <c r="J57" s="551"/>
      <c r="K57" s="551"/>
      <c r="L57" s="551"/>
      <c r="M57" s="551"/>
      <c r="N57" s="551"/>
      <c r="O57" s="557"/>
      <c r="P57" s="547" t="s">
        <v>71</v>
      </c>
      <c r="Q57" s="548"/>
      <c r="R57" s="548"/>
      <c r="S57" s="548"/>
      <c r="T57" s="548"/>
      <c r="U57" s="548"/>
      <c r="V57" s="549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1"/>
      <c r="B58" s="551"/>
      <c r="C58" s="551"/>
      <c r="D58" s="551"/>
      <c r="E58" s="551"/>
      <c r="F58" s="551"/>
      <c r="G58" s="551"/>
      <c r="H58" s="551"/>
      <c r="I58" s="551"/>
      <c r="J58" s="551"/>
      <c r="K58" s="551"/>
      <c r="L58" s="551"/>
      <c r="M58" s="551"/>
      <c r="N58" s="551"/>
      <c r="O58" s="557"/>
      <c r="P58" s="547" t="s">
        <v>71</v>
      </c>
      <c r="Q58" s="548"/>
      <c r="R58" s="548"/>
      <c r="S58" s="548"/>
      <c r="T58" s="548"/>
      <c r="U58" s="548"/>
      <c r="V58" s="549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55" t="s">
        <v>136</v>
      </c>
      <c r="B59" s="551"/>
      <c r="C59" s="551"/>
      <c r="D59" s="551"/>
      <c r="E59" s="551"/>
      <c r="F59" s="551"/>
      <c r="G59" s="551"/>
      <c r="H59" s="551"/>
      <c r="I59" s="551"/>
      <c r="J59" s="551"/>
      <c r="K59" s="551"/>
      <c r="L59" s="551"/>
      <c r="M59" s="551"/>
      <c r="N59" s="551"/>
      <c r="O59" s="551"/>
      <c r="P59" s="551"/>
      <c r="Q59" s="551"/>
      <c r="R59" s="551"/>
      <c r="S59" s="551"/>
      <c r="T59" s="551"/>
      <c r="U59" s="551"/>
      <c r="V59" s="551"/>
      <c r="W59" s="551"/>
      <c r="X59" s="551"/>
      <c r="Y59" s="551"/>
      <c r="Z59" s="551"/>
      <c r="AA59" s="537"/>
      <c r="AB59" s="537"/>
      <c r="AC59" s="537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59">
        <v>4680115881440</v>
      </c>
      <c r="E60" s="560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3"/>
      <c r="R60" s="553"/>
      <c r="S60" s="553"/>
      <c r="T60" s="554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9">
        <v>4680115885950</v>
      </c>
      <c r="E61" s="560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3"/>
      <c r="R61" s="553"/>
      <c r="S61" s="553"/>
      <c r="T61" s="554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9">
        <v>4680115881433</v>
      </c>
      <c r="E62" s="560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6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3"/>
      <c r="R62" s="553"/>
      <c r="S62" s="553"/>
      <c r="T62" s="554"/>
      <c r="U62" s="34"/>
      <c r="V62" s="34"/>
      <c r="W62" s="35" t="s">
        <v>69</v>
      </c>
      <c r="X62" s="541">
        <v>157.5</v>
      </c>
      <c r="Y62" s="542">
        <f>IFERROR(IF(X62="",0,CEILING((X62/$H62),1)*$H62),"")</f>
        <v>159.30000000000001</v>
      </c>
      <c r="Z62" s="36">
        <f>IFERROR(IF(Y62=0,"",ROUNDUP(Y62/H62,0)*0.00651),"")</f>
        <v>0.38408999999999999</v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167.99999999999997</v>
      </c>
      <c r="BN62" s="64">
        <f>IFERROR(Y62*I62/H62,"0")</f>
        <v>169.92</v>
      </c>
      <c r="BO62" s="64">
        <f>IFERROR(1/J62*(X62/H62),"0")</f>
        <v>0.32051282051282048</v>
      </c>
      <c r="BP62" s="64">
        <f>IFERROR(1/J62*(Y62/H62),"0")</f>
        <v>0.32417582417582419</v>
      </c>
    </row>
    <row r="63" spans="1:68" x14ac:dyDescent="0.2">
      <c r="A63" s="556"/>
      <c r="B63" s="551"/>
      <c r="C63" s="551"/>
      <c r="D63" s="551"/>
      <c r="E63" s="551"/>
      <c r="F63" s="551"/>
      <c r="G63" s="551"/>
      <c r="H63" s="551"/>
      <c r="I63" s="551"/>
      <c r="J63" s="551"/>
      <c r="K63" s="551"/>
      <c r="L63" s="551"/>
      <c r="M63" s="551"/>
      <c r="N63" s="551"/>
      <c r="O63" s="557"/>
      <c r="P63" s="547" t="s">
        <v>71</v>
      </c>
      <c r="Q63" s="548"/>
      <c r="R63" s="548"/>
      <c r="S63" s="548"/>
      <c r="T63" s="548"/>
      <c r="U63" s="548"/>
      <c r="V63" s="549"/>
      <c r="W63" s="37" t="s">
        <v>72</v>
      </c>
      <c r="X63" s="543">
        <f>IFERROR(X60/H60,"0")+IFERROR(X61/H61,"0")+IFERROR(X62/H62,"0")</f>
        <v>58.333333333333329</v>
      </c>
      <c r="Y63" s="543">
        <f>IFERROR(Y60/H60,"0")+IFERROR(Y61/H61,"0")+IFERROR(Y62/H62,"0")</f>
        <v>59</v>
      </c>
      <c r="Z63" s="543">
        <f>IFERROR(IF(Z60="",0,Z60),"0")+IFERROR(IF(Z61="",0,Z61),"0")+IFERROR(IF(Z62="",0,Z62),"0")</f>
        <v>0.38408999999999999</v>
      </c>
      <c r="AA63" s="544"/>
      <c r="AB63" s="544"/>
      <c r="AC63" s="544"/>
    </row>
    <row r="64" spans="1:68" x14ac:dyDescent="0.2">
      <c r="A64" s="551"/>
      <c r="B64" s="551"/>
      <c r="C64" s="551"/>
      <c r="D64" s="551"/>
      <c r="E64" s="551"/>
      <c r="F64" s="551"/>
      <c r="G64" s="551"/>
      <c r="H64" s="551"/>
      <c r="I64" s="551"/>
      <c r="J64" s="551"/>
      <c r="K64" s="551"/>
      <c r="L64" s="551"/>
      <c r="M64" s="551"/>
      <c r="N64" s="551"/>
      <c r="O64" s="557"/>
      <c r="P64" s="547" t="s">
        <v>71</v>
      </c>
      <c r="Q64" s="548"/>
      <c r="R64" s="548"/>
      <c r="S64" s="548"/>
      <c r="T64" s="548"/>
      <c r="U64" s="548"/>
      <c r="V64" s="549"/>
      <c r="W64" s="37" t="s">
        <v>69</v>
      </c>
      <c r="X64" s="543">
        <f>IFERROR(SUM(X60:X62),"0")</f>
        <v>157.5</v>
      </c>
      <c r="Y64" s="543">
        <f>IFERROR(SUM(Y60:Y62),"0")</f>
        <v>159.30000000000001</v>
      </c>
      <c r="Z64" s="37"/>
      <c r="AA64" s="544"/>
      <c r="AB64" s="544"/>
      <c r="AC64" s="544"/>
    </row>
    <row r="65" spans="1:68" ht="14.25" hidden="1" customHeight="1" x14ac:dyDescent="0.25">
      <c r="A65" s="555" t="s">
        <v>64</v>
      </c>
      <c r="B65" s="551"/>
      <c r="C65" s="551"/>
      <c r="D65" s="551"/>
      <c r="E65" s="551"/>
      <c r="F65" s="551"/>
      <c r="G65" s="551"/>
      <c r="H65" s="551"/>
      <c r="I65" s="551"/>
      <c r="J65" s="551"/>
      <c r="K65" s="551"/>
      <c r="L65" s="551"/>
      <c r="M65" s="551"/>
      <c r="N65" s="551"/>
      <c r="O65" s="551"/>
      <c r="P65" s="551"/>
      <c r="Q65" s="551"/>
      <c r="R65" s="551"/>
      <c r="S65" s="551"/>
      <c r="T65" s="551"/>
      <c r="U65" s="551"/>
      <c r="V65" s="551"/>
      <c r="W65" s="551"/>
      <c r="X65" s="551"/>
      <c r="Y65" s="551"/>
      <c r="Z65" s="551"/>
      <c r="AA65" s="537"/>
      <c r="AB65" s="537"/>
      <c r="AC65" s="537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9">
        <v>4680115885073</v>
      </c>
      <c r="E66" s="560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3"/>
      <c r="R66" s="553"/>
      <c r="S66" s="553"/>
      <c r="T66" s="554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59">
        <v>4680115885059</v>
      </c>
      <c r="E67" s="560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3"/>
      <c r="R67" s="553"/>
      <c r="S67" s="553"/>
      <c r="T67" s="554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59">
        <v>4680115885097</v>
      </c>
      <c r="E68" s="560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58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3"/>
      <c r="R68" s="553"/>
      <c r="S68" s="553"/>
      <c r="T68" s="554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6"/>
      <c r="B69" s="551"/>
      <c r="C69" s="551"/>
      <c r="D69" s="551"/>
      <c r="E69" s="551"/>
      <c r="F69" s="551"/>
      <c r="G69" s="551"/>
      <c r="H69" s="551"/>
      <c r="I69" s="551"/>
      <c r="J69" s="551"/>
      <c r="K69" s="551"/>
      <c r="L69" s="551"/>
      <c r="M69" s="551"/>
      <c r="N69" s="551"/>
      <c r="O69" s="557"/>
      <c r="P69" s="547" t="s">
        <v>71</v>
      </c>
      <c r="Q69" s="548"/>
      <c r="R69" s="548"/>
      <c r="S69" s="548"/>
      <c r="T69" s="548"/>
      <c r="U69" s="548"/>
      <c r="V69" s="54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1"/>
      <c r="B70" s="551"/>
      <c r="C70" s="551"/>
      <c r="D70" s="551"/>
      <c r="E70" s="551"/>
      <c r="F70" s="551"/>
      <c r="G70" s="551"/>
      <c r="H70" s="551"/>
      <c r="I70" s="551"/>
      <c r="J70" s="551"/>
      <c r="K70" s="551"/>
      <c r="L70" s="551"/>
      <c r="M70" s="551"/>
      <c r="N70" s="551"/>
      <c r="O70" s="557"/>
      <c r="P70" s="547" t="s">
        <v>71</v>
      </c>
      <c r="Q70" s="548"/>
      <c r="R70" s="548"/>
      <c r="S70" s="548"/>
      <c r="T70" s="548"/>
      <c r="U70" s="548"/>
      <c r="V70" s="54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5" t="s">
        <v>73</v>
      </c>
      <c r="B71" s="551"/>
      <c r="C71" s="551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37"/>
      <c r="AB71" s="537"/>
      <c r="AC71" s="537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59">
        <v>4680115885769</v>
      </c>
      <c r="E72" s="560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3"/>
      <c r="R72" s="553"/>
      <c r="S72" s="553"/>
      <c r="T72" s="554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59">
        <v>4680115884311</v>
      </c>
      <c r="E73" s="560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3"/>
      <c r="R73" s="553"/>
      <c r="S73" s="553"/>
      <c r="T73" s="554"/>
      <c r="U73" s="34"/>
      <c r="V73" s="34"/>
      <c r="W73" s="35" t="s">
        <v>69</v>
      </c>
      <c r="X73" s="541">
        <v>105</v>
      </c>
      <c r="Y73" s="542">
        <f>IFERROR(IF(X73="",0,CEILING((X73/$H73),1)*$H73),"")</f>
        <v>106.2</v>
      </c>
      <c r="Z73" s="36">
        <f>IFERROR(IF(Y73=0,"",ROUNDUP(Y73/H73,0)*0.00651),"")</f>
        <v>0.38408999999999999</v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119.35</v>
      </c>
      <c r="BN73" s="64">
        <f>IFERROR(Y73*I73/H73,"0")</f>
        <v>120.71399999999998</v>
      </c>
      <c r="BO73" s="64">
        <f>IFERROR(1/J73*(X73/H73),"0")</f>
        <v>0.32051282051282048</v>
      </c>
      <c r="BP73" s="64">
        <f>IFERROR(1/J73*(Y73/H73),"0")</f>
        <v>0.32417582417582419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59">
        <v>4680115885929</v>
      </c>
      <c r="E74" s="560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3"/>
      <c r="R74" s="553"/>
      <c r="S74" s="553"/>
      <c r="T74" s="554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59">
        <v>4680115884403</v>
      </c>
      <c r="E75" s="560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3"/>
      <c r="R75" s="553"/>
      <c r="S75" s="553"/>
      <c r="T75" s="554"/>
      <c r="U75" s="34"/>
      <c r="V75" s="34"/>
      <c r="W75" s="35" t="s">
        <v>69</v>
      </c>
      <c r="X75" s="541">
        <v>90</v>
      </c>
      <c r="Y75" s="542">
        <f>IFERROR(IF(X75="",0,CEILING((X75/$H75),1)*$H75),"")</f>
        <v>90</v>
      </c>
      <c r="Z75" s="36">
        <f>IFERROR(IF(Y75=0,"",ROUNDUP(Y75/H75,0)*0.00651),"")</f>
        <v>0.32550000000000001</v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98.999999999999986</v>
      </c>
      <c r="BN75" s="64">
        <f>IFERROR(Y75*I75/H75,"0")</f>
        <v>98.999999999999986</v>
      </c>
      <c r="BO75" s="64">
        <f>IFERROR(1/J75*(X75/H75),"0")</f>
        <v>0.27472527472527475</v>
      </c>
      <c r="BP75" s="64">
        <f>IFERROR(1/J75*(Y75/H75),"0")</f>
        <v>0.27472527472527475</v>
      </c>
    </row>
    <row r="76" spans="1:68" x14ac:dyDescent="0.2">
      <c r="A76" s="556"/>
      <c r="B76" s="551"/>
      <c r="C76" s="551"/>
      <c r="D76" s="551"/>
      <c r="E76" s="551"/>
      <c r="F76" s="551"/>
      <c r="G76" s="551"/>
      <c r="H76" s="551"/>
      <c r="I76" s="551"/>
      <c r="J76" s="551"/>
      <c r="K76" s="551"/>
      <c r="L76" s="551"/>
      <c r="M76" s="551"/>
      <c r="N76" s="551"/>
      <c r="O76" s="557"/>
      <c r="P76" s="547" t="s">
        <v>71</v>
      </c>
      <c r="Q76" s="548"/>
      <c r="R76" s="548"/>
      <c r="S76" s="548"/>
      <c r="T76" s="548"/>
      <c r="U76" s="548"/>
      <c r="V76" s="549"/>
      <c r="W76" s="37" t="s">
        <v>72</v>
      </c>
      <c r="X76" s="543">
        <f>IFERROR(X72/H72,"0")+IFERROR(X73/H73,"0")+IFERROR(X74/H74,"0")+IFERROR(X75/H75,"0")</f>
        <v>108.33333333333333</v>
      </c>
      <c r="Y76" s="543">
        <f>IFERROR(Y72/H72,"0")+IFERROR(Y73/H73,"0")+IFERROR(Y74/H74,"0")+IFERROR(Y75/H75,"0")</f>
        <v>109</v>
      </c>
      <c r="Z76" s="543">
        <f>IFERROR(IF(Z72="",0,Z72),"0")+IFERROR(IF(Z73="",0,Z73),"0")+IFERROR(IF(Z74="",0,Z74),"0")+IFERROR(IF(Z75="",0,Z75),"0")</f>
        <v>0.70958999999999994</v>
      </c>
      <c r="AA76" s="544"/>
      <c r="AB76" s="544"/>
      <c r="AC76" s="544"/>
    </row>
    <row r="77" spans="1:68" x14ac:dyDescent="0.2">
      <c r="A77" s="551"/>
      <c r="B77" s="551"/>
      <c r="C77" s="551"/>
      <c r="D77" s="551"/>
      <c r="E77" s="551"/>
      <c r="F77" s="551"/>
      <c r="G77" s="551"/>
      <c r="H77" s="551"/>
      <c r="I77" s="551"/>
      <c r="J77" s="551"/>
      <c r="K77" s="551"/>
      <c r="L77" s="551"/>
      <c r="M77" s="551"/>
      <c r="N77" s="551"/>
      <c r="O77" s="557"/>
      <c r="P77" s="547" t="s">
        <v>71</v>
      </c>
      <c r="Q77" s="548"/>
      <c r="R77" s="548"/>
      <c r="S77" s="548"/>
      <c r="T77" s="548"/>
      <c r="U77" s="548"/>
      <c r="V77" s="549"/>
      <c r="W77" s="37" t="s">
        <v>69</v>
      </c>
      <c r="X77" s="543">
        <f>IFERROR(SUM(X72:X75),"0")</f>
        <v>195</v>
      </c>
      <c r="Y77" s="543">
        <f>IFERROR(SUM(Y72:Y75),"0")</f>
        <v>196.2</v>
      </c>
      <c r="Z77" s="37"/>
      <c r="AA77" s="544"/>
      <c r="AB77" s="544"/>
      <c r="AC77" s="544"/>
    </row>
    <row r="78" spans="1:68" ht="14.25" hidden="1" customHeight="1" x14ac:dyDescent="0.25">
      <c r="A78" s="555" t="s">
        <v>164</v>
      </c>
      <c r="B78" s="551"/>
      <c r="C78" s="551"/>
      <c r="D78" s="551"/>
      <c r="E78" s="551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37"/>
      <c r="AB78" s="537"/>
      <c r="AC78" s="537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59">
        <v>4680115881532</v>
      </c>
      <c r="E79" s="560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6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3"/>
      <c r="R79" s="553"/>
      <c r="S79" s="553"/>
      <c r="T79" s="554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59">
        <v>4680115881464</v>
      </c>
      <c r="E80" s="560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3"/>
      <c r="R80" s="553"/>
      <c r="S80" s="553"/>
      <c r="T80" s="554"/>
      <c r="U80" s="34"/>
      <c r="V80" s="34"/>
      <c r="W80" s="35" t="s">
        <v>69</v>
      </c>
      <c r="X80" s="541">
        <v>120</v>
      </c>
      <c r="Y80" s="542">
        <f>IFERROR(IF(X80="",0,CEILING((X80/$H80),1)*$H80),"")</f>
        <v>120</v>
      </c>
      <c r="Z80" s="36">
        <f>IFERROR(IF(Y80=0,"",ROUNDUP(Y80/H80,0)*0.00902),"")</f>
        <v>0.45100000000000001</v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129.5</v>
      </c>
      <c r="BN80" s="64">
        <f>IFERROR(Y80*I80/H80,"0")</f>
        <v>129.5</v>
      </c>
      <c r="BO80" s="64">
        <f>IFERROR(1/J80*(X80/H80),"0")</f>
        <v>0.37878787878787878</v>
      </c>
      <c r="BP80" s="64">
        <f>IFERROR(1/J80*(Y80/H80),"0")</f>
        <v>0.37878787878787878</v>
      </c>
    </row>
    <row r="81" spans="1:68" x14ac:dyDescent="0.2">
      <c r="A81" s="556"/>
      <c r="B81" s="551"/>
      <c r="C81" s="551"/>
      <c r="D81" s="551"/>
      <c r="E81" s="551"/>
      <c r="F81" s="551"/>
      <c r="G81" s="551"/>
      <c r="H81" s="551"/>
      <c r="I81" s="551"/>
      <c r="J81" s="551"/>
      <c r="K81" s="551"/>
      <c r="L81" s="551"/>
      <c r="M81" s="551"/>
      <c r="N81" s="551"/>
      <c r="O81" s="557"/>
      <c r="P81" s="547" t="s">
        <v>71</v>
      </c>
      <c r="Q81" s="548"/>
      <c r="R81" s="548"/>
      <c r="S81" s="548"/>
      <c r="T81" s="548"/>
      <c r="U81" s="548"/>
      <c r="V81" s="549"/>
      <c r="W81" s="37" t="s">
        <v>72</v>
      </c>
      <c r="X81" s="543">
        <f>IFERROR(X79/H79,"0")+IFERROR(X80/H80,"0")</f>
        <v>50</v>
      </c>
      <c r="Y81" s="543">
        <f>IFERROR(Y79/H79,"0")+IFERROR(Y80/H80,"0")</f>
        <v>50</v>
      </c>
      <c r="Z81" s="543">
        <f>IFERROR(IF(Z79="",0,Z79),"0")+IFERROR(IF(Z80="",0,Z80),"0")</f>
        <v>0.45100000000000001</v>
      </c>
      <c r="AA81" s="544"/>
      <c r="AB81" s="544"/>
      <c r="AC81" s="544"/>
    </row>
    <row r="82" spans="1:68" x14ac:dyDescent="0.2">
      <c r="A82" s="551"/>
      <c r="B82" s="551"/>
      <c r="C82" s="551"/>
      <c r="D82" s="551"/>
      <c r="E82" s="551"/>
      <c r="F82" s="551"/>
      <c r="G82" s="551"/>
      <c r="H82" s="551"/>
      <c r="I82" s="551"/>
      <c r="J82" s="551"/>
      <c r="K82" s="551"/>
      <c r="L82" s="551"/>
      <c r="M82" s="551"/>
      <c r="N82" s="551"/>
      <c r="O82" s="557"/>
      <c r="P82" s="547" t="s">
        <v>71</v>
      </c>
      <c r="Q82" s="548"/>
      <c r="R82" s="548"/>
      <c r="S82" s="548"/>
      <c r="T82" s="548"/>
      <c r="U82" s="548"/>
      <c r="V82" s="549"/>
      <c r="W82" s="37" t="s">
        <v>69</v>
      </c>
      <c r="X82" s="543">
        <f>IFERROR(SUM(X79:X80),"0")</f>
        <v>120</v>
      </c>
      <c r="Y82" s="543">
        <f>IFERROR(SUM(Y79:Y80),"0")</f>
        <v>120</v>
      </c>
      <c r="Z82" s="37"/>
      <c r="AA82" s="544"/>
      <c r="AB82" s="544"/>
      <c r="AC82" s="544"/>
    </row>
    <row r="83" spans="1:68" ht="16.5" hidden="1" customHeight="1" x14ac:dyDescent="0.25">
      <c r="A83" s="550" t="s">
        <v>171</v>
      </c>
      <c r="B83" s="551"/>
      <c r="C83" s="551"/>
      <c r="D83" s="551"/>
      <c r="E83" s="551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36"/>
      <c r="AB83" s="536"/>
      <c r="AC83" s="536"/>
    </row>
    <row r="84" spans="1:68" ht="14.25" hidden="1" customHeight="1" x14ac:dyDescent="0.25">
      <c r="A84" s="555" t="s">
        <v>101</v>
      </c>
      <c r="B84" s="551"/>
      <c r="C84" s="551"/>
      <c r="D84" s="551"/>
      <c r="E84" s="551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37"/>
      <c r="AB84" s="537"/>
      <c r="AC84" s="537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59">
        <v>4680115881327</v>
      </c>
      <c r="E85" s="560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3"/>
      <c r="R85" s="553"/>
      <c r="S85" s="553"/>
      <c r="T85" s="554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9">
        <v>4680115881518</v>
      </c>
      <c r="E86" s="560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3"/>
      <c r="R86" s="553"/>
      <c r="S86" s="553"/>
      <c r="T86" s="554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9">
        <v>4680115881303</v>
      </c>
      <c r="E87" s="560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3"/>
      <c r="R87" s="553"/>
      <c r="S87" s="553"/>
      <c r="T87" s="554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6"/>
      <c r="B88" s="551"/>
      <c r="C88" s="551"/>
      <c r="D88" s="551"/>
      <c r="E88" s="551"/>
      <c r="F88" s="551"/>
      <c r="G88" s="551"/>
      <c r="H88" s="551"/>
      <c r="I88" s="551"/>
      <c r="J88" s="551"/>
      <c r="K88" s="551"/>
      <c r="L88" s="551"/>
      <c r="M88" s="551"/>
      <c r="N88" s="551"/>
      <c r="O88" s="557"/>
      <c r="P88" s="547" t="s">
        <v>71</v>
      </c>
      <c r="Q88" s="548"/>
      <c r="R88" s="548"/>
      <c r="S88" s="548"/>
      <c r="T88" s="548"/>
      <c r="U88" s="548"/>
      <c r="V88" s="549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51"/>
      <c r="B89" s="551"/>
      <c r="C89" s="551"/>
      <c r="D89" s="551"/>
      <c r="E89" s="551"/>
      <c r="F89" s="551"/>
      <c r="G89" s="551"/>
      <c r="H89" s="551"/>
      <c r="I89" s="551"/>
      <c r="J89" s="551"/>
      <c r="K89" s="551"/>
      <c r="L89" s="551"/>
      <c r="M89" s="551"/>
      <c r="N89" s="551"/>
      <c r="O89" s="557"/>
      <c r="P89" s="547" t="s">
        <v>71</v>
      </c>
      <c r="Q89" s="548"/>
      <c r="R89" s="548"/>
      <c r="S89" s="548"/>
      <c r="T89" s="548"/>
      <c r="U89" s="548"/>
      <c r="V89" s="549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55" t="s">
        <v>73</v>
      </c>
      <c r="B90" s="551"/>
      <c r="C90" s="551"/>
      <c r="D90" s="551"/>
      <c r="E90" s="551"/>
      <c r="F90" s="551"/>
      <c r="G90" s="551"/>
      <c r="H90" s="551"/>
      <c r="I90" s="551"/>
      <c r="J90" s="551"/>
      <c r="K90" s="551"/>
      <c r="L90" s="551"/>
      <c r="M90" s="551"/>
      <c r="N90" s="551"/>
      <c r="O90" s="551"/>
      <c r="P90" s="551"/>
      <c r="Q90" s="551"/>
      <c r="R90" s="551"/>
      <c r="S90" s="551"/>
      <c r="T90" s="551"/>
      <c r="U90" s="551"/>
      <c r="V90" s="551"/>
      <c r="W90" s="551"/>
      <c r="X90" s="551"/>
      <c r="Y90" s="551"/>
      <c r="Z90" s="551"/>
      <c r="AA90" s="537"/>
      <c r="AB90" s="537"/>
      <c r="AC90" s="537"/>
    </row>
    <row r="91" spans="1:68" ht="27" hidden="1" customHeight="1" x14ac:dyDescent="0.25">
      <c r="A91" s="54" t="s">
        <v>179</v>
      </c>
      <c r="B91" s="54" t="s">
        <v>180</v>
      </c>
      <c r="C91" s="31">
        <v>4301051712</v>
      </c>
      <c r="D91" s="559">
        <v>4607091386967</v>
      </c>
      <c r="E91" s="560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9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3"/>
      <c r="R91" s="553"/>
      <c r="S91" s="553"/>
      <c r="T91" s="554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9">
        <v>4680115884953</v>
      </c>
      <c r="E92" s="560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3"/>
      <c r="R92" s="553"/>
      <c r="S92" s="553"/>
      <c r="T92" s="554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9">
        <v>4607091385731</v>
      </c>
      <c r="E93" s="560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3"/>
      <c r="R93" s="553"/>
      <c r="S93" s="553"/>
      <c r="T93" s="554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9">
        <v>4680115880894</v>
      </c>
      <c r="E94" s="560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1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3"/>
      <c r="R94" s="553"/>
      <c r="S94" s="553"/>
      <c r="T94" s="554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6"/>
      <c r="B95" s="551"/>
      <c r="C95" s="551"/>
      <c r="D95" s="551"/>
      <c r="E95" s="551"/>
      <c r="F95" s="551"/>
      <c r="G95" s="551"/>
      <c r="H95" s="551"/>
      <c r="I95" s="551"/>
      <c r="J95" s="551"/>
      <c r="K95" s="551"/>
      <c r="L95" s="551"/>
      <c r="M95" s="551"/>
      <c r="N95" s="551"/>
      <c r="O95" s="557"/>
      <c r="P95" s="547" t="s">
        <v>71</v>
      </c>
      <c r="Q95" s="548"/>
      <c r="R95" s="548"/>
      <c r="S95" s="548"/>
      <c r="T95" s="548"/>
      <c r="U95" s="548"/>
      <c r="V95" s="549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hidden="1" x14ac:dyDescent="0.2">
      <c r="A96" s="551"/>
      <c r="B96" s="551"/>
      <c r="C96" s="551"/>
      <c r="D96" s="551"/>
      <c r="E96" s="551"/>
      <c r="F96" s="551"/>
      <c r="G96" s="551"/>
      <c r="H96" s="551"/>
      <c r="I96" s="551"/>
      <c r="J96" s="551"/>
      <c r="K96" s="551"/>
      <c r="L96" s="551"/>
      <c r="M96" s="551"/>
      <c r="N96" s="551"/>
      <c r="O96" s="557"/>
      <c r="P96" s="547" t="s">
        <v>71</v>
      </c>
      <c r="Q96" s="548"/>
      <c r="R96" s="548"/>
      <c r="S96" s="548"/>
      <c r="T96" s="548"/>
      <c r="U96" s="548"/>
      <c r="V96" s="549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hidden="1" customHeight="1" x14ac:dyDescent="0.25">
      <c r="A97" s="550" t="s">
        <v>190</v>
      </c>
      <c r="B97" s="551"/>
      <c r="C97" s="551"/>
      <c r="D97" s="551"/>
      <c r="E97" s="551"/>
      <c r="F97" s="551"/>
      <c r="G97" s="551"/>
      <c r="H97" s="551"/>
      <c r="I97" s="551"/>
      <c r="J97" s="551"/>
      <c r="K97" s="551"/>
      <c r="L97" s="551"/>
      <c r="M97" s="551"/>
      <c r="N97" s="551"/>
      <c r="O97" s="551"/>
      <c r="P97" s="551"/>
      <c r="Q97" s="551"/>
      <c r="R97" s="551"/>
      <c r="S97" s="551"/>
      <c r="T97" s="551"/>
      <c r="U97" s="551"/>
      <c r="V97" s="551"/>
      <c r="W97" s="551"/>
      <c r="X97" s="551"/>
      <c r="Y97" s="551"/>
      <c r="Z97" s="551"/>
      <c r="AA97" s="536"/>
      <c r="AB97" s="536"/>
      <c r="AC97" s="536"/>
    </row>
    <row r="98" spans="1:68" ht="14.25" hidden="1" customHeight="1" x14ac:dyDescent="0.25">
      <c r="A98" s="555" t="s">
        <v>101</v>
      </c>
      <c r="B98" s="551"/>
      <c r="C98" s="551"/>
      <c r="D98" s="551"/>
      <c r="E98" s="551"/>
      <c r="F98" s="551"/>
      <c r="G98" s="551"/>
      <c r="H98" s="551"/>
      <c r="I98" s="551"/>
      <c r="J98" s="551"/>
      <c r="K98" s="551"/>
      <c r="L98" s="551"/>
      <c r="M98" s="551"/>
      <c r="N98" s="551"/>
      <c r="O98" s="551"/>
      <c r="P98" s="551"/>
      <c r="Q98" s="551"/>
      <c r="R98" s="551"/>
      <c r="S98" s="551"/>
      <c r="T98" s="551"/>
      <c r="U98" s="551"/>
      <c r="V98" s="551"/>
      <c r="W98" s="551"/>
      <c r="X98" s="551"/>
      <c r="Y98" s="551"/>
      <c r="Z98" s="551"/>
      <c r="AA98" s="537"/>
      <c r="AB98" s="537"/>
      <c r="AC98" s="537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59">
        <v>4680115882133</v>
      </c>
      <c r="E99" s="560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3"/>
      <c r="R99" s="553"/>
      <c r="S99" s="553"/>
      <c r="T99" s="554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59">
        <v>4680115880269</v>
      </c>
      <c r="E100" s="560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3"/>
      <c r="R100" s="553"/>
      <c r="S100" s="553"/>
      <c r="T100" s="554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9">
        <v>4680115880429</v>
      </c>
      <c r="E101" s="560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3"/>
      <c r="R101" s="553"/>
      <c r="S101" s="553"/>
      <c r="T101" s="554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9">
        <v>4680115881457</v>
      </c>
      <c r="E102" s="560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68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3"/>
      <c r="R102" s="553"/>
      <c r="S102" s="553"/>
      <c r="T102" s="554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6"/>
      <c r="B103" s="551"/>
      <c r="C103" s="551"/>
      <c r="D103" s="551"/>
      <c r="E103" s="551"/>
      <c r="F103" s="551"/>
      <c r="G103" s="551"/>
      <c r="H103" s="551"/>
      <c r="I103" s="551"/>
      <c r="J103" s="551"/>
      <c r="K103" s="551"/>
      <c r="L103" s="551"/>
      <c r="M103" s="551"/>
      <c r="N103" s="551"/>
      <c r="O103" s="557"/>
      <c r="P103" s="547" t="s">
        <v>71</v>
      </c>
      <c r="Q103" s="548"/>
      <c r="R103" s="548"/>
      <c r="S103" s="548"/>
      <c r="T103" s="548"/>
      <c r="U103" s="548"/>
      <c r="V103" s="549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1"/>
      <c r="B104" s="551"/>
      <c r="C104" s="551"/>
      <c r="D104" s="551"/>
      <c r="E104" s="551"/>
      <c r="F104" s="551"/>
      <c r="G104" s="551"/>
      <c r="H104" s="551"/>
      <c r="I104" s="551"/>
      <c r="J104" s="551"/>
      <c r="K104" s="551"/>
      <c r="L104" s="551"/>
      <c r="M104" s="551"/>
      <c r="N104" s="551"/>
      <c r="O104" s="557"/>
      <c r="P104" s="547" t="s">
        <v>71</v>
      </c>
      <c r="Q104" s="548"/>
      <c r="R104" s="548"/>
      <c r="S104" s="548"/>
      <c r="T104" s="548"/>
      <c r="U104" s="548"/>
      <c r="V104" s="549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55" t="s">
        <v>136</v>
      </c>
      <c r="B105" s="551"/>
      <c r="C105" s="551"/>
      <c r="D105" s="551"/>
      <c r="E105" s="551"/>
      <c r="F105" s="551"/>
      <c r="G105" s="551"/>
      <c r="H105" s="551"/>
      <c r="I105" s="551"/>
      <c r="J105" s="551"/>
      <c r="K105" s="551"/>
      <c r="L105" s="551"/>
      <c r="M105" s="551"/>
      <c r="N105" s="551"/>
      <c r="O105" s="551"/>
      <c r="P105" s="551"/>
      <c r="Q105" s="551"/>
      <c r="R105" s="551"/>
      <c r="S105" s="551"/>
      <c r="T105" s="551"/>
      <c r="U105" s="551"/>
      <c r="V105" s="551"/>
      <c r="W105" s="551"/>
      <c r="X105" s="551"/>
      <c r="Y105" s="551"/>
      <c r="Z105" s="551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9">
        <v>4680115881488</v>
      </c>
      <c r="E106" s="560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3"/>
      <c r="R106" s="553"/>
      <c r="S106" s="553"/>
      <c r="T106" s="554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59">
        <v>4680115882775</v>
      </c>
      <c r="E107" s="560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3"/>
      <c r="R107" s="553"/>
      <c r="S107" s="553"/>
      <c r="T107" s="554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9">
        <v>4680115880658</v>
      </c>
      <c r="E108" s="560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3"/>
      <c r="R108" s="553"/>
      <c r="S108" s="553"/>
      <c r="T108" s="554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6"/>
      <c r="B109" s="551"/>
      <c r="C109" s="551"/>
      <c r="D109" s="551"/>
      <c r="E109" s="551"/>
      <c r="F109" s="551"/>
      <c r="G109" s="551"/>
      <c r="H109" s="551"/>
      <c r="I109" s="551"/>
      <c r="J109" s="551"/>
      <c r="K109" s="551"/>
      <c r="L109" s="551"/>
      <c r="M109" s="551"/>
      <c r="N109" s="551"/>
      <c r="O109" s="557"/>
      <c r="P109" s="547" t="s">
        <v>71</v>
      </c>
      <c r="Q109" s="548"/>
      <c r="R109" s="548"/>
      <c r="S109" s="548"/>
      <c r="T109" s="548"/>
      <c r="U109" s="548"/>
      <c r="V109" s="54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1"/>
      <c r="B110" s="551"/>
      <c r="C110" s="551"/>
      <c r="D110" s="551"/>
      <c r="E110" s="551"/>
      <c r="F110" s="551"/>
      <c r="G110" s="551"/>
      <c r="H110" s="551"/>
      <c r="I110" s="551"/>
      <c r="J110" s="551"/>
      <c r="K110" s="551"/>
      <c r="L110" s="551"/>
      <c r="M110" s="551"/>
      <c r="N110" s="551"/>
      <c r="O110" s="557"/>
      <c r="P110" s="547" t="s">
        <v>71</v>
      </c>
      <c r="Q110" s="548"/>
      <c r="R110" s="548"/>
      <c r="S110" s="548"/>
      <c r="T110" s="548"/>
      <c r="U110" s="548"/>
      <c r="V110" s="54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5" t="s">
        <v>73</v>
      </c>
      <c r="B111" s="551"/>
      <c r="C111" s="551"/>
      <c r="D111" s="551"/>
      <c r="E111" s="551"/>
      <c r="F111" s="551"/>
      <c r="G111" s="551"/>
      <c r="H111" s="551"/>
      <c r="I111" s="551"/>
      <c r="J111" s="551"/>
      <c r="K111" s="551"/>
      <c r="L111" s="551"/>
      <c r="M111" s="551"/>
      <c r="N111" s="551"/>
      <c r="O111" s="551"/>
      <c r="P111" s="551"/>
      <c r="Q111" s="551"/>
      <c r="R111" s="551"/>
      <c r="S111" s="551"/>
      <c r="T111" s="551"/>
      <c r="U111" s="551"/>
      <c r="V111" s="551"/>
      <c r="W111" s="551"/>
      <c r="X111" s="551"/>
      <c r="Y111" s="551"/>
      <c r="Z111" s="551"/>
      <c r="AA111" s="537"/>
      <c r="AB111" s="537"/>
      <c r="AC111" s="537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59">
        <v>4607091385168</v>
      </c>
      <c r="E112" s="560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3"/>
      <c r="R112" s="553"/>
      <c r="S112" s="553"/>
      <c r="T112" s="554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9">
        <v>4607091383256</v>
      </c>
      <c r="E113" s="560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3"/>
      <c r="R113" s="553"/>
      <c r="S113" s="553"/>
      <c r="T113" s="554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59">
        <v>4607091385748</v>
      </c>
      <c r="E114" s="560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3"/>
      <c r="R114" s="553"/>
      <c r="S114" s="553"/>
      <c r="T114" s="554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59">
        <v>4680115884533</v>
      </c>
      <c r="E115" s="560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3"/>
      <c r="R115" s="553"/>
      <c r="S115" s="553"/>
      <c r="T115" s="554"/>
      <c r="U115" s="34"/>
      <c r="V115" s="34"/>
      <c r="W115" s="35" t="s">
        <v>69</v>
      </c>
      <c r="X115" s="541">
        <v>105</v>
      </c>
      <c r="Y115" s="542">
        <f>IFERROR(IF(X115="",0,CEILING((X115/$H115),1)*$H115),"")</f>
        <v>106.2</v>
      </c>
      <c r="Z115" s="36">
        <f>IFERROR(IF(Y115=0,"",ROUNDUP(Y115/H115,0)*0.00651),"")</f>
        <v>0.38408999999999999</v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115.5</v>
      </c>
      <c r="BN115" s="64">
        <f>IFERROR(Y115*I115/H115,"0")</f>
        <v>116.82000000000001</v>
      </c>
      <c r="BO115" s="64">
        <f>IFERROR(1/J115*(X115/H115),"0")</f>
        <v>0.32051282051282048</v>
      </c>
      <c r="BP115" s="64">
        <f>IFERROR(1/J115*(Y115/H115),"0")</f>
        <v>0.32417582417582419</v>
      </c>
    </row>
    <row r="116" spans="1:68" x14ac:dyDescent="0.2">
      <c r="A116" s="556"/>
      <c r="B116" s="551"/>
      <c r="C116" s="551"/>
      <c r="D116" s="551"/>
      <c r="E116" s="551"/>
      <c r="F116" s="551"/>
      <c r="G116" s="551"/>
      <c r="H116" s="551"/>
      <c r="I116" s="551"/>
      <c r="J116" s="551"/>
      <c r="K116" s="551"/>
      <c r="L116" s="551"/>
      <c r="M116" s="551"/>
      <c r="N116" s="551"/>
      <c r="O116" s="557"/>
      <c r="P116" s="547" t="s">
        <v>71</v>
      </c>
      <c r="Q116" s="548"/>
      <c r="R116" s="548"/>
      <c r="S116" s="548"/>
      <c r="T116" s="548"/>
      <c r="U116" s="548"/>
      <c r="V116" s="549"/>
      <c r="W116" s="37" t="s">
        <v>72</v>
      </c>
      <c r="X116" s="543">
        <f>IFERROR(X112/H112,"0")+IFERROR(X113/H113,"0")+IFERROR(X114/H114,"0")+IFERROR(X115/H115,"0")</f>
        <v>58.333333333333329</v>
      </c>
      <c r="Y116" s="543">
        <f>IFERROR(Y112/H112,"0")+IFERROR(Y113/H113,"0")+IFERROR(Y114/H114,"0")+IFERROR(Y115/H115,"0")</f>
        <v>59</v>
      </c>
      <c r="Z116" s="543">
        <f>IFERROR(IF(Z112="",0,Z112),"0")+IFERROR(IF(Z113="",0,Z113),"0")+IFERROR(IF(Z114="",0,Z114),"0")+IFERROR(IF(Z115="",0,Z115),"0")</f>
        <v>0.38408999999999999</v>
      </c>
      <c r="AA116" s="544"/>
      <c r="AB116" s="544"/>
      <c r="AC116" s="544"/>
    </row>
    <row r="117" spans="1:68" x14ac:dyDescent="0.2">
      <c r="A117" s="551"/>
      <c r="B117" s="551"/>
      <c r="C117" s="551"/>
      <c r="D117" s="551"/>
      <c r="E117" s="551"/>
      <c r="F117" s="551"/>
      <c r="G117" s="551"/>
      <c r="H117" s="551"/>
      <c r="I117" s="551"/>
      <c r="J117" s="551"/>
      <c r="K117" s="551"/>
      <c r="L117" s="551"/>
      <c r="M117" s="551"/>
      <c r="N117" s="551"/>
      <c r="O117" s="557"/>
      <c r="P117" s="547" t="s">
        <v>71</v>
      </c>
      <c r="Q117" s="548"/>
      <c r="R117" s="548"/>
      <c r="S117" s="548"/>
      <c r="T117" s="548"/>
      <c r="U117" s="548"/>
      <c r="V117" s="549"/>
      <c r="W117" s="37" t="s">
        <v>69</v>
      </c>
      <c r="X117" s="543">
        <f>IFERROR(SUM(X112:X115),"0")</f>
        <v>105</v>
      </c>
      <c r="Y117" s="543">
        <f>IFERROR(SUM(Y112:Y115),"0")</f>
        <v>106.2</v>
      </c>
      <c r="Z117" s="37"/>
      <c r="AA117" s="544"/>
      <c r="AB117" s="544"/>
      <c r="AC117" s="544"/>
    </row>
    <row r="118" spans="1:68" ht="14.25" hidden="1" customHeight="1" x14ac:dyDescent="0.25">
      <c r="A118" s="555" t="s">
        <v>164</v>
      </c>
      <c r="B118" s="551"/>
      <c r="C118" s="551"/>
      <c r="D118" s="551"/>
      <c r="E118" s="551"/>
      <c r="F118" s="551"/>
      <c r="G118" s="551"/>
      <c r="H118" s="551"/>
      <c r="I118" s="551"/>
      <c r="J118" s="551"/>
      <c r="K118" s="551"/>
      <c r="L118" s="551"/>
      <c r="M118" s="551"/>
      <c r="N118" s="551"/>
      <c r="O118" s="551"/>
      <c r="P118" s="551"/>
      <c r="Q118" s="551"/>
      <c r="R118" s="551"/>
      <c r="S118" s="551"/>
      <c r="T118" s="551"/>
      <c r="U118" s="551"/>
      <c r="V118" s="551"/>
      <c r="W118" s="551"/>
      <c r="X118" s="551"/>
      <c r="Y118" s="551"/>
      <c r="Z118" s="551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59">
        <v>4680115880238</v>
      </c>
      <c r="E119" s="560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3"/>
      <c r="R119" s="553"/>
      <c r="S119" s="553"/>
      <c r="T119" s="554"/>
      <c r="U119" s="34"/>
      <c r="V119" s="34"/>
      <c r="W119" s="35" t="s">
        <v>69</v>
      </c>
      <c r="X119" s="541">
        <v>125.4</v>
      </c>
      <c r="Y119" s="542">
        <f>IFERROR(IF(X119="",0,CEILING((X119/$H119),1)*$H119),"")</f>
        <v>126.72</v>
      </c>
      <c r="Z119" s="36">
        <f>IFERROR(IF(Y119=0,"",ROUNDUP(Y119/H119,0)*0.00651),"")</f>
        <v>0.41664000000000001</v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141.74</v>
      </c>
      <c r="BN119" s="64">
        <f>IFERROR(Y119*I119/H119,"0")</f>
        <v>143.232</v>
      </c>
      <c r="BO119" s="64">
        <f>IFERROR(1/J119*(X119/H119),"0")</f>
        <v>0.34798534798534803</v>
      </c>
      <c r="BP119" s="64">
        <f>IFERROR(1/J119*(Y119/H119),"0")</f>
        <v>0.35164835164835168</v>
      </c>
    </row>
    <row r="120" spans="1:68" x14ac:dyDescent="0.2">
      <c r="A120" s="556"/>
      <c r="B120" s="551"/>
      <c r="C120" s="551"/>
      <c r="D120" s="551"/>
      <c r="E120" s="551"/>
      <c r="F120" s="551"/>
      <c r="G120" s="551"/>
      <c r="H120" s="551"/>
      <c r="I120" s="551"/>
      <c r="J120" s="551"/>
      <c r="K120" s="551"/>
      <c r="L120" s="551"/>
      <c r="M120" s="551"/>
      <c r="N120" s="551"/>
      <c r="O120" s="557"/>
      <c r="P120" s="547" t="s">
        <v>71</v>
      </c>
      <c r="Q120" s="548"/>
      <c r="R120" s="548"/>
      <c r="S120" s="548"/>
      <c r="T120" s="548"/>
      <c r="U120" s="548"/>
      <c r="V120" s="549"/>
      <c r="W120" s="37" t="s">
        <v>72</v>
      </c>
      <c r="X120" s="543">
        <f>IFERROR(X119/H119,"0")</f>
        <v>63.333333333333336</v>
      </c>
      <c r="Y120" s="543">
        <f>IFERROR(Y119/H119,"0")</f>
        <v>64</v>
      </c>
      <c r="Z120" s="543">
        <f>IFERROR(IF(Z119="",0,Z119),"0")</f>
        <v>0.41664000000000001</v>
      </c>
      <c r="AA120" s="544"/>
      <c r="AB120" s="544"/>
      <c r="AC120" s="544"/>
    </row>
    <row r="121" spans="1:68" x14ac:dyDescent="0.2">
      <c r="A121" s="551"/>
      <c r="B121" s="551"/>
      <c r="C121" s="551"/>
      <c r="D121" s="551"/>
      <c r="E121" s="551"/>
      <c r="F121" s="551"/>
      <c r="G121" s="551"/>
      <c r="H121" s="551"/>
      <c r="I121" s="551"/>
      <c r="J121" s="551"/>
      <c r="K121" s="551"/>
      <c r="L121" s="551"/>
      <c r="M121" s="551"/>
      <c r="N121" s="551"/>
      <c r="O121" s="557"/>
      <c r="P121" s="547" t="s">
        <v>71</v>
      </c>
      <c r="Q121" s="548"/>
      <c r="R121" s="548"/>
      <c r="S121" s="548"/>
      <c r="T121" s="548"/>
      <c r="U121" s="548"/>
      <c r="V121" s="549"/>
      <c r="W121" s="37" t="s">
        <v>69</v>
      </c>
      <c r="X121" s="543">
        <f>IFERROR(SUM(X119:X119),"0")</f>
        <v>125.4</v>
      </c>
      <c r="Y121" s="543">
        <f>IFERROR(SUM(Y119:Y119),"0")</f>
        <v>126.72</v>
      </c>
      <c r="Z121" s="37"/>
      <c r="AA121" s="544"/>
      <c r="AB121" s="544"/>
      <c r="AC121" s="544"/>
    </row>
    <row r="122" spans="1:68" ht="16.5" hidden="1" customHeight="1" x14ac:dyDescent="0.25">
      <c r="A122" s="550" t="s">
        <v>220</v>
      </c>
      <c r="B122" s="551"/>
      <c r="C122" s="551"/>
      <c r="D122" s="551"/>
      <c r="E122" s="551"/>
      <c r="F122" s="551"/>
      <c r="G122" s="551"/>
      <c r="H122" s="551"/>
      <c r="I122" s="551"/>
      <c r="J122" s="551"/>
      <c r="K122" s="551"/>
      <c r="L122" s="551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36"/>
      <c r="AB122" s="536"/>
      <c r="AC122" s="536"/>
    </row>
    <row r="123" spans="1:68" ht="14.25" hidden="1" customHeight="1" x14ac:dyDescent="0.25">
      <c r="A123" s="555" t="s">
        <v>101</v>
      </c>
      <c r="B123" s="551"/>
      <c r="C123" s="551"/>
      <c r="D123" s="551"/>
      <c r="E123" s="551"/>
      <c r="F123" s="551"/>
      <c r="G123" s="551"/>
      <c r="H123" s="551"/>
      <c r="I123" s="551"/>
      <c r="J123" s="551"/>
      <c r="K123" s="551"/>
      <c r="L123" s="551"/>
      <c r="M123" s="551"/>
      <c r="N123" s="551"/>
      <c r="O123" s="551"/>
      <c r="P123" s="551"/>
      <c r="Q123" s="551"/>
      <c r="R123" s="551"/>
      <c r="S123" s="551"/>
      <c r="T123" s="551"/>
      <c r="U123" s="551"/>
      <c r="V123" s="551"/>
      <c r="W123" s="551"/>
      <c r="X123" s="551"/>
      <c r="Y123" s="551"/>
      <c r="Z123" s="551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59">
        <v>4680115882577</v>
      </c>
      <c r="E124" s="560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3"/>
      <c r="R124" s="553"/>
      <c r="S124" s="553"/>
      <c r="T124" s="554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9">
        <v>4680115882577</v>
      </c>
      <c r="E125" s="560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2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3"/>
      <c r="R125" s="553"/>
      <c r="S125" s="553"/>
      <c r="T125" s="554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6"/>
      <c r="B126" s="551"/>
      <c r="C126" s="551"/>
      <c r="D126" s="551"/>
      <c r="E126" s="551"/>
      <c r="F126" s="551"/>
      <c r="G126" s="551"/>
      <c r="H126" s="551"/>
      <c r="I126" s="551"/>
      <c r="J126" s="551"/>
      <c r="K126" s="551"/>
      <c r="L126" s="551"/>
      <c r="M126" s="551"/>
      <c r="N126" s="551"/>
      <c r="O126" s="557"/>
      <c r="P126" s="547" t="s">
        <v>71</v>
      </c>
      <c r="Q126" s="548"/>
      <c r="R126" s="548"/>
      <c r="S126" s="548"/>
      <c r="T126" s="548"/>
      <c r="U126" s="548"/>
      <c r="V126" s="54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1"/>
      <c r="B127" s="551"/>
      <c r="C127" s="551"/>
      <c r="D127" s="551"/>
      <c r="E127" s="551"/>
      <c r="F127" s="551"/>
      <c r="G127" s="551"/>
      <c r="H127" s="551"/>
      <c r="I127" s="551"/>
      <c r="J127" s="551"/>
      <c r="K127" s="551"/>
      <c r="L127" s="551"/>
      <c r="M127" s="551"/>
      <c r="N127" s="551"/>
      <c r="O127" s="557"/>
      <c r="P127" s="547" t="s">
        <v>71</v>
      </c>
      <c r="Q127" s="548"/>
      <c r="R127" s="548"/>
      <c r="S127" s="548"/>
      <c r="T127" s="548"/>
      <c r="U127" s="548"/>
      <c r="V127" s="54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55" t="s">
        <v>64</v>
      </c>
      <c r="B128" s="551"/>
      <c r="C128" s="551"/>
      <c r="D128" s="551"/>
      <c r="E128" s="551"/>
      <c r="F128" s="551"/>
      <c r="G128" s="551"/>
      <c r="H128" s="551"/>
      <c r="I128" s="551"/>
      <c r="J128" s="551"/>
      <c r="K128" s="551"/>
      <c r="L128" s="551"/>
      <c r="M128" s="551"/>
      <c r="N128" s="551"/>
      <c r="O128" s="551"/>
      <c r="P128" s="551"/>
      <c r="Q128" s="551"/>
      <c r="R128" s="551"/>
      <c r="S128" s="551"/>
      <c r="T128" s="551"/>
      <c r="U128" s="551"/>
      <c r="V128" s="551"/>
      <c r="W128" s="551"/>
      <c r="X128" s="551"/>
      <c r="Y128" s="551"/>
      <c r="Z128" s="551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9">
        <v>4680115883444</v>
      </c>
      <c r="E129" s="560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3"/>
      <c r="R129" s="553"/>
      <c r="S129" s="553"/>
      <c r="T129" s="554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9">
        <v>4680115883444</v>
      </c>
      <c r="E130" s="560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6"/>
      <c r="B131" s="551"/>
      <c r="C131" s="551"/>
      <c r="D131" s="551"/>
      <c r="E131" s="551"/>
      <c r="F131" s="551"/>
      <c r="G131" s="551"/>
      <c r="H131" s="551"/>
      <c r="I131" s="551"/>
      <c r="J131" s="551"/>
      <c r="K131" s="551"/>
      <c r="L131" s="551"/>
      <c r="M131" s="551"/>
      <c r="N131" s="551"/>
      <c r="O131" s="557"/>
      <c r="P131" s="547" t="s">
        <v>71</v>
      </c>
      <c r="Q131" s="548"/>
      <c r="R131" s="548"/>
      <c r="S131" s="548"/>
      <c r="T131" s="548"/>
      <c r="U131" s="548"/>
      <c r="V131" s="54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1"/>
      <c r="B132" s="551"/>
      <c r="C132" s="551"/>
      <c r="D132" s="551"/>
      <c r="E132" s="551"/>
      <c r="F132" s="551"/>
      <c r="G132" s="551"/>
      <c r="H132" s="551"/>
      <c r="I132" s="551"/>
      <c r="J132" s="551"/>
      <c r="K132" s="551"/>
      <c r="L132" s="551"/>
      <c r="M132" s="551"/>
      <c r="N132" s="551"/>
      <c r="O132" s="557"/>
      <c r="P132" s="547" t="s">
        <v>71</v>
      </c>
      <c r="Q132" s="548"/>
      <c r="R132" s="548"/>
      <c r="S132" s="548"/>
      <c r="T132" s="548"/>
      <c r="U132" s="548"/>
      <c r="V132" s="54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5" t="s">
        <v>73</v>
      </c>
      <c r="B133" s="551"/>
      <c r="C133" s="551"/>
      <c r="D133" s="551"/>
      <c r="E133" s="551"/>
      <c r="F133" s="551"/>
      <c r="G133" s="551"/>
      <c r="H133" s="551"/>
      <c r="I133" s="551"/>
      <c r="J133" s="551"/>
      <c r="K133" s="551"/>
      <c r="L133" s="551"/>
      <c r="M133" s="551"/>
      <c r="N133" s="551"/>
      <c r="O133" s="551"/>
      <c r="P133" s="551"/>
      <c r="Q133" s="551"/>
      <c r="R133" s="551"/>
      <c r="S133" s="551"/>
      <c r="T133" s="551"/>
      <c r="U133" s="551"/>
      <c r="V133" s="551"/>
      <c r="W133" s="551"/>
      <c r="X133" s="551"/>
      <c r="Y133" s="551"/>
      <c r="Z133" s="551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9">
        <v>4680115882584</v>
      </c>
      <c r="E134" s="560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3"/>
      <c r="R134" s="553"/>
      <c r="S134" s="553"/>
      <c r="T134" s="554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9">
        <v>4680115882584</v>
      </c>
      <c r="E135" s="560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3"/>
      <c r="R135" s="553"/>
      <c r="S135" s="553"/>
      <c r="T135" s="554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6"/>
      <c r="B136" s="551"/>
      <c r="C136" s="551"/>
      <c r="D136" s="551"/>
      <c r="E136" s="551"/>
      <c r="F136" s="551"/>
      <c r="G136" s="551"/>
      <c r="H136" s="551"/>
      <c r="I136" s="551"/>
      <c r="J136" s="551"/>
      <c r="K136" s="551"/>
      <c r="L136" s="551"/>
      <c r="M136" s="551"/>
      <c r="N136" s="551"/>
      <c r="O136" s="557"/>
      <c r="P136" s="547" t="s">
        <v>71</v>
      </c>
      <c r="Q136" s="548"/>
      <c r="R136" s="548"/>
      <c r="S136" s="548"/>
      <c r="T136" s="548"/>
      <c r="U136" s="548"/>
      <c r="V136" s="54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1"/>
      <c r="B137" s="551"/>
      <c r="C137" s="551"/>
      <c r="D137" s="551"/>
      <c r="E137" s="551"/>
      <c r="F137" s="551"/>
      <c r="G137" s="551"/>
      <c r="H137" s="551"/>
      <c r="I137" s="551"/>
      <c r="J137" s="551"/>
      <c r="K137" s="551"/>
      <c r="L137" s="551"/>
      <c r="M137" s="551"/>
      <c r="N137" s="551"/>
      <c r="O137" s="557"/>
      <c r="P137" s="547" t="s">
        <v>71</v>
      </c>
      <c r="Q137" s="548"/>
      <c r="R137" s="548"/>
      <c r="S137" s="548"/>
      <c r="T137" s="548"/>
      <c r="U137" s="548"/>
      <c r="V137" s="54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50" t="s">
        <v>99</v>
      </c>
      <c r="B138" s="551"/>
      <c r="C138" s="551"/>
      <c r="D138" s="551"/>
      <c r="E138" s="551"/>
      <c r="F138" s="551"/>
      <c r="G138" s="551"/>
      <c r="H138" s="551"/>
      <c r="I138" s="551"/>
      <c r="J138" s="551"/>
      <c r="K138" s="551"/>
      <c r="L138" s="551"/>
      <c r="M138" s="551"/>
      <c r="N138" s="551"/>
      <c r="O138" s="551"/>
      <c r="P138" s="551"/>
      <c r="Q138" s="551"/>
      <c r="R138" s="551"/>
      <c r="S138" s="551"/>
      <c r="T138" s="551"/>
      <c r="U138" s="551"/>
      <c r="V138" s="551"/>
      <c r="W138" s="551"/>
      <c r="X138" s="551"/>
      <c r="Y138" s="551"/>
      <c r="Z138" s="551"/>
      <c r="AA138" s="536"/>
      <c r="AB138" s="536"/>
      <c r="AC138" s="536"/>
    </row>
    <row r="139" spans="1:68" ht="14.25" hidden="1" customHeight="1" x14ac:dyDescent="0.25">
      <c r="A139" s="555" t="s">
        <v>101</v>
      </c>
      <c r="B139" s="551"/>
      <c r="C139" s="551"/>
      <c r="D139" s="551"/>
      <c r="E139" s="551"/>
      <c r="F139" s="551"/>
      <c r="G139" s="551"/>
      <c r="H139" s="551"/>
      <c r="I139" s="551"/>
      <c r="J139" s="551"/>
      <c r="K139" s="551"/>
      <c r="L139" s="551"/>
      <c r="M139" s="551"/>
      <c r="N139" s="551"/>
      <c r="O139" s="551"/>
      <c r="P139" s="551"/>
      <c r="Q139" s="551"/>
      <c r="R139" s="551"/>
      <c r="S139" s="551"/>
      <c r="T139" s="551"/>
      <c r="U139" s="551"/>
      <c r="V139" s="551"/>
      <c r="W139" s="551"/>
      <c r="X139" s="551"/>
      <c r="Y139" s="551"/>
      <c r="Z139" s="551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9">
        <v>4680115887374</v>
      </c>
      <c r="E140" s="560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19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3"/>
      <c r="R140" s="553"/>
      <c r="S140" s="553"/>
      <c r="T140" s="554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9">
        <v>4607091384604</v>
      </c>
      <c r="E141" s="560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3"/>
      <c r="R141" s="553"/>
      <c r="S141" s="553"/>
      <c r="T141" s="554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6"/>
      <c r="B142" s="551"/>
      <c r="C142" s="551"/>
      <c r="D142" s="551"/>
      <c r="E142" s="551"/>
      <c r="F142" s="551"/>
      <c r="G142" s="551"/>
      <c r="H142" s="551"/>
      <c r="I142" s="551"/>
      <c r="J142" s="551"/>
      <c r="K142" s="551"/>
      <c r="L142" s="551"/>
      <c r="M142" s="551"/>
      <c r="N142" s="551"/>
      <c r="O142" s="557"/>
      <c r="P142" s="547" t="s">
        <v>71</v>
      </c>
      <c r="Q142" s="548"/>
      <c r="R142" s="548"/>
      <c r="S142" s="548"/>
      <c r="T142" s="548"/>
      <c r="U142" s="548"/>
      <c r="V142" s="54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1"/>
      <c r="B143" s="551"/>
      <c r="C143" s="551"/>
      <c r="D143" s="551"/>
      <c r="E143" s="551"/>
      <c r="F143" s="551"/>
      <c r="G143" s="551"/>
      <c r="H143" s="551"/>
      <c r="I143" s="551"/>
      <c r="J143" s="551"/>
      <c r="K143" s="551"/>
      <c r="L143" s="551"/>
      <c r="M143" s="551"/>
      <c r="N143" s="551"/>
      <c r="O143" s="557"/>
      <c r="P143" s="547" t="s">
        <v>71</v>
      </c>
      <c r="Q143" s="548"/>
      <c r="R143" s="548"/>
      <c r="S143" s="548"/>
      <c r="T143" s="548"/>
      <c r="U143" s="548"/>
      <c r="V143" s="54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55" t="s">
        <v>64</v>
      </c>
      <c r="B144" s="551"/>
      <c r="C144" s="551"/>
      <c r="D144" s="551"/>
      <c r="E144" s="551"/>
      <c r="F144" s="551"/>
      <c r="G144" s="551"/>
      <c r="H144" s="551"/>
      <c r="I144" s="551"/>
      <c r="J144" s="551"/>
      <c r="K144" s="551"/>
      <c r="L144" s="551"/>
      <c r="M144" s="551"/>
      <c r="N144" s="551"/>
      <c r="O144" s="551"/>
      <c r="P144" s="551"/>
      <c r="Q144" s="551"/>
      <c r="R144" s="551"/>
      <c r="S144" s="551"/>
      <c r="T144" s="551"/>
      <c r="U144" s="551"/>
      <c r="V144" s="551"/>
      <c r="W144" s="551"/>
      <c r="X144" s="551"/>
      <c r="Y144" s="551"/>
      <c r="Z144" s="551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59">
        <v>4607091387667</v>
      </c>
      <c r="E145" s="560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53"/>
      <c r="R145" s="553"/>
      <c r="S145" s="553"/>
      <c r="T145" s="554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59">
        <v>4607091387636</v>
      </c>
      <c r="E146" s="560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59">
        <v>4607091382426</v>
      </c>
      <c r="E147" s="560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6"/>
      <c r="B148" s="551"/>
      <c r="C148" s="551"/>
      <c r="D148" s="551"/>
      <c r="E148" s="551"/>
      <c r="F148" s="551"/>
      <c r="G148" s="551"/>
      <c r="H148" s="551"/>
      <c r="I148" s="551"/>
      <c r="J148" s="551"/>
      <c r="K148" s="551"/>
      <c r="L148" s="551"/>
      <c r="M148" s="551"/>
      <c r="N148" s="551"/>
      <c r="O148" s="557"/>
      <c r="P148" s="547" t="s">
        <v>71</v>
      </c>
      <c r="Q148" s="548"/>
      <c r="R148" s="548"/>
      <c r="S148" s="548"/>
      <c r="T148" s="548"/>
      <c r="U148" s="548"/>
      <c r="V148" s="54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1"/>
      <c r="B149" s="551"/>
      <c r="C149" s="551"/>
      <c r="D149" s="551"/>
      <c r="E149" s="551"/>
      <c r="F149" s="551"/>
      <c r="G149" s="551"/>
      <c r="H149" s="551"/>
      <c r="I149" s="551"/>
      <c r="J149" s="551"/>
      <c r="K149" s="551"/>
      <c r="L149" s="551"/>
      <c r="M149" s="551"/>
      <c r="N149" s="551"/>
      <c r="O149" s="557"/>
      <c r="P149" s="547" t="s">
        <v>71</v>
      </c>
      <c r="Q149" s="548"/>
      <c r="R149" s="548"/>
      <c r="S149" s="548"/>
      <c r="T149" s="548"/>
      <c r="U149" s="548"/>
      <c r="V149" s="54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55" t="s">
        <v>73</v>
      </c>
      <c r="B150" s="551"/>
      <c r="C150" s="551"/>
      <c r="D150" s="551"/>
      <c r="E150" s="551"/>
      <c r="F150" s="551"/>
      <c r="G150" s="551"/>
      <c r="H150" s="551"/>
      <c r="I150" s="551"/>
      <c r="J150" s="551"/>
      <c r="K150" s="551"/>
      <c r="L150" s="551"/>
      <c r="M150" s="551"/>
      <c r="N150" s="551"/>
      <c r="O150" s="551"/>
      <c r="P150" s="551"/>
      <c r="Q150" s="551"/>
      <c r="R150" s="551"/>
      <c r="S150" s="551"/>
      <c r="T150" s="551"/>
      <c r="U150" s="551"/>
      <c r="V150" s="551"/>
      <c r="W150" s="551"/>
      <c r="X150" s="551"/>
      <c r="Y150" s="551"/>
      <c r="Z150" s="551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59">
        <v>4680115887459</v>
      </c>
      <c r="E151" s="560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6" t="s">
        <v>249</v>
      </c>
      <c r="Q151" s="553"/>
      <c r="R151" s="553"/>
      <c r="S151" s="553"/>
      <c r="T151" s="554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6"/>
      <c r="B152" s="551"/>
      <c r="C152" s="551"/>
      <c r="D152" s="551"/>
      <c r="E152" s="551"/>
      <c r="F152" s="551"/>
      <c r="G152" s="551"/>
      <c r="H152" s="551"/>
      <c r="I152" s="551"/>
      <c r="J152" s="551"/>
      <c r="K152" s="551"/>
      <c r="L152" s="551"/>
      <c r="M152" s="551"/>
      <c r="N152" s="551"/>
      <c r="O152" s="557"/>
      <c r="P152" s="547" t="s">
        <v>71</v>
      </c>
      <c r="Q152" s="548"/>
      <c r="R152" s="548"/>
      <c r="S152" s="548"/>
      <c r="T152" s="548"/>
      <c r="U152" s="548"/>
      <c r="V152" s="54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1"/>
      <c r="B153" s="551"/>
      <c r="C153" s="551"/>
      <c r="D153" s="551"/>
      <c r="E153" s="551"/>
      <c r="F153" s="551"/>
      <c r="G153" s="551"/>
      <c r="H153" s="551"/>
      <c r="I153" s="551"/>
      <c r="J153" s="551"/>
      <c r="K153" s="551"/>
      <c r="L153" s="551"/>
      <c r="M153" s="551"/>
      <c r="N153" s="551"/>
      <c r="O153" s="557"/>
      <c r="P153" s="547" t="s">
        <v>71</v>
      </c>
      <c r="Q153" s="548"/>
      <c r="R153" s="548"/>
      <c r="S153" s="548"/>
      <c r="T153" s="548"/>
      <c r="U153" s="548"/>
      <c r="V153" s="54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5" t="s">
        <v>251</v>
      </c>
      <c r="B154" s="636"/>
      <c r="C154" s="636"/>
      <c r="D154" s="636"/>
      <c r="E154" s="636"/>
      <c r="F154" s="636"/>
      <c r="G154" s="636"/>
      <c r="H154" s="636"/>
      <c r="I154" s="636"/>
      <c r="J154" s="636"/>
      <c r="K154" s="636"/>
      <c r="L154" s="636"/>
      <c r="M154" s="636"/>
      <c r="N154" s="636"/>
      <c r="O154" s="636"/>
      <c r="P154" s="636"/>
      <c r="Q154" s="636"/>
      <c r="R154" s="636"/>
      <c r="S154" s="636"/>
      <c r="T154" s="636"/>
      <c r="U154" s="636"/>
      <c r="V154" s="636"/>
      <c r="W154" s="636"/>
      <c r="X154" s="636"/>
      <c r="Y154" s="636"/>
      <c r="Z154" s="636"/>
      <c r="AA154" s="48"/>
      <c r="AB154" s="48"/>
      <c r="AC154" s="48"/>
    </row>
    <row r="155" spans="1:68" ht="16.5" hidden="1" customHeight="1" x14ac:dyDescent="0.25">
      <c r="A155" s="550" t="s">
        <v>252</v>
      </c>
      <c r="B155" s="551"/>
      <c r="C155" s="551"/>
      <c r="D155" s="551"/>
      <c r="E155" s="551"/>
      <c r="F155" s="551"/>
      <c r="G155" s="551"/>
      <c r="H155" s="551"/>
      <c r="I155" s="551"/>
      <c r="J155" s="551"/>
      <c r="K155" s="551"/>
      <c r="L155" s="551"/>
      <c r="M155" s="551"/>
      <c r="N155" s="551"/>
      <c r="O155" s="551"/>
      <c r="P155" s="551"/>
      <c r="Q155" s="551"/>
      <c r="R155" s="551"/>
      <c r="S155" s="551"/>
      <c r="T155" s="551"/>
      <c r="U155" s="551"/>
      <c r="V155" s="551"/>
      <c r="W155" s="551"/>
      <c r="X155" s="551"/>
      <c r="Y155" s="551"/>
      <c r="Z155" s="551"/>
      <c r="AA155" s="536"/>
      <c r="AB155" s="536"/>
      <c r="AC155" s="536"/>
    </row>
    <row r="156" spans="1:68" ht="14.25" hidden="1" customHeight="1" x14ac:dyDescent="0.25">
      <c r="A156" s="555" t="s">
        <v>136</v>
      </c>
      <c r="B156" s="551"/>
      <c r="C156" s="551"/>
      <c r="D156" s="551"/>
      <c r="E156" s="551"/>
      <c r="F156" s="551"/>
      <c r="G156" s="551"/>
      <c r="H156" s="551"/>
      <c r="I156" s="551"/>
      <c r="J156" s="551"/>
      <c r="K156" s="551"/>
      <c r="L156" s="551"/>
      <c r="M156" s="551"/>
      <c r="N156" s="551"/>
      <c r="O156" s="551"/>
      <c r="P156" s="551"/>
      <c r="Q156" s="551"/>
      <c r="R156" s="551"/>
      <c r="S156" s="551"/>
      <c r="T156" s="551"/>
      <c r="U156" s="551"/>
      <c r="V156" s="551"/>
      <c r="W156" s="551"/>
      <c r="X156" s="551"/>
      <c r="Y156" s="551"/>
      <c r="Z156" s="551"/>
      <c r="AA156" s="537"/>
      <c r="AB156" s="537"/>
      <c r="AC156" s="537"/>
    </row>
    <row r="157" spans="1:68" ht="27" hidden="1" customHeight="1" x14ac:dyDescent="0.25">
      <c r="A157" s="54" t="s">
        <v>253</v>
      </c>
      <c r="B157" s="54" t="s">
        <v>254</v>
      </c>
      <c r="C157" s="31">
        <v>4301020323</v>
      </c>
      <c r="D157" s="559">
        <v>4680115886223</v>
      </c>
      <c r="E157" s="560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53"/>
      <c r="R157" s="553"/>
      <c r="S157" s="553"/>
      <c r="T157" s="554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6"/>
      <c r="B158" s="551"/>
      <c r="C158" s="551"/>
      <c r="D158" s="551"/>
      <c r="E158" s="551"/>
      <c r="F158" s="551"/>
      <c r="G158" s="551"/>
      <c r="H158" s="551"/>
      <c r="I158" s="551"/>
      <c r="J158" s="551"/>
      <c r="K158" s="551"/>
      <c r="L158" s="551"/>
      <c r="M158" s="551"/>
      <c r="N158" s="551"/>
      <c r="O158" s="557"/>
      <c r="P158" s="547" t="s">
        <v>71</v>
      </c>
      <c r="Q158" s="548"/>
      <c r="R158" s="548"/>
      <c r="S158" s="548"/>
      <c r="T158" s="548"/>
      <c r="U158" s="548"/>
      <c r="V158" s="54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1"/>
      <c r="B159" s="551"/>
      <c r="C159" s="551"/>
      <c r="D159" s="551"/>
      <c r="E159" s="551"/>
      <c r="F159" s="551"/>
      <c r="G159" s="551"/>
      <c r="H159" s="551"/>
      <c r="I159" s="551"/>
      <c r="J159" s="551"/>
      <c r="K159" s="551"/>
      <c r="L159" s="551"/>
      <c r="M159" s="551"/>
      <c r="N159" s="551"/>
      <c r="O159" s="557"/>
      <c r="P159" s="547" t="s">
        <v>71</v>
      </c>
      <c r="Q159" s="548"/>
      <c r="R159" s="548"/>
      <c r="S159" s="548"/>
      <c r="T159" s="548"/>
      <c r="U159" s="548"/>
      <c r="V159" s="54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55" t="s">
        <v>64</v>
      </c>
      <c r="B160" s="551"/>
      <c r="C160" s="551"/>
      <c r="D160" s="551"/>
      <c r="E160" s="551"/>
      <c r="F160" s="551"/>
      <c r="G160" s="551"/>
      <c r="H160" s="551"/>
      <c r="I160" s="551"/>
      <c r="J160" s="551"/>
      <c r="K160" s="551"/>
      <c r="L160" s="551"/>
      <c r="M160" s="551"/>
      <c r="N160" s="551"/>
      <c r="O160" s="551"/>
      <c r="P160" s="551"/>
      <c r="Q160" s="551"/>
      <c r="R160" s="551"/>
      <c r="S160" s="551"/>
      <c r="T160" s="551"/>
      <c r="U160" s="551"/>
      <c r="V160" s="551"/>
      <c r="W160" s="551"/>
      <c r="X160" s="551"/>
      <c r="Y160" s="551"/>
      <c r="Z160" s="551"/>
      <c r="AA160" s="537"/>
      <c r="AB160" s="537"/>
      <c r="AC160" s="537"/>
    </row>
    <row r="161" spans="1:68" ht="27" hidden="1" customHeight="1" x14ac:dyDescent="0.25">
      <c r="A161" s="54" t="s">
        <v>256</v>
      </c>
      <c r="B161" s="54" t="s">
        <v>257</v>
      </c>
      <c r="C161" s="31">
        <v>4301031191</v>
      </c>
      <c r="D161" s="559">
        <v>4680115880993</v>
      </c>
      <c r="E161" s="560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53"/>
      <c r="R161" s="553"/>
      <c r="S161" s="553"/>
      <c r="T161" s="554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259</v>
      </c>
      <c r="B162" s="54" t="s">
        <v>260</v>
      </c>
      <c r="C162" s="31">
        <v>4301031204</v>
      </c>
      <c r="D162" s="559">
        <v>4680115881761</v>
      </c>
      <c r="E162" s="560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53"/>
      <c r="R162" s="553"/>
      <c r="S162" s="553"/>
      <c r="T162" s="554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4301031201</v>
      </c>
      <c r="D163" s="559">
        <v>4680115881563</v>
      </c>
      <c r="E163" s="560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4301031199</v>
      </c>
      <c r="D164" s="559">
        <v>4680115880986</v>
      </c>
      <c r="E164" s="560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53"/>
      <c r="R164" s="553"/>
      <c r="S164" s="553"/>
      <c r="T164" s="554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4301031443</v>
      </c>
      <c r="D165" s="559">
        <v>4680115887213</v>
      </c>
      <c r="E165" s="560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6" t="s">
        <v>270</v>
      </c>
      <c r="Q165" s="553"/>
      <c r="R165" s="553"/>
      <c r="S165" s="553"/>
      <c r="T165" s="554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59">
        <v>4680115881785</v>
      </c>
      <c r="E166" s="560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3"/>
      <c r="R166" s="553"/>
      <c r="S166" s="553"/>
      <c r="T166" s="554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59">
        <v>4680115886537</v>
      </c>
      <c r="E167" s="560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3"/>
      <c r="R167" s="553"/>
      <c r="S167" s="553"/>
      <c r="T167" s="554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59">
        <v>4680115881679</v>
      </c>
      <c r="E168" s="560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3"/>
      <c r="R168" s="553"/>
      <c r="S168" s="553"/>
      <c r="T168" s="554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59">
        <v>4680115880191</v>
      </c>
      <c r="E169" s="560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3"/>
      <c r="R169" s="553"/>
      <c r="S169" s="553"/>
      <c r="T169" s="554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59">
        <v>4680115883963</v>
      </c>
      <c r="E170" s="560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3"/>
      <c r="R170" s="553"/>
      <c r="S170" s="553"/>
      <c r="T170" s="554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6"/>
      <c r="B171" s="551"/>
      <c r="C171" s="551"/>
      <c r="D171" s="551"/>
      <c r="E171" s="551"/>
      <c r="F171" s="551"/>
      <c r="G171" s="551"/>
      <c r="H171" s="551"/>
      <c r="I171" s="551"/>
      <c r="J171" s="551"/>
      <c r="K171" s="551"/>
      <c r="L171" s="551"/>
      <c r="M171" s="551"/>
      <c r="N171" s="551"/>
      <c r="O171" s="557"/>
      <c r="P171" s="547" t="s">
        <v>71</v>
      </c>
      <c r="Q171" s="548"/>
      <c r="R171" s="548"/>
      <c r="S171" s="548"/>
      <c r="T171" s="548"/>
      <c r="U171" s="548"/>
      <c r="V171" s="54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1"/>
      <c r="B172" s="551"/>
      <c r="C172" s="551"/>
      <c r="D172" s="551"/>
      <c r="E172" s="551"/>
      <c r="F172" s="551"/>
      <c r="G172" s="551"/>
      <c r="H172" s="551"/>
      <c r="I172" s="551"/>
      <c r="J172" s="551"/>
      <c r="K172" s="551"/>
      <c r="L172" s="551"/>
      <c r="M172" s="551"/>
      <c r="N172" s="551"/>
      <c r="O172" s="557"/>
      <c r="P172" s="547" t="s">
        <v>71</v>
      </c>
      <c r="Q172" s="548"/>
      <c r="R172" s="548"/>
      <c r="S172" s="548"/>
      <c r="T172" s="548"/>
      <c r="U172" s="548"/>
      <c r="V172" s="549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55" t="s">
        <v>93</v>
      </c>
      <c r="B173" s="551"/>
      <c r="C173" s="551"/>
      <c r="D173" s="551"/>
      <c r="E173" s="551"/>
      <c r="F173" s="551"/>
      <c r="G173" s="551"/>
      <c r="H173" s="551"/>
      <c r="I173" s="551"/>
      <c r="J173" s="551"/>
      <c r="K173" s="551"/>
      <c r="L173" s="551"/>
      <c r="M173" s="551"/>
      <c r="N173" s="551"/>
      <c r="O173" s="551"/>
      <c r="P173" s="551"/>
      <c r="Q173" s="551"/>
      <c r="R173" s="551"/>
      <c r="S173" s="551"/>
      <c r="T173" s="551"/>
      <c r="U173" s="551"/>
      <c r="V173" s="551"/>
      <c r="W173" s="551"/>
      <c r="X173" s="551"/>
      <c r="Y173" s="551"/>
      <c r="Z173" s="551"/>
      <c r="AA173" s="537"/>
      <c r="AB173" s="537"/>
      <c r="AC173" s="537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59">
        <v>4680115886780</v>
      </c>
      <c r="E174" s="560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3"/>
      <c r="R174" s="553"/>
      <c r="S174" s="553"/>
      <c r="T174" s="554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59">
        <v>4680115886742</v>
      </c>
      <c r="E175" s="560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59">
        <v>4680115886766</v>
      </c>
      <c r="E176" s="560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6"/>
      <c r="B177" s="551"/>
      <c r="C177" s="551"/>
      <c r="D177" s="551"/>
      <c r="E177" s="551"/>
      <c r="F177" s="551"/>
      <c r="G177" s="551"/>
      <c r="H177" s="551"/>
      <c r="I177" s="551"/>
      <c r="J177" s="551"/>
      <c r="K177" s="551"/>
      <c r="L177" s="551"/>
      <c r="M177" s="551"/>
      <c r="N177" s="551"/>
      <c r="O177" s="557"/>
      <c r="P177" s="547" t="s">
        <v>71</v>
      </c>
      <c r="Q177" s="548"/>
      <c r="R177" s="548"/>
      <c r="S177" s="548"/>
      <c r="T177" s="548"/>
      <c r="U177" s="548"/>
      <c r="V177" s="54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1"/>
      <c r="B178" s="551"/>
      <c r="C178" s="551"/>
      <c r="D178" s="551"/>
      <c r="E178" s="551"/>
      <c r="F178" s="551"/>
      <c r="G178" s="551"/>
      <c r="H178" s="551"/>
      <c r="I178" s="551"/>
      <c r="J178" s="551"/>
      <c r="K178" s="551"/>
      <c r="L178" s="551"/>
      <c r="M178" s="551"/>
      <c r="N178" s="551"/>
      <c r="O178" s="557"/>
      <c r="P178" s="547" t="s">
        <v>71</v>
      </c>
      <c r="Q178" s="548"/>
      <c r="R178" s="548"/>
      <c r="S178" s="548"/>
      <c r="T178" s="548"/>
      <c r="U178" s="548"/>
      <c r="V178" s="54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5" t="s">
        <v>294</v>
      </c>
      <c r="B179" s="551"/>
      <c r="C179" s="551"/>
      <c r="D179" s="551"/>
      <c r="E179" s="551"/>
      <c r="F179" s="551"/>
      <c r="G179" s="551"/>
      <c r="H179" s="551"/>
      <c r="I179" s="551"/>
      <c r="J179" s="551"/>
      <c r="K179" s="551"/>
      <c r="L179" s="551"/>
      <c r="M179" s="551"/>
      <c r="N179" s="551"/>
      <c r="O179" s="551"/>
      <c r="P179" s="551"/>
      <c r="Q179" s="551"/>
      <c r="R179" s="551"/>
      <c r="S179" s="551"/>
      <c r="T179" s="551"/>
      <c r="U179" s="551"/>
      <c r="V179" s="551"/>
      <c r="W179" s="551"/>
      <c r="X179" s="551"/>
      <c r="Y179" s="551"/>
      <c r="Z179" s="551"/>
      <c r="AA179" s="537"/>
      <c r="AB179" s="537"/>
      <c r="AC179" s="537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59">
        <v>4680115886797</v>
      </c>
      <c r="E180" s="560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3"/>
      <c r="R180" s="553"/>
      <c r="S180" s="553"/>
      <c r="T180" s="554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6"/>
      <c r="B181" s="551"/>
      <c r="C181" s="551"/>
      <c r="D181" s="551"/>
      <c r="E181" s="551"/>
      <c r="F181" s="551"/>
      <c r="G181" s="551"/>
      <c r="H181" s="551"/>
      <c r="I181" s="551"/>
      <c r="J181" s="551"/>
      <c r="K181" s="551"/>
      <c r="L181" s="551"/>
      <c r="M181" s="551"/>
      <c r="N181" s="551"/>
      <c r="O181" s="557"/>
      <c r="P181" s="547" t="s">
        <v>71</v>
      </c>
      <c r="Q181" s="548"/>
      <c r="R181" s="548"/>
      <c r="S181" s="548"/>
      <c r="T181" s="548"/>
      <c r="U181" s="548"/>
      <c r="V181" s="54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1"/>
      <c r="B182" s="551"/>
      <c r="C182" s="551"/>
      <c r="D182" s="551"/>
      <c r="E182" s="551"/>
      <c r="F182" s="551"/>
      <c r="G182" s="551"/>
      <c r="H182" s="551"/>
      <c r="I182" s="551"/>
      <c r="J182" s="551"/>
      <c r="K182" s="551"/>
      <c r="L182" s="551"/>
      <c r="M182" s="551"/>
      <c r="N182" s="551"/>
      <c r="O182" s="557"/>
      <c r="P182" s="547" t="s">
        <v>71</v>
      </c>
      <c r="Q182" s="548"/>
      <c r="R182" s="548"/>
      <c r="S182" s="548"/>
      <c r="T182" s="548"/>
      <c r="U182" s="548"/>
      <c r="V182" s="54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50" t="s">
        <v>297</v>
      </c>
      <c r="B183" s="551"/>
      <c r="C183" s="551"/>
      <c r="D183" s="551"/>
      <c r="E183" s="551"/>
      <c r="F183" s="551"/>
      <c r="G183" s="551"/>
      <c r="H183" s="551"/>
      <c r="I183" s="551"/>
      <c r="J183" s="551"/>
      <c r="K183" s="551"/>
      <c r="L183" s="551"/>
      <c r="M183" s="551"/>
      <c r="N183" s="551"/>
      <c r="O183" s="551"/>
      <c r="P183" s="551"/>
      <c r="Q183" s="551"/>
      <c r="R183" s="551"/>
      <c r="S183" s="551"/>
      <c r="T183" s="551"/>
      <c r="U183" s="551"/>
      <c r="V183" s="551"/>
      <c r="W183" s="551"/>
      <c r="X183" s="551"/>
      <c r="Y183" s="551"/>
      <c r="Z183" s="551"/>
      <c r="AA183" s="536"/>
      <c r="AB183" s="536"/>
      <c r="AC183" s="536"/>
    </row>
    <row r="184" spans="1:68" ht="14.25" hidden="1" customHeight="1" x14ac:dyDescent="0.25">
      <c r="A184" s="555" t="s">
        <v>101</v>
      </c>
      <c r="B184" s="551"/>
      <c r="C184" s="551"/>
      <c r="D184" s="551"/>
      <c r="E184" s="551"/>
      <c r="F184" s="551"/>
      <c r="G184" s="551"/>
      <c r="H184" s="551"/>
      <c r="I184" s="551"/>
      <c r="J184" s="551"/>
      <c r="K184" s="551"/>
      <c r="L184" s="551"/>
      <c r="M184" s="551"/>
      <c r="N184" s="551"/>
      <c r="O184" s="551"/>
      <c r="P184" s="551"/>
      <c r="Q184" s="551"/>
      <c r="R184" s="551"/>
      <c r="S184" s="551"/>
      <c r="T184" s="551"/>
      <c r="U184" s="551"/>
      <c r="V184" s="551"/>
      <c r="W184" s="551"/>
      <c r="X184" s="551"/>
      <c r="Y184" s="551"/>
      <c r="Z184" s="551"/>
      <c r="AA184" s="537"/>
      <c r="AB184" s="537"/>
      <c r="AC184" s="537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59">
        <v>4680115881402</v>
      </c>
      <c r="E185" s="560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3"/>
      <c r="R185" s="553"/>
      <c r="S185" s="553"/>
      <c r="T185" s="554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59">
        <v>4680115881396</v>
      </c>
      <c r="E186" s="560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3"/>
      <c r="R186" s="553"/>
      <c r="S186" s="553"/>
      <c r="T186" s="554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6"/>
      <c r="B187" s="551"/>
      <c r="C187" s="551"/>
      <c r="D187" s="551"/>
      <c r="E187" s="551"/>
      <c r="F187" s="551"/>
      <c r="G187" s="551"/>
      <c r="H187" s="551"/>
      <c r="I187" s="551"/>
      <c r="J187" s="551"/>
      <c r="K187" s="551"/>
      <c r="L187" s="551"/>
      <c r="M187" s="551"/>
      <c r="N187" s="551"/>
      <c r="O187" s="557"/>
      <c r="P187" s="547" t="s">
        <v>71</v>
      </c>
      <c r="Q187" s="548"/>
      <c r="R187" s="548"/>
      <c r="S187" s="548"/>
      <c r="T187" s="548"/>
      <c r="U187" s="548"/>
      <c r="V187" s="54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1"/>
      <c r="B188" s="551"/>
      <c r="C188" s="551"/>
      <c r="D188" s="551"/>
      <c r="E188" s="551"/>
      <c r="F188" s="551"/>
      <c r="G188" s="551"/>
      <c r="H188" s="551"/>
      <c r="I188" s="551"/>
      <c r="J188" s="551"/>
      <c r="K188" s="551"/>
      <c r="L188" s="551"/>
      <c r="M188" s="551"/>
      <c r="N188" s="551"/>
      <c r="O188" s="557"/>
      <c r="P188" s="547" t="s">
        <v>71</v>
      </c>
      <c r="Q188" s="548"/>
      <c r="R188" s="548"/>
      <c r="S188" s="548"/>
      <c r="T188" s="548"/>
      <c r="U188" s="548"/>
      <c r="V188" s="54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5" t="s">
        <v>136</v>
      </c>
      <c r="B189" s="551"/>
      <c r="C189" s="551"/>
      <c r="D189" s="551"/>
      <c r="E189" s="551"/>
      <c r="F189" s="551"/>
      <c r="G189" s="551"/>
      <c r="H189" s="551"/>
      <c r="I189" s="551"/>
      <c r="J189" s="551"/>
      <c r="K189" s="551"/>
      <c r="L189" s="551"/>
      <c r="M189" s="551"/>
      <c r="N189" s="551"/>
      <c r="O189" s="551"/>
      <c r="P189" s="551"/>
      <c r="Q189" s="551"/>
      <c r="R189" s="551"/>
      <c r="S189" s="551"/>
      <c r="T189" s="551"/>
      <c r="U189" s="551"/>
      <c r="V189" s="551"/>
      <c r="W189" s="551"/>
      <c r="X189" s="551"/>
      <c r="Y189" s="551"/>
      <c r="Z189" s="551"/>
      <c r="AA189" s="537"/>
      <c r="AB189" s="537"/>
      <c r="AC189" s="537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59">
        <v>4680115882935</v>
      </c>
      <c r="E190" s="560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80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3"/>
      <c r="R190" s="553"/>
      <c r="S190" s="553"/>
      <c r="T190" s="554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59">
        <v>4680115880764</v>
      </c>
      <c r="E191" s="560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3"/>
      <c r="R191" s="553"/>
      <c r="S191" s="553"/>
      <c r="T191" s="554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6"/>
      <c r="B192" s="551"/>
      <c r="C192" s="551"/>
      <c r="D192" s="551"/>
      <c r="E192" s="551"/>
      <c r="F192" s="551"/>
      <c r="G192" s="551"/>
      <c r="H192" s="551"/>
      <c r="I192" s="551"/>
      <c r="J192" s="551"/>
      <c r="K192" s="551"/>
      <c r="L192" s="551"/>
      <c r="M192" s="551"/>
      <c r="N192" s="551"/>
      <c r="O192" s="557"/>
      <c r="P192" s="547" t="s">
        <v>71</v>
      </c>
      <c r="Q192" s="548"/>
      <c r="R192" s="548"/>
      <c r="S192" s="548"/>
      <c r="T192" s="548"/>
      <c r="U192" s="548"/>
      <c r="V192" s="54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1"/>
      <c r="B193" s="551"/>
      <c r="C193" s="551"/>
      <c r="D193" s="551"/>
      <c r="E193" s="551"/>
      <c r="F193" s="551"/>
      <c r="G193" s="551"/>
      <c r="H193" s="551"/>
      <c r="I193" s="551"/>
      <c r="J193" s="551"/>
      <c r="K193" s="551"/>
      <c r="L193" s="551"/>
      <c r="M193" s="551"/>
      <c r="N193" s="551"/>
      <c r="O193" s="557"/>
      <c r="P193" s="547" t="s">
        <v>71</v>
      </c>
      <c r="Q193" s="548"/>
      <c r="R193" s="548"/>
      <c r="S193" s="548"/>
      <c r="T193" s="548"/>
      <c r="U193" s="548"/>
      <c r="V193" s="54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5" t="s">
        <v>64</v>
      </c>
      <c r="B194" s="551"/>
      <c r="C194" s="551"/>
      <c r="D194" s="551"/>
      <c r="E194" s="551"/>
      <c r="F194" s="551"/>
      <c r="G194" s="551"/>
      <c r="H194" s="551"/>
      <c r="I194" s="551"/>
      <c r="J194" s="551"/>
      <c r="K194" s="551"/>
      <c r="L194" s="551"/>
      <c r="M194" s="551"/>
      <c r="N194" s="551"/>
      <c r="O194" s="551"/>
      <c r="P194" s="551"/>
      <c r="Q194" s="551"/>
      <c r="R194" s="551"/>
      <c r="S194" s="551"/>
      <c r="T194" s="551"/>
      <c r="U194" s="551"/>
      <c r="V194" s="551"/>
      <c r="W194" s="551"/>
      <c r="X194" s="551"/>
      <c r="Y194" s="551"/>
      <c r="Z194" s="551"/>
      <c r="AA194" s="537"/>
      <c r="AB194" s="537"/>
      <c r="AC194" s="537"/>
    </row>
    <row r="195" spans="1:68" ht="27" hidden="1" customHeight="1" x14ac:dyDescent="0.25">
      <c r="A195" s="54" t="s">
        <v>308</v>
      </c>
      <c r="B195" s="54" t="s">
        <v>309</v>
      </c>
      <c r="C195" s="31">
        <v>4301031224</v>
      </c>
      <c r="D195" s="559">
        <v>4680115882683</v>
      </c>
      <c r="E195" s="560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3"/>
      <c r="R195" s="553"/>
      <c r="S195" s="553"/>
      <c r="T195" s="554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59">
        <v>4680115882690</v>
      </c>
      <c r="E196" s="560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4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59">
        <v>4680115882669</v>
      </c>
      <c r="E197" s="560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317</v>
      </c>
      <c r="B198" s="54" t="s">
        <v>318</v>
      </c>
      <c r="C198" s="31">
        <v>4301031221</v>
      </c>
      <c r="D198" s="559">
        <v>4680115882676</v>
      </c>
      <c r="E198" s="560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59">
        <v>4680115884014</v>
      </c>
      <c r="E199" s="560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3"/>
      <c r="R199" s="553"/>
      <c r="S199" s="553"/>
      <c r="T199" s="554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59">
        <v>4680115884007</v>
      </c>
      <c r="E200" s="560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59">
        <v>4680115884038</v>
      </c>
      <c r="E201" s="560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59">
        <v>4680115884021</v>
      </c>
      <c r="E202" s="560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5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6"/>
      <c r="B203" s="551"/>
      <c r="C203" s="551"/>
      <c r="D203" s="551"/>
      <c r="E203" s="551"/>
      <c r="F203" s="551"/>
      <c r="G203" s="551"/>
      <c r="H203" s="551"/>
      <c r="I203" s="551"/>
      <c r="J203" s="551"/>
      <c r="K203" s="551"/>
      <c r="L203" s="551"/>
      <c r="M203" s="551"/>
      <c r="N203" s="551"/>
      <c r="O203" s="557"/>
      <c r="P203" s="547" t="s">
        <v>71</v>
      </c>
      <c r="Q203" s="548"/>
      <c r="R203" s="548"/>
      <c r="S203" s="548"/>
      <c r="T203" s="548"/>
      <c r="U203" s="548"/>
      <c r="V203" s="54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hidden="1" x14ac:dyDescent="0.2">
      <c r="A204" s="551"/>
      <c r="B204" s="551"/>
      <c r="C204" s="551"/>
      <c r="D204" s="551"/>
      <c r="E204" s="551"/>
      <c r="F204" s="551"/>
      <c r="G204" s="551"/>
      <c r="H204" s="551"/>
      <c r="I204" s="551"/>
      <c r="J204" s="551"/>
      <c r="K204" s="551"/>
      <c r="L204" s="551"/>
      <c r="M204" s="551"/>
      <c r="N204" s="551"/>
      <c r="O204" s="557"/>
      <c r="P204" s="547" t="s">
        <v>71</v>
      </c>
      <c r="Q204" s="548"/>
      <c r="R204" s="548"/>
      <c r="S204" s="548"/>
      <c r="T204" s="548"/>
      <c r="U204" s="548"/>
      <c r="V204" s="549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hidden="1" customHeight="1" x14ac:dyDescent="0.25">
      <c r="A205" s="555" t="s">
        <v>73</v>
      </c>
      <c r="B205" s="551"/>
      <c r="C205" s="551"/>
      <c r="D205" s="551"/>
      <c r="E205" s="551"/>
      <c r="F205" s="551"/>
      <c r="G205" s="551"/>
      <c r="H205" s="551"/>
      <c r="I205" s="551"/>
      <c r="J205" s="551"/>
      <c r="K205" s="551"/>
      <c r="L205" s="551"/>
      <c r="M205" s="551"/>
      <c r="N205" s="551"/>
      <c r="O205" s="551"/>
      <c r="P205" s="551"/>
      <c r="Q205" s="551"/>
      <c r="R205" s="551"/>
      <c r="S205" s="551"/>
      <c r="T205" s="551"/>
      <c r="U205" s="551"/>
      <c r="V205" s="551"/>
      <c r="W205" s="551"/>
      <c r="X205" s="551"/>
      <c r="Y205" s="551"/>
      <c r="Z205" s="551"/>
      <c r="AA205" s="537"/>
      <c r="AB205" s="537"/>
      <c r="AC205" s="537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59">
        <v>4680115881594</v>
      </c>
      <c r="E206" s="560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3"/>
      <c r="R206" s="553"/>
      <c r="S206" s="553"/>
      <c r="T206" s="554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59">
        <v>4680115881617</v>
      </c>
      <c r="E207" s="560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3"/>
      <c r="R207" s="553"/>
      <c r="S207" s="553"/>
      <c r="T207" s="554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59">
        <v>4680115880573</v>
      </c>
      <c r="E208" s="560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3"/>
      <c r="R208" s="553"/>
      <c r="S208" s="553"/>
      <c r="T208" s="554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59">
        <v>4680115882195</v>
      </c>
      <c r="E209" s="560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3"/>
      <c r="R209" s="553"/>
      <c r="S209" s="553"/>
      <c r="T209" s="554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59">
        <v>4680115882607</v>
      </c>
      <c r="E210" s="560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9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3"/>
      <c r="R210" s="553"/>
      <c r="S210" s="553"/>
      <c r="T210" s="554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59">
        <v>4680115880092</v>
      </c>
      <c r="E211" s="560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2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3"/>
      <c r="R211" s="553"/>
      <c r="S211" s="553"/>
      <c r="T211" s="554"/>
      <c r="U211" s="34"/>
      <c r="V211" s="34"/>
      <c r="W211" s="35" t="s">
        <v>69</v>
      </c>
      <c r="X211" s="541">
        <v>160</v>
      </c>
      <c r="Y211" s="542">
        <f t="shared" si="15"/>
        <v>160.79999999999998</v>
      </c>
      <c r="Z211" s="36">
        <f t="shared" si="20"/>
        <v>0.43617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176.80000000000004</v>
      </c>
      <c r="BN211" s="64">
        <f t="shared" si="17"/>
        <v>177.684</v>
      </c>
      <c r="BO211" s="64">
        <f t="shared" si="18"/>
        <v>0.36630036630036633</v>
      </c>
      <c r="BP211" s="64">
        <f t="shared" si="19"/>
        <v>0.36813186813186816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59">
        <v>4680115880221</v>
      </c>
      <c r="E212" s="560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69</v>
      </c>
      <c r="X212" s="541">
        <v>140</v>
      </c>
      <c r="Y212" s="542">
        <f t="shared" si="15"/>
        <v>141.6</v>
      </c>
      <c r="Z212" s="36">
        <f t="shared" si="20"/>
        <v>0.38408999999999999</v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154.70000000000002</v>
      </c>
      <c r="BN212" s="64">
        <f t="shared" si="17"/>
        <v>156.46800000000002</v>
      </c>
      <c r="BO212" s="64">
        <f t="shared" si="18"/>
        <v>0.32051282051282054</v>
      </c>
      <c r="BP212" s="64">
        <f t="shared" si="19"/>
        <v>0.32417582417582419</v>
      </c>
    </row>
    <row r="213" spans="1:68" ht="27" hidden="1" customHeight="1" x14ac:dyDescent="0.25">
      <c r="A213" s="54" t="s">
        <v>345</v>
      </c>
      <c r="B213" s="54" t="s">
        <v>346</v>
      </c>
      <c r="C213" s="31">
        <v>4301051945</v>
      </c>
      <c r="D213" s="559">
        <v>4680115880504</v>
      </c>
      <c r="E213" s="560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3"/>
      <c r="R213" s="553"/>
      <c r="S213" s="553"/>
      <c r="T213" s="554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4301051410</v>
      </c>
      <c r="D214" s="559">
        <v>4680115882164</v>
      </c>
      <c r="E214" s="560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3"/>
      <c r="R214" s="553"/>
      <c r="S214" s="553"/>
      <c r="T214" s="554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6"/>
      <c r="B215" s="551"/>
      <c r="C215" s="551"/>
      <c r="D215" s="551"/>
      <c r="E215" s="551"/>
      <c r="F215" s="551"/>
      <c r="G215" s="551"/>
      <c r="H215" s="551"/>
      <c r="I215" s="551"/>
      <c r="J215" s="551"/>
      <c r="K215" s="551"/>
      <c r="L215" s="551"/>
      <c r="M215" s="551"/>
      <c r="N215" s="551"/>
      <c r="O215" s="557"/>
      <c r="P215" s="547" t="s">
        <v>71</v>
      </c>
      <c r="Q215" s="548"/>
      <c r="R215" s="548"/>
      <c r="S215" s="548"/>
      <c r="T215" s="548"/>
      <c r="U215" s="548"/>
      <c r="V215" s="54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125</v>
      </c>
      <c r="Y215" s="543">
        <f>IFERROR(Y206/H206,"0")+IFERROR(Y207/H207,"0")+IFERROR(Y208/H208,"0")+IFERROR(Y209/H209,"0")+IFERROR(Y210/H210,"0")+IFERROR(Y211/H211,"0")+IFERROR(Y212/H212,"0")+IFERROR(Y213/H213,"0")+IFERROR(Y214/H214,"0")</f>
        <v>126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0.82025999999999999</v>
      </c>
      <c r="AA215" s="544"/>
      <c r="AB215" s="544"/>
      <c r="AC215" s="544"/>
    </row>
    <row r="216" spans="1:68" x14ac:dyDescent="0.2">
      <c r="A216" s="551"/>
      <c r="B216" s="551"/>
      <c r="C216" s="551"/>
      <c r="D216" s="551"/>
      <c r="E216" s="551"/>
      <c r="F216" s="551"/>
      <c r="G216" s="551"/>
      <c r="H216" s="551"/>
      <c r="I216" s="551"/>
      <c r="J216" s="551"/>
      <c r="K216" s="551"/>
      <c r="L216" s="551"/>
      <c r="M216" s="551"/>
      <c r="N216" s="551"/>
      <c r="O216" s="557"/>
      <c r="P216" s="547" t="s">
        <v>71</v>
      </c>
      <c r="Q216" s="548"/>
      <c r="R216" s="548"/>
      <c r="S216" s="548"/>
      <c r="T216" s="548"/>
      <c r="U216" s="548"/>
      <c r="V216" s="549"/>
      <c r="W216" s="37" t="s">
        <v>69</v>
      </c>
      <c r="X216" s="543">
        <f>IFERROR(SUM(X206:X214),"0")</f>
        <v>300</v>
      </c>
      <c r="Y216" s="543">
        <f>IFERROR(SUM(Y206:Y214),"0")</f>
        <v>302.39999999999998</v>
      </c>
      <c r="Z216" s="37"/>
      <c r="AA216" s="544"/>
      <c r="AB216" s="544"/>
      <c r="AC216" s="544"/>
    </row>
    <row r="217" spans="1:68" ht="14.25" hidden="1" customHeight="1" x14ac:dyDescent="0.25">
      <c r="A217" s="555" t="s">
        <v>164</v>
      </c>
      <c r="B217" s="551"/>
      <c r="C217" s="551"/>
      <c r="D217" s="551"/>
      <c r="E217" s="551"/>
      <c r="F217" s="551"/>
      <c r="G217" s="551"/>
      <c r="H217" s="551"/>
      <c r="I217" s="551"/>
      <c r="J217" s="551"/>
      <c r="K217" s="551"/>
      <c r="L217" s="551"/>
      <c r="M217" s="551"/>
      <c r="N217" s="551"/>
      <c r="O217" s="551"/>
      <c r="P217" s="551"/>
      <c r="Q217" s="551"/>
      <c r="R217" s="551"/>
      <c r="S217" s="551"/>
      <c r="T217" s="551"/>
      <c r="U217" s="551"/>
      <c r="V217" s="551"/>
      <c r="W217" s="551"/>
      <c r="X217" s="551"/>
      <c r="Y217" s="551"/>
      <c r="Z217" s="551"/>
      <c r="AA217" s="537"/>
      <c r="AB217" s="537"/>
      <c r="AC217" s="537"/>
    </row>
    <row r="218" spans="1:68" ht="27" hidden="1" customHeight="1" x14ac:dyDescent="0.25">
      <c r="A218" s="54" t="s">
        <v>350</v>
      </c>
      <c r="B218" s="54" t="s">
        <v>351</v>
      </c>
      <c r="C218" s="31">
        <v>4301060463</v>
      </c>
      <c r="D218" s="559">
        <v>4680115880818</v>
      </c>
      <c r="E218" s="560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3"/>
      <c r="R218" s="553"/>
      <c r="S218" s="553"/>
      <c r="T218" s="554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353</v>
      </c>
      <c r="B219" s="54" t="s">
        <v>354</v>
      </c>
      <c r="C219" s="31">
        <v>4301060389</v>
      </c>
      <c r="D219" s="559">
        <v>4680115880801</v>
      </c>
      <c r="E219" s="560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6"/>
      <c r="B220" s="551"/>
      <c r="C220" s="551"/>
      <c r="D220" s="551"/>
      <c r="E220" s="551"/>
      <c r="F220" s="551"/>
      <c r="G220" s="551"/>
      <c r="H220" s="551"/>
      <c r="I220" s="551"/>
      <c r="J220" s="551"/>
      <c r="K220" s="551"/>
      <c r="L220" s="551"/>
      <c r="M220" s="551"/>
      <c r="N220" s="551"/>
      <c r="O220" s="557"/>
      <c r="P220" s="547" t="s">
        <v>71</v>
      </c>
      <c r="Q220" s="548"/>
      <c r="R220" s="548"/>
      <c r="S220" s="548"/>
      <c r="T220" s="548"/>
      <c r="U220" s="548"/>
      <c r="V220" s="54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1"/>
      <c r="B221" s="551"/>
      <c r="C221" s="551"/>
      <c r="D221" s="551"/>
      <c r="E221" s="551"/>
      <c r="F221" s="551"/>
      <c r="G221" s="551"/>
      <c r="H221" s="551"/>
      <c r="I221" s="551"/>
      <c r="J221" s="551"/>
      <c r="K221" s="551"/>
      <c r="L221" s="551"/>
      <c r="M221" s="551"/>
      <c r="N221" s="551"/>
      <c r="O221" s="557"/>
      <c r="P221" s="547" t="s">
        <v>71</v>
      </c>
      <c r="Q221" s="548"/>
      <c r="R221" s="548"/>
      <c r="S221" s="548"/>
      <c r="T221" s="548"/>
      <c r="U221" s="548"/>
      <c r="V221" s="54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50" t="s">
        <v>356</v>
      </c>
      <c r="B222" s="551"/>
      <c r="C222" s="551"/>
      <c r="D222" s="551"/>
      <c r="E222" s="551"/>
      <c r="F222" s="551"/>
      <c r="G222" s="551"/>
      <c r="H222" s="551"/>
      <c r="I222" s="551"/>
      <c r="J222" s="551"/>
      <c r="K222" s="551"/>
      <c r="L222" s="551"/>
      <c r="M222" s="551"/>
      <c r="N222" s="551"/>
      <c r="O222" s="551"/>
      <c r="P222" s="551"/>
      <c r="Q222" s="551"/>
      <c r="R222" s="551"/>
      <c r="S222" s="551"/>
      <c r="T222" s="551"/>
      <c r="U222" s="551"/>
      <c r="V222" s="551"/>
      <c r="W222" s="551"/>
      <c r="X222" s="551"/>
      <c r="Y222" s="551"/>
      <c r="Z222" s="551"/>
      <c r="AA222" s="536"/>
      <c r="AB222" s="536"/>
      <c r="AC222" s="536"/>
    </row>
    <row r="223" spans="1:68" ht="14.25" hidden="1" customHeight="1" x14ac:dyDescent="0.25">
      <c r="A223" s="555" t="s">
        <v>101</v>
      </c>
      <c r="B223" s="551"/>
      <c r="C223" s="551"/>
      <c r="D223" s="551"/>
      <c r="E223" s="551"/>
      <c r="F223" s="551"/>
      <c r="G223" s="551"/>
      <c r="H223" s="551"/>
      <c r="I223" s="551"/>
      <c r="J223" s="551"/>
      <c r="K223" s="551"/>
      <c r="L223" s="551"/>
      <c r="M223" s="551"/>
      <c r="N223" s="551"/>
      <c r="O223" s="551"/>
      <c r="P223" s="551"/>
      <c r="Q223" s="551"/>
      <c r="R223" s="551"/>
      <c r="S223" s="551"/>
      <c r="T223" s="551"/>
      <c r="U223" s="551"/>
      <c r="V223" s="551"/>
      <c r="W223" s="551"/>
      <c r="X223" s="551"/>
      <c r="Y223" s="551"/>
      <c r="Z223" s="551"/>
      <c r="AA223" s="537"/>
      <c r="AB223" s="537"/>
      <c r="AC223" s="537"/>
    </row>
    <row r="224" spans="1:68" ht="27" hidden="1" customHeight="1" x14ac:dyDescent="0.25">
      <c r="A224" s="54" t="s">
        <v>357</v>
      </c>
      <c r="B224" s="54" t="s">
        <v>358</v>
      </c>
      <c r="C224" s="31">
        <v>4301011826</v>
      </c>
      <c r="D224" s="559">
        <v>4680115884137</v>
      </c>
      <c r="E224" s="560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3"/>
      <c r="R224" s="553"/>
      <c r="S224" s="553"/>
      <c r="T224" s="554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360</v>
      </c>
      <c r="B225" s="54" t="s">
        <v>361</v>
      </c>
      <c r="C225" s="31">
        <v>4301011724</v>
      </c>
      <c r="D225" s="559">
        <v>4680115884236</v>
      </c>
      <c r="E225" s="560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4301011721</v>
      </c>
      <c r="D226" s="559">
        <v>4680115884175</v>
      </c>
      <c r="E226" s="560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59">
        <v>4680115884144</v>
      </c>
      <c r="E227" s="560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3"/>
      <c r="R227" s="553"/>
      <c r="S227" s="553"/>
      <c r="T227" s="554"/>
      <c r="U227" s="34"/>
      <c r="V227" s="34"/>
      <c r="W227" s="35" t="s">
        <v>69</v>
      </c>
      <c r="X227" s="541">
        <v>120</v>
      </c>
      <c r="Y227" s="542">
        <f t="shared" si="21"/>
        <v>120</v>
      </c>
      <c r="Z227" s="36">
        <f>IFERROR(IF(Y227=0,"",ROUNDUP(Y227/H227,0)*0.00902),"")</f>
        <v>0.27060000000000001</v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125.70000000000002</v>
      </c>
      <c r="BN227" s="64">
        <f t="shared" si="23"/>
        <v>125.70000000000002</v>
      </c>
      <c r="BO227" s="64">
        <f t="shared" si="24"/>
        <v>0.22727272727272729</v>
      </c>
      <c r="BP227" s="64">
        <f t="shared" si="25"/>
        <v>0.22727272727272729</v>
      </c>
    </row>
    <row r="228" spans="1:68" ht="27" hidden="1" customHeight="1" x14ac:dyDescent="0.25">
      <c r="A228" s="54" t="s">
        <v>366</v>
      </c>
      <c r="B228" s="54" t="s">
        <v>368</v>
      </c>
      <c r="C228" s="31">
        <v>4301012196</v>
      </c>
      <c r="D228" s="559">
        <v>4680115884144</v>
      </c>
      <c r="E228" s="560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3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3"/>
      <c r="R228" s="553"/>
      <c r="S228" s="553"/>
      <c r="T228" s="554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370</v>
      </c>
      <c r="C229" s="31">
        <v>4301012149</v>
      </c>
      <c r="D229" s="559">
        <v>4680115886551</v>
      </c>
      <c r="E229" s="560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0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4301011726</v>
      </c>
      <c r="D230" s="559">
        <v>4680115884182</v>
      </c>
      <c r="E230" s="560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3"/>
      <c r="R230" s="553"/>
      <c r="S230" s="553"/>
      <c r="T230" s="554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4301012228</v>
      </c>
      <c r="D231" s="559">
        <v>4680115887282</v>
      </c>
      <c r="E231" s="560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3"/>
      <c r="R231" s="553"/>
      <c r="S231" s="553"/>
      <c r="T231" s="554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59">
        <v>4680115884205</v>
      </c>
      <c r="E232" s="560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3"/>
      <c r="R232" s="553"/>
      <c r="S232" s="553"/>
      <c r="T232" s="554"/>
      <c r="U232" s="34"/>
      <c r="V232" s="34"/>
      <c r="W232" s="35" t="s">
        <v>69</v>
      </c>
      <c r="X232" s="541">
        <v>180</v>
      </c>
      <c r="Y232" s="542">
        <f t="shared" si="21"/>
        <v>180</v>
      </c>
      <c r="Z232" s="36">
        <f>IFERROR(IF(Y232=0,"",ROUNDUP(Y232/H232,0)*0.00902),"")</f>
        <v>0.40590000000000004</v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188.55</v>
      </c>
      <c r="BN232" s="64">
        <f t="shared" si="23"/>
        <v>188.55</v>
      </c>
      <c r="BO232" s="64">
        <f t="shared" si="24"/>
        <v>0.34090909090909094</v>
      </c>
      <c r="BP232" s="64">
        <f t="shared" si="25"/>
        <v>0.34090909090909094</v>
      </c>
    </row>
    <row r="233" spans="1:68" ht="27" hidden="1" customHeight="1" x14ac:dyDescent="0.25">
      <c r="A233" s="54" t="s">
        <v>376</v>
      </c>
      <c r="B233" s="54" t="s">
        <v>378</v>
      </c>
      <c r="C233" s="31">
        <v>4301012195</v>
      </c>
      <c r="D233" s="559">
        <v>4680115884205</v>
      </c>
      <c r="E233" s="560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3"/>
      <c r="R233" s="553"/>
      <c r="S233" s="553"/>
      <c r="T233" s="554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6"/>
      <c r="B234" s="551"/>
      <c r="C234" s="551"/>
      <c r="D234" s="551"/>
      <c r="E234" s="551"/>
      <c r="F234" s="551"/>
      <c r="G234" s="551"/>
      <c r="H234" s="551"/>
      <c r="I234" s="551"/>
      <c r="J234" s="551"/>
      <c r="K234" s="551"/>
      <c r="L234" s="551"/>
      <c r="M234" s="551"/>
      <c r="N234" s="551"/>
      <c r="O234" s="557"/>
      <c r="P234" s="547" t="s">
        <v>71</v>
      </c>
      <c r="Q234" s="548"/>
      <c r="R234" s="548"/>
      <c r="S234" s="548"/>
      <c r="T234" s="548"/>
      <c r="U234" s="548"/>
      <c r="V234" s="54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75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75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0.6765000000000001</v>
      </c>
      <c r="AA234" s="544"/>
      <c r="AB234" s="544"/>
      <c r="AC234" s="544"/>
    </row>
    <row r="235" spans="1:68" x14ac:dyDescent="0.2">
      <c r="A235" s="551"/>
      <c r="B235" s="551"/>
      <c r="C235" s="551"/>
      <c r="D235" s="551"/>
      <c r="E235" s="551"/>
      <c r="F235" s="551"/>
      <c r="G235" s="551"/>
      <c r="H235" s="551"/>
      <c r="I235" s="551"/>
      <c r="J235" s="551"/>
      <c r="K235" s="551"/>
      <c r="L235" s="551"/>
      <c r="M235" s="551"/>
      <c r="N235" s="551"/>
      <c r="O235" s="557"/>
      <c r="P235" s="547" t="s">
        <v>71</v>
      </c>
      <c r="Q235" s="548"/>
      <c r="R235" s="548"/>
      <c r="S235" s="548"/>
      <c r="T235" s="548"/>
      <c r="U235" s="548"/>
      <c r="V235" s="549"/>
      <c r="W235" s="37" t="s">
        <v>69</v>
      </c>
      <c r="X235" s="543">
        <f>IFERROR(SUM(X224:X233),"0")</f>
        <v>300</v>
      </c>
      <c r="Y235" s="543">
        <f>IFERROR(SUM(Y224:Y233),"0")</f>
        <v>300</v>
      </c>
      <c r="Z235" s="37"/>
      <c r="AA235" s="544"/>
      <c r="AB235" s="544"/>
      <c r="AC235" s="544"/>
    </row>
    <row r="236" spans="1:68" ht="14.25" hidden="1" customHeight="1" x14ac:dyDescent="0.25">
      <c r="A236" s="555" t="s">
        <v>136</v>
      </c>
      <c r="B236" s="551"/>
      <c r="C236" s="551"/>
      <c r="D236" s="551"/>
      <c r="E236" s="551"/>
      <c r="F236" s="551"/>
      <c r="G236" s="551"/>
      <c r="H236" s="551"/>
      <c r="I236" s="551"/>
      <c r="J236" s="551"/>
      <c r="K236" s="551"/>
      <c r="L236" s="551"/>
      <c r="M236" s="551"/>
      <c r="N236" s="551"/>
      <c r="O236" s="551"/>
      <c r="P236" s="551"/>
      <c r="Q236" s="551"/>
      <c r="R236" s="551"/>
      <c r="S236" s="551"/>
      <c r="T236" s="551"/>
      <c r="U236" s="551"/>
      <c r="V236" s="551"/>
      <c r="W236" s="551"/>
      <c r="X236" s="551"/>
      <c r="Y236" s="551"/>
      <c r="Z236" s="551"/>
      <c r="AA236" s="537"/>
      <c r="AB236" s="537"/>
      <c r="AC236" s="537"/>
    </row>
    <row r="237" spans="1:68" ht="27" hidden="1" customHeight="1" x14ac:dyDescent="0.25">
      <c r="A237" s="54" t="s">
        <v>379</v>
      </c>
      <c r="B237" s="54" t="s">
        <v>380</v>
      </c>
      <c r="C237" s="31">
        <v>4301020377</v>
      </c>
      <c r="D237" s="559">
        <v>4680115885981</v>
      </c>
      <c r="E237" s="560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3"/>
      <c r="R237" s="553"/>
      <c r="S237" s="553"/>
      <c r="T237" s="554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6"/>
      <c r="B238" s="551"/>
      <c r="C238" s="551"/>
      <c r="D238" s="551"/>
      <c r="E238" s="551"/>
      <c r="F238" s="551"/>
      <c r="G238" s="551"/>
      <c r="H238" s="551"/>
      <c r="I238" s="551"/>
      <c r="J238" s="551"/>
      <c r="K238" s="551"/>
      <c r="L238" s="551"/>
      <c r="M238" s="551"/>
      <c r="N238" s="551"/>
      <c r="O238" s="557"/>
      <c r="P238" s="547" t="s">
        <v>71</v>
      </c>
      <c r="Q238" s="548"/>
      <c r="R238" s="548"/>
      <c r="S238" s="548"/>
      <c r="T238" s="548"/>
      <c r="U238" s="548"/>
      <c r="V238" s="54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1"/>
      <c r="B239" s="551"/>
      <c r="C239" s="551"/>
      <c r="D239" s="551"/>
      <c r="E239" s="551"/>
      <c r="F239" s="551"/>
      <c r="G239" s="551"/>
      <c r="H239" s="551"/>
      <c r="I239" s="551"/>
      <c r="J239" s="551"/>
      <c r="K239" s="551"/>
      <c r="L239" s="551"/>
      <c r="M239" s="551"/>
      <c r="N239" s="551"/>
      <c r="O239" s="557"/>
      <c r="P239" s="547" t="s">
        <v>71</v>
      </c>
      <c r="Q239" s="548"/>
      <c r="R239" s="548"/>
      <c r="S239" s="548"/>
      <c r="T239" s="548"/>
      <c r="U239" s="548"/>
      <c r="V239" s="54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5" t="s">
        <v>382</v>
      </c>
      <c r="B240" s="551"/>
      <c r="C240" s="551"/>
      <c r="D240" s="551"/>
      <c r="E240" s="551"/>
      <c r="F240" s="551"/>
      <c r="G240" s="551"/>
      <c r="H240" s="551"/>
      <c r="I240" s="551"/>
      <c r="J240" s="551"/>
      <c r="K240" s="551"/>
      <c r="L240" s="551"/>
      <c r="M240" s="551"/>
      <c r="N240" s="551"/>
      <c r="O240" s="551"/>
      <c r="P240" s="551"/>
      <c r="Q240" s="551"/>
      <c r="R240" s="551"/>
      <c r="S240" s="551"/>
      <c r="T240" s="551"/>
      <c r="U240" s="551"/>
      <c r="V240" s="551"/>
      <c r="W240" s="551"/>
      <c r="X240" s="551"/>
      <c r="Y240" s="551"/>
      <c r="Z240" s="551"/>
      <c r="AA240" s="537"/>
      <c r="AB240" s="537"/>
      <c r="AC240" s="537"/>
    </row>
    <row r="241" spans="1:68" ht="27" hidden="1" customHeight="1" x14ac:dyDescent="0.25">
      <c r="A241" s="54" t="s">
        <v>383</v>
      </c>
      <c r="B241" s="54" t="s">
        <v>384</v>
      </c>
      <c r="C241" s="31">
        <v>4301040362</v>
      </c>
      <c r="D241" s="559">
        <v>4680115886803</v>
      </c>
      <c r="E241" s="560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3"/>
      <c r="R241" s="553"/>
      <c r="S241" s="553"/>
      <c r="T241" s="554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6"/>
      <c r="B242" s="551"/>
      <c r="C242" s="551"/>
      <c r="D242" s="551"/>
      <c r="E242" s="551"/>
      <c r="F242" s="551"/>
      <c r="G242" s="551"/>
      <c r="H242" s="551"/>
      <c r="I242" s="551"/>
      <c r="J242" s="551"/>
      <c r="K242" s="551"/>
      <c r="L242" s="551"/>
      <c r="M242" s="551"/>
      <c r="N242" s="551"/>
      <c r="O242" s="557"/>
      <c r="P242" s="547" t="s">
        <v>71</v>
      </c>
      <c r="Q242" s="548"/>
      <c r="R242" s="548"/>
      <c r="S242" s="548"/>
      <c r="T242" s="548"/>
      <c r="U242" s="548"/>
      <c r="V242" s="54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1"/>
      <c r="B243" s="551"/>
      <c r="C243" s="551"/>
      <c r="D243" s="551"/>
      <c r="E243" s="551"/>
      <c r="F243" s="551"/>
      <c r="G243" s="551"/>
      <c r="H243" s="551"/>
      <c r="I243" s="551"/>
      <c r="J243" s="551"/>
      <c r="K243" s="551"/>
      <c r="L243" s="551"/>
      <c r="M243" s="551"/>
      <c r="N243" s="551"/>
      <c r="O243" s="557"/>
      <c r="P243" s="547" t="s">
        <v>71</v>
      </c>
      <c r="Q243" s="548"/>
      <c r="R243" s="548"/>
      <c r="S243" s="548"/>
      <c r="T243" s="548"/>
      <c r="U243" s="548"/>
      <c r="V243" s="54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5" t="s">
        <v>386</v>
      </c>
      <c r="B244" s="551"/>
      <c r="C244" s="551"/>
      <c r="D244" s="551"/>
      <c r="E244" s="551"/>
      <c r="F244" s="551"/>
      <c r="G244" s="551"/>
      <c r="H244" s="551"/>
      <c r="I244" s="551"/>
      <c r="J244" s="551"/>
      <c r="K244" s="551"/>
      <c r="L244" s="551"/>
      <c r="M244" s="551"/>
      <c r="N244" s="551"/>
      <c r="O244" s="551"/>
      <c r="P244" s="551"/>
      <c r="Q244" s="551"/>
      <c r="R244" s="551"/>
      <c r="S244" s="551"/>
      <c r="T244" s="551"/>
      <c r="U244" s="551"/>
      <c r="V244" s="551"/>
      <c r="W244" s="551"/>
      <c r="X244" s="551"/>
      <c r="Y244" s="551"/>
      <c r="Z244" s="551"/>
      <c r="AA244" s="537"/>
      <c r="AB244" s="537"/>
      <c r="AC244" s="537"/>
    </row>
    <row r="245" spans="1:68" ht="27" hidden="1" customHeight="1" x14ac:dyDescent="0.25">
      <c r="A245" s="54" t="s">
        <v>387</v>
      </c>
      <c r="B245" s="54" t="s">
        <v>388</v>
      </c>
      <c r="C245" s="31">
        <v>4301041004</v>
      </c>
      <c r="D245" s="559">
        <v>4680115886704</v>
      </c>
      <c r="E245" s="560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3"/>
      <c r="R245" s="553"/>
      <c r="S245" s="553"/>
      <c r="T245" s="554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390</v>
      </c>
      <c r="B246" s="54" t="s">
        <v>391</v>
      </c>
      <c r="C246" s="31">
        <v>4301041008</v>
      </c>
      <c r="D246" s="559">
        <v>4680115886681</v>
      </c>
      <c r="E246" s="560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3"/>
      <c r="R246" s="553"/>
      <c r="S246" s="553"/>
      <c r="T246" s="554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4301041007</v>
      </c>
      <c r="D247" s="559">
        <v>4680115886735</v>
      </c>
      <c r="E247" s="560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3"/>
      <c r="R247" s="553"/>
      <c r="S247" s="553"/>
      <c r="T247" s="554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4301041006</v>
      </c>
      <c r="D248" s="559">
        <v>4680115886728</v>
      </c>
      <c r="E248" s="560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4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3"/>
      <c r="R248" s="553"/>
      <c r="S248" s="553"/>
      <c r="T248" s="554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396</v>
      </c>
      <c r="B249" s="54" t="s">
        <v>397</v>
      </c>
      <c r="C249" s="31">
        <v>4301041005</v>
      </c>
      <c r="D249" s="559">
        <v>4680115886711</v>
      </c>
      <c r="E249" s="560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6"/>
      <c r="B250" s="551"/>
      <c r="C250" s="551"/>
      <c r="D250" s="551"/>
      <c r="E250" s="551"/>
      <c r="F250" s="551"/>
      <c r="G250" s="551"/>
      <c r="H250" s="551"/>
      <c r="I250" s="551"/>
      <c r="J250" s="551"/>
      <c r="K250" s="551"/>
      <c r="L250" s="551"/>
      <c r="M250" s="551"/>
      <c r="N250" s="551"/>
      <c r="O250" s="557"/>
      <c r="P250" s="547" t="s">
        <v>71</v>
      </c>
      <c r="Q250" s="548"/>
      <c r="R250" s="548"/>
      <c r="S250" s="548"/>
      <c r="T250" s="548"/>
      <c r="U250" s="548"/>
      <c r="V250" s="54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1"/>
      <c r="B251" s="551"/>
      <c r="C251" s="551"/>
      <c r="D251" s="551"/>
      <c r="E251" s="551"/>
      <c r="F251" s="551"/>
      <c r="G251" s="551"/>
      <c r="H251" s="551"/>
      <c r="I251" s="551"/>
      <c r="J251" s="551"/>
      <c r="K251" s="551"/>
      <c r="L251" s="551"/>
      <c r="M251" s="551"/>
      <c r="N251" s="551"/>
      <c r="O251" s="557"/>
      <c r="P251" s="547" t="s">
        <v>71</v>
      </c>
      <c r="Q251" s="548"/>
      <c r="R251" s="548"/>
      <c r="S251" s="548"/>
      <c r="T251" s="548"/>
      <c r="U251" s="548"/>
      <c r="V251" s="54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50" t="s">
        <v>398</v>
      </c>
      <c r="B252" s="551"/>
      <c r="C252" s="551"/>
      <c r="D252" s="551"/>
      <c r="E252" s="551"/>
      <c r="F252" s="551"/>
      <c r="G252" s="551"/>
      <c r="H252" s="551"/>
      <c r="I252" s="551"/>
      <c r="J252" s="551"/>
      <c r="K252" s="551"/>
      <c r="L252" s="551"/>
      <c r="M252" s="551"/>
      <c r="N252" s="551"/>
      <c r="O252" s="551"/>
      <c r="P252" s="551"/>
      <c r="Q252" s="551"/>
      <c r="R252" s="551"/>
      <c r="S252" s="551"/>
      <c r="T252" s="551"/>
      <c r="U252" s="551"/>
      <c r="V252" s="551"/>
      <c r="W252" s="551"/>
      <c r="X252" s="551"/>
      <c r="Y252" s="551"/>
      <c r="Z252" s="551"/>
      <c r="AA252" s="536"/>
      <c r="AB252" s="536"/>
      <c r="AC252" s="536"/>
    </row>
    <row r="253" spans="1:68" ht="14.25" hidden="1" customHeight="1" x14ac:dyDescent="0.25">
      <c r="A253" s="555" t="s">
        <v>101</v>
      </c>
      <c r="B253" s="551"/>
      <c r="C253" s="551"/>
      <c r="D253" s="551"/>
      <c r="E253" s="551"/>
      <c r="F253" s="551"/>
      <c r="G253" s="551"/>
      <c r="H253" s="551"/>
      <c r="I253" s="551"/>
      <c r="J253" s="551"/>
      <c r="K253" s="551"/>
      <c r="L253" s="551"/>
      <c r="M253" s="551"/>
      <c r="N253" s="551"/>
      <c r="O253" s="551"/>
      <c r="P253" s="551"/>
      <c r="Q253" s="551"/>
      <c r="R253" s="551"/>
      <c r="S253" s="551"/>
      <c r="T253" s="551"/>
      <c r="U253" s="551"/>
      <c r="V253" s="551"/>
      <c r="W253" s="551"/>
      <c r="X253" s="551"/>
      <c r="Y253" s="551"/>
      <c r="Z253" s="551"/>
      <c r="AA253" s="537"/>
      <c r="AB253" s="537"/>
      <c r="AC253" s="537"/>
    </row>
    <row r="254" spans="1:68" ht="27" hidden="1" customHeight="1" x14ac:dyDescent="0.25">
      <c r="A254" s="54" t="s">
        <v>399</v>
      </c>
      <c r="B254" s="54" t="s">
        <v>400</v>
      </c>
      <c r="C254" s="31">
        <v>4301011855</v>
      </c>
      <c r="D254" s="559">
        <v>4680115885837</v>
      </c>
      <c r="E254" s="560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3"/>
      <c r="R254" s="553"/>
      <c r="S254" s="553"/>
      <c r="T254" s="554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402</v>
      </c>
      <c r="B255" s="54" t="s">
        <v>403</v>
      </c>
      <c r="C255" s="31">
        <v>4301011853</v>
      </c>
      <c r="D255" s="559">
        <v>4680115885851</v>
      </c>
      <c r="E255" s="560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405</v>
      </c>
      <c r="B256" s="54" t="s">
        <v>406</v>
      </c>
      <c r="C256" s="31">
        <v>4301011850</v>
      </c>
      <c r="D256" s="559">
        <v>4680115885806</v>
      </c>
      <c r="E256" s="560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4301011852</v>
      </c>
      <c r="D257" s="559">
        <v>4680115885844</v>
      </c>
      <c r="E257" s="560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3"/>
      <c r="R257" s="553"/>
      <c r="S257" s="553"/>
      <c r="T257" s="554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59">
        <v>4680115885820</v>
      </c>
      <c r="E258" s="560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69</v>
      </c>
      <c r="X258" s="541">
        <v>120</v>
      </c>
      <c r="Y258" s="542">
        <f>IFERROR(IF(X258="",0,CEILING((X258/$H258),1)*$H258),"")</f>
        <v>120</v>
      </c>
      <c r="Z258" s="36">
        <f>IFERROR(IF(Y258=0,"",ROUNDUP(Y258/H258,0)*0.00902),"")</f>
        <v>0.27060000000000001</v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125.70000000000002</v>
      </c>
      <c r="BN258" s="64">
        <f>IFERROR(Y258*I258/H258,"0")</f>
        <v>125.70000000000002</v>
      </c>
      <c r="BO258" s="64">
        <f>IFERROR(1/J258*(X258/H258),"0")</f>
        <v>0.22727272727272729</v>
      </c>
      <c r="BP258" s="64">
        <f>IFERROR(1/J258*(Y258/H258),"0")</f>
        <v>0.22727272727272729</v>
      </c>
    </row>
    <row r="259" spans="1:68" x14ac:dyDescent="0.2">
      <c r="A259" s="556"/>
      <c r="B259" s="551"/>
      <c r="C259" s="551"/>
      <c r="D259" s="551"/>
      <c r="E259" s="551"/>
      <c r="F259" s="551"/>
      <c r="G259" s="551"/>
      <c r="H259" s="551"/>
      <c r="I259" s="551"/>
      <c r="J259" s="551"/>
      <c r="K259" s="551"/>
      <c r="L259" s="551"/>
      <c r="M259" s="551"/>
      <c r="N259" s="551"/>
      <c r="O259" s="557"/>
      <c r="P259" s="547" t="s">
        <v>71</v>
      </c>
      <c r="Q259" s="548"/>
      <c r="R259" s="548"/>
      <c r="S259" s="548"/>
      <c r="T259" s="548"/>
      <c r="U259" s="548"/>
      <c r="V259" s="549"/>
      <c r="W259" s="37" t="s">
        <v>72</v>
      </c>
      <c r="X259" s="543">
        <f>IFERROR(X254/H254,"0")+IFERROR(X255/H255,"0")+IFERROR(X256/H256,"0")+IFERROR(X257/H257,"0")+IFERROR(X258/H258,"0")</f>
        <v>30</v>
      </c>
      <c r="Y259" s="543">
        <f>IFERROR(Y254/H254,"0")+IFERROR(Y255/H255,"0")+IFERROR(Y256/H256,"0")+IFERROR(Y257/H257,"0")+IFERROR(Y258/H258,"0")</f>
        <v>30</v>
      </c>
      <c r="Z259" s="543">
        <f>IFERROR(IF(Z254="",0,Z254),"0")+IFERROR(IF(Z255="",0,Z255),"0")+IFERROR(IF(Z256="",0,Z256),"0")+IFERROR(IF(Z257="",0,Z257),"0")+IFERROR(IF(Z258="",0,Z258),"0")</f>
        <v>0.27060000000000001</v>
      </c>
      <c r="AA259" s="544"/>
      <c r="AB259" s="544"/>
      <c r="AC259" s="544"/>
    </row>
    <row r="260" spans="1:68" x14ac:dyDescent="0.2">
      <c r="A260" s="551"/>
      <c r="B260" s="551"/>
      <c r="C260" s="551"/>
      <c r="D260" s="551"/>
      <c r="E260" s="551"/>
      <c r="F260" s="551"/>
      <c r="G260" s="551"/>
      <c r="H260" s="551"/>
      <c r="I260" s="551"/>
      <c r="J260" s="551"/>
      <c r="K260" s="551"/>
      <c r="L260" s="551"/>
      <c r="M260" s="551"/>
      <c r="N260" s="551"/>
      <c r="O260" s="557"/>
      <c r="P260" s="547" t="s">
        <v>71</v>
      </c>
      <c r="Q260" s="548"/>
      <c r="R260" s="548"/>
      <c r="S260" s="548"/>
      <c r="T260" s="548"/>
      <c r="U260" s="548"/>
      <c r="V260" s="549"/>
      <c r="W260" s="37" t="s">
        <v>69</v>
      </c>
      <c r="X260" s="543">
        <f>IFERROR(SUM(X254:X258),"0")</f>
        <v>120</v>
      </c>
      <c r="Y260" s="543">
        <f>IFERROR(SUM(Y254:Y258),"0")</f>
        <v>120</v>
      </c>
      <c r="Z260" s="37"/>
      <c r="AA260" s="544"/>
      <c r="AB260" s="544"/>
      <c r="AC260" s="544"/>
    </row>
    <row r="261" spans="1:68" ht="16.5" hidden="1" customHeight="1" x14ac:dyDescent="0.25">
      <c r="A261" s="550" t="s">
        <v>414</v>
      </c>
      <c r="B261" s="551"/>
      <c r="C261" s="551"/>
      <c r="D261" s="551"/>
      <c r="E261" s="551"/>
      <c r="F261" s="551"/>
      <c r="G261" s="551"/>
      <c r="H261" s="551"/>
      <c r="I261" s="551"/>
      <c r="J261" s="551"/>
      <c r="K261" s="551"/>
      <c r="L261" s="551"/>
      <c r="M261" s="551"/>
      <c r="N261" s="551"/>
      <c r="O261" s="551"/>
      <c r="P261" s="551"/>
      <c r="Q261" s="551"/>
      <c r="R261" s="551"/>
      <c r="S261" s="551"/>
      <c r="T261" s="551"/>
      <c r="U261" s="551"/>
      <c r="V261" s="551"/>
      <c r="W261" s="551"/>
      <c r="X261" s="551"/>
      <c r="Y261" s="551"/>
      <c r="Z261" s="551"/>
      <c r="AA261" s="536"/>
      <c r="AB261" s="536"/>
      <c r="AC261" s="536"/>
    </row>
    <row r="262" spans="1:68" ht="14.25" hidden="1" customHeight="1" x14ac:dyDescent="0.25">
      <c r="A262" s="555" t="s">
        <v>101</v>
      </c>
      <c r="B262" s="551"/>
      <c r="C262" s="551"/>
      <c r="D262" s="551"/>
      <c r="E262" s="551"/>
      <c r="F262" s="551"/>
      <c r="G262" s="551"/>
      <c r="H262" s="551"/>
      <c r="I262" s="551"/>
      <c r="J262" s="551"/>
      <c r="K262" s="551"/>
      <c r="L262" s="551"/>
      <c r="M262" s="551"/>
      <c r="N262" s="551"/>
      <c r="O262" s="551"/>
      <c r="P262" s="551"/>
      <c r="Q262" s="551"/>
      <c r="R262" s="551"/>
      <c r="S262" s="551"/>
      <c r="T262" s="551"/>
      <c r="U262" s="551"/>
      <c r="V262" s="551"/>
      <c r="W262" s="551"/>
      <c r="X262" s="551"/>
      <c r="Y262" s="551"/>
      <c r="Z262" s="551"/>
      <c r="AA262" s="537"/>
      <c r="AB262" s="537"/>
      <c r="AC262" s="537"/>
    </row>
    <row r="263" spans="1:68" ht="27" hidden="1" customHeight="1" x14ac:dyDescent="0.25">
      <c r="A263" s="54" t="s">
        <v>415</v>
      </c>
      <c r="B263" s="54" t="s">
        <v>416</v>
      </c>
      <c r="C263" s="31">
        <v>4301011223</v>
      </c>
      <c r="D263" s="559">
        <v>4607091383423</v>
      </c>
      <c r="E263" s="560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3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3"/>
      <c r="R263" s="553"/>
      <c r="S263" s="553"/>
      <c r="T263" s="554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417</v>
      </c>
      <c r="B264" s="54" t="s">
        <v>418</v>
      </c>
      <c r="C264" s="31">
        <v>4301012199</v>
      </c>
      <c r="D264" s="559">
        <v>4680115886957</v>
      </c>
      <c r="E264" s="560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3"/>
      <c r="R264" s="553"/>
      <c r="S264" s="553"/>
      <c r="T264" s="554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4301012098</v>
      </c>
      <c r="D265" s="559">
        <v>4680115885660</v>
      </c>
      <c r="E265" s="560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1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422</v>
      </c>
      <c r="B266" s="54" t="s">
        <v>423</v>
      </c>
      <c r="C266" s="31">
        <v>4301012176</v>
      </c>
      <c r="D266" s="559">
        <v>4680115886773</v>
      </c>
      <c r="E266" s="560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3"/>
      <c r="R266" s="553"/>
      <c r="S266" s="553"/>
      <c r="T266" s="554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6"/>
      <c r="B267" s="551"/>
      <c r="C267" s="551"/>
      <c r="D267" s="551"/>
      <c r="E267" s="551"/>
      <c r="F267" s="551"/>
      <c r="G267" s="551"/>
      <c r="H267" s="551"/>
      <c r="I267" s="551"/>
      <c r="J267" s="551"/>
      <c r="K267" s="551"/>
      <c r="L267" s="551"/>
      <c r="M267" s="551"/>
      <c r="N267" s="551"/>
      <c r="O267" s="557"/>
      <c r="P267" s="547" t="s">
        <v>71</v>
      </c>
      <c r="Q267" s="548"/>
      <c r="R267" s="548"/>
      <c r="S267" s="548"/>
      <c r="T267" s="548"/>
      <c r="U267" s="548"/>
      <c r="V267" s="54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1"/>
      <c r="B268" s="551"/>
      <c r="C268" s="551"/>
      <c r="D268" s="551"/>
      <c r="E268" s="551"/>
      <c r="F268" s="551"/>
      <c r="G268" s="551"/>
      <c r="H268" s="551"/>
      <c r="I268" s="551"/>
      <c r="J268" s="551"/>
      <c r="K268" s="551"/>
      <c r="L268" s="551"/>
      <c r="M268" s="551"/>
      <c r="N268" s="551"/>
      <c r="O268" s="557"/>
      <c r="P268" s="547" t="s">
        <v>71</v>
      </c>
      <c r="Q268" s="548"/>
      <c r="R268" s="548"/>
      <c r="S268" s="548"/>
      <c r="T268" s="548"/>
      <c r="U268" s="548"/>
      <c r="V268" s="54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50" t="s">
        <v>425</v>
      </c>
      <c r="B269" s="551"/>
      <c r="C269" s="551"/>
      <c r="D269" s="551"/>
      <c r="E269" s="551"/>
      <c r="F269" s="551"/>
      <c r="G269" s="551"/>
      <c r="H269" s="551"/>
      <c r="I269" s="551"/>
      <c r="J269" s="551"/>
      <c r="K269" s="551"/>
      <c r="L269" s="551"/>
      <c r="M269" s="551"/>
      <c r="N269" s="551"/>
      <c r="O269" s="551"/>
      <c r="P269" s="551"/>
      <c r="Q269" s="551"/>
      <c r="R269" s="551"/>
      <c r="S269" s="551"/>
      <c r="T269" s="551"/>
      <c r="U269" s="551"/>
      <c r="V269" s="551"/>
      <c r="W269" s="551"/>
      <c r="X269" s="551"/>
      <c r="Y269" s="551"/>
      <c r="Z269" s="551"/>
      <c r="AA269" s="536"/>
      <c r="AB269" s="536"/>
      <c r="AC269" s="536"/>
    </row>
    <row r="270" spans="1:68" ht="14.25" hidden="1" customHeight="1" x14ac:dyDescent="0.25">
      <c r="A270" s="555" t="s">
        <v>73</v>
      </c>
      <c r="B270" s="551"/>
      <c r="C270" s="551"/>
      <c r="D270" s="551"/>
      <c r="E270" s="551"/>
      <c r="F270" s="551"/>
      <c r="G270" s="551"/>
      <c r="H270" s="551"/>
      <c r="I270" s="551"/>
      <c r="J270" s="551"/>
      <c r="K270" s="551"/>
      <c r="L270" s="551"/>
      <c r="M270" s="551"/>
      <c r="N270" s="551"/>
      <c r="O270" s="551"/>
      <c r="P270" s="551"/>
      <c r="Q270" s="551"/>
      <c r="R270" s="551"/>
      <c r="S270" s="551"/>
      <c r="T270" s="551"/>
      <c r="U270" s="551"/>
      <c r="V270" s="551"/>
      <c r="W270" s="551"/>
      <c r="X270" s="551"/>
      <c r="Y270" s="551"/>
      <c r="Z270" s="551"/>
      <c r="AA270" s="537"/>
      <c r="AB270" s="537"/>
      <c r="AC270" s="537"/>
    </row>
    <row r="271" spans="1:68" ht="27" hidden="1" customHeight="1" x14ac:dyDescent="0.25">
      <c r="A271" s="54" t="s">
        <v>426</v>
      </c>
      <c r="B271" s="54" t="s">
        <v>427</v>
      </c>
      <c r="C271" s="31">
        <v>4301051893</v>
      </c>
      <c r="D271" s="559">
        <v>4680115886186</v>
      </c>
      <c r="E271" s="560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1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3"/>
      <c r="R271" s="553"/>
      <c r="S271" s="553"/>
      <c r="T271" s="554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59">
        <v>4680115881228</v>
      </c>
      <c r="E272" s="560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3"/>
      <c r="R272" s="553"/>
      <c r="S272" s="553"/>
      <c r="T272" s="554"/>
      <c r="U272" s="34"/>
      <c r="V272" s="34"/>
      <c r="W272" s="35" t="s">
        <v>69</v>
      </c>
      <c r="X272" s="541">
        <v>120</v>
      </c>
      <c r="Y272" s="542">
        <f>IFERROR(IF(X272="",0,CEILING((X272/$H272),1)*$H272),"")</f>
        <v>120</v>
      </c>
      <c r="Z272" s="36">
        <f>IFERROR(IF(Y272=0,"",ROUNDUP(Y272/H272,0)*0.00651),"")</f>
        <v>0.32550000000000001</v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132.60000000000002</v>
      </c>
      <c r="BN272" s="64">
        <f>IFERROR(Y272*I272/H272,"0")</f>
        <v>132.60000000000002</v>
      </c>
      <c r="BO272" s="64">
        <f>IFERROR(1/J272*(X272/H272),"0")</f>
        <v>0.27472527472527475</v>
      </c>
      <c r="BP272" s="64">
        <f>IFERROR(1/J272*(Y272/H272),"0")</f>
        <v>0.27472527472527475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59">
        <v>4680115881211</v>
      </c>
      <c r="E273" s="560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59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3"/>
      <c r="R273" s="553"/>
      <c r="S273" s="553"/>
      <c r="T273" s="554"/>
      <c r="U273" s="34"/>
      <c r="V273" s="34"/>
      <c r="W273" s="35" t="s">
        <v>69</v>
      </c>
      <c r="X273" s="541">
        <v>140</v>
      </c>
      <c r="Y273" s="542">
        <f>IFERROR(IF(X273="",0,CEILING((X273/$H273),1)*$H273),"")</f>
        <v>141.6</v>
      </c>
      <c r="Z273" s="36">
        <f>IFERROR(IF(Y273=0,"",ROUNDUP(Y273/H273,0)*0.00651),"")</f>
        <v>0.38408999999999999</v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150.5</v>
      </c>
      <c r="BN273" s="64">
        <f>IFERROR(Y273*I273/H273,"0")</f>
        <v>152.22</v>
      </c>
      <c r="BO273" s="64">
        <f>IFERROR(1/J273*(X273/H273),"0")</f>
        <v>0.32051282051282054</v>
      </c>
      <c r="BP273" s="64">
        <f>IFERROR(1/J273*(Y273/H273),"0")</f>
        <v>0.32417582417582419</v>
      </c>
    </row>
    <row r="274" spans="1:68" x14ac:dyDescent="0.2">
      <c r="A274" s="556"/>
      <c r="B274" s="551"/>
      <c r="C274" s="551"/>
      <c r="D274" s="551"/>
      <c r="E274" s="551"/>
      <c r="F274" s="551"/>
      <c r="G274" s="551"/>
      <c r="H274" s="551"/>
      <c r="I274" s="551"/>
      <c r="J274" s="551"/>
      <c r="K274" s="551"/>
      <c r="L274" s="551"/>
      <c r="M274" s="551"/>
      <c r="N274" s="551"/>
      <c r="O274" s="557"/>
      <c r="P274" s="547" t="s">
        <v>71</v>
      </c>
      <c r="Q274" s="548"/>
      <c r="R274" s="548"/>
      <c r="S274" s="548"/>
      <c r="T274" s="548"/>
      <c r="U274" s="548"/>
      <c r="V274" s="549"/>
      <c r="W274" s="37" t="s">
        <v>72</v>
      </c>
      <c r="X274" s="543">
        <f>IFERROR(X271/H271,"0")+IFERROR(X272/H272,"0")+IFERROR(X273/H273,"0")</f>
        <v>108.33333333333334</v>
      </c>
      <c r="Y274" s="543">
        <f>IFERROR(Y271/H271,"0")+IFERROR(Y272/H272,"0")+IFERROR(Y273/H273,"0")</f>
        <v>109</v>
      </c>
      <c r="Z274" s="543">
        <f>IFERROR(IF(Z271="",0,Z271),"0")+IFERROR(IF(Z272="",0,Z272),"0")+IFERROR(IF(Z273="",0,Z273),"0")</f>
        <v>0.70958999999999994</v>
      </c>
      <c r="AA274" s="544"/>
      <c r="AB274" s="544"/>
      <c r="AC274" s="544"/>
    </row>
    <row r="275" spans="1:68" x14ac:dyDescent="0.2">
      <c r="A275" s="551"/>
      <c r="B275" s="551"/>
      <c r="C275" s="551"/>
      <c r="D275" s="551"/>
      <c r="E275" s="551"/>
      <c r="F275" s="551"/>
      <c r="G275" s="551"/>
      <c r="H275" s="551"/>
      <c r="I275" s="551"/>
      <c r="J275" s="551"/>
      <c r="K275" s="551"/>
      <c r="L275" s="551"/>
      <c r="M275" s="551"/>
      <c r="N275" s="551"/>
      <c r="O275" s="557"/>
      <c r="P275" s="547" t="s">
        <v>71</v>
      </c>
      <c r="Q275" s="548"/>
      <c r="R275" s="548"/>
      <c r="S275" s="548"/>
      <c r="T275" s="548"/>
      <c r="U275" s="548"/>
      <c r="V275" s="549"/>
      <c r="W275" s="37" t="s">
        <v>69</v>
      </c>
      <c r="X275" s="543">
        <f>IFERROR(SUM(X271:X273),"0")</f>
        <v>260</v>
      </c>
      <c r="Y275" s="543">
        <f>IFERROR(SUM(Y271:Y273),"0")</f>
        <v>261.60000000000002</v>
      </c>
      <c r="Z275" s="37"/>
      <c r="AA275" s="544"/>
      <c r="AB275" s="544"/>
      <c r="AC275" s="544"/>
    </row>
    <row r="276" spans="1:68" ht="16.5" hidden="1" customHeight="1" x14ac:dyDescent="0.25">
      <c r="A276" s="550" t="s">
        <v>434</v>
      </c>
      <c r="B276" s="551"/>
      <c r="C276" s="551"/>
      <c r="D276" s="551"/>
      <c r="E276" s="551"/>
      <c r="F276" s="551"/>
      <c r="G276" s="551"/>
      <c r="H276" s="551"/>
      <c r="I276" s="551"/>
      <c r="J276" s="551"/>
      <c r="K276" s="551"/>
      <c r="L276" s="551"/>
      <c r="M276" s="551"/>
      <c r="N276" s="551"/>
      <c r="O276" s="551"/>
      <c r="P276" s="551"/>
      <c r="Q276" s="551"/>
      <c r="R276" s="551"/>
      <c r="S276" s="551"/>
      <c r="T276" s="551"/>
      <c r="U276" s="551"/>
      <c r="V276" s="551"/>
      <c r="W276" s="551"/>
      <c r="X276" s="551"/>
      <c r="Y276" s="551"/>
      <c r="Z276" s="551"/>
      <c r="AA276" s="536"/>
      <c r="AB276" s="536"/>
      <c r="AC276" s="536"/>
    </row>
    <row r="277" spans="1:68" ht="14.25" hidden="1" customHeight="1" x14ac:dyDescent="0.25">
      <c r="A277" s="555" t="s">
        <v>64</v>
      </c>
      <c r="B277" s="551"/>
      <c r="C277" s="551"/>
      <c r="D277" s="551"/>
      <c r="E277" s="551"/>
      <c r="F277" s="551"/>
      <c r="G277" s="551"/>
      <c r="H277" s="551"/>
      <c r="I277" s="551"/>
      <c r="J277" s="551"/>
      <c r="K277" s="551"/>
      <c r="L277" s="551"/>
      <c r="M277" s="551"/>
      <c r="N277" s="551"/>
      <c r="O277" s="551"/>
      <c r="P277" s="551"/>
      <c r="Q277" s="551"/>
      <c r="R277" s="551"/>
      <c r="S277" s="551"/>
      <c r="T277" s="551"/>
      <c r="U277" s="551"/>
      <c r="V277" s="551"/>
      <c r="W277" s="551"/>
      <c r="X277" s="551"/>
      <c r="Y277" s="551"/>
      <c r="Z277" s="551"/>
      <c r="AA277" s="537"/>
      <c r="AB277" s="537"/>
      <c r="AC277" s="537"/>
    </row>
    <row r="278" spans="1:68" ht="27" hidden="1" customHeight="1" x14ac:dyDescent="0.25">
      <c r="A278" s="54" t="s">
        <v>435</v>
      </c>
      <c r="B278" s="54" t="s">
        <v>436</v>
      </c>
      <c r="C278" s="31">
        <v>4301031307</v>
      </c>
      <c r="D278" s="559">
        <v>4680115880344</v>
      </c>
      <c r="E278" s="560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3"/>
      <c r="R278" s="553"/>
      <c r="S278" s="553"/>
      <c r="T278" s="554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438</v>
      </c>
      <c r="B279" s="54" t="s">
        <v>439</v>
      </c>
      <c r="C279" s="31">
        <v>4301031429</v>
      </c>
      <c r="D279" s="559">
        <v>4680115886919</v>
      </c>
      <c r="E279" s="560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3"/>
      <c r="R279" s="553"/>
      <c r="S279" s="553"/>
      <c r="T279" s="554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6"/>
      <c r="B280" s="551"/>
      <c r="C280" s="551"/>
      <c r="D280" s="551"/>
      <c r="E280" s="551"/>
      <c r="F280" s="551"/>
      <c r="G280" s="551"/>
      <c r="H280" s="551"/>
      <c r="I280" s="551"/>
      <c r="J280" s="551"/>
      <c r="K280" s="551"/>
      <c r="L280" s="551"/>
      <c r="M280" s="551"/>
      <c r="N280" s="551"/>
      <c r="O280" s="557"/>
      <c r="P280" s="547" t="s">
        <v>71</v>
      </c>
      <c r="Q280" s="548"/>
      <c r="R280" s="548"/>
      <c r="S280" s="548"/>
      <c r="T280" s="548"/>
      <c r="U280" s="548"/>
      <c r="V280" s="54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1"/>
      <c r="B281" s="551"/>
      <c r="C281" s="551"/>
      <c r="D281" s="551"/>
      <c r="E281" s="551"/>
      <c r="F281" s="551"/>
      <c r="G281" s="551"/>
      <c r="H281" s="551"/>
      <c r="I281" s="551"/>
      <c r="J281" s="551"/>
      <c r="K281" s="551"/>
      <c r="L281" s="551"/>
      <c r="M281" s="551"/>
      <c r="N281" s="551"/>
      <c r="O281" s="557"/>
      <c r="P281" s="547" t="s">
        <v>71</v>
      </c>
      <c r="Q281" s="548"/>
      <c r="R281" s="548"/>
      <c r="S281" s="548"/>
      <c r="T281" s="548"/>
      <c r="U281" s="548"/>
      <c r="V281" s="54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5" t="s">
        <v>73</v>
      </c>
      <c r="B282" s="551"/>
      <c r="C282" s="551"/>
      <c r="D282" s="551"/>
      <c r="E282" s="551"/>
      <c r="F282" s="551"/>
      <c r="G282" s="551"/>
      <c r="H282" s="551"/>
      <c r="I282" s="551"/>
      <c r="J282" s="551"/>
      <c r="K282" s="551"/>
      <c r="L282" s="551"/>
      <c r="M282" s="551"/>
      <c r="N282" s="551"/>
      <c r="O282" s="551"/>
      <c r="P282" s="551"/>
      <c r="Q282" s="551"/>
      <c r="R282" s="551"/>
      <c r="S282" s="551"/>
      <c r="T282" s="551"/>
      <c r="U282" s="551"/>
      <c r="V282" s="551"/>
      <c r="W282" s="551"/>
      <c r="X282" s="551"/>
      <c r="Y282" s="551"/>
      <c r="Z282" s="551"/>
      <c r="AA282" s="537"/>
      <c r="AB282" s="537"/>
      <c r="AC282" s="537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59">
        <v>4680115884618</v>
      </c>
      <c r="E283" s="560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3"/>
      <c r="R283" s="553"/>
      <c r="S283" s="553"/>
      <c r="T283" s="554"/>
      <c r="U283" s="34"/>
      <c r="V283" s="34"/>
      <c r="W283" s="35" t="s">
        <v>69</v>
      </c>
      <c r="X283" s="541">
        <v>210</v>
      </c>
      <c r="Y283" s="542">
        <f>IFERROR(IF(X283="",0,CEILING((X283/$H283),1)*$H283),"")</f>
        <v>212.4</v>
      </c>
      <c r="Z283" s="36">
        <f>IFERROR(IF(Y283=0,"",ROUNDUP(Y283/H283,0)*0.00902),"")</f>
        <v>0.53217999999999999</v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221.08333333333331</v>
      </c>
      <c r="BN283" s="64">
        <f>IFERROR(Y283*I283/H283,"0")</f>
        <v>223.60999999999999</v>
      </c>
      <c r="BO283" s="64">
        <f>IFERROR(1/J283*(X283/H283),"0")</f>
        <v>0.44191919191919188</v>
      </c>
      <c r="BP283" s="64">
        <f>IFERROR(1/J283*(Y283/H283),"0")</f>
        <v>0.44696969696969696</v>
      </c>
    </row>
    <row r="284" spans="1:68" ht="27" hidden="1" customHeight="1" x14ac:dyDescent="0.25">
      <c r="A284" s="54" t="s">
        <v>444</v>
      </c>
      <c r="B284" s="54" t="s">
        <v>445</v>
      </c>
      <c r="C284" s="31">
        <v>4301052057</v>
      </c>
      <c r="D284" s="559">
        <v>4680115887114</v>
      </c>
      <c r="E284" s="560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8" t="s">
        <v>446</v>
      </c>
      <c r="Q284" s="553"/>
      <c r="R284" s="553"/>
      <c r="S284" s="553"/>
      <c r="T284" s="554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6"/>
      <c r="B285" s="551"/>
      <c r="C285" s="551"/>
      <c r="D285" s="551"/>
      <c r="E285" s="551"/>
      <c r="F285" s="551"/>
      <c r="G285" s="551"/>
      <c r="H285" s="551"/>
      <c r="I285" s="551"/>
      <c r="J285" s="551"/>
      <c r="K285" s="551"/>
      <c r="L285" s="551"/>
      <c r="M285" s="551"/>
      <c r="N285" s="551"/>
      <c r="O285" s="557"/>
      <c r="P285" s="547" t="s">
        <v>71</v>
      </c>
      <c r="Q285" s="548"/>
      <c r="R285" s="548"/>
      <c r="S285" s="548"/>
      <c r="T285" s="548"/>
      <c r="U285" s="548"/>
      <c r="V285" s="549"/>
      <c r="W285" s="37" t="s">
        <v>72</v>
      </c>
      <c r="X285" s="543">
        <f>IFERROR(X283/H283,"0")+IFERROR(X284/H284,"0")</f>
        <v>58.333333333333329</v>
      </c>
      <c r="Y285" s="543">
        <f>IFERROR(Y283/H283,"0")+IFERROR(Y284/H284,"0")</f>
        <v>59</v>
      </c>
      <c r="Z285" s="543">
        <f>IFERROR(IF(Z283="",0,Z283),"0")+IFERROR(IF(Z284="",0,Z284),"0")</f>
        <v>0.53217999999999999</v>
      </c>
      <c r="AA285" s="544"/>
      <c r="AB285" s="544"/>
      <c r="AC285" s="544"/>
    </row>
    <row r="286" spans="1:68" x14ac:dyDescent="0.2">
      <c r="A286" s="551"/>
      <c r="B286" s="551"/>
      <c r="C286" s="551"/>
      <c r="D286" s="551"/>
      <c r="E286" s="551"/>
      <c r="F286" s="551"/>
      <c r="G286" s="551"/>
      <c r="H286" s="551"/>
      <c r="I286" s="551"/>
      <c r="J286" s="551"/>
      <c r="K286" s="551"/>
      <c r="L286" s="551"/>
      <c r="M286" s="551"/>
      <c r="N286" s="551"/>
      <c r="O286" s="557"/>
      <c r="P286" s="547" t="s">
        <v>71</v>
      </c>
      <c r="Q286" s="548"/>
      <c r="R286" s="548"/>
      <c r="S286" s="548"/>
      <c r="T286" s="548"/>
      <c r="U286" s="548"/>
      <c r="V286" s="549"/>
      <c r="W286" s="37" t="s">
        <v>69</v>
      </c>
      <c r="X286" s="543">
        <f>IFERROR(SUM(X283:X284),"0")</f>
        <v>210</v>
      </c>
      <c r="Y286" s="543">
        <f>IFERROR(SUM(Y283:Y284),"0")</f>
        <v>212.4</v>
      </c>
      <c r="Z286" s="37"/>
      <c r="AA286" s="544"/>
      <c r="AB286" s="544"/>
      <c r="AC286" s="544"/>
    </row>
    <row r="287" spans="1:68" ht="16.5" hidden="1" customHeight="1" x14ac:dyDescent="0.25">
      <c r="A287" s="550" t="s">
        <v>448</v>
      </c>
      <c r="B287" s="551"/>
      <c r="C287" s="551"/>
      <c r="D287" s="551"/>
      <c r="E287" s="551"/>
      <c r="F287" s="551"/>
      <c r="G287" s="551"/>
      <c r="H287" s="551"/>
      <c r="I287" s="551"/>
      <c r="J287" s="551"/>
      <c r="K287" s="551"/>
      <c r="L287" s="551"/>
      <c r="M287" s="551"/>
      <c r="N287" s="551"/>
      <c r="O287" s="551"/>
      <c r="P287" s="551"/>
      <c r="Q287" s="551"/>
      <c r="R287" s="551"/>
      <c r="S287" s="551"/>
      <c r="T287" s="551"/>
      <c r="U287" s="551"/>
      <c r="V287" s="551"/>
      <c r="W287" s="551"/>
      <c r="X287" s="551"/>
      <c r="Y287" s="551"/>
      <c r="Z287" s="551"/>
      <c r="AA287" s="536"/>
      <c r="AB287" s="536"/>
      <c r="AC287" s="536"/>
    </row>
    <row r="288" spans="1:68" ht="14.25" hidden="1" customHeight="1" x14ac:dyDescent="0.25">
      <c r="A288" s="555" t="s">
        <v>101</v>
      </c>
      <c r="B288" s="551"/>
      <c r="C288" s="551"/>
      <c r="D288" s="551"/>
      <c r="E288" s="551"/>
      <c r="F288" s="551"/>
      <c r="G288" s="551"/>
      <c r="H288" s="551"/>
      <c r="I288" s="551"/>
      <c r="J288" s="551"/>
      <c r="K288" s="551"/>
      <c r="L288" s="551"/>
      <c r="M288" s="551"/>
      <c r="N288" s="551"/>
      <c r="O288" s="551"/>
      <c r="P288" s="551"/>
      <c r="Q288" s="551"/>
      <c r="R288" s="551"/>
      <c r="S288" s="551"/>
      <c r="T288" s="551"/>
      <c r="U288" s="551"/>
      <c r="V288" s="551"/>
      <c r="W288" s="551"/>
      <c r="X288" s="551"/>
      <c r="Y288" s="551"/>
      <c r="Z288" s="551"/>
      <c r="AA288" s="537"/>
      <c r="AB288" s="537"/>
      <c r="AC288" s="537"/>
    </row>
    <row r="289" spans="1:68" ht="27" hidden="1" customHeight="1" x14ac:dyDescent="0.25">
      <c r="A289" s="54" t="s">
        <v>449</v>
      </c>
      <c r="B289" s="54" t="s">
        <v>450</v>
      </c>
      <c r="C289" s="31">
        <v>4301012126</v>
      </c>
      <c r="D289" s="559">
        <v>4607091386004</v>
      </c>
      <c r="E289" s="560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3"/>
      <c r="R289" s="553"/>
      <c r="S289" s="553"/>
      <c r="T289" s="554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4301012024</v>
      </c>
      <c r="D290" s="559">
        <v>4680115885615</v>
      </c>
      <c r="E290" s="560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455</v>
      </c>
      <c r="B291" s="54" t="s">
        <v>456</v>
      </c>
      <c r="C291" s="31">
        <v>4301011858</v>
      </c>
      <c r="D291" s="559">
        <v>4680115885646</v>
      </c>
      <c r="E291" s="560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3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3"/>
      <c r="R291" s="553"/>
      <c r="S291" s="553"/>
      <c r="T291" s="554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4301012016</v>
      </c>
      <c r="D292" s="559">
        <v>4680115885554</v>
      </c>
      <c r="E292" s="560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69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3"/>
      <c r="R292" s="553"/>
      <c r="S292" s="553"/>
      <c r="T292" s="554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461</v>
      </c>
      <c r="B293" s="54" t="s">
        <v>462</v>
      </c>
      <c r="C293" s="31">
        <v>4301011857</v>
      </c>
      <c r="D293" s="559">
        <v>4680115885622</v>
      </c>
      <c r="E293" s="560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3"/>
      <c r="R293" s="553"/>
      <c r="S293" s="553"/>
      <c r="T293" s="554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59">
        <v>4680115885608</v>
      </c>
      <c r="E294" s="560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3"/>
      <c r="R294" s="553"/>
      <c r="S294" s="553"/>
      <c r="T294" s="554"/>
      <c r="U294" s="34"/>
      <c r="V294" s="34"/>
      <c r="W294" s="35" t="s">
        <v>69</v>
      </c>
      <c r="X294" s="541">
        <v>120</v>
      </c>
      <c r="Y294" s="542">
        <f t="shared" si="26"/>
        <v>120</v>
      </c>
      <c r="Z294" s="36">
        <f>IFERROR(IF(Y294=0,"",ROUNDUP(Y294/H294,0)*0.00902),"")</f>
        <v>0.27060000000000001</v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125.70000000000002</v>
      </c>
      <c r="BN294" s="64">
        <f t="shared" si="28"/>
        <v>125.70000000000002</v>
      </c>
      <c r="BO294" s="64">
        <f t="shared" si="29"/>
        <v>0.22727272727272729</v>
      </c>
      <c r="BP294" s="64">
        <f t="shared" si="30"/>
        <v>0.22727272727272729</v>
      </c>
    </row>
    <row r="295" spans="1:68" x14ac:dyDescent="0.2">
      <c r="A295" s="556"/>
      <c r="B295" s="551"/>
      <c r="C295" s="551"/>
      <c r="D295" s="551"/>
      <c r="E295" s="551"/>
      <c r="F295" s="551"/>
      <c r="G295" s="551"/>
      <c r="H295" s="551"/>
      <c r="I295" s="551"/>
      <c r="J295" s="551"/>
      <c r="K295" s="551"/>
      <c r="L295" s="551"/>
      <c r="M295" s="551"/>
      <c r="N295" s="551"/>
      <c r="O295" s="557"/>
      <c r="P295" s="547" t="s">
        <v>71</v>
      </c>
      <c r="Q295" s="548"/>
      <c r="R295" s="548"/>
      <c r="S295" s="548"/>
      <c r="T295" s="548"/>
      <c r="U295" s="548"/>
      <c r="V295" s="549"/>
      <c r="W295" s="37" t="s">
        <v>72</v>
      </c>
      <c r="X295" s="543">
        <f>IFERROR(X289/H289,"0")+IFERROR(X290/H290,"0")+IFERROR(X291/H291,"0")+IFERROR(X292/H292,"0")+IFERROR(X293/H293,"0")+IFERROR(X294/H294,"0")</f>
        <v>30</v>
      </c>
      <c r="Y295" s="543">
        <f>IFERROR(Y289/H289,"0")+IFERROR(Y290/H290,"0")+IFERROR(Y291/H291,"0")+IFERROR(Y292/H292,"0")+IFERROR(Y293/H293,"0")+IFERROR(Y294/H294,"0")</f>
        <v>30</v>
      </c>
      <c r="Z295" s="543">
        <f>IFERROR(IF(Z289="",0,Z289),"0")+IFERROR(IF(Z290="",0,Z290),"0")+IFERROR(IF(Z291="",0,Z291),"0")+IFERROR(IF(Z292="",0,Z292),"0")+IFERROR(IF(Z293="",0,Z293),"0")+IFERROR(IF(Z294="",0,Z294),"0")</f>
        <v>0.27060000000000001</v>
      </c>
      <c r="AA295" s="544"/>
      <c r="AB295" s="544"/>
      <c r="AC295" s="544"/>
    </row>
    <row r="296" spans="1:68" x14ac:dyDescent="0.2">
      <c r="A296" s="551"/>
      <c r="B296" s="551"/>
      <c r="C296" s="551"/>
      <c r="D296" s="551"/>
      <c r="E296" s="551"/>
      <c r="F296" s="551"/>
      <c r="G296" s="551"/>
      <c r="H296" s="551"/>
      <c r="I296" s="551"/>
      <c r="J296" s="551"/>
      <c r="K296" s="551"/>
      <c r="L296" s="551"/>
      <c r="M296" s="551"/>
      <c r="N296" s="551"/>
      <c r="O296" s="557"/>
      <c r="P296" s="547" t="s">
        <v>71</v>
      </c>
      <c r="Q296" s="548"/>
      <c r="R296" s="548"/>
      <c r="S296" s="548"/>
      <c r="T296" s="548"/>
      <c r="U296" s="548"/>
      <c r="V296" s="549"/>
      <c r="W296" s="37" t="s">
        <v>69</v>
      </c>
      <c r="X296" s="543">
        <f>IFERROR(SUM(X289:X294),"0")</f>
        <v>120</v>
      </c>
      <c r="Y296" s="543">
        <f>IFERROR(SUM(Y289:Y294),"0")</f>
        <v>120</v>
      </c>
      <c r="Z296" s="37"/>
      <c r="AA296" s="544"/>
      <c r="AB296" s="544"/>
      <c r="AC296" s="544"/>
    </row>
    <row r="297" spans="1:68" ht="14.25" hidden="1" customHeight="1" x14ac:dyDescent="0.25">
      <c r="A297" s="555" t="s">
        <v>64</v>
      </c>
      <c r="B297" s="551"/>
      <c r="C297" s="551"/>
      <c r="D297" s="551"/>
      <c r="E297" s="551"/>
      <c r="F297" s="551"/>
      <c r="G297" s="551"/>
      <c r="H297" s="551"/>
      <c r="I297" s="551"/>
      <c r="J297" s="551"/>
      <c r="K297" s="551"/>
      <c r="L297" s="551"/>
      <c r="M297" s="551"/>
      <c r="N297" s="551"/>
      <c r="O297" s="551"/>
      <c r="P297" s="551"/>
      <c r="Q297" s="551"/>
      <c r="R297" s="551"/>
      <c r="S297" s="551"/>
      <c r="T297" s="551"/>
      <c r="U297" s="551"/>
      <c r="V297" s="551"/>
      <c r="W297" s="551"/>
      <c r="X297" s="551"/>
      <c r="Y297" s="551"/>
      <c r="Z297" s="551"/>
      <c r="AA297" s="537"/>
      <c r="AB297" s="537"/>
      <c r="AC297" s="537"/>
    </row>
    <row r="298" spans="1:68" ht="27" hidden="1" customHeight="1" x14ac:dyDescent="0.25">
      <c r="A298" s="54" t="s">
        <v>466</v>
      </c>
      <c r="B298" s="54" t="s">
        <v>467</v>
      </c>
      <c r="C298" s="31">
        <v>4301030878</v>
      </c>
      <c r="D298" s="559">
        <v>4607091387193</v>
      </c>
      <c r="E298" s="560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69</v>
      </c>
      <c r="X298" s="541">
        <v>0</v>
      </c>
      <c r="Y298" s="542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4301031153</v>
      </c>
      <c r="D299" s="559">
        <v>4607091387230</v>
      </c>
      <c r="E299" s="560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3"/>
      <c r="R299" s="553"/>
      <c r="S299" s="553"/>
      <c r="T299" s="554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472</v>
      </c>
      <c r="B300" s="54" t="s">
        <v>473</v>
      </c>
      <c r="C300" s="31">
        <v>4301031154</v>
      </c>
      <c r="D300" s="559">
        <v>4607091387292</v>
      </c>
      <c r="E300" s="560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3"/>
      <c r="R300" s="553"/>
      <c r="S300" s="553"/>
      <c r="T300" s="554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475</v>
      </c>
      <c r="B301" s="54" t="s">
        <v>476</v>
      </c>
      <c r="C301" s="31">
        <v>4301031152</v>
      </c>
      <c r="D301" s="559">
        <v>4607091387285</v>
      </c>
      <c r="E301" s="560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3"/>
      <c r="R301" s="553"/>
      <c r="S301" s="553"/>
      <c r="T301" s="554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4301031305</v>
      </c>
      <c r="D302" s="559">
        <v>4607091389845</v>
      </c>
      <c r="E302" s="560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8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3"/>
      <c r="R302" s="553"/>
      <c r="S302" s="553"/>
      <c r="T302" s="554"/>
      <c r="U302" s="34"/>
      <c r="V302" s="34"/>
      <c r="W302" s="35" t="s">
        <v>69</v>
      </c>
      <c r="X302" s="541">
        <v>105</v>
      </c>
      <c r="Y302" s="542">
        <f t="shared" si="31"/>
        <v>105</v>
      </c>
      <c r="Z302" s="36">
        <f>IFERROR(IF(Y302=0,"",ROUNDUP(Y302/H302,0)*0.00502),"")</f>
        <v>0.251</v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110.00000000000001</v>
      </c>
      <c r="BN302" s="64">
        <f t="shared" si="33"/>
        <v>110.00000000000001</v>
      </c>
      <c r="BO302" s="64">
        <f t="shared" si="34"/>
        <v>0.21367521367521369</v>
      </c>
      <c r="BP302" s="64">
        <f t="shared" si="35"/>
        <v>0.21367521367521369</v>
      </c>
    </row>
    <row r="303" spans="1:68" ht="27" hidden="1" customHeight="1" x14ac:dyDescent="0.25">
      <c r="A303" s="54" t="s">
        <v>480</v>
      </c>
      <c r="B303" s="54" t="s">
        <v>481</v>
      </c>
      <c r="C303" s="31">
        <v>4301031306</v>
      </c>
      <c r="D303" s="559">
        <v>4680115882881</v>
      </c>
      <c r="E303" s="560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58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3"/>
      <c r="R303" s="553"/>
      <c r="S303" s="553"/>
      <c r="T303" s="554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482</v>
      </c>
      <c r="B304" s="54" t="s">
        <v>483</v>
      </c>
      <c r="C304" s="31">
        <v>4301031066</v>
      </c>
      <c r="D304" s="559">
        <v>4607091383836</v>
      </c>
      <c r="E304" s="560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3"/>
      <c r="R304" s="553"/>
      <c r="S304" s="553"/>
      <c r="T304" s="554"/>
      <c r="U304" s="34"/>
      <c r="V304" s="34"/>
      <c r="W304" s="35" t="s">
        <v>69</v>
      </c>
      <c r="X304" s="541">
        <v>90</v>
      </c>
      <c r="Y304" s="542">
        <f t="shared" si="31"/>
        <v>90</v>
      </c>
      <c r="Z304" s="36">
        <f>IFERROR(IF(Y304=0,"",ROUNDUP(Y304/H304,0)*0.00651),"")</f>
        <v>0.32550000000000001</v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101.4</v>
      </c>
      <c r="BN304" s="64">
        <f t="shared" si="33"/>
        <v>101.4</v>
      </c>
      <c r="BO304" s="64">
        <f t="shared" si="34"/>
        <v>0.27472527472527475</v>
      </c>
      <c r="BP304" s="64">
        <f t="shared" si="35"/>
        <v>0.27472527472527475</v>
      </c>
    </row>
    <row r="305" spans="1:68" x14ac:dyDescent="0.2">
      <c r="A305" s="556"/>
      <c r="B305" s="551"/>
      <c r="C305" s="551"/>
      <c r="D305" s="551"/>
      <c r="E305" s="551"/>
      <c r="F305" s="551"/>
      <c r="G305" s="551"/>
      <c r="H305" s="551"/>
      <c r="I305" s="551"/>
      <c r="J305" s="551"/>
      <c r="K305" s="551"/>
      <c r="L305" s="551"/>
      <c r="M305" s="551"/>
      <c r="N305" s="551"/>
      <c r="O305" s="557"/>
      <c r="P305" s="547" t="s">
        <v>71</v>
      </c>
      <c r="Q305" s="548"/>
      <c r="R305" s="548"/>
      <c r="S305" s="548"/>
      <c r="T305" s="548"/>
      <c r="U305" s="548"/>
      <c r="V305" s="549"/>
      <c r="W305" s="37" t="s">
        <v>72</v>
      </c>
      <c r="X305" s="543">
        <f>IFERROR(X298/H298,"0")+IFERROR(X299/H299,"0")+IFERROR(X300/H300,"0")+IFERROR(X301/H301,"0")+IFERROR(X302/H302,"0")+IFERROR(X303/H303,"0")+IFERROR(X304/H304,"0")</f>
        <v>100</v>
      </c>
      <c r="Y305" s="543">
        <f>IFERROR(Y298/H298,"0")+IFERROR(Y299/H299,"0")+IFERROR(Y300/H300,"0")+IFERROR(Y301/H301,"0")+IFERROR(Y302/H302,"0")+IFERROR(Y303/H303,"0")+IFERROR(Y304/H304,"0")</f>
        <v>100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0.57650000000000001</v>
      </c>
      <c r="AA305" s="544"/>
      <c r="AB305" s="544"/>
      <c r="AC305" s="544"/>
    </row>
    <row r="306" spans="1:68" x14ac:dyDescent="0.2">
      <c r="A306" s="551"/>
      <c r="B306" s="551"/>
      <c r="C306" s="551"/>
      <c r="D306" s="551"/>
      <c r="E306" s="551"/>
      <c r="F306" s="551"/>
      <c r="G306" s="551"/>
      <c r="H306" s="551"/>
      <c r="I306" s="551"/>
      <c r="J306" s="551"/>
      <c r="K306" s="551"/>
      <c r="L306" s="551"/>
      <c r="M306" s="551"/>
      <c r="N306" s="551"/>
      <c r="O306" s="557"/>
      <c r="P306" s="547" t="s">
        <v>71</v>
      </c>
      <c r="Q306" s="548"/>
      <c r="R306" s="548"/>
      <c r="S306" s="548"/>
      <c r="T306" s="548"/>
      <c r="U306" s="548"/>
      <c r="V306" s="549"/>
      <c r="W306" s="37" t="s">
        <v>69</v>
      </c>
      <c r="X306" s="543">
        <f>IFERROR(SUM(X298:X304),"0")</f>
        <v>195</v>
      </c>
      <c r="Y306" s="543">
        <f>IFERROR(SUM(Y298:Y304),"0")</f>
        <v>195</v>
      </c>
      <c r="Z306" s="37"/>
      <c r="AA306" s="544"/>
      <c r="AB306" s="544"/>
      <c r="AC306" s="544"/>
    </row>
    <row r="307" spans="1:68" ht="14.25" hidden="1" customHeight="1" x14ac:dyDescent="0.25">
      <c r="A307" s="555" t="s">
        <v>73</v>
      </c>
      <c r="B307" s="551"/>
      <c r="C307" s="551"/>
      <c r="D307" s="551"/>
      <c r="E307" s="551"/>
      <c r="F307" s="551"/>
      <c r="G307" s="551"/>
      <c r="H307" s="551"/>
      <c r="I307" s="551"/>
      <c r="J307" s="551"/>
      <c r="K307" s="551"/>
      <c r="L307" s="551"/>
      <c r="M307" s="551"/>
      <c r="N307" s="551"/>
      <c r="O307" s="551"/>
      <c r="P307" s="551"/>
      <c r="Q307" s="551"/>
      <c r="R307" s="551"/>
      <c r="S307" s="551"/>
      <c r="T307" s="551"/>
      <c r="U307" s="551"/>
      <c r="V307" s="551"/>
      <c r="W307" s="551"/>
      <c r="X307" s="551"/>
      <c r="Y307" s="551"/>
      <c r="Z307" s="551"/>
      <c r="AA307" s="537"/>
      <c r="AB307" s="537"/>
      <c r="AC307" s="537"/>
    </row>
    <row r="308" spans="1:68" ht="27" hidden="1" customHeight="1" x14ac:dyDescent="0.25">
      <c r="A308" s="54" t="s">
        <v>485</v>
      </c>
      <c r="B308" s="54" t="s">
        <v>486</v>
      </c>
      <c r="C308" s="31">
        <v>4301051100</v>
      </c>
      <c r="D308" s="559">
        <v>4607091387766</v>
      </c>
      <c r="E308" s="560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3"/>
      <c r="R308" s="553"/>
      <c r="S308" s="553"/>
      <c r="T308" s="554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4301051818</v>
      </c>
      <c r="D309" s="559">
        <v>4607091387957</v>
      </c>
      <c r="E309" s="560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3"/>
      <c r="R309" s="553"/>
      <c r="S309" s="553"/>
      <c r="T309" s="554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4301051819</v>
      </c>
      <c r="D310" s="559">
        <v>4607091387964</v>
      </c>
      <c r="E310" s="560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3"/>
      <c r="R310" s="553"/>
      <c r="S310" s="553"/>
      <c r="T310" s="554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494</v>
      </c>
      <c r="B311" s="54" t="s">
        <v>495</v>
      </c>
      <c r="C311" s="31">
        <v>4301051734</v>
      </c>
      <c r="D311" s="559">
        <v>4680115884588</v>
      </c>
      <c r="E311" s="560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3"/>
      <c r="R311" s="553"/>
      <c r="S311" s="553"/>
      <c r="T311" s="554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6"/>
      <c r="B312" s="551"/>
      <c r="C312" s="551"/>
      <c r="D312" s="551"/>
      <c r="E312" s="551"/>
      <c r="F312" s="551"/>
      <c r="G312" s="551"/>
      <c r="H312" s="551"/>
      <c r="I312" s="551"/>
      <c r="J312" s="551"/>
      <c r="K312" s="551"/>
      <c r="L312" s="551"/>
      <c r="M312" s="551"/>
      <c r="N312" s="551"/>
      <c r="O312" s="557"/>
      <c r="P312" s="547" t="s">
        <v>71</v>
      </c>
      <c r="Q312" s="548"/>
      <c r="R312" s="548"/>
      <c r="S312" s="548"/>
      <c r="T312" s="548"/>
      <c r="U312" s="548"/>
      <c r="V312" s="549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1"/>
      <c r="B313" s="551"/>
      <c r="C313" s="551"/>
      <c r="D313" s="551"/>
      <c r="E313" s="551"/>
      <c r="F313" s="551"/>
      <c r="G313" s="551"/>
      <c r="H313" s="551"/>
      <c r="I313" s="551"/>
      <c r="J313" s="551"/>
      <c r="K313" s="551"/>
      <c r="L313" s="551"/>
      <c r="M313" s="551"/>
      <c r="N313" s="551"/>
      <c r="O313" s="557"/>
      <c r="P313" s="547" t="s">
        <v>71</v>
      </c>
      <c r="Q313" s="548"/>
      <c r="R313" s="548"/>
      <c r="S313" s="548"/>
      <c r="T313" s="548"/>
      <c r="U313" s="548"/>
      <c r="V313" s="549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55" t="s">
        <v>164</v>
      </c>
      <c r="B314" s="551"/>
      <c r="C314" s="551"/>
      <c r="D314" s="551"/>
      <c r="E314" s="551"/>
      <c r="F314" s="551"/>
      <c r="G314" s="551"/>
      <c r="H314" s="551"/>
      <c r="I314" s="551"/>
      <c r="J314" s="551"/>
      <c r="K314" s="551"/>
      <c r="L314" s="551"/>
      <c r="M314" s="551"/>
      <c r="N314" s="551"/>
      <c r="O314" s="551"/>
      <c r="P314" s="551"/>
      <c r="Q314" s="551"/>
      <c r="R314" s="551"/>
      <c r="S314" s="551"/>
      <c r="T314" s="551"/>
      <c r="U314" s="551"/>
      <c r="V314" s="551"/>
      <c r="W314" s="551"/>
      <c r="X314" s="551"/>
      <c r="Y314" s="551"/>
      <c r="Z314" s="551"/>
      <c r="AA314" s="537"/>
      <c r="AB314" s="537"/>
      <c r="AC314" s="537"/>
    </row>
    <row r="315" spans="1:68" ht="27" hidden="1" customHeight="1" x14ac:dyDescent="0.25">
      <c r="A315" s="54" t="s">
        <v>497</v>
      </c>
      <c r="B315" s="54" t="s">
        <v>498</v>
      </c>
      <c r="C315" s="31">
        <v>4301060387</v>
      </c>
      <c r="D315" s="559">
        <v>4607091380880</v>
      </c>
      <c r="E315" s="560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6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3"/>
      <c r="R315" s="553"/>
      <c r="S315" s="553"/>
      <c r="T315" s="554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500</v>
      </c>
      <c r="B316" s="54" t="s">
        <v>501</v>
      </c>
      <c r="C316" s="31">
        <v>4301060406</v>
      </c>
      <c r="D316" s="559">
        <v>4607091384482</v>
      </c>
      <c r="E316" s="560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3"/>
      <c r="R316" s="553"/>
      <c r="S316" s="553"/>
      <c r="T316" s="554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503</v>
      </c>
      <c r="B317" s="54" t="s">
        <v>504</v>
      </c>
      <c r="C317" s="31">
        <v>4301060484</v>
      </c>
      <c r="D317" s="559">
        <v>4607091380897</v>
      </c>
      <c r="E317" s="560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3"/>
      <c r="R317" s="553"/>
      <c r="S317" s="553"/>
      <c r="T317" s="554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56"/>
      <c r="B318" s="551"/>
      <c r="C318" s="551"/>
      <c r="D318" s="551"/>
      <c r="E318" s="551"/>
      <c r="F318" s="551"/>
      <c r="G318" s="551"/>
      <c r="H318" s="551"/>
      <c r="I318" s="551"/>
      <c r="J318" s="551"/>
      <c r="K318" s="551"/>
      <c r="L318" s="551"/>
      <c r="M318" s="551"/>
      <c r="N318" s="551"/>
      <c r="O318" s="557"/>
      <c r="P318" s="547" t="s">
        <v>71</v>
      </c>
      <c r="Q318" s="548"/>
      <c r="R318" s="548"/>
      <c r="S318" s="548"/>
      <c r="T318" s="548"/>
      <c r="U318" s="548"/>
      <c r="V318" s="549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hidden="1" x14ac:dyDescent="0.2">
      <c r="A319" s="551"/>
      <c r="B319" s="551"/>
      <c r="C319" s="551"/>
      <c r="D319" s="551"/>
      <c r="E319" s="551"/>
      <c r="F319" s="551"/>
      <c r="G319" s="551"/>
      <c r="H319" s="551"/>
      <c r="I319" s="551"/>
      <c r="J319" s="551"/>
      <c r="K319" s="551"/>
      <c r="L319" s="551"/>
      <c r="M319" s="551"/>
      <c r="N319" s="551"/>
      <c r="O319" s="557"/>
      <c r="P319" s="547" t="s">
        <v>71</v>
      </c>
      <c r="Q319" s="548"/>
      <c r="R319" s="548"/>
      <c r="S319" s="548"/>
      <c r="T319" s="548"/>
      <c r="U319" s="548"/>
      <c r="V319" s="549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hidden="1" customHeight="1" x14ac:dyDescent="0.25">
      <c r="A320" s="555" t="s">
        <v>93</v>
      </c>
      <c r="B320" s="551"/>
      <c r="C320" s="551"/>
      <c r="D320" s="551"/>
      <c r="E320" s="551"/>
      <c r="F320" s="551"/>
      <c r="G320" s="551"/>
      <c r="H320" s="551"/>
      <c r="I320" s="551"/>
      <c r="J320" s="551"/>
      <c r="K320" s="551"/>
      <c r="L320" s="551"/>
      <c r="M320" s="551"/>
      <c r="N320" s="551"/>
      <c r="O320" s="551"/>
      <c r="P320" s="551"/>
      <c r="Q320" s="551"/>
      <c r="R320" s="551"/>
      <c r="S320" s="551"/>
      <c r="T320" s="551"/>
      <c r="U320" s="551"/>
      <c r="V320" s="551"/>
      <c r="W320" s="551"/>
      <c r="X320" s="551"/>
      <c r="Y320" s="551"/>
      <c r="Z320" s="551"/>
      <c r="AA320" s="537"/>
      <c r="AB320" s="537"/>
      <c r="AC320" s="537"/>
    </row>
    <row r="321" spans="1:68" ht="27" hidden="1" customHeight="1" x14ac:dyDescent="0.25">
      <c r="A321" s="54" t="s">
        <v>506</v>
      </c>
      <c r="B321" s="54" t="s">
        <v>507</v>
      </c>
      <c r="C321" s="31">
        <v>4301030235</v>
      </c>
      <c r="D321" s="559">
        <v>4607091388381</v>
      </c>
      <c r="E321" s="560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3"/>
      <c r="R321" s="553"/>
      <c r="S321" s="553"/>
      <c r="T321" s="554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4301030232</v>
      </c>
      <c r="D322" s="559">
        <v>4607091388374</v>
      </c>
      <c r="E322" s="560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3"/>
      <c r="R322" s="553"/>
      <c r="S322" s="553"/>
      <c r="T322" s="554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59">
        <v>4607091383102</v>
      </c>
      <c r="E323" s="560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3"/>
      <c r="R323" s="553"/>
      <c r="S323" s="553"/>
      <c r="T323" s="554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4301030233</v>
      </c>
      <c r="D324" s="559">
        <v>4607091388404</v>
      </c>
      <c r="E324" s="560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3"/>
      <c r="R324" s="553"/>
      <c r="S324" s="553"/>
      <c r="T324" s="554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6"/>
      <c r="B325" s="551"/>
      <c r="C325" s="551"/>
      <c r="D325" s="551"/>
      <c r="E325" s="551"/>
      <c r="F325" s="551"/>
      <c r="G325" s="551"/>
      <c r="H325" s="551"/>
      <c r="I325" s="551"/>
      <c r="J325" s="551"/>
      <c r="K325" s="551"/>
      <c r="L325" s="551"/>
      <c r="M325" s="551"/>
      <c r="N325" s="551"/>
      <c r="O325" s="557"/>
      <c r="P325" s="547" t="s">
        <v>71</v>
      </c>
      <c r="Q325" s="548"/>
      <c r="R325" s="548"/>
      <c r="S325" s="548"/>
      <c r="T325" s="548"/>
      <c r="U325" s="548"/>
      <c r="V325" s="549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1"/>
      <c r="B326" s="551"/>
      <c r="C326" s="551"/>
      <c r="D326" s="551"/>
      <c r="E326" s="551"/>
      <c r="F326" s="551"/>
      <c r="G326" s="551"/>
      <c r="H326" s="551"/>
      <c r="I326" s="551"/>
      <c r="J326" s="551"/>
      <c r="K326" s="551"/>
      <c r="L326" s="551"/>
      <c r="M326" s="551"/>
      <c r="N326" s="551"/>
      <c r="O326" s="557"/>
      <c r="P326" s="547" t="s">
        <v>71</v>
      </c>
      <c r="Q326" s="548"/>
      <c r="R326" s="548"/>
      <c r="S326" s="548"/>
      <c r="T326" s="548"/>
      <c r="U326" s="548"/>
      <c r="V326" s="549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55" t="s">
        <v>516</v>
      </c>
      <c r="B327" s="551"/>
      <c r="C327" s="551"/>
      <c r="D327" s="551"/>
      <c r="E327" s="551"/>
      <c r="F327" s="551"/>
      <c r="G327" s="551"/>
      <c r="H327" s="551"/>
      <c r="I327" s="551"/>
      <c r="J327" s="551"/>
      <c r="K327" s="551"/>
      <c r="L327" s="551"/>
      <c r="M327" s="551"/>
      <c r="N327" s="551"/>
      <c r="O327" s="551"/>
      <c r="P327" s="551"/>
      <c r="Q327" s="551"/>
      <c r="R327" s="551"/>
      <c r="S327" s="551"/>
      <c r="T327" s="551"/>
      <c r="U327" s="551"/>
      <c r="V327" s="551"/>
      <c r="W327" s="551"/>
      <c r="X327" s="551"/>
      <c r="Y327" s="551"/>
      <c r="Z327" s="551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59">
        <v>4680115881808</v>
      </c>
      <c r="E328" s="560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59">
        <v>4680115881822</v>
      </c>
      <c r="E329" s="560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3"/>
      <c r="R329" s="553"/>
      <c r="S329" s="553"/>
      <c r="T329" s="554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59">
        <v>4680115880016</v>
      </c>
      <c r="E330" s="560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4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3"/>
      <c r="R330" s="553"/>
      <c r="S330" s="553"/>
      <c r="T330" s="554"/>
      <c r="U330" s="34"/>
      <c r="V330" s="34"/>
      <c r="W330" s="35" t="s">
        <v>69</v>
      </c>
      <c r="X330" s="541">
        <v>38</v>
      </c>
      <c r="Y330" s="542">
        <f>IFERROR(IF(X330="",0,CEILING((X330/$H330),1)*$H330),"")</f>
        <v>38</v>
      </c>
      <c r="Z330" s="36">
        <f>IFERROR(IF(Y330=0,"",ROUNDUP(Y330/H330,0)*0.00474),"")</f>
        <v>9.0060000000000001E-2</v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42.56</v>
      </c>
      <c r="BN330" s="64">
        <f>IFERROR(Y330*I330/H330,"0")</f>
        <v>42.56</v>
      </c>
      <c r="BO330" s="64">
        <f>IFERROR(1/J330*(X330/H330),"0")</f>
        <v>7.9831932773109238E-2</v>
      </c>
      <c r="BP330" s="64">
        <f>IFERROR(1/J330*(Y330/H330),"0")</f>
        <v>7.9831932773109238E-2</v>
      </c>
    </row>
    <row r="331" spans="1:68" x14ac:dyDescent="0.2">
      <c r="A331" s="556"/>
      <c r="B331" s="551"/>
      <c r="C331" s="551"/>
      <c r="D331" s="551"/>
      <c r="E331" s="551"/>
      <c r="F331" s="551"/>
      <c r="G331" s="551"/>
      <c r="H331" s="551"/>
      <c r="I331" s="551"/>
      <c r="J331" s="551"/>
      <c r="K331" s="551"/>
      <c r="L331" s="551"/>
      <c r="M331" s="551"/>
      <c r="N331" s="551"/>
      <c r="O331" s="557"/>
      <c r="P331" s="547" t="s">
        <v>71</v>
      </c>
      <c r="Q331" s="548"/>
      <c r="R331" s="548"/>
      <c r="S331" s="548"/>
      <c r="T331" s="548"/>
      <c r="U331" s="548"/>
      <c r="V331" s="549"/>
      <c r="W331" s="37" t="s">
        <v>72</v>
      </c>
      <c r="X331" s="543">
        <f>IFERROR(X328/H328,"0")+IFERROR(X329/H329,"0")+IFERROR(X330/H330,"0")</f>
        <v>19</v>
      </c>
      <c r="Y331" s="543">
        <f>IFERROR(Y328/H328,"0")+IFERROR(Y329/H329,"0")+IFERROR(Y330/H330,"0")</f>
        <v>19</v>
      </c>
      <c r="Z331" s="543">
        <f>IFERROR(IF(Z328="",0,Z328),"0")+IFERROR(IF(Z329="",0,Z329),"0")+IFERROR(IF(Z330="",0,Z330),"0")</f>
        <v>9.0060000000000001E-2</v>
      </c>
      <c r="AA331" s="544"/>
      <c r="AB331" s="544"/>
      <c r="AC331" s="544"/>
    </row>
    <row r="332" spans="1:68" x14ac:dyDescent="0.2">
      <c r="A332" s="551"/>
      <c r="B332" s="551"/>
      <c r="C332" s="551"/>
      <c r="D332" s="551"/>
      <c r="E332" s="551"/>
      <c r="F332" s="551"/>
      <c r="G332" s="551"/>
      <c r="H332" s="551"/>
      <c r="I332" s="551"/>
      <c r="J332" s="551"/>
      <c r="K332" s="551"/>
      <c r="L332" s="551"/>
      <c r="M332" s="551"/>
      <c r="N332" s="551"/>
      <c r="O332" s="557"/>
      <c r="P332" s="547" t="s">
        <v>71</v>
      </c>
      <c r="Q332" s="548"/>
      <c r="R332" s="548"/>
      <c r="S332" s="548"/>
      <c r="T332" s="548"/>
      <c r="U332" s="548"/>
      <c r="V332" s="549"/>
      <c r="W332" s="37" t="s">
        <v>69</v>
      </c>
      <c r="X332" s="543">
        <f>IFERROR(SUM(X328:X330),"0")</f>
        <v>38</v>
      </c>
      <c r="Y332" s="543">
        <f>IFERROR(SUM(Y328:Y330),"0")</f>
        <v>38</v>
      </c>
      <c r="Z332" s="37"/>
      <c r="AA332" s="544"/>
      <c r="AB332" s="544"/>
      <c r="AC332" s="544"/>
    </row>
    <row r="333" spans="1:68" ht="16.5" hidden="1" customHeight="1" x14ac:dyDescent="0.25">
      <c r="A333" s="550" t="s">
        <v>525</v>
      </c>
      <c r="B333" s="551"/>
      <c r="C333" s="551"/>
      <c r="D333" s="551"/>
      <c r="E333" s="551"/>
      <c r="F333" s="551"/>
      <c r="G333" s="551"/>
      <c r="H333" s="551"/>
      <c r="I333" s="551"/>
      <c r="J333" s="551"/>
      <c r="K333" s="551"/>
      <c r="L333" s="551"/>
      <c r="M333" s="551"/>
      <c r="N333" s="551"/>
      <c r="O333" s="551"/>
      <c r="P333" s="551"/>
      <c r="Q333" s="551"/>
      <c r="R333" s="551"/>
      <c r="S333" s="551"/>
      <c r="T333" s="551"/>
      <c r="U333" s="551"/>
      <c r="V333" s="551"/>
      <c r="W333" s="551"/>
      <c r="X333" s="551"/>
      <c r="Y333" s="551"/>
      <c r="Z333" s="551"/>
      <c r="AA333" s="536"/>
      <c r="AB333" s="536"/>
      <c r="AC333" s="536"/>
    </row>
    <row r="334" spans="1:68" ht="14.25" hidden="1" customHeight="1" x14ac:dyDescent="0.25">
      <c r="A334" s="555" t="s">
        <v>73</v>
      </c>
      <c r="B334" s="551"/>
      <c r="C334" s="551"/>
      <c r="D334" s="551"/>
      <c r="E334" s="551"/>
      <c r="F334" s="551"/>
      <c r="G334" s="551"/>
      <c r="H334" s="551"/>
      <c r="I334" s="551"/>
      <c r="J334" s="551"/>
      <c r="K334" s="551"/>
      <c r="L334" s="551"/>
      <c r="M334" s="551"/>
      <c r="N334" s="551"/>
      <c r="O334" s="551"/>
      <c r="P334" s="551"/>
      <c r="Q334" s="551"/>
      <c r="R334" s="551"/>
      <c r="S334" s="551"/>
      <c r="T334" s="551"/>
      <c r="U334" s="551"/>
      <c r="V334" s="551"/>
      <c r="W334" s="551"/>
      <c r="X334" s="551"/>
      <c r="Y334" s="551"/>
      <c r="Z334" s="551"/>
      <c r="AA334" s="537"/>
      <c r="AB334" s="537"/>
      <c r="AC334" s="537"/>
    </row>
    <row r="335" spans="1:68" ht="27" hidden="1" customHeight="1" x14ac:dyDescent="0.25">
      <c r="A335" s="54" t="s">
        <v>526</v>
      </c>
      <c r="B335" s="54" t="s">
        <v>527</v>
      </c>
      <c r="C335" s="31">
        <v>4301051489</v>
      </c>
      <c r="D335" s="559">
        <v>4607091387919</v>
      </c>
      <c r="E335" s="560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3"/>
      <c r="R335" s="553"/>
      <c r="S335" s="553"/>
      <c r="T335" s="554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59">
        <v>4680115883604</v>
      </c>
      <c r="E336" s="560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69</v>
      </c>
      <c r="X336" s="541">
        <v>105</v>
      </c>
      <c r="Y336" s="542">
        <f>IFERROR(IF(X336="",0,CEILING((X336/$H336),1)*$H336),"")</f>
        <v>105</v>
      </c>
      <c r="Z336" s="36">
        <f>IFERROR(IF(Y336=0,"",ROUNDUP(Y336/H336,0)*0.00651),"")</f>
        <v>0.32550000000000001</v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117.59999999999998</v>
      </c>
      <c r="BN336" s="64">
        <f>IFERROR(Y336*I336/H336,"0")</f>
        <v>117.59999999999998</v>
      </c>
      <c r="BO336" s="64">
        <f>IFERROR(1/J336*(X336/H336),"0")</f>
        <v>0.27472527472527475</v>
      </c>
      <c r="BP336" s="64">
        <f>IFERROR(1/J336*(Y336/H336),"0")</f>
        <v>0.27472527472527475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59">
        <v>4680115883567</v>
      </c>
      <c r="E337" s="560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3"/>
      <c r="R337" s="553"/>
      <c r="S337" s="553"/>
      <c r="T337" s="554"/>
      <c r="U337" s="34"/>
      <c r="V337" s="34"/>
      <c r="W337" s="35" t="s">
        <v>69</v>
      </c>
      <c r="X337" s="541">
        <v>122.5</v>
      </c>
      <c r="Y337" s="542">
        <f>IFERROR(IF(X337="",0,CEILING((X337/$H337),1)*$H337),"")</f>
        <v>123.9</v>
      </c>
      <c r="Z337" s="36">
        <f>IFERROR(IF(Y337=0,"",ROUNDUP(Y337/H337,0)*0.00651),"")</f>
        <v>0.38408999999999999</v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136.49999999999997</v>
      </c>
      <c r="BN337" s="64">
        <f>IFERROR(Y337*I337/H337,"0")</f>
        <v>138.06</v>
      </c>
      <c r="BO337" s="64">
        <f>IFERROR(1/J337*(X337/H337),"0")</f>
        <v>0.32051282051282048</v>
      </c>
      <c r="BP337" s="64">
        <f>IFERROR(1/J337*(Y337/H337),"0")</f>
        <v>0.32417582417582419</v>
      </c>
    </row>
    <row r="338" spans="1:68" x14ac:dyDescent="0.2">
      <c r="A338" s="556"/>
      <c r="B338" s="551"/>
      <c r="C338" s="551"/>
      <c r="D338" s="551"/>
      <c r="E338" s="551"/>
      <c r="F338" s="551"/>
      <c r="G338" s="551"/>
      <c r="H338" s="551"/>
      <c r="I338" s="551"/>
      <c r="J338" s="551"/>
      <c r="K338" s="551"/>
      <c r="L338" s="551"/>
      <c r="M338" s="551"/>
      <c r="N338" s="551"/>
      <c r="O338" s="557"/>
      <c r="P338" s="547" t="s">
        <v>71</v>
      </c>
      <c r="Q338" s="548"/>
      <c r="R338" s="548"/>
      <c r="S338" s="548"/>
      <c r="T338" s="548"/>
      <c r="U338" s="548"/>
      <c r="V338" s="549"/>
      <c r="W338" s="37" t="s">
        <v>72</v>
      </c>
      <c r="X338" s="543">
        <f>IFERROR(X335/H335,"0")+IFERROR(X336/H336,"0")+IFERROR(X337/H337,"0")</f>
        <v>108.33333333333333</v>
      </c>
      <c r="Y338" s="543">
        <f>IFERROR(Y335/H335,"0")+IFERROR(Y336/H336,"0")+IFERROR(Y337/H337,"0")</f>
        <v>109</v>
      </c>
      <c r="Z338" s="543">
        <f>IFERROR(IF(Z335="",0,Z335),"0")+IFERROR(IF(Z336="",0,Z336),"0")+IFERROR(IF(Z337="",0,Z337),"0")</f>
        <v>0.70958999999999994</v>
      </c>
      <c r="AA338" s="544"/>
      <c r="AB338" s="544"/>
      <c r="AC338" s="544"/>
    </row>
    <row r="339" spans="1:68" x14ac:dyDescent="0.2">
      <c r="A339" s="551"/>
      <c r="B339" s="551"/>
      <c r="C339" s="551"/>
      <c r="D339" s="551"/>
      <c r="E339" s="551"/>
      <c r="F339" s="551"/>
      <c r="G339" s="551"/>
      <c r="H339" s="551"/>
      <c r="I339" s="551"/>
      <c r="J339" s="551"/>
      <c r="K339" s="551"/>
      <c r="L339" s="551"/>
      <c r="M339" s="551"/>
      <c r="N339" s="551"/>
      <c r="O339" s="557"/>
      <c r="P339" s="547" t="s">
        <v>71</v>
      </c>
      <c r="Q339" s="548"/>
      <c r="R339" s="548"/>
      <c r="S339" s="548"/>
      <c r="T339" s="548"/>
      <c r="U339" s="548"/>
      <c r="V339" s="549"/>
      <c r="W339" s="37" t="s">
        <v>69</v>
      </c>
      <c r="X339" s="543">
        <f>IFERROR(SUM(X335:X337),"0")</f>
        <v>227.5</v>
      </c>
      <c r="Y339" s="543">
        <f>IFERROR(SUM(Y335:Y337),"0")</f>
        <v>228.9</v>
      </c>
      <c r="Z339" s="37"/>
      <c r="AA339" s="544"/>
      <c r="AB339" s="544"/>
      <c r="AC339" s="544"/>
    </row>
    <row r="340" spans="1:68" ht="27.75" hidden="1" customHeight="1" x14ac:dyDescent="0.2">
      <c r="A340" s="635" t="s">
        <v>535</v>
      </c>
      <c r="B340" s="636"/>
      <c r="C340" s="636"/>
      <c r="D340" s="636"/>
      <c r="E340" s="636"/>
      <c r="F340" s="636"/>
      <c r="G340" s="636"/>
      <c r="H340" s="636"/>
      <c r="I340" s="636"/>
      <c r="J340" s="636"/>
      <c r="K340" s="636"/>
      <c r="L340" s="636"/>
      <c r="M340" s="636"/>
      <c r="N340" s="636"/>
      <c r="O340" s="636"/>
      <c r="P340" s="636"/>
      <c r="Q340" s="636"/>
      <c r="R340" s="636"/>
      <c r="S340" s="636"/>
      <c r="T340" s="636"/>
      <c r="U340" s="636"/>
      <c r="V340" s="636"/>
      <c r="W340" s="636"/>
      <c r="X340" s="636"/>
      <c r="Y340" s="636"/>
      <c r="Z340" s="636"/>
      <c r="AA340" s="48"/>
      <c r="AB340" s="48"/>
      <c r="AC340" s="48"/>
    </row>
    <row r="341" spans="1:68" ht="16.5" hidden="1" customHeight="1" x14ac:dyDescent="0.25">
      <c r="A341" s="550" t="s">
        <v>536</v>
      </c>
      <c r="B341" s="551"/>
      <c r="C341" s="551"/>
      <c r="D341" s="551"/>
      <c r="E341" s="551"/>
      <c r="F341" s="551"/>
      <c r="G341" s="551"/>
      <c r="H341" s="551"/>
      <c r="I341" s="551"/>
      <c r="J341" s="551"/>
      <c r="K341" s="551"/>
      <c r="L341" s="551"/>
      <c r="M341" s="551"/>
      <c r="N341" s="551"/>
      <c r="O341" s="551"/>
      <c r="P341" s="551"/>
      <c r="Q341" s="551"/>
      <c r="R341" s="551"/>
      <c r="S341" s="551"/>
      <c r="T341" s="551"/>
      <c r="U341" s="551"/>
      <c r="V341" s="551"/>
      <c r="W341" s="551"/>
      <c r="X341" s="551"/>
      <c r="Y341" s="551"/>
      <c r="Z341" s="551"/>
      <c r="AA341" s="536"/>
      <c r="AB341" s="536"/>
      <c r="AC341" s="536"/>
    </row>
    <row r="342" spans="1:68" ht="14.25" hidden="1" customHeight="1" x14ac:dyDescent="0.25">
      <c r="A342" s="555" t="s">
        <v>101</v>
      </c>
      <c r="B342" s="551"/>
      <c r="C342" s="551"/>
      <c r="D342" s="551"/>
      <c r="E342" s="551"/>
      <c r="F342" s="551"/>
      <c r="G342" s="551"/>
      <c r="H342" s="551"/>
      <c r="I342" s="551"/>
      <c r="J342" s="551"/>
      <c r="K342" s="551"/>
      <c r="L342" s="551"/>
      <c r="M342" s="551"/>
      <c r="N342" s="551"/>
      <c r="O342" s="551"/>
      <c r="P342" s="551"/>
      <c r="Q342" s="551"/>
      <c r="R342" s="551"/>
      <c r="S342" s="551"/>
      <c r="T342" s="551"/>
      <c r="U342" s="551"/>
      <c r="V342" s="551"/>
      <c r="W342" s="551"/>
      <c r="X342" s="551"/>
      <c r="Y342" s="551"/>
      <c r="Z342" s="551"/>
      <c r="AA342" s="537"/>
      <c r="AB342" s="537"/>
      <c r="AC342" s="537"/>
    </row>
    <row r="343" spans="1:68" ht="37.5" hidden="1" customHeight="1" x14ac:dyDescent="0.25">
      <c r="A343" s="54" t="s">
        <v>537</v>
      </c>
      <c r="B343" s="54" t="s">
        <v>538</v>
      </c>
      <c r="C343" s="31">
        <v>4301011869</v>
      </c>
      <c r="D343" s="559">
        <v>4680115884847</v>
      </c>
      <c r="E343" s="560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6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3"/>
      <c r="R343" s="553"/>
      <c r="S343" s="553"/>
      <c r="T343" s="554"/>
      <c r="U343" s="34"/>
      <c r="V343" s="34"/>
      <c r="W343" s="35" t="s">
        <v>69</v>
      </c>
      <c r="X343" s="541">
        <v>0</v>
      </c>
      <c r="Y343" s="542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hidden="1" customHeight="1" x14ac:dyDescent="0.25">
      <c r="A344" s="54" t="s">
        <v>540</v>
      </c>
      <c r="B344" s="54" t="s">
        <v>541</v>
      </c>
      <c r="C344" s="31">
        <v>4301011870</v>
      </c>
      <c r="D344" s="559">
        <v>4680115884854</v>
      </c>
      <c r="E344" s="560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1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69</v>
      </c>
      <c r="X344" s="541">
        <v>0</v>
      </c>
      <c r="Y344" s="542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hidden="1" customHeight="1" x14ac:dyDescent="0.25">
      <c r="A345" s="54" t="s">
        <v>543</v>
      </c>
      <c r="B345" s="54" t="s">
        <v>544</v>
      </c>
      <c r="C345" s="31">
        <v>4301011867</v>
      </c>
      <c r="D345" s="559">
        <v>4680115884830</v>
      </c>
      <c r="E345" s="560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3"/>
      <c r="R345" s="553"/>
      <c r="S345" s="553"/>
      <c r="T345" s="554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hidden="1" customHeight="1" x14ac:dyDescent="0.25">
      <c r="A346" s="54" t="s">
        <v>546</v>
      </c>
      <c r="B346" s="54" t="s">
        <v>547</v>
      </c>
      <c r="C346" s="31">
        <v>4301012215</v>
      </c>
      <c r="D346" s="559">
        <v>4680115887046</v>
      </c>
      <c r="E346" s="560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5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3"/>
      <c r="R346" s="553"/>
      <c r="S346" s="553"/>
      <c r="T346" s="554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59">
        <v>4680115882638</v>
      </c>
      <c r="E347" s="560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3"/>
      <c r="R347" s="553"/>
      <c r="S347" s="553"/>
      <c r="T347" s="554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59">
        <v>4680115884922</v>
      </c>
      <c r="E348" s="560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3"/>
      <c r="R348" s="553"/>
      <c r="S348" s="553"/>
      <c r="T348" s="554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59">
        <v>4680115884861</v>
      </c>
      <c r="E349" s="560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3"/>
      <c r="R349" s="553"/>
      <c r="S349" s="553"/>
      <c r="T349" s="554"/>
      <c r="U349" s="34"/>
      <c r="V349" s="34"/>
      <c r="W349" s="35" t="s">
        <v>69</v>
      </c>
      <c r="X349" s="541">
        <v>175</v>
      </c>
      <c r="Y349" s="542">
        <f t="shared" si="36"/>
        <v>175</v>
      </c>
      <c r="Z349" s="36">
        <f>IFERROR(IF(Y349=0,"",ROUNDUP(Y349/H349,0)*0.00902),"")</f>
        <v>0.31569999999999998</v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181.65000000000003</v>
      </c>
      <c r="BN349" s="64">
        <f t="shared" si="38"/>
        <v>181.65000000000003</v>
      </c>
      <c r="BO349" s="64">
        <f t="shared" si="39"/>
        <v>0.26515151515151514</v>
      </c>
      <c r="BP349" s="64">
        <f t="shared" si="40"/>
        <v>0.26515151515151514</v>
      </c>
    </row>
    <row r="350" spans="1:68" x14ac:dyDescent="0.2">
      <c r="A350" s="556"/>
      <c r="B350" s="551"/>
      <c r="C350" s="551"/>
      <c r="D350" s="551"/>
      <c r="E350" s="551"/>
      <c r="F350" s="551"/>
      <c r="G350" s="551"/>
      <c r="H350" s="551"/>
      <c r="I350" s="551"/>
      <c r="J350" s="551"/>
      <c r="K350" s="551"/>
      <c r="L350" s="551"/>
      <c r="M350" s="551"/>
      <c r="N350" s="551"/>
      <c r="O350" s="557"/>
      <c r="P350" s="547" t="s">
        <v>71</v>
      </c>
      <c r="Q350" s="548"/>
      <c r="R350" s="548"/>
      <c r="S350" s="548"/>
      <c r="T350" s="548"/>
      <c r="U350" s="548"/>
      <c r="V350" s="549"/>
      <c r="W350" s="37" t="s">
        <v>72</v>
      </c>
      <c r="X350" s="543">
        <f>IFERROR(X343/H343,"0")+IFERROR(X344/H344,"0")+IFERROR(X345/H345,"0")+IFERROR(X346/H346,"0")+IFERROR(X347/H347,"0")+IFERROR(X348/H348,"0")+IFERROR(X349/H349,"0")</f>
        <v>35</v>
      </c>
      <c r="Y350" s="543">
        <f>IFERROR(Y343/H343,"0")+IFERROR(Y344/H344,"0")+IFERROR(Y345/H345,"0")+IFERROR(Y346/H346,"0")+IFERROR(Y347/H347,"0")+IFERROR(Y348/H348,"0")+IFERROR(Y349/H349,"0")</f>
        <v>35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0.31569999999999998</v>
      </c>
      <c r="AA350" s="544"/>
      <c r="AB350" s="544"/>
      <c r="AC350" s="544"/>
    </row>
    <row r="351" spans="1:68" x14ac:dyDescent="0.2">
      <c r="A351" s="551"/>
      <c r="B351" s="551"/>
      <c r="C351" s="551"/>
      <c r="D351" s="551"/>
      <c r="E351" s="551"/>
      <c r="F351" s="551"/>
      <c r="G351" s="551"/>
      <c r="H351" s="551"/>
      <c r="I351" s="551"/>
      <c r="J351" s="551"/>
      <c r="K351" s="551"/>
      <c r="L351" s="551"/>
      <c r="M351" s="551"/>
      <c r="N351" s="551"/>
      <c r="O351" s="557"/>
      <c r="P351" s="547" t="s">
        <v>71</v>
      </c>
      <c r="Q351" s="548"/>
      <c r="R351" s="548"/>
      <c r="S351" s="548"/>
      <c r="T351" s="548"/>
      <c r="U351" s="548"/>
      <c r="V351" s="549"/>
      <c r="W351" s="37" t="s">
        <v>69</v>
      </c>
      <c r="X351" s="543">
        <f>IFERROR(SUM(X343:X349),"0")</f>
        <v>175</v>
      </c>
      <c r="Y351" s="543">
        <f>IFERROR(SUM(Y343:Y349),"0")</f>
        <v>175</v>
      </c>
      <c r="Z351" s="37"/>
      <c r="AA351" s="544"/>
      <c r="AB351" s="544"/>
      <c r="AC351" s="544"/>
    </row>
    <row r="352" spans="1:68" ht="14.25" hidden="1" customHeight="1" x14ac:dyDescent="0.25">
      <c r="A352" s="555" t="s">
        <v>136</v>
      </c>
      <c r="B352" s="551"/>
      <c r="C352" s="551"/>
      <c r="D352" s="551"/>
      <c r="E352" s="551"/>
      <c r="F352" s="551"/>
      <c r="G352" s="551"/>
      <c r="H352" s="551"/>
      <c r="I352" s="551"/>
      <c r="J352" s="551"/>
      <c r="K352" s="551"/>
      <c r="L352" s="551"/>
      <c r="M352" s="551"/>
      <c r="N352" s="551"/>
      <c r="O352" s="551"/>
      <c r="P352" s="551"/>
      <c r="Q352" s="551"/>
      <c r="R352" s="551"/>
      <c r="S352" s="551"/>
      <c r="T352" s="551"/>
      <c r="U352" s="551"/>
      <c r="V352" s="551"/>
      <c r="W352" s="551"/>
      <c r="X352" s="551"/>
      <c r="Y352" s="551"/>
      <c r="Z352" s="551"/>
      <c r="AA352" s="537"/>
      <c r="AB352" s="537"/>
      <c r="AC352" s="537"/>
    </row>
    <row r="353" spans="1:68" ht="27" hidden="1" customHeight="1" x14ac:dyDescent="0.25">
      <c r="A353" s="54" t="s">
        <v>556</v>
      </c>
      <c r="B353" s="54" t="s">
        <v>557</v>
      </c>
      <c r="C353" s="31">
        <v>4301020178</v>
      </c>
      <c r="D353" s="559">
        <v>4607091383980</v>
      </c>
      <c r="E353" s="560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3"/>
      <c r="R353" s="553"/>
      <c r="S353" s="553"/>
      <c r="T353" s="554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59">
        <v>4607091384178</v>
      </c>
      <c r="E354" s="560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3"/>
      <c r="R354" s="553"/>
      <c r="S354" s="553"/>
      <c r="T354" s="554"/>
      <c r="U354" s="34"/>
      <c r="V354" s="34"/>
      <c r="W354" s="35" t="s">
        <v>69</v>
      </c>
      <c r="X354" s="541">
        <v>120</v>
      </c>
      <c r="Y354" s="542">
        <f>IFERROR(IF(X354="",0,CEILING((X354/$H354),1)*$H354),"")</f>
        <v>120</v>
      </c>
      <c r="Z354" s="36">
        <f>IFERROR(IF(Y354=0,"",ROUNDUP(Y354/H354,0)*0.00902),"")</f>
        <v>0.27060000000000001</v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125.70000000000002</v>
      </c>
      <c r="BN354" s="64">
        <f>IFERROR(Y354*I354/H354,"0")</f>
        <v>125.70000000000002</v>
      </c>
      <c r="BO354" s="64">
        <f>IFERROR(1/J354*(X354/H354),"0")</f>
        <v>0.22727272727272729</v>
      </c>
      <c r="BP354" s="64">
        <f>IFERROR(1/J354*(Y354/H354),"0")</f>
        <v>0.22727272727272729</v>
      </c>
    </row>
    <row r="355" spans="1:68" x14ac:dyDescent="0.2">
      <c r="A355" s="556"/>
      <c r="B355" s="551"/>
      <c r="C355" s="551"/>
      <c r="D355" s="551"/>
      <c r="E355" s="551"/>
      <c r="F355" s="551"/>
      <c r="G355" s="551"/>
      <c r="H355" s="551"/>
      <c r="I355" s="551"/>
      <c r="J355" s="551"/>
      <c r="K355" s="551"/>
      <c r="L355" s="551"/>
      <c r="M355" s="551"/>
      <c r="N355" s="551"/>
      <c r="O355" s="557"/>
      <c r="P355" s="547" t="s">
        <v>71</v>
      </c>
      <c r="Q355" s="548"/>
      <c r="R355" s="548"/>
      <c r="S355" s="548"/>
      <c r="T355" s="548"/>
      <c r="U355" s="548"/>
      <c r="V355" s="549"/>
      <c r="W355" s="37" t="s">
        <v>72</v>
      </c>
      <c r="X355" s="543">
        <f>IFERROR(X353/H353,"0")+IFERROR(X354/H354,"0")</f>
        <v>30</v>
      </c>
      <c r="Y355" s="543">
        <f>IFERROR(Y353/H353,"0")+IFERROR(Y354/H354,"0")</f>
        <v>30</v>
      </c>
      <c r="Z355" s="543">
        <f>IFERROR(IF(Z353="",0,Z353),"0")+IFERROR(IF(Z354="",0,Z354),"0")</f>
        <v>0.27060000000000001</v>
      </c>
      <c r="AA355" s="544"/>
      <c r="AB355" s="544"/>
      <c r="AC355" s="544"/>
    </row>
    <row r="356" spans="1:68" x14ac:dyDescent="0.2">
      <c r="A356" s="551"/>
      <c r="B356" s="551"/>
      <c r="C356" s="551"/>
      <c r="D356" s="551"/>
      <c r="E356" s="551"/>
      <c r="F356" s="551"/>
      <c r="G356" s="551"/>
      <c r="H356" s="551"/>
      <c r="I356" s="551"/>
      <c r="J356" s="551"/>
      <c r="K356" s="551"/>
      <c r="L356" s="551"/>
      <c r="M356" s="551"/>
      <c r="N356" s="551"/>
      <c r="O356" s="557"/>
      <c r="P356" s="547" t="s">
        <v>71</v>
      </c>
      <c r="Q356" s="548"/>
      <c r="R356" s="548"/>
      <c r="S356" s="548"/>
      <c r="T356" s="548"/>
      <c r="U356" s="548"/>
      <c r="V356" s="549"/>
      <c r="W356" s="37" t="s">
        <v>69</v>
      </c>
      <c r="X356" s="543">
        <f>IFERROR(SUM(X353:X354),"0")</f>
        <v>120</v>
      </c>
      <c r="Y356" s="543">
        <f>IFERROR(SUM(Y353:Y354),"0")</f>
        <v>120</v>
      </c>
      <c r="Z356" s="37"/>
      <c r="AA356" s="544"/>
      <c r="AB356" s="544"/>
      <c r="AC356" s="544"/>
    </row>
    <row r="357" spans="1:68" ht="14.25" hidden="1" customHeight="1" x14ac:dyDescent="0.25">
      <c r="A357" s="555" t="s">
        <v>73</v>
      </c>
      <c r="B357" s="551"/>
      <c r="C357" s="551"/>
      <c r="D357" s="551"/>
      <c r="E357" s="551"/>
      <c r="F357" s="551"/>
      <c r="G357" s="551"/>
      <c r="H357" s="551"/>
      <c r="I357" s="551"/>
      <c r="J357" s="551"/>
      <c r="K357" s="551"/>
      <c r="L357" s="551"/>
      <c r="M357" s="551"/>
      <c r="N357" s="551"/>
      <c r="O357" s="551"/>
      <c r="P357" s="551"/>
      <c r="Q357" s="551"/>
      <c r="R357" s="551"/>
      <c r="S357" s="551"/>
      <c r="T357" s="551"/>
      <c r="U357" s="551"/>
      <c r="V357" s="551"/>
      <c r="W357" s="551"/>
      <c r="X357" s="551"/>
      <c r="Y357" s="551"/>
      <c r="Z357" s="551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59">
        <v>4607091383928</v>
      </c>
      <c r="E358" s="560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59">
        <v>4607091384260</v>
      </c>
      <c r="E359" s="560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3"/>
      <c r="R359" s="553"/>
      <c r="S359" s="553"/>
      <c r="T359" s="554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6"/>
      <c r="B360" s="551"/>
      <c r="C360" s="551"/>
      <c r="D360" s="551"/>
      <c r="E360" s="551"/>
      <c r="F360" s="551"/>
      <c r="G360" s="551"/>
      <c r="H360" s="551"/>
      <c r="I360" s="551"/>
      <c r="J360" s="551"/>
      <c r="K360" s="551"/>
      <c r="L360" s="551"/>
      <c r="M360" s="551"/>
      <c r="N360" s="551"/>
      <c r="O360" s="557"/>
      <c r="P360" s="547" t="s">
        <v>71</v>
      </c>
      <c r="Q360" s="548"/>
      <c r="R360" s="548"/>
      <c r="S360" s="548"/>
      <c r="T360" s="548"/>
      <c r="U360" s="548"/>
      <c r="V360" s="549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1"/>
      <c r="B361" s="551"/>
      <c r="C361" s="551"/>
      <c r="D361" s="551"/>
      <c r="E361" s="551"/>
      <c r="F361" s="551"/>
      <c r="G361" s="551"/>
      <c r="H361" s="551"/>
      <c r="I361" s="551"/>
      <c r="J361" s="551"/>
      <c r="K361" s="551"/>
      <c r="L361" s="551"/>
      <c r="M361" s="551"/>
      <c r="N361" s="551"/>
      <c r="O361" s="557"/>
      <c r="P361" s="547" t="s">
        <v>71</v>
      </c>
      <c r="Q361" s="548"/>
      <c r="R361" s="548"/>
      <c r="S361" s="548"/>
      <c r="T361" s="548"/>
      <c r="U361" s="548"/>
      <c r="V361" s="549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5" t="s">
        <v>164</v>
      </c>
      <c r="B362" s="551"/>
      <c r="C362" s="551"/>
      <c r="D362" s="551"/>
      <c r="E362" s="551"/>
      <c r="F362" s="551"/>
      <c r="G362" s="551"/>
      <c r="H362" s="551"/>
      <c r="I362" s="551"/>
      <c r="J362" s="551"/>
      <c r="K362" s="551"/>
      <c r="L362" s="551"/>
      <c r="M362" s="551"/>
      <c r="N362" s="551"/>
      <c r="O362" s="551"/>
      <c r="P362" s="551"/>
      <c r="Q362" s="551"/>
      <c r="R362" s="551"/>
      <c r="S362" s="551"/>
      <c r="T362" s="551"/>
      <c r="U362" s="551"/>
      <c r="V362" s="551"/>
      <c r="W362" s="551"/>
      <c r="X362" s="551"/>
      <c r="Y362" s="551"/>
      <c r="Z362" s="551"/>
      <c r="AA362" s="537"/>
      <c r="AB362" s="537"/>
      <c r="AC362" s="537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59">
        <v>4607091384673</v>
      </c>
      <c r="E363" s="560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3"/>
      <c r="R363" s="553"/>
      <c r="S363" s="553"/>
      <c r="T363" s="554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6"/>
      <c r="B364" s="551"/>
      <c r="C364" s="551"/>
      <c r="D364" s="551"/>
      <c r="E364" s="551"/>
      <c r="F364" s="551"/>
      <c r="G364" s="551"/>
      <c r="H364" s="551"/>
      <c r="I364" s="551"/>
      <c r="J364" s="551"/>
      <c r="K364" s="551"/>
      <c r="L364" s="551"/>
      <c r="M364" s="551"/>
      <c r="N364" s="551"/>
      <c r="O364" s="557"/>
      <c r="P364" s="547" t="s">
        <v>71</v>
      </c>
      <c r="Q364" s="548"/>
      <c r="R364" s="548"/>
      <c r="S364" s="548"/>
      <c r="T364" s="548"/>
      <c r="U364" s="548"/>
      <c r="V364" s="549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1"/>
      <c r="B365" s="551"/>
      <c r="C365" s="551"/>
      <c r="D365" s="551"/>
      <c r="E365" s="551"/>
      <c r="F365" s="551"/>
      <c r="G365" s="551"/>
      <c r="H365" s="551"/>
      <c r="I365" s="551"/>
      <c r="J365" s="551"/>
      <c r="K365" s="551"/>
      <c r="L365" s="551"/>
      <c r="M365" s="551"/>
      <c r="N365" s="551"/>
      <c r="O365" s="557"/>
      <c r="P365" s="547" t="s">
        <v>71</v>
      </c>
      <c r="Q365" s="548"/>
      <c r="R365" s="548"/>
      <c r="S365" s="548"/>
      <c r="T365" s="548"/>
      <c r="U365" s="548"/>
      <c r="V365" s="549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50" t="s">
        <v>570</v>
      </c>
      <c r="B366" s="551"/>
      <c r="C366" s="551"/>
      <c r="D366" s="551"/>
      <c r="E366" s="551"/>
      <c r="F366" s="551"/>
      <c r="G366" s="551"/>
      <c r="H366" s="551"/>
      <c r="I366" s="551"/>
      <c r="J366" s="551"/>
      <c r="K366" s="551"/>
      <c r="L366" s="551"/>
      <c r="M366" s="551"/>
      <c r="N366" s="551"/>
      <c r="O366" s="551"/>
      <c r="P366" s="551"/>
      <c r="Q366" s="551"/>
      <c r="R366" s="551"/>
      <c r="S366" s="551"/>
      <c r="T366" s="551"/>
      <c r="U366" s="551"/>
      <c r="V366" s="551"/>
      <c r="W366" s="551"/>
      <c r="X366" s="551"/>
      <c r="Y366" s="551"/>
      <c r="Z366" s="551"/>
      <c r="AA366" s="536"/>
      <c r="AB366" s="536"/>
      <c r="AC366" s="536"/>
    </row>
    <row r="367" spans="1:68" ht="14.25" hidden="1" customHeight="1" x14ac:dyDescent="0.25">
      <c r="A367" s="555" t="s">
        <v>101</v>
      </c>
      <c r="B367" s="551"/>
      <c r="C367" s="551"/>
      <c r="D367" s="551"/>
      <c r="E367" s="551"/>
      <c r="F367" s="551"/>
      <c r="G367" s="551"/>
      <c r="H367" s="551"/>
      <c r="I367" s="551"/>
      <c r="J367" s="551"/>
      <c r="K367" s="551"/>
      <c r="L367" s="551"/>
      <c r="M367" s="551"/>
      <c r="N367" s="551"/>
      <c r="O367" s="551"/>
      <c r="P367" s="551"/>
      <c r="Q367" s="551"/>
      <c r="R367" s="551"/>
      <c r="S367" s="551"/>
      <c r="T367" s="551"/>
      <c r="U367" s="551"/>
      <c r="V367" s="551"/>
      <c r="W367" s="551"/>
      <c r="X367" s="551"/>
      <c r="Y367" s="551"/>
      <c r="Z367" s="551"/>
      <c r="AA367" s="537"/>
      <c r="AB367" s="537"/>
      <c r="AC367" s="537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59">
        <v>4680115884885</v>
      </c>
      <c r="E368" s="560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3"/>
      <c r="R368" s="553"/>
      <c r="S368" s="553"/>
      <c r="T368" s="554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59">
        <v>4680115884908</v>
      </c>
      <c r="E369" s="560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3"/>
      <c r="R369" s="553"/>
      <c r="S369" s="553"/>
      <c r="T369" s="554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6"/>
      <c r="B370" s="551"/>
      <c r="C370" s="551"/>
      <c r="D370" s="551"/>
      <c r="E370" s="551"/>
      <c r="F370" s="551"/>
      <c r="G370" s="551"/>
      <c r="H370" s="551"/>
      <c r="I370" s="551"/>
      <c r="J370" s="551"/>
      <c r="K370" s="551"/>
      <c r="L370" s="551"/>
      <c r="M370" s="551"/>
      <c r="N370" s="551"/>
      <c r="O370" s="557"/>
      <c r="P370" s="547" t="s">
        <v>71</v>
      </c>
      <c r="Q370" s="548"/>
      <c r="R370" s="548"/>
      <c r="S370" s="548"/>
      <c r="T370" s="548"/>
      <c r="U370" s="548"/>
      <c r="V370" s="549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1"/>
      <c r="B371" s="551"/>
      <c r="C371" s="551"/>
      <c r="D371" s="551"/>
      <c r="E371" s="551"/>
      <c r="F371" s="551"/>
      <c r="G371" s="551"/>
      <c r="H371" s="551"/>
      <c r="I371" s="551"/>
      <c r="J371" s="551"/>
      <c r="K371" s="551"/>
      <c r="L371" s="551"/>
      <c r="M371" s="551"/>
      <c r="N371" s="551"/>
      <c r="O371" s="557"/>
      <c r="P371" s="547" t="s">
        <v>71</v>
      </c>
      <c r="Q371" s="548"/>
      <c r="R371" s="548"/>
      <c r="S371" s="548"/>
      <c r="T371" s="548"/>
      <c r="U371" s="548"/>
      <c r="V371" s="549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5" t="s">
        <v>64</v>
      </c>
      <c r="B372" s="551"/>
      <c r="C372" s="551"/>
      <c r="D372" s="551"/>
      <c r="E372" s="551"/>
      <c r="F372" s="551"/>
      <c r="G372" s="551"/>
      <c r="H372" s="551"/>
      <c r="I372" s="551"/>
      <c r="J372" s="551"/>
      <c r="K372" s="551"/>
      <c r="L372" s="551"/>
      <c r="M372" s="551"/>
      <c r="N372" s="551"/>
      <c r="O372" s="551"/>
      <c r="P372" s="551"/>
      <c r="Q372" s="551"/>
      <c r="R372" s="551"/>
      <c r="S372" s="551"/>
      <c r="T372" s="551"/>
      <c r="U372" s="551"/>
      <c r="V372" s="551"/>
      <c r="W372" s="551"/>
      <c r="X372" s="551"/>
      <c r="Y372" s="551"/>
      <c r="Z372" s="551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59">
        <v>4607091384802</v>
      </c>
      <c r="E373" s="560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5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3"/>
      <c r="R373" s="553"/>
      <c r="S373" s="553"/>
      <c r="T373" s="554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59">
        <v>4607091384802</v>
      </c>
      <c r="E374" s="560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3"/>
      <c r="R374" s="553"/>
      <c r="S374" s="553"/>
      <c r="T374" s="554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6"/>
      <c r="B375" s="551"/>
      <c r="C375" s="551"/>
      <c r="D375" s="551"/>
      <c r="E375" s="551"/>
      <c r="F375" s="551"/>
      <c r="G375" s="551"/>
      <c r="H375" s="551"/>
      <c r="I375" s="551"/>
      <c r="J375" s="551"/>
      <c r="K375" s="551"/>
      <c r="L375" s="551"/>
      <c r="M375" s="551"/>
      <c r="N375" s="551"/>
      <c r="O375" s="557"/>
      <c r="P375" s="547" t="s">
        <v>71</v>
      </c>
      <c r="Q375" s="548"/>
      <c r="R375" s="548"/>
      <c r="S375" s="548"/>
      <c r="T375" s="548"/>
      <c r="U375" s="548"/>
      <c r="V375" s="549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1"/>
      <c r="B376" s="551"/>
      <c r="C376" s="551"/>
      <c r="D376" s="551"/>
      <c r="E376" s="551"/>
      <c r="F376" s="551"/>
      <c r="G376" s="551"/>
      <c r="H376" s="551"/>
      <c r="I376" s="551"/>
      <c r="J376" s="551"/>
      <c r="K376" s="551"/>
      <c r="L376" s="551"/>
      <c r="M376" s="551"/>
      <c r="N376" s="551"/>
      <c r="O376" s="557"/>
      <c r="P376" s="547" t="s">
        <v>71</v>
      </c>
      <c r="Q376" s="548"/>
      <c r="R376" s="548"/>
      <c r="S376" s="548"/>
      <c r="T376" s="548"/>
      <c r="U376" s="548"/>
      <c r="V376" s="549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5" t="s">
        <v>73</v>
      </c>
      <c r="B377" s="551"/>
      <c r="C377" s="551"/>
      <c r="D377" s="551"/>
      <c r="E377" s="551"/>
      <c r="F377" s="551"/>
      <c r="G377" s="551"/>
      <c r="H377" s="551"/>
      <c r="I377" s="551"/>
      <c r="J377" s="551"/>
      <c r="K377" s="551"/>
      <c r="L377" s="551"/>
      <c r="M377" s="551"/>
      <c r="N377" s="551"/>
      <c r="O377" s="551"/>
      <c r="P377" s="551"/>
      <c r="Q377" s="551"/>
      <c r="R377" s="551"/>
      <c r="S377" s="551"/>
      <c r="T377" s="551"/>
      <c r="U377" s="551"/>
      <c r="V377" s="551"/>
      <c r="W377" s="551"/>
      <c r="X377" s="551"/>
      <c r="Y377" s="551"/>
      <c r="Z377" s="551"/>
      <c r="AA377" s="537"/>
      <c r="AB377" s="537"/>
      <c r="AC377" s="537"/>
    </row>
    <row r="378" spans="1:68" ht="27" hidden="1" customHeight="1" x14ac:dyDescent="0.25">
      <c r="A378" s="54" t="s">
        <v>581</v>
      </c>
      <c r="B378" s="54" t="s">
        <v>582</v>
      </c>
      <c r="C378" s="31">
        <v>4301051899</v>
      </c>
      <c r="D378" s="559">
        <v>4607091384246</v>
      </c>
      <c r="E378" s="560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3"/>
      <c r="R378" s="553"/>
      <c r="S378" s="553"/>
      <c r="T378" s="554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59">
        <v>4607091384253</v>
      </c>
      <c r="E379" s="560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3"/>
      <c r="R379" s="553"/>
      <c r="S379" s="553"/>
      <c r="T379" s="554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6"/>
      <c r="B380" s="551"/>
      <c r="C380" s="551"/>
      <c r="D380" s="551"/>
      <c r="E380" s="551"/>
      <c r="F380" s="551"/>
      <c r="G380" s="551"/>
      <c r="H380" s="551"/>
      <c r="I380" s="551"/>
      <c r="J380" s="551"/>
      <c r="K380" s="551"/>
      <c r="L380" s="551"/>
      <c r="M380" s="551"/>
      <c r="N380" s="551"/>
      <c r="O380" s="557"/>
      <c r="P380" s="547" t="s">
        <v>71</v>
      </c>
      <c r="Q380" s="548"/>
      <c r="R380" s="548"/>
      <c r="S380" s="548"/>
      <c r="T380" s="548"/>
      <c r="U380" s="548"/>
      <c r="V380" s="549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1"/>
      <c r="B381" s="551"/>
      <c r="C381" s="551"/>
      <c r="D381" s="551"/>
      <c r="E381" s="551"/>
      <c r="F381" s="551"/>
      <c r="G381" s="551"/>
      <c r="H381" s="551"/>
      <c r="I381" s="551"/>
      <c r="J381" s="551"/>
      <c r="K381" s="551"/>
      <c r="L381" s="551"/>
      <c r="M381" s="551"/>
      <c r="N381" s="551"/>
      <c r="O381" s="557"/>
      <c r="P381" s="547" t="s">
        <v>71</v>
      </c>
      <c r="Q381" s="548"/>
      <c r="R381" s="548"/>
      <c r="S381" s="548"/>
      <c r="T381" s="548"/>
      <c r="U381" s="548"/>
      <c r="V381" s="549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5" t="s">
        <v>586</v>
      </c>
      <c r="B382" s="636"/>
      <c r="C382" s="636"/>
      <c r="D382" s="636"/>
      <c r="E382" s="636"/>
      <c r="F382" s="636"/>
      <c r="G382" s="636"/>
      <c r="H382" s="636"/>
      <c r="I382" s="636"/>
      <c r="J382" s="636"/>
      <c r="K382" s="636"/>
      <c r="L382" s="636"/>
      <c r="M382" s="636"/>
      <c r="N382" s="636"/>
      <c r="O382" s="636"/>
      <c r="P382" s="636"/>
      <c r="Q382" s="636"/>
      <c r="R382" s="636"/>
      <c r="S382" s="636"/>
      <c r="T382" s="636"/>
      <c r="U382" s="636"/>
      <c r="V382" s="636"/>
      <c r="W382" s="636"/>
      <c r="X382" s="636"/>
      <c r="Y382" s="636"/>
      <c r="Z382" s="636"/>
      <c r="AA382" s="48"/>
      <c r="AB382" s="48"/>
      <c r="AC382" s="48"/>
    </row>
    <row r="383" spans="1:68" ht="16.5" hidden="1" customHeight="1" x14ac:dyDescent="0.25">
      <c r="A383" s="550" t="s">
        <v>587</v>
      </c>
      <c r="B383" s="551"/>
      <c r="C383" s="551"/>
      <c r="D383" s="551"/>
      <c r="E383" s="551"/>
      <c r="F383" s="551"/>
      <c r="G383" s="551"/>
      <c r="H383" s="551"/>
      <c r="I383" s="551"/>
      <c r="J383" s="551"/>
      <c r="K383" s="551"/>
      <c r="L383" s="551"/>
      <c r="M383" s="551"/>
      <c r="N383" s="551"/>
      <c r="O383" s="551"/>
      <c r="P383" s="551"/>
      <c r="Q383" s="551"/>
      <c r="R383" s="551"/>
      <c r="S383" s="551"/>
      <c r="T383" s="551"/>
      <c r="U383" s="551"/>
      <c r="V383" s="551"/>
      <c r="W383" s="551"/>
      <c r="X383" s="551"/>
      <c r="Y383" s="551"/>
      <c r="Z383" s="551"/>
      <c r="AA383" s="536"/>
      <c r="AB383" s="536"/>
      <c r="AC383" s="536"/>
    </row>
    <row r="384" spans="1:68" ht="14.25" hidden="1" customHeight="1" x14ac:dyDescent="0.25">
      <c r="A384" s="555" t="s">
        <v>64</v>
      </c>
      <c r="B384" s="551"/>
      <c r="C384" s="551"/>
      <c r="D384" s="551"/>
      <c r="E384" s="551"/>
      <c r="F384" s="551"/>
      <c r="G384" s="551"/>
      <c r="H384" s="551"/>
      <c r="I384" s="551"/>
      <c r="J384" s="551"/>
      <c r="K384" s="551"/>
      <c r="L384" s="551"/>
      <c r="M384" s="551"/>
      <c r="N384" s="551"/>
      <c r="O384" s="551"/>
      <c r="P384" s="551"/>
      <c r="Q384" s="551"/>
      <c r="R384" s="551"/>
      <c r="S384" s="551"/>
      <c r="T384" s="551"/>
      <c r="U384" s="551"/>
      <c r="V384" s="551"/>
      <c r="W384" s="551"/>
      <c r="X384" s="551"/>
      <c r="Y384" s="551"/>
      <c r="Z384" s="551"/>
      <c r="AA384" s="537"/>
      <c r="AB384" s="537"/>
      <c r="AC384" s="537"/>
    </row>
    <row r="385" spans="1:68" ht="27" hidden="1" customHeight="1" x14ac:dyDescent="0.25">
      <c r="A385" s="54" t="s">
        <v>588</v>
      </c>
      <c r="B385" s="54" t="s">
        <v>589</v>
      </c>
      <c r="C385" s="31">
        <v>4301031405</v>
      </c>
      <c r="D385" s="559">
        <v>4680115886100</v>
      </c>
      <c r="E385" s="560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59">
        <v>4680115886117</v>
      </c>
      <c r="E386" s="560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4301031402</v>
      </c>
      <c r="D387" s="559">
        <v>4680115886124</v>
      </c>
      <c r="E387" s="560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1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3"/>
      <c r="R387" s="553"/>
      <c r="S387" s="553"/>
      <c r="T387" s="554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59">
        <v>4680115883147</v>
      </c>
      <c r="E388" s="560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3"/>
      <c r="R388" s="553"/>
      <c r="S388" s="553"/>
      <c r="T388" s="554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59">
        <v>4607091384338</v>
      </c>
      <c r="E389" s="560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69</v>
      </c>
      <c r="X389" s="541">
        <v>105</v>
      </c>
      <c r="Y389" s="542">
        <f t="shared" si="41"/>
        <v>105</v>
      </c>
      <c r="Z389" s="36">
        <f t="shared" si="46"/>
        <v>0.251</v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111.5</v>
      </c>
      <c r="BN389" s="64">
        <f t="shared" si="43"/>
        <v>111.5</v>
      </c>
      <c r="BO389" s="64">
        <f t="shared" si="44"/>
        <v>0.21367521367521369</v>
      </c>
      <c r="BP389" s="64">
        <f t="shared" si="45"/>
        <v>0.21367521367521369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59">
        <v>4607091389524</v>
      </c>
      <c r="E390" s="560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3"/>
      <c r="R390" s="553"/>
      <c r="S390" s="553"/>
      <c r="T390" s="554"/>
      <c r="U390" s="34"/>
      <c r="V390" s="34"/>
      <c r="W390" s="35" t="s">
        <v>69</v>
      </c>
      <c r="X390" s="541">
        <v>105</v>
      </c>
      <c r="Y390" s="542">
        <f t="shared" si="41"/>
        <v>105</v>
      </c>
      <c r="Z390" s="36">
        <f t="shared" si="46"/>
        <v>0.251</v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111.5</v>
      </c>
      <c r="BN390" s="64">
        <f t="shared" si="43"/>
        <v>111.5</v>
      </c>
      <c r="BO390" s="64">
        <f t="shared" si="44"/>
        <v>0.21367521367521369</v>
      </c>
      <c r="BP390" s="64">
        <f t="shared" si="45"/>
        <v>0.21367521367521369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59">
        <v>4680115883161</v>
      </c>
      <c r="E391" s="560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3"/>
      <c r="R391" s="553"/>
      <c r="S391" s="553"/>
      <c r="T391" s="554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59">
        <v>4607091389531</v>
      </c>
      <c r="E392" s="560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3"/>
      <c r="R392" s="553"/>
      <c r="S392" s="553"/>
      <c r="T392" s="554"/>
      <c r="U392" s="34"/>
      <c r="V392" s="34"/>
      <c r="W392" s="35" t="s">
        <v>69</v>
      </c>
      <c r="X392" s="541">
        <v>122.5</v>
      </c>
      <c r="Y392" s="542">
        <f t="shared" si="41"/>
        <v>123.9</v>
      </c>
      <c r="Z392" s="36">
        <f t="shared" si="46"/>
        <v>0.29618</v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130.08333333333334</v>
      </c>
      <c r="BN392" s="64">
        <f t="shared" si="43"/>
        <v>131.57</v>
      </c>
      <c r="BO392" s="64">
        <f t="shared" si="44"/>
        <v>0.2492877492877493</v>
      </c>
      <c r="BP392" s="64">
        <f t="shared" si="45"/>
        <v>0.25213675213675218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59">
        <v>4607091384345</v>
      </c>
      <c r="E393" s="560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3"/>
      <c r="R393" s="553"/>
      <c r="S393" s="553"/>
      <c r="T393" s="554"/>
      <c r="U393" s="34"/>
      <c r="V393" s="34"/>
      <c r="W393" s="35" t="s">
        <v>69</v>
      </c>
      <c r="X393" s="541">
        <v>105</v>
      </c>
      <c r="Y393" s="542">
        <f t="shared" si="41"/>
        <v>105</v>
      </c>
      <c r="Z393" s="36">
        <f t="shared" si="46"/>
        <v>0.251</v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111.5</v>
      </c>
      <c r="BN393" s="64">
        <f t="shared" si="43"/>
        <v>111.5</v>
      </c>
      <c r="BO393" s="64">
        <f t="shared" si="44"/>
        <v>0.21367521367521369</v>
      </c>
      <c r="BP393" s="64">
        <f t="shared" si="45"/>
        <v>0.21367521367521369</v>
      </c>
    </row>
    <row r="394" spans="1:68" x14ac:dyDescent="0.2">
      <c r="A394" s="556"/>
      <c r="B394" s="551"/>
      <c r="C394" s="551"/>
      <c r="D394" s="551"/>
      <c r="E394" s="551"/>
      <c r="F394" s="551"/>
      <c r="G394" s="551"/>
      <c r="H394" s="551"/>
      <c r="I394" s="551"/>
      <c r="J394" s="551"/>
      <c r="K394" s="551"/>
      <c r="L394" s="551"/>
      <c r="M394" s="551"/>
      <c r="N394" s="551"/>
      <c r="O394" s="557"/>
      <c r="P394" s="547" t="s">
        <v>71</v>
      </c>
      <c r="Q394" s="548"/>
      <c r="R394" s="548"/>
      <c r="S394" s="548"/>
      <c r="T394" s="548"/>
      <c r="U394" s="548"/>
      <c r="V394" s="54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208.33333333333331</v>
      </c>
      <c r="Y394" s="543">
        <f>IFERROR(Y385/H385,"0")+IFERROR(Y386/H386,"0")+IFERROR(Y387/H387,"0")+IFERROR(Y388/H388,"0")+IFERROR(Y389/H389,"0")+IFERROR(Y390/H390,"0")+IFERROR(Y391/H391,"0")+IFERROR(Y392/H392,"0")+IFERROR(Y393/H393,"0")</f>
        <v>209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1.04918</v>
      </c>
      <c r="AA394" s="544"/>
      <c r="AB394" s="544"/>
      <c r="AC394" s="544"/>
    </row>
    <row r="395" spans="1:68" x14ac:dyDescent="0.2">
      <c r="A395" s="551"/>
      <c r="B395" s="551"/>
      <c r="C395" s="551"/>
      <c r="D395" s="551"/>
      <c r="E395" s="551"/>
      <c r="F395" s="551"/>
      <c r="G395" s="551"/>
      <c r="H395" s="551"/>
      <c r="I395" s="551"/>
      <c r="J395" s="551"/>
      <c r="K395" s="551"/>
      <c r="L395" s="551"/>
      <c r="M395" s="551"/>
      <c r="N395" s="551"/>
      <c r="O395" s="557"/>
      <c r="P395" s="547" t="s">
        <v>71</v>
      </c>
      <c r="Q395" s="548"/>
      <c r="R395" s="548"/>
      <c r="S395" s="548"/>
      <c r="T395" s="548"/>
      <c r="U395" s="548"/>
      <c r="V395" s="549"/>
      <c r="W395" s="37" t="s">
        <v>69</v>
      </c>
      <c r="X395" s="543">
        <f>IFERROR(SUM(X385:X393),"0")</f>
        <v>437.5</v>
      </c>
      <c r="Y395" s="543">
        <f>IFERROR(SUM(Y385:Y393),"0")</f>
        <v>438.9</v>
      </c>
      <c r="Z395" s="37"/>
      <c r="AA395" s="544"/>
      <c r="AB395" s="544"/>
      <c r="AC395" s="544"/>
    </row>
    <row r="396" spans="1:68" ht="14.25" hidden="1" customHeight="1" x14ac:dyDescent="0.25">
      <c r="A396" s="555" t="s">
        <v>73</v>
      </c>
      <c r="B396" s="551"/>
      <c r="C396" s="551"/>
      <c r="D396" s="551"/>
      <c r="E396" s="551"/>
      <c r="F396" s="551"/>
      <c r="G396" s="551"/>
      <c r="H396" s="551"/>
      <c r="I396" s="551"/>
      <c r="J396" s="551"/>
      <c r="K396" s="551"/>
      <c r="L396" s="551"/>
      <c r="M396" s="551"/>
      <c r="N396" s="551"/>
      <c r="O396" s="551"/>
      <c r="P396" s="551"/>
      <c r="Q396" s="551"/>
      <c r="R396" s="551"/>
      <c r="S396" s="551"/>
      <c r="T396" s="551"/>
      <c r="U396" s="551"/>
      <c r="V396" s="551"/>
      <c r="W396" s="551"/>
      <c r="X396" s="551"/>
      <c r="Y396" s="551"/>
      <c r="Z396" s="551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59">
        <v>4607091384352</v>
      </c>
      <c r="E397" s="560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3"/>
      <c r="R397" s="553"/>
      <c r="S397" s="553"/>
      <c r="T397" s="554"/>
      <c r="U397" s="34"/>
      <c r="V397" s="34"/>
      <c r="W397" s="35" t="s">
        <v>69</v>
      </c>
      <c r="X397" s="541">
        <v>240</v>
      </c>
      <c r="Y397" s="542">
        <f>IFERROR(IF(X397="",0,CEILING((X397/$H397),1)*$H397),"")</f>
        <v>240</v>
      </c>
      <c r="Z397" s="36">
        <f>IFERROR(IF(Y397=0,"",ROUNDUP(Y397/H397,0)*0.00902),"")</f>
        <v>0.90200000000000002</v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262.60000000000002</v>
      </c>
      <c r="BN397" s="64">
        <f>IFERROR(Y397*I397/H397,"0")</f>
        <v>262.60000000000002</v>
      </c>
      <c r="BO397" s="64">
        <f>IFERROR(1/J397*(X397/H397),"0")</f>
        <v>0.75757575757575757</v>
      </c>
      <c r="BP397" s="64">
        <f>IFERROR(1/J397*(Y397/H397),"0")</f>
        <v>0.75757575757575757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59">
        <v>4607091389654</v>
      </c>
      <c r="E398" s="560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3"/>
      <c r="R398" s="553"/>
      <c r="S398" s="553"/>
      <c r="T398" s="554"/>
      <c r="U398" s="34"/>
      <c r="V398" s="34"/>
      <c r="W398" s="35" t="s">
        <v>69</v>
      </c>
      <c r="X398" s="541">
        <v>132</v>
      </c>
      <c r="Y398" s="542">
        <f>IFERROR(IF(X398="",0,CEILING((X398/$H398),1)*$H398),"")</f>
        <v>132.66</v>
      </c>
      <c r="Z398" s="36">
        <f>IFERROR(IF(Y398=0,"",ROUNDUP(Y398/H398,0)*0.00651),"")</f>
        <v>0.43617</v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149.19999999999999</v>
      </c>
      <c r="BN398" s="64">
        <f>IFERROR(Y398*I398/H398,"0")</f>
        <v>149.946</v>
      </c>
      <c r="BO398" s="64">
        <f>IFERROR(1/J398*(X398/H398),"0")</f>
        <v>0.36630036630036633</v>
      </c>
      <c r="BP398" s="64">
        <f>IFERROR(1/J398*(Y398/H398),"0")</f>
        <v>0.36813186813186816</v>
      </c>
    </row>
    <row r="399" spans="1:68" x14ac:dyDescent="0.2">
      <c r="A399" s="556"/>
      <c r="B399" s="551"/>
      <c r="C399" s="551"/>
      <c r="D399" s="551"/>
      <c r="E399" s="551"/>
      <c r="F399" s="551"/>
      <c r="G399" s="551"/>
      <c r="H399" s="551"/>
      <c r="I399" s="551"/>
      <c r="J399" s="551"/>
      <c r="K399" s="551"/>
      <c r="L399" s="551"/>
      <c r="M399" s="551"/>
      <c r="N399" s="551"/>
      <c r="O399" s="557"/>
      <c r="P399" s="547" t="s">
        <v>71</v>
      </c>
      <c r="Q399" s="548"/>
      <c r="R399" s="548"/>
      <c r="S399" s="548"/>
      <c r="T399" s="548"/>
      <c r="U399" s="548"/>
      <c r="V399" s="549"/>
      <c r="W399" s="37" t="s">
        <v>72</v>
      </c>
      <c r="X399" s="543">
        <f>IFERROR(X397/H397,"0")+IFERROR(X398/H398,"0")</f>
        <v>166.66666666666669</v>
      </c>
      <c r="Y399" s="543">
        <f>IFERROR(Y397/H397,"0")+IFERROR(Y398/H398,"0")</f>
        <v>167</v>
      </c>
      <c r="Z399" s="543">
        <f>IFERROR(IF(Z397="",0,Z397),"0")+IFERROR(IF(Z398="",0,Z398),"0")</f>
        <v>1.3381700000000001</v>
      </c>
      <c r="AA399" s="544"/>
      <c r="AB399" s="544"/>
      <c r="AC399" s="544"/>
    </row>
    <row r="400" spans="1:68" x14ac:dyDescent="0.2">
      <c r="A400" s="551"/>
      <c r="B400" s="551"/>
      <c r="C400" s="551"/>
      <c r="D400" s="551"/>
      <c r="E400" s="551"/>
      <c r="F400" s="551"/>
      <c r="G400" s="551"/>
      <c r="H400" s="551"/>
      <c r="I400" s="551"/>
      <c r="J400" s="551"/>
      <c r="K400" s="551"/>
      <c r="L400" s="551"/>
      <c r="M400" s="551"/>
      <c r="N400" s="551"/>
      <c r="O400" s="557"/>
      <c r="P400" s="547" t="s">
        <v>71</v>
      </c>
      <c r="Q400" s="548"/>
      <c r="R400" s="548"/>
      <c r="S400" s="548"/>
      <c r="T400" s="548"/>
      <c r="U400" s="548"/>
      <c r="V400" s="549"/>
      <c r="W400" s="37" t="s">
        <v>69</v>
      </c>
      <c r="X400" s="543">
        <f>IFERROR(SUM(X397:X398),"0")</f>
        <v>372</v>
      </c>
      <c r="Y400" s="543">
        <f>IFERROR(SUM(Y397:Y398),"0")</f>
        <v>372.65999999999997</v>
      </c>
      <c r="Z400" s="37"/>
      <c r="AA400" s="544"/>
      <c r="AB400" s="544"/>
      <c r="AC400" s="544"/>
    </row>
    <row r="401" spans="1:68" ht="16.5" hidden="1" customHeight="1" x14ac:dyDescent="0.25">
      <c r="A401" s="550" t="s">
        <v>618</v>
      </c>
      <c r="B401" s="551"/>
      <c r="C401" s="551"/>
      <c r="D401" s="551"/>
      <c r="E401" s="551"/>
      <c r="F401" s="551"/>
      <c r="G401" s="551"/>
      <c r="H401" s="551"/>
      <c r="I401" s="551"/>
      <c r="J401" s="551"/>
      <c r="K401" s="551"/>
      <c r="L401" s="551"/>
      <c r="M401" s="551"/>
      <c r="N401" s="551"/>
      <c r="O401" s="551"/>
      <c r="P401" s="551"/>
      <c r="Q401" s="551"/>
      <c r="R401" s="551"/>
      <c r="S401" s="551"/>
      <c r="T401" s="551"/>
      <c r="U401" s="551"/>
      <c r="V401" s="551"/>
      <c r="W401" s="551"/>
      <c r="X401" s="551"/>
      <c r="Y401" s="551"/>
      <c r="Z401" s="551"/>
      <c r="AA401" s="536"/>
      <c r="AB401" s="536"/>
      <c r="AC401" s="536"/>
    </row>
    <row r="402" spans="1:68" ht="14.25" hidden="1" customHeight="1" x14ac:dyDescent="0.25">
      <c r="A402" s="555" t="s">
        <v>136</v>
      </c>
      <c r="B402" s="551"/>
      <c r="C402" s="551"/>
      <c r="D402" s="551"/>
      <c r="E402" s="551"/>
      <c r="F402" s="551"/>
      <c r="G402" s="551"/>
      <c r="H402" s="551"/>
      <c r="I402" s="551"/>
      <c r="J402" s="551"/>
      <c r="K402" s="551"/>
      <c r="L402" s="551"/>
      <c r="M402" s="551"/>
      <c r="N402" s="551"/>
      <c r="O402" s="551"/>
      <c r="P402" s="551"/>
      <c r="Q402" s="551"/>
      <c r="R402" s="551"/>
      <c r="S402" s="551"/>
      <c r="T402" s="551"/>
      <c r="U402" s="551"/>
      <c r="V402" s="551"/>
      <c r="W402" s="551"/>
      <c r="X402" s="551"/>
      <c r="Y402" s="551"/>
      <c r="Z402" s="551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59">
        <v>4680115885240</v>
      </c>
      <c r="E403" s="560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3"/>
      <c r="R403" s="553"/>
      <c r="S403" s="553"/>
      <c r="T403" s="554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6"/>
      <c r="B404" s="551"/>
      <c r="C404" s="551"/>
      <c r="D404" s="551"/>
      <c r="E404" s="551"/>
      <c r="F404" s="551"/>
      <c r="G404" s="551"/>
      <c r="H404" s="551"/>
      <c r="I404" s="551"/>
      <c r="J404" s="551"/>
      <c r="K404" s="551"/>
      <c r="L404" s="551"/>
      <c r="M404" s="551"/>
      <c r="N404" s="551"/>
      <c r="O404" s="557"/>
      <c r="P404" s="547" t="s">
        <v>71</v>
      </c>
      <c r="Q404" s="548"/>
      <c r="R404" s="548"/>
      <c r="S404" s="548"/>
      <c r="T404" s="548"/>
      <c r="U404" s="548"/>
      <c r="V404" s="54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1"/>
      <c r="B405" s="551"/>
      <c r="C405" s="551"/>
      <c r="D405" s="551"/>
      <c r="E405" s="551"/>
      <c r="F405" s="551"/>
      <c r="G405" s="551"/>
      <c r="H405" s="551"/>
      <c r="I405" s="551"/>
      <c r="J405" s="551"/>
      <c r="K405" s="551"/>
      <c r="L405" s="551"/>
      <c r="M405" s="551"/>
      <c r="N405" s="551"/>
      <c r="O405" s="557"/>
      <c r="P405" s="547" t="s">
        <v>71</v>
      </c>
      <c r="Q405" s="548"/>
      <c r="R405" s="548"/>
      <c r="S405" s="548"/>
      <c r="T405" s="548"/>
      <c r="U405" s="548"/>
      <c r="V405" s="54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5" t="s">
        <v>64</v>
      </c>
      <c r="B406" s="551"/>
      <c r="C406" s="551"/>
      <c r="D406" s="551"/>
      <c r="E406" s="551"/>
      <c r="F406" s="551"/>
      <c r="G406" s="551"/>
      <c r="H406" s="551"/>
      <c r="I406" s="551"/>
      <c r="J406" s="551"/>
      <c r="K406" s="551"/>
      <c r="L406" s="551"/>
      <c r="M406" s="551"/>
      <c r="N406" s="551"/>
      <c r="O406" s="551"/>
      <c r="P406" s="551"/>
      <c r="Q406" s="551"/>
      <c r="R406" s="551"/>
      <c r="S406" s="551"/>
      <c r="T406" s="551"/>
      <c r="U406" s="551"/>
      <c r="V406" s="551"/>
      <c r="W406" s="551"/>
      <c r="X406" s="551"/>
      <c r="Y406" s="551"/>
      <c r="Z406" s="551"/>
      <c r="AA406" s="537"/>
      <c r="AB406" s="537"/>
      <c r="AC406" s="537"/>
    </row>
    <row r="407" spans="1:68" ht="27" hidden="1" customHeight="1" x14ac:dyDescent="0.25">
      <c r="A407" s="54" t="s">
        <v>622</v>
      </c>
      <c r="B407" s="54" t="s">
        <v>623</v>
      </c>
      <c r="C407" s="31">
        <v>4301031403</v>
      </c>
      <c r="D407" s="559">
        <v>4680115886094</v>
      </c>
      <c r="E407" s="560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3"/>
      <c r="R407" s="553"/>
      <c r="S407" s="553"/>
      <c r="T407" s="554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59">
        <v>4607091389425</v>
      </c>
      <c r="E408" s="560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3"/>
      <c r="R408" s="553"/>
      <c r="S408" s="553"/>
      <c r="T408" s="554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59">
        <v>4680115880771</v>
      </c>
      <c r="E409" s="560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0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3"/>
      <c r="R409" s="553"/>
      <c r="S409" s="553"/>
      <c r="T409" s="554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59">
        <v>4607091389500</v>
      </c>
      <c r="E410" s="560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3"/>
      <c r="R410" s="553"/>
      <c r="S410" s="553"/>
      <c r="T410" s="554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6"/>
      <c r="B411" s="551"/>
      <c r="C411" s="551"/>
      <c r="D411" s="551"/>
      <c r="E411" s="551"/>
      <c r="F411" s="551"/>
      <c r="G411" s="551"/>
      <c r="H411" s="551"/>
      <c r="I411" s="551"/>
      <c r="J411" s="551"/>
      <c r="K411" s="551"/>
      <c r="L411" s="551"/>
      <c r="M411" s="551"/>
      <c r="N411" s="551"/>
      <c r="O411" s="557"/>
      <c r="P411" s="547" t="s">
        <v>71</v>
      </c>
      <c r="Q411" s="548"/>
      <c r="R411" s="548"/>
      <c r="S411" s="548"/>
      <c r="T411" s="548"/>
      <c r="U411" s="548"/>
      <c r="V411" s="54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1"/>
      <c r="B412" s="551"/>
      <c r="C412" s="551"/>
      <c r="D412" s="551"/>
      <c r="E412" s="551"/>
      <c r="F412" s="551"/>
      <c r="G412" s="551"/>
      <c r="H412" s="551"/>
      <c r="I412" s="551"/>
      <c r="J412" s="551"/>
      <c r="K412" s="551"/>
      <c r="L412" s="551"/>
      <c r="M412" s="551"/>
      <c r="N412" s="551"/>
      <c r="O412" s="557"/>
      <c r="P412" s="547" t="s">
        <v>71</v>
      </c>
      <c r="Q412" s="548"/>
      <c r="R412" s="548"/>
      <c r="S412" s="548"/>
      <c r="T412" s="548"/>
      <c r="U412" s="548"/>
      <c r="V412" s="54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50" t="s">
        <v>633</v>
      </c>
      <c r="B413" s="551"/>
      <c r="C413" s="551"/>
      <c r="D413" s="551"/>
      <c r="E413" s="551"/>
      <c r="F413" s="551"/>
      <c r="G413" s="551"/>
      <c r="H413" s="551"/>
      <c r="I413" s="551"/>
      <c r="J413" s="551"/>
      <c r="K413" s="551"/>
      <c r="L413" s="551"/>
      <c r="M413" s="551"/>
      <c r="N413" s="551"/>
      <c r="O413" s="551"/>
      <c r="P413" s="551"/>
      <c r="Q413" s="551"/>
      <c r="R413" s="551"/>
      <c r="S413" s="551"/>
      <c r="T413" s="551"/>
      <c r="U413" s="551"/>
      <c r="V413" s="551"/>
      <c r="W413" s="551"/>
      <c r="X413" s="551"/>
      <c r="Y413" s="551"/>
      <c r="Z413" s="551"/>
      <c r="AA413" s="536"/>
      <c r="AB413" s="536"/>
      <c r="AC413" s="536"/>
    </row>
    <row r="414" spans="1:68" ht="14.25" hidden="1" customHeight="1" x14ac:dyDescent="0.25">
      <c r="A414" s="555" t="s">
        <v>64</v>
      </c>
      <c r="B414" s="551"/>
      <c r="C414" s="551"/>
      <c r="D414" s="551"/>
      <c r="E414" s="551"/>
      <c r="F414" s="551"/>
      <c r="G414" s="551"/>
      <c r="H414" s="551"/>
      <c r="I414" s="551"/>
      <c r="J414" s="551"/>
      <c r="K414" s="551"/>
      <c r="L414" s="551"/>
      <c r="M414" s="551"/>
      <c r="N414" s="551"/>
      <c r="O414" s="551"/>
      <c r="P414" s="551"/>
      <c r="Q414" s="551"/>
      <c r="R414" s="551"/>
      <c r="S414" s="551"/>
      <c r="T414" s="551"/>
      <c r="U414" s="551"/>
      <c r="V414" s="551"/>
      <c r="W414" s="551"/>
      <c r="X414" s="551"/>
      <c r="Y414" s="551"/>
      <c r="Z414" s="551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59">
        <v>4680115885110</v>
      </c>
      <c r="E415" s="560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4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3"/>
      <c r="R415" s="553"/>
      <c r="S415" s="553"/>
      <c r="T415" s="554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6"/>
      <c r="B416" s="551"/>
      <c r="C416" s="551"/>
      <c r="D416" s="551"/>
      <c r="E416" s="551"/>
      <c r="F416" s="551"/>
      <c r="G416" s="551"/>
      <c r="H416" s="551"/>
      <c r="I416" s="551"/>
      <c r="J416" s="551"/>
      <c r="K416" s="551"/>
      <c r="L416" s="551"/>
      <c r="M416" s="551"/>
      <c r="N416" s="551"/>
      <c r="O416" s="557"/>
      <c r="P416" s="547" t="s">
        <v>71</v>
      </c>
      <c r="Q416" s="548"/>
      <c r="R416" s="548"/>
      <c r="S416" s="548"/>
      <c r="T416" s="548"/>
      <c r="U416" s="548"/>
      <c r="V416" s="54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1"/>
      <c r="B417" s="551"/>
      <c r="C417" s="551"/>
      <c r="D417" s="551"/>
      <c r="E417" s="551"/>
      <c r="F417" s="551"/>
      <c r="G417" s="551"/>
      <c r="H417" s="551"/>
      <c r="I417" s="551"/>
      <c r="J417" s="551"/>
      <c r="K417" s="551"/>
      <c r="L417" s="551"/>
      <c r="M417" s="551"/>
      <c r="N417" s="551"/>
      <c r="O417" s="557"/>
      <c r="P417" s="547" t="s">
        <v>71</v>
      </c>
      <c r="Q417" s="548"/>
      <c r="R417" s="548"/>
      <c r="S417" s="548"/>
      <c r="T417" s="548"/>
      <c r="U417" s="548"/>
      <c r="V417" s="54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5" t="s">
        <v>637</v>
      </c>
      <c r="B418" s="636"/>
      <c r="C418" s="636"/>
      <c r="D418" s="636"/>
      <c r="E418" s="636"/>
      <c r="F418" s="636"/>
      <c r="G418" s="636"/>
      <c r="H418" s="636"/>
      <c r="I418" s="636"/>
      <c r="J418" s="636"/>
      <c r="K418" s="636"/>
      <c r="L418" s="636"/>
      <c r="M418" s="636"/>
      <c r="N418" s="636"/>
      <c r="O418" s="636"/>
      <c r="P418" s="636"/>
      <c r="Q418" s="636"/>
      <c r="R418" s="636"/>
      <c r="S418" s="636"/>
      <c r="T418" s="636"/>
      <c r="U418" s="636"/>
      <c r="V418" s="636"/>
      <c r="W418" s="636"/>
      <c r="X418" s="636"/>
      <c r="Y418" s="636"/>
      <c r="Z418" s="636"/>
      <c r="AA418" s="48"/>
      <c r="AB418" s="48"/>
      <c r="AC418" s="48"/>
    </row>
    <row r="419" spans="1:68" ht="16.5" hidden="1" customHeight="1" x14ac:dyDescent="0.25">
      <c r="A419" s="550" t="s">
        <v>637</v>
      </c>
      <c r="B419" s="551"/>
      <c r="C419" s="551"/>
      <c r="D419" s="551"/>
      <c r="E419" s="551"/>
      <c r="F419" s="551"/>
      <c r="G419" s="551"/>
      <c r="H419" s="551"/>
      <c r="I419" s="551"/>
      <c r="J419" s="551"/>
      <c r="K419" s="551"/>
      <c r="L419" s="551"/>
      <c r="M419" s="551"/>
      <c r="N419" s="551"/>
      <c r="O419" s="551"/>
      <c r="P419" s="551"/>
      <c r="Q419" s="551"/>
      <c r="R419" s="551"/>
      <c r="S419" s="551"/>
      <c r="T419" s="551"/>
      <c r="U419" s="551"/>
      <c r="V419" s="551"/>
      <c r="W419" s="551"/>
      <c r="X419" s="551"/>
      <c r="Y419" s="551"/>
      <c r="Z419" s="551"/>
      <c r="AA419" s="536"/>
      <c r="AB419" s="536"/>
      <c r="AC419" s="536"/>
    </row>
    <row r="420" spans="1:68" ht="14.25" hidden="1" customHeight="1" x14ac:dyDescent="0.25">
      <c r="A420" s="555" t="s">
        <v>101</v>
      </c>
      <c r="B420" s="551"/>
      <c r="C420" s="551"/>
      <c r="D420" s="551"/>
      <c r="E420" s="551"/>
      <c r="F420" s="551"/>
      <c r="G420" s="551"/>
      <c r="H420" s="551"/>
      <c r="I420" s="551"/>
      <c r="J420" s="551"/>
      <c r="K420" s="551"/>
      <c r="L420" s="551"/>
      <c r="M420" s="551"/>
      <c r="N420" s="551"/>
      <c r="O420" s="551"/>
      <c r="P420" s="551"/>
      <c r="Q420" s="551"/>
      <c r="R420" s="551"/>
      <c r="S420" s="551"/>
      <c r="T420" s="551"/>
      <c r="U420" s="551"/>
      <c r="V420" s="551"/>
      <c r="W420" s="551"/>
      <c r="X420" s="551"/>
      <c r="Y420" s="551"/>
      <c r="Z420" s="551"/>
      <c r="AA420" s="537"/>
      <c r="AB420" s="537"/>
      <c r="AC420" s="537"/>
    </row>
    <row r="421" spans="1:68" ht="27" hidden="1" customHeight="1" x14ac:dyDescent="0.25">
      <c r="A421" s="54" t="s">
        <v>638</v>
      </c>
      <c r="B421" s="54" t="s">
        <v>639</v>
      </c>
      <c r="C421" s="31">
        <v>4301011795</v>
      </c>
      <c r="D421" s="559">
        <v>4607091389067</v>
      </c>
      <c r="E421" s="560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1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3"/>
      <c r="R421" s="553"/>
      <c r="S421" s="553"/>
      <c r="T421" s="554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4301012145</v>
      </c>
      <c r="D422" s="559">
        <v>4607091383522</v>
      </c>
      <c r="E422" s="560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53"/>
      <c r="R422" s="553"/>
      <c r="S422" s="553"/>
      <c r="T422" s="554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hidden="1" customHeight="1" x14ac:dyDescent="0.25">
      <c r="A423" s="54" t="s">
        <v>643</v>
      </c>
      <c r="B423" s="54" t="s">
        <v>644</v>
      </c>
      <c r="C423" s="31">
        <v>4301011961</v>
      </c>
      <c r="D423" s="559">
        <v>4680115885271</v>
      </c>
      <c r="E423" s="560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3"/>
      <c r="R423" s="553"/>
      <c r="S423" s="553"/>
      <c r="T423" s="554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4301011376</v>
      </c>
      <c r="D424" s="559">
        <v>4680115885226</v>
      </c>
      <c r="E424" s="560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3"/>
      <c r="R424" s="553"/>
      <c r="S424" s="553"/>
      <c r="T424" s="554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59">
        <v>4680115884502</v>
      </c>
      <c r="E425" s="560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3"/>
      <c r="R425" s="553"/>
      <c r="S425" s="553"/>
      <c r="T425" s="554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652</v>
      </c>
      <c r="B426" s="54" t="s">
        <v>653</v>
      </c>
      <c r="C426" s="31">
        <v>4301011771</v>
      </c>
      <c r="D426" s="559">
        <v>4607091389104</v>
      </c>
      <c r="E426" s="560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3"/>
      <c r="R426" s="553"/>
      <c r="S426" s="553"/>
      <c r="T426" s="554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59">
        <v>4680115886391</v>
      </c>
      <c r="E427" s="560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3"/>
      <c r="R427" s="553"/>
      <c r="S427" s="553"/>
      <c r="T427" s="554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59">
        <v>4680115880603</v>
      </c>
      <c r="E428" s="560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3"/>
      <c r="R428" s="553"/>
      <c r="S428" s="553"/>
      <c r="T428" s="554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59">
        <v>4680115882782</v>
      </c>
      <c r="E429" s="560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3"/>
      <c r="R429" s="553"/>
      <c r="S429" s="553"/>
      <c r="T429" s="554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59">
        <v>4680115885479</v>
      </c>
      <c r="E430" s="560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4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3"/>
      <c r="R430" s="553"/>
      <c r="S430" s="553"/>
      <c r="T430" s="554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59">
        <v>4607091389982</v>
      </c>
      <c r="E431" s="560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3"/>
      <c r="R431" s="553"/>
      <c r="S431" s="553"/>
      <c r="T431" s="554"/>
      <c r="U431" s="34"/>
      <c r="V431" s="34"/>
      <c r="W431" s="35" t="s">
        <v>69</v>
      </c>
      <c r="X431" s="541">
        <v>150</v>
      </c>
      <c r="Y431" s="542">
        <f t="shared" si="47"/>
        <v>153.6</v>
      </c>
      <c r="Z431" s="36">
        <f>IFERROR(IF(Y431=0,"",ROUNDUP(Y431/H431,0)*0.00902),"")</f>
        <v>0.28864000000000001</v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215.9375</v>
      </c>
      <c r="BN431" s="64">
        <f t="shared" si="50"/>
        <v>221.12</v>
      </c>
      <c r="BO431" s="64">
        <f t="shared" si="51"/>
        <v>0.23674242424242425</v>
      </c>
      <c r="BP431" s="64">
        <f t="shared" si="52"/>
        <v>0.24242424242424243</v>
      </c>
    </row>
    <row r="432" spans="1:68" x14ac:dyDescent="0.2">
      <c r="A432" s="556"/>
      <c r="B432" s="551"/>
      <c r="C432" s="551"/>
      <c r="D432" s="551"/>
      <c r="E432" s="551"/>
      <c r="F432" s="551"/>
      <c r="G432" s="551"/>
      <c r="H432" s="551"/>
      <c r="I432" s="551"/>
      <c r="J432" s="551"/>
      <c r="K432" s="551"/>
      <c r="L432" s="551"/>
      <c r="M432" s="551"/>
      <c r="N432" s="551"/>
      <c r="O432" s="557"/>
      <c r="P432" s="547" t="s">
        <v>71</v>
      </c>
      <c r="Q432" s="548"/>
      <c r="R432" s="548"/>
      <c r="S432" s="548"/>
      <c r="T432" s="548"/>
      <c r="U432" s="548"/>
      <c r="V432" s="54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31.25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32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0.28864000000000001</v>
      </c>
      <c r="AA432" s="544"/>
      <c r="AB432" s="544"/>
      <c r="AC432" s="544"/>
    </row>
    <row r="433" spans="1:68" x14ac:dyDescent="0.2">
      <c r="A433" s="551"/>
      <c r="B433" s="551"/>
      <c r="C433" s="551"/>
      <c r="D433" s="551"/>
      <c r="E433" s="551"/>
      <c r="F433" s="551"/>
      <c r="G433" s="551"/>
      <c r="H433" s="551"/>
      <c r="I433" s="551"/>
      <c r="J433" s="551"/>
      <c r="K433" s="551"/>
      <c r="L433" s="551"/>
      <c r="M433" s="551"/>
      <c r="N433" s="551"/>
      <c r="O433" s="557"/>
      <c r="P433" s="547" t="s">
        <v>71</v>
      </c>
      <c r="Q433" s="548"/>
      <c r="R433" s="548"/>
      <c r="S433" s="548"/>
      <c r="T433" s="548"/>
      <c r="U433" s="548"/>
      <c r="V433" s="549"/>
      <c r="W433" s="37" t="s">
        <v>69</v>
      </c>
      <c r="X433" s="543">
        <f>IFERROR(SUM(X421:X431),"0")</f>
        <v>150</v>
      </c>
      <c r="Y433" s="543">
        <f>IFERROR(SUM(Y421:Y431),"0")</f>
        <v>153.6</v>
      </c>
      <c r="Z433" s="37"/>
      <c r="AA433" s="544"/>
      <c r="AB433" s="544"/>
      <c r="AC433" s="544"/>
    </row>
    <row r="434" spans="1:68" ht="14.25" hidden="1" customHeight="1" x14ac:dyDescent="0.25">
      <c r="A434" s="555" t="s">
        <v>136</v>
      </c>
      <c r="B434" s="551"/>
      <c r="C434" s="551"/>
      <c r="D434" s="551"/>
      <c r="E434" s="551"/>
      <c r="F434" s="551"/>
      <c r="G434" s="551"/>
      <c r="H434" s="551"/>
      <c r="I434" s="551"/>
      <c r="J434" s="551"/>
      <c r="K434" s="551"/>
      <c r="L434" s="551"/>
      <c r="M434" s="551"/>
      <c r="N434" s="551"/>
      <c r="O434" s="551"/>
      <c r="P434" s="551"/>
      <c r="Q434" s="551"/>
      <c r="R434" s="551"/>
      <c r="S434" s="551"/>
      <c r="T434" s="551"/>
      <c r="U434" s="551"/>
      <c r="V434" s="551"/>
      <c r="W434" s="551"/>
      <c r="X434" s="551"/>
      <c r="Y434" s="551"/>
      <c r="Z434" s="551"/>
      <c r="AA434" s="537"/>
      <c r="AB434" s="537"/>
      <c r="AC434" s="537"/>
    </row>
    <row r="435" spans="1:68" ht="16.5" hidden="1" customHeight="1" x14ac:dyDescent="0.25">
      <c r="A435" s="54" t="s">
        <v>666</v>
      </c>
      <c r="B435" s="54" t="s">
        <v>667</v>
      </c>
      <c r="C435" s="31">
        <v>4301020334</v>
      </c>
      <c r="D435" s="559">
        <v>4607091388930</v>
      </c>
      <c r="E435" s="560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3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3"/>
      <c r="R435" s="553"/>
      <c r="S435" s="553"/>
      <c r="T435" s="554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59">
        <v>4680115886407</v>
      </c>
      <c r="E436" s="560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6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3"/>
      <c r="R436" s="553"/>
      <c r="S436" s="553"/>
      <c r="T436" s="554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59">
        <v>4680115880054</v>
      </c>
      <c r="E437" s="560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6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3"/>
      <c r="R437" s="553"/>
      <c r="S437" s="553"/>
      <c r="T437" s="554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6"/>
      <c r="B438" s="551"/>
      <c r="C438" s="551"/>
      <c r="D438" s="551"/>
      <c r="E438" s="551"/>
      <c r="F438" s="551"/>
      <c r="G438" s="551"/>
      <c r="H438" s="551"/>
      <c r="I438" s="551"/>
      <c r="J438" s="551"/>
      <c r="K438" s="551"/>
      <c r="L438" s="551"/>
      <c r="M438" s="551"/>
      <c r="N438" s="551"/>
      <c r="O438" s="557"/>
      <c r="P438" s="547" t="s">
        <v>71</v>
      </c>
      <c r="Q438" s="548"/>
      <c r="R438" s="548"/>
      <c r="S438" s="548"/>
      <c r="T438" s="548"/>
      <c r="U438" s="548"/>
      <c r="V438" s="549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1"/>
      <c r="B439" s="551"/>
      <c r="C439" s="551"/>
      <c r="D439" s="551"/>
      <c r="E439" s="551"/>
      <c r="F439" s="551"/>
      <c r="G439" s="551"/>
      <c r="H439" s="551"/>
      <c r="I439" s="551"/>
      <c r="J439" s="551"/>
      <c r="K439" s="551"/>
      <c r="L439" s="551"/>
      <c r="M439" s="551"/>
      <c r="N439" s="551"/>
      <c r="O439" s="557"/>
      <c r="P439" s="547" t="s">
        <v>71</v>
      </c>
      <c r="Q439" s="548"/>
      <c r="R439" s="548"/>
      <c r="S439" s="548"/>
      <c r="T439" s="548"/>
      <c r="U439" s="548"/>
      <c r="V439" s="549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55" t="s">
        <v>64</v>
      </c>
      <c r="B440" s="551"/>
      <c r="C440" s="551"/>
      <c r="D440" s="551"/>
      <c r="E440" s="551"/>
      <c r="F440" s="551"/>
      <c r="G440" s="551"/>
      <c r="H440" s="551"/>
      <c r="I440" s="551"/>
      <c r="J440" s="551"/>
      <c r="K440" s="551"/>
      <c r="L440" s="551"/>
      <c r="M440" s="551"/>
      <c r="N440" s="551"/>
      <c r="O440" s="551"/>
      <c r="P440" s="551"/>
      <c r="Q440" s="551"/>
      <c r="R440" s="551"/>
      <c r="S440" s="551"/>
      <c r="T440" s="551"/>
      <c r="U440" s="551"/>
      <c r="V440" s="551"/>
      <c r="W440" s="551"/>
      <c r="X440" s="551"/>
      <c r="Y440" s="551"/>
      <c r="Z440" s="551"/>
      <c r="AA440" s="537"/>
      <c r="AB440" s="537"/>
      <c r="AC440" s="537"/>
    </row>
    <row r="441" spans="1:68" ht="27" hidden="1" customHeight="1" x14ac:dyDescent="0.25">
      <c r="A441" s="54" t="s">
        <v>673</v>
      </c>
      <c r="B441" s="54" t="s">
        <v>674</v>
      </c>
      <c r="C441" s="31">
        <v>4301031349</v>
      </c>
      <c r="D441" s="559">
        <v>4680115883116</v>
      </c>
      <c r="E441" s="560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4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3"/>
      <c r="R441" s="553"/>
      <c r="S441" s="553"/>
      <c r="T441" s="554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hidden="1" customHeight="1" x14ac:dyDescent="0.25">
      <c r="A442" s="54" t="s">
        <v>676</v>
      </c>
      <c r="B442" s="54" t="s">
        <v>677</v>
      </c>
      <c r="C442" s="31">
        <v>4301031350</v>
      </c>
      <c r="D442" s="559">
        <v>4680115883093</v>
      </c>
      <c r="E442" s="560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3"/>
      <c r="R442" s="553"/>
      <c r="S442" s="553"/>
      <c r="T442" s="554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hidden="1" customHeight="1" x14ac:dyDescent="0.25">
      <c r="A443" s="54" t="s">
        <v>679</v>
      </c>
      <c r="B443" s="54" t="s">
        <v>680</v>
      </c>
      <c r="C443" s="31">
        <v>4301031353</v>
      </c>
      <c r="D443" s="559">
        <v>4680115883109</v>
      </c>
      <c r="E443" s="560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3"/>
      <c r="R443" s="553"/>
      <c r="S443" s="553"/>
      <c r="T443" s="554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59">
        <v>4680115882072</v>
      </c>
      <c r="E444" s="560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3"/>
      <c r="R444" s="553"/>
      <c r="S444" s="553"/>
      <c r="T444" s="554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59">
        <v>4680115882102</v>
      </c>
      <c r="E445" s="560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6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3"/>
      <c r="R445" s="553"/>
      <c r="S445" s="553"/>
      <c r="T445" s="554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59">
        <v>4680115882096</v>
      </c>
      <c r="E446" s="560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6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3"/>
      <c r="R446" s="553"/>
      <c r="S446" s="553"/>
      <c r="T446" s="554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idden="1" x14ac:dyDescent="0.2">
      <c r="A447" s="556"/>
      <c r="B447" s="551"/>
      <c r="C447" s="551"/>
      <c r="D447" s="551"/>
      <c r="E447" s="551"/>
      <c r="F447" s="551"/>
      <c r="G447" s="551"/>
      <c r="H447" s="551"/>
      <c r="I447" s="551"/>
      <c r="J447" s="551"/>
      <c r="K447" s="551"/>
      <c r="L447" s="551"/>
      <c r="M447" s="551"/>
      <c r="N447" s="551"/>
      <c r="O447" s="557"/>
      <c r="P447" s="547" t="s">
        <v>71</v>
      </c>
      <c r="Q447" s="548"/>
      <c r="R447" s="548"/>
      <c r="S447" s="548"/>
      <c r="T447" s="548"/>
      <c r="U447" s="548"/>
      <c r="V447" s="549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hidden="1" x14ac:dyDescent="0.2">
      <c r="A448" s="551"/>
      <c r="B448" s="551"/>
      <c r="C448" s="551"/>
      <c r="D448" s="551"/>
      <c r="E448" s="551"/>
      <c r="F448" s="551"/>
      <c r="G448" s="551"/>
      <c r="H448" s="551"/>
      <c r="I448" s="551"/>
      <c r="J448" s="551"/>
      <c r="K448" s="551"/>
      <c r="L448" s="551"/>
      <c r="M448" s="551"/>
      <c r="N448" s="551"/>
      <c r="O448" s="557"/>
      <c r="P448" s="547" t="s">
        <v>71</v>
      </c>
      <c r="Q448" s="548"/>
      <c r="R448" s="548"/>
      <c r="S448" s="548"/>
      <c r="T448" s="548"/>
      <c r="U448" s="548"/>
      <c r="V448" s="549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hidden="1" customHeight="1" x14ac:dyDescent="0.25">
      <c r="A449" s="555" t="s">
        <v>73</v>
      </c>
      <c r="B449" s="551"/>
      <c r="C449" s="551"/>
      <c r="D449" s="551"/>
      <c r="E449" s="551"/>
      <c r="F449" s="551"/>
      <c r="G449" s="551"/>
      <c r="H449" s="551"/>
      <c r="I449" s="551"/>
      <c r="J449" s="551"/>
      <c r="K449" s="551"/>
      <c r="L449" s="551"/>
      <c r="M449" s="551"/>
      <c r="N449" s="551"/>
      <c r="O449" s="551"/>
      <c r="P449" s="551"/>
      <c r="Q449" s="551"/>
      <c r="R449" s="551"/>
      <c r="S449" s="551"/>
      <c r="T449" s="551"/>
      <c r="U449" s="551"/>
      <c r="V449" s="551"/>
      <c r="W449" s="551"/>
      <c r="X449" s="551"/>
      <c r="Y449" s="551"/>
      <c r="Z449" s="551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59">
        <v>4607091383409</v>
      </c>
      <c r="E450" s="560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3"/>
      <c r="R450" s="553"/>
      <c r="S450" s="553"/>
      <c r="T450" s="554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59">
        <v>4607091383416</v>
      </c>
      <c r="E451" s="560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3"/>
      <c r="R451" s="553"/>
      <c r="S451" s="553"/>
      <c r="T451" s="554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59">
        <v>4680115883536</v>
      </c>
      <c r="E452" s="560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3"/>
      <c r="R452" s="553"/>
      <c r="S452" s="553"/>
      <c r="T452" s="554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6"/>
      <c r="B453" s="551"/>
      <c r="C453" s="551"/>
      <c r="D453" s="551"/>
      <c r="E453" s="551"/>
      <c r="F453" s="551"/>
      <c r="G453" s="551"/>
      <c r="H453" s="551"/>
      <c r="I453" s="551"/>
      <c r="J453" s="551"/>
      <c r="K453" s="551"/>
      <c r="L453" s="551"/>
      <c r="M453" s="551"/>
      <c r="N453" s="551"/>
      <c r="O453" s="557"/>
      <c r="P453" s="547" t="s">
        <v>71</v>
      </c>
      <c r="Q453" s="548"/>
      <c r="R453" s="548"/>
      <c r="S453" s="548"/>
      <c r="T453" s="548"/>
      <c r="U453" s="548"/>
      <c r="V453" s="54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1"/>
      <c r="B454" s="551"/>
      <c r="C454" s="551"/>
      <c r="D454" s="551"/>
      <c r="E454" s="551"/>
      <c r="F454" s="551"/>
      <c r="G454" s="551"/>
      <c r="H454" s="551"/>
      <c r="I454" s="551"/>
      <c r="J454" s="551"/>
      <c r="K454" s="551"/>
      <c r="L454" s="551"/>
      <c r="M454" s="551"/>
      <c r="N454" s="551"/>
      <c r="O454" s="557"/>
      <c r="P454" s="547" t="s">
        <v>71</v>
      </c>
      <c r="Q454" s="548"/>
      <c r="R454" s="548"/>
      <c r="S454" s="548"/>
      <c r="T454" s="548"/>
      <c r="U454" s="548"/>
      <c r="V454" s="54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5" t="s">
        <v>697</v>
      </c>
      <c r="B455" s="636"/>
      <c r="C455" s="636"/>
      <c r="D455" s="636"/>
      <c r="E455" s="636"/>
      <c r="F455" s="636"/>
      <c r="G455" s="636"/>
      <c r="H455" s="636"/>
      <c r="I455" s="636"/>
      <c r="J455" s="636"/>
      <c r="K455" s="636"/>
      <c r="L455" s="636"/>
      <c r="M455" s="636"/>
      <c r="N455" s="636"/>
      <c r="O455" s="636"/>
      <c r="P455" s="636"/>
      <c r="Q455" s="636"/>
      <c r="R455" s="636"/>
      <c r="S455" s="636"/>
      <c r="T455" s="636"/>
      <c r="U455" s="636"/>
      <c r="V455" s="636"/>
      <c r="W455" s="636"/>
      <c r="X455" s="636"/>
      <c r="Y455" s="636"/>
      <c r="Z455" s="636"/>
      <c r="AA455" s="48"/>
      <c r="AB455" s="48"/>
      <c r="AC455" s="48"/>
    </row>
    <row r="456" spans="1:68" ht="16.5" hidden="1" customHeight="1" x14ac:dyDescent="0.25">
      <c r="A456" s="550" t="s">
        <v>697</v>
      </c>
      <c r="B456" s="551"/>
      <c r="C456" s="551"/>
      <c r="D456" s="551"/>
      <c r="E456" s="551"/>
      <c r="F456" s="551"/>
      <c r="G456" s="551"/>
      <c r="H456" s="551"/>
      <c r="I456" s="551"/>
      <c r="J456" s="551"/>
      <c r="K456" s="551"/>
      <c r="L456" s="551"/>
      <c r="M456" s="551"/>
      <c r="N456" s="551"/>
      <c r="O456" s="551"/>
      <c r="P456" s="551"/>
      <c r="Q456" s="551"/>
      <c r="R456" s="551"/>
      <c r="S456" s="551"/>
      <c r="T456" s="551"/>
      <c r="U456" s="551"/>
      <c r="V456" s="551"/>
      <c r="W456" s="551"/>
      <c r="X456" s="551"/>
      <c r="Y456" s="551"/>
      <c r="Z456" s="551"/>
      <c r="AA456" s="536"/>
      <c r="AB456" s="536"/>
      <c r="AC456" s="536"/>
    </row>
    <row r="457" spans="1:68" ht="14.25" hidden="1" customHeight="1" x14ac:dyDescent="0.25">
      <c r="A457" s="555" t="s">
        <v>101</v>
      </c>
      <c r="B457" s="551"/>
      <c r="C457" s="551"/>
      <c r="D457" s="551"/>
      <c r="E457" s="551"/>
      <c r="F457" s="551"/>
      <c r="G457" s="551"/>
      <c r="H457" s="551"/>
      <c r="I457" s="551"/>
      <c r="J457" s="551"/>
      <c r="K457" s="551"/>
      <c r="L457" s="551"/>
      <c r="M457" s="551"/>
      <c r="N457" s="551"/>
      <c r="O457" s="551"/>
      <c r="P457" s="551"/>
      <c r="Q457" s="551"/>
      <c r="R457" s="551"/>
      <c r="S457" s="551"/>
      <c r="T457" s="551"/>
      <c r="U457" s="551"/>
      <c r="V457" s="551"/>
      <c r="W457" s="551"/>
      <c r="X457" s="551"/>
      <c r="Y457" s="551"/>
      <c r="Z457" s="551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59">
        <v>4640242181011</v>
      </c>
      <c r="E458" s="560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3"/>
      <c r="R458" s="553"/>
      <c r="S458" s="553"/>
      <c r="T458" s="554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59">
        <v>4640242180441</v>
      </c>
      <c r="E459" s="560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5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3"/>
      <c r="R459" s="553"/>
      <c r="S459" s="553"/>
      <c r="T459" s="554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4301011584</v>
      </c>
      <c r="D460" s="559">
        <v>4640242180564</v>
      </c>
      <c r="E460" s="560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3"/>
      <c r="R460" s="553"/>
      <c r="S460" s="553"/>
      <c r="T460" s="554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59">
        <v>4640242181189</v>
      </c>
      <c r="E461" s="560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8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3"/>
      <c r="R461" s="553"/>
      <c r="S461" s="553"/>
      <c r="T461" s="554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6"/>
      <c r="B462" s="551"/>
      <c r="C462" s="551"/>
      <c r="D462" s="551"/>
      <c r="E462" s="551"/>
      <c r="F462" s="551"/>
      <c r="G462" s="551"/>
      <c r="H462" s="551"/>
      <c r="I462" s="551"/>
      <c r="J462" s="551"/>
      <c r="K462" s="551"/>
      <c r="L462" s="551"/>
      <c r="M462" s="551"/>
      <c r="N462" s="551"/>
      <c r="O462" s="557"/>
      <c r="P462" s="547" t="s">
        <v>71</v>
      </c>
      <c r="Q462" s="548"/>
      <c r="R462" s="548"/>
      <c r="S462" s="548"/>
      <c r="T462" s="548"/>
      <c r="U462" s="548"/>
      <c r="V462" s="54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1"/>
      <c r="B463" s="551"/>
      <c r="C463" s="551"/>
      <c r="D463" s="551"/>
      <c r="E463" s="551"/>
      <c r="F463" s="551"/>
      <c r="G463" s="551"/>
      <c r="H463" s="551"/>
      <c r="I463" s="551"/>
      <c r="J463" s="551"/>
      <c r="K463" s="551"/>
      <c r="L463" s="551"/>
      <c r="M463" s="551"/>
      <c r="N463" s="551"/>
      <c r="O463" s="557"/>
      <c r="P463" s="547" t="s">
        <v>71</v>
      </c>
      <c r="Q463" s="548"/>
      <c r="R463" s="548"/>
      <c r="S463" s="548"/>
      <c r="T463" s="548"/>
      <c r="U463" s="548"/>
      <c r="V463" s="54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55" t="s">
        <v>136</v>
      </c>
      <c r="B464" s="551"/>
      <c r="C464" s="551"/>
      <c r="D464" s="551"/>
      <c r="E464" s="551"/>
      <c r="F464" s="551"/>
      <c r="G464" s="551"/>
      <c r="H464" s="551"/>
      <c r="I464" s="551"/>
      <c r="J464" s="551"/>
      <c r="K464" s="551"/>
      <c r="L464" s="551"/>
      <c r="M464" s="551"/>
      <c r="N464" s="551"/>
      <c r="O464" s="551"/>
      <c r="P464" s="551"/>
      <c r="Q464" s="551"/>
      <c r="R464" s="551"/>
      <c r="S464" s="551"/>
      <c r="T464" s="551"/>
      <c r="U464" s="551"/>
      <c r="V464" s="551"/>
      <c r="W464" s="551"/>
      <c r="X464" s="551"/>
      <c r="Y464" s="551"/>
      <c r="Z464" s="551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59">
        <v>4640242180519</v>
      </c>
      <c r="E465" s="560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3"/>
      <c r="R465" s="553"/>
      <c r="S465" s="553"/>
      <c r="T465" s="554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59">
        <v>4640242180526</v>
      </c>
      <c r="E466" s="560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3"/>
      <c r="R466" s="553"/>
      <c r="S466" s="553"/>
      <c r="T466" s="554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59">
        <v>4640242181363</v>
      </c>
      <c r="E467" s="560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3"/>
      <c r="R467" s="553"/>
      <c r="S467" s="553"/>
      <c r="T467" s="554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6"/>
      <c r="B468" s="551"/>
      <c r="C468" s="551"/>
      <c r="D468" s="551"/>
      <c r="E468" s="551"/>
      <c r="F468" s="551"/>
      <c r="G468" s="551"/>
      <c r="H468" s="551"/>
      <c r="I468" s="551"/>
      <c r="J468" s="551"/>
      <c r="K468" s="551"/>
      <c r="L468" s="551"/>
      <c r="M468" s="551"/>
      <c r="N468" s="551"/>
      <c r="O468" s="557"/>
      <c r="P468" s="547" t="s">
        <v>71</v>
      </c>
      <c r="Q468" s="548"/>
      <c r="R468" s="548"/>
      <c r="S468" s="548"/>
      <c r="T468" s="548"/>
      <c r="U468" s="548"/>
      <c r="V468" s="54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1"/>
      <c r="B469" s="551"/>
      <c r="C469" s="551"/>
      <c r="D469" s="551"/>
      <c r="E469" s="551"/>
      <c r="F469" s="551"/>
      <c r="G469" s="551"/>
      <c r="H469" s="551"/>
      <c r="I469" s="551"/>
      <c r="J469" s="551"/>
      <c r="K469" s="551"/>
      <c r="L469" s="551"/>
      <c r="M469" s="551"/>
      <c r="N469" s="551"/>
      <c r="O469" s="557"/>
      <c r="P469" s="547" t="s">
        <v>71</v>
      </c>
      <c r="Q469" s="548"/>
      <c r="R469" s="548"/>
      <c r="S469" s="548"/>
      <c r="T469" s="548"/>
      <c r="U469" s="548"/>
      <c r="V469" s="54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5" t="s">
        <v>64</v>
      </c>
      <c r="B470" s="551"/>
      <c r="C470" s="551"/>
      <c r="D470" s="551"/>
      <c r="E470" s="551"/>
      <c r="F470" s="551"/>
      <c r="G470" s="551"/>
      <c r="H470" s="551"/>
      <c r="I470" s="551"/>
      <c r="J470" s="551"/>
      <c r="K470" s="551"/>
      <c r="L470" s="551"/>
      <c r="M470" s="551"/>
      <c r="N470" s="551"/>
      <c r="O470" s="551"/>
      <c r="P470" s="551"/>
      <c r="Q470" s="551"/>
      <c r="R470" s="551"/>
      <c r="S470" s="551"/>
      <c r="T470" s="551"/>
      <c r="U470" s="551"/>
      <c r="V470" s="551"/>
      <c r="W470" s="551"/>
      <c r="X470" s="551"/>
      <c r="Y470" s="551"/>
      <c r="Z470" s="551"/>
      <c r="AA470" s="537"/>
      <c r="AB470" s="537"/>
      <c r="AC470" s="537"/>
    </row>
    <row r="471" spans="1:68" ht="27" hidden="1" customHeight="1" x14ac:dyDescent="0.25">
      <c r="A471" s="54" t="s">
        <v>718</v>
      </c>
      <c r="B471" s="54" t="s">
        <v>719</v>
      </c>
      <c r="C471" s="31">
        <v>4301031280</v>
      </c>
      <c r="D471" s="559">
        <v>4640242180816</v>
      </c>
      <c r="E471" s="560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3"/>
      <c r="R471" s="553"/>
      <c r="S471" s="553"/>
      <c r="T471" s="554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721</v>
      </c>
      <c r="B472" s="54" t="s">
        <v>722</v>
      </c>
      <c r="C472" s="31">
        <v>4301031244</v>
      </c>
      <c r="D472" s="559">
        <v>4640242180595</v>
      </c>
      <c r="E472" s="560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3"/>
      <c r="R472" s="553"/>
      <c r="S472" s="553"/>
      <c r="T472" s="554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6"/>
      <c r="B473" s="551"/>
      <c r="C473" s="551"/>
      <c r="D473" s="551"/>
      <c r="E473" s="551"/>
      <c r="F473" s="551"/>
      <c r="G473" s="551"/>
      <c r="H473" s="551"/>
      <c r="I473" s="551"/>
      <c r="J473" s="551"/>
      <c r="K473" s="551"/>
      <c r="L473" s="551"/>
      <c r="M473" s="551"/>
      <c r="N473" s="551"/>
      <c r="O473" s="557"/>
      <c r="P473" s="547" t="s">
        <v>71</v>
      </c>
      <c r="Q473" s="548"/>
      <c r="R473" s="548"/>
      <c r="S473" s="548"/>
      <c r="T473" s="548"/>
      <c r="U473" s="548"/>
      <c r="V473" s="54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1"/>
      <c r="B474" s="551"/>
      <c r="C474" s="551"/>
      <c r="D474" s="551"/>
      <c r="E474" s="551"/>
      <c r="F474" s="551"/>
      <c r="G474" s="551"/>
      <c r="H474" s="551"/>
      <c r="I474" s="551"/>
      <c r="J474" s="551"/>
      <c r="K474" s="551"/>
      <c r="L474" s="551"/>
      <c r="M474" s="551"/>
      <c r="N474" s="551"/>
      <c r="O474" s="557"/>
      <c r="P474" s="547" t="s">
        <v>71</v>
      </c>
      <c r="Q474" s="548"/>
      <c r="R474" s="548"/>
      <c r="S474" s="548"/>
      <c r="T474" s="548"/>
      <c r="U474" s="548"/>
      <c r="V474" s="54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55" t="s">
        <v>73</v>
      </c>
      <c r="B475" s="551"/>
      <c r="C475" s="551"/>
      <c r="D475" s="551"/>
      <c r="E475" s="551"/>
      <c r="F475" s="551"/>
      <c r="G475" s="551"/>
      <c r="H475" s="551"/>
      <c r="I475" s="551"/>
      <c r="J475" s="551"/>
      <c r="K475" s="551"/>
      <c r="L475" s="551"/>
      <c r="M475" s="551"/>
      <c r="N475" s="551"/>
      <c r="O475" s="551"/>
      <c r="P475" s="551"/>
      <c r="Q475" s="551"/>
      <c r="R475" s="551"/>
      <c r="S475" s="551"/>
      <c r="T475" s="551"/>
      <c r="U475" s="551"/>
      <c r="V475" s="551"/>
      <c r="W475" s="551"/>
      <c r="X475" s="551"/>
      <c r="Y475" s="551"/>
      <c r="Z475" s="551"/>
      <c r="AA475" s="537"/>
      <c r="AB475" s="537"/>
      <c r="AC475" s="537"/>
    </row>
    <row r="476" spans="1:68" ht="27" hidden="1" customHeight="1" x14ac:dyDescent="0.25">
      <c r="A476" s="54" t="s">
        <v>724</v>
      </c>
      <c r="B476" s="54" t="s">
        <v>725</v>
      </c>
      <c r="C476" s="31">
        <v>4301052046</v>
      </c>
      <c r="D476" s="559">
        <v>4640242180533</v>
      </c>
      <c r="E476" s="560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0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3"/>
      <c r="R476" s="553"/>
      <c r="S476" s="553"/>
      <c r="T476" s="554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6"/>
      <c r="B477" s="551"/>
      <c r="C477" s="551"/>
      <c r="D477" s="551"/>
      <c r="E477" s="551"/>
      <c r="F477" s="551"/>
      <c r="G477" s="551"/>
      <c r="H477" s="551"/>
      <c r="I477" s="551"/>
      <c r="J477" s="551"/>
      <c r="K477" s="551"/>
      <c r="L477" s="551"/>
      <c r="M477" s="551"/>
      <c r="N477" s="551"/>
      <c r="O477" s="557"/>
      <c r="P477" s="547" t="s">
        <v>71</v>
      </c>
      <c r="Q477" s="548"/>
      <c r="R477" s="548"/>
      <c r="S477" s="548"/>
      <c r="T477" s="548"/>
      <c r="U477" s="548"/>
      <c r="V477" s="54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1"/>
      <c r="B478" s="551"/>
      <c r="C478" s="551"/>
      <c r="D478" s="551"/>
      <c r="E478" s="551"/>
      <c r="F478" s="551"/>
      <c r="G478" s="551"/>
      <c r="H478" s="551"/>
      <c r="I478" s="551"/>
      <c r="J478" s="551"/>
      <c r="K478" s="551"/>
      <c r="L478" s="551"/>
      <c r="M478" s="551"/>
      <c r="N478" s="551"/>
      <c r="O478" s="557"/>
      <c r="P478" s="547" t="s">
        <v>71</v>
      </c>
      <c r="Q478" s="548"/>
      <c r="R478" s="548"/>
      <c r="S478" s="548"/>
      <c r="T478" s="548"/>
      <c r="U478" s="548"/>
      <c r="V478" s="54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55" t="s">
        <v>164</v>
      </c>
      <c r="B479" s="551"/>
      <c r="C479" s="551"/>
      <c r="D479" s="551"/>
      <c r="E479" s="551"/>
      <c r="F479" s="551"/>
      <c r="G479" s="551"/>
      <c r="H479" s="551"/>
      <c r="I479" s="551"/>
      <c r="J479" s="551"/>
      <c r="K479" s="551"/>
      <c r="L479" s="551"/>
      <c r="M479" s="551"/>
      <c r="N479" s="551"/>
      <c r="O479" s="551"/>
      <c r="P479" s="551"/>
      <c r="Q479" s="551"/>
      <c r="R479" s="551"/>
      <c r="S479" s="551"/>
      <c r="T479" s="551"/>
      <c r="U479" s="551"/>
      <c r="V479" s="551"/>
      <c r="W479" s="551"/>
      <c r="X479" s="551"/>
      <c r="Y479" s="551"/>
      <c r="Z479" s="551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59">
        <v>4640242180120</v>
      </c>
      <c r="E480" s="560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3"/>
      <c r="R480" s="553"/>
      <c r="S480" s="553"/>
      <c r="T480" s="554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59">
        <v>4640242180137</v>
      </c>
      <c r="E481" s="560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3"/>
      <c r="R481" s="553"/>
      <c r="S481" s="553"/>
      <c r="T481" s="554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6"/>
      <c r="B482" s="551"/>
      <c r="C482" s="551"/>
      <c r="D482" s="551"/>
      <c r="E482" s="551"/>
      <c r="F482" s="551"/>
      <c r="G482" s="551"/>
      <c r="H482" s="551"/>
      <c r="I482" s="551"/>
      <c r="J482" s="551"/>
      <c r="K482" s="551"/>
      <c r="L482" s="551"/>
      <c r="M482" s="551"/>
      <c r="N482" s="551"/>
      <c r="O482" s="557"/>
      <c r="P482" s="547" t="s">
        <v>71</v>
      </c>
      <c r="Q482" s="548"/>
      <c r="R482" s="548"/>
      <c r="S482" s="548"/>
      <c r="T482" s="548"/>
      <c r="U482" s="548"/>
      <c r="V482" s="54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1"/>
      <c r="B483" s="551"/>
      <c r="C483" s="551"/>
      <c r="D483" s="551"/>
      <c r="E483" s="551"/>
      <c r="F483" s="551"/>
      <c r="G483" s="551"/>
      <c r="H483" s="551"/>
      <c r="I483" s="551"/>
      <c r="J483" s="551"/>
      <c r="K483" s="551"/>
      <c r="L483" s="551"/>
      <c r="M483" s="551"/>
      <c r="N483" s="551"/>
      <c r="O483" s="557"/>
      <c r="P483" s="547" t="s">
        <v>71</v>
      </c>
      <c r="Q483" s="548"/>
      <c r="R483" s="548"/>
      <c r="S483" s="548"/>
      <c r="T483" s="548"/>
      <c r="U483" s="548"/>
      <c r="V483" s="54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50" t="s">
        <v>733</v>
      </c>
      <c r="B484" s="551"/>
      <c r="C484" s="551"/>
      <c r="D484" s="551"/>
      <c r="E484" s="551"/>
      <c r="F484" s="551"/>
      <c r="G484" s="551"/>
      <c r="H484" s="551"/>
      <c r="I484" s="551"/>
      <c r="J484" s="551"/>
      <c r="K484" s="551"/>
      <c r="L484" s="551"/>
      <c r="M484" s="551"/>
      <c r="N484" s="551"/>
      <c r="O484" s="551"/>
      <c r="P484" s="551"/>
      <c r="Q484" s="551"/>
      <c r="R484" s="551"/>
      <c r="S484" s="551"/>
      <c r="T484" s="551"/>
      <c r="U484" s="551"/>
      <c r="V484" s="551"/>
      <c r="W484" s="551"/>
      <c r="X484" s="551"/>
      <c r="Y484" s="551"/>
      <c r="Z484" s="551"/>
      <c r="AA484" s="536"/>
      <c r="AB484" s="536"/>
      <c r="AC484" s="536"/>
    </row>
    <row r="485" spans="1:68" ht="14.25" hidden="1" customHeight="1" x14ac:dyDescent="0.25">
      <c r="A485" s="555" t="s">
        <v>136</v>
      </c>
      <c r="B485" s="551"/>
      <c r="C485" s="551"/>
      <c r="D485" s="551"/>
      <c r="E485" s="551"/>
      <c r="F485" s="551"/>
      <c r="G485" s="551"/>
      <c r="H485" s="551"/>
      <c r="I485" s="551"/>
      <c r="J485" s="551"/>
      <c r="K485" s="551"/>
      <c r="L485" s="551"/>
      <c r="M485" s="551"/>
      <c r="N485" s="551"/>
      <c r="O485" s="551"/>
      <c r="P485" s="551"/>
      <c r="Q485" s="551"/>
      <c r="R485" s="551"/>
      <c r="S485" s="551"/>
      <c r="T485" s="551"/>
      <c r="U485" s="551"/>
      <c r="V485" s="551"/>
      <c r="W485" s="551"/>
      <c r="X485" s="551"/>
      <c r="Y485" s="551"/>
      <c r="Z485" s="551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59">
        <v>4640242180090</v>
      </c>
      <c r="E486" s="560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1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3"/>
      <c r="R486" s="553"/>
      <c r="S486" s="553"/>
      <c r="T486" s="554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6"/>
      <c r="B487" s="551"/>
      <c r="C487" s="551"/>
      <c r="D487" s="551"/>
      <c r="E487" s="551"/>
      <c r="F487" s="551"/>
      <c r="G487" s="551"/>
      <c r="H487" s="551"/>
      <c r="I487" s="551"/>
      <c r="J487" s="551"/>
      <c r="K487" s="551"/>
      <c r="L487" s="551"/>
      <c r="M487" s="551"/>
      <c r="N487" s="551"/>
      <c r="O487" s="557"/>
      <c r="P487" s="547" t="s">
        <v>71</v>
      </c>
      <c r="Q487" s="548"/>
      <c r="R487" s="548"/>
      <c r="S487" s="548"/>
      <c r="T487" s="548"/>
      <c r="U487" s="548"/>
      <c r="V487" s="54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1"/>
      <c r="B488" s="551"/>
      <c r="C488" s="551"/>
      <c r="D488" s="551"/>
      <c r="E488" s="551"/>
      <c r="F488" s="551"/>
      <c r="G488" s="551"/>
      <c r="H488" s="551"/>
      <c r="I488" s="551"/>
      <c r="J488" s="551"/>
      <c r="K488" s="551"/>
      <c r="L488" s="551"/>
      <c r="M488" s="551"/>
      <c r="N488" s="551"/>
      <c r="O488" s="557"/>
      <c r="P488" s="547" t="s">
        <v>71</v>
      </c>
      <c r="Q488" s="548"/>
      <c r="R488" s="548"/>
      <c r="S488" s="548"/>
      <c r="T488" s="548"/>
      <c r="U488" s="548"/>
      <c r="V488" s="54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1"/>
      <c r="C489" s="551"/>
      <c r="D489" s="551"/>
      <c r="E489" s="551"/>
      <c r="F489" s="551"/>
      <c r="G489" s="551"/>
      <c r="H489" s="551"/>
      <c r="I489" s="551"/>
      <c r="J489" s="551"/>
      <c r="K489" s="551"/>
      <c r="L489" s="551"/>
      <c r="M489" s="551"/>
      <c r="N489" s="551"/>
      <c r="O489" s="715"/>
      <c r="P489" s="629" t="s">
        <v>737</v>
      </c>
      <c r="Q489" s="630"/>
      <c r="R489" s="630"/>
      <c r="S489" s="630"/>
      <c r="T489" s="630"/>
      <c r="U489" s="630"/>
      <c r="V489" s="631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4062.9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4083.08</v>
      </c>
      <c r="Z489" s="37"/>
      <c r="AA489" s="544"/>
      <c r="AB489" s="544"/>
      <c r="AC489" s="544"/>
    </row>
    <row r="490" spans="1:68" x14ac:dyDescent="0.2">
      <c r="A490" s="551"/>
      <c r="B490" s="551"/>
      <c r="C490" s="551"/>
      <c r="D490" s="551"/>
      <c r="E490" s="551"/>
      <c r="F490" s="551"/>
      <c r="G490" s="551"/>
      <c r="H490" s="551"/>
      <c r="I490" s="551"/>
      <c r="J490" s="551"/>
      <c r="K490" s="551"/>
      <c r="L490" s="551"/>
      <c r="M490" s="551"/>
      <c r="N490" s="551"/>
      <c r="O490" s="715"/>
      <c r="P490" s="629" t="s">
        <v>738</v>
      </c>
      <c r="Q490" s="630"/>
      <c r="R490" s="630"/>
      <c r="S490" s="630"/>
      <c r="T490" s="630"/>
      <c r="U490" s="630"/>
      <c r="V490" s="631"/>
      <c r="W490" s="37" t="s">
        <v>69</v>
      </c>
      <c r="X490" s="543">
        <f>IFERROR(SUM(BM22:BM486),"0")</f>
        <v>4503.3041666666668</v>
      </c>
      <c r="Y490" s="543">
        <f>IFERROR(SUM(BN22:BN486),"0")</f>
        <v>4526.5940000000001</v>
      </c>
      <c r="Z490" s="37"/>
      <c r="AA490" s="544"/>
      <c r="AB490" s="544"/>
      <c r="AC490" s="544"/>
    </row>
    <row r="491" spans="1:68" x14ac:dyDescent="0.2">
      <c r="A491" s="551"/>
      <c r="B491" s="551"/>
      <c r="C491" s="551"/>
      <c r="D491" s="551"/>
      <c r="E491" s="551"/>
      <c r="F491" s="551"/>
      <c r="G491" s="551"/>
      <c r="H491" s="551"/>
      <c r="I491" s="551"/>
      <c r="J491" s="551"/>
      <c r="K491" s="551"/>
      <c r="L491" s="551"/>
      <c r="M491" s="551"/>
      <c r="N491" s="551"/>
      <c r="O491" s="715"/>
      <c r="P491" s="629" t="s">
        <v>739</v>
      </c>
      <c r="Q491" s="630"/>
      <c r="R491" s="630"/>
      <c r="S491" s="630"/>
      <c r="T491" s="630"/>
      <c r="U491" s="630"/>
      <c r="V491" s="631"/>
      <c r="W491" s="37" t="s">
        <v>740</v>
      </c>
      <c r="X491" s="38">
        <f>ROUNDUP(SUM(BO22:BO486),0)</f>
        <v>10</v>
      </c>
      <c r="Y491" s="38">
        <f>ROUNDUP(SUM(BP22:BP486),0)</f>
        <v>10</v>
      </c>
      <c r="Z491" s="37"/>
      <c r="AA491" s="544"/>
      <c r="AB491" s="544"/>
      <c r="AC491" s="544"/>
    </row>
    <row r="492" spans="1:68" x14ac:dyDescent="0.2">
      <c r="A492" s="551"/>
      <c r="B492" s="551"/>
      <c r="C492" s="551"/>
      <c r="D492" s="551"/>
      <c r="E492" s="551"/>
      <c r="F492" s="551"/>
      <c r="G492" s="551"/>
      <c r="H492" s="551"/>
      <c r="I492" s="551"/>
      <c r="J492" s="551"/>
      <c r="K492" s="551"/>
      <c r="L492" s="551"/>
      <c r="M492" s="551"/>
      <c r="N492" s="551"/>
      <c r="O492" s="715"/>
      <c r="P492" s="629" t="s">
        <v>741</v>
      </c>
      <c r="Q492" s="630"/>
      <c r="R492" s="630"/>
      <c r="S492" s="630"/>
      <c r="T492" s="630"/>
      <c r="U492" s="630"/>
      <c r="V492" s="631"/>
      <c r="W492" s="37" t="s">
        <v>69</v>
      </c>
      <c r="X492" s="543">
        <f>GrossWeightTotal+PalletQtyTotal*25</f>
        <v>4753.3041666666668</v>
      </c>
      <c r="Y492" s="543">
        <f>GrossWeightTotalR+PalletQtyTotalR*25</f>
        <v>4776.5940000000001</v>
      </c>
      <c r="Z492" s="37"/>
      <c r="AA492" s="544"/>
      <c r="AB492" s="544"/>
      <c r="AC492" s="544"/>
    </row>
    <row r="493" spans="1:68" x14ac:dyDescent="0.2">
      <c r="A493" s="551"/>
      <c r="B493" s="551"/>
      <c r="C493" s="551"/>
      <c r="D493" s="551"/>
      <c r="E493" s="551"/>
      <c r="F493" s="551"/>
      <c r="G493" s="551"/>
      <c r="H493" s="551"/>
      <c r="I493" s="551"/>
      <c r="J493" s="551"/>
      <c r="K493" s="551"/>
      <c r="L493" s="551"/>
      <c r="M493" s="551"/>
      <c r="N493" s="551"/>
      <c r="O493" s="715"/>
      <c r="P493" s="629" t="s">
        <v>742</v>
      </c>
      <c r="Q493" s="630"/>
      <c r="R493" s="630"/>
      <c r="S493" s="630"/>
      <c r="T493" s="630"/>
      <c r="U493" s="630"/>
      <c r="V493" s="631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1606.9166666666665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1615</v>
      </c>
      <c r="Z493" s="37"/>
      <c r="AA493" s="544"/>
      <c r="AB493" s="544"/>
      <c r="AC493" s="544"/>
    </row>
    <row r="494" spans="1:68" ht="14.25" hidden="1" customHeight="1" x14ac:dyDescent="0.2">
      <c r="A494" s="551"/>
      <c r="B494" s="551"/>
      <c r="C494" s="551"/>
      <c r="D494" s="551"/>
      <c r="E494" s="551"/>
      <c r="F494" s="551"/>
      <c r="G494" s="551"/>
      <c r="H494" s="551"/>
      <c r="I494" s="551"/>
      <c r="J494" s="551"/>
      <c r="K494" s="551"/>
      <c r="L494" s="551"/>
      <c r="M494" s="551"/>
      <c r="N494" s="551"/>
      <c r="O494" s="715"/>
      <c r="P494" s="629" t="s">
        <v>743</v>
      </c>
      <c r="Q494" s="630"/>
      <c r="R494" s="630"/>
      <c r="S494" s="630"/>
      <c r="T494" s="630"/>
      <c r="U494" s="630"/>
      <c r="V494" s="631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11.288869999999999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6" t="s">
        <v>99</v>
      </c>
      <c r="D496" s="663"/>
      <c r="E496" s="663"/>
      <c r="F496" s="663"/>
      <c r="G496" s="663"/>
      <c r="H496" s="624"/>
      <c r="I496" s="596" t="s">
        <v>251</v>
      </c>
      <c r="J496" s="663"/>
      <c r="K496" s="663"/>
      <c r="L496" s="663"/>
      <c r="M496" s="663"/>
      <c r="N496" s="663"/>
      <c r="O496" s="663"/>
      <c r="P496" s="663"/>
      <c r="Q496" s="663"/>
      <c r="R496" s="624"/>
      <c r="S496" s="596" t="s">
        <v>535</v>
      </c>
      <c r="T496" s="624"/>
      <c r="U496" s="596" t="s">
        <v>586</v>
      </c>
      <c r="V496" s="663"/>
      <c r="W496" s="624"/>
      <c r="X496" s="538" t="s">
        <v>637</v>
      </c>
      <c r="Y496" s="596" t="s">
        <v>697</v>
      </c>
      <c r="Z496" s="624"/>
      <c r="AB496" s="52"/>
      <c r="AC496" s="52"/>
      <c r="AF496" s="539"/>
    </row>
    <row r="497" spans="1:32" ht="14.25" customHeight="1" thickTop="1" x14ac:dyDescent="0.2">
      <c r="A497" s="843" t="s">
        <v>746</v>
      </c>
      <c r="B497" s="596" t="s">
        <v>63</v>
      </c>
      <c r="C497" s="596" t="s">
        <v>100</v>
      </c>
      <c r="D497" s="596" t="s">
        <v>117</v>
      </c>
      <c r="E497" s="596" t="s">
        <v>171</v>
      </c>
      <c r="F497" s="596" t="s">
        <v>190</v>
      </c>
      <c r="G497" s="596" t="s">
        <v>220</v>
      </c>
      <c r="H497" s="596" t="s">
        <v>99</v>
      </c>
      <c r="I497" s="596" t="s">
        <v>252</v>
      </c>
      <c r="J497" s="596" t="s">
        <v>297</v>
      </c>
      <c r="K497" s="596" t="s">
        <v>356</v>
      </c>
      <c r="L497" s="596" t="s">
        <v>398</v>
      </c>
      <c r="M497" s="596" t="s">
        <v>414</v>
      </c>
      <c r="N497" s="539"/>
      <c r="O497" s="596" t="s">
        <v>425</v>
      </c>
      <c r="P497" s="596" t="s">
        <v>434</v>
      </c>
      <c r="Q497" s="596" t="s">
        <v>448</v>
      </c>
      <c r="R497" s="596" t="s">
        <v>525</v>
      </c>
      <c r="S497" s="596" t="s">
        <v>536</v>
      </c>
      <c r="T497" s="596" t="s">
        <v>570</v>
      </c>
      <c r="U497" s="596" t="s">
        <v>587</v>
      </c>
      <c r="V497" s="596" t="s">
        <v>618</v>
      </c>
      <c r="W497" s="596" t="s">
        <v>633</v>
      </c>
      <c r="X497" s="596" t="s">
        <v>637</v>
      </c>
      <c r="Y497" s="596" t="s">
        <v>697</v>
      </c>
      <c r="Z497" s="596" t="s">
        <v>733</v>
      </c>
      <c r="AB497" s="52"/>
      <c r="AC497" s="52"/>
      <c r="AF497" s="539"/>
    </row>
    <row r="498" spans="1:32" ht="13.5" customHeight="1" thickBot="1" x14ac:dyDescent="0.25">
      <c r="A498" s="844"/>
      <c r="B498" s="597"/>
      <c r="C498" s="597"/>
      <c r="D498" s="597"/>
      <c r="E498" s="597"/>
      <c r="F498" s="597"/>
      <c r="G498" s="597"/>
      <c r="H498" s="597"/>
      <c r="I498" s="597"/>
      <c r="J498" s="597"/>
      <c r="K498" s="597"/>
      <c r="L498" s="597"/>
      <c r="M498" s="597"/>
      <c r="N498" s="539"/>
      <c r="O498" s="597"/>
      <c r="P498" s="597"/>
      <c r="Q498" s="597"/>
      <c r="R498" s="597"/>
      <c r="S498" s="597"/>
      <c r="T498" s="597"/>
      <c r="U498" s="597"/>
      <c r="V498" s="597"/>
      <c r="W498" s="597"/>
      <c r="X498" s="597"/>
      <c r="Y498" s="597"/>
      <c r="Z498" s="597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90</v>
      </c>
      <c r="C499" s="46">
        <f>IFERROR(Y40*1,"0")+IFERROR(Y41*1,"0")+IFERROR(Y42*1,"0")+IFERROR(Y46*1,"0")</f>
        <v>246.2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475.5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232.92000000000002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302.39999999999998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300</v>
      </c>
      <c r="L499" s="46">
        <f>IFERROR(Y254*1,"0")+IFERROR(Y255*1,"0")+IFERROR(Y256*1,"0")+IFERROR(Y257*1,"0")+IFERROR(Y258*1,"0")</f>
        <v>120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261.60000000000002</v>
      </c>
      <c r="P499" s="46">
        <f>IFERROR(Y278*1,"0")+IFERROR(Y279*1,"0")+IFERROR(Y283*1,"0")+IFERROR(Y284*1,"0")</f>
        <v>212.4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353</v>
      </c>
      <c r="R499" s="46">
        <f>IFERROR(Y335*1,"0")+IFERROR(Y336*1,"0")+IFERROR(Y337*1,"0")</f>
        <v>228.9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295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811.56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153.6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606,92"/>
        <filter val="10"/>
        <filter val="100,00"/>
        <filter val="105,00"/>
        <filter val="108,33"/>
        <filter val="120,00"/>
        <filter val="122,50"/>
        <filter val="125,00"/>
        <filter val="125,40"/>
        <filter val="132,00"/>
        <filter val="140,00"/>
        <filter val="150,00"/>
        <filter val="157,50"/>
        <filter val="160,00"/>
        <filter val="166,67"/>
        <filter val="175,00"/>
        <filter val="180,00"/>
        <filter val="19,00"/>
        <filter val="195,00"/>
        <filter val="208,33"/>
        <filter val="210,00"/>
        <filter val="227,50"/>
        <filter val="240,00"/>
        <filter val="260,00"/>
        <filter val="30,00"/>
        <filter val="300,00"/>
        <filter val="31,25"/>
        <filter val="35,00"/>
        <filter val="372,00"/>
        <filter val="38,00"/>
        <filter val="4 062,90"/>
        <filter val="4 503,30"/>
        <filter val="4 753,30"/>
        <filter val="437,50"/>
        <filter val="50,00"/>
        <filter val="58,33"/>
        <filter val="63,33"/>
        <filter val="75,00"/>
        <filter val="90,00"/>
      </filters>
    </filterColumn>
    <filterColumn colId="29" showButton="0"/>
    <filterColumn colId="30" showButton="0"/>
  </autoFilter>
  <mergeCells count="874"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P410:T410"/>
    <mergeCell ref="P385:T385"/>
    <mergeCell ref="D408:E408"/>
    <mergeCell ref="P216:V216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344:E344"/>
    <mergeCell ref="D42:E42"/>
    <mergeCell ref="D471:E47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A447:O448"/>
    <mergeCell ref="I496:R496"/>
    <mergeCell ref="B497:B498"/>
    <mergeCell ref="P492:V492"/>
    <mergeCell ref="S496:T496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A484:Z484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Q6:R6"/>
    <mergeCell ref="P200:T200"/>
    <mergeCell ref="P134:T134"/>
    <mergeCell ref="D386:E386"/>
    <mergeCell ref="P250:V250"/>
    <mergeCell ref="A364:O365"/>
    <mergeCell ref="A103:O104"/>
    <mergeCell ref="P415:T415"/>
    <mergeCell ref="P286:V286"/>
    <mergeCell ref="P336:T336"/>
    <mergeCell ref="P131:V131"/>
    <mergeCell ref="P187:V187"/>
    <mergeCell ref="P493:V493"/>
    <mergeCell ref="D452:E452"/>
    <mergeCell ref="P465:T465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192:O193"/>
    <mergeCell ref="D279:E279"/>
    <mergeCell ref="A136:O137"/>
    <mergeCell ref="D421:E421"/>
    <mergeCell ref="A479:Z479"/>
    <mergeCell ref="D191:E191"/>
    <mergeCell ref="D458:E458"/>
    <mergeCell ref="P368:T368"/>
    <mergeCell ref="A362:Z362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A20:Z20"/>
    <mergeCell ref="D17:E18"/>
    <mergeCell ref="V12:W12"/>
    <mergeCell ref="U17:V17"/>
    <mergeCell ref="Y17:Y18"/>
    <mergeCell ref="X17:X18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A457:Z457"/>
    <mergeCell ref="S497:S498"/>
    <mergeCell ref="P468:V468"/>
    <mergeCell ref="A464:Z464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W497:W498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P192:V192"/>
    <mergeCell ref="D151:E151"/>
    <mergeCell ref="D321:E321"/>
    <mergeCell ref="P278:T278"/>
    <mergeCell ref="P107:T107"/>
    <mergeCell ref="P101:T101"/>
    <mergeCell ref="D428:E428"/>
    <mergeCell ref="P91:T91"/>
    <mergeCell ref="P404:V404"/>
    <mergeCell ref="D273:E273"/>
    <mergeCell ref="A160:Z160"/>
    <mergeCell ref="P212:T212"/>
    <mergeCell ref="P405:V405"/>
    <mergeCell ref="A401:Z401"/>
    <mergeCell ref="A152:O153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P483:V483"/>
    <mergeCell ref="D298:E298"/>
    <mergeCell ref="U497:U498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40:T40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461:E461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321:T321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140:E140"/>
    <mergeCell ref="P451:T451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63:V63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A419:Z419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P149:V149"/>
    <mergeCell ref="P125:T125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B17:B18"/>
    <mergeCell ref="P143:V143"/>
    <mergeCell ref="A171:O172"/>
    <mergeCell ref="M17:M18"/>
    <mergeCell ref="P210:T210"/>
    <mergeCell ref="P439:V439"/>
    <mergeCell ref="D398:E398"/>
    <mergeCell ref="A438:O439"/>
    <mergeCell ref="P433:V43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P477:V477"/>
    <mergeCell ref="D124:E124"/>
    <mergeCell ref="P56:T56"/>
    <mergeCell ref="D195:E195"/>
    <mergeCell ref="P379:T379"/>
    <mergeCell ref="P462:V462"/>
    <mergeCell ref="A105:Z105"/>
    <mergeCell ref="A396:Z396"/>
    <mergeCell ref="D472:E472"/>
    <mergeCell ref="D410:E410"/>
    <mergeCell ref="A432:O433"/>
    <mergeCell ref="D423:E423"/>
    <mergeCell ref="D426:E426"/>
    <mergeCell ref="P446:T446"/>
    <mergeCell ref="P110:V110"/>
    <mergeCell ref="A338:O339"/>
    <mergeCell ref="P208:T208"/>
    <mergeCell ref="D460:E460"/>
    <mergeCell ref="P308:T308"/>
    <mergeCell ref="A267:O268"/>
    <mergeCell ref="A69:O70"/>
    <mergeCell ref="P185:T185"/>
    <mergeCell ref="D106:E106"/>
    <mergeCell ref="P427:T427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52:Z352"/>
    <mergeCell ref="A276:Z276"/>
    <mergeCell ref="A83:Z83"/>
    <mergeCell ref="A270:Z270"/>
    <mergeCell ref="P302:T302"/>
    <mergeCell ref="D174:E174"/>
    <mergeCell ref="A63:O64"/>
    <mergeCell ref="P306:V306"/>
    <mergeCell ref="D258:E258"/>
    <mergeCell ref="P235:V235"/>
    <mergeCell ref="D52:E52"/>
    <mergeCell ref="D27:E27"/>
    <mergeCell ref="P283:T283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2025-11-21T11:06:02Z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