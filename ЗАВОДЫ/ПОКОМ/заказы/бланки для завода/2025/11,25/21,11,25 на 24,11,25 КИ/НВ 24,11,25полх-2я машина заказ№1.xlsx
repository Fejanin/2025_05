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6A36DE5-A866-47E4-BC97-788DDFF00D6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BP471" i="1" s="1"/>
  <c r="P471" i="1"/>
  <c r="BO470" i="1"/>
  <c r="BM470" i="1"/>
  <c r="Y470" i="1"/>
  <c r="Y473" i="1" s="1"/>
  <c r="P470" i="1"/>
  <c r="X468" i="1"/>
  <c r="X467" i="1"/>
  <c r="BO466" i="1"/>
  <c r="BM466" i="1"/>
  <c r="Y466" i="1"/>
  <c r="BP466" i="1" s="1"/>
  <c r="P466" i="1"/>
  <c r="BO465" i="1"/>
  <c r="BM465" i="1"/>
  <c r="Y465" i="1"/>
  <c r="P465" i="1"/>
  <c r="BO464" i="1"/>
  <c r="BM464" i="1"/>
  <c r="Y464" i="1"/>
  <c r="Y467" i="1" s="1"/>
  <c r="P464" i="1"/>
  <c r="X462" i="1"/>
  <c r="X461" i="1"/>
  <c r="BO460" i="1"/>
  <c r="BM460" i="1"/>
  <c r="Y460" i="1"/>
  <c r="BP460" i="1" s="1"/>
  <c r="P460" i="1"/>
  <c r="BO459" i="1"/>
  <c r="BM459" i="1"/>
  <c r="Y459" i="1"/>
  <c r="P459" i="1"/>
  <c r="BO458" i="1"/>
  <c r="BM458" i="1"/>
  <c r="Y458" i="1"/>
  <c r="BP458" i="1" s="1"/>
  <c r="P458" i="1"/>
  <c r="BO457" i="1"/>
  <c r="BM457" i="1"/>
  <c r="Y457" i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W498" i="1" s="1"/>
  <c r="P414" i="1"/>
  <c r="X411" i="1"/>
  <c r="X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X398" i="1"/>
  <c r="BO397" i="1"/>
  <c r="BM397" i="1"/>
  <c r="Y397" i="1"/>
  <c r="P397" i="1"/>
  <c r="BO396" i="1"/>
  <c r="BM396" i="1"/>
  <c r="Y396" i="1"/>
  <c r="Y399" i="1" s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BP378" i="1" s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5" i="1" s="1"/>
  <c r="P372" i="1"/>
  <c r="X370" i="1"/>
  <c r="X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Y360" i="1" s="1"/>
  <c r="P357" i="1"/>
  <c r="X355" i="1"/>
  <c r="X354" i="1"/>
  <c r="BO353" i="1"/>
  <c r="BM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Z249" i="1" s="1"/>
  <c r="P249" i="1"/>
  <c r="BO248" i="1"/>
  <c r="BM248" i="1"/>
  <c r="Y248" i="1"/>
  <c r="Z248" i="1" s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488" i="1" s="1"/>
  <c r="X23" i="1"/>
  <c r="BO22" i="1"/>
  <c r="X490" i="1" s="1"/>
  <c r="BM22" i="1"/>
  <c r="Y22" i="1"/>
  <c r="B498" i="1" s="1"/>
  <c r="P22" i="1"/>
  <c r="H10" i="1"/>
  <c r="A9" i="1"/>
  <c r="F10" i="1" s="1"/>
  <c r="D7" i="1"/>
  <c r="Q6" i="1"/>
  <c r="P2" i="1"/>
  <c r="BP56" i="1" l="1"/>
  <c r="BN56" i="1"/>
  <c r="Z56" i="1"/>
  <c r="BP85" i="1"/>
  <c r="BN85" i="1"/>
  <c r="Z85" i="1"/>
  <c r="BP112" i="1"/>
  <c r="BN112" i="1"/>
  <c r="Z112" i="1"/>
  <c r="BP174" i="1"/>
  <c r="BN174" i="1"/>
  <c r="Z174" i="1"/>
  <c r="BP207" i="1"/>
  <c r="BN207" i="1"/>
  <c r="Z207" i="1"/>
  <c r="BP230" i="1"/>
  <c r="BN230" i="1"/>
  <c r="Z230" i="1"/>
  <c r="BP258" i="1"/>
  <c r="BN258" i="1"/>
  <c r="Z258" i="1"/>
  <c r="BP284" i="1"/>
  <c r="BN284" i="1"/>
  <c r="Z284" i="1"/>
  <c r="BP289" i="1"/>
  <c r="BN289" i="1"/>
  <c r="Z289" i="1"/>
  <c r="BP309" i="1"/>
  <c r="BN309" i="1"/>
  <c r="Z309" i="1"/>
  <c r="BP342" i="1"/>
  <c r="BN342" i="1"/>
  <c r="Z342" i="1"/>
  <c r="BP377" i="1"/>
  <c r="BN377" i="1"/>
  <c r="Z377" i="1"/>
  <c r="BP421" i="1"/>
  <c r="BN421" i="1"/>
  <c r="Z421" i="1"/>
  <c r="BP445" i="1"/>
  <c r="BN445" i="1"/>
  <c r="Z445" i="1"/>
  <c r="X489" i="1"/>
  <c r="X492" i="1"/>
  <c r="Z29" i="1"/>
  <c r="BN29" i="1"/>
  <c r="BP68" i="1"/>
  <c r="BN68" i="1"/>
  <c r="Z68" i="1"/>
  <c r="BP100" i="1"/>
  <c r="BN100" i="1"/>
  <c r="Z100" i="1"/>
  <c r="BP135" i="1"/>
  <c r="BN135" i="1"/>
  <c r="Z135" i="1"/>
  <c r="BP195" i="1"/>
  <c r="BN195" i="1"/>
  <c r="Z195" i="1"/>
  <c r="BP219" i="1"/>
  <c r="BN219" i="1"/>
  <c r="Z219" i="1"/>
  <c r="BP279" i="1"/>
  <c r="BN279" i="1"/>
  <c r="Z279" i="1"/>
  <c r="Y286" i="1"/>
  <c r="Y285" i="1"/>
  <c r="BP283" i="1"/>
  <c r="BN283" i="1"/>
  <c r="Z283" i="1"/>
  <c r="BP299" i="1"/>
  <c r="BN299" i="1"/>
  <c r="Z299" i="1"/>
  <c r="BP327" i="1"/>
  <c r="BN327" i="1"/>
  <c r="Z327" i="1"/>
  <c r="BP352" i="1"/>
  <c r="BN352" i="1"/>
  <c r="Z352" i="1"/>
  <c r="BP391" i="1"/>
  <c r="BN391" i="1"/>
  <c r="Z391" i="1"/>
  <c r="BP429" i="1"/>
  <c r="BN429" i="1"/>
  <c r="Z429" i="1"/>
  <c r="BP459" i="1"/>
  <c r="BN459" i="1"/>
  <c r="Z459" i="1"/>
  <c r="U498" i="1"/>
  <c r="Y64" i="1"/>
  <c r="BP60" i="1"/>
  <c r="BN60" i="1"/>
  <c r="Y70" i="1"/>
  <c r="BP66" i="1"/>
  <c r="BN66" i="1"/>
  <c r="Z66" i="1"/>
  <c r="BP80" i="1"/>
  <c r="BN80" i="1"/>
  <c r="Z80" i="1"/>
  <c r="BP93" i="1"/>
  <c r="BN93" i="1"/>
  <c r="Z93" i="1"/>
  <c r="BP108" i="1"/>
  <c r="BN108" i="1"/>
  <c r="Z108" i="1"/>
  <c r="Y131" i="1"/>
  <c r="BP129" i="1"/>
  <c r="BN129" i="1"/>
  <c r="Z129" i="1"/>
  <c r="BP163" i="1"/>
  <c r="BN163" i="1"/>
  <c r="Z163" i="1"/>
  <c r="BP170" i="1"/>
  <c r="BN170" i="1"/>
  <c r="Z170" i="1"/>
  <c r="BP191" i="1"/>
  <c r="BN191" i="1"/>
  <c r="Z191" i="1"/>
  <c r="BP201" i="1"/>
  <c r="BN201" i="1"/>
  <c r="Z201" i="1"/>
  <c r="BP213" i="1"/>
  <c r="BN213" i="1"/>
  <c r="Z213" i="1"/>
  <c r="BP228" i="1"/>
  <c r="BN228" i="1"/>
  <c r="Z228" i="1"/>
  <c r="X491" i="1"/>
  <c r="Z27" i="1"/>
  <c r="BN27" i="1"/>
  <c r="Z41" i="1"/>
  <c r="BN41" i="1"/>
  <c r="D498" i="1"/>
  <c r="Z54" i="1"/>
  <c r="BN54" i="1"/>
  <c r="Z60" i="1"/>
  <c r="Y76" i="1"/>
  <c r="BP72" i="1"/>
  <c r="BN72" i="1"/>
  <c r="Z72" i="1"/>
  <c r="BP87" i="1"/>
  <c r="BN87" i="1"/>
  <c r="Z87" i="1"/>
  <c r="BP102" i="1"/>
  <c r="BN102" i="1"/>
  <c r="Z102" i="1"/>
  <c r="BP114" i="1"/>
  <c r="BN114" i="1"/>
  <c r="Z114" i="1"/>
  <c r="BP140" i="1"/>
  <c r="BN140" i="1"/>
  <c r="Z140" i="1"/>
  <c r="BP166" i="1"/>
  <c r="BN166" i="1"/>
  <c r="Z166" i="1"/>
  <c r="BP176" i="1"/>
  <c r="BN176" i="1"/>
  <c r="Z176" i="1"/>
  <c r="BP197" i="1"/>
  <c r="BN197" i="1"/>
  <c r="Z197" i="1"/>
  <c r="BP209" i="1"/>
  <c r="BN209" i="1"/>
  <c r="Z209" i="1"/>
  <c r="Y235" i="1"/>
  <c r="BP224" i="1"/>
  <c r="BN224" i="1"/>
  <c r="Z224" i="1"/>
  <c r="BP232" i="1"/>
  <c r="BN232" i="1"/>
  <c r="Z232" i="1"/>
  <c r="BP263" i="1"/>
  <c r="BN263" i="1"/>
  <c r="Z263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4" i="1"/>
  <c r="BN344" i="1"/>
  <c r="Z344" i="1"/>
  <c r="BP358" i="1"/>
  <c r="BN358" i="1"/>
  <c r="Z358" i="1"/>
  <c r="BP385" i="1"/>
  <c r="BN385" i="1"/>
  <c r="Z385" i="1"/>
  <c r="BP397" i="1"/>
  <c r="BN397" i="1"/>
  <c r="Z397" i="1"/>
  <c r="BP423" i="1"/>
  <c r="BN423" i="1"/>
  <c r="Z423" i="1"/>
  <c r="BP435" i="1"/>
  <c r="BN435" i="1"/>
  <c r="Z435" i="1"/>
  <c r="Y453" i="1"/>
  <c r="BP449" i="1"/>
  <c r="BN449" i="1"/>
  <c r="Z449" i="1"/>
  <c r="BP465" i="1"/>
  <c r="BN465" i="1"/>
  <c r="Z465" i="1"/>
  <c r="Y95" i="1"/>
  <c r="F498" i="1"/>
  <c r="Y110" i="1"/>
  <c r="Y116" i="1"/>
  <c r="G498" i="1"/>
  <c r="Y148" i="1"/>
  <c r="Y172" i="1"/>
  <c r="Y178" i="1"/>
  <c r="Y203" i="1"/>
  <c r="Y215" i="1"/>
  <c r="Y251" i="1"/>
  <c r="BP249" i="1"/>
  <c r="BN249" i="1"/>
  <c r="BP256" i="1"/>
  <c r="BN256" i="1"/>
  <c r="Z256" i="1"/>
  <c r="BP272" i="1"/>
  <c r="BN272" i="1"/>
  <c r="Z272" i="1"/>
  <c r="Y305" i="1"/>
  <c r="BP297" i="1"/>
  <c r="BN297" i="1"/>
  <c r="Z297" i="1"/>
  <c r="Y311" i="1"/>
  <c r="BP307" i="1"/>
  <c r="BN307" i="1"/>
  <c r="Z307" i="1"/>
  <c r="BP323" i="1"/>
  <c r="BN323" i="1"/>
  <c r="Z323" i="1"/>
  <c r="BP336" i="1"/>
  <c r="BN336" i="1"/>
  <c r="Z336" i="1"/>
  <c r="BP348" i="1"/>
  <c r="BN348" i="1"/>
  <c r="Z348" i="1"/>
  <c r="BP373" i="1"/>
  <c r="BN373" i="1"/>
  <c r="Z373" i="1"/>
  <c r="BP389" i="1"/>
  <c r="BN389" i="1"/>
  <c r="Z389" i="1"/>
  <c r="BP408" i="1"/>
  <c r="BN408" i="1"/>
  <c r="Z408" i="1"/>
  <c r="BP427" i="1"/>
  <c r="BN427" i="1"/>
  <c r="Z427" i="1"/>
  <c r="BP443" i="1"/>
  <c r="BN443" i="1"/>
  <c r="Z443" i="1"/>
  <c r="Y461" i="1"/>
  <c r="BP457" i="1"/>
  <c r="BN457" i="1"/>
  <c r="Z457" i="1"/>
  <c r="Y325" i="1"/>
  <c r="Y331" i="1"/>
  <c r="Y354" i="1"/>
  <c r="Y379" i="1"/>
  <c r="Y410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71" i="1"/>
  <c r="Y177" i="1"/>
  <c r="Y188" i="1"/>
  <c r="Y192" i="1"/>
  <c r="Y204" i="1"/>
  <c r="Y216" i="1"/>
  <c r="Y220" i="1"/>
  <c r="Y239" i="1"/>
  <c r="Y243" i="1"/>
  <c r="BP257" i="1"/>
  <c r="BN257" i="1"/>
  <c r="Z257" i="1"/>
  <c r="BP266" i="1"/>
  <c r="BN266" i="1"/>
  <c r="Z266" i="1"/>
  <c r="Y268" i="1"/>
  <c r="O498" i="1"/>
  <c r="Y274" i="1"/>
  <c r="BP271" i="1"/>
  <c r="BN271" i="1"/>
  <c r="Z271" i="1"/>
  <c r="BP290" i="1"/>
  <c r="BN290" i="1"/>
  <c r="Z290" i="1"/>
  <c r="Y294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8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8" i="1"/>
  <c r="Z141" i="1"/>
  <c r="Z142" i="1" s="1"/>
  <c r="BN141" i="1"/>
  <c r="Y142" i="1"/>
  <c r="Z145" i="1"/>
  <c r="BN145" i="1"/>
  <c r="BP145" i="1"/>
  <c r="Z147" i="1"/>
  <c r="BN147" i="1"/>
  <c r="I498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498" i="1"/>
  <c r="Z186" i="1"/>
  <c r="Z187" i="1" s="1"/>
  <c r="BN186" i="1"/>
  <c r="Y187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8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BP248" i="1"/>
  <c r="BN248" i="1"/>
  <c r="Y250" i="1"/>
  <c r="BP255" i="1"/>
  <c r="BN255" i="1"/>
  <c r="Z255" i="1"/>
  <c r="Y259" i="1"/>
  <c r="BP264" i="1"/>
  <c r="BN264" i="1"/>
  <c r="Z264" i="1"/>
  <c r="BP273" i="1"/>
  <c r="BN273" i="1"/>
  <c r="Z273" i="1"/>
  <c r="Y275" i="1"/>
  <c r="P498" i="1"/>
  <c r="Y281" i="1"/>
  <c r="BP278" i="1"/>
  <c r="BN278" i="1"/>
  <c r="Z278" i="1"/>
  <c r="Z280" i="1" s="1"/>
  <c r="Y304" i="1"/>
  <c r="Y312" i="1"/>
  <c r="Y318" i="1"/>
  <c r="Y324" i="1"/>
  <c r="Y330" i="1"/>
  <c r="Y337" i="1"/>
  <c r="Y349" i="1"/>
  <c r="Y355" i="1"/>
  <c r="Y359" i="1"/>
  <c r="Y370" i="1"/>
  <c r="Y374" i="1"/>
  <c r="Y380" i="1"/>
  <c r="Y394" i="1"/>
  <c r="Y398" i="1"/>
  <c r="Y411" i="1"/>
  <c r="Y416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BP444" i="1"/>
  <c r="BN444" i="1"/>
  <c r="Z444" i="1"/>
  <c r="L498" i="1"/>
  <c r="Y260" i="1"/>
  <c r="M498" i="1"/>
  <c r="Y267" i="1"/>
  <c r="Q498" i="1"/>
  <c r="Z292" i="1"/>
  <c r="BN292" i="1"/>
  <c r="Y295" i="1"/>
  <c r="Z298" i="1"/>
  <c r="BN298" i="1"/>
  <c r="Z300" i="1"/>
  <c r="BN300" i="1"/>
  <c r="Z302" i="1"/>
  <c r="BN302" i="1"/>
  <c r="Z308" i="1"/>
  <c r="BN308" i="1"/>
  <c r="Z310" i="1"/>
  <c r="BN310" i="1"/>
  <c r="Z314" i="1"/>
  <c r="BN314" i="1"/>
  <c r="BP314" i="1"/>
  <c r="Z316" i="1"/>
  <c r="BN316" i="1"/>
  <c r="Z320" i="1"/>
  <c r="BN320" i="1"/>
  <c r="BP320" i="1"/>
  <c r="Z322" i="1"/>
  <c r="BN322" i="1"/>
  <c r="Z328" i="1"/>
  <c r="Z330" i="1" s="1"/>
  <c r="BN328" i="1"/>
  <c r="R498" i="1"/>
  <c r="Z335" i="1"/>
  <c r="Z337" i="1" s="1"/>
  <c r="BN335" i="1"/>
  <c r="Y338" i="1"/>
  <c r="S498" i="1"/>
  <c r="Z343" i="1"/>
  <c r="BN343" i="1"/>
  <c r="Z345" i="1"/>
  <c r="BN345" i="1"/>
  <c r="Z347" i="1"/>
  <c r="BN347" i="1"/>
  <c r="Y350" i="1"/>
  <c r="Z353" i="1"/>
  <c r="Z354" i="1" s="1"/>
  <c r="BN353" i="1"/>
  <c r="Z357" i="1"/>
  <c r="Z359" i="1" s="1"/>
  <c r="BN357" i="1"/>
  <c r="BP357" i="1"/>
  <c r="T498" i="1"/>
  <c r="Z368" i="1"/>
  <c r="Z369" i="1" s="1"/>
  <c r="BN368" i="1"/>
  <c r="Y369" i="1"/>
  <c r="Z372" i="1"/>
  <c r="Z374" i="1" s="1"/>
  <c r="BN372" i="1"/>
  <c r="BP372" i="1"/>
  <c r="Z378" i="1"/>
  <c r="Z379" i="1" s="1"/>
  <c r="BN378" i="1"/>
  <c r="Z384" i="1"/>
  <c r="BN384" i="1"/>
  <c r="BP384" i="1"/>
  <c r="Z386" i="1"/>
  <c r="BN386" i="1"/>
  <c r="Z388" i="1"/>
  <c r="BN388" i="1"/>
  <c r="Z390" i="1"/>
  <c r="BN390" i="1"/>
  <c r="Z392" i="1"/>
  <c r="BN392" i="1"/>
  <c r="Y393" i="1"/>
  <c r="Z396" i="1"/>
  <c r="Z398" i="1" s="1"/>
  <c r="BN396" i="1"/>
  <c r="BP396" i="1"/>
  <c r="V498" i="1"/>
  <c r="Y404" i="1"/>
  <c r="Z407" i="1"/>
  <c r="BN407" i="1"/>
  <c r="Z409" i="1"/>
  <c r="BN409" i="1"/>
  <c r="Z414" i="1"/>
  <c r="Z415" i="1" s="1"/>
  <c r="BN414" i="1"/>
  <c r="BP414" i="1"/>
  <c r="Y415" i="1"/>
  <c r="Z420" i="1"/>
  <c r="BN420" i="1"/>
  <c r="BP420" i="1"/>
  <c r="Z422" i="1"/>
  <c r="BP426" i="1"/>
  <c r="BN426" i="1"/>
  <c r="Z426" i="1"/>
  <c r="BP430" i="1"/>
  <c r="BN430" i="1"/>
  <c r="Z430" i="1"/>
  <c r="Y432" i="1"/>
  <c r="Y437" i="1"/>
  <c r="BP434" i="1"/>
  <c r="BN434" i="1"/>
  <c r="Z434" i="1"/>
  <c r="Z437" i="1" s="1"/>
  <c r="BP442" i="1"/>
  <c r="BN442" i="1"/>
  <c r="Z442" i="1"/>
  <c r="Y446" i="1"/>
  <c r="BP450" i="1"/>
  <c r="BN450" i="1"/>
  <c r="Z450" i="1"/>
  <c r="Z452" i="1" s="1"/>
  <c r="Y452" i="1"/>
  <c r="Y462" i="1"/>
  <c r="Y468" i="1"/>
  <c r="Z471" i="1"/>
  <c r="BN471" i="1"/>
  <c r="Y472" i="1"/>
  <c r="Z475" i="1"/>
  <c r="Z476" i="1" s="1"/>
  <c r="BN475" i="1"/>
  <c r="BP475" i="1"/>
  <c r="Y476" i="1"/>
  <c r="Z479" i="1"/>
  <c r="BN479" i="1"/>
  <c r="BP479" i="1"/>
  <c r="Y482" i="1"/>
  <c r="Y487" i="1"/>
  <c r="Y498" i="1"/>
  <c r="Z458" i="1"/>
  <c r="BN458" i="1"/>
  <c r="Z460" i="1"/>
  <c r="BN460" i="1"/>
  <c r="Z464" i="1"/>
  <c r="BN464" i="1"/>
  <c r="BP464" i="1"/>
  <c r="Z466" i="1"/>
  <c r="BN466" i="1"/>
  <c r="Z470" i="1"/>
  <c r="Z472" i="1" s="1"/>
  <c r="BN470" i="1"/>
  <c r="BP470" i="1"/>
  <c r="Z480" i="1"/>
  <c r="BN480" i="1"/>
  <c r="Z485" i="1"/>
  <c r="Z486" i="1" s="1"/>
  <c r="BN485" i="1"/>
  <c r="BP485" i="1"/>
  <c r="Y486" i="1"/>
  <c r="Z304" i="1" l="1"/>
  <c r="Z467" i="1"/>
  <c r="Z461" i="1"/>
  <c r="Z267" i="1"/>
  <c r="Z259" i="1"/>
  <c r="Z203" i="1"/>
  <c r="Z116" i="1"/>
  <c r="Z109" i="1"/>
  <c r="Z95" i="1"/>
  <c r="Z285" i="1"/>
  <c r="Z311" i="1"/>
  <c r="Z294" i="1"/>
  <c r="Z410" i="1"/>
  <c r="Z349" i="1"/>
  <c r="Z324" i="1"/>
  <c r="Z234" i="1"/>
  <c r="Z171" i="1"/>
  <c r="Z76" i="1"/>
  <c r="Z57" i="1"/>
  <c r="Z274" i="1"/>
  <c r="Z481" i="1"/>
  <c r="Z431" i="1"/>
  <c r="Y492" i="1"/>
  <c r="Y489" i="1"/>
  <c r="Z393" i="1"/>
  <c r="Z317" i="1"/>
  <c r="Z446" i="1"/>
  <c r="Z250" i="1"/>
  <c r="Z215" i="1"/>
  <c r="Z148" i="1"/>
  <c r="Z103" i="1"/>
  <c r="Z43" i="1"/>
  <c r="Z31" i="1"/>
  <c r="Y490" i="1"/>
  <c r="Y488" i="1"/>
  <c r="Z493" i="1" l="1"/>
  <c r="Y491" i="1"/>
</calcChain>
</file>

<file path=xl/sharedStrings.xml><?xml version="1.0" encoding="utf-8"?>
<sst xmlns="http://schemas.openxmlformats.org/spreadsheetml/2006/main" count="2311" uniqueCount="760">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</sst>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45985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0.41666666666666669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150</v>
      </c>
      <c r="Y40" s="540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109</v>
      </c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13.888888888888888</v>
      </c>
      <c r="Y43" s="541">
        <f>IFERROR(Y40/H40,"0")+IFERROR(Y41/H41,"0")+IFERROR(Y42/H42,"0")</f>
        <v>14</v>
      </c>
      <c r="Z43" s="541">
        <f>IFERROR(IF(Z40="",0,Z40),"0")+IFERROR(IF(Z41="",0,Z41),"0")+IFERROR(IF(Z42="",0,Z42),"0")</f>
        <v>0.26572000000000001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150</v>
      </c>
      <c r="Y44" s="541">
        <f>IFERROR(SUM(Y40:Y42),"0")</f>
        <v>151.20000000000002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100</v>
      </c>
      <c r="Y52" s="54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18</v>
      </c>
      <c r="Y56" s="540">
        <f t="shared" si="0"/>
        <v>18</v>
      </c>
      <c r="Z56" s="36">
        <f>IFERROR(IF(Y56=0,"",ROUNDUP(Y56/H56,0)*0.00902),"")</f>
        <v>3.6080000000000001E-2</v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18.760000000000002</v>
      </c>
      <c r="BN56" s="64">
        <f t="shared" si="2"/>
        <v>18.760000000000002</v>
      </c>
      <c r="BO56" s="64">
        <f t="shared" si="3"/>
        <v>3.0303030303030304E-2</v>
      </c>
      <c r="BP56" s="64">
        <f t="shared" si="4"/>
        <v>3.0303030303030304E-2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13.25925925925926</v>
      </c>
      <c r="Y57" s="541">
        <f>IFERROR(Y51/H51,"0")+IFERROR(Y52/H52,"0")+IFERROR(Y53/H53,"0")+IFERROR(Y54/H54,"0")+IFERROR(Y55/H55,"0")+IFERROR(Y56/H56,"0")</f>
        <v>14</v>
      </c>
      <c r="Z57" s="541">
        <f>IFERROR(IF(Z51="",0,Z51),"0")+IFERROR(IF(Z52="",0,Z52),"0")+IFERROR(IF(Z53="",0,Z53),"0")+IFERROR(IF(Z54="",0,Z54),"0")+IFERROR(IF(Z55="",0,Z55),"0")+IFERROR(IF(Z56="",0,Z56),"0")</f>
        <v>0.22588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118</v>
      </c>
      <c r="Y58" s="541">
        <f>IFERROR(SUM(Y51:Y56),"0")</f>
        <v>126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140</v>
      </c>
      <c r="Y60" s="540">
        <f>IFERROR(IF(X60="",0,CEILING((X60/$H60),1)*$H60),"")</f>
        <v>140.4</v>
      </c>
      <c r="Z60" s="36">
        <f>IFERROR(IF(Y60=0,"",ROUNDUP(Y60/H60,0)*0.01898),"")</f>
        <v>0.24674000000000001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145.31481481481481</v>
      </c>
      <c r="BN60" s="64">
        <f>IFERROR(Y60*I60/H60,"0")</f>
        <v>145.73000000000002</v>
      </c>
      <c r="BO60" s="64">
        <f>IFERROR(1/J60*(X60/H60),"0")</f>
        <v>0.20254629629629628</v>
      </c>
      <c r="BP60" s="64">
        <f>IFERROR(1/J60*(Y60/H60),"0")</f>
        <v>0.203125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12.962962962962962</v>
      </c>
      <c r="Y63" s="541">
        <f>IFERROR(Y60/H60,"0")+IFERROR(Y61/H61,"0")+IFERROR(Y62/H62,"0")</f>
        <v>13</v>
      </c>
      <c r="Z63" s="541">
        <f>IFERROR(IF(Z60="",0,Z60),"0")+IFERROR(IF(Z61="",0,Z61),"0")+IFERROR(IF(Z62="",0,Z62),"0")</f>
        <v>0.24674000000000001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140</v>
      </c>
      <c r="Y64" s="541">
        <f>IFERROR(SUM(Y60:Y62),"0")</f>
        <v>140.4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200</v>
      </c>
      <c r="Y85" s="540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18.518518518518519</v>
      </c>
      <c r="Y88" s="541">
        <f>IFERROR(Y85/H85,"0")+IFERROR(Y86/H86,"0")+IFERROR(Y87/H87,"0")</f>
        <v>19</v>
      </c>
      <c r="Z88" s="541">
        <f>IFERROR(IF(Z85="",0,Z85),"0")+IFERROR(IF(Z86="",0,Z86),"0")+IFERROR(IF(Z87="",0,Z87),"0")</f>
        <v>0.36062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200</v>
      </c>
      <c r="Y89" s="541">
        <f>IFERROR(SUM(Y85:Y87),"0")</f>
        <v>205.20000000000002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100</v>
      </c>
      <c r="Y91" s="54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12.345679012345679</v>
      </c>
      <c r="Y95" s="541">
        <f>IFERROR(Y91/H91,"0")+IFERROR(Y92/H92,"0")+IFERROR(Y93/H93,"0")+IFERROR(Y94/H94,"0")</f>
        <v>13</v>
      </c>
      <c r="Z95" s="541">
        <f>IFERROR(IF(Z91="",0,Z91),"0")+IFERROR(IF(Z92="",0,Z92),"0")+IFERROR(IF(Z93="",0,Z93),"0")+IFERROR(IF(Z94="",0,Z94),"0")</f>
        <v>0.24674000000000001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100</v>
      </c>
      <c r="Y96" s="541">
        <f>IFERROR(SUM(Y91:Y94),"0")</f>
        <v>105.3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150</v>
      </c>
      <c r="Y99" s="540">
        <f>IFERROR(IF(X99="",0,CEILING((X99/$H99),1)*$H99),"")</f>
        <v>151.20000000000002</v>
      </c>
      <c r="Z99" s="36">
        <f>IFERROR(IF(Y99=0,"",ROUNDUP(Y99/H99,0)*0.01898),"")</f>
        <v>0.26572000000000001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155.69444444444446</v>
      </c>
      <c r="BN99" s="64">
        <f>IFERROR(Y99*I99/H99,"0")</f>
        <v>156.94</v>
      </c>
      <c r="BO99" s="64">
        <f>IFERROR(1/J99*(X99/H99),"0")</f>
        <v>0.21701388888888887</v>
      </c>
      <c r="BP99" s="64">
        <f>IFERROR(1/J99*(Y99/H99),"0")</f>
        <v>0.21875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13.888888888888888</v>
      </c>
      <c r="Y103" s="541">
        <f>IFERROR(Y99/H99,"0")+IFERROR(Y100/H100,"0")+IFERROR(Y101/H101,"0")+IFERROR(Y102/H102,"0")</f>
        <v>14</v>
      </c>
      <c r="Z103" s="541">
        <f>IFERROR(IF(Z99="",0,Z99),"0")+IFERROR(IF(Z100="",0,Z100),"0")+IFERROR(IF(Z101="",0,Z101),"0")+IFERROR(IF(Z102="",0,Z102),"0")</f>
        <v>0.26572000000000001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150</v>
      </c>
      <c r="Y104" s="541">
        <f>IFERROR(SUM(Y99:Y102),"0")</f>
        <v>151.20000000000002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185</v>
      </c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hidden="1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109</v>
      </c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185</v>
      </c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72</v>
      </c>
      <c r="Y211" s="540">
        <f t="shared" si="15"/>
        <v>72</v>
      </c>
      <c r="Z211" s="36">
        <f t="shared" si="20"/>
        <v>0.1953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79.560000000000016</v>
      </c>
      <c r="BN211" s="64">
        <f t="shared" si="17"/>
        <v>79.560000000000016</v>
      </c>
      <c r="BO211" s="64">
        <f t="shared" si="18"/>
        <v>0.16483516483516486</v>
      </c>
      <c r="BP211" s="64">
        <f t="shared" si="19"/>
        <v>0.16483516483516486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30</v>
      </c>
      <c r="Y215" s="541">
        <f>IFERROR(Y206/H206,"0")+IFERROR(Y207/H207,"0")+IFERROR(Y208/H208,"0")+IFERROR(Y209/H209,"0")+IFERROR(Y210/H210,"0")+IFERROR(Y211/H211,"0")+IFERROR(Y212/H212,"0")+IFERROR(Y213/H213,"0")+IFERROR(Y214/H214,"0")</f>
        <v>30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0.1953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72</v>
      </c>
      <c r="Y216" s="541">
        <f>IFERROR(SUM(Y206:Y214),"0")</f>
        <v>72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 t="s">
        <v>185</v>
      </c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105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185</v>
      </c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 t="s">
        <v>266</v>
      </c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105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300</v>
      </c>
      <c r="Y314" s="540">
        <f>IFERROR(IF(X314="",0,CEILING((X314/$H314),1)*$H314),"")</f>
        <v>302.40000000000003</v>
      </c>
      <c r="Z314" s="36">
        <f>IFERROR(IF(Y314=0,"",ROUNDUP(Y314/H314,0)*0.01898),"")</f>
        <v>0.68328</v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317.64285714285711</v>
      </c>
      <c r="BN314" s="64">
        <f>IFERROR(Y314*I314/H314,"0")</f>
        <v>320.18400000000003</v>
      </c>
      <c r="BO314" s="64">
        <f>IFERROR(1/J314*(X314/H314),"0")</f>
        <v>0.5580357142857143</v>
      </c>
      <c r="BP314" s="64">
        <f>IFERROR(1/J314*(Y314/H314),"0")</f>
        <v>0.5625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35.714285714285715</v>
      </c>
      <c r="Y317" s="541">
        <f>IFERROR(Y314/H314,"0")+IFERROR(Y315/H315,"0")+IFERROR(Y316/H316,"0")</f>
        <v>36</v>
      </c>
      <c r="Z317" s="541">
        <f>IFERROR(IF(Z314="",0,Z314),"0")+IFERROR(IF(Z315="",0,Z315),"0")+IFERROR(IF(Z316="",0,Z316),"0")</f>
        <v>0.68328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300</v>
      </c>
      <c r="Y318" s="541">
        <f>IFERROR(SUM(Y314:Y316),"0")</f>
        <v>302.40000000000003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 t="s">
        <v>185</v>
      </c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105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 t="s">
        <v>185</v>
      </c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105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 t="s">
        <v>185</v>
      </c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105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1000</v>
      </c>
      <c r="Y342" s="540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1500</v>
      </c>
      <c r="Y343" s="540">
        <f t="shared" si="31"/>
        <v>1500</v>
      </c>
      <c r="Z343" s="36">
        <f>IFERROR(IF(Y343=0,"",ROUNDUP(Y343/H343,0)*0.02175),"")</f>
        <v>2.1749999999999998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1547</v>
      </c>
      <c r="BN343" s="64">
        <f t="shared" si="33"/>
        <v>1547</v>
      </c>
      <c r="BO343" s="64">
        <f t="shared" si="34"/>
        <v>2.083333333333333</v>
      </c>
      <c r="BP343" s="64">
        <f t="shared" si="35"/>
        <v>2.083333333333333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500</v>
      </c>
      <c r="Y344" s="540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200.00000000000003</v>
      </c>
      <c r="Y349" s="541">
        <f>IFERROR(Y342/H342,"0")+IFERROR(Y343/H343,"0")+IFERROR(Y344/H344,"0")+IFERROR(Y345/H345,"0")+IFERROR(Y346/H346,"0")+IFERROR(Y347/H347,"0")+IFERROR(Y348/H348,"0")</f>
        <v>201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4.3717499999999996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3000</v>
      </c>
      <c r="Y350" s="541">
        <f>IFERROR(SUM(Y342:Y348),"0")</f>
        <v>3015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3500</v>
      </c>
      <c r="Y352" s="540">
        <f>IFERROR(IF(X352="",0,CEILING((X352/$H352),1)*$H352),"")</f>
        <v>3510</v>
      </c>
      <c r="Z352" s="36">
        <f>IFERROR(IF(Y352=0,"",ROUNDUP(Y352/H352,0)*0.02175),"")</f>
        <v>5.0894999999999992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3609.6666666666665</v>
      </c>
      <c r="BN352" s="64">
        <f>IFERROR(Y352*I352/H352,"0")</f>
        <v>3619.9800000000005</v>
      </c>
      <c r="BO352" s="64">
        <f>IFERROR(1/J352*(X352/H352),"0")</f>
        <v>4.8611111111111107</v>
      </c>
      <c r="BP352" s="64">
        <f>IFERROR(1/J352*(Y352/H352),"0")</f>
        <v>4.875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233.33333333333334</v>
      </c>
      <c r="Y354" s="541">
        <f>IFERROR(Y352/H352,"0")+IFERROR(Y353/H353,"0")</f>
        <v>234</v>
      </c>
      <c r="Z354" s="541">
        <f>IFERROR(IF(Z352="",0,Z352),"0")+IFERROR(IF(Z353="",0,Z353),"0")</f>
        <v>5.0894999999999992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3500</v>
      </c>
      <c r="Y355" s="541">
        <f>IFERROR(SUM(Y352:Y353),"0")</f>
        <v>3510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 t="s">
        <v>102</v>
      </c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105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250</v>
      </c>
      <c r="Y362" s="540">
        <f>IFERROR(IF(X362="",0,CEILING((X362/$H362),1)*$H362),"")</f>
        <v>252</v>
      </c>
      <c r="Z362" s="36">
        <f>IFERROR(IF(Y362=0,"",ROUNDUP(Y362/H362,0)*0.01898),"")</f>
        <v>0.53144000000000002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263.72222222222223</v>
      </c>
      <c r="BN362" s="64">
        <f>IFERROR(Y362*I362/H362,"0")</f>
        <v>265.83199999999999</v>
      </c>
      <c r="BO362" s="64">
        <f>IFERROR(1/J362*(X362/H362),"0")</f>
        <v>0.43402777777777779</v>
      </c>
      <c r="BP362" s="64">
        <f>IFERROR(1/J362*(Y362/H362),"0")</f>
        <v>0.4375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27.777777777777779</v>
      </c>
      <c r="Y363" s="541">
        <f>IFERROR(Y362/H362,"0")</f>
        <v>28</v>
      </c>
      <c r="Z363" s="541">
        <f>IFERROR(IF(Z362="",0,Z362),"0")</f>
        <v>0.53144000000000002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250</v>
      </c>
      <c r="Y364" s="541">
        <f>IFERROR(SUM(Y362:Y362),"0")</f>
        <v>252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109</v>
      </c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110</v>
      </c>
      <c r="Y384" s="540">
        <f t="shared" ref="Y384:Y392" si="36">IFERROR(IF(X384="",0,CEILING((X384/$H384),1)*$H384),"")</f>
        <v>113.4</v>
      </c>
      <c r="Z384" s="36">
        <f>IFERROR(IF(Y384=0,"",ROUNDUP(Y384/H384,0)*0.00902),"")</f>
        <v>0.18942000000000001</v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113.87037037037035</v>
      </c>
      <c r="BN384" s="64">
        <f t="shared" ref="BN384:BN392" si="38">IFERROR(Y384*I384/H384,"0")</f>
        <v>117.39</v>
      </c>
      <c r="BO384" s="64">
        <f t="shared" ref="BO384:BO392" si="39">IFERROR(1/J384*(X384/H384),"0")</f>
        <v>0.15432098765432098</v>
      </c>
      <c r="BP384" s="64">
        <f t="shared" ref="BP384:BP392" si="40">IFERROR(1/J384*(Y384/H384),"0")</f>
        <v>0.15909090909090909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50</v>
      </c>
      <c r="Y385" s="540">
        <f t="shared" si="36"/>
        <v>54</v>
      </c>
      <c r="Z385" s="36">
        <f>IFERROR(IF(Y385=0,"",ROUNDUP(Y385/H385,0)*0.00902),"")</f>
        <v>9.0200000000000002E-2</v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51.759259259259252</v>
      </c>
      <c r="BN385" s="64">
        <f t="shared" si="38"/>
        <v>55.9</v>
      </c>
      <c r="BO385" s="64">
        <f t="shared" si="39"/>
        <v>7.0145903479236812E-2</v>
      </c>
      <c r="BP385" s="64">
        <f t="shared" si="40"/>
        <v>7.575757575757576E-2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250</v>
      </c>
      <c r="Y386" s="540">
        <f t="shared" si="36"/>
        <v>253.8</v>
      </c>
      <c r="Z386" s="36">
        <f>IFERROR(IF(Y386=0,"",ROUNDUP(Y386/H386,0)*0.00902),"")</f>
        <v>0.42393999999999998</v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258.7962962962963</v>
      </c>
      <c r="BN386" s="64">
        <f t="shared" si="38"/>
        <v>262.72999999999996</v>
      </c>
      <c r="BO386" s="64">
        <f t="shared" si="39"/>
        <v>0.35072951739618402</v>
      </c>
      <c r="BP386" s="64">
        <f t="shared" si="40"/>
        <v>0.35606060606060608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 t="s">
        <v>266</v>
      </c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 t="s">
        <v>105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75.925925925925924</v>
      </c>
      <c r="Y393" s="541">
        <f>IFERROR(Y384/H384,"0")+IFERROR(Y385/H385,"0")+IFERROR(Y386/H386,"0")+IFERROR(Y387/H387,"0")+IFERROR(Y388/H388,"0")+IFERROR(Y389/H389,"0")+IFERROR(Y390/H390,"0")+IFERROR(Y391/H391,"0")+IFERROR(Y392/H392,"0")</f>
        <v>78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0.70355999999999996</v>
      </c>
      <c r="AA393" s="542"/>
      <c r="AB393" s="542"/>
      <c r="AC393" s="542"/>
    </row>
    <row r="394" spans="1:68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410</v>
      </c>
      <c r="Y394" s="541">
        <f>IFERROR(SUM(Y384:Y392),"0")</f>
        <v>421.20000000000005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109</v>
      </c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400</v>
      </c>
      <c r="Y425" s="540">
        <f t="shared" si="42"/>
        <v>401.28000000000003</v>
      </c>
      <c r="Z425" s="36">
        <f t="shared" si="43"/>
        <v>0.90895999999999999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426.5151515151515</v>
      </c>
      <c r="BN425" s="64">
        <f t="shared" si="45"/>
        <v>427.88</v>
      </c>
      <c r="BO425" s="64">
        <f t="shared" si="46"/>
        <v>0.72843822843822836</v>
      </c>
      <c r="BP425" s="64">
        <f t="shared" si="47"/>
        <v>0.73076923076923084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 t="s">
        <v>109</v>
      </c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 t="s">
        <v>105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75.757575757575751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0.90895999999999999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400</v>
      </c>
      <c r="Y432" s="541">
        <f>IFERROR(SUM(Y420:Y430),"0")</f>
        <v>401.28000000000003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650</v>
      </c>
      <c r="Y434" s="540">
        <f>IFERROR(IF(X434="",0,CEILING((X434/$H434),1)*$H434),"")</f>
        <v>654.72</v>
      </c>
      <c r="Z434" s="36">
        <f>IFERROR(IF(Y434=0,"",ROUNDUP(Y434/H434,0)*0.01196),"")</f>
        <v>1.4830399999999999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693.08712121212113</v>
      </c>
      <c r="BN434" s="64">
        <f>IFERROR(Y434*I434/H434,"0")</f>
        <v>698.12</v>
      </c>
      <c r="BO434" s="64">
        <f>IFERROR(1/J434*(X434/H434),"0")</f>
        <v>1.1837121212121211</v>
      </c>
      <c r="BP434" s="64">
        <f>IFERROR(1/J434*(Y434/H434),"0")</f>
        <v>1.1923076923076923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123.10606060606059</v>
      </c>
      <c r="Y437" s="541">
        <f>IFERROR(Y434/H434,"0")+IFERROR(Y435/H435,"0")+IFERROR(Y436/H436,"0")</f>
        <v>124</v>
      </c>
      <c r="Z437" s="541">
        <f>IFERROR(IF(Z434="",0,Z434),"0")+IFERROR(IF(Z435="",0,Z435),"0")+IFERROR(IF(Z436="",0,Z436),"0")</f>
        <v>1.4830399999999999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650</v>
      </c>
      <c r="Y438" s="541">
        <f>IFERROR(SUM(Y434:Y436),"0")</f>
        <v>654.72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250</v>
      </c>
      <c r="Y440" s="540">
        <f t="shared" ref="Y440:Y445" si="48">IFERROR(IF(X440="",0,CEILING((X440/$H440),1)*$H440),"")</f>
        <v>253.44</v>
      </c>
      <c r="Z440" s="36">
        <f>IFERROR(IF(Y440=0,"",ROUNDUP(Y440/H440,0)*0.01196),"")</f>
        <v>0.57408000000000003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266.57196969696969</v>
      </c>
      <c r="BN440" s="64">
        <f t="shared" ref="BN440:BN445" si="50">IFERROR(Y440*I440/H440,"0")</f>
        <v>270.23999999999995</v>
      </c>
      <c r="BO440" s="64">
        <f t="shared" ref="BO440:BO445" si="51">IFERROR(1/J440*(X440/H440),"0")</f>
        <v>0.45527389277389274</v>
      </c>
      <c r="BP440" s="64">
        <f t="shared" ref="BP440:BP445" si="52">IFERROR(1/J440*(Y440/H440),"0")</f>
        <v>0.46153846153846156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200</v>
      </c>
      <c r="Y441" s="540">
        <f t="shared" si="48"/>
        <v>200.64000000000001</v>
      </c>
      <c r="Z441" s="36">
        <f>IFERROR(IF(Y441=0,"",ROUNDUP(Y441/H441,0)*0.01196),"")</f>
        <v>0.45448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213.25757575757575</v>
      </c>
      <c r="BN441" s="64">
        <f t="shared" si="50"/>
        <v>213.94</v>
      </c>
      <c r="BO441" s="64">
        <f t="shared" si="51"/>
        <v>0.36421911421911418</v>
      </c>
      <c r="BP441" s="64">
        <f t="shared" si="52"/>
        <v>0.36538461538461542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100</v>
      </c>
      <c r="Y442" s="540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104.16666666666666</v>
      </c>
      <c r="Y446" s="541">
        <f>IFERROR(Y440/H440,"0")+IFERROR(Y441/H441,"0")+IFERROR(Y442/H442,"0")+IFERROR(Y443/H443,"0")+IFERROR(Y444/H444,"0")+IFERROR(Y445/H445,"0")</f>
        <v>105</v>
      </c>
      <c r="Z446" s="541">
        <f>IFERROR(IF(Z440="",0,Z440),"0")+IFERROR(IF(Z441="",0,Z441),"0")+IFERROR(IF(Z442="",0,Z442),"0")+IFERROR(IF(Z443="",0,Z443),"0")+IFERROR(IF(Z444="",0,Z444),"0")+IFERROR(IF(Z445="",0,Z445),"0")</f>
        <v>1.2558000000000002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550</v>
      </c>
      <c r="Y447" s="541">
        <f>IFERROR(SUM(Y440:Y445),"0")</f>
        <v>554.40000000000009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109</v>
      </c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50</v>
      </c>
      <c r="Y470" s="540">
        <f>IFERROR(IF(X470="",0,CEILING((X470/$H470),1)*$H470),"")</f>
        <v>50.400000000000006</v>
      </c>
      <c r="Z470" s="36">
        <f>IFERROR(IF(Y470=0,"",ROUNDUP(Y470/H470,0)*0.00902),"")</f>
        <v>0.10824</v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52.976190476190474</v>
      </c>
      <c r="BN470" s="64">
        <f>IFERROR(Y470*I470/H470,"0")</f>
        <v>53.400000000000006</v>
      </c>
      <c r="BO470" s="64">
        <f>IFERROR(1/J470*(X470/H470),"0")</f>
        <v>9.0187590187590191E-2</v>
      </c>
      <c r="BP470" s="64">
        <f>IFERROR(1/J470*(Y470/H470),"0")</f>
        <v>9.0909090909090912E-2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109</v>
      </c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11.904761904761905</v>
      </c>
      <c r="Y472" s="541">
        <f>IFERROR(Y470/H470,"0")+IFERROR(Y471/H471,"0")</f>
        <v>12</v>
      </c>
      <c r="Z472" s="541">
        <f>IFERROR(IF(Z470="",0,Z470),"0")+IFERROR(IF(Z471="",0,Z471),"0")</f>
        <v>0.10824</v>
      </c>
      <c r="AA472" s="542"/>
      <c r="AB472" s="542"/>
      <c r="AC472" s="542"/>
    </row>
    <row r="473" spans="1:68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50</v>
      </c>
      <c r="Y473" s="541">
        <f>IFERROR(SUM(Y470:Y471),"0")</f>
        <v>50.400000000000006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10040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10112.699999999999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10441.005826519162</v>
      </c>
      <c r="Y489" s="541">
        <f>IFERROR(SUM(BN22:BN485),"0")</f>
        <v>10516.777999999998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16</v>
      </c>
      <c r="Y490" s="38">
        <f>ROUNDUP(SUM(BP22:BP485),0)</f>
        <v>16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10841.005826519162</v>
      </c>
      <c r="Y491" s="541">
        <f>GrossWeightTotalR+PalletQtyTotalR*25</f>
        <v>10916.777999999998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1002.5505852172519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1011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16.942289999999996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189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151.20000000000002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266.39999999999998</v>
      </c>
      <c r="E498" s="46">
        <f>IFERROR(Y85*1,"0")+IFERROR(Y86*1,"0")+IFERROR(Y87*1,"0")+IFERROR(Y91*1,"0")+IFERROR(Y92*1,"0")+IFERROR(Y93*1,"0")+IFERROR(Y94*1,"0")</f>
        <v>310.5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151.20000000000002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302.40000000000003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6777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421.20000000000005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1610.4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50.400000000000006</v>
      </c>
      <c r="Z498" s="46">
        <f>IFERROR(Y485*1,"0")</f>
        <v>0</v>
      </c>
      <c r="AB498" s="52"/>
      <c r="AC498" s="52"/>
      <c r="AF498" s="537"/>
    </row>
  </sheetData>
  <sheetProtection algorithmName="SHA-512" hashValue="7ies3SNWDxRWmBdMOtbbwb1JgHHlIgx/IEy5ejHslQIwcLVCVGJIYTz0tGfKIA34Wwg8+fHYYTlAq2xQGNWOIA==" saltValue="Y/RqrpMjNdrJlzCcSZ1QP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2,55"/>
        <filter val="1 500,00"/>
        <filter val="10 040,00"/>
        <filter val="10 441,01"/>
        <filter val="10 841,01"/>
        <filter val="100,00"/>
        <filter val="104,17"/>
        <filter val="11,90"/>
        <filter val="110,00"/>
        <filter val="118,00"/>
        <filter val="12,35"/>
        <filter val="12,96"/>
        <filter val="123,11"/>
        <filter val="13,26"/>
        <filter val="13,89"/>
        <filter val="140,00"/>
        <filter val="150,00"/>
        <filter val="16"/>
        <filter val="18,00"/>
        <filter val="18,52"/>
        <filter val="200,00"/>
        <filter val="233,33"/>
        <filter val="250,00"/>
        <filter val="27,78"/>
        <filter val="3 000,00"/>
        <filter val="3 500,00"/>
        <filter val="30,00"/>
        <filter val="300,00"/>
        <filter val="35,71"/>
        <filter val="400,00"/>
        <filter val="410,00"/>
        <filter val="50,00"/>
        <filter val="500,00"/>
        <filter val="550,00"/>
        <filter val="650,00"/>
        <filter val="72,00"/>
        <filter val="75,76"/>
        <filter val="75,93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4 X386 X391 X406 X420 X422:X423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6p3wTVgvZrSk1EP3e6nhnDbbdvfAJndKamLj2Gzn/uWxsBuMpZxGNKzo/eD6rJKB42GdX2eBFtmi9zWcz8pgxA==" saltValue="ocXP5w6orvhbaYnhsqec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