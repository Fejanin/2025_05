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433B5E2-B7BD-4B90-9CA2-62A9F044863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Z278" i="1" s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F10" i="1"/>
  <c r="F9" i="1"/>
  <c r="A9" i="1"/>
  <c r="A10" i="1" s="1"/>
  <c r="D7" i="1"/>
  <c r="Q6" i="1"/>
  <c r="P2" i="1"/>
  <c r="Y23" i="1" l="1"/>
  <c r="BP22" i="1"/>
  <c r="BN22" i="1"/>
  <c r="Z22" i="1"/>
  <c r="Z23" i="1" s="1"/>
  <c r="BP26" i="1"/>
  <c r="BN26" i="1"/>
  <c r="Z26" i="1"/>
  <c r="BP61" i="1"/>
  <c r="BN61" i="1"/>
  <c r="Z61" i="1"/>
  <c r="BP99" i="1"/>
  <c r="BN99" i="1"/>
  <c r="Z99" i="1"/>
  <c r="BP141" i="1"/>
  <c r="BN141" i="1"/>
  <c r="Z141" i="1"/>
  <c r="BP145" i="1"/>
  <c r="BN145" i="1"/>
  <c r="Z145" i="1"/>
  <c r="BP165" i="1"/>
  <c r="BN165" i="1"/>
  <c r="Z165" i="1"/>
  <c r="BP200" i="1"/>
  <c r="BN200" i="1"/>
  <c r="Z200" i="1"/>
  <c r="BP226" i="1"/>
  <c r="BN226" i="1"/>
  <c r="Z226" i="1"/>
  <c r="BP264" i="1"/>
  <c r="BN264" i="1"/>
  <c r="Z264" i="1"/>
  <c r="BP292" i="1"/>
  <c r="BN292" i="1"/>
  <c r="Z292" i="1"/>
  <c r="BP322" i="1"/>
  <c r="BN322" i="1"/>
  <c r="Z322" i="1"/>
  <c r="BP377" i="1"/>
  <c r="BN377" i="1"/>
  <c r="Z377" i="1"/>
  <c r="Z379" i="1" s="1"/>
  <c r="BP423" i="1"/>
  <c r="BN423" i="1"/>
  <c r="Z423" i="1"/>
  <c r="BP449" i="1"/>
  <c r="BN449" i="1"/>
  <c r="Z449" i="1"/>
  <c r="BP42" i="1"/>
  <c r="BN42" i="1"/>
  <c r="Z42" i="1"/>
  <c r="BP79" i="1"/>
  <c r="BN79" i="1"/>
  <c r="Z79" i="1"/>
  <c r="BP115" i="1"/>
  <c r="BN115" i="1"/>
  <c r="Z115" i="1"/>
  <c r="BP164" i="1"/>
  <c r="BN164" i="1"/>
  <c r="Z164" i="1"/>
  <c r="BP186" i="1"/>
  <c r="BN186" i="1"/>
  <c r="Z186" i="1"/>
  <c r="BP210" i="1"/>
  <c r="BN210" i="1"/>
  <c r="Z210" i="1"/>
  <c r="BP246" i="1"/>
  <c r="BN246" i="1"/>
  <c r="Z246" i="1"/>
  <c r="BP308" i="1"/>
  <c r="BN308" i="1"/>
  <c r="Z308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57" i="1"/>
  <c r="BP94" i="1"/>
  <c r="BN94" i="1"/>
  <c r="Z94" i="1"/>
  <c r="BP113" i="1"/>
  <c r="BN113" i="1"/>
  <c r="Z113" i="1"/>
  <c r="Y136" i="1"/>
  <c r="BP134" i="1"/>
  <c r="BN134" i="1"/>
  <c r="Z134" i="1"/>
  <c r="BP162" i="1"/>
  <c r="BN162" i="1"/>
  <c r="Z162" i="1"/>
  <c r="BP175" i="1"/>
  <c r="BN175" i="1"/>
  <c r="Z175" i="1"/>
  <c r="BP198" i="1"/>
  <c r="BN198" i="1"/>
  <c r="Z198" i="1"/>
  <c r="BP208" i="1"/>
  <c r="BN208" i="1"/>
  <c r="Z208" i="1"/>
  <c r="Y220" i="1"/>
  <c r="BN218" i="1"/>
  <c r="Z218" i="1"/>
  <c r="BP219" i="1"/>
  <c r="BN219" i="1"/>
  <c r="Z219" i="1"/>
  <c r="BP224" i="1"/>
  <c r="BN224" i="1"/>
  <c r="Z224" i="1"/>
  <c r="BP232" i="1"/>
  <c r="BN232" i="1"/>
  <c r="Z232" i="1"/>
  <c r="BP257" i="1"/>
  <c r="BN257" i="1"/>
  <c r="Z257" i="1"/>
  <c r="BP273" i="1"/>
  <c r="BN273" i="1"/>
  <c r="Z273" i="1"/>
  <c r="J9" i="1"/>
  <c r="X488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BP147" i="1"/>
  <c r="BN147" i="1"/>
  <c r="Z147" i="1"/>
  <c r="BP167" i="1"/>
  <c r="BN167" i="1"/>
  <c r="Z167" i="1"/>
  <c r="Y192" i="1"/>
  <c r="BP190" i="1"/>
  <c r="BN190" i="1"/>
  <c r="Z190" i="1"/>
  <c r="BP202" i="1"/>
  <c r="BN202" i="1"/>
  <c r="Z202" i="1"/>
  <c r="BP212" i="1"/>
  <c r="BN212" i="1"/>
  <c r="Z212" i="1"/>
  <c r="BP228" i="1"/>
  <c r="BN228" i="1"/>
  <c r="Z228" i="1"/>
  <c r="BP248" i="1"/>
  <c r="BN248" i="1"/>
  <c r="Z248" i="1"/>
  <c r="BP266" i="1"/>
  <c r="BN266" i="1"/>
  <c r="Z266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81" i="1"/>
  <c r="Y95" i="1"/>
  <c r="Y178" i="1"/>
  <c r="Y216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18" i="1"/>
  <c r="Y317" i="1"/>
  <c r="Y379" i="1"/>
  <c r="Y453" i="1"/>
  <c r="Y452" i="1"/>
  <c r="Y31" i="1"/>
  <c r="Y43" i="1"/>
  <c r="Y70" i="1"/>
  <c r="BP74" i="1"/>
  <c r="BN74" i="1"/>
  <c r="Z74" i="1"/>
  <c r="BP87" i="1"/>
  <c r="BN87" i="1"/>
  <c r="Z87" i="1"/>
  <c r="Y89" i="1"/>
  <c r="Y117" i="1"/>
  <c r="BP112" i="1"/>
  <c r="BN112" i="1"/>
  <c r="Z112" i="1"/>
  <c r="BP125" i="1"/>
  <c r="BN125" i="1"/>
  <c r="Z125" i="1"/>
  <c r="Z126" i="1" s="1"/>
  <c r="Y132" i="1"/>
  <c r="BP129" i="1"/>
  <c r="BN129" i="1"/>
  <c r="Z129" i="1"/>
  <c r="Z131" i="1" s="1"/>
  <c r="BP163" i="1"/>
  <c r="BN163" i="1"/>
  <c r="Z163" i="1"/>
  <c r="BP168" i="1"/>
  <c r="BN168" i="1"/>
  <c r="Z168" i="1"/>
  <c r="J498" i="1"/>
  <c r="Y188" i="1"/>
  <c r="BP185" i="1"/>
  <c r="BN185" i="1"/>
  <c r="Z185" i="1"/>
  <c r="Z187" i="1" s="1"/>
  <c r="BP201" i="1"/>
  <c r="BN201" i="1"/>
  <c r="Z201" i="1"/>
  <c r="Q498" i="1"/>
  <c r="Y294" i="1"/>
  <c r="BP289" i="1"/>
  <c r="BN289" i="1"/>
  <c r="Z289" i="1"/>
  <c r="BP293" i="1"/>
  <c r="BN293" i="1"/>
  <c r="Z293" i="1"/>
  <c r="Y295" i="1"/>
  <c r="BP301" i="1"/>
  <c r="BN301" i="1"/>
  <c r="Z301" i="1"/>
  <c r="BP309" i="1"/>
  <c r="BN309" i="1"/>
  <c r="Z309" i="1"/>
  <c r="Y58" i="1"/>
  <c r="Y64" i="1"/>
  <c r="Y77" i="1"/>
  <c r="BP72" i="1"/>
  <c r="BN72" i="1"/>
  <c r="Y96" i="1"/>
  <c r="BP91" i="1"/>
  <c r="BN91" i="1"/>
  <c r="Z91" i="1"/>
  <c r="BP100" i="1"/>
  <c r="BN100" i="1"/>
  <c r="Z100" i="1"/>
  <c r="BP108" i="1"/>
  <c r="BN108" i="1"/>
  <c r="Z108" i="1"/>
  <c r="Y110" i="1"/>
  <c r="Y116" i="1"/>
  <c r="Y127" i="1"/>
  <c r="BP146" i="1"/>
  <c r="BN146" i="1"/>
  <c r="Z146" i="1"/>
  <c r="BP176" i="1"/>
  <c r="BN176" i="1"/>
  <c r="Z176" i="1"/>
  <c r="Y181" i="1"/>
  <c r="BP180" i="1"/>
  <c r="BN180" i="1"/>
  <c r="Z180" i="1"/>
  <c r="Z181" i="1" s="1"/>
  <c r="Y182" i="1"/>
  <c r="BP197" i="1"/>
  <c r="BN197" i="1"/>
  <c r="Z197" i="1"/>
  <c r="BP209" i="1"/>
  <c r="BN209" i="1"/>
  <c r="Z209" i="1"/>
  <c r="BP213" i="1"/>
  <c r="BN213" i="1"/>
  <c r="Z213" i="1"/>
  <c r="BP284" i="1"/>
  <c r="BN284" i="1"/>
  <c r="Z284" i="1"/>
  <c r="Y286" i="1"/>
  <c r="Y304" i="1"/>
  <c r="BP297" i="1"/>
  <c r="BN297" i="1"/>
  <c r="Z297" i="1"/>
  <c r="Y305" i="1"/>
  <c r="D498" i="1"/>
  <c r="H9" i="1"/>
  <c r="B498" i="1"/>
  <c r="X489" i="1"/>
  <c r="X490" i="1"/>
  <c r="X492" i="1"/>
  <c r="Y24" i="1"/>
  <c r="Z27" i="1"/>
  <c r="BN27" i="1"/>
  <c r="Z29" i="1"/>
  <c r="BN29" i="1"/>
  <c r="C498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11" i="1" l="1"/>
  <c r="Z472" i="1"/>
  <c r="Z215" i="1"/>
  <c r="Z109" i="1"/>
  <c r="Z103" i="1"/>
  <c r="Y489" i="1"/>
  <c r="Y491" i="1" s="1"/>
  <c r="Z234" i="1"/>
  <c r="Z461" i="1"/>
  <c r="Z324" i="1"/>
  <c r="Z274" i="1"/>
  <c r="Z177" i="1"/>
  <c r="Z136" i="1"/>
  <c r="Z88" i="1"/>
  <c r="Z76" i="1"/>
  <c r="Y490" i="1"/>
  <c r="Z63" i="1"/>
  <c r="Z57" i="1"/>
  <c r="Z31" i="1"/>
  <c r="X491" i="1"/>
  <c r="Z148" i="1"/>
  <c r="Y492" i="1"/>
  <c r="Z220" i="1"/>
  <c r="Z393" i="1"/>
  <c r="Z337" i="1"/>
  <c r="Z95" i="1"/>
  <c r="Z294" i="1"/>
  <c r="Z437" i="1"/>
  <c r="Z446" i="1"/>
  <c r="Z431" i="1"/>
  <c r="Z349" i="1"/>
  <c r="Z267" i="1"/>
  <c r="Z259" i="1"/>
  <c r="Z250" i="1"/>
  <c r="Z203" i="1"/>
  <c r="Z171" i="1"/>
  <c r="Z69" i="1"/>
  <c r="Y488" i="1"/>
  <c r="Z304" i="1"/>
  <c r="Z116" i="1"/>
  <c r="Z493" i="1" l="1"/>
</calcChain>
</file>

<file path=xl/sharedStrings.xml><?xml version="1.0" encoding="utf-8"?>
<sst xmlns="http://schemas.openxmlformats.org/spreadsheetml/2006/main" count="2271" uniqueCount="760">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</sst>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70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4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2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6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796" t="s">
        <v>0</v>
      </c>
      <c r="E1" s="568"/>
      <c r="F1" s="568"/>
      <c r="G1" s="12" t="s">
        <v>1</v>
      </c>
      <c r="H1" s="796" t="s">
        <v>2</v>
      </c>
      <c r="I1" s="568"/>
      <c r="J1" s="568"/>
      <c r="K1" s="568"/>
      <c r="L1" s="568"/>
      <c r="M1" s="568"/>
      <c r="N1" s="568"/>
      <c r="O1" s="568"/>
      <c r="P1" s="568"/>
      <c r="Q1" s="568"/>
      <c r="R1" s="848" t="s">
        <v>3</v>
      </c>
      <c r="S1" s="568"/>
      <c r="T1" s="5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798" t="s">
        <v>7</v>
      </c>
      <c r="B5" s="600"/>
      <c r="C5" s="570"/>
      <c r="D5" s="667"/>
      <c r="E5" s="669"/>
      <c r="F5" s="615" t="s">
        <v>8</v>
      </c>
      <c r="G5" s="570"/>
      <c r="H5" s="667" t="s">
        <v>759</v>
      </c>
      <c r="I5" s="668"/>
      <c r="J5" s="668"/>
      <c r="K5" s="668"/>
      <c r="L5" s="668"/>
      <c r="M5" s="669"/>
      <c r="N5" s="58"/>
      <c r="P5" s="24" t="s">
        <v>9</v>
      </c>
      <c r="Q5" s="584">
        <v>45985</v>
      </c>
      <c r="R5" s="585"/>
      <c r="T5" s="732" t="s">
        <v>10</v>
      </c>
      <c r="U5" s="636"/>
      <c r="V5" s="733" t="s">
        <v>11</v>
      </c>
      <c r="W5" s="585"/>
      <c r="AB5" s="51"/>
      <c r="AC5" s="51"/>
      <c r="AD5" s="51"/>
      <c r="AE5" s="51"/>
    </row>
    <row r="6" spans="1:32" s="533" customFormat="1" ht="24" customHeight="1" x14ac:dyDescent="0.2">
      <c r="A6" s="798" t="s">
        <v>12</v>
      </c>
      <c r="B6" s="600"/>
      <c r="C6" s="570"/>
      <c r="D6" s="672" t="s">
        <v>13</v>
      </c>
      <c r="E6" s="673"/>
      <c r="F6" s="673"/>
      <c r="G6" s="673"/>
      <c r="H6" s="673"/>
      <c r="I6" s="673"/>
      <c r="J6" s="673"/>
      <c r="K6" s="673"/>
      <c r="L6" s="673"/>
      <c r="M6" s="585"/>
      <c r="N6" s="59"/>
      <c r="P6" s="24" t="s">
        <v>14</v>
      </c>
      <c r="Q6" s="593" t="str">
        <f>IF(Q5=0," ",CHOOSE(WEEKDAY(Q5,2),"Понедельник","Вторник","Среда","Четверг","Пятница","Суббота","Воскресенье"))</f>
        <v>Понедельник</v>
      </c>
      <c r="R6" s="550"/>
      <c r="T6" s="737" t="s">
        <v>15</v>
      </c>
      <c r="U6" s="636"/>
      <c r="V6" s="680" t="s">
        <v>16</v>
      </c>
      <c r="W6" s="681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812" t="str">
        <f>IFERROR(VLOOKUP(DeliveryAddress,Table,3,0),1)</f>
        <v>1</v>
      </c>
      <c r="E7" s="813"/>
      <c r="F7" s="813"/>
      <c r="G7" s="813"/>
      <c r="H7" s="813"/>
      <c r="I7" s="813"/>
      <c r="J7" s="813"/>
      <c r="K7" s="813"/>
      <c r="L7" s="813"/>
      <c r="M7" s="735"/>
      <c r="N7" s="60"/>
      <c r="P7" s="24"/>
      <c r="Q7" s="42"/>
      <c r="R7" s="42"/>
      <c r="T7" s="555"/>
      <c r="U7" s="636"/>
      <c r="V7" s="682"/>
      <c r="W7" s="683"/>
      <c r="AB7" s="51"/>
      <c r="AC7" s="51"/>
      <c r="AD7" s="51"/>
      <c r="AE7" s="51"/>
    </row>
    <row r="8" spans="1:32" s="533" customFormat="1" ht="25.5" customHeight="1" x14ac:dyDescent="0.2">
      <c r="A8" s="543" t="s">
        <v>17</v>
      </c>
      <c r="B8" s="544"/>
      <c r="C8" s="545"/>
      <c r="D8" s="824" t="s">
        <v>18</v>
      </c>
      <c r="E8" s="825"/>
      <c r="F8" s="825"/>
      <c r="G8" s="825"/>
      <c r="H8" s="825"/>
      <c r="I8" s="825"/>
      <c r="J8" s="825"/>
      <c r="K8" s="825"/>
      <c r="L8" s="825"/>
      <c r="M8" s="826"/>
      <c r="N8" s="61"/>
      <c r="P8" s="24" t="s">
        <v>19</v>
      </c>
      <c r="Q8" s="734">
        <v>0.41666666666666669</v>
      </c>
      <c r="R8" s="735"/>
      <c r="T8" s="555"/>
      <c r="U8" s="636"/>
      <c r="V8" s="682"/>
      <c r="W8" s="683"/>
      <c r="AB8" s="51"/>
      <c r="AC8" s="51"/>
      <c r="AD8" s="51"/>
      <c r="AE8" s="51"/>
    </row>
    <row r="9" spans="1:32" s="533" customFormat="1" ht="39.950000000000003" customHeight="1" x14ac:dyDescent="0.2">
      <c r="A9" s="5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6"/>
      <c r="E9" s="627"/>
      <c r="F9" s="5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11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7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531"/>
      <c r="P9" s="26" t="s">
        <v>20</v>
      </c>
      <c r="Q9" s="774"/>
      <c r="R9" s="619"/>
      <c r="T9" s="555"/>
      <c r="U9" s="636"/>
      <c r="V9" s="684"/>
      <c r="W9" s="685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5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6"/>
      <c r="E10" s="627"/>
      <c r="F10" s="5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98" t="str">
        <f>IFERROR(VLOOKUP($D$10,Proxy,2,FALSE),"")</f>
        <v/>
      </c>
      <c r="I10" s="555"/>
      <c r="J10" s="555"/>
      <c r="K10" s="555"/>
      <c r="L10" s="555"/>
      <c r="M10" s="555"/>
      <c r="N10" s="532"/>
      <c r="P10" s="26" t="s">
        <v>21</v>
      </c>
      <c r="Q10" s="738"/>
      <c r="R10" s="739"/>
      <c r="U10" s="24" t="s">
        <v>22</v>
      </c>
      <c r="V10" s="864" t="s">
        <v>23</v>
      </c>
      <c r="W10" s="681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5"/>
      <c r="R11" s="585"/>
      <c r="U11" s="24" t="s">
        <v>26</v>
      </c>
      <c r="V11" s="618" t="s">
        <v>27</v>
      </c>
      <c r="W11" s="61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721" t="s">
        <v>28</v>
      </c>
      <c r="B12" s="600"/>
      <c r="C12" s="600"/>
      <c r="D12" s="600"/>
      <c r="E12" s="600"/>
      <c r="F12" s="600"/>
      <c r="G12" s="600"/>
      <c r="H12" s="600"/>
      <c r="I12" s="600"/>
      <c r="J12" s="600"/>
      <c r="K12" s="600"/>
      <c r="L12" s="600"/>
      <c r="M12" s="570"/>
      <c r="N12" s="62"/>
      <c r="P12" s="24" t="s">
        <v>29</v>
      </c>
      <c r="Q12" s="734"/>
      <c r="R12" s="735"/>
      <c r="S12" s="23"/>
      <c r="U12" s="24"/>
      <c r="V12" s="568"/>
      <c r="W12" s="555"/>
      <c r="AB12" s="51"/>
      <c r="AC12" s="51"/>
      <c r="AD12" s="51"/>
      <c r="AE12" s="51"/>
    </row>
    <row r="13" spans="1:32" s="533" customFormat="1" ht="23.25" customHeight="1" x14ac:dyDescent="0.2">
      <c r="A13" s="721" t="s">
        <v>30</v>
      </c>
      <c r="B13" s="600"/>
      <c r="C13" s="600"/>
      <c r="D13" s="600"/>
      <c r="E13" s="600"/>
      <c r="F13" s="600"/>
      <c r="G13" s="600"/>
      <c r="H13" s="600"/>
      <c r="I13" s="600"/>
      <c r="J13" s="600"/>
      <c r="K13" s="600"/>
      <c r="L13" s="600"/>
      <c r="M13" s="570"/>
      <c r="N13" s="62"/>
      <c r="O13" s="26"/>
      <c r="P13" s="26" t="s">
        <v>31</v>
      </c>
      <c r="Q13" s="618"/>
      <c r="R13" s="61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721" t="s">
        <v>32</v>
      </c>
      <c r="B14" s="600"/>
      <c r="C14" s="600"/>
      <c r="D14" s="600"/>
      <c r="E14" s="600"/>
      <c r="F14" s="600"/>
      <c r="G14" s="600"/>
      <c r="H14" s="600"/>
      <c r="I14" s="600"/>
      <c r="J14" s="600"/>
      <c r="K14" s="600"/>
      <c r="L14" s="600"/>
      <c r="M14" s="5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23" t="s">
        <v>33</v>
      </c>
      <c r="B15" s="600"/>
      <c r="C15" s="600"/>
      <c r="D15" s="600"/>
      <c r="E15" s="600"/>
      <c r="F15" s="600"/>
      <c r="G15" s="600"/>
      <c r="H15" s="600"/>
      <c r="I15" s="600"/>
      <c r="J15" s="600"/>
      <c r="K15" s="600"/>
      <c r="L15" s="600"/>
      <c r="M15" s="570"/>
      <c r="N15" s="63"/>
      <c r="P15" s="802" t="s">
        <v>34</v>
      </c>
      <c r="Q15" s="568"/>
      <c r="R15" s="568"/>
      <c r="S15" s="568"/>
      <c r="T15" s="5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8" t="s">
        <v>35</v>
      </c>
      <c r="B17" s="558" t="s">
        <v>36</v>
      </c>
      <c r="C17" s="801" t="s">
        <v>37</v>
      </c>
      <c r="D17" s="558" t="s">
        <v>38</v>
      </c>
      <c r="E17" s="559"/>
      <c r="F17" s="558" t="s">
        <v>39</v>
      </c>
      <c r="G17" s="558" t="s">
        <v>40</v>
      </c>
      <c r="H17" s="558" t="s">
        <v>41</v>
      </c>
      <c r="I17" s="558" t="s">
        <v>42</v>
      </c>
      <c r="J17" s="558" t="s">
        <v>43</v>
      </c>
      <c r="K17" s="558" t="s">
        <v>44</v>
      </c>
      <c r="L17" s="558" t="s">
        <v>45</v>
      </c>
      <c r="M17" s="558" t="s">
        <v>46</v>
      </c>
      <c r="N17" s="558" t="s">
        <v>47</v>
      </c>
      <c r="O17" s="558" t="s">
        <v>48</v>
      </c>
      <c r="P17" s="558" t="s">
        <v>49</v>
      </c>
      <c r="Q17" s="791"/>
      <c r="R17" s="791"/>
      <c r="S17" s="791"/>
      <c r="T17" s="559"/>
      <c r="U17" s="569" t="s">
        <v>50</v>
      </c>
      <c r="V17" s="570"/>
      <c r="W17" s="558" t="s">
        <v>51</v>
      </c>
      <c r="X17" s="558" t="s">
        <v>52</v>
      </c>
      <c r="Y17" s="571" t="s">
        <v>53</v>
      </c>
      <c r="Z17" s="693" t="s">
        <v>54</v>
      </c>
      <c r="AA17" s="608" t="s">
        <v>55</v>
      </c>
      <c r="AB17" s="608" t="s">
        <v>56</v>
      </c>
      <c r="AC17" s="608" t="s">
        <v>57</v>
      </c>
      <c r="AD17" s="608" t="s">
        <v>58</v>
      </c>
      <c r="AE17" s="609"/>
      <c r="AF17" s="610"/>
      <c r="AG17" s="66"/>
      <c r="BD17" s="65" t="s">
        <v>59</v>
      </c>
    </row>
    <row r="18" spans="1:68" ht="14.25" customHeight="1" x14ac:dyDescent="0.2">
      <c r="A18" s="567"/>
      <c r="B18" s="567"/>
      <c r="C18" s="567"/>
      <c r="D18" s="560"/>
      <c r="E18" s="561"/>
      <c r="F18" s="567"/>
      <c r="G18" s="567"/>
      <c r="H18" s="567"/>
      <c r="I18" s="567"/>
      <c r="J18" s="567"/>
      <c r="K18" s="567"/>
      <c r="L18" s="567"/>
      <c r="M18" s="567"/>
      <c r="N18" s="567"/>
      <c r="O18" s="567"/>
      <c r="P18" s="560"/>
      <c r="Q18" s="792"/>
      <c r="R18" s="792"/>
      <c r="S18" s="792"/>
      <c r="T18" s="561"/>
      <c r="U18" s="67" t="s">
        <v>60</v>
      </c>
      <c r="V18" s="67" t="s">
        <v>61</v>
      </c>
      <c r="W18" s="567"/>
      <c r="X18" s="567"/>
      <c r="Y18" s="572"/>
      <c r="Z18" s="694"/>
      <c r="AA18" s="697"/>
      <c r="AB18" s="697"/>
      <c r="AC18" s="697"/>
      <c r="AD18" s="611"/>
      <c r="AE18" s="612"/>
      <c r="AF18" s="613"/>
      <c r="AG18" s="66"/>
      <c r="BD18" s="65"/>
    </row>
    <row r="19" spans="1:68" ht="27.75" hidden="1" customHeight="1" x14ac:dyDescent="0.2">
      <c r="A19" s="577" t="s">
        <v>62</v>
      </c>
      <c r="B19" s="578"/>
      <c r="C19" s="578"/>
      <c r="D19" s="578"/>
      <c r="E19" s="578"/>
      <c r="F19" s="578"/>
      <c r="G19" s="578"/>
      <c r="H19" s="578"/>
      <c r="I19" s="578"/>
      <c r="J19" s="578"/>
      <c r="K19" s="578"/>
      <c r="L19" s="578"/>
      <c r="M19" s="578"/>
      <c r="N19" s="578"/>
      <c r="O19" s="578"/>
      <c r="P19" s="578"/>
      <c r="Q19" s="578"/>
      <c r="R19" s="578"/>
      <c r="S19" s="578"/>
      <c r="T19" s="578"/>
      <c r="U19" s="578"/>
      <c r="V19" s="578"/>
      <c r="W19" s="578"/>
      <c r="X19" s="578"/>
      <c r="Y19" s="578"/>
      <c r="Z19" s="578"/>
      <c r="AA19" s="48"/>
      <c r="AB19" s="48"/>
      <c r="AC19" s="48"/>
    </row>
    <row r="20" spans="1:68" ht="16.5" hidden="1" customHeight="1" x14ac:dyDescent="0.25">
      <c r="A20" s="597" t="s">
        <v>62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4"/>
      <c r="AB20" s="534"/>
      <c r="AC20" s="534"/>
    </row>
    <row r="21" spans="1:68" ht="14.25" hidden="1" customHeight="1" x14ac:dyDescent="0.25">
      <c r="A21" s="554" t="s">
        <v>63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9">
        <v>4680115886643</v>
      </c>
      <c r="E22" s="550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6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7"/>
      <c r="R22" s="547"/>
      <c r="S22" s="547"/>
      <c r="T22" s="548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66"/>
      <c r="P23" s="552" t="s">
        <v>70</v>
      </c>
      <c r="Q23" s="544"/>
      <c r="R23" s="544"/>
      <c r="S23" s="544"/>
      <c r="T23" s="544"/>
      <c r="U23" s="544"/>
      <c r="V23" s="545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66"/>
      <c r="P24" s="552" t="s">
        <v>70</v>
      </c>
      <c r="Q24" s="544"/>
      <c r="R24" s="544"/>
      <c r="S24" s="544"/>
      <c r="T24" s="544"/>
      <c r="U24" s="544"/>
      <c r="V24" s="545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4" t="s">
        <v>72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9">
        <v>4680115885912</v>
      </c>
      <c r="E26" s="550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7"/>
      <c r="R26" s="547"/>
      <c r="S26" s="547"/>
      <c r="T26" s="548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9">
        <v>4607091388237</v>
      </c>
      <c r="E27" s="550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7"/>
      <c r="R27" s="547"/>
      <c r="S27" s="547"/>
      <c r="T27" s="548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9">
        <v>4680115887350</v>
      </c>
      <c r="E28" s="550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8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7"/>
      <c r="R28" s="547"/>
      <c r="S28" s="547"/>
      <c r="T28" s="548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9">
        <v>4680115885905</v>
      </c>
      <c r="E29" s="550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81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7"/>
      <c r="R29" s="547"/>
      <c r="S29" s="547"/>
      <c r="T29" s="548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9">
        <v>4607091388244</v>
      </c>
      <c r="E30" s="550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85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7"/>
      <c r="R30" s="547"/>
      <c r="S30" s="547"/>
      <c r="T30" s="548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66"/>
      <c r="P31" s="552" t="s">
        <v>70</v>
      </c>
      <c r="Q31" s="544"/>
      <c r="R31" s="544"/>
      <c r="S31" s="544"/>
      <c r="T31" s="544"/>
      <c r="U31" s="544"/>
      <c r="V31" s="545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66"/>
      <c r="P32" s="552" t="s">
        <v>70</v>
      </c>
      <c r="Q32" s="544"/>
      <c r="R32" s="544"/>
      <c r="S32" s="544"/>
      <c r="T32" s="544"/>
      <c r="U32" s="544"/>
      <c r="V32" s="545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4" t="s">
        <v>90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5"/>
      <c r="AB33" s="535"/>
      <c r="AC33" s="535"/>
    </row>
    <row r="34" spans="1:68" ht="27" hidden="1" customHeight="1" x14ac:dyDescent="0.25">
      <c r="A34" s="54" t="s">
        <v>91</v>
      </c>
      <c r="B34" s="54" t="s">
        <v>92</v>
      </c>
      <c r="C34" s="31">
        <v>4301032013</v>
      </c>
      <c r="D34" s="549">
        <v>4607091388503</v>
      </c>
      <c r="E34" s="550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7"/>
      <c r="R34" s="547"/>
      <c r="S34" s="547"/>
      <c r="T34" s="548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66"/>
      <c r="P35" s="552" t="s">
        <v>70</v>
      </c>
      <c r="Q35" s="544"/>
      <c r="R35" s="544"/>
      <c r="S35" s="544"/>
      <c r="T35" s="544"/>
      <c r="U35" s="544"/>
      <c r="V35" s="545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66"/>
      <c r="P36" s="552" t="s">
        <v>70</v>
      </c>
      <c r="Q36" s="544"/>
      <c r="R36" s="544"/>
      <c r="S36" s="544"/>
      <c r="T36" s="544"/>
      <c r="U36" s="544"/>
      <c r="V36" s="545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577" t="s">
        <v>96</v>
      </c>
      <c r="B37" s="578"/>
      <c r="C37" s="578"/>
      <c r="D37" s="578"/>
      <c r="E37" s="578"/>
      <c r="F37" s="578"/>
      <c r="G37" s="578"/>
      <c r="H37" s="578"/>
      <c r="I37" s="578"/>
      <c r="J37" s="578"/>
      <c r="K37" s="578"/>
      <c r="L37" s="578"/>
      <c r="M37" s="578"/>
      <c r="N37" s="578"/>
      <c r="O37" s="578"/>
      <c r="P37" s="578"/>
      <c r="Q37" s="578"/>
      <c r="R37" s="578"/>
      <c r="S37" s="578"/>
      <c r="T37" s="578"/>
      <c r="U37" s="578"/>
      <c r="V37" s="578"/>
      <c r="W37" s="578"/>
      <c r="X37" s="578"/>
      <c r="Y37" s="578"/>
      <c r="Z37" s="578"/>
      <c r="AA37" s="48"/>
      <c r="AB37" s="48"/>
      <c r="AC37" s="48"/>
    </row>
    <row r="38" spans="1:68" ht="16.5" hidden="1" customHeight="1" x14ac:dyDescent="0.25">
      <c r="A38" s="597" t="s">
        <v>97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4"/>
      <c r="AB38" s="534"/>
      <c r="AC38" s="534"/>
    </row>
    <row r="39" spans="1:68" ht="14.25" hidden="1" customHeight="1" x14ac:dyDescent="0.25">
      <c r="A39" s="554" t="s">
        <v>98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9">
        <v>4607091385670</v>
      </c>
      <c r="E40" s="550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7"/>
      <c r="R40" s="547"/>
      <c r="S40" s="547"/>
      <c r="T40" s="548"/>
      <c r="U40" s="34"/>
      <c r="V40" s="34"/>
      <c r="W40" s="35" t="s">
        <v>68</v>
      </c>
      <c r="X40" s="539">
        <v>351</v>
      </c>
      <c r="Y40" s="540">
        <f>IFERROR(IF(X40="",0,CEILING((X40/$H40),1)*$H40),"")</f>
        <v>356.40000000000003</v>
      </c>
      <c r="Z40" s="36">
        <f>IFERROR(IF(Y40=0,"",ROUNDUP(Y40/H40,0)*0.01898),"")</f>
        <v>0.62634000000000001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364.32500000000005</v>
      </c>
      <c r="BN40" s="64">
        <f>IFERROR(Y40*I40/H40,"0")</f>
        <v>369.93</v>
      </c>
      <c r="BO40" s="64">
        <f>IFERROR(1/J40*(X40/H40),"0")</f>
        <v>0.5078125</v>
      </c>
      <c r="BP40" s="64">
        <f>IFERROR(1/J40*(Y40/H40),"0")</f>
        <v>0.515625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9">
        <v>4607091385687</v>
      </c>
      <c r="E41" s="550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66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7"/>
      <c r="R41" s="547"/>
      <c r="S41" s="547"/>
      <c r="T41" s="548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8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7"/>
      <c r="R42" s="547"/>
      <c r="S42" s="547"/>
      <c r="T42" s="548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66"/>
      <c r="P43" s="552" t="s">
        <v>70</v>
      </c>
      <c r="Q43" s="544"/>
      <c r="R43" s="544"/>
      <c r="S43" s="544"/>
      <c r="T43" s="544"/>
      <c r="U43" s="544"/>
      <c r="V43" s="545"/>
      <c r="W43" s="37" t="s">
        <v>71</v>
      </c>
      <c r="X43" s="541">
        <f>IFERROR(X40/H40,"0")+IFERROR(X41/H41,"0")+IFERROR(X42/H42,"0")</f>
        <v>32.5</v>
      </c>
      <c r="Y43" s="541">
        <f>IFERROR(Y40/H40,"0")+IFERROR(Y41/H41,"0")+IFERROR(Y42/H42,"0")</f>
        <v>33</v>
      </c>
      <c r="Z43" s="541">
        <f>IFERROR(IF(Z40="",0,Z40),"0")+IFERROR(IF(Z41="",0,Z41),"0")+IFERROR(IF(Z42="",0,Z42),"0")</f>
        <v>0.62634000000000001</v>
      </c>
      <c r="AA43" s="542"/>
      <c r="AB43" s="542"/>
      <c r="AC43" s="542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66"/>
      <c r="P44" s="552" t="s">
        <v>70</v>
      </c>
      <c r="Q44" s="544"/>
      <c r="R44" s="544"/>
      <c r="S44" s="544"/>
      <c r="T44" s="544"/>
      <c r="U44" s="544"/>
      <c r="V44" s="545"/>
      <c r="W44" s="37" t="s">
        <v>68</v>
      </c>
      <c r="X44" s="541">
        <f>IFERROR(SUM(X40:X42),"0")</f>
        <v>351</v>
      </c>
      <c r="Y44" s="541">
        <f>IFERROR(SUM(Y40:Y42),"0")</f>
        <v>356.40000000000003</v>
      </c>
      <c r="Z44" s="37"/>
      <c r="AA44" s="542"/>
      <c r="AB44" s="542"/>
      <c r="AC44" s="542"/>
    </row>
    <row r="45" spans="1:68" ht="14.25" hidden="1" customHeight="1" x14ac:dyDescent="0.25">
      <c r="A45" s="554" t="s">
        <v>72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9">
        <v>4680115884915</v>
      </c>
      <c r="E46" s="550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6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7"/>
      <c r="R46" s="547"/>
      <c r="S46" s="547"/>
      <c r="T46" s="548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66"/>
      <c r="P47" s="552" t="s">
        <v>70</v>
      </c>
      <c r="Q47" s="544"/>
      <c r="R47" s="544"/>
      <c r="S47" s="544"/>
      <c r="T47" s="544"/>
      <c r="U47" s="544"/>
      <c r="V47" s="545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66"/>
      <c r="P48" s="552" t="s">
        <v>70</v>
      </c>
      <c r="Q48" s="544"/>
      <c r="R48" s="544"/>
      <c r="S48" s="544"/>
      <c r="T48" s="544"/>
      <c r="U48" s="544"/>
      <c r="V48" s="545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97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4"/>
      <c r="AB49" s="534"/>
      <c r="AC49" s="534"/>
    </row>
    <row r="50" spans="1:68" ht="14.25" hidden="1" customHeight="1" x14ac:dyDescent="0.25">
      <c r="A50" s="554" t="s">
        <v>98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5"/>
      <c r="AB50" s="535"/>
      <c r="AC50" s="535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9">
        <v>4680115885882</v>
      </c>
      <c r="E51" s="550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6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7"/>
      <c r="R51" s="547"/>
      <c r="S51" s="547"/>
      <c r="T51" s="548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9">
        <v>4680115881426</v>
      </c>
      <c r="E52" s="550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7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7"/>
      <c r="R52" s="547"/>
      <c r="S52" s="547"/>
      <c r="T52" s="548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9">
        <v>4680115880283</v>
      </c>
      <c r="E53" s="550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8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7"/>
      <c r="R53" s="547"/>
      <c r="S53" s="547"/>
      <c r="T53" s="548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9">
        <v>4680115881525</v>
      </c>
      <c r="E54" s="550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6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7"/>
      <c r="R54" s="547"/>
      <c r="S54" s="547"/>
      <c r="T54" s="548"/>
      <c r="U54" s="34"/>
      <c r="V54" s="34"/>
      <c r="W54" s="35" t="s">
        <v>68</v>
      </c>
      <c r="X54" s="539">
        <v>49</v>
      </c>
      <c r="Y54" s="540">
        <f t="shared" si="0"/>
        <v>52</v>
      </c>
      <c r="Z54" s="36">
        <f>IFERROR(IF(Y54=0,"",ROUNDUP(Y54/H54,0)*0.00902),"")</f>
        <v>0.11726</v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51.327500000000008</v>
      </c>
      <c r="BN54" s="64">
        <f t="shared" si="2"/>
        <v>54.470000000000006</v>
      </c>
      <c r="BO54" s="64">
        <f t="shared" si="3"/>
        <v>9.2803030303030304E-2</v>
      </c>
      <c r="BP54" s="64">
        <f t="shared" si="4"/>
        <v>9.8484848484848481E-2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9">
        <v>4680115885899</v>
      </c>
      <c r="E55" s="550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7"/>
      <c r="R55" s="547"/>
      <c r="S55" s="547"/>
      <c r="T55" s="548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9">
        <v>4680115881419</v>
      </c>
      <c r="E56" s="550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80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7"/>
      <c r="R56" s="547"/>
      <c r="S56" s="547"/>
      <c r="T56" s="548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5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66"/>
      <c r="P57" s="552" t="s">
        <v>70</v>
      </c>
      <c r="Q57" s="544"/>
      <c r="R57" s="544"/>
      <c r="S57" s="544"/>
      <c r="T57" s="544"/>
      <c r="U57" s="544"/>
      <c r="V57" s="545"/>
      <c r="W57" s="37" t="s">
        <v>71</v>
      </c>
      <c r="X57" s="541">
        <f>IFERROR(X51/H51,"0")+IFERROR(X52/H52,"0")+IFERROR(X53/H53,"0")+IFERROR(X54/H54,"0")+IFERROR(X55/H55,"0")+IFERROR(X56/H56,"0")</f>
        <v>12.25</v>
      </c>
      <c r="Y57" s="541">
        <f>IFERROR(Y51/H51,"0")+IFERROR(Y52/H52,"0")+IFERROR(Y53/H53,"0")+IFERROR(Y54/H54,"0")+IFERROR(Y55/H55,"0")+IFERROR(Y56/H56,"0")</f>
        <v>13</v>
      </c>
      <c r="Z57" s="541">
        <f>IFERROR(IF(Z51="",0,Z51),"0")+IFERROR(IF(Z52="",0,Z52),"0")+IFERROR(IF(Z53="",0,Z53),"0")+IFERROR(IF(Z54="",0,Z54),"0")+IFERROR(IF(Z55="",0,Z55),"0")+IFERROR(IF(Z56="",0,Z56),"0")</f>
        <v>0.11726</v>
      </c>
      <c r="AA57" s="542"/>
      <c r="AB57" s="542"/>
      <c r="AC57" s="542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66"/>
      <c r="P58" s="552" t="s">
        <v>70</v>
      </c>
      <c r="Q58" s="544"/>
      <c r="R58" s="544"/>
      <c r="S58" s="544"/>
      <c r="T58" s="544"/>
      <c r="U58" s="544"/>
      <c r="V58" s="545"/>
      <c r="W58" s="37" t="s">
        <v>68</v>
      </c>
      <c r="X58" s="541">
        <f>IFERROR(SUM(X51:X56),"0")</f>
        <v>49</v>
      </c>
      <c r="Y58" s="541">
        <f>IFERROR(SUM(Y51:Y56),"0")</f>
        <v>52</v>
      </c>
      <c r="Z58" s="37"/>
      <c r="AA58" s="542"/>
      <c r="AB58" s="542"/>
      <c r="AC58" s="542"/>
    </row>
    <row r="59" spans="1:68" ht="14.25" hidden="1" customHeight="1" x14ac:dyDescent="0.25">
      <c r="A59" s="554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9">
        <v>4680115881440</v>
      </c>
      <c r="E60" s="550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57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7"/>
      <c r="R60" s="547"/>
      <c r="S60" s="547"/>
      <c r="T60" s="548"/>
      <c r="U60" s="34"/>
      <c r="V60" s="34"/>
      <c r="W60" s="35" t="s">
        <v>68</v>
      </c>
      <c r="X60" s="539">
        <v>9</v>
      </c>
      <c r="Y60" s="54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9.3416666666666668</v>
      </c>
      <c r="BN60" s="64">
        <f>IFERROR(Y60*I60/H60,"0")</f>
        <v>11.21</v>
      </c>
      <c r="BO60" s="64">
        <f>IFERROR(1/J60*(X60/H60),"0")</f>
        <v>1.3020833333333332E-2</v>
      </c>
      <c r="BP60" s="64">
        <f>IFERROR(1/J60*(Y60/H60),"0")</f>
        <v>1.5625E-2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9">
        <v>4680115885950</v>
      </c>
      <c r="E61" s="550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7"/>
      <c r="R61" s="547"/>
      <c r="S61" s="547"/>
      <c r="T61" s="548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9">
        <v>4680115881433</v>
      </c>
      <c r="E62" s="550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58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7"/>
      <c r="R62" s="547"/>
      <c r="S62" s="547"/>
      <c r="T62" s="548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5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66"/>
      <c r="P63" s="552" t="s">
        <v>70</v>
      </c>
      <c r="Q63" s="544"/>
      <c r="R63" s="544"/>
      <c r="S63" s="544"/>
      <c r="T63" s="544"/>
      <c r="U63" s="544"/>
      <c r="V63" s="545"/>
      <c r="W63" s="37" t="s">
        <v>71</v>
      </c>
      <c r="X63" s="541">
        <f>IFERROR(X60/H60,"0")+IFERROR(X61/H61,"0")+IFERROR(X62/H62,"0")</f>
        <v>0.83333333333333326</v>
      </c>
      <c r="Y63" s="541">
        <f>IFERROR(Y60/H60,"0")+IFERROR(Y61/H61,"0")+IFERROR(Y62/H62,"0")</f>
        <v>1</v>
      </c>
      <c r="Z63" s="541">
        <f>IFERROR(IF(Z60="",0,Z60),"0")+IFERROR(IF(Z61="",0,Z61),"0")+IFERROR(IF(Z62="",0,Z62),"0")</f>
        <v>1.898E-2</v>
      </c>
      <c r="AA63" s="542"/>
      <c r="AB63" s="542"/>
      <c r="AC63" s="542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66"/>
      <c r="P64" s="552" t="s">
        <v>70</v>
      </c>
      <c r="Q64" s="544"/>
      <c r="R64" s="544"/>
      <c r="S64" s="544"/>
      <c r="T64" s="544"/>
      <c r="U64" s="544"/>
      <c r="V64" s="545"/>
      <c r="W64" s="37" t="s">
        <v>68</v>
      </c>
      <c r="X64" s="541">
        <f>IFERROR(SUM(X60:X62),"0")</f>
        <v>9</v>
      </c>
      <c r="Y64" s="541">
        <f>IFERROR(SUM(Y60:Y62),"0")</f>
        <v>10.8</v>
      </c>
      <c r="Z64" s="37"/>
      <c r="AA64" s="542"/>
      <c r="AB64" s="542"/>
      <c r="AC64" s="542"/>
    </row>
    <row r="65" spans="1:68" ht="14.25" hidden="1" customHeight="1" x14ac:dyDescent="0.25">
      <c r="A65" s="554" t="s">
        <v>63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9">
        <v>4680115885073</v>
      </c>
      <c r="E66" s="550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7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7"/>
      <c r="R66" s="547"/>
      <c r="S66" s="547"/>
      <c r="T66" s="548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9">
        <v>4680115885059</v>
      </c>
      <c r="E67" s="550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61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7"/>
      <c r="R67" s="547"/>
      <c r="S67" s="547"/>
      <c r="T67" s="548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9">
        <v>4680115885097</v>
      </c>
      <c r="E68" s="550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83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7"/>
      <c r="R68" s="547"/>
      <c r="S68" s="547"/>
      <c r="T68" s="548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66"/>
      <c r="P69" s="552" t="s">
        <v>70</v>
      </c>
      <c r="Q69" s="544"/>
      <c r="R69" s="544"/>
      <c r="S69" s="544"/>
      <c r="T69" s="544"/>
      <c r="U69" s="544"/>
      <c r="V69" s="545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66"/>
      <c r="P70" s="552" t="s">
        <v>70</v>
      </c>
      <c r="Q70" s="544"/>
      <c r="R70" s="544"/>
      <c r="S70" s="544"/>
      <c r="T70" s="544"/>
      <c r="U70" s="544"/>
      <c r="V70" s="545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4" t="s">
        <v>72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9">
        <v>4680115885769</v>
      </c>
      <c r="E72" s="550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59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7"/>
      <c r="R72" s="547"/>
      <c r="S72" s="547"/>
      <c r="T72" s="548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9">
        <v>4680115884311</v>
      </c>
      <c r="E73" s="550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7"/>
      <c r="R73" s="547"/>
      <c r="S73" s="547"/>
      <c r="T73" s="548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9">
        <v>4680115885929</v>
      </c>
      <c r="E74" s="550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7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7"/>
      <c r="R74" s="547"/>
      <c r="S74" s="547"/>
      <c r="T74" s="548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9">
        <v>4680115884403</v>
      </c>
      <c r="E75" s="550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6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7"/>
      <c r="R75" s="547"/>
      <c r="S75" s="547"/>
      <c r="T75" s="548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66"/>
      <c r="P76" s="552" t="s">
        <v>70</v>
      </c>
      <c r="Q76" s="544"/>
      <c r="R76" s="544"/>
      <c r="S76" s="544"/>
      <c r="T76" s="544"/>
      <c r="U76" s="544"/>
      <c r="V76" s="545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66"/>
      <c r="P77" s="552" t="s">
        <v>70</v>
      </c>
      <c r="Q77" s="544"/>
      <c r="R77" s="544"/>
      <c r="S77" s="544"/>
      <c r="T77" s="544"/>
      <c r="U77" s="544"/>
      <c r="V77" s="545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4" t="s">
        <v>162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9">
        <v>4680115881532</v>
      </c>
      <c r="E79" s="550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8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7"/>
      <c r="R79" s="547"/>
      <c r="S79" s="547"/>
      <c r="T79" s="548"/>
      <c r="U79" s="34"/>
      <c r="V79" s="34"/>
      <c r="W79" s="35" t="s">
        <v>68</v>
      </c>
      <c r="X79" s="539">
        <v>14</v>
      </c>
      <c r="Y79" s="540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14.735897435897439</v>
      </c>
      <c r="BN79" s="64">
        <f>IFERROR(Y79*I79/H79,"0")</f>
        <v>16.420000000000002</v>
      </c>
      <c r="BO79" s="64">
        <f>IFERROR(1/J79*(X79/H79),"0")</f>
        <v>2.8044871794871796E-2</v>
      </c>
      <c r="BP79" s="64">
        <f>IFERROR(1/J79*(Y79/H79),"0")</f>
        <v>3.125E-2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9">
        <v>4680115881464</v>
      </c>
      <c r="E80" s="550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7"/>
      <c r="R80" s="547"/>
      <c r="S80" s="547"/>
      <c r="T80" s="548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5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66"/>
      <c r="P81" s="552" t="s">
        <v>70</v>
      </c>
      <c r="Q81" s="544"/>
      <c r="R81" s="544"/>
      <c r="S81" s="544"/>
      <c r="T81" s="544"/>
      <c r="U81" s="544"/>
      <c r="V81" s="545"/>
      <c r="W81" s="37" t="s">
        <v>71</v>
      </c>
      <c r="X81" s="541">
        <f>IFERROR(X79/H79,"0")+IFERROR(X80/H80,"0")</f>
        <v>1.7948717948717949</v>
      </c>
      <c r="Y81" s="541">
        <f>IFERROR(Y79/H79,"0")+IFERROR(Y80/H80,"0")</f>
        <v>2</v>
      </c>
      <c r="Z81" s="541">
        <f>IFERROR(IF(Z79="",0,Z79),"0")+IFERROR(IF(Z80="",0,Z80),"0")</f>
        <v>3.7960000000000001E-2</v>
      </c>
      <c r="AA81" s="542"/>
      <c r="AB81" s="542"/>
      <c r="AC81" s="542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66"/>
      <c r="P82" s="552" t="s">
        <v>70</v>
      </c>
      <c r="Q82" s="544"/>
      <c r="R82" s="544"/>
      <c r="S82" s="544"/>
      <c r="T82" s="544"/>
      <c r="U82" s="544"/>
      <c r="V82" s="545"/>
      <c r="W82" s="37" t="s">
        <v>68</v>
      </c>
      <c r="X82" s="541">
        <f>IFERROR(SUM(X79:X80),"0")</f>
        <v>14</v>
      </c>
      <c r="Y82" s="541">
        <f>IFERROR(SUM(Y79:Y80),"0")</f>
        <v>15.6</v>
      </c>
      <c r="Z82" s="37"/>
      <c r="AA82" s="542"/>
      <c r="AB82" s="542"/>
      <c r="AC82" s="542"/>
    </row>
    <row r="83" spans="1:68" ht="16.5" hidden="1" customHeight="1" x14ac:dyDescent="0.25">
      <c r="A83" s="597" t="s">
        <v>169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4"/>
      <c r="AB83" s="534"/>
      <c r="AC83" s="534"/>
    </row>
    <row r="84" spans="1:68" ht="14.25" hidden="1" customHeight="1" x14ac:dyDescent="0.25">
      <c r="A84" s="554" t="s">
        <v>98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5"/>
      <c r="AB84" s="535"/>
      <c r="AC84" s="535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49">
        <v>4680115881327</v>
      </c>
      <c r="E85" s="550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7"/>
      <c r="R85" s="547"/>
      <c r="S85" s="547"/>
      <c r="T85" s="548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9">
        <v>4680115881518</v>
      </c>
      <c r="E86" s="550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7"/>
      <c r="R86" s="547"/>
      <c r="S86" s="547"/>
      <c r="T86" s="548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9">
        <v>4680115881303</v>
      </c>
      <c r="E87" s="550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7"/>
      <c r="R87" s="547"/>
      <c r="S87" s="547"/>
      <c r="T87" s="548"/>
      <c r="U87" s="34"/>
      <c r="V87" s="34"/>
      <c r="W87" s="35" t="s">
        <v>68</v>
      </c>
      <c r="X87" s="539">
        <v>28</v>
      </c>
      <c r="Y87" s="540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29.182222222222226</v>
      </c>
      <c r="BN87" s="64">
        <f>IFERROR(Y87*I87/H87,"0")</f>
        <v>32.830000000000005</v>
      </c>
      <c r="BO87" s="64">
        <f>IFERROR(1/J87*(X87/H87),"0")</f>
        <v>4.7138047138047139E-2</v>
      </c>
      <c r="BP87" s="64">
        <f>IFERROR(1/J87*(Y87/H87),"0")</f>
        <v>5.3030303030303032E-2</v>
      </c>
    </row>
    <row r="88" spans="1:68" x14ac:dyDescent="0.2">
      <c r="A88" s="565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66"/>
      <c r="P88" s="552" t="s">
        <v>70</v>
      </c>
      <c r="Q88" s="544"/>
      <c r="R88" s="544"/>
      <c r="S88" s="544"/>
      <c r="T88" s="544"/>
      <c r="U88" s="544"/>
      <c r="V88" s="545"/>
      <c r="W88" s="37" t="s">
        <v>71</v>
      </c>
      <c r="X88" s="541">
        <f>IFERROR(X85/H85,"0")+IFERROR(X86/H86,"0")+IFERROR(X87/H87,"0")</f>
        <v>6.2222222222222223</v>
      </c>
      <c r="Y88" s="541">
        <f>IFERROR(Y85/H85,"0")+IFERROR(Y86/H86,"0")+IFERROR(Y87/H87,"0")</f>
        <v>7</v>
      </c>
      <c r="Z88" s="541">
        <f>IFERROR(IF(Z85="",0,Z85),"0")+IFERROR(IF(Z86="",0,Z86),"0")+IFERROR(IF(Z87="",0,Z87),"0")</f>
        <v>6.3140000000000002E-2</v>
      </c>
      <c r="AA88" s="542"/>
      <c r="AB88" s="542"/>
      <c r="AC88" s="542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66"/>
      <c r="P89" s="552" t="s">
        <v>70</v>
      </c>
      <c r="Q89" s="544"/>
      <c r="R89" s="544"/>
      <c r="S89" s="544"/>
      <c r="T89" s="544"/>
      <c r="U89" s="544"/>
      <c r="V89" s="545"/>
      <c r="W89" s="37" t="s">
        <v>68</v>
      </c>
      <c r="X89" s="541">
        <f>IFERROR(SUM(X85:X87),"0")</f>
        <v>28</v>
      </c>
      <c r="Y89" s="541">
        <f>IFERROR(SUM(Y85:Y87),"0")</f>
        <v>31.5</v>
      </c>
      <c r="Z89" s="37"/>
      <c r="AA89" s="542"/>
      <c r="AB89" s="542"/>
      <c r="AC89" s="542"/>
    </row>
    <row r="90" spans="1:68" ht="14.25" hidden="1" customHeight="1" x14ac:dyDescent="0.25">
      <c r="A90" s="554" t="s">
        <v>72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9">
        <v>4607091386967</v>
      </c>
      <c r="E91" s="550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7"/>
      <c r="R91" s="547"/>
      <c r="S91" s="547"/>
      <c r="T91" s="548"/>
      <c r="U91" s="34"/>
      <c r="V91" s="34"/>
      <c r="W91" s="35" t="s">
        <v>68</v>
      </c>
      <c r="X91" s="539">
        <v>48</v>
      </c>
      <c r="Y91" s="540">
        <f>IFERROR(IF(X91="",0,CEILING((X91/$H91),1)*$H91),"")</f>
        <v>48.599999999999994</v>
      </c>
      <c r="Z91" s="36">
        <f>IFERROR(IF(Y91=0,"",ROUNDUP(Y91/H91,0)*0.01898),"")</f>
        <v>0.11388000000000001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50.927407407407401</v>
      </c>
      <c r="BN91" s="64">
        <f>IFERROR(Y91*I91/H91,"0")</f>
        <v>51.563999999999993</v>
      </c>
      <c r="BO91" s="64">
        <f>IFERROR(1/J91*(X91/H91),"0")</f>
        <v>9.2592592592592601E-2</v>
      </c>
      <c r="BP91" s="64">
        <f>IFERROR(1/J91*(Y91/H91),"0")</f>
        <v>9.375E-2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9">
        <v>4680115884953</v>
      </c>
      <c r="E92" s="550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8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7"/>
      <c r="R92" s="547"/>
      <c r="S92" s="547"/>
      <c r="T92" s="548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9">
        <v>4607091385731</v>
      </c>
      <c r="E93" s="550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0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7"/>
      <c r="R93" s="547"/>
      <c r="S93" s="547"/>
      <c r="T93" s="548"/>
      <c r="U93" s="34"/>
      <c r="V93" s="34"/>
      <c r="W93" s="35" t="s">
        <v>68</v>
      </c>
      <c r="X93" s="539">
        <v>230</v>
      </c>
      <c r="Y93" s="540">
        <f>IFERROR(IF(X93="",0,CEILING((X93/$H93),1)*$H93),"")</f>
        <v>232.20000000000002</v>
      </c>
      <c r="Z93" s="36">
        <f>IFERROR(IF(Y93=0,"",ROUNDUP(Y93/H93,0)*0.00651),"")</f>
        <v>0.55986000000000002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251.46666666666667</v>
      </c>
      <c r="BN93" s="64">
        <f>IFERROR(Y93*I93/H93,"0")</f>
        <v>253.87200000000001</v>
      </c>
      <c r="BO93" s="64">
        <f>IFERROR(1/J93*(X93/H93),"0")</f>
        <v>0.46805046805046802</v>
      </c>
      <c r="BP93" s="64">
        <f>IFERROR(1/J93*(Y93/H93),"0")</f>
        <v>0.47252747252747257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9">
        <v>4680115880894</v>
      </c>
      <c r="E94" s="550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8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7"/>
      <c r="R94" s="547"/>
      <c r="S94" s="547"/>
      <c r="T94" s="548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66"/>
      <c r="P95" s="552" t="s">
        <v>70</v>
      </c>
      <c r="Q95" s="544"/>
      <c r="R95" s="544"/>
      <c r="S95" s="544"/>
      <c r="T95" s="544"/>
      <c r="U95" s="544"/>
      <c r="V95" s="545"/>
      <c r="W95" s="37" t="s">
        <v>71</v>
      </c>
      <c r="X95" s="541">
        <f>IFERROR(X91/H91,"0")+IFERROR(X92/H92,"0")+IFERROR(X93/H93,"0")+IFERROR(X94/H94,"0")</f>
        <v>91.1111111111111</v>
      </c>
      <c r="Y95" s="541">
        <f>IFERROR(Y91/H91,"0")+IFERROR(Y92/H92,"0")+IFERROR(Y93/H93,"0")+IFERROR(Y94/H94,"0")</f>
        <v>92</v>
      </c>
      <c r="Z95" s="541">
        <f>IFERROR(IF(Z91="",0,Z91),"0")+IFERROR(IF(Z92="",0,Z92),"0")+IFERROR(IF(Z93="",0,Z93),"0")+IFERROR(IF(Z94="",0,Z94),"0")</f>
        <v>0.67374000000000001</v>
      </c>
      <c r="AA95" s="542"/>
      <c r="AB95" s="542"/>
      <c r="AC95" s="542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66"/>
      <c r="P96" s="552" t="s">
        <v>70</v>
      </c>
      <c r="Q96" s="544"/>
      <c r="R96" s="544"/>
      <c r="S96" s="544"/>
      <c r="T96" s="544"/>
      <c r="U96" s="544"/>
      <c r="V96" s="545"/>
      <c r="W96" s="37" t="s">
        <v>68</v>
      </c>
      <c r="X96" s="541">
        <f>IFERROR(SUM(X91:X94),"0")</f>
        <v>278</v>
      </c>
      <c r="Y96" s="541">
        <f>IFERROR(SUM(Y91:Y94),"0")</f>
        <v>280.8</v>
      </c>
      <c r="Z96" s="37"/>
      <c r="AA96" s="542"/>
      <c r="AB96" s="542"/>
      <c r="AC96" s="542"/>
    </row>
    <row r="97" spans="1:68" ht="16.5" hidden="1" customHeight="1" x14ac:dyDescent="0.25">
      <c r="A97" s="597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4"/>
      <c r="AB97" s="534"/>
      <c r="AC97" s="534"/>
    </row>
    <row r="98" spans="1:68" ht="14.25" hidden="1" customHeight="1" x14ac:dyDescent="0.25">
      <c r="A98" s="554" t="s">
        <v>98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9">
        <v>4680115882133</v>
      </c>
      <c r="E99" s="550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8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7"/>
      <c r="R99" s="547"/>
      <c r="S99" s="547"/>
      <c r="T99" s="548"/>
      <c r="U99" s="34"/>
      <c r="V99" s="34"/>
      <c r="W99" s="35" t="s">
        <v>68</v>
      </c>
      <c r="X99" s="539">
        <v>198</v>
      </c>
      <c r="Y99" s="540">
        <f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205.51666666666668</v>
      </c>
      <c r="BN99" s="64">
        <f>IFERROR(Y99*I99/H99,"0")</f>
        <v>212.99</v>
      </c>
      <c r="BO99" s="64">
        <f>IFERROR(1/J99*(X99/H99),"0")</f>
        <v>0.28645833333333331</v>
      </c>
      <c r="BP99" s="64">
        <f>IFERROR(1/J99*(Y99/H99),"0")</f>
        <v>0.296875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9">
        <v>4680115880269</v>
      </c>
      <c r="E100" s="550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8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7"/>
      <c r="R100" s="547"/>
      <c r="S100" s="547"/>
      <c r="T100" s="548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9">
        <v>4680115880429</v>
      </c>
      <c r="E101" s="550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6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7"/>
      <c r="R101" s="547"/>
      <c r="S101" s="547"/>
      <c r="T101" s="548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9">
        <v>4680115881457</v>
      </c>
      <c r="E102" s="550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5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7"/>
      <c r="R102" s="547"/>
      <c r="S102" s="547"/>
      <c r="T102" s="548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66"/>
      <c r="P103" s="552" t="s">
        <v>70</v>
      </c>
      <c r="Q103" s="544"/>
      <c r="R103" s="544"/>
      <c r="S103" s="544"/>
      <c r="T103" s="544"/>
      <c r="U103" s="544"/>
      <c r="V103" s="545"/>
      <c r="W103" s="37" t="s">
        <v>71</v>
      </c>
      <c r="X103" s="541">
        <f>IFERROR(X99/H99,"0")+IFERROR(X100/H100,"0")+IFERROR(X101/H101,"0")+IFERROR(X102/H102,"0")</f>
        <v>18.333333333333332</v>
      </c>
      <c r="Y103" s="541">
        <f>IFERROR(Y99/H99,"0")+IFERROR(Y100/H100,"0")+IFERROR(Y101/H101,"0")+IFERROR(Y102/H102,"0")</f>
        <v>19</v>
      </c>
      <c r="Z103" s="541">
        <f>IFERROR(IF(Z99="",0,Z99),"0")+IFERROR(IF(Z100="",0,Z100),"0")+IFERROR(IF(Z101="",0,Z101),"0")+IFERROR(IF(Z102="",0,Z102),"0")</f>
        <v>0.36062</v>
      </c>
      <c r="AA103" s="542"/>
      <c r="AB103" s="542"/>
      <c r="AC103" s="542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66"/>
      <c r="P104" s="552" t="s">
        <v>70</v>
      </c>
      <c r="Q104" s="544"/>
      <c r="R104" s="544"/>
      <c r="S104" s="544"/>
      <c r="T104" s="544"/>
      <c r="U104" s="544"/>
      <c r="V104" s="545"/>
      <c r="W104" s="37" t="s">
        <v>68</v>
      </c>
      <c r="X104" s="541">
        <f>IFERROR(SUM(X99:X102),"0")</f>
        <v>198</v>
      </c>
      <c r="Y104" s="541">
        <f>IFERROR(SUM(Y99:Y102),"0")</f>
        <v>205.20000000000002</v>
      </c>
      <c r="Z104" s="37"/>
      <c r="AA104" s="542"/>
      <c r="AB104" s="542"/>
      <c r="AC104" s="542"/>
    </row>
    <row r="105" spans="1:68" ht="14.25" hidden="1" customHeight="1" x14ac:dyDescent="0.25">
      <c r="A105" s="554" t="s">
        <v>134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9">
        <v>4680115881488</v>
      </c>
      <c r="E106" s="550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7"/>
      <c r="R106" s="547"/>
      <c r="S106" s="547"/>
      <c r="T106" s="548"/>
      <c r="U106" s="34"/>
      <c r="V106" s="34"/>
      <c r="W106" s="35" t="s">
        <v>68</v>
      </c>
      <c r="X106" s="539">
        <v>12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12.455555555555556</v>
      </c>
      <c r="BN106" s="64">
        <f>IFERROR(Y106*I106/H106,"0")</f>
        <v>22.42</v>
      </c>
      <c r="BO106" s="64">
        <f>IFERROR(1/J106*(X106/H106),"0")</f>
        <v>1.7361111111111108E-2</v>
      </c>
      <c r="BP106" s="64">
        <f>IFERROR(1/J106*(Y106/H106),"0")</f>
        <v>3.125E-2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9">
        <v>4680115882775</v>
      </c>
      <c r="E107" s="550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64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7"/>
      <c r="R107" s="547"/>
      <c r="S107" s="547"/>
      <c r="T107" s="548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9">
        <v>4680115880658</v>
      </c>
      <c r="E108" s="550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0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7"/>
      <c r="R108" s="547"/>
      <c r="S108" s="547"/>
      <c r="T108" s="548"/>
      <c r="U108" s="34"/>
      <c r="V108" s="34"/>
      <c r="W108" s="35" t="s">
        <v>68</v>
      </c>
      <c r="X108" s="539">
        <v>26</v>
      </c>
      <c r="Y108" s="540">
        <f>IFERROR(IF(X108="",0,CEILING((X108/$H108),1)*$H108),"")</f>
        <v>26.4</v>
      </c>
      <c r="Z108" s="36">
        <f>IFERROR(IF(Y108=0,"",ROUNDUP(Y108/H108,0)*0.00651),"")</f>
        <v>7.1610000000000007E-2</v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27.95</v>
      </c>
      <c r="BN108" s="64">
        <f>IFERROR(Y108*I108/H108,"0")</f>
        <v>28.38</v>
      </c>
      <c r="BO108" s="64">
        <f>IFERROR(1/J108*(X108/H108),"0")</f>
        <v>5.9523809523809534E-2</v>
      </c>
      <c r="BP108" s="64">
        <f>IFERROR(1/J108*(Y108/H108),"0")</f>
        <v>6.0439560439560447E-2</v>
      </c>
    </row>
    <row r="109" spans="1:68" x14ac:dyDescent="0.2">
      <c r="A109" s="565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66"/>
      <c r="P109" s="552" t="s">
        <v>70</v>
      </c>
      <c r="Q109" s="544"/>
      <c r="R109" s="544"/>
      <c r="S109" s="544"/>
      <c r="T109" s="544"/>
      <c r="U109" s="544"/>
      <c r="V109" s="545"/>
      <c r="W109" s="37" t="s">
        <v>71</v>
      </c>
      <c r="X109" s="541">
        <f>IFERROR(X106/H106,"0")+IFERROR(X107/H107,"0")+IFERROR(X108/H108,"0")</f>
        <v>11.944444444444445</v>
      </c>
      <c r="Y109" s="541">
        <f>IFERROR(Y106/H106,"0")+IFERROR(Y107/H107,"0")+IFERROR(Y108/H108,"0")</f>
        <v>13</v>
      </c>
      <c r="Z109" s="541">
        <f>IFERROR(IF(Z106="",0,Z106),"0")+IFERROR(IF(Z107="",0,Z107),"0")+IFERROR(IF(Z108="",0,Z108),"0")</f>
        <v>0.10957</v>
      </c>
      <c r="AA109" s="542"/>
      <c r="AB109" s="542"/>
      <c r="AC109" s="542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66"/>
      <c r="P110" s="552" t="s">
        <v>70</v>
      </c>
      <c r="Q110" s="544"/>
      <c r="R110" s="544"/>
      <c r="S110" s="544"/>
      <c r="T110" s="544"/>
      <c r="U110" s="544"/>
      <c r="V110" s="545"/>
      <c r="W110" s="37" t="s">
        <v>68</v>
      </c>
      <c r="X110" s="541">
        <f>IFERROR(SUM(X106:X108),"0")</f>
        <v>38</v>
      </c>
      <c r="Y110" s="541">
        <f>IFERROR(SUM(Y106:Y108),"0")</f>
        <v>48</v>
      </c>
      <c r="Z110" s="37"/>
      <c r="AA110" s="542"/>
      <c r="AB110" s="542"/>
      <c r="AC110" s="542"/>
    </row>
    <row r="111" spans="1:68" ht="14.25" hidden="1" customHeight="1" x14ac:dyDescent="0.25">
      <c r="A111" s="554" t="s">
        <v>72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9">
        <v>4607091385168</v>
      </c>
      <c r="E112" s="550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64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7"/>
      <c r="R112" s="547"/>
      <c r="S112" s="547"/>
      <c r="T112" s="548"/>
      <c r="U112" s="34"/>
      <c r="V112" s="34"/>
      <c r="W112" s="35" t="s">
        <v>68</v>
      </c>
      <c r="X112" s="539">
        <v>321</v>
      </c>
      <c r="Y112" s="540">
        <f>IFERROR(IF(X112="",0,CEILING((X112/$H112),1)*$H112),"")</f>
        <v>324</v>
      </c>
      <c r="Z112" s="36">
        <f>IFERROR(IF(Y112=0,"",ROUNDUP(Y112/H112,0)*0.01898),"")</f>
        <v>0.75919999999999999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340.33925925925922</v>
      </c>
      <c r="BN112" s="64">
        <f>IFERROR(Y112*I112/H112,"0")</f>
        <v>343.52</v>
      </c>
      <c r="BO112" s="64">
        <f>IFERROR(1/J112*(X112/H112),"0")</f>
        <v>0.61921296296296302</v>
      </c>
      <c r="BP112" s="64">
        <f>IFERROR(1/J112*(Y112/H112),"0")</f>
        <v>0.625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9">
        <v>4607091383256</v>
      </c>
      <c r="E113" s="550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7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7"/>
      <c r="R113" s="547"/>
      <c r="S113" s="547"/>
      <c r="T113" s="548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4301051721</v>
      </c>
      <c r="D114" s="549">
        <v>4607091385748</v>
      </c>
      <c r="E114" s="550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7"/>
      <c r="R114" s="547"/>
      <c r="S114" s="547"/>
      <c r="T114" s="548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9">
        <v>4680115884533</v>
      </c>
      <c r="E115" s="550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7"/>
      <c r="R115" s="547"/>
      <c r="S115" s="547"/>
      <c r="T115" s="548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66"/>
      <c r="P116" s="552" t="s">
        <v>70</v>
      </c>
      <c r="Q116" s="544"/>
      <c r="R116" s="544"/>
      <c r="S116" s="544"/>
      <c r="T116" s="544"/>
      <c r="U116" s="544"/>
      <c r="V116" s="545"/>
      <c r="W116" s="37" t="s">
        <v>71</v>
      </c>
      <c r="X116" s="541">
        <f>IFERROR(X112/H112,"0")+IFERROR(X113/H113,"0")+IFERROR(X114/H114,"0")+IFERROR(X115/H115,"0")</f>
        <v>39.629629629629633</v>
      </c>
      <c r="Y116" s="541">
        <f>IFERROR(Y112/H112,"0")+IFERROR(Y113/H113,"0")+IFERROR(Y114/H114,"0")+IFERROR(Y115/H115,"0")</f>
        <v>40</v>
      </c>
      <c r="Z116" s="541">
        <f>IFERROR(IF(Z112="",0,Z112),"0")+IFERROR(IF(Z113="",0,Z113),"0")+IFERROR(IF(Z114="",0,Z114),"0")+IFERROR(IF(Z115="",0,Z115),"0")</f>
        <v>0.75919999999999999</v>
      </c>
      <c r="AA116" s="542"/>
      <c r="AB116" s="542"/>
      <c r="AC116" s="542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66"/>
      <c r="P117" s="552" t="s">
        <v>70</v>
      </c>
      <c r="Q117" s="544"/>
      <c r="R117" s="544"/>
      <c r="S117" s="544"/>
      <c r="T117" s="544"/>
      <c r="U117" s="544"/>
      <c r="V117" s="545"/>
      <c r="W117" s="37" t="s">
        <v>68</v>
      </c>
      <c r="X117" s="541">
        <f>IFERROR(SUM(X112:X115),"0")</f>
        <v>321</v>
      </c>
      <c r="Y117" s="541">
        <f>IFERROR(SUM(Y112:Y115),"0")</f>
        <v>324</v>
      </c>
      <c r="Z117" s="37"/>
      <c r="AA117" s="542"/>
      <c r="AB117" s="542"/>
      <c r="AC117" s="542"/>
    </row>
    <row r="118" spans="1:68" ht="14.25" hidden="1" customHeight="1" x14ac:dyDescent="0.25">
      <c r="A118" s="554" t="s">
        <v>162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9">
        <v>4680115880238</v>
      </c>
      <c r="E119" s="550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76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7"/>
      <c r="R119" s="547"/>
      <c r="S119" s="547"/>
      <c r="T119" s="548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66"/>
      <c r="P120" s="552" t="s">
        <v>70</v>
      </c>
      <c r="Q120" s="544"/>
      <c r="R120" s="544"/>
      <c r="S120" s="544"/>
      <c r="T120" s="544"/>
      <c r="U120" s="544"/>
      <c r="V120" s="545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66"/>
      <c r="P121" s="552" t="s">
        <v>70</v>
      </c>
      <c r="Q121" s="544"/>
      <c r="R121" s="544"/>
      <c r="S121" s="544"/>
      <c r="T121" s="544"/>
      <c r="U121" s="544"/>
      <c r="V121" s="545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97" t="s">
        <v>219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4"/>
      <c r="AB122" s="534"/>
      <c r="AC122" s="534"/>
    </row>
    <row r="123" spans="1:68" ht="14.25" hidden="1" customHeight="1" x14ac:dyDescent="0.25">
      <c r="A123" s="554" t="s">
        <v>98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9">
        <v>4680115882577</v>
      </c>
      <c r="E124" s="550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54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7"/>
      <c r="R124" s="547"/>
      <c r="S124" s="547"/>
      <c r="T124" s="548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9">
        <v>4680115882577</v>
      </c>
      <c r="E125" s="550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6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7"/>
      <c r="R125" s="547"/>
      <c r="S125" s="547"/>
      <c r="T125" s="548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66"/>
      <c r="P126" s="552" t="s">
        <v>70</v>
      </c>
      <c r="Q126" s="544"/>
      <c r="R126" s="544"/>
      <c r="S126" s="544"/>
      <c r="T126" s="544"/>
      <c r="U126" s="544"/>
      <c r="V126" s="545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66"/>
      <c r="P127" s="552" t="s">
        <v>70</v>
      </c>
      <c r="Q127" s="544"/>
      <c r="R127" s="544"/>
      <c r="S127" s="544"/>
      <c r="T127" s="544"/>
      <c r="U127" s="544"/>
      <c r="V127" s="545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4" t="s">
        <v>63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9">
        <v>4680115883444</v>
      </c>
      <c r="E129" s="550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7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7"/>
      <c r="R129" s="547"/>
      <c r="S129" s="547"/>
      <c r="T129" s="548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9">
        <v>4680115883444</v>
      </c>
      <c r="E130" s="550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6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7"/>
      <c r="R130" s="547"/>
      <c r="S130" s="547"/>
      <c r="T130" s="548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66"/>
      <c r="P131" s="552" t="s">
        <v>70</v>
      </c>
      <c r="Q131" s="544"/>
      <c r="R131" s="544"/>
      <c r="S131" s="544"/>
      <c r="T131" s="544"/>
      <c r="U131" s="544"/>
      <c r="V131" s="545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66"/>
      <c r="P132" s="552" t="s">
        <v>70</v>
      </c>
      <c r="Q132" s="544"/>
      <c r="R132" s="544"/>
      <c r="S132" s="544"/>
      <c r="T132" s="544"/>
      <c r="U132" s="544"/>
      <c r="V132" s="545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4" t="s">
        <v>72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9">
        <v>4680115882584</v>
      </c>
      <c r="E134" s="550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5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7"/>
      <c r="R134" s="547"/>
      <c r="S134" s="547"/>
      <c r="T134" s="548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9">
        <v>4680115882584</v>
      </c>
      <c r="E135" s="550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62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7"/>
      <c r="R135" s="547"/>
      <c r="S135" s="547"/>
      <c r="T135" s="548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66"/>
      <c r="P136" s="552" t="s">
        <v>70</v>
      </c>
      <c r="Q136" s="544"/>
      <c r="R136" s="544"/>
      <c r="S136" s="544"/>
      <c r="T136" s="544"/>
      <c r="U136" s="544"/>
      <c r="V136" s="545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66"/>
      <c r="P137" s="552" t="s">
        <v>70</v>
      </c>
      <c r="Q137" s="544"/>
      <c r="R137" s="544"/>
      <c r="S137" s="544"/>
      <c r="T137" s="544"/>
      <c r="U137" s="544"/>
      <c r="V137" s="545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97" t="s">
        <v>96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4"/>
      <c r="AB138" s="534"/>
      <c r="AC138" s="534"/>
    </row>
    <row r="139" spans="1:68" ht="14.25" hidden="1" customHeight="1" x14ac:dyDescent="0.25">
      <c r="A139" s="554" t="s">
        <v>98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9">
        <v>4680115887374</v>
      </c>
      <c r="E140" s="550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7"/>
      <c r="R140" s="547"/>
      <c r="S140" s="547"/>
      <c r="T140" s="548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9">
        <v>4607091384604</v>
      </c>
      <c r="E141" s="550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7"/>
      <c r="R141" s="547"/>
      <c r="S141" s="547"/>
      <c r="T141" s="548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66"/>
      <c r="P142" s="552" t="s">
        <v>70</v>
      </c>
      <c r="Q142" s="544"/>
      <c r="R142" s="544"/>
      <c r="S142" s="544"/>
      <c r="T142" s="544"/>
      <c r="U142" s="544"/>
      <c r="V142" s="545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66"/>
      <c r="P143" s="552" t="s">
        <v>70</v>
      </c>
      <c r="Q143" s="544"/>
      <c r="R143" s="544"/>
      <c r="S143" s="544"/>
      <c r="T143" s="544"/>
      <c r="U143" s="544"/>
      <c r="V143" s="545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4" t="s">
        <v>63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9">
        <v>4607091387667</v>
      </c>
      <c r="E145" s="550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7"/>
      <c r="R145" s="547"/>
      <c r="S145" s="547"/>
      <c r="T145" s="548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9">
        <v>4607091387636</v>
      </c>
      <c r="E146" s="550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5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7"/>
      <c r="R146" s="547"/>
      <c r="S146" s="547"/>
      <c r="T146" s="548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9">
        <v>4607091382426</v>
      </c>
      <c r="E147" s="550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8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7"/>
      <c r="R147" s="547"/>
      <c r="S147" s="547"/>
      <c r="T147" s="548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66"/>
      <c r="P148" s="552" t="s">
        <v>70</v>
      </c>
      <c r="Q148" s="544"/>
      <c r="R148" s="544"/>
      <c r="S148" s="544"/>
      <c r="T148" s="544"/>
      <c r="U148" s="544"/>
      <c r="V148" s="545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66"/>
      <c r="P149" s="552" t="s">
        <v>70</v>
      </c>
      <c r="Q149" s="544"/>
      <c r="R149" s="544"/>
      <c r="S149" s="544"/>
      <c r="T149" s="544"/>
      <c r="U149" s="544"/>
      <c r="V149" s="545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4" t="s">
        <v>72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9">
        <v>4680115887459</v>
      </c>
      <c r="E151" s="550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551" t="s">
        <v>248</v>
      </c>
      <c r="Q151" s="547"/>
      <c r="R151" s="547"/>
      <c r="S151" s="547"/>
      <c r="T151" s="548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66"/>
      <c r="P152" s="552" t="s">
        <v>70</v>
      </c>
      <c r="Q152" s="544"/>
      <c r="R152" s="544"/>
      <c r="S152" s="544"/>
      <c r="T152" s="544"/>
      <c r="U152" s="544"/>
      <c r="V152" s="545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66"/>
      <c r="P153" s="552" t="s">
        <v>70</v>
      </c>
      <c r="Q153" s="544"/>
      <c r="R153" s="544"/>
      <c r="S153" s="544"/>
      <c r="T153" s="544"/>
      <c r="U153" s="544"/>
      <c r="V153" s="545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577" t="s">
        <v>250</v>
      </c>
      <c r="B154" s="578"/>
      <c r="C154" s="578"/>
      <c r="D154" s="578"/>
      <c r="E154" s="578"/>
      <c r="F154" s="578"/>
      <c r="G154" s="578"/>
      <c r="H154" s="578"/>
      <c r="I154" s="578"/>
      <c r="J154" s="578"/>
      <c r="K154" s="578"/>
      <c r="L154" s="578"/>
      <c r="M154" s="578"/>
      <c r="N154" s="578"/>
      <c r="O154" s="578"/>
      <c r="P154" s="578"/>
      <c r="Q154" s="578"/>
      <c r="R154" s="578"/>
      <c r="S154" s="578"/>
      <c r="T154" s="578"/>
      <c r="U154" s="578"/>
      <c r="V154" s="578"/>
      <c r="W154" s="578"/>
      <c r="X154" s="578"/>
      <c r="Y154" s="578"/>
      <c r="Z154" s="578"/>
      <c r="AA154" s="48"/>
      <c r="AB154" s="48"/>
      <c r="AC154" s="48"/>
    </row>
    <row r="155" spans="1:68" ht="16.5" hidden="1" customHeight="1" x14ac:dyDescent="0.25">
      <c r="A155" s="597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4"/>
      <c r="AB155" s="534"/>
      <c r="AC155" s="534"/>
    </row>
    <row r="156" spans="1:68" ht="14.25" hidden="1" customHeight="1" x14ac:dyDescent="0.25">
      <c r="A156" s="554" t="s">
        <v>134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9">
        <v>4680115886223</v>
      </c>
      <c r="E157" s="550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8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7"/>
      <c r="R157" s="547"/>
      <c r="S157" s="547"/>
      <c r="T157" s="548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66"/>
      <c r="P158" s="552" t="s">
        <v>70</v>
      </c>
      <c r="Q158" s="544"/>
      <c r="R158" s="544"/>
      <c r="S158" s="544"/>
      <c r="T158" s="544"/>
      <c r="U158" s="544"/>
      <c r="V158" s="545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66"/>
      <c r="P159" s="552" t="s">
        <v>70</v>
      </c>
      <c r="Q159" s="544"/>
      <c r="R159" s="544"/>
      <c r="S159" s="544"/>
      <c r="T159" s="544"/>
      <c r="U159" s="544"/>
      <c r="V159" s="545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4" t="s">
        <v>63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5"/>
      <c r="AB160" s="535"/>
      <c r="AC160" s="535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9">
        <v>4680115880993</v>
      </c>
      <c r="E161" s="550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65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7"/>
      <c r="R161" s="547"/>
      <c r="S161" s="547"/>
      <c r="T161" s="548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9">
        <v>4680115881761</v>
      </c>
      <c r="E162" s="550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6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7"/>
      <c r="R162" s="547"/>
      <c r="S162" s="547"/>
      <c r="T162" s="548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9">
        <v>4680115881563</v>
      </c>
      <c r="E163" s="550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7"/>
      <c r="R163" s="547"/>
      <c r="S163" s="547"/>
      <c r="T163" s="548"/>
      <c r="U163" s="34"/>
      <c r="V163" s="34"/>
      <c r="W163" s="35" t="s">
        <v>68</v>
      </c>
      <c r="X163" s="539">
        <v>100</v>
      </c>
      <c r="Y163" s="540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9">
        <v>4680115880986</v>
      </c>
      <c r="E164" s="550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7"/>
      <c r="R164" s="547"/>
      <c r="S164" s="547"/>
      <c r="T164" s="548"/>
      <c r="U164" s="34"/>
      <c r="V164" s="34"/>
      <c r="W164" s="35" t="s">
        <v>68</v>
      </c>
      <c r="X164" s="539">
        <v>29</v>
      </c>
      <c r="Y164" s="540">
        <f t="shared" si="5"/>
        <v>29.400000000000002</v>
      </c>
      <c r="Z164" s="36">
        <f>IFERROR(IF(Y164=0,"",ROUNDUP(Y164/H164,0)*0.00502),"")</f>
        <v>7.0280000000000009E-2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30.795238095238094</v>
      </c>
      <c r="BN164" s="64">
        <f t="shared" si="7"/>
        <v>31.22</v>
      </c>
      <c r="BO164" s="64">
        <f t="shared" si="8"/>
        <v>5.9015059015059018E-2</v>
      </c>
      <c r="BP164" s="64">
        <f t="shared" si="9"/>
        <v>5.9829059829059839E-2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9">
        <v>4680115887213</v>
      </c>
      <c r="E165" s="550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853" t="s">
        <v>269</v>
      </c>
      <c r="Q165" s="547"/>
      <c r="R165" s="547"/>
      <c r="S165" s="547"/>
      <c r="T165" s="548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9">
        <v>4680115881785</v>
      </c>
      <c r="E166" s="550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61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7"/>
      <c r="R166" s="547"/>
      <c r="S166" s="547"/>
      <c r="T166" s="548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9">
        <v>4680115886537</v>
      </c>
      <c r="E167" s="550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7"/>
      <c r="R167" s="547"/>
      <c r="S167" s="547"/>
      <c r="T167" s="548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9">
        <v>4680115881679</v>
      </c>
      <c r="E168" s="550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7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7"/>
      <c r="R168" s="547"/>
      <c r="S168" s="547"/>
      <c r="T168" s="548"/>
      <c r="U168" s="34"/>
      <c r="V168" s="34"/>
      <c r="W168" s="35" t="s">
        <v>68</v>
      </c>
      <c r="X168" s="539">
        <v>94</v>
      </c>
      <c r="Y168" s="540">
        <f t="shared" si="5"/>
        <v>94.5</v>
      </c>
      <c r="Z168" s="36">
        <f>IFERROR(IF(Y168=0,"",ROUNDUP(Y168/H168,0)*0.00502),"")</f>
        <v>0.22590000000000002</v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98.476190476190482</v>
      </c>
      <c r="BN168" s="64">
        <f t="shared" si="7"/>
        <v>99</v>
      </c>
      <c r="BO168" s="64">
        <f t="shared" si="8"/>
        <v>0.19129019129019129</v>
      </c>
      <c r="BP168" s="64">
        <f t="shared" si="9"/>
        <v>0.19230769230769232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9">
        <v>4680115880191</v>
      </c>
      <c r="E169" s="550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7"/>
      <c r="R169" s="547"/>
      <c r="S169" s="547"/>
      <c r="T169" s="548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9">
        <v>4680115883963</v>
      </c>
      <c r="E170" s="550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7"/>
      <c r="R170" s="547"/>
      <c r="S170" s="547"/>
      <c r="T170" s="548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66"/>
      <c r="P171" s="552" t="s">
        <v>70</v>
      </c>
      <c r="Q171" s="544"/>
      <c r="R171" s="544"/>
      <c r="S171" s="544"/>
      <c r="T171" s="544"/>
      <c r="U171" s="544"/>
      <c r="V171" s="545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82.38095238095238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83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0.51266</v>
      </c>
      <c r="AA171" s="542"/>
      <c r="AB171" s="542"/>
      <c r="AC171" s="542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66"/>
      <c r="P172" s="552" t="s">
        <v>70</v>
      </c>
      <c r="Q172" s="544"/>
      <c r="R172" s="544"/>
      <c r="S172" s="544"/>
      <c r="T172" s="544"/>
      <c r="U172" s="544"/>
      <c r="V172" s="545"/>
      <c r="W172" s="37" t="s">
        <v>68</v>
      </c>
      <c r="X172" s="541">
        <f>IFERROR(SUM(X161:X170),"0")</f>
        <v>223</v>
      </c>
      <c r="Y172" s="541">
        <f>IFERROR(SUM(Y161:Y170),"0")</f>
        <v>224.70000000000002</v>
      </c>
      <c r="Z172" s="37"/>
      <c r="AA172" s="542"/>
      <c r="AB172" s="542"/>
      <c r="AC172" s="542"/>
    </row>
    <row r="173" spans="1:68" ht="14.25" hidden="1" customHeight="1" x14ac:dyDescent="0.25">
      <c r="A173" s="554" t="s">
        <v>90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9">
        <v>4680115886780</v>
      </c>
      <c r="E174" s="550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5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7"/>
      <c r="R174" s="547"/>
      <c r="S174" s="547"/>
      <c r="T174" s="548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9">
        <v>4680115886742</v>
      </c>
      <c r="E175" s="550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6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7"/>
      <c r="R175" s="547"/>
      <c r="S175" s="547"/>
      <c r="T175" s="548"/>
      <c r="U175" s="34"/>
      <c r="V175" s="34"/>
      <c r="W175" s="35" t="s">
        <v>68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9">
        <v>4680115886766</v>
      </c>
      <c r="E176" s="550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64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7"/>
      <c r="R176" s="547"/>
      <c r="S176" s="547"/>
      <c r="T176" s="548"/>
      <c r="U176" s="34"/>
      <c r="V176" s="34"/>
      <c r="W176" s="35" t="s">
        <v>68</v>
      </c>
      <c r="X176" s="539">
        <v>2</v>
      </c>
      <c r="Y176" s="540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x14ac:dyDescent="0.2">
      <c r="A177" s="565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66"/>
      <c r="P177" s="552" t="s">
        <v>70</v>
      </c>
      <c r="Q177" s="544"/>
      <c r="R177" s="544"/>
      <c r="S177" s="544"/>
      <c r="T177" s="544"/>
      <c r="U177" s="544"/>
      <c r="V177" s="545"/>
      <c r="W177" s="37" t="s">
        <v>71</v>
      </c>
      <c r="X177" s="541">
        <f>IFERROR(X174/H174,"0")+IFERROR(X175/H175,"0")+IFERROR(X176/H176,"0")</f>
        <v>2.3809523809523809</v>
      </c>
      <c r="Y177" s="541">
        <f>IFERROR(Y174/H174,"0")+IFERROR(Y175/H175,"0")+IFERROR(Y176/H176,"0")</f>
        <v>3</v>
      </c>
      <c r="Z177" s="541">
        <f>IFERROR(IF(Z174="",0,Z174),"0")+IFERROR(IF(Z175="",0,Z175),"0")+IFERROR(IF(Z176="",0,Z176),"0")</f>
        <v>1.77E-2</v>
      </c>
      <c r="AA177" s="542"/>
      <c r="AB177" s="542"/>
      <c r="AC177" s="542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66"/>
      <c r="P178" s="552" t="s">
        <v>70</v>
      </c>
      <c r="Q178" s="544"/>
      <c r="R178" s="544"/>
      <c r="S178" s="544"/>
      <c r="T178" s="544"/>
      <c r="U178" s="544"/>
      <c r="V178" s="545"/>
      <c r="W178" s="37" t="s">
        <v>68</v>
      </c>
      <c r="X178" s="541">
        <f>IFERROR(SUM(X174:X176),"0")</f>
        <v>3</v>
      </c>
      <c r="Y178" s="541">
        <f>IFERROR(SUM(Y174:Y176),"0")</f>
        <v>3.7800000000000002</v>
      </c>
      <c r="Z178" s="37"/>
      <c r="AA178" s="542"/>
      <c r="AB178" s="542"/>
      <c r="AC178" s="542"/>
    </row>
    <row r="179" spans="1:68" ht="14.25" hidden="1" customHeight="1" x14ac:dyDescent="0.25">
      <c r="A179" s="554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9">
        <v>4680115886797</v>
      </c>
      <c r="E180" s="550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7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7"/>
      <c r="R180" s="547"/>
      <c r="S180" s="547"/>
      <c r="T180" s="548"/>
      <c r="U180" s="34"/>
      <c r="V180" s="34"/>
      <c r="W180" s="35" t="s">
        <v>68</v>
      </c>
      <c r="X180" s="539">
        <v>1</v>
      </c>
      <c r="Y180" s="540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65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66"/>
      <c r="P181" s="552" t="s">
        <v>70</v>
      </c>
      <c r="Q181" s="544"/>
      <c r="R181" s="544"/>
      <c r="S181" s="544"/>
      <c r="T181" s="544"/>
      <c r="U181" s="544"/>
      <c r="V181" s="545"/>
      <c r="W181" s="37" t="s">
        <v>71</v>
      </c>
      <c r="X181" s="541">
        <f>IFERROR(X180/H180,"0")</f>
        <v>0.79365079365079361</v>
      </c>
      <c r="Y181" s="541">
        <f>IFERROR(Y180/H180,"0")</f>
        <v>1</v>
      </c>
      <c r="Z181" s="541">
        <f>IFERROR(IF(Z180="",0,Z180),"0")</f>
        <v>5.8999999999999999E-3</v>
      </c>
      <c r="AA181" s="542"/>
      <c r="AB181" s="542"/>
      <c r="AC181" s="542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66"/>
      <c r="P182" s="552" t="s">
        <v>70</v>
      </c>
      <c r="Q182" s="544"/>
      <c r="R182" s="544"/>
      <c r="S182" s="544"/>
      <c r="T182" s="544"/>
      <c r="U182" s="544"/>
      <c r="V182" s="545"/>
      <c r="W182" s="37" t="s">
        <v>68</v>
      </c>
      <c r="X182" s="541">
        <f>IFERROR(SUM(X180:X180),"0")</f>
        <v>1</v>
      </c>
      <c r="Y182" s="541">
        <f>IFERROR(SUM(Y180:Y180),"0")</f>
        <v>1.26</v>
      </c>
      <c r="Z182" s="37"/>
      <c r="AA182" s="542"/>
      <c r="AB182" s="542"/>
      <c r="AC182" s="542"/>
    </row>
    <row r="183" spans="1:68" ht="16.5" hidden="1" customHeight="1" x14ac:dyDescent="0.25">
      <c r="A183" s="597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4"/>
      <c r="AB183" s="534"/>
      <c r="AC183" s="534"/>
    </row>
    <row r="184" spans="1:68" ht="14.25" hidden="1" customHeight="1" x14ac:dyDescent="0.25">
      <c r="A184" s="554" t="s">
        <v>98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9">
        <v>4680115881402</v>
      </c>
      <c r="E185" s="550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75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7"/>
      <c r="R185" s="547"/>
      <c r="S185" s="547"/>
      <c r="T185" s="548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9">
        <v>4680115881396</v>
      </c>
      <c r="E186" s="550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6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7"/>
      <c r="R186" s="547"/>
      <c r="S186" s="547"/>
      <c r="T186" s="548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66"/>
      <c r="P187" s="552" t="s">
        <v>70</v>
      </c>
      <c r="Q187" s="544"/>
      <c r="R187" s="544"/>
      <c r="S187" s="544"/>
      <c r="T187" s="544"/>
      <c r="U187" s="544"/>
      <c r="V187" s="545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66"/>
      <c r="P188" s="552" t="s">
        <v>70</v>
      </c>
      <c r="Q188" s="544"/>
      <c r="R188" s="544"/>
      <c r="S188" s="544"/>
      <c r="T188" s="544"/>
      <c r="U188" s="544"/>
      <c r="V188" s="545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4" t="s">
        <v>134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9">
        <v>4680115882935</v>
      </c>
      <c r="E190" s="550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6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7"/>
      <c r="R190" s="547"/>
      <c r="S190" s="547"/>
      <c r="T190" s="548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9">
        <v>4680115880764</v>
      </c>
      <c r="E191" s="550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6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7"/>
      <c r="R191" s="547"/>
      <c r="S191" s="547"/>
      <c r="T191" s="548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66"/>
      <c r="P192" s="552" t="s">
        <v>70</v>
      </c>
      <c r="Q192" s="544"/>
      <c r="R192" s="544"/>
      <c r="S192" s="544"/>
      <c r="T192" s="544"/>
      <c r="U192" s="544"/>
      <c r="V192" s="545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66"/>
      <c r="P193" s="552" t="s">
        <v>70</v>
      </c>
      <c r="Q193" s="544"/>
      <c r="R193" s="544"/>
      <c r="S193" s="544"/>
      <c r="T193" s="544"/>
      <c r="U193" s="544"/>
      <c r="V193" s="545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4" t="s">
        <v>63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9">
        <v>4680115882683</v>
      </c>
      <c r="E195" s="550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7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7"/>
      <c r="R195" s="547"/>
      <c r="S195" s="547"/>
      <c r="T195" s="548"/>
      <c r="U195" s="34"/>
      <c r="V195" s="34"/>
      <c r="W195" s="35" t="s">
        <v>68</v>
      </c>
      <c r="X195" s="539">
        <v>103</v>
      </c>
      <c r="Y195" s="540">
        <f t="shared" ref="Y195:Y202" si="10">IFERROR(IF(X195="",0,CEILING((X195/$H195),1)*$H195),"")</f>
        <v>108</v>
      </c>
      <c r="Z195" s="36">
        <f>IFERROR(IF(Y195=0,"",ROUNDUP(Y195/H195,0)*0.00902),"")</f>
        <v>0.1804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106.62407407407406</v>
      </c>
      <c r="BN195" s="64">
        <f t="shared" ref="BN195:BN202" si="12">IFERROR(Y195*I195/H195,"0")</f>
        <v>111.8</v>
      </c>
      <c r="BO195" s="64">
        <f t="shared" ref="BO195:BO202" si="13">IFERROR(1/J195*(X195/H195),"0")</f>
        <v>0.14450056116722781</v>
      </c>
      <c r="BP195" s="64">
        <f t="shared" ref="BP195:BP202" si="14">IFERROR(1/J195*(Y195/H195),"0")</f>
        <v>0.15151515151515152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9">
        <v>4680115882690</v>
      </c>
      <c r="E196" s="550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5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7"/>
      <c r="R196" s="547"/>
      <c r="S196" s="547"/>
      <c r="T196" s="548"/>
      <c r="U196" s="34"/>
      <c r="V196" s="34"/>
      <c r="W196" s="35" t="s">
        <v>68</v>
      </c>
      <c r="X196" s="539">
        <v>131</v>
      </c>
      <c r="Y196" s="540">
        <f t="shared" si="10"/>
        <v>135</v>
      </c>
      <c r="Z196" s="36">
        <f>IFERROR(IF(Y196=0,"",ROUNDUP(Y196/H196,0)*0.00902),"")</f>
        <v>0.22550000000000001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135.60925925925923</v>
      </c>
      <c r="BN196" s="64">
        <f t="shared" si="12"/>
        <v>139.75</v>
      </c>
      <c r="BO196" s="64">
        <f t="shared" si="13"/>
        <v>0.18378226711560042</v>
      </c>
      <c r="BP196" s="64">
        <f t="shared" si="14"/>
        <v>0.18939393939393939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9">
        <v>4680115882669</v>
      </c>
      <c r="E197" s="550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7"/>
      <c r="R197" s="547"/>
      <c r="S197" s="547"/>
      <c r="T197" s="548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9">
        <v>4680115882676</v>
      </c>
      <c r="E198" s="550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6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7"/>
      <c r="R198" s="547"/>
      <c r="S198" s="547"/>
      <c r="T198" s="548"/>
      <c r="U198" s="34"/>
      <c r="V198" s="34"/>
      <c r="W198" s="35" t="s">
        <v>68</v>
      </c>
      <c r="X198" s="539">
        <v>182</v>
      </c>
      <c r="Y198" s="540">
        <f t="shared" si="10"/>
        <v>183.60000000000002</v>
      </c>
      <c r="Z198" s="36">
        <f>IFERROR(IF(Y198=0,"",ROUNDUP(Y198/H198,0)*0.00902),"")</f>
        <v>0.30668000000000001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188.40370370370368</v>
      </c>
      <c r="BN198" s="64">
        <f t="shared" si="12"/>
        <v>190.06</v>
      </c>
      <c r="BO198" s="64">
        <f t="shared" si="13"/>
        <v>0.255331088664422</v>
      </c>
      <c r="BP198" s="64">
        <f t="shared" si="14"/>
        <v>0.25757575757575757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9">
        <v>4680115884014</v>
      </c>
      <c r="E199" s="550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58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7"/>
      <c r="R199" s="547"/>
      <c r="S199" s="547"/>
      <c r="T199" s="548"/>
      <c r="U199" s="34"/>
      <c r="V199" s="34"/>
      <c r="W199" s="35" t="s">
        <v>68</v>
      </c>
      <c r="X199" s="539">
        <v>42</v>
      </c>
      <c r="Y199" s="540">
        <f t="shared" si="10"/>
        <v>43.2</v>
      </c>
      <c r="Z199" s="36">
        <f>IFERROR(IF(Y199=0,"",ROUNDUP(Y199/H199,0)*0.00502),"")</f>
        <v>0.12048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45.033333333333331</v>
      </c>
      <c r="BN199" s="64">
        <f t="shared" si="12"/>
        <v>46.32</v>
      </c>
      <c r="BO199" s="64">
        <f t="shared" si="13"/>
        <v>9.9715099715099717E-2</v>
      </c>
      <c r="BP199" s="64">
        <f t="shared" si="14"/>
        <v>0.10256410256410257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9">
        <v>4680115884007</v>
      </c>
      <c r="E200" s="550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5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7"/>
      <c r="R200" s="547"/>
      <c r="S200" s="547"/>
      <c r="T200" s="548"/>
      <c r="U200" s="34"/>
      <c r="V200" s="34"/>
      <c r="W200" s="35" t="s">
        <v>68</v>
      </c>
      <c r="X200" s="539">
        <v>13</v>
      </c>
      <c r="Y200" s="540">
        <f t="shared" si="10"/>
        <v>14.4</v>
      </c>
      <c r="Z200" s="36">
        <f>IFERROR(IF(Y200=0,"",ROUNDUP(Y200/H200,0)*0.00502),"")</f>
        <v>4.0160000000000001E-2</v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13.722222222222221</v>
      </c>
      <c r="BN200" s="64">
        <f t="shared" si="12"/>
        <v>15.2</v>
      </c>
      <c r="BO200" s="64">
        <f t="shared" si="13"/>
        <v>3.0864197530864203E-2</v>
      </c>
      <c r="BP200" s="64">
        <f t="shared" si="14"/>
        <v>3.4188034188034191E-2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9">
        <v>4680115884038</v>
      </c>
      <c r="E201" s="550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64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7"/>
      <c r="R201" s="547"/>
      <c r="S201" s="547"/>
      <c r="T201" s="548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9">
        <v>4680115884021</v>
      </c>
      <c r="E202" s="550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63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7"/>
      <c r="R202" s="547"/>
      <c r="S202" s="547"/>
      <c r="T202" s="548"/>
      <c r="U202" s="34"/>
      <c r="V202" s="34"/>
      <c r="W202" s="35" t="s">
        <v>68</v>
      </c>
      <c r="X202" s="539">
        <v>15</v>
      </c>
      <c r="Y202" s="540">
        <f t="shared" si="10"/>
        <v>16.2</v>
      </c>
      <c r="Z202" s="36">
        <f>IFERROR(IF(Y202=0,"",ROUNDUP(Y202/H202,0)*0.00502),"")</f>
        <v>4.5179999999999998E-2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15.833333333333332</v>
      </c>
      <c r="BN202" s="64">
        <f t="shared" si="12"/>
        <v>17.099999999999998</v>
      </c>
      <c r="BO202" s="64">
        <f t="shared" si="13"/>
        <v>3.561253561253562E-2</v>
      </c>
      <c r="BP202" s="64">
        <f t="shared" si="14"/>
        <v>3.8461538461538464E-2</v>
      </c>
    </row>
    <row r="203" spans="1:68" x14ac:dyDescent="0.2">
      <c r="A203" s="565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66"/>
      <c r="P203" s="552" t="s">
        <v>70</v>
      </c>
      <c r="Q203" s="544"/>
      <c r="R203" s="544"/>
      <c r="S203" s="544"/>
      <c r="T203" s="544"/>
      <c r="U203" s="544"/>
      <c r="V203" s="545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115.92592592592592</v>
      </c>
      <c r="Y203" s="541">
        <f>IFERROR(Y195/H195,"0")+IFERROR(Y196/H196,"0")+IFERROR(Y197/H197,"0")+IFERROR(Y198/H198,"0")+IFERROR(Y199/H199,"0")+IFERROR(Y200/H200,"0")+IFERROR(Y201/H201,"0")+IFERROR(Y202/H202,"0")</f>
        <v>120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0.91839999999999999</v>
      </c>
      <c r="AA203" s="542"/>
      <c r="AB203" s="542"/>
      <c r="AC203" s="542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66"/>
      <c r="P204" s="552" t="s">
        <v>70</v>
      </c>
      <c r="Q204" s="544"/>
      <c r="R204" s="544"/>
      <c r="S204" s="544"/>
      <c r="T204" s="544"/>
      <c r="U204" s="544"/>
      <c r="V204" s="545"/>
      <c r="W204" s="37" t="s">
        <v>68</v>
      </c>
      <c r="X204" s="541">
        <f>IFERROR(SUM(X195:X202),"0")</f>
        <v>486</v>
      </c>
      <c r="Y204" s="541">
        <f>IFERROR(SUM(Y195:Y202),"0")</f>
        <v>500.4</v>
      </c>
      <c r="Z204" s="37"/>
      <c r="AA204" s="542"/>
      <c r="AB204" s="542"/>
      <c r="AC204" s="542"/>
    </row>
    <row r="205" spans="1:68" ht="14.25" hidden="1" customHeight="1" x14ac:dyDescent="0.25">
      <c r="A205" s="554" t="s">
        <v>72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9">
        <v>4680115881594</v>
      </c>
      <c r="E206" s="550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7"/>
      <c r="R206" s="547"/>
      <c r="S206" s="547"/>
      <c r="T206" s="548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9">
        <v>4680115881617</v>
      </c>
      <c r="E207" s="550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7"/>
      <c r="R207" s="547"/>
      <c r="S207" s="547"/>
      <c r="T207" s="548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9">
        <v>4680115880573</v>
      </c>
      <c r="E208" s="550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7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7"/>
      <c r="R208" s="547"/>
      <c r="S208" s="547"/>
      <c r="T208" s="548"/>
      <c r="U208" s="34"/>
      <c r="V208" s="34"/>
      <c r="W208" s="35" t="s">
        <v>68</v>
      </c>
      <c r="X208" s="539">
        <v>264</v>
      </c>
      <c r="Y208" s="540">
        <f t="shared" si="15"/>
        <v>269.7</v>
      </c>
      <c r="Z208" s="36">
        <f>IFERROR(IF(Y208=0,"",ROUNDUP(Y208/H208,0)*0.01898),"")</f>
        <v>0.58838000000000001</v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278.99034482758628</v>
      </c>
      <c r="BN208" s="64">
        <f t="shared" si="17"/>
        <v>285.01400000000007</v>
      </c>
      <c r="BO208" s="64">
        <f t="shared" si="18"/>
        <v>0.47413793103448282</v>
      </c>
      <c r="BP208" s="64">
        <f t="shared" si="19"/>
        <v>0.484375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9">
        <v>4680115882195</v>
      </c>
      <c r="E209" s="550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7"/>
      <c r="R209" s="547"/>
      <c r="S209" s="547"/>
      <c r="T209" s="548"/>
      <c r="U209" s="34"/>
      <c r="V209" s="34"/>
      <c r="W209" s="35" t="s">
        <v>68</v>
      </c>
      <c r="X209" s="539">
        <v>112</v>
      </c>
      <c r="Y209" s="540">
        <f t="shared" si="15"/>
        <v>112.8</v>
      </c>
      <c r="Z209" s="36">
        <f t="shared" ref="Z209:Z214" si="20">IFERROR(IF(Y209=0,"",ROUNDUP(Y209/H209,0)*0.00651),"")</f>
        <v>0.30597000000000002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124.6</v>
      </c>
      <c r="BN209" s="64">
        <f t="shared" si="17"/>
        <v>125.49</v>
      </c>
      <c r="BO209" s="64">
        <f t="shared" si="18"/>
        <v>0.25641025641025644</v>
      </c>
      <c r="BP209" s="64">
        <f t="shared" si="19"/>
        <v>0.25824175824175827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9">
        <v>4680115882607</v>
      </c>
      <c r="E210" s="550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7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7"/>
      <c r="R210" s="547"/>
      <c r="S210" s="547"/>
      <c r="T210" s="548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9">
        <v>4680115880092</v>
      </c>
      <c r="E211" s="550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7"/>
      <c r="R211" s="547"/>
      <c r="S211" s="547"/>
      <c r="T211" s="548"/>
      <c r="U211" s="34"/>
      <c r="V211" s="34"/>
      <c r="W211" s="35" t="s">
        <v>68</v>
      </c>
      <c r="X211" s="539">
        <v>188</v>
      </c>
      <c r="Y211" s="540">
        <f t="shared" si="15"/>
        <v>189.6</v>
      </c>
      <c r="Z211" s="36">
        <f t="shared" si="20"/>
        <v>0.51429000000000002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207.74</v>
      </c>
      <c r="BN211" s="64">
        <f t="shared" si="17"/>
        <v>209.50800000000001</v>
      </c>
      <c r="BO211" s="64">
        <f t="shared" si="18"/>
        <v>0.43040293040293048</v>
      </c>
      <c r="BP211" s="64">
        <f t="shared" si="19"/>
        <v>0.43406593406593408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9">
        <v>4680115880221</v>
      </c>
      <c r="E212" s="550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7"/>
      <c r="R212" s="547"/>
      <c r="S212" s="547"/>
      <c r="T212" s="548"/>
      <c r="U212" s="34"/>
      <c r="V212" s="34"/>
      <c r="W212" s="35" t="s">
        <v>68</v>
      </c>
      <c r="X212" s="539">
        <v>117</v>
      </c>
      <c r="Y212" s="540">
        <f t="shared" si="15"/>
        <v>117.6</v>
      </c>
      <c r="Z212" s="36">
        <f t="shared" si="20"/>
        <v>0.31899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129.285</v>
      </c>
      <c r="BN212" s="64">
        <f t="shared" si="17"/>
        <v>129.94800000000001</v>
      </c>
      <c r="BO212" s="64">
        <f t="shared" si="18"/>
        <v>0.2678571428571429</v>
      </c>
      <c r="BP212" s="64">
        <f t="shared" si="19"/>
        <v>0.26923076923076927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9">
        <v>4680115880504</v>
      </c>
      <c r="E213" s="550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8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7"/>
      <c r="R213" s="547"/>
      <c r="S213" s="547"/>
      <c r="T213" s="548"/>
      <c r="U213" s="34"/>
      <c r="V213" s="34"/>
      <c r="W213" s="35" t="s">
        <v>68</v>
      </c>
      <c r="X213" s="539">
        <v>54</v>
      </c>
      <c r="Y213" s="540">
        <f t="shared" si="15"/>
        <v>55.199999999999996</v>
      </c>
      <c r="Z213" s="36">
        <f t="shared" si="20"/>
        <v>0.14973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59.67</v>
      </c>
      <c r="BN213" s="64">
        <f t="shared" si="17"/>
        <v>60.996000000000002</v>
      </c>
      <c r="BO213" s="64">
        <f t="shared" si="18"/>
        <v>0.12362637362637363</v>
      </c>
      <c r="BP213" s="64">
        <f t="shared" si="19"/>
        <v>0.1263736263736264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9">
        <v>4680115882164</v>
      </c>
      <c r="E214" s="550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7"/>
      <c r="R214" s="547"/>
      <c r="S214" s="547"/>
      <c r="T214" s="548"/>
      <c r="U214" s="34"/>
      <c r="V214" s="34"/>
      <c r="W214" s="35" t="s">
        <v>68</v>
      </c>
      <c r="X214" s="539">
        <v>48</v>
      </c>
      <c r="Y214" s="540">
        <f t="shared" si="15"/>
        <v>48</v>
      </c>
      <c r="Z214" s="36">
        <f t="shared" si="20"/>
        <v>0.13020000000000001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53.160000000000004</v>
      </c>
      <c r="BN214" s="64">
        <f t="shared" si="17"/>
        <v>53.160000000000004</v>
      </c>
      <c r="BO214" s="64">
        <f t="shared" si="18"/>
        <v>0.1098901098901099</v>
      </c>
      <c r="BP214" s="64">
        <f t="shared" si="19"/>
        <v>0.1098901098901099</v>
      </c>
    </row>
    <row r="215" spans="1:68" x14ac:dyDescent="0.2">
      <c r="A215" s="565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66"/>
      <c r="P215" s="552" t="s">
        <v>70</v>
      </c>
      <c r="Q215" s="544"/>
      <c r="R215" s="544"/>
      <c r="S215" s="544"/>
      <c r="T215" s="544"/>
      <c r="U215" s="544"/>
      <c r="V215" s="545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246.59482758620692</v>
      </c>
      <c r="Y215" s="541">
        <f>IFERROR(Y206/H206,"0")+IFERROR(Y207/H207,"0")+IFERROR(Y208/H208,"0")+IFERROR(Y209/H209,"0")+IFERROR(Y210/H210,"0")+IFERROR(Y211/H211,"0")+IFERROR(Y212/H212,"0")+IFERROR(Y213/H213,"0")+IFERROR(Y214/H214,"0")</f>
        <v>249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2.0075599999999998</v>
      </c>
      <c r="AA215" s="542"/>
      <c r="AB215" s="542"/>
      <c r="AC215" s="542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66"/>
      <c r="P216" s="552" t="s">
        <v>70</v>
      </c>
      <c r="Q216" s="544"/>
      <c r="R216" s="544"/>
      <c r="S216" s="544"/>
      <c r="T216" s="544"/>
      <c r="U216" s="544"/>
      <c r="V216" s="545"/>
      <c r="W216" s="37" t="s">
        <v>68</v>
      </c>
      <c r="X216" s="541">
        <f>IFERROR(SUM(X206:X214),"0")</f>
        <v>783</v>
      </c>
      <c r="Y216" s="541">
        <f>IFERROR(SUM(Y206:Y214),"0")</f>
        <v>792.90000000000009</v>
      </c>
      <c r="Z216" s="37"/>
      <c r="AA216" s="542"/>
      <c r="AB216" s="542"/>
      <c r="AC216" s="542"/>
    </row>
    <row r="217" spans="1:68" ht="14.25" hidden="1" customHeight="1" x14ac:dyDescent="0.25">
      <c r="A217" s="554" t="s">
        <v>162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9">
        <v>4680115880818</v>
      </c>
      <c r="E218" s="550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55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7"/>
      <c r="R218" s="547"/>
      <c r="S218" s="547"/>
      <c r="T218" s="548"/>
      <c r="U218" s="34"/>
      <c r="V218" s="34"/>
      <c r="W218" s="35" t="s">
        <v>68</v>
      </c>
      <c r="X218" s="539">
        <v>45</v>
      </c>
      <c r="Y218" s="540">
        <f>IFERROR(IF(X218="",0,CEILING((X218/$H218),1)*$H218),"")</f>
        <v>45.6</v>
      </c>
      <c r="Z218" s="36">
        <f>IFERROR(IF(Y218=0,"",ROUNDUP(Y218/H218,0)*0.00651),"")</f>
        <v>0.12369000000000001</v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49.725000000000001</v>
      </c>
      <c r="BN218" s="64">
        <f>IFERROR(Y218*I218/H218,"0")</f>
        <v>50.388000000000005</v>
      </c>
      <c r="BO218" s="64">
        <f>IFERROR(1/J218*(X218/H218),"0")</f>
        <v>0.10302197802197803</v>
      </c>
      <c r="BP218" s="64">
        <f>IFERROR(1/J218*(Y218/H218),"0")</f>
        <v>0.1043956043956044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9">
        <v>4680115880801</v>
      </c>
      <c r="E219" s="550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75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7"/>
      <c r="R219" s="547"/>
      <c r="S219" s="547"/>
      <c r="T219" s="548"/>
      <c r="U219" s="34"/>
      <c r="V219" s="34"/>
      <c r="W219" s="35" t="s">
        <v>68</v>
      </c>
      <c r="X219" s="539">
        <v>18</v>
      </c>
      <c r="Y219" s="540">
        <f>IFERROR(IF(X219="",0,CEILING((X219/$H219),1)*$H219),"")</f>
        <v>19.2</v>
      </c>
      <c r="Z219" s="36">
        <f>IFERROR(IF(Y219=0,"",ROUNDUP(Y219/H219,0)*0.00651),"")</f>
        <v>5.2080000000000001E-2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19.890000000000004</v>
      </c>
      <c r="BN219" s="64">
        <f>IFERROR(Y219*I219/H219,"0")</f>
        <v>21.216000000000001</v>
      </c>
      <c r="BO219" s="64">
        <f>IFERROR(1/J219*(X219/H219),"0")</f>
        <v>4.1208791208791215E-2</v>
      </c>
      <c r="BP219" s="64">
        <f>IFERROR(1/J219*(Y219/H219),"0")</f>
        <v>4.3956043956043959E-2</v>
      </c>
    </row>
    <row r="220" spans="1:68" x14ac:dyDescent="0.2">
      <c r="A220" s="565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66"/>
      <c r="P220" s="552" t="s">
        <v>70</v>
      </c>
      <c r="Q220" s="544"/>
      <c r="R220" s="544"/>
      <c r="S220" s="544"/>
      <c r="T220" s="544"/>
      <c r="U220" s="544"/>
      <c r="V220" s="545"/>
      <c r="W220" s="37" t="s">
        <v>71</v>
      </c>
      <c r="X220" s="541">
        <f>IFERROR(X218/H218,"0")+IFERROR(X219/H219,"0")</f>
        <v>26.25</v>
      </c>
      <c r="Y220" s="541">
        <f>IFERROR(Y218/H218,"0")+IFERROR(Y219/H219,"0")</f>
        <v>27</v>
      </c>
      <c r="Z220" s="541">
        <f>IFERROR(IF(Z218="",0,Z218),"0")+IFERROR(IF(Z219="",0,Z219),"0")</f>
        <v>0.17577000000000001</v>
      </c>
      <c r="AA220" s="542"/>
      <c r="AB220" s="542"/>
      <c r="AC220" s="542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66"/>
      <c r="P221" s="552" t="s">
        <v>70</v>
      </c>
      <c r="Q221" s="544"/>
      <c r="R221" s="544"/>
      <c r="S221" s="544"/>
      <c r="T221" s="544"/>
      <c r="U221" s="544"/>
      <c r="V221" s="545"/>
      <c r="W221" s="37" t="s">
        <v>68</v>
      </c>
      <c r="X221" s="541">
        <f>IFERROR(SUM(X218:X219),"0")</f>
        <v>63</v>
      </c>
      <c r="Y221" s="541">
        <f>IFERROR(SUM(Y218:Y219),"0")</f>
        <v>64.8</v>
      </c>
      <c r="Z221" s="37"/>
      <c r="AA221" s="542"/>
      <c r="AB221" s="542"/>
      <c r="AC221" s="542"/>
    </row>
    <row r="222" spans="1:68" ht="16.5" hidden="1" customHeight="1" x14ac:dyDescent="0.25">
      <c r="A222" s="597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4"/>
      <c r="AB222" s="534"/>
      <c r="AC222" s="534"/>
    </row>
    <row r="223" spans="1:68" ht="14.25" hidden="1" customHeight="1" x14ac:dyDescent="0.25">
      <c r="A223" s="554" t="s">
        <v>98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9">
        <v>4680115884137</v>
      </c>
      <c r="E224" s="550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7"/>
      <c r="R224" s="547"/>
      <c r="S224" s="547"/>
      <c r="T224" s="548"/>
      <c r="U224" s="34"/>
      <c r="V224" s="34"/>
      <c r="W224" s="35" t="s">
        <v>68</v>
      </c>
      <c r="X224" s="539">
        <v>19</v>
      </c>
      <c r="Y224" s="540">
        <f t="shared" ref="Y224:Y233" si="21">IFERROR(IF(X224="",0,CEILING((X224/$H224),1)*$H224),"")</f>
        <v>23.2</v>
      </c>
      <c r="Z224" s="36">
        <f>IFERROR(IF(Y224=0,"",ROUNDUP(Y224/H224,0)*0.01898),"")</f>
        <v>3.7960000000000001E-2</v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19.671551724137931</v>
      </c>
      <c r="BN224" s="64">
        <f t="shared" ref="BN224:BN233" si="23">IFERROR(Y224*I224/H224,"0")</f>
        <v>24.02</v>
      </c>
      <c r="BO224" s="64">
        <f t="shared" ref="BO224:BO233" si="24">IFERROR(1/J224*(X224/H224),"0")</f>
        <v>2.5592672413793104E-2</v>
      </c>
      <c r="BP224" s="64">
        <f t="shared" ref="BP224:BP233" si="25">IFERROR(1/J224*(Y224/H224),"0")</f>
        <v>3.125E-2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9">
        <v>4680115884236</v>
      </c>
      <c r="E225" s="550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6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7"/>
      <c r="R225" s="547"/>
      <c r="S225" s="547"/>
      <c r="T225" s="548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9">
        <v>4680115884175</v>
      </c>
      <c r="E226" s="550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6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7"/>
      <c r="R226" s="547"/>
      <c r="S226" s="547"/>
      <c r="T226" s="548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9">
        <v>4680115884144</v>
      </c>
      <c r="E227" s="550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67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7"/>
      <c r="R227" s="547"/>
      <c r="S227" s="547"/>
      <c r="T227" s="548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9">
        <v>4680115884144</v>
      </c>
      <c r="E228" s="550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7"/>
      <c r="R228" s="547"/>
      <c r="S228" s="547"/>
      <c r="T228" s="548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9">
        <v>4680115886551</v>
      </c>
      <c r="E229" s="550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7"/>
      <c r="R229" s="547"/>
      <c r="S229" s="547"/>
      <c r="T229" s="548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9">
        <v>4680115884182</v>
      </c>
      <c r="E230" s="550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76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7"/>
      <c r="R230" s="547"/>
      <c r="S230" s="547"/>
      <c r="T230" s="548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9">
        <v>4680115887282</v>
      </c>
      <c r="E231" s="550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8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7"/>
      <c r="R231" s="547"/>
      <c r="S231" s="547"/>
      <c r="T231" s="548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9">
        <v>4680115884205</v>
      </c>
      <c r="E232" s="550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7"/>
      <c r="R232" s="547"/>
      <c r="S232" s="547"/>
      <c r="T232" s="548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9">
        <v>4680115884205</v>
      </c>
      <c r="E233" s="550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7"/>
      <c r="R233" s="547"/>
      <c r="S233" s="547"/>
      <c r="T233" s="548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66"/>
      <c r="P234" s="552" t="s">
        <v>70</v>
      </c>
      <c r="Q234" s="544"/>
      <c r="R234" s="544"/>
      <c r="S234" s="544"/>
      <c r="T234" s="544"/>
      <c r="U234" s="544"/>
      <c r="V234" s="545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1.6379310344827587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3.7960000000000001E-2</v>
      </c>
      <c r="AA234" s="542"/>
      <c r="AB234" s="542"/>
      <c r="AC234" s="542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66"/>
      <c r="P235" s="552" t="s">
        <v>70</v>
      </c>
      <c r="Q235" s="544"/>
      <c r="R235" s="544"/>
      <c r="S235" s="544"/>
      <c r="T235" s="544"/>
      <c r="U235" s="544"/>
      <c r="V235" s="545"/>
      <c r="W235" s="37" t="s">
        <v>68</v>
      </c>
      <c r="X235" s="541">
        <f>IFERROR(SUM(X224:X233),"0")</f>
        <v>19</v>
      </c>
      <c r="Y235" s="541">
        <f>IFERROR(SUM(Y224:Y233),"0")</f>
        <v>23.2</v>
      </c>
      <c r="Z235" s="37"/>
      <c r="AA235" s="542"/>
      <c r="AB235" s="542"/>
      <c r="AC235" s="542"/>
    </row>
    <row r="236" spans="1:68" ht="14.25" hidden="1" customHeight="1" x14ac:dyDescent="0.25">
      <c r="A236" s="554" t="s">
        <v>134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9">
        <v>4680115885981</v>
      </c>
      <c r="E237" s="550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8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7"/>
      <c r="R237" s="547"/>
      <c r="S237" s="547"/>
      <c r="T237" s="548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66"/>
      <c r="P238" s="552" t="s">
        <v>70</v>
      </c>
      <c r="Q238" s="544"/>
      <c r="R238" s="544"/>
      <c r="S238" s="544"/>
      <c r="T238" s="544"/>
      <c r="U238" s="544"/>
      <c r="V238" s="545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66"/>
      <c r="P239" s="552" t="s">
        <v>70</v>
      </c>
      <c r="Q239" s="544"/>
      <c r="R239" s="544"/>
      <c r="S239" s="544"/>
      <c r="T239" s="544"/>
      <c r="U239" s="544"/>
      <c r="V239" s="545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4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9">
        <v>4680115886803</v>
      </c>
      <c r="E241" s="550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7"/>
      <c r="R241" s="547"/>
      <c r="S241" s="547"/>
      <c r="T241" s="548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66"/>
      <c r="P242" s="552" t="s">
        <v>70</v>
      </c>
      <c r="Q242" s="544"/>
      <c r="R242" s="544"/>
      <c r="S242" s="544"/>
      <c r="T242" s="544"/>
      <c r="U242" s="544"/>
      <c r="V242" s="545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66"/>
      <c r="P243" s="552" t="s">
        <v>70</v>
      </c>
      <c r="Q243" s="544"/>
      <c r="R243" s="544"/>
      <c r="S243" s="544"/>
      <c r="T243" s="544"/>
      <c r="U243" s="544"/>
      <c r="V243" s="545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4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9">
        <v>4680115886704</v>
      </c>
      <c r="E245" s="550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4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7"/>
      <c r="R245" s="547"/>
      <c r="S245" s="547"/>
      <c r="T245" s="548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9">
        <v>4680115886681</v>
      </c>
      <c r="E246" s="550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7"/>
      <c r="R246" s="547"/>
      <c r="S246" s="547"/>
      <c r="T246" s="548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9">
        <v>4680115886735</v>
      </c>
      <c r="E247" s="550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6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7"/>
      <c r="R247" s="547"/>
      <c r="S247" s="547"/>
      <c r="T247" s="548"/>
      <c r="U247" s="34"/>
      <c r="V247" s="34"/>
      <c r="W247" s="35" t="s">
        <v>68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9">
        <v>4680115886728</v>
      </c>
      <c r="E248" s="550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1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7"/>
      <c r="R248" s="547"/>
      <c r="S248" s="547"/>
      <c r="T248" s="548"/>
      <c r="U248" s="34"/>
      <c r="V248" s="34"/>
      <c r="W248" s="35" t="s">
        <v>68</v>
      </c>
      <c r="X248" s="539">
        <v>1</v>
      </c>
      <c r="Y248" s="540">
        <f>IFERROR(IF(X248="",0,CEILING((X248/$H248),1)*$H248),"")</f>
        <v>1.98</v>
      </c>
      <c r="Z248" s="36">
        <f>IFERROR(IF(Y248=0,"",ROUNDUP(Y248/H248,0)*0.0059),"")</f>
        <v>1.18E-2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1.1919191919191918</v>
      </c>
      <c r="BN248" s="64">
        <f>IFERROR(Y248*I248/H248,"0")</f>
        <v>2.36</v>
      </c>
      <c r="BO248" s="64">
        <f>IFERROR(1/J248*(X248/H248),"0")</f>
        <v>4.6763935652824546E-3</v>
      </c>
      <c r="BP248" s="64">
        <f>IFERROR(1/J248*(Y248/H248),"0")</f>
        <v>9.2592592592592587E-3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9">
        <v>4680115886711</v>
      </c>
      <c r="E249" s="550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2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7"/>
      <c r="R249" s="547"/>
      <c r="S249" s="547"/>
      <c r="T249" s="548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5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66"/>
      <c r="P250" s="552" t="s">
        <v>70</v>
      </c>
      <c r="Q250" s="544"/>
      <c r="R250" s="544"/>
      <c r="S250" s="544"/>
      <c r="T250" s="544"/>
      <c r="U250" s="544"/>
      <c r="V250" s="545"/>
      <c r="W250" s="37" t="s">
        <v>71</v>
      </c>
      <c r="X250" s="541">
        <f>IFERROR(X245/H245,"0")+IFERROR(X246/H246,"0")+IFERROR(X247/H247,"0")+IFERROR(X248/H248,"0")+IFERROR(X249/H249,"0")</f>
        <v>2.1212121212121211</v>
      </c>
      <c r="Y250" s="541">
        <f>IFERROR(Y245/H245,"0")+IFERROR(Y246/H246,"0")+IFERROR(Y247/H247,"0")+IFERROR(Y248/H248,"0")+IFERROR(Y249/H249,"0")</f>
        <v>4</v>
      </c>
      <c r="Z250" s="541">
        <f>IFERROR(IF(Z245="",0,Z245),"0")+IFERROR(IF(Z246="",0,Z246),"0")+IFERROR(IF(Z247="",0,Z247),"0")+IFERROR(IF(Z248="",0,Z248),"0")+IFERROR(IF(Z249="",0,Z249),"0")</f>
        <v>2.3599999999999999E-2</v>
      </c>
      <c r="AA250" s="542"/>
      <c r="AB250" s="542"/>
      <c r="AC250" s="542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66"/>
      <c r="P251" s="552" t="s">
        <v>70</v>
      </c>
      <c r="Q251" s="544"/>
      <c r="R251" s="544"/>
      <c r="S251" s="544"/>
      <c r="T251" s="544"/>
      <c r="U251" s="544"/>
      <c r="V251" s="545"/>
      <c r="W251" s="37" t="s">
        <v>68</v>
      </c>
      <c r="X251" s="541">
        <f>IFERROR(SUM(X245:X249),"0")</f>
        <v>2</v>
      </c>
      <c r="Y251" s="541">
        <f>IFERROR(SUM(Y245:Y249),"0")</f>
        <v>3.7800000000000002</v>
      </c>
      <c r="Z251" s="37"/>
      <c r="AA251" s="542"/>
      <c r="AB251" s="542"/>
      <c r="AC251" s="542"/>
    </row>
    <row r="252" spans="1:68" ht="16.5" hidden="1" customHeight="1" x14ac:dyDescent="0.25">
      <c r="A252" s="597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4"/>
      <c r="AB252" s="534"/>
      <c r="AC252" s="534"/>
    </row>
    <row r="253" spans="1:68" ht="14.25" hidden="1" customHeight="1" x14ac:dyDescent="0.25">
      <c r="A253" s="554" t="s">
        <v>98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9">
        <v>4680115885837</v>
      </c>
      <c r="E254" s="550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7"/>
      <c r="R254" s="547"/>
      <c r="S254" s="547"/>
      <c r="T254" s="548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9">
        <v>4680115885851</v>
      </c>
      <c r="E255" s="550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78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7"/>
      <c r="R255" s="547"/>
      <c r="S255" s="547"/>
      <c r="T255" s="548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9">
        <v>4680115885806</v>
      </c>
      <c r="E256" s="550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7"/>
      <c r="R256" s="547"/>
      <c r="S256" s="547"/>
      <c r="T256" s="548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9">
        <v>4680115885844</v>
      </c>
      <c r="E257" s="550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69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7"/>
      <c r="R257" s="547"/>
      <c r="S257" s="547"/>
      <c r="T257" s="548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9">
        <v>4680115885820</v>
      </c>
      <c r="E258" s="550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7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7"/>
      <c r="R258" s="547"/>
      <c r="S258" s="547"/>
      <c r="T258" s="548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66"/>
      <c r="P259" s="552" t="s">
        <v>70</v>
      </c>
      <c r="Q259" s="544"/>
      <c r="R259" s="544"/>
      <c r="S259" s="544"/>
      <c r="T259" s="544"/>
      <c r="U259" s="544"/>
      <c r="V259" s="545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66"/>
      <c r="P260" s="552" t="s">
        <v>70</v>
      </c>
      <c r="Q260" s="544"/>
      <c r="R260" s="544"/>
      <c r="S260" s="544"/>
      <c r="T260" s="544"/>
      <c r="U260" s="544"/>
      <c r="V260" s="545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97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4"/>
      <c r="AB261" s="534"/>
      <c r="AC261" s="534"/>
    </row>
    <row r="262" spans="1:68" ht="14.25" hidden="1" customHeight="1" x14ac:dyDescent="0.25">
      <c r="A262" s="554" t="s">
        <v>98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9">
        <v>4607091383423</v>
      </c>
      <c r="E263" s="550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59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7"/>
      <c r="R263" s="547"/>
      <c r="S263" s="547"/>
      <c r="T263" s="548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9">
        <v>4680115886957</v>
      </c>
      <c r="E264" s="550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83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7"/>
      <c r="R264" s="547"/>
      <c r="S264" s="547"/>
      <c r="T264" s="548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9">
        <v>4680115885660</v>
      </c>
      <c r="E265" s="550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82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7"/>
      <c r="R265" s="547"/>
      <c r="S265" s="547"/>
      <c r="T265" s="548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9">
        <v>4680115886773</v>
      </c>
      <c r="E266" s="550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82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7"/>
      <c r="R266" s="547"/>
      <c r="S266" s="547"/>
      <c r="T266" s="548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66"/>
      <c r="P267" s="552" t="s">
        <v>70</v>
      </c>
      <c r="Q267" s="544"/>
      <c r="R267" s="544"/>
      <c r="S267" s="544"/>
      <c r="T267" s="544"/>
      <c r="U267" s="544"/>
      <c r="V267" s="545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66"/>
      <c r="P268" s="552" t="s">
        <v>70</v>
      </c>
      <c r="Q268" s="544"/>
      <c r="R268" s="544"/>
      <c r="S268" s="544"/>
      <c r="T268" s="544"/>
      <c r="U268" s="544"/>
      <c r="V268" s="545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97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4"/>
      <c r="AB269" s="534"/>
      <c r="AC269" s="534"/>
    </row>
    <row r="270" spans="1:68" ht="14.25" hidden="1" customHeight="1" x14ac:dyDescent="0.25">
      <c r="A270" s="554" t="s">
        <v>72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9">
        <v>4680115886186</v>
      </c>
      <c r="E271" s="550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81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7"/>
      <c r="R271" s="547"/>
      <c r="S271" s="547"/>
      <c r="T271" s="548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9">
        <v>4680115881228</v>
      </c>
      <c r="E272" s="550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7"/>
      <c r="R272" s="547"/>
      <c r="S272" s="547"/>
      <c r="T272" s="548"/>
      <c r="U272" s="34"/>
      <c r="V272" s="34"/>
      <c r="W272" s="35" t="s">
        <v>68</v>
      </c>
      <c r="X272" s="539">
        <v>3</v>
      </c>
      <c r="Y272" s="540">
        <f>IFERROR(IF(X272="",0,CEILING((X272/$H272),1)*$H272),"")</f>
        <v>4.8</v>
      </c>
      <c r="Z272" s="36">
        <f>IFERROR(IF(Y272=0,"",ROUNDUP(Y272/H272,0)*0.00651),"")</f>
        <v>1.302E-2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3.3150000000000004</v>
      </c>
      <c r="BN272" s="64">
        <f>IFERROR(Y272*I272/H272,"0")</f>
        <v>5.3040000000000003</v>
      </c>
      <c r="BO272" s="64">
        <f>IFERROR(1/J272*(X272/H272),"0")</f>
        <v>6.8681318681318689E-3</v>
      </c>
      <c r="BP272" s="64">
        <f>IFERROR(1/J272*(Y272/H272),"0")</f>
        <v>1.098901098901099E-2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9">
        <v>4680115881211</v>
      </c>
      <c r="E273" s="550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80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7"/>
      <c r="R273" s="547"/>
      <c r="S273" s="547"/>
      <c r="T273" s="548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5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66"/>
      <c r="P274" s="552" t="s">
        <v>70</v>
      </c>
      <c r="Q274" s="544"/>
      <c r="R274" s="544"/>
      <c r="S274" s="544"/>
      <c r="T274" s="544"/>
      <c r="U274" s="544"/>
      <c r="V274" s="545"/>
      <c r="W274" s="37" t="s">
        <v>71</v>
      </c>
      <c r="X274" s="541">
        <f>IFERROR(X271/H271,"0")+IFERROR(X272/H272,"0")+IFERROR(X273/H273,"0")</f>
        <v>1.25</v>
      </c>
      <c r="Y274" s="541">
        <f>IFERROR(Y271/H271,"0")+IFERROR(Y272/H272,"0")+IFERROR(Y273/H273,"0")</f>
        <v>2</v>
      </c>
      <c r="Z274" s="541">
        <f>IFERROR(IF(Z271="",0,Z271),"0")+IFERROR(IF(Z272="",0,Z272),"0")+IFERROR(IF(Z273="",0,Z273),"0")</f>
        <v>1.302E-2</v>
      </c>
      <c r="AA274" s="542"/>
      <c r="AB274" s="542"/>
      <c r="AC274" s="542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66"/>
      <c r="P275" s="552" t="s">
        <v>70</v>
      </c>
      <c r="Q275" s="544"/>
      <c r="R275" s="544"/>
      <c r="S275" s="544"/>
      <c r="T275" s="544"/>
      <c r="U275" s="544"/>
      <c r="V275" s="545"/>
      <c r="W275" s="37" t="s">
        <v>68</v>
      </c>
      <c r="X275" s="541">
        <f>IFERROR(SUM(X271:X273),"0")</f>
        <v>3</v>
      </c>
      <c r="Y275" s="541">
        <f>IFERROR(SUM(Y271:Y273),"0")</f>
        <v>4.8</v>
      </c>
      <c r="Z275" s="37"/>
      <c r="AA275" s="542"/>
      <c r="AB275" s="542"/>
      <c r="AC275" s="542"/>
    </row>
    <row r="276" spans="1:68" ht="16.5" hidden="1" customHeight="1" x14ac:dyDescent="0.25">
      <c r="A276" s="597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4"/>
      <c r="AB276" s="534"/>
      <c r="AC276" s="534"/>
    </row>
    <row r="277" spans="1:68" ht="14.25" hidden="1" customHeight="1" x14ac:dyDescent="0.25">
      <c r="A277" s="554" t="s">
        <v>63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9">
        <v>4680115880344</v>
      </c>
      <c r="E278" s="550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6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7"/>
      <c r="R278" s="547"/>
      <c r="S278" s="547"/>
      <c r="T278" s="548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9">
        <v>4680115886919</v>
      </c>
      <c r="E279" s="550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69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7"/>
      <c r="R279" s="547"/>
      <c r="S279" s="547"/>
      <c r="T279" s="548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66"/>
      <c r="P280" s="552" t="s">
        <v>70</v>
      </c>
      <c r="Q280" s="544"/>
      <c r="R280" s="544"/>
      <c r="S280" s="544"/>
      <c r="T280" s="544"/>
      <c r="U280" s="544"/>
      <c r="V280" s="545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66"/>
      <c r="P281" s="552" t="s">
        <v>70</v>
      </c>
      <c r="Q281" s="544"/>
      <c r="R281" s="544"/>
      <c r="S281" s="544"/>
      <c r="T281" s="544"/>
      <c r="U281" s="544"/>
      <c r="V281" s="545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4" t="s">
        <v>72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9">
        <v>4680115884618</v>
      </c>
      <c r="E283" s="550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2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7"/>
      <c r="R283" s="547"/>
      <c r="S283" s="547"/>
      <c r="T283" s="548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9">
        <v>4680115887114</v>
      </c>
      <c r="E284" s="550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784" t="s">
        <v>445</v>
      </c>
      <c r="Q284" s="547"/>
      <c r="R284" s="547"/>
      <c r="S284" s="547"/>
      <c r="T284" s="548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66"/>
      <c r="P285" s="552" t="s">
        <v>70</v>
      </c>
      <c r="Q285" s="544"/>
      <c r="R285" s="544"/>
      <c r="S285" s="544"/>
      <c r="T285" s="544"/>
      <c r="U285" s="544"/>
      <c r="V285" s="545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66"/>
      <c r="P286" s="552" t="s">
        <v>70</v>
      </c>
      <c r="Q286" s="544"/>
      <c r="R286" s="544"/>
      <c r="S286" s="544"/>
      <c r="T286" s="544"/>
      <c r="U286" s="544"/>
      <c r="V286" s="545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97" t="s">
        <v>447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4"/>
      <c r="AB287" s="534"/>
      <c r="AC287" s="534"/>
    </row>
    <row r="288" spans="1:68" ht="14.25" hidden="1" customHeight="1" x14ac:dyDescent="0.25">
      <c r="A288" s="554" t="s">
        <v>98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9">
        <v>4680115885615</v>
      </c>
      <c r="E289" s="550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8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7"/>
      <c r="R289" s="547"/>
      <c r="S289" s="547"/>
      <c r="T289" s="548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9">
        <v>4680115885646</v>
      </c>
      <c r="E290" s="550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85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7"/>
      <c r="R290" s="547"/>
      <c r="S290" s="547"/>
      <c r="T290" s="548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9">
        <v>4680115885554</v>
      </c>
      <c r="E291" s="550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5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7"/>
      <c r="R291" s="547"/>
      <c r="S291" s="547"/>
      <c r="T291" s="548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9">
        <v>4680115885622</v>
      </c>
      <c r="E292" s="550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59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7"/>
      <c r="R292" s="547"/>
      <c r="S292" s="547"/>
      <c r="T292" s="548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9">
        <v>4680115885608</v>
      </c>
      <c r="E293" s="550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5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7"/>
      <c r="R293" s="547"/>
      <c r="S293" s="547"/>
      <c r="T293" s="548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66"/>
      <c r="P294" s="552" t="s">
        <v>70</v>
      </c>
      <c r="Q294" s="544"/>
      <c r="R294" s="544"/>
      <c r="S294" s="544"/>
      <c r="T294" s="544"/>
      <c r="U294" s="544"/>
      <c r="V294" s="545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66"/>
      <c r="P295" s="552" t="s">
        <v>70</v>
      </c>
      <c r="Q295" s="544"/>
      <c r="R295" s="544"/>
      <c r="S295" s="544"/>
      <c r="T295" s="544"/>
      <c r="U295" s="544"/>
      <c r="V295" s="545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4" t="s">
        <v>63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9">
        <v>4607091387193</v>
      </c>
      <c r="E297" s="550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5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7"/>
      <c r="R297" s="547"/>
      <c r="S297" s="547"/>
      <c r="T297" s="548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9">
        <v>4607091387230</v>
      </c>
      <c r="E298" s="550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6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7"/>
      <c r="R298" s="547"/>
      <c r="S298" s="547"/>
      <c r="T298" s="548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9">
        <v>4607091387292</v>
      </c>
      <c r="E299" s="550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7"/>
      <c r="R299" s="547"/>
      <c r="S299" s="547"/>
      <c r="T299" s="548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9">
        <v>4607091387285</v>
      </c>
      <c r="E300" s="550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7"/>
      <c r="R300" s="547"/>
      <c r="S300" s="547"/>
      <c r="T300" s="548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9">
        <v>4607091389845</v>
      </c>
      <c r="E301" s="550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6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7"/>
      <c r="R301" s="547"/>
      <c r="S301" s="547"/>
      <c r="T301" s="548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9">
        <v>4680115882881</v>
      </c>
      <c r="E302" s="550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81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7"/>
      <c r="R302" s="547"/>
      <c r="S302" s="547"/>
      <c r="T302" s="548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9">
        <v>4607091383836</v>
      </c>
      <c r="E303" s="550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7"/>
      <c r="R303" s="547"/>
      <c r="S303" s="547"/>
      <c r="T303" s="548"/>
      <c r="U303" s="34"/>
      <c r="V303" s="34"/>
      <c r="W303" s="35" t="s">
        <v>68</v>
      </c>
      <c r="X303" s="539">
        <v>10</v>
      </c>
      <c r="Y303" s="540">
        <f t="shared" si="26"/>
        <v>10.8</v>
      </c>
      <c r="Z303" s="36">
        <f>IFERROR(IF(Y303=0,"",ROUNDUP(Y303/H303,0)*0.00651),"")</f>
        <v>3.9059999999999997E-2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11.266666666666667</v>
      </c>
      <c r="BN303" s="64">
        <f t="shared" si="28"/>
        <v>12.167999999999999</v>
      </c>
      <c r="BO303" s="64">
        <f t="shared" si="29"/>
        <v>3.0525030525030528E-2</v>
      </c>
      <c r="BP303" s="64">
        <f t="shared" si="30"/>
        <v>3.2967032967032968E-2</v>
      </c>
    </row>
    <row r="304" spans="1:68" x14ac:dyDescent="0.2">
      <c r="A304" s="565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66"/>
      <c r="P304" s="552" t="s">
        <v>70</v>
      </c>
      <c r="Q304" s="544"/>
      <c r="R304" s="544"/>
      <c r="S304" s="544"/>
      <c r="T304" s="544"/>
      <c r="U304" s="544"/>
      <c r="V304" s="545"/>
      <c r="W304" s="37" t="s">
        <v>71</v>
      </c>
      <c r="X304" s="541">
        <f>IFERROR(X297/H297,"0")+IFERROR(X298/H298,"0")+IFERROR(X299/H299,"0")+IFERROR(X300/H300,"0")+IFERROR(X301/H301,"0")+IFERROR(X302/H302,"0")+IFERROR(X303/H303,"0")</f>
        <v>5.5555555555555554</v>
      </c>
      <c r="Y304" s="541">
        <f>IFERROR(Y297/H297,"0")+IFERROR(Y298/H298,"0")+IFERROR(Y299/H299,"0")+IFERROR(Y300/H300,"0")+IFERROR(Y301/H301,"0")+IFERROR(Y302/H302,"0")+IFERROR(Y303/H303,"0")</f>
        <v>6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3.9059999999999997E-2</v>
      </c>
      <c r="AA304" s="542"/>
      <c r="AB304" s="542"/>
      <c r="AC304" s="542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66"/>
      <c r="P305" s="552" t="s">
        <v>70</v>
      </c>
      <c r="Q305" s="544"/>
      <c r="R305" s="544"/>
      <c r="S305" s="544"/>
      <c r="T305" s="544"/>
      <c r="U305" s="544"/>
      <c r="V305" s="545"/>
      <c r="W305" s="37" t="s">
        <v>68</v>
      </c>
      <c r="X305" s="541">
        <f>IFERROR(SUM(X297:X303),"0")</f>
        <v>10</v>
      </c>
      <c r="Y305" s="541">
        <f>IFERROR(SUM(Y297:Y303),"0")</f>
        <v>10.8</v>
      </c>
      <c r="Z305" s="37"/>
      <c r="AA305" s="542"/>
      <c r="AB305" s="542"/>
      <c r="AC305" s="542"/>
    </row>
    <row r="306" spans="1:68" ht="14.25" hidden="1" customHeight="1" x14ac:dyDescent="0.25">
      <c r="A306" s="554" t="s">
        <v>72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9">
        <v>4607091387766</v>
      </c>
      <c r="E307" s="550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6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7"/>
      <c r="R307" s="547"/>
      <c r="S307" s="547"/>
      <c r="T307" s="548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9">
        <v>4607091387957</v>
      </c>
      <c r="E308" s="550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7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7"/>
      <c r="R308" s="547"/>
      <c r="S308" s="547"/>
      <c r="T308" s="548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9">
        <v>4607091387964</v>
      </c>
      <c r="E309" s="550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7"/>
      <c r="R309" s="547"/>
      <c r="S309" s="547"/>
      <c r="T309" s="548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9">
        <v>4680115884588</v>
      </c>
      <c r="E310" s="550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7"/>
      <c r="R310" s="547"/>
      <c r="S310" s="547"/>
      <c r="T310" s="548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66"/>
      <c r="P311" s="552" t="s">
        <v>70</v>
      </c>
      <c r="Q311" s="544"/>
      <c r="R311" s="544"/>
      <c r="S311" s="544"/>
      <c r="T311" s="544"/>
      <c r="U311" s="544"/>
      <c r="V311" s="545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66"/>
      <c r="P312" s="552" t="s">
        <v>70</v>
      </c>
      <c r="Q312" s="544"/>
      <c r="R312" s="544"/>
      <c r="S312" s="544"/>
      <c r="T312" s="544"/>
      <c r="U312" s="544"/>
      <c r="V312" s="545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4" t="s">
        <v>162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9">
        <v>4607091380880</v>
      </c>
      <c r="E314" s="550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6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7"/>
      <c r="R314" s="547"/>
      <c r="S314" s="547"/>
      <c r="T314" s="548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9">
        <v>4607091384482</v>
      </c>
      <c r="E315" s="550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8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7"/>
      <c r="R315" s="547"/>
      <c r="S315" s="547"/>
      <c r="T315" s="548"/>
      <c r="U315" s="34"/>
      <c r="V315" s="34"/>
      <c r="W315" s="35" t="s">
        <v>68</v>
      </c>
      <c r="X315" s="539">
        <v>293</v>
      </c>
      <c r="Y315" s="540">
        <f>IFERROR(IF(X315="",0,CEILING((X315/$H315),1)*$H315),"")</f>
        <v>296.39999999999998</v>
      </c>
      <c r="Z315" s="36">
        <f>IFERROR(IF(Y315=0,"",ROUNDUP(Y315/H315,0)*0.01898),"")</f>
        <v>0.72123999999999999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311.55666666666673</v>
      </c>
      <c r="BN315" s="64">
        <f>IFERROR(Y315*I315/H315,"0")</f>
        <v>315.17199999999997</v>
      </c>
      <c r="BO315" s="64">
        <f>IFERROR(1/J315*(X315/H315),"0")</f>
        <v>0.58693910256410253</v>
      </c>
      <c r="BP315" s="64">
        <f>IFERROR(1/J315*(Y315/H315),"0")</f>
        <v>0.59375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9">
        <v>4607091380897</v>
      </c>
      <c r="E316" s="550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7"/>
      <c r="R316" s="547"/>
      <c r="S316" s="547"/>
      <c r="T316" s="548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5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66"/>
      <c r="P317" s="552" t="s">
        <v>70</v>
      </c>
      <c r="Q317" s="544"/>
      <c r="R317" s="544"/>
      <c r="S317" s="544"/>
      <c r="T317" s="544"/>
      <c r="U317" s="544"/>
      <c r="V317" s="545"/>
      <c r="W317" s="37" t="s">
        <v>71</v>
      </c>
      <c r="X317" s="541">
        <f>IFERROR(X314/H314,"0")+IFERROR(X315/H315,"0")+IFERROR(X316/H316,"0")</f>
        <v>37.564102564102562</v>
      </c>
      <c r="Y317" s="541">
        <f>IFERROR(Y314/H314,"0")+IFERROR(Y315/H315,"0")+IFERROR(Y316/H316,"0")</f>
        <v>38</v>
      </c>
      <c r="Z317" s="541">
        <f>IFERROR(IF(Z314="",0,Z314),"0")+IFERROR(IF(Z315="",0,Z315),"0")+IFERROR(IF(Z316="",0,Z316),"0")</f>
        <v>0.72123999999999999</v>
      </c>
      <c r="AA317" s="542"/>
      <c r="AB317" s="542"/>
      <c r="AC317" s="542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66"/>
      <c r="P318" s="552" t="s">
        <v>70</v>
      </c>
      <c r="Q318" s="544"/>
      <c r="R318" s="544"/>
      <c r="S318" s="544"/>
      <c r="T318" s="544"/>
      <c r="U318" s="544"/>
      <c r="V318" s="545"/>
      <c r="W318" s="37" t="s">
        <v>68</v>
      </c>
      <c r="X318" s="541">
        <f>IFERROR(SUM(X314:X316),"0")</f>
        <v>293</v>
      </c>
      <c r="Y318" s="541">
        <f>IFERROR(SUM(Y314:Y316),"0")</f>
        <v>296.39999999999998</v>
      </c>
      <c r="Z318" s="37"/>
      <c r="AA318" s="542"/>
      <c r="AB318" s="542"/>
      <c r="AC318" s="542"/>
    </row>
    <row r="319" spans="1:68" ht="14.25" hidden="1" customHeight="1" x14ac:dyDescent="0.25">
      <c r="A319" s="554" t="s">
        <v>90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9">
        <v>4607091388381</v>
      </c>
      <c r="E320" s="550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7"/>
      <c r="R320" s="547"/>
      <c r="S320" s="547"/>
      <c r="T320" s="548"/>
      <c r="U320" s="34"/>
      <c r="V320" s="34"/>
      <c r="W320" s="35" t="s">
        <v>68</v>
      </c>
      <c r="X320" s="539">
        <v>4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9">
        <v>4607091388374</v>
      </c>
      <c r="E321" s="550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6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7"/>
      <c r="R321" s="547"/>
      <c r="S321" s="547"/>
      <c r="T321" s="548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9">
        <v>4607091383102</v>
      </c>
      <c r="E322" s="550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6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7"/>
      <c r="R322" s="547"/>
      <c r="S322" s="547"/>
      <c r="T322" s="548"/>
      <c r="U322" s="34"/>
      <c r="V322" s="34"/>
      <c r="W322" s="35" t="s">
        <v>68</v>
      </c>
      <c r="X322" s="539">
        <v>17</v>
      </c>
      <c r="Y322" s="540">
        <f>IFERROR(IF(X322="",0,CEILING((X322/$H322),1)*$H322),"")</f>
        <v>17.849999999999998</v>
      </c>
      <c r="Z322" s="36">
        <f>IFERROR(IF(Y322=0,"",ROUNDUP(Y322/H322,0)*0.00651),"")</f>
        <v>4.5569999999999999E-2</v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19.700000000000003</v>
      </c>
      <c r="BN322" s="64">
        <f>IFERROR(Y322*I322/H322,"0")</f>
        <v>20.684999999999999</v>
      </c>
      <c r="BO322" s="64">
        <f>IFERROR(1/J322*(X322/H322),"0")</f>
        <v>3.6630036630036632E-2</v>
      </c>
      <c r="BP322" s="64">
        <f>IFERROR(1/J322*(Y322/H322),"0")</f>
        <v>3.8461538461538464E-2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9">
        <v>4607091388404</v>
      </c>
      <c r="E323" s="550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64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7"/>
      <c r="R323" s="547"/>
      <c r="S323" s="547"/>
      <c r="T323" s="548"/>
      <c r="U323" s="34"/>
      <c r="V323" s="34"/>
      <c r="W323" s="35" t="s">
        <v>68</v>
      </c>
      <c r="X323" s="539">
        <v>19</v>
      </c>
      <c r="Y323" s="540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21.458823529411767</v>
      </c>
      <c r="BN323" s="64">
        <f>IFERROR(Y323*I323/H323,"0")</f>
        <v>23.04</v>
      </c>
      <c r="BO323" s="64">
        <f>IFERROR(1/J323*(X323/H323),"0")</f>
        <v>4.0939452704158594E-2</v>
      </c>
      <c r="BP323" s="64">
        <f>IFERROR(1/J323*(Y323/H323),"0")</f>
        <v>4.3956043956043959E-2</v>
      </c>
    </row>
    <row r="324" spans="1:68" x14ac:dyDescent="0.2">
      <c r="A324" s="565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66"/>
      <c r="P324" s="552" t="s">
        <v>70</v>
      </c>
      <c r="Q324" s="544"/>
      <c r="R324" s="544"/>
      <c r="S324" s="544"/>
      <c r="T324" s="544"/>
      <c r="U324" s="544"/>
      <c r="V324" s="545"/>
      <c r="W324" s="37" t="s">
        <v>71</v>
      </c>
      <c r="X324" s="541">
        <f>IFERROR(X320/H320,"0")+IFERROR(X321/H321,"0")+IFERROR(X322/H322,"0")+IFERROR(X323/H323,"0")</f>
        <v>15.433436532507741</v>
      </c>
      <c r="Y324" s="541">
        <f>IFERROR(Y320/H320,"0")+IFERROR(Y321/H321,"0")+IFERROR(Y322/H322,"0")+IFERROR(Y323/H323,"0")</f>
        <v>17</v>
      </c>
      <c r="Z324" s="541">
        <f>IFERROR(IF(Z320="",0,Z320),"0")+IFERROR(IF(Z321="",0,Z321),"0")+IFERROR(IF(Z322="",0,Z322),"0")+IFERROR(IF(Z323="",0,Z323),"0")</f>
        <v>0.11569</v>
      </c>
      <c r="AA324" s="542"/>
      <c r="AB324" s="542"/>
      <c r="AC324" s="542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66"/>
      <c r="P325" s="552" t="s">
        <v>70</v>
      </c>
      <c r="Q325" s="544"/>
      <c r="R325" s="544"/>
      <c r="S325" s="544"/>
      <c r="T325" s="544"/>
      <c r="U325" s="544"/>
      <c r="V325" s="545"/>
      <c r="W325" s="37" t="s">
        <v>68</v>
      </c>
      <c r="X325" s="541">
        <f>IFERROR(SUM(X320:X323),"0")</f>
        <v>40</v>
      </c>
      <c r="Y325" s="541">
        <f>IFERROR(SUM(Y320:Y323),"0")</f>
        <v>44.33</v>
      </c>
      <c r="Z325" s="37"/>
      <c r="AA325" s="542"/>
      <c r="AB325" s="542"/>
      <c r="AC325" s="542"/>
    </row>
    <row r="326" spans="1:68" ht="14.25" hidden="1" customHeight="1" x14ac:dyDescent="0.25">
      <c r="A326" s="554" t="s">
        <v>512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9">
        <v>4680115881808</v>
      </c>
      <c r="E327" s="550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7"/>
      <c r="R327" s="547"/>
      <c r="S327" s="547"/>
      <c r="T327" s="548"/>
      <c r="U327" s="34"/>
      <c r="V327" s="34"/>
      <c r="W327" s="35" t="s">
        <v>68</v>
      </c>
      <c r="X327" s="539">
        <v>9</v>
      </c>
      <c r="Y327" s="540">
        <f>IFERROR(IF(X327="",0,CEILING((X327/$H327),1)*$H327),"")</f>
        <v>10</v>
      </c>
      <c r="Z327" s="36">
        <f>IFERROR(IF(Y327=0,"",ROUNDUP(Y327/H327,0)*0.00474),"")</f>
        <v>2.3700000000000002E-2</v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10.080000000000002</v>
      </c>
      <c r="BN327" s="64">
        <f>IFERROR(Y327*I327/H327,"0")</f>
        <v>11.200000000000001</v>
      </c>
      <c r="BO327" s="64">
        <f>IFERROR(1/J327*(X327/H327),"0")</f>
        <v>1.8907563025210083E-2</v>
      </c>
      <c r="BP327" s="64">
        <f>IFERROR(1/J327*(Y327/H327),"0")</f>
        <v>2.1008403361344536E-2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9">
        <v>4680115881822</v>
      </c>
      <c r="E328" s="550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8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7"/>
      <c r="R328" s="547"/>
      <c r="S328" s="547"/>
      <c r="T328" s="548"/>
      <c r="U328" s="34"/>
      <c r="V328" s="34"/>
      <c r="W328" s="35" t="s">
        <v>68</v>
      </c>
      <c r="X328" s="539">
        <v>8</v>
      </c>
      <c r="Y328" s="540">
        <f>IFERROR(IF(X328="",0,CEILING((X328/$H328),1)*$H328),"")</f>
        <v>8</v>
      </c>
      <c r="Z328" s="36">
        <f>IFERROR(IF(Y328=0,"",ROUNDUP(Y328/H328,0)*0.00474),"")</f>
        <v>1.8960000000000001E-2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8.9600000000000009</v>
      </c>
      <c r="BN328" s="64">
        <f>IFERROR(Y328*I328/H328,"0")</f>
        <v>8.9600000000000009</v>
      </c>
      <c r="BO328" s="64">
        <f>IFERROR(1/J328*(X328/H328),"0")</f>
        <v>1.680672268907563E-2</v>
      </c>
      <c r="BP328" s="64">
        <f>IFERROR(1/J328*(Y328/H328),"0")</f>
        <v>1.680672268907563E-2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9">
        <v>4680115880016</v>
      </c>
      <c r="E329" s="550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8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7"/>
      <c r="R329" s="547"/>
      <c r="S329" s="547"/>
      <c r="T329" s="548"/>
      <c r="U329" s="34"/>
      <c r="V329" s="34"/>
      <c r="W329" s="35" t="s">
        <v>68</v>
      </c>
      <c r="X329" s="539">
        <v>8</v>
      </c>
      <c r="Y329" s="540">
        <f>IFERROR(IF(X329="",0,CEILING((X329/$H329),1)*$H329),"")</f>
        <v>8</v>
      </c>
      <c r="Z329" s="36">
        <f>IFERROR(IF(Y329=0,"",ROUNDUP(Y329/H329,0)*0.00474),"")</f>
        <v>1.8960000000000001E-2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8.9600000000000009</v>
      </c>
      <c r="BN329" s="64">
        <f>IFERROR(Y329*I329/H329,"0")</f>
        <v>8.9600000000000009</v>
      </c>
      <c r="BO329" s="64">
        <f>IFERROR(1/J329*(X329/H329),"0")</f>
        <v>1.680672268907563E-2</v>
      </c>
      <c r="BP329" s="64">
        <f>IFERROR(1/J329*(Y329/H329),"0")</f>
        <v>1.680672268907563E-2</v>
      </c>
    </row>
    <row r="330" spans="1:68" x14ac:dyDescent="0.2">
      <c r="A330" s="565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66"/>
      <c r="P330" s="552" t="s">
        <v>70</v>
      </c>
      <c r="Q330" s="544"/>
      <c r="R330" s="544"/>
      <c r="S330" s="544"/>
      <c r="T330" s="544"/>
      <c r="U330" s="544"/>
      <c r="V330" s="545"/>
      <c r="W330" s="37" t="s">
        <v>71</v>
      </c>
      <c r="X330" s="541">
        <f>IFERROR(X327/H327,"0")+IFERROR(X328/H328,"0")+IFERROR(X329/H329,"0")</f>
        <v>12.5</v>
      </c>
      <c r="Y330" s="541">
        <f>IFERROR(Y327/H327,"0")+IFERROR(Y328/H328,"0")+IFERROR(Y329/H329,"0")</f>
        <v>13</v>
      </c>
      <c r="Z330" s="541">
        <f>IFERROR(IF(Z327="",0,Z327),"0")+IFERROR(IF(Z328="",0,Z328),"0")+IFERROR(IF(Z329="",0,Z329),"0")</f>
        <v>6.1620000000000008E-2</v>
      </c>
      <c r="AA330" s="542"/>
      <c r="AB330" s="542"/>
      <c r="AC330" s="542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66"/>
      <c r="P331" s="552" t="s">
        <v>70</v>
      </c>
      <c r="Q331" s="544"/>
      <c r="R331" s="544"/>
      <c r="S331" s="544"/>
      <c r="T331" s="544"/>
      <c r="U331" s="544"/>
      <c r="V331" s="545"/>
      <c r="W331" s="37" t="s">
        <v>68</v>
      </c>
      <c r="X331" s="541">
        <f>IFERROR(SUM(X327:X329),"0")</f>
        <v>25</v>
      </c>
      <c r="Y331" s="541">
        <f>IFERROR(SUM(Y327:Y329),"0")</f>
        <v>26</v>
      </c>
      <c r="Z331" s="37"/>
      <c r="AA331" s="542"/>
      <c r="AB331" s="542"/>
      <c r="AC331" s="542"/>
    </row>
    <row r="332" spans="1:68" ht="16.5" hidden="1" customHeight="1" x14ac:dyDescent="0.25">
      <c r="A332" s="597" t="s">
        <v>521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4"/>
      <c r="AB332" s="534"/>
      <c r="AC332" s="534"/>
    </row>
    <row r="333" spans="1:68" ht="14.25" hidden="1" customHeight="1" x14ac:dyDescent="0.25">
      <c r="A333" s="554" t="s">
        <v>72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9">
        <v>4607091387919</v>
      </c>
      <c r="E334" s="550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8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7"/>
      <c r="R334" s="547"/>
      <c r="S334" s="547"/>
      <c r="T334" s="548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9">
        <v>4680115883604</v>
      </c>
      <c r="E335" s="550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6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7"/>
      <c r="R335" s="547"/>
      <c r="S335" s="547"/>
      <c r="T335" s="548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4301051864</v>
      </c>
      <c r="D336" s="549">
        <v>4680115883567</v>
      </c>
      <c r="E336" s="550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60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7"/>
      <c r="R336" s="547"/>
      <c r="S336" s="547"/>
      <c r="T336" s="548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5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66"/>
      <c r="P337" s="552" t="s">
        <v>70</v>
      </c>
      <c r="Q337" s="544"/>
      <c r="R337" s="544"/>
      <c r="S337" s="544"/>
      <c r="T337" s="544"/>
      <c r="U337" s="544"/>
      <c r="V337" s="545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66"/>
      <c r="P338" s="552" t="s">
        <v>70</v>
      </c>
      <c r="Q338" s="544"/>
      <c r="R338" s="544"/>
      <c r="S338" s="544"/>
      <c r="T338" s="544"/>
      <c r="U338" s="544"/>
      <c r="V338" s="545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577" t="s">
        <v>531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48"/>
      <c r="AB339" s="48"/>
      <c r="AC339" s="48"/>
    </row>
    <row r="340" spans="1:68" ht="16.5" hidden="1" customHeight="1" x14ac:dyDescent="0.25">
      <c r="A340" s="597" t="s">
        <v>532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4"/>
      <c r="AB340" s="534"/>
      <c r="AC340" s="534"/>
    </row>
    <row r="341" spans="1:68" ht="14.25" hidden="1" customHeight="1" x14ac:dyDescent="0.25">
      <c r="A341" s="554" t="s">
        <v>98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5"/>
      <c r="AB341" s="535"/>
      <c r="AC341" s="535"/>
    </row>
    <row r="342" spans="1:68" ht="37.5" hidden="1" customHeight="1" x14ac:dyDescent="0.25">
      <c r="A342" s="54" t="s">
        <v>533</v>
      </c>
      <c r="B342" s="54" t="s">
        <v>534</v>
      </c>
      <c r="C342" s="31">
        <v>4301011869</v>
      </c>
      <c r="D342" s="549">
        <v>4680115884847</v>
      </c>
      <c r="E342" s="550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6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7"/>
      <c r="R342" s="547"/>
      <c r="S342" s="547"/>
      <c r="T342" s="548"/>
      <c r="U342" s="34"/>
      <c r="V342" s="34"/>
      <c r="W342" s="35" t="s">
        <v>68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9">
        <v>4680115884854</v>
      </c>
      <c r="E343" s="550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7"/>
      <c r="R343" s="547"/>
      <c r="S343" s="547"/>
      <c r="T343" s="548"/>
      <c r="U343" s="34"/>
      <c r="V343" s="34"/>
      <c r="W343" s="35" t="s">
        <v>68</v>
      </c>
      <c r="X343" s="539">
        <v>88</v>
      </c>
      <c r="Y343" s="540">
        <f t="shared" si="31"/>
        <v>90</v>
      </c>
      <c r="Z343" s="36">
        <f>IFERROR(IF(Y343=0,"",ROUNDUP(Y343/H343,0)*0.02175),"")</f>
        <v>0.1305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90.757333333333335</v>
      </c>
      <c r="BN343" s="64">
        <f t="shared" si="33"/>
        <v>92.82</v>
      </c>
      <c r="BO343" s="64">
        <f t="shared" si="34"/>
        <v>0.1222222222222222</v>
      </c>
      <c r="BP343" s="64">
        <f t="shared" si="35"/>
        <v>0.125</v>
      </c>
    </row>
    <row r="344" spans="1:68" ht="37.5" hidden="1" customHeight="1" x14ac:dyDescent="0.25">
      <c r="A344" s="54" t="s">
        <v>539</v>
      </c>
      <c r="B344" s="54" t="s">
        <v>540</v>
      </c>
      <c r="C344" s="31">
        <v>4301011867</v>
      </c>
      <c r="D344" s="549">
        <v>4680115884830</v>
      </c>
      <c r="E344" s="550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63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7"/>
      <c r="R344" s="547"/>
      <c r="S344" s="547"/>
      <c r="T344" s="548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4301012215</v>
      </c>
      <c r="D345" s="549">
        <v>4680115887046</v>
      </c>
      <c r="E345" s="550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68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7"/>
      <c r="R345" s="547"/>
      <c r="S345" s="547"/>
      <c r="T345" s="548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9">
        <v>4680115882638</v>
      </c>
      <c r="E346" s="550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6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7"/>
      <c r="R346" s="547"/>
      <c r="S346" s="547"/>
      <c r="T346" s="548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9">
        <v>4680115884922</v>
      </c>
      <c r="E347" s="550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6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7"/>
      <c r="R347" s="547"/>
      <c r="S347" s="547"/>
      <c r="T347" s="548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9">
        <v>4680115884861</v>
      </c>
      <c r="E348" s="550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6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7"/>
      <c r="R348" s="547"/>
      <c r="S348" s="547"/>
      <c r="T348" s="548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66"/>
      <c r="P349" s="552" t="s">
        <v>70</v>
      </c>
      <c r="Q349" s="544"/>
      <c r="R349" s="544"/>
      <c r="S349" s="544"/>
      <c r="T349" s="544"/>
      <c r="U349" s="544"/>
      <c r="V349" s="545"/>
      <c r="W349" s="37" t="s">
        <v>71</v>
      </c>
      <c r="X349" s="541">
        <f>IFERROR(X342/H342,"0")+IFERROR(X343/H343,"0")+IFERROR(X344/H344,"0")+IFERROR(X345/H345,"0")+IFERROR(X346/H346,"0")+IFERROR(X347/H347,"0")+IFERROR(X348/H348,"0")</f>
        <v>5.8666666666666663</v>
      </c>
      <c r="Y349" s="541">
        <f>IFERROR(Y342/H342,"0")+IFERROR(Y343/H343,"0")+IFERROR(Y344/H344,"0")+IFERROR(Y345/H345,"0")+IFERROR(Y346/H346,"0")+IFERROR(Y347/H347,"0")+IFERROR(Y348/H348,"0")</f>
        <v>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0.1305</v>
      </c>
      <c r="AA349" s="542"/>
      <c r="AB349" s="542"/>
      <c r="AC349" s="542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66"/>
      <c r="P350" s="552" t="s">
        <v>70</v>
      </c>
      <c r="Q350" s="544"/>
      <c r="R350" s="544"/>
      <c r="S350" s="544"/>
      <c r="T350" s="544"/>
      <c r="U350" s="544"/>
      <c r="V350" s="545"/>
      <c r="W350" s="37" t="s">
        <v>68</v>
      </c>
      <c r="X350" s="541">
        <f>IFERROR(SUM(X342:X348),"0")</f>
        <v>88</v>
      </c>
      <c r="Y350" s="541">
        <f>IFERROR(SUM(Y342:Y348),"0")</f>
        <v>90</v>
      </c>
      <c r="Z350" s="37"/>
      <c r="AA350" s="542"/>
      <c r="AB350" s="542"/>
      <c r="AC350" s="542"/>
    </row>
    <row r="351" spans="1:68" ht="14.25" hidden="1" customHeight="1" x14ac:dyDescent="0.25">
      <c r="A351" s="554" t="s">
        <v>134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9">
        <v>4607091383980</v>
      </c>
      <c r="E352" s="550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7"/>
      <c r="R352" s="547"/>
      <c r="S352" s="547"/>
      <c r="T352" s="548"/>
      <c r="U352" s="34"/>
      <c r="V352" s="34"/>
      <c r="W352" s="35" t="s">
        <v>68</v>
      </c>
      <c r="X352" s="539">
        <v>44</v>
      </c>
      <c r="Y352" s="540">
        <f>IFERROR(IF(X352="",0,CEILING((X352/$H352),1)*$H352),"")</f>
        <v>45</v>
      </c>
      <c r="Z352" s="36">
        <f>IFERROR(IF(Y352=0,"",ROUNDUP(Y352/H352,0)*0.02175),"")</f>
        <v>6.5250000000000002E-2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45.378666666666668</v>
      </c>
      <c r="BN352" s="64">
        <f>IFERROR(Y352*I352/H352,"0")</f>
        <v>46.41</v>
      </c>
      <c r="BO352" s="64">
        <f>IFERROR(1/J352*(X352/H352),"0")</f>
        <v>6.1111111111111102E-2</v>
      </c>
      <c r="BP352" s="64">
        <f>IFERROR(1/J352*(Y352/H352),"0")</f>
        <v>6.25E-2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9">
        <v>4607091384178</v>
      </c>
      <c r="E353" s="550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8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7"/>
      <c r="R353" s="547"/>
      <c r="S353" s="547"/>
      <c r="T353" s="548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66"/>
      <c r="P354" s="552" t="s">
        <v>70</v>
      </c>
      <c r="Q354" s="544"/>
      <c r="R354" s="544"/>
      <c r="S354" s="544"/>
      <c r="T354" s="544"/>
      <c r="U354" s="544"/>
      <c r="V354" s="545"/>
      <c r="W354" s="37" t="s">
        <v>71</v>
      </c>
      <c r="X354" s="541">
        <f>IFERROR(X352/H352,"0")+IFERROR(X353/H353,"0")</f>
        <v>2.9333333333333331</v>
      </c>
      <c r="Y354" s="541">
        <f>IFERROR(Y352/H352,"0")+IFERROR(Y353/H353,"0")</f>
        <v>3</v>
      </c>
      <c r="Z354" s="541">
        <f>IFERROR(IF(Z352="",0,Z352),"0")+IFERROR(IF(Z353="",0,Z353),"0")</f>
        <v>6.5250000000000002E-2</v>
      </c>
      <c r="AA354" s="542"/>
      <c r="AB354" s="542"/>
      <c r="AC354" s="542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66"/>
      <c r="P355" s="552" t="s">
        <v>70</v>
      </c>
      <c r="Q355" s="544"/>
      <c r="R355" s="544"/>
      <c r="S355" s="544"/>
      <c r="T355" s="544"/>
      <c r="U355" s="544"/>
      <c r="V355" s="545"/>
      <c r="W355" s="37" t="s">
        <v>68</v>
      </c>
      <c r="X355" s="541">
        <f>IFERROR(SUM(X352:X353),"0")</f>
        <v>44</v>
      </c>
      <c r="Y355" s="541">
        <f>IFERROR(SUM(Y352:Y353),"0")</f>
        <v>45</v>
      </c>
      <c r="Z355" s="37"/>
      <c r="AA355" s="542"/>
      <c r="AB355" s="542"/>
      <c r="AC355" s="542"/>
    </row>
    <row r="356" spans="1:68" ht="14.25" hidden="1" customHeight="1" x14ac:dyDescent="0.25">
      <c r="A356" s="554" t="s">
        <v>72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9">
        <v>4607091383928</v>
      </c>
      <c r="E357" s="550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6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7"/>
      <c r="R357" s="547"/>
      <c r="S357" s="547"/>
      <c r="T357" s="548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9">
        <v>4607091384260</v>
      </c>
      <c r="E358" s="550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7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7"/>
      <c r="R358" s="547"/>
      <c r="S358" s="547"/>
      <c r="T358" s="548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66"/>
      <c r="P359" s="552" t="s">
        <v>70</v>
      </c>
      <c r="Q359" s="544"/>
      <c r="R359" s="544"/>
      <c r="S359" s="544"/>
      <c r="T359" s="544"/>
      <c r="U359" s="544"/>
      <c r="V359" s="545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66"/>
      <c r="P360" s="552" t="s">
        <v>70</v>
      </c>
      <c r="Q360" s="544"/>
      <c r="R360" s="544"/>
      <c r="S360" s="544"/>
      <c r="T360" s="544"/>
      <c r="U360" s="544"/>
      <c r="V360" s="545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4" t="s">
        <v>162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5"/>
      <c r="AB361" s="535"/>
      <c r="AC361" s="535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9">
        <v>4607091384673</v>
      </c>
      <c r="E362" s="550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7"/>
      <c r="R362" s="547"/>
      <c r="S362" s="547"/>
      <c r="T362" s="548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5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66"/>
      <c r="P363" s="552" t="s">
        <v>70</v>
      </c>
      <c r="Q363" s="544"/>
      <c r="R363" s="544"/>
      <c r="S363" s="544"/>
      <c r="T363" s="544"/>
      <c r="U363" s="544"/>
      <c r="V363" s="545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66"/>
      <c r="P364" s="552" t="s">
        <v>70</v>
      </c>
      <c r="Q364" s="544"/>
      <c r="R364" s="544"/>
      <c r="S364" s="544"/>
      <c r="T364" s="544"/>
      <c r="U364" s="544"/>
      <c r="V364" s="545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97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4"/>
      <c r="AB365" s="534"/>
      <c r="AC365" s="534"/>
    </row>
    <row r="366" spans="1:68" ht="14.25" hidden="1" customHeight="1" x14ac:dyDescent="0.25">
      <c r="A366" s="554" t="s">
        <v>98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9">
        <v>4680115884885</v>
      </c>
      <c r="E367" s="550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7"/>
      <c r="R367" s="547"/>
      <c r="S367" s="547"/>
      <c r="T367" s="548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9">
        <v>4680115884908</v>
      </c>
      <c r="E368" s="550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5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7"/>
      <c r="R368" s="547"/>
      <c r="S368" s="547"/>
      <c r="T368" s="548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66"/>
      <c r="P369" s="552" t="s">
        <v>70</v>
      </c>
      <c r="Q369" s="544"/>
      <c r="R369" s="544"/>
      <c r="S369" s="544"/>
      <c r="T369" s="544"/>
      <c r="U369" s="544"/>
      <c r="V369" s="545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66"/>
      <c r="P370" s="552" t="s">
        <v>70</v>
      </c>
      <c r="Q370" s="544"/>
      <c r="R370" s="544"/>
      <c r="S370" s="544"/>
      <c r="T370" s="544"/>
      <c r="U370" s="544"/>
      <c r="V370" s="545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4" t="s">
        <v>63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9">
        <v>4607091384802</v>
      </c>
      <c r="E372" s="550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7"/>
      <c r="R372" s="547"/>
      <c r="S372" s="547"/>
      <c r="T372" s="548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9">
        <v>4607091384802</v>
      </c>
      <c r="E373" s="550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5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7"/>
      <c r="R373" s="547"/>
      <c r="S373" s="547"/>
      <c r="T373" s="548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66"/>
      <c r="P374" s="552" t="s">
        <v>70</v>
      </c>
      <c r="Q374" s="544"/>
      <c r="R374" s="544"/>
      <c r="S374" s="544"/>
      <c r="T374" s="544"/>
      <c r="U374" s="544"/>
      <c r="V374" s="545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66"/>
      <c r="P375" s="552" t="s">
        <v>70</v>
      </c>
      <c r="Q375" s="544"/>
      <c r="R375" s="544"/>
      <c r="S375" s="544"/>
      <c r="T375" s="544"/>
      <c r="U375" s="544"/>
      <c r="V375" s="545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4" t="s">
        <v>72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9">
        <v>4607091384246</v>
      </c>
      <c r="E377" s="550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7"/>
      <c r="R377" s="547"/>
      <c r="S377" s="547"/>
      <c r="T377" s="548"/>
      <c r="U377" s="34"/>
      <c r="V377" s="34"/>
      <c r="W377" s="35" t="s">
        <v>68</v>
      </c>
      <c r="X377" s="539">
        <v>616</v>
      </c>
      <c r="Y377" s="540">
        <f>IFERROR(IF(X377="",0,CEILING((X377/$H377),1)*$H377),"")</f>
        <v>621</v>
      </c>
      <c r="Z377" s="36">
        <f>IFERROR(IF(Y377=0,"",ROUNDUP(Y377/H377,0)*0.01898),"")</f>
        <v>1.30962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649.81155555555551</v>
      </c>
      <c r="BN377" s="64">
        <f>IFERROR(Y377*I377/H377,"0")</f>
        <v>655.0859999999999</v>
      </c>
      <c r="BO377" s="64">
        <f>IFERROR(1/J377*(X377/H377),"0")</f>
        <v>1.0694444444444444</v>
      </c>
      <c r="BP377" s="64">
        <f>IFERROR(1/J377*(Y377/H377),"0")</f>
        <v>1.078125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9">
        <v>4607091384253</v>
      </c>
      <c r="E378" s="550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77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7"/>
      <c r="R378" s="547"/>
      <c r="S378" s="547"/>
      <c r="T378" s="548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5"/>
      <c r="B379" s="555"/>
      <c r="C379" s="555"/>
      <c r="D379" s="555"/>
      <c r="E379" s="555"/>
      <c r="F379" s="555"/>
      <c r="G379" s="555"/>
      <c r="H379" s="555"/>
      <c r="I379" s="555"/>
      <c r="J379" s="555"/>
      <c r="K379" s="555"/>
      <c r="L379" s="555"/>
      <c r="M379" s="555"/>
      <c r="N379" s="555"/>
      <c r="O379" s="566"/>
      <c r="P379" s="552" t="s">
        <v>70</v>
      </c>
      <c r="Q379" s="544"/>
      <c r="R379" s="544"/>
      <c r="S379" s="544"/>
      <c r="T379" s="544"/>
      <c r="U379" s="544"/>
      <c r="V379" s="545"/>
      <c r="W379" s="37" t="s">
        <v>71</v>
      </c>
      <c r="X379" s="541">
        <f>IFERROR(X377/H377,"0")+IFERROR(X378/H378,"0")</f>
        <v>68.444444444444443</v>
      </c>
      <c r="Y379" s="541">
        <f>IFERROR(Y377/H377,"0")+IFERROR(Y378/H378,"0")</f>
        <v>69</v>
      </c>
      <c r="Z379" s="541">
        <f>IFERROR(IF(Z377="",0,Z377),"0")+IFERROR(IF(Z378="",0,Z378),"0")</f>
        <v>1.30962</v>
      </c>
      <c r="AA379" s="542"/>
      <c r="AB379" s="542"/>
      <c r="AC379" s="542"/>
    </row>
    <row r="380" spans="1:68" x14ac:dyDescent="0.2">
      <c r="A380" s="555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66"/>
      <c r="P380" s="552" t="s">
        <v>70</v>
      </c>
      <c r="Q380" s="544"/>
      <c r="R380" s="544"/>
      <c r="S380" s="544"/>
      <c r="T380" s="544"/>
      <c r="U380" s="544"/>
      <c r="V380" s="545"/>
      <c r="W380" s="37" t="s">
        <v>68</v>
      </c>
      <c r="X380" s="541">
        <f>IFERROR(SUM(X377:X378),"0")</f>
        <v>616</v>
      </c>
      <c r="Y380" s="541">
        <f>IFERROR(SUM(Y377:Y378),"0")</f>
        <v>621</v>
      </c>
      <c r="Z380" s="37"/>
      <c r="AA380" s="542"/>
      <c r="AB380" s="542"/>
      <c r="AC380" s="542"/>
    </row>
    <row r="381" spans="1:68" ht="27.75" hidden="1" customHeight="1" x14ac:dyDescent="0.2">
      <c r="A381" s="577" t="s">
        <v>582</v>
      </c>
      <c r="B381" s="578"/>
      <c r="C381" s="578"/>
      <c r="D381" s="578"/>
      <c r="E381" s="578"/>
      <c r="F381" s="578"/>
      <c r="G381" s="578"/>
      <c r="H381" s="578"/>
      <c r="I381" s="578"/>
      <c r="J381" s="578"/>
      <c r="K381" s="578"/>
      <c r="L381" s="578"/>
      <c r="M381" s="578"/>
      <c r="N381" s="578"/>
      <c r="O381" s="578"/>
      <c r="P381" s="578"/>
      <c r="Q381" s="578"/>
      <c r="R381" s="578"/>
      <c r="S381" s="578"/>
      <c r="T381" s="578"/>
      <c r="U381" s="578"/>
      <c r="V381" s="578"/>
      <c r="W381" s="578"/>
      <c r="X381" s="578"/>
      <c r="Y381" s="578"/>
      <c r="Z381" s="578"/>
      <c r="AA381" s="48"/>
      <c r="AB381" s="48"/>
      <c r="AC381" s="48"/>
    </row>
    <row r="382" spans="1:68" ht="16.5" hidden="1" customHeight="1" x14ac:dyDescent="0.25">
      <c r="A382" s="597" t="s">
        <v>583</v>
      </c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5"/>
      <c r="P382" s="555"/>
      <c r="Q382" s="555"/>
      <c r="R382" s="555"/>
      <c r="S382" s="555"/>
      <c r="T382" s="555"/>
      <c r="U382" s="555"/>
      <c r="V382" s="555"/>
      <c r="W382" s="555"/>
      <c r="X382" s="555"/>
      <c r="Y382" s="555"/>
      <c r="Z382" s="555"/>
      <c r="AA382" s="534"/>
      <c r="AB382" s="534"/>
      <c r="AC382" s="534"/>
    </row>
    <row r="383" spans="1:68" ht="14.25" hidden="1" customHeight="1" x14ac:dyDescent="0.25">
      <c r="A383" s="554" t="s">
        <v>63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9">
        <v>4680115886100</v>
      </c>
      <c r="E384" s="550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7"/>
      <c r="R384" s="547"/>
      <c r="S384" s="547"/>
      <c r="T384" s="548"/>
      <c r="U384" s="34"/>
      <c r="V384" s="34"/>
      <c r="W384" s="35" t="s">
        <v>68</v>
      </c>
      <c r="X384" s="539">
        <v>7</v>
      </c>
      <c r="Y384" s="540">
        <f t="shared" ref="Y384:Y392" si="36">IFERROR(IF(X384="",0,CEILING((X384/$H384),1)*$H384),"")</f>
        <v>10.8</v>
      </c>
      <c r="Z384" s="36">
        <f>IFERROR(IF(Y384=0,"",ROUNDUP(Y384/H384,0)*0.00902),"")</f>
        <v>1.804E-2</v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7.2462962962962951</v>
      </c>
      <c r="BN384" s="64">
        <f t="shared" ref="BN384:BN392" si="38">IFERROR(Y384*I384/H384,"0")</f>
        <v>11.18</v>
      </c>
      <c r="BO384" s="64">
        <f t="shared" ref="BO384:BO392" si="39">IFERROR(1/J384*(X384/H384),"0")</f>
        <v>9.8204264870931542E-3</v>
      </c>
      <c r="BP384" s="64">
        <f t="shared" ref="BP384:BP392" si="40">IFERROR(1/J384*(Y384/H384),"0")</f>
        <v>1.5151515151515152E-2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9">
        <v>4680115886117</v>
      </c>
      <c r="E385" s="550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7"/>
      <c r="R385" s="547"/>
      <c r="S385" s="547"/>
      <c r="T385" s="548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9">
        <v>4680115886124</v>
      </c>
      <c r="E386" s="550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8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7"/>
      <c r="R386" s="547"/>
      <c r="S386" s="547"/>
      <c r="T386" s="548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9">
        <v>4680115883147</v>
      </c>
      <c r="E387" s="550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4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7"/>
      <c r="R387" s="547"/>
      <c r="S387" s="547"/>
      <c r="T387" s="548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9">
        <v>4607091384338</v>
      </c>
      <c r="E388" s="550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6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7"/>
      <c r="R388" s="547"/>
      <c r="S388" s="547"/>
      <c r="T388" s="548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9">
        <v>4607091389524</v>
      </c>
      <c r="E389" s="550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85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7"/>
      <c r="R389" s="547"/>
      <c r="S389" s="547"/>
      <c r="T389" s="548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9">
        <v>4680115883161</v>
      </c>
      <c r="E390" s="550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7"/>
      <c r="R390" s="547"/>
      <c r="S390" s="547"/>
      <c r="T390" s="548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9">
        <v>4607091389531</v>
      </c>
      <c r="E391" s="550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8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7"/>
      <c r="R391" s="547"/>
      <c r="S391" s="547"/>
      <c r="T391" s="548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9">
        <v>4607091384345</v>
      </c>
      <c r="E392" s="550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85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7"/>
      <c r="R392" s="547"/>
      <c r="S392" s="547"/>
      <c r="T392" s="548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5"/>
      <c r="B393" s="555"/>
      <c r="C393" s="555"/>
      <c r="D393" s="555"/>
      <c r="E393" s="555"/>
      <c r="F393" s="555"/>
      <c r="G393" s="555"/>
      <c r="H393" s="555"/>
      <c r="I393" s="555"/>
      <c r="J393" s="555"/>
      <c r="K393" s="555"/>
      <c r="L393" s="555"/>
      <c r="M393" s="555"/>
      <c r="N393" s="555"/>
      <c r="O393" s="566"/>
      <c r="P393" s="552" t="s">
        <v>70</v>
      </c>
      <c r="Q393" s="544"/>
      <c r="R393" s="544"/>
      <c r="S393" s="544"/>
      <c r="T393" s="544"/>
      <c r="U393" s="544"/>
      <c r="V393" s="545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1.2962962962962963</v>
      </c>
      <c r="Y393" s="541">
        <f>IFERROR(Y384/H384,"0")+IFERROR(Y385/H385,"0")+IFERROR(Y386/H386,"0")+IFERROR(Y387/H387,"0")+IFERROR(Y388/H388,"0")+IFERROR(Y389/H389,"0")+IFERROR(Y390/H390,"0")+IFERROR(Y391/H391,"0")+IFERROR(Y392/H392,"0")</f>
        <v>2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1.804E-2</v>
      </c>
      <c r="AA393" s="542"/>
      <c r="AB393" s="542"/>
      <c r="AC393" s="542"/>
    </row>
    <row r="394" spans="1:68" x14ac:dyDescent="0.2">
      <c r="A394" s="555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66"/>
      <c r="P394" s="552" t="s">
        <v>70</v>
      </c>
      <c r="Q394" s="544"/>
      <c r="R394" s="544"/>
      <c r="S394" s="544"/>
      <c r="T394" s="544"/>
      <c r="U394" s="544"/>
      <c r="V394" s="545"/>
      <c r="W394" s="37" t="s">
        <v>68</v>
      </c>
      <c r="X394" s="541">
        <f>IFERROR(SUM(X384:X392),"0")</f>
        <v>7</v>
      </c>
      <c r="Y394" s="541">
        <f>IFERROR(SUM(Y384:Y392),"0")</f>
        <v>10.8</v>
      </c>
      <c r="Z394" s="37"/>
      <c r="AA394" s="542"/>
      <c r="AB394" s="542"/>
      <c r="AC394" s="542"/>
    </row>
    <row r="395" spans="1:68" ht="14.25" hidden="1" customHeight="1" x14ac:dyDescent="0.25">
      <c r="A395" s="554" t="s">
        <v>72</v>
      </c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5"/>
      <c r="P395" s="555"/>
      <c r="Q395" s="555"/>
      <c r="R395" s="555"/>
      <c r="S395" s="555"/>
      <c r="T395" s="555"/>
      <c r="U395" s="555"/>
      <c r="V395" s="555"/>
      <c r="W395" s="555"/>
      <c r="X395" s="555"/>
      <c r="Y395" s="555"/>
      <c r="Z395" s="555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9">
        <v>4607091384352</v>
      </c>
      <c r="E396" s="550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6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7"/>
      <c r="R396" s="547"/>
      <c r="S396" s="547"/>
      <c r="T396" s="548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9">
        <v>4607091389654</v>
      </c>
      <c r="E397" s="550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74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7"/>
      <c r="R397" s="547"/>
      <c r="S397" s="547"/>
      <c r="T397" s="548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5"/>
      <c r="C398" s="555"/>
      <c r="D398" s="555"/>
      <c r="E398" s="555"/>
      <c r="F398" s="555"/>
      <c r="G398" s="555"/>
      <c r="H398" s="555"/>
      <c r="I398" s="555"/>
      <c r="J398" s="555"/>
      <c r="K398" s="555"/>
      <c r="L398" s="555"/>
      <c r="M398" s="555"/>
      <c r="N398" s="555"/>
      <c r="O398" s="566"/>
      <c r="P398" s="552" t="s">
        <v>70</v>
      </c>
      <c r="Q398" s="544"/>
      <c r="R398" s="544"/>
      <c r="S398" s="544"/>
      <c r="T398" s="544"/>
      <c r="U398" s="544"/>
      <c r="V398" s="545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5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66"/>
      <c r="P399" s="552" t="s">
        <v>70</v>
      </c>
      <c r="Q399" s="544"/>
      <c r="R399" s="544"/>
      <c r="S399" s="544"/>
      <c r="T399" s="544"/>
      <c r="U399" s="544"/>
      <c r="V399" s="545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97" t="s">
        <v>614</v>
      </c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5"/>
      <c r="P400" s="555"/>
      <c r="Q400" s="555"/>
      <c r="R400" s="555"/>
      <c r="S400" s="555"/>
      <c r="T400" s="555"/>
      <c r="U400" s="555"/>
      <c r="V400" s="555"/>
      <c r="W400" s="555"/>
      <c r="X400" s="555"/>
      <c r="Y400" s="555"/>
      <c r="Z400" s="555"/>
      <c r="AA400" s="534"/>
      <c r="AB400" s="534"/>
      <c r="AC400" s="534"/>
    </row>
    <row r="401" spans="1:68" ht="14.25" hidden="1" customHeight="1" x14ac:dyDescent="0.25">
      <c r="A401" s="554" t="s">
        <v>134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9">
        <v>4680115885240</v>
      </c>
      <c r="E402" s="550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8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7"/>
      <c r="R402" s="547"/>
      <c r="S402" s="547"/>
      <c r="T402" s="548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66"/>
      <c r="P403" s="552" t="s">
        <v>70</v>
      </c>
      <c r="Q403" s="544"/>
      <c r="R403" s="544"/>
      <c r="S403" s="544"/>
      <c r="T403" s="544"/>
      <c r="U403" s="544"/>
      <c r="V403" s="545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5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66"/>
      <c r="P404" s="552" t="s">
        <v>70</v>
      </c>
      <c r="Q404" s="544"/>
      <c r="R404" s="544"/>
      <c r="S404" s="544"/>
      <c r="T404" s="544"/>
      <c r="U404" s="544"/>
      <c r="V404" s="545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4" t="s">
        <v>63</v>
      </c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5"/>
      <c r="P405" s="555"/>
      <c r="Q405" s="555"/>
      <c r="R405" s="555"/>
      <c r="S405" s="555"/>
      <c r="T405" s="555"/>
      <c r="U405" s="555"/>
      <c r="V405" s="555"/>
      <c r="W405" s="555"/>
      <c r="X405" s="555"/>
      <c r="Y405" s="555"/>
      <c r="Z405" s="555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9">
        <v>4680115886094</v>
      </c>
      <c r="E406" s="550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7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7"/>
      <c r="R406" s="547"/>
      <c r="S406" s="547"/>
      <c r="T406" s="548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9">
        <v>4607091389425</v>
      </c>
      <c r="E407" s="550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80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7"/>
      <c r="R407" s="547"/>
      <c r="S407" s="547"/>
      <c r="T407" s="548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9">
        <v>4680115880771</v>
      </c>
      <c r="E408" s="550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7"/>
      <c r="R408" s="547"/>
      <c r="S408" s="547"/>
      <c r="T408" s="548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9">
        <v>4607091389500</v>
      </c>
      <c r="E409" s="550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7"/>
      <c r="R409" s="547"/>
      <c r="S409" s="547"/>
      <c r="T409" s="548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5"/>
      <c r="C410" s="555"/>
      <c r="D410" s="555"/>
      <c r="E410" s="555"/>
      <c r="F410" s="555"/>
      <c r="G410" s="555"/>
      <c r="H410" s="555"/>
      <c r="I410" s="555"/>
      <c r="J410" s="555"/>
      <c r="K410" s="555"/>
      <c r="L410" s="555"/>
      <c r="M410" s="555"/>
      <c r="N410" s="555"/>
      <c r="O410" s="566"/>
      <c r="P410" s="552" t="s">
        <v>70</v>
      </c>
      <c r="Q410" s="544"/>
      <c r="R410" s="544"/>
      <c r="S410" s="544"/>
      <c r="T410" s="544"/>
      <c r="U410" s="544"/>
      <c r="V410" s="545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5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66"/>
      <c r="P411" s="552" t="s">
        <v>70</v>
      </c>
      <c r="Q411" s="544"/>
      <c r="R411" s="544"/>
      <c r="S411" s="544"/>
      <c r="T411" s="544"/>
      <c r="U411" s="544"/>
      <c r="V411" s="545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97" t="s">
        <v>629</v>
      </c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5"/>
      <c r="P412" s="555"/>
      <c r="Q412" s="555"/>
      <c r="R412" s="555"/>
      <c r="S412" s="555"/>
      <c r="T412" s="555"/>
      <c r="U412" s="555"/>
      <c r="V412" s="555"/>
      <c r="W412" s="555"/>
      <c r="X412" s="555"/>
      <c r="Y412" s="555"/>
      <c r="Z412" s="555"/>
      <c r="AA412" s="534"/>
      <c r="AB412" s="534"/>
      <c r="AC412" s="534"/>
    </row>
    <row r="413" spans="1:68" ht="14.25" hidden="1" customHeight="1" x14ac:dyDescent="0.25">
      <c r="A413" s="554" t="s">
        <v>63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9">
        <v>4680115885110</v>
      </c>
      <c r="E414" s="550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79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7"/>
      <c r="R414" s="547"/>
      <c r="S414" s="547"/>
      <c r="T414" s="548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66"/>
      <c r="P415" s="552" t="s">
        <v>70</v>
      </c>
      <c r="Q415" s="544"/>
      <c r="R415" s="544"/>
      <c r="S415" s="544"/>
      <c r="T415" s="544"/>
      <c r="U415" s="544"/>
      <c r="V415" s="545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5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66"/>
      <c r="P416" s="552" t="s">
        <v>70</v>
      </c>
      <c r="Q416" s="544"/>
      <c r="R416" s="544"/>
      <c r="S416" s="544"/>
      <c r="T416" s="544"/>
      <c r="U416" s="544"/>
      <c r="V416" s="545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577" t="s">
        <v>633</v>
      </c>
      <c r="B417" s="578"/>
      <c r="C417" s="578"/>
      <c r="D417" s="578"/>
      <c r="E417" s="578"/>
      <c r="F417" s="578"/>
      <c r="G417" s="578"/>
      <c r="H417" s="578"/>
      <c r="I417" s="578"/>
      <c r="J417" s="578"/>
      <c r="K417" s="578"/>
      <c r="L417" s="578"/>
      <c r="M417" s="578"/>
      <c r="N417" s="578"/>
      <c r="O417" s="578"/>
      <c r="P417" s="578"/>
      <c r="Q417" s="578"/>
      <c r="R417" s="578"/>
      <c r="S417" s="578"/>
      <c r="T417" s="578"/>
      <c r="U417" s="578"/>
      <c r="V417" s="578"/>
      <c r="W417" s="578"/>
      <c r="X417" s="578"/>
      <c r="Y417" s="578"/>
      <c r="Z417" s="578"/>
      <c r="AA417" s="48"/>
      <c r="AB417" s="48"/>
      <c r="AC417" s="48"/>
    </row>
    <row r="418" spans="1:68" ht="16.5" hidden="1" customHeight="1" x14ac:dyDescent="0.25">
      <c r="A418" s="597" t="s">
        <v>633</v>
      </c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5"/>
      <c r="P418" s="555"/>
      <c r="Q418" s="555"/>
      <c r="R418" s="555"/>
      <c r="S418" s="555"/>
      <c r="T418" s="555"/>
      <c r="U418" s="555"/>
      <c r="V418" s="555"/>
      <c r="W418" s="555"/>
      <c r="X418" s="555"/>
      <c r="Y418" s="555"/>
      <c r="Z418" s="555"/>
      <c r="AA418" s="534"/>
      <c r="AB418" s="534"/>
      <c r="AC418" s="534"/>
    </row>
    <row r="419" spans="1:68" ht="14.25" hidden="1" customHeight="1" x14ac:dyDescent="0.25">
      <c r="A419" s="554" t="s">
        <v>98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49">
        <v>4607091389067</v>
      </c>
      <c r="E420" s="550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56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7"/>
      <c r="R420" s="547"/>
      <c r="S420" s="547"/>
      <c r="T420" s="548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9">
        <v>4607091383522</v>
      </c>
      <c r="E421" s="550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6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7"/>
      <c r="R421" s="547"/>
      <c r="S421" s="547"/>
      <c r="T421" s="548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9">
        <v>4680115885271</v>
      </c>
      <c r="E422" s="550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7"/>
      <c r="R422" s="547"/>
      <c r="S422" s="547"/>
      <c r="T422" s="548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9">
        <v>4680115885226</v>
      </c>
      <c r="E423" s="550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7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7"/>
      <c r="R423" s="547"/>
      <c r="S423" s="547"/>
      <c r="T423" s="548"/>
      <c r="U423" s="34"/>
      <c r="V423" s="34"/>
      <c r="W423" s="35" t="s">
        <v>68</v>
      </c>
      <c r="X423" s="539">
        <v>262</v>
      </c>
      <c r="Y423" s="540">
        <f t="shared" si="42"/>
        <v>264</v>
      </c>
      <c r="Z423" s="36">
        <f t="shared" si="43"/>
        <v>0.59799999999999998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279.36742424242419</v>
      </c>
      <c r="BN423" s="64">
        <f t="shared" si="45"/>
        <v>281.5</v>
      </c>
      <c r="BO423" s="64">
        <f t="shared" si="46"/>
        <v>0.47712703962703962</v>
      </c>
      <c r="BP423" s="64">
        <f t="shared" si="47"/>
        <v>0.48076923076923078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9">
        <v>4680115884502</v>
      </c>
      <c r="E424" s="550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7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7"/>
      <c r="R424" s="547"/>
      <c r="S424" s="547"/>
      <c r="T424" s="548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9">
        <v>4607091389104</v>
      </c>
      <c r="E425" s="550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4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7"/>
      <c r="R425" s="547"/>
      <c r="S425" s="547"/>
      <c r="T425" s="548"/>
      <c r="U425" s="34"/>
      <c r="V425" s="34"/>
      <c r="W425" s="35" t="s">
        <v>68</v>
      </c>
      <c r="X425" s="539">
        <v>81</v>
      </c>
      <c r="Y425" s="540">
        <f t="shared" si="42"/>
        <v>84.48</v>
      </c>
      <c r="Z425" s="36">
        <f t="shared" si="43"/>
        <v>0.19136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86.369318181818173</v>
      </c>
      <c r="BN425" s="64">
        <f t="shared" si="45"/>
        <v>90.08</v>
      </c>
      <c r="BO425" s="64">
        <f t="shared" si="46"/>
        <v>0.14750874125874125</v>
      </c>
      <c r="BP425" s="64">
        <f t="shared" si="47"/>
        <v>0.15384615384615385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9">
        <v>4680115886391</v>
      </c>
      <c r="E426" s="550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7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7"/>
      <c r="R426" s="547"/>
      <c r="S426" s="547"/>
      <c r="T426" s="548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9">
        <v>4680115880603</v>
      </c>
      <c r="E427" s="550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8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7"/>
      <c r="R427" s="547"/>
      <c r="S427" s="547"/>
      <c r="T427" s="548"/>
      <c r="U427" s="34"/>
      <c r="V427" s="34"/>
      <c r="W427" s="35" t="s">
        <v>68</v>
      </c>
      <c r="X427" s="539">
        <v>94</v>
      </c>
      <c r="Y427" s="540">
        <f t="shared" si="42"/>
        <v>96</v>
      </c>
      <c r="Z427" s="36">
        <f>IFERROR(IF(Y427=0,"",ROUNDUP(Y427/H427,0)*0.00902),"")</f>
        <v>0.1804</v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135.32083333333333</v>
      </c>
      <c r="BN427" s="64">
        <f t="shared" si="45"/>
        <v>138.20000000000002</v>
      </c>
      <c r="BO427" s="64">
        <f t="shared" si="46"/>
        <v>0.14835858585858588</v>
      </c>
      <c r="BP427" s="64">
        <f t="shared" si="47"/>
        <v>0.15151515151515152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9">
        <v>4680115882782</v>
      </c>
      <c r="E428" s="550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78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7"/>
      <c r="R428" s="547"/>
      <c r="S428" s="547"/>
      <c r="T428" s="548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9">
        <v>4680115885479</v>
      </c>
      <c r="E429" s="550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7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7"/>
      <c r="R429" s="547"/>
      <c r="S429" s="547"/>
      <c r="T429" s="548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9">
        <v>4607091389982</v>
      </c>
      <c r="E430" s="550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6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7"/>
      <c r="R430" s="547"/>
      <c r="S430" s="547"/>
      <c r="T430" s="548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5"/>
      <c r="C431" s="555"/>
      <c r="D431" s="555"/>
      <c r="E431" s="555"/>
      <c r="F431" s="555"/>
      <c r="G431" s="555"/>
      <c r="H431" s="555"/>
      <c r="I431" s="555"/>
      <c r="J431" s="555"/>
      <c r="K431" s="555"/>
      <c r="L431" s="555"/>
      <c r="M431" s="555"/>
      <c r="N431" s="555"/>
      <c r="O431" s="566"/>
      <c r="P431" s="552" t="s">
        <v>70</v>
      </c>
      <c r="Q431" s="544"/>
      <c r="R431" s="544"/>
      <c r="S431" s="544"/>
      <c r="T431" s="544"/>
      <c r="U431" s="544"/>
      <c r="V431" s="545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84.545454545454533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86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0.96975999999999996</v>
      </c>
      <c r="AA431" s="542"/>
      <c r="AB431" s="542"/>
      <c r="AC431" s="542"/>
    </row>
    <row r="432" spans="1:68" x14ac:dyDescent="0.2">
      <c r="A432" s="555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66"/>
      <c r="P432" s="552" t="s">
        <v>70</v>
      </c>
      <c r="Q432" s="544"/>
      <c r="R432" s="544"/>
      <c r="S432" s="544"/>
      <c r="T432" s="544"/>
      <c r="U432" s="544"/>
      <c r="V432" s="545"/>
      <c r="W432" s="37" t="s">
        <v>68</v>
      </c>
      <c r="X432" s="541">
        <f>IFERROR(SUM(X420:X430),"0")</f>
        <v>437</v>
      </c>
      <c r="Y432" s="541">
        <f>IFERROR(SUM(Y420:Y430),"0")</f>
        <v>444.48</v>
      </c>
      <c r="Z432" s="37"/>
      <c r="AA432" s="542"/>
      <c r="AB432" s="542"/>
      <c r="AC432" s="542"/>
    </row>
    <row r="433" spans="1:68" ht="14.25" hidden="1" customHeight="1" x14ac:dyDescent="0.25">
      <c r="A433" s="554" t="s">
        <v>134</v>
      </c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5"/>
      <c r="P433" s="555"/>
      <c r="Q433" s="555"/>
      <c r="R433" s="555"/>
      <c r="S433" s="555"/>
      <c r="T433" s="555"/>
      <c r="U433" s="555"/>
      <c r="V433" s="555"/>
      <c r="W433" s="555"/>
      <c r="X433" s="555"/>
      <c r="Y433" s="555"/>
      <c r="Z433" s="555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9">
        <v>4607091388930</v>
      </c>
      <c r="E434" s="550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5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7"/>
      <c r="R434" s="547"/>
      <c r="S434" s="547"/>
      <c r="T434" s="548"/>
      <c r="U434" s="34"/>
      <c r="V434" s="34"/>
      <c r="W434" s="35" t="s">
        <v>68</v>
      </c>
      <c r="X434" s="539">
        <v>245</v>
      </c>
      <c r="Y434" s="540">
        <f>IFERROR(IF(X434="",0,CEILING((X434/$H434),1)*$H434),"")</f>
        <v>248.16000000000003</v>
      </c>
      <c r="Z434" s="36">
        <f>IFERROR(IF(Y434=0,"",ROUNDUP(Y434/H434,0)*0.01196),"")</f>
        <v>0.56211999999999995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261.24053030303025</v>
      </c>
      <c r="BN434" s="64">
        <f>IFERROR(Y434*I434/H434,"0")</f>
        <v>264.61</v>
      </c>
      <c r="BO434" s="64">
        <f>IFERROR(1/J434*(X434/H434),"0")</f>
        <v>0.44616841491841491</v>
      </c>
      <c r="BP434" s="64">
        <f>IFERROR(1/J434*(Y434/H434),"0")</f>
        <v>0.45192307692307693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9">
        <v>4680115886407</v>
      </c>
      <c r="E435" s="550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5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7"/>
      <c r="R435" s="547"/>
      <c r="S435" s="547"/>
      <c r="T435" s="548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9">
        <v>4680115880054</v>
      </c>
      <c r="E436" s="550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7"/>
      <c r="R436" s="547"/>
      <c r="S436" s="547"/>
      <c r="T436" s="548"/>
      <c r="U436" s="34"/>
      <c r="V436" s="34"/>
      <c r="W436" s="35" t="s">
        <v>68</v>
      </c>
      <c r="X436" s="539">
        <v>69</v>
      </c>
      <c r="Y436" s="540">
        <f>IFERROR(IF(X436="",0,CEILING((X436/$H436),1)*$H436),"")</f>
        <v>72</v>
      </c>
      <c r="Z436" s="36">
        <f>IFERROR(IF(Y436=0,"",ROUNDUP(Y436/H436,0)*0.00902),"")</f>
        <v>0.1353</v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99.331250000000011</v>
      </c>
      <c r="BN436" s="64">
        <f>IFERROR(Y436*I436/H436,"0")</f>
        <v>103.65</v>
      </c>
      <c r="BO436" s="64">
        <f>IFERROR(1/J436*(X436/H436),"0")</f>
        <v>0.10890151515151515</v>
      </c>
      <c r="BP436" s="64">
        <f>IFERROR(1/J436*(Y436/H436),"0")</f>
        <v>0.11363636363636365</v>
      </c>
    </row>
    <row r="437" spans="1:68" x14ac:dyDescent="0.2">
      <c r="A437" s="565"/>
      <c r="B437" s="555"/>
      <c r="C437" s="555"/>
      <c r="D437" s="555"/>
      <c r="E437" s="555"/>
      <c r="F437" s="555"/>
      <c r="G437" s="555"/>
      <c r="H437" s="555"/>
      <c r="I437" s="555"/>
      <c r="J437" s="555"/>
      <c r="K437" s="555"/>
      <c r="L437" s="555"/>
      <c r="M437" s="555"/>
      <c r="N437" s="555"/>
      <c r="O437" s="566"/>
      <c r="P437" s="552" t="s">
        <v>70</v>
      </c>
      <c r="Q437" s="544"/>
      <c r="R437" s="544"/>
      <c r="S437" s="544"/>
      <c r="T437" s="544"/>
      <c r="U437" s="544"/>
      <c r="V437" s="545"/>
      <c r="W437" s="37" t="s">
        <v>71</v>
      </c>
      <c r="X437" s="541">
        <f>IFERROR(X434/H434,"0")+IFERROR(X435/H435,"0")+IFERROR(X436/H436,"0")</f>
        <v>60.776515151515149</v>
      </c>
      <c r="Y437" s="541">
        <f>IFERROR(Y434/H434,"0")+IFERROR(Y435/H435,"0")+IFERROR(Y436/H436,"0")</f>
        <v>62</v>
      </c>
      <c r="Z437" s="541">
        <f>IFERROR(IF(Z434="",0,Z434),"0")+IFERROR(IF(Z435="",0,Z435),"0")+IFERROR(IF(Z436="",0,Z436),"0")</f>
        <v>0.69741999999999993</v>
      </c>
      <c r="AA437" s="542"/>
      <c r="AB437" s="542"/>
      <c r="AC437" s="542"/>
    </row>
    <row r="438" spans="1:68" x14ac:dyDescent="0.2">
      <c r="A438" s="555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66"/>
      <c r="P438" s="552" t="s">
        <v>70</v>
      </c>
      <c r="Q438" s="544"/>
      <c r="R438" s="544"/>
      <c r="S438" s="544"/>
      <c r="T438" s="544"/>
      <c r="U438" s="544"/>
      <c r="V438" s="545"/>
      <c r="W438" s="37" t="s">
        <v>68</v>
      </c>
      <c r="X438" s="541">
        <f>IFERROR(SUM(X434:X436),"0")</f>
        <v>314</v>
      </c>
      <c r="Y438" s="541">
        <f>IFERROR(SUM(Y434:Y436),"0")</f>
        <v>320.16000000000003</v>
      </c>
      <c r="Z438" s="37"/>
      <c r="AA438" s="542"/>
      <c r="AB438" s="542"/>
      <c r="AC438" s="542"/>
    </row>
    <row r="439" spans="1:68" ht="14.25" hidden="1" customHeight="1" x14ac:dyDescent="0.25">
      <c r="A439" s="554" t="s">
        <v>63</v>
      </c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5"/>
      <c r="P439" s="555"/>
      <c r="Q439" s="555"/>
      <c r="R439" s="555"/>
      <c r="S439" s="555"/>
      <c r="T439" s="555"/>
      <c r="U439" s="555"/>
      <c r="V439" s="555"/>
      <c r="W439" s="555"/>
      <c r="X439" s="555"/>
      <c r="Y439" s="555"/>
      <c r="Z439" s="555"/>
      <c r="AA439" s="535"/>
      <c r="AB439" s="535"/>
      <c r="AC439" s="535"/>
    </row>
    <row r="440" spans="1:68" ht="27" hidden="1" customHeight="1" x14ac:dyDescent="0.25">
      <c r="A440" s="54" t="s">
        <v>669</v>
      </c>
      <c r="B440" s="54" t="s">
        <v>670</v>
      </c>
      <c r="C440" s="31">
        <v>4301031349</v>
      </c>
      <c r="D440" s="549">
        <v>4680115883116</v>
      </c>
      <c r="E440" s="550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7"/>
      <c r="R440" s="547"/>
      <c r="S440" s="547"/>
      <c r="T440" s="548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9">
        <v>4680115883093</v>
      </c>
      <c r="E441" s="550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7"/>
      <c r="R441" s="547"/>
      <c r="S441" s="547"/>
      <c r="T441" s="548"/>
      <c r="U441" s="34"/>
      <c r="V441" s="34"/>
      <c r="W441" s="35" t="s">
        <v>68</v>
      </c>
      <c r="X441" s="539">
        <v>122</v>
      </c>
      <c r="Y441" s="540">
        <f t="shared" si="48"/>
        <v>126.72</v>
      </c>
      <c r="Z441" s="36">
        <f>IFERROR(IF(Y441=0,"",ROUNDUP(Y441/H441,0)*0.01196),"")</f>
        <v>0.28704000000000002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130.08712121212122</v>
      </c>
      <c r="BN441" s="64">
        <f t="shared" si="50"/>
        <v>135.11999999999998</v>
      </c>
      <c r="BO441" s="64">
        <f t="shared" si="51"/>
        <v>0.22217365967365968</v>
      </c>
      <c r="BP441" s="64">
        <f t="shared" si="52"/>
        <v>0.23076923076923078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9">
        <v>4680115883109</v>
      </c>
      <c r="E442" s="550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7"/>
      <c r="R442" s="547"/>
      <c r="S442" s="547"/>
      <c r="T442" s="548"/>
      <c r="U442" s="34"/>
      <c r="V442" s="34"/>
      <c r="W442" s="35" t="s">
        <v>68</v>
      </c>
      <c r="X442" s="539">
        <v>134</v>
      </c>
      <c r="Y442" s="540">
        <f t="shared" si="48"/>
        <v>137.28</v>
      </c>
      <c r="Z442" s="36">
        <f>IFERROR(IF(Y442=0,"",ROUNDUP(Y442/H442,0)*0.01196),"")</f>
        <v>0.31096000000000001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142.88257575757575</v>
      </c>
      <c r="BN442" s="64">
        <f t="shared" si="50"/>
        <v>146.38</v>
      </c>
      <c r="BO442" s="64">
        <f t="shared" si="51"/>
        <v>0.24402680652680653</v>
      </c>
      <c r="BP442" s="64">
        <f t="shared" si="52"/>
        <v>0.25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9">
        <v>4680115882072</v>
      </c>
      <c r="E443" s="550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8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7"/>
      <c r="R443" s="547"/>
      <c r="S443" s="547"/>
      <c r="T443" s="548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9">
        <v>4680115882102</v>
      </c>
      <c r="E444" s="550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6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7"/>
      <c r="R444" s="547"/>
      <c r="S444" s="547"/>
      <c r="T444" s="548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9">
        <v>4680115882096</v>
      </c>
      <c r="E445" s="550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7"/>
      <c r="R445" s="547"/>
      <c r="S445" s="547"/>
      <c r="T445" s="548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5"/>
      <c r="B446" s="555"/>
      <c r="C446" s="555"/>
      <c r="D446" s="555"/>
      <c r="E446" s="555"/>
      <c r="F446" s="555"/>
      <c r="G446" s="555"/>
      <c r="H446" s="555"/>
      <c r="I446" s="555"/>
      <c r="J446" s="555"/>
      <c r="K446" s="555"/>
      <c r="L446" s="555"/>
      <c r="M446" s="555"/>
      <c r="N446" s="555"/>
      <c r="O446" s="566"/>
      <c r="P446" s="552" t="s">
        <v>70</v>
      </c>
      <c r="Q446" s="544"/>
      <c r="R446" s="544"/>
      <c r="S446" s="544"/>
      <c r="T446" s="544"/>
      <c r="U446" s="544"/>
      <c r="V446" s="545"/>
      <c r="W446" s="37" t="s">
        <v>71</v>
      </c>
      <c r="X446" s="541">
        <f>IFERROR(X440/H440,"0")+IFERROR(X441/H441,"0")+IFERROR(X442/H442,"0")+IFERROR(X443/H443,"0")+IFERROR(X444/H444,"0")+IFERROR(X445/H445,"0")</f>
        <v>48.484848484848484</v>
      </c>
      <c r="Y446" s="541">
        <f>IFERROR(Y440/H440,"0")+IFERROR(Y441/H441,"0")+IFERROR(Y442/H442,"0")+IFERROR(Y443/H443,"0")+IFERROR(Y444/H444,"0")+IFERROR(Y445/H445,"0")</f>
        <v>50</v>
      </c>
      <c r="Z446" s="541">
        <f>IFERROR(IF(Z440="",0,Z440),"0")+IFERROR(IF(Z441="",0,Z441),"0")+IFERROR(IF(Z442="",0,Z442),"0")+IFERROR(IF(Z443="",0,Z443),"0")+IFERROR(IF(Z444="",0,Z444),"0")+IFERROR(IF(Z445="",0,Z445),"0")</f>
        <v>0.59800000000000009</v>
      </c>
      <c r="AA446" s="542"/>
      <c r="AB446" s="542"/>
      <c r="AC446" s="542"/>
    </row>
    <row r="447" spans="1:68" x14ac:dyDescent="0.2">
      <c r="A447" s="555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66"/>
      <c r="P447" s="552" t="s">
        <v>70</v>
      </c>
      <c r="Q447" s="544"/>
      <c r="R447" s="544"/>
      <c r="S447" s="544"/>
      <c r="T447" s="544"/>
      <c r="U447" s="544"/>
      <c r="V447" s="545"/>
      <c r="W447" s="37" t="s">
        <v>68</v>
      </c>
      <c r="X447" s="541">
        <f>IFERROR(SUM(X440:X445),"0")</f>
        <v>256</v>
      </c>
      <c r="Y447" s="541">
        <f>IFERROR(SUM(Y440:Y445),"0")</f>
        <v>264</v>
      </c>
      <c r="Z447" s="37"/>
      <c r="AA447" s="542"/>
      <c r="AB447" s="542"/>
      <c r="AC447" s="542"/>
    </row>
    <row r="448" spans="1:68" ht="14.25" hidden="1" customHeight="1" x14ac:dyDescent="0.25">
      <c r="A448" s="554" t="s">
        <v>72</v>
      </c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5"/>
      <c r="P448" s="555"/>
      <c r="Q448" s="555"/>
      <c r="R448" s="555"/>
      <c r="S448" s="555"/>
      <c r="T448" s="555"/>
      <c r="U448" s="555"/>
      <c r="V448" s="555"/>
      <c r="W448" s="555"/>
      <c r="X448" s="555"/>
      <c r="Y448" s="555"/>
      <c r="Z448" s="555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9">
        <v>4607091383409</v>
      </c>
      <c r="E449" s="550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55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7"/>
      <c r="R449" s="547"/>
      <c r="S449" s="547"/>
      <c r="T449" s="548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9">
        <v>4607091383416</v>
      </c>
      <c r="E450" s="550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7"/>
      <c r="R450" s="547"/>
      <c r="S450" s="547"/>
      <c r="T450" s="548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9">
        <v>4680115883536</v>
      </c>
      <c r="E451" s="550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7"/>
      <c r="R451" s="547"/>
      <c r="S451" s="547"/>
      <c r="T451" s="548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5"/>
      <c r="C452" s="555"/>
      <c r="D452" s="555"/>
      <c r="E452" s="555"/>
      <c r="F452" s="555"/>
      <c r="G452" s="555"/>
      <c r="H452" s="555"/>
      <c r="I452" s="555"/>
      <c r="J452" s="555"/>
      <c r="K452" s="555"/>
      <c r="L452" s="555"/>
      <c r="M452" s="555"/>
      <c r="N452" s="555"/>
      <c r="O452" s="566"/>
      <c r="P452" s="552" t="s">
        <v>70</v>
      </c>
      <c r="Q452" s="544"/>
      <c r="R452" s="544"/>
      <c r="S452" s="544"/>
      <c r="T452" s="544"/>
      <c r="U452" s="544"/>
      <c r="V452" s="545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5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66"/>
      <c r="P453" s="552" t="s">
        <v>70</v>
      </c>
      <c r="Q453" s="544"/>
      <c r="R453" s="544"/>
      <c r="S453" s="544"/>
      <c r="T453" s="544"/>
      <c r="U453" s="544"/>
      <c r="V453" s="545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577" t="s">
        <v>693</v>
      </c>
      <c r="B454" s="578"/>
      <c r="C454" s="578"/>
      <c r="D454" s="578"/>
      <c r="E454" s="578"/>
      <c r="F454" s="578"/>
      <c r="G454" s="578"/>
      <c r="H454" s="578"/>
      <c r="I454" s="578"/>
      <c r="J454" s="578"/>
      <c r="K454" s="578"/>
      <c r="L454" s="578"/>
      <c r="M454" s="578"/>
      <c r="N454" s="578"/>
      <c r="O454" s="578"/>
      <c r="P454" s="578"/>
      <c r="Q454" s="578"/>
      <c r="R454" s="578"/>
      <c r="S454" s="578"/>
      <c r="T454" s="578"/>
      <c r="U454" s="578"/>
      <c r="V454" s="578"/>
      <c r="W454" s="578"/>
      <c r="X454" s="578"/>
      <c r="Y454" s="578"/>
      <c r="Z454" s="578"/>
      <c r="AA454" s="48"/>
      <c r="AB454" s="48"/>
      <c r="AC454" s="48"/>
    </row>
    <row r="455" spans="1:68" ht="16.5" hidden="1" customHeight="1" x14ac:dyDescent="0.25">
      <c r="A455" s="597" t="s">
        <v>693</v>
      </c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5"/>
      <c r="P455" s="555"/>
      <c r="Q455" s="555"/>
      <c r="R455" s="555"/>
      <c r="S455" s="555"/>
      <c r="T455" s="555"/>
      <c r="U455" s="555"/>
      <c r="V455" s="555"/>
      <c r="W455" s="555"/>
      <c r="X455" s="555"/>
      <c r="Y455" s="555"/>
      <c r="Z455" s="555"/>
      <c r="AA455" s="534"/>
      <c r="AB455" s="534"/>
      <c r="AC455" s="534"/>
    </row>
    <row r="456" spans="1:68" ht="14.25" hidden="1" customHeight="1" x14ac:dyDescent="0.25">
      <c r="A456" s="554" t="s">
        <v>98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9">
        <v>4640242181011</v>
      </c>
      <c r="E457" s="550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7"/>
      <c r="R457" s="547"/>
      <c r="S457" s="547"/>
      <c r="T457" s="548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9">
        <v>4640242180441</v>
      </c>
      <c r="E458" s="550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82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7"/>
      <c r="R458" s="547"/>
      <c r="S458" s="547"/>
      <c r="T458" s="548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9">
        <v>4640242180564</v>
      </c>
      <c r="E459" s="550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7"/>
      <c r="R459" s="547"/>
      <c r="S459" s="547"/>
      <c r="T459" s="548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9">
        <v>4640242181189</v>
      </c>
      <c r="E460" s="550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67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7"/>
      <c r="R460" s="547"/>
      <c r="S460" s="547"/>
      <c r="T460" s="548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5"/>
      <c r="C461" s="555"/>
      <c r="D461" s="555"/>
      <c r="E461" s="555"/>
      <c r="F461" s="555"/>
      <c r="G461" s="555"/>
      <c r="H461" s="555"/>
      <c r="I461" s="555"/>
      <c r="J461" s="555"/>
      <c r="K461" s="555"/>
      <c r="L461" s="555"/>
      <c r="M461" s="555"/>
      <c r="N461" s="555"/>
      <c r="O461" s="566"/>
      <c r="P461" s="552" t="s">
        <v>70</v>
      </c>
      <c r="Q461" s="544"/>
      <c r="R461" s="544"/>
      <c r="S461" s="544"/>
      <c r="T461" s="544"/>
      <c r="U461" s="544"/>
      <c r="V461" s="545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5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66"/>
      <c r="P462" s="552" t="s">
        <v>70</v>
      </c>
      <c r="Q462" s="544"/>
      <c r="R462" s="544"/>
      <c r="S462" s="544"/>
      <c r="T462" s="544"/>
      <c r="U462" s="544"/>
      <c r="V462" s="545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4" t="s">
        <v>134</v>
      </c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5"/>
      <c r="P463" s="555"/>
      <c r="Q463" s="555"/>
      <c r="R463" s="555"/>
      <c r="S463" s="555"/>
      <c r="T463" s="555"/>
      <c r="U463" s="555"/>
      <c r="V463" s="555"/>
      <c r="W463" s="555"/>
      <c r="X463" s="555"/>
      <c r="Y463" s="555"/>
      <c r="Z463" s="555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9">
        <v>4640242180519</v>
      </c>
      <c r="E464" s="550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7"/>
      <c r="R464" s="547"/>
      <c r="S464" s="547"/>
      <c r="T464" s="548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9">
        <v>4640242180526</v>
      </c>
      <c r="E465" s="550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63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7"/>
      <c r="R465" s="547"/>
      <c r="S465" s="547"/>
      <c r="T465" s="548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9">
        <v>4640242181363</v>
      </c>
      <c r="E466" s="550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79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7"/>
      <c r="R466" s="547"/>
      <c r="S466" s="547"/>
      <c r="T466" s="548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5"/>
      <c r="C467" s="555"/>
      <c r="D467" s="555"/>
      <c r="E467" s="555"/>
      <c r="F467" s="555"/>
      <c r="G467" s="555"/>
      <c r="H467" s="555"/>
      <c r="I467" s="555"/>
      <c r="J467" s="555"/>
      <c r="K467" s="555"/>
      <c r="L467" s="555"/>
      <c r="M467" s="555"/>
      <c r="N467" s="555"/>
      <c r="O467" s="566"/>
      <c r="P467" s="552" t="s">
        <v>70</v>
      </c>
      <c r="Q467" s="544"/>
      <c r="R467" s="544"/>
      <c r="S467" s="544"/>
      <c r="T467" s="544"/>
      <c r="U467" s="544"/>
      <c r="V467" s="545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5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66"/>
      <c r="P468" s="552" t="s">
        <v>70</v>
      </c>
      <c r="Q468" s="544"/>
      <c r="R468" s="544"/>
      <c r="S468" s="544"/>
      <c r="T468" s="544"/>
      <c r="U468" s="544"/>
      <c r="V468" s="545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4" t="s">
        <v>63</v>
      </c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5"/>
      <c r="P469" s="555"/>
      <c r="Q469" s="555"/>
      <c r="R469" s="555"/>
      <c r="S469" s="555"/>
      <c r="T469" s="555"/>
      <c r="U469" s="555"/>
      <c r="V469" s="555"/>
      <c r="W469" s="555"/>
      <c r="X469" s="555"/>
      <c r="Y469" s="555"/>
      <c r="Z469" s="555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9">
        <v>4640242180816</v>
      </c>
      <c r="E470" s="550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66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7"/>
      <c r="R470" s="547"/>
      <c r="S470" s="547"/>
      <c r="T470" s="548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9">
        <v>4640242180595</v>
      </c>
      <c r="E471" s="550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83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7"/>
      <c r="R471" s="547"/>
      <c r="S471" s="547"/>
      <c r="T471" s="548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5"/>
      <c r="C472" s="555"/>
      <c r="D472" s="555"/>
      <c r="E472" s="555"/>
      <c r="F472" s="555"/>
      <c r="G472" s="555"/>
      <c r="H472" s="555"/>
      <c r="I472" s="555"/>
      <c r="J472" s="555"/>
      <c r="K472" s="555"/>
      <c r="L472" s="555"/>
      <c r="M472" s="555"/>
      <c r="N472" s="555"/>
      <c r="O472" s="566"/>
      <c r="P472" s="552" t="s">
        <v>70</v>
      </c>
      <c r="Q472" s="544"/>
      <c r="R472" s="544"/>
      <c r="S472" s="544"/>
      <c r="T472" s="544"/>
      <c r="U472" s="544"/>
      <c r="V472" s="545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5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66"/>
      <c r="P473" s="552" t="s">
        <v>70</v>
      </c>
      <c r="Q473" s="544"/>
      <c r="R473" s="544"/>
      <c r="S473" s="544"/>
      <c r="T473" s="544"/>
      <c r="U473" s="544"/>
      <c r="V473" s="545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4" t="s">
        <v>72</v>
      </c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5"/>
      <c r="P474" s="555"/>
      <c r="Q474" s="555"/>
      <c r="R474" s="555"/>
      <c r="S474" s="555"/>
      <c r="T474" s="555"/>
      <c r="U474" s="555"/>
      <c r="V474" s="555"/>
      <c r="W474" s="555"/>
      <c r="X474" s="555"/>
      <c r="Y474" s="555"/>
      <c r="Z474" s="555"/>
      <c r="AA474" s="535"/>
      <c r="AB474" s="535"/>
      <c r="AC474" s="535"/>
    </row>
    <row r="475" spans="1:68" ht="27" hidden="1" customHeight="1" x14ac:dyDescent="0.25">
      <c r="A475" s="54" t="s">
        <v>720</v>
      </c>
      <c r="B475" s="54" t="s">
        <v>721</v>
      </c>
      <c r="C475" s="31">
        <v>4301052046</v>
      </c>
      <c r="D475" s="549">
        <v>4640242180533</v>
      </c>
      <c r="E475" s="550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7"/>
      <c r="R475" s="547"/>
      <c r="S475" s="547"/>
      <c r="T475" s="548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5"/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66"/>
      <c r="P476" s="552" t="s">
        <v>70</v>
      </c>
      <c r="Q476" s="544"/>
      <c r="R476" s="544"/>
      <c r="S476" s="544"/>
      <c r="T476" s="544"/>
      <c r="U476" s="544"/>
      <c r="V476" s="545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55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66"/>
      <c r="P477" s="552" t="s">
        <v>70</v>
      </c>
      <c r="Q477" s="544"/>
      <c r="R477" s="544"/>
      <c r="S477" s="544"/>
      <c r="T477" s="544"/>
      <c r="U477" s="544"/>
      <c r="V477" s="545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4" t="s">
        <v>162</v>
      </c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5"/>
      <c r="P478" s="555"/>
      <c r="Q478" s="555"/>
      <c r="R478" s="555"/>
      <c r="S478" s="555"/>
      <c r="T478" s="555"/>
      <c r="U478" s="555"/>
      <c r="V478" s="555"/>
      <c r="W478" s="555"/>
      <c r="X478" s="555"/>
      <c r="Y478" s="555"/>
      <c r="Z478" s="555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9">
        <v>4640242180120</v>
      </c>
      <c r="E479" s="550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78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7"/>
      <c r="R479" s="547"/>
      <c r="S479" s="547"/>
      <c r="T479" s="548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9">
        <v>4640242180137</v>
      </c>
      <c r="E480" s="550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7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7"/>
      <c r="R480" s="547"/>
      <c r="S480" s="547"/>
      <c r="T480" s="548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5"/>
      <c r="C481" s="555"/>
      <c r="D481" s="555"/>
      <c r="E481" s="555"/>
      <c r="F481" s="555"/>
      <c r="G481" s="555"/>
      <c r="H481" s="555"/>
      <c r="I481" s="555"/>
      <c r="J481" s="555"/>
      <c r="K481" s="555"/>
      <c r="L481" s="555"/>
      <c r="M481" s="555"/>
      <c r="N481" s="555"/>
      <c r="O481" s="566"/>
      <c r="P481" s="552" t="s">
        <v>70</v>
      </c>
      <c r="Q481" s="544"/>
      <c r="R481" s="544"/>
      <c r="S481" s="544"/>
      <c r="T481" s="544"/>
      <c r="U481" s="544"/>
      <c r="V481" s="545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5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66"/>
      <c r="P482" s="552" t="s">
        <v>70</v>
      </c>
      <c r="Q482" s="544"/>
      <c r="R482" s="544"/>
      <c r="S482" s="544"/>
      <c r="T482" s="544"/>
      <c r="U482" s="544"/>
      <c r="V482" s="545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97" t="s">
        <v>729</v>
      </c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5"/>
      <c r="P483" s="555"/>
      <c r="Q483" s="555"/>
      <c r="R483" s="555"/>
      <c r="S483" s="555"/>
      <c r="T483" s="555"/>
      <c r="U483" s="555"/>
      <c r="V483" s="555"/>
      <c r="W483" s="555"/>
      <c r="X483" s="555"/>
      <c r="Y483" s="555"/>
      <c r="Z483" s="555"/>
      <c r="AA483" s="534"/>
      <c r="AB483" s="534"/>
      <c r="AC483" s="534"/>
    </row>
    <row r="484" spans="1:68" ht="14.25" hidden="1" customHeight="1" x14ac:dyDescent="0.25">
      <c r="A484" s="554" t="s">
        <v>134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9">
        <v>4640242180090</v>
      </c>
      <c r="E485" s="550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7"/>
      <c r="R485" s="547"/>
      <c r="S485" s="547"/>
      <c r="T485" s="548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66"/>
      <c r="P486" s="552" t="s">
        <v>70</v>
      </c>
      <c r="Q486" s="544"/>
      <c r="R486" s="544"/>
      <c r="S486" s="544"/>
      <c r="T486" s="544"/>
      <c r="U486" s="544"/>
      <c r="V486" s="545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5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66"/>
      <c r="P487" s="552" t="s">
        <v>70</v>
      </c>
      <c r="Q487" s="544"/>
      <c r="R487" s="544"/>
      <c r="S487" s="544"/>
      <c r="T487" s="544"/>
      <c r="U487" s="544"/>
      <c r="V487" s="545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63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636"/>
      <c r="P488" s="599" t="s">
        <v>733</v>
      </c>
      <c r="Q488" s="600"/>
      <c r="R488" s="600"/>
      <c r="S488" s="600"/>
      <c r="T488" s="600"/>
      <c r="U488" s="600"/>
      <c r="V488" s="570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4999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5116.8900000000012</v>
      </c>
      <c r="Z488" s="37"/>
      <c r="AA488" s="542"/>
      <c r="AB488" s="542"/>
      <c r="AC488" s="542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636"/>
      <c r="P489" s="599" t="s">
        <v>734</v>
      </c>
      <c r="Q489" s="600"/>
      <c r="R489" s="600"/>
      <c r="S489" s="600"/>
      <c r="T489" s="600"/>
      <c r="U489" s="600"/>
      <c r="V489" s="570"/>
      <c r="W489" s="37" t="s">
        <v>68</v>
      </c>
      <c r="X489" s="541">
        <f>IFERROR(SUM(BM22:BM485),"0")</f>
        <v>5373.7724322622289</v>
      </c>
      <c r="Y489" s="541">
        <f>IFERROR(SUM(BN22:BN485),"0")</f>
        <v>5500.6409999999987</v>
      </c>
      <c r="Z489" s="37"/>
      <c r="AA489" s="542"/>
      <c r="AB489" s="542"/>
      <c r="AC489" s="542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636"/>
      <c r="P490" s="599" t="s">
        <v>735</v>
      </c>
      <c r="Q490" s="600"/>
      <c r="R490" s="600"/>
      <c r="S490" s="600"/>
      <c r="T490" s="600"/>
      <c r="U490" s="600"/>
      <c r="V490" s="570"/>
      <c r="W490" s="37" t="s">
        <v>736</v>
      </c>
      <c r="X490" s="38">
        <f>ROUNDUP(SUM(BO22:BO485),0)</f>
        <v>10</v>
      </c>
      <c r="Y490" s="38">
        <f>ROUNDUP(SUM(BP22:BP485),0)</f>
        <v>10</v>
      </c>
      <c r="Z490" s="37"/>
      <c r="AA490" s="542"/>
      <c r="AB490" s="542"/>
      <c r="AC490" s="542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636"/>
      <c r="P491" s="599" t="s">
        <v>737</v>
      </c>
      <c r="Q491" s="600"/>
      <c r="R491" s="600"/>
      <c r="S491" s="600"/>
      <c r="T491" s="600"/>
      <c r="U491" s="600"/>
      <c r="V491" s="570"/>
      <c r="W491" s="37" t="s">
        <v>68</v>
      </c>
      <c r="X491" s="541">
        <f>GrossWeightTotal+PalletQtyTotal*25</f>
        <v>5623.7724322622289</v>
      </c>
      <c r="Y491" s="541">
        <f>GrossWeightTotalR+PalletQtyTotalR*25</f>
        <v>5750.6409999999987</v>
      </c>
      <c r="Z491" s="37"/>
      <c r="AA491" s="542"/>
      <c r="AB491" s="542"/>
      <c r="AC491" s="542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636"/>
      <c r="P492" s="599" t="s">
        <v>738</v>
      </c>
      <c r="Q492" s="600"/>
      <c r="R492" s="600"/>
      <c r="S492" s="600"/>
      <c r="T492" s="600"/>
      <c r="U492" s="600"/>
      <c r="V492" s="570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1037.3550516670537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1063</v>
      </c>
      <c r="Z492" s="37"/>
      <c r="AA492" s="542"/>
      <c r="AB492" s="542"/>
      <c r="AC492" s="542"/>
    </row>
    <row r="493" spans="1:68" ht="14.25" hidden="1" customHeight="1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636"/>
      <c r="P493" s="599" t="s">
        <v>739</v>
      </c>
      <c r="Q493" s="600"/>
      <c r="R493" s="600"/>
      <c r="S493" s="600"/>
      <c r="T493" s="600"/>
      <c r="U493" s="600"/>
      <c r="V493" s="570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11.205579999999998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603" t="s">
        <v>96</v>
      </c>
      <c r="D495" s="773"/>
      <c r="E495" s="773"/>
      <c r="F495" s="773"/>
      <c r="G495" s="773"/>
      <c r="H495" s="658"/>
      <c r="I495" s="603" t="s">
        <v>250</v>
      </c>
      <c r="J495" s="773"/>
      <c r="K495" s="773"/>
      <c r="L495" s="773"/>
      <c r="M495" s="773"/>
      <c r="N495" s="773"/>
      <c r="O495" s="773"/>
      <c r="P495" s="773"/>
      <c r="Q495" s="773"/>
      <c r="R495" s="658"/>
      <c r="S495" s="603" t="s">
        <v>531</v>
      </c>
      <c r="T495" s="658"/>
      <c r="U495" s="603" t="s">
        <v>582</v>
      </c>
      <c r="V495" s="773"/>
      <c r="W495" s="658"/>
      <c r="X495" s="536" t="s">
        <v>633</v>
      </c>
      <c r="Y495" s="603" t="s">
        <v>693</v>
      </c>
      <c r="Z495" s="658"/>
      <c r="AB495" s="52"/>
      <c r="AC495" s="52"/>
      <c r="AF495" s="537"/>
    </row>
    <row r="496" spans="1:68" ht="14.25" customHeight="1" thickTop="1" x14ac:dyDescent="0.2">
      <c r="A496" s="814" t="s">
        <v>742</v>
      </c>
      <c r="B496" s="603" t="s">
        <v>62</v>
      </c>
      <c r="C496" s="603" t="s">
        <v>97</v>
      </c>
      <c r="D496" s="603" t="s">
        <v>115</v>
      </c>
      <c r="E496" s="603" t="s">
        <v>169</v>
      </c>
      <c r="F496" s="603" t="s">
        <v>189</v>
      </c>
      <c r="G496" s="603" t="s">
        <v>219</v>
      </c>
      <c r="H496" s="603" t="s">
        <v>96</v>
      </c>
      <c r="I496" s="603" t="s">
        <v>251</v>
      </c>
      <c r="J496" s="603" t="s">
        <v>296</v>
      </c>
      <c r="K496" s="603" t="s">
        <v>355</v>
      </c>
      <c r="L496" s="603" t="s">
        <v>397</v>
      </c>
      <c r="M496" s="603" t="s">
        <v>413</v>
      </c>
      <c r="N496" s="537"/>
      <c r="O496" s="603" t="s">
        <v>424</v>
      </c>
      <c r="P496" s="603" t="s">
        <v>433</v>
      </c>
      <c r="Q496" s="603" t="s">
        <v>447</v>
      </c>
      <c r="R496" s="603" t="s">
        <v>521</v>
      </c>
      <c r="S496" s="603" t="s">
        <v>532</v>
      </c>
      <c r="T496" s="603" t="s">
        <v>566</v>
      </c>
      <c r="U496" s="603" t="s">
        <v>583</v>
      </c>
      <c r="V496" s="603" t="s">
        <v>614</v>
      </c>
      <c r="W496" s="603" t="s">
        <v>629</v>
      </c>
      <c r="X496" s="603" t="s">
        <v>633</v>
      </c>
      <c r="Y496" s="603" t="s">
        <v>693</v>
      </c>
      <c r="Z496" s="603" t="s">
        <v>729</v>
      </c>
      <c r="AB496" s="52"/>
      <c r="AC496" s="52"/>
      <c r="AF496" s="537"/>
    </row>
    <row r="497" spans="1:32" ht="13.5" customHeight="1" thickBot="1" x14ac:dyDescent="0.25">
      <c r="A497" s="815"/>
      <c r="B497" s="604"/>
      <c r="C497" s="604"/>
      <c r="D497" s="604"/>
      <c r="E497" s="604"/>
      <c r="F497" s="604"/>
      <c r="G497" s="604"/>
      <c r="H497" s="604"/>
      <c r="I497" s="604"/>
      <c r="J497" s="604"/>
      <c r="K497" s="604"/>
      <c r="L497" s="604"/>
      <c r="M497" s="604"/>
      <c r="N497" s="537"/>
      <c r="O497" s="604"/>
      <c r="P497" s="604"/>
      <c r="Q497" s="604"/>
      <c r="R497" s="604"/>
      <c r="S497" s="604"/>
      <c r="T497" s="604"/>
      <c r="U497" s="604"/>
      <c r="V497" s="604"/>
      <c r="W497" s="604"/>
      <c r="X497" s="604"/>
      <c r="Y497" s="604"/>
      <c r="Z497" s="604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356.40000000000003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78.399999999999991</v>
      </c>
      <c r="E498" s="46">
        <f>IFERROR(Y85*1,"0")+IFERROR(Y86*1,"0")+IFERROR(Y87*1,"0")+IFERROR(Y91*1,"0")+IFERROR(Y92*1,"0")+IFERROR(Y93*1,"0")+IFERROR(Y94*1,"0")</f>
        <v>312.3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577.20000000000005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229.74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1358.0999999999997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26.98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4.8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377.53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135</v>
      </c>
      <c r="T498" s="46">
        <f>IFERROR(Y367*1,"0")+IFERROR(Y368*1,"0")+IFERROR(Y372*1,"0")+IFERROR(Y373*1,"0")+IFERROR(Y377*1,"0")+IFERROR(Y378*1,"0")</f>
        <v>621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10.8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1028.6400000000001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9"/>
        <filter val="0,83"/>
        <filter val="1 037,36"/>
        <filter val="1,00"/>
        <filter val="1,25"/>
        <filter val="1,30"/>
        <filter val="1,64"/>
        <filter val="1,79"/>
        <filter val="10"/>
        <filter val="10,00"/>
        <filter val="100,00"/>
        <filter val="103,00"/>
        <filter val="11,94"/>
        <filter val="112,00"/>
        <filter val="115,93"/>
        <filter val="117,00"/>
        <filter val="12,00"/>
        <filter val="12,25"/>
        <filter val="12,50"/>
        <filter val="122,00"/>
        <filter val="13,00"/>
        <filter val="131,00"/>
        <filter val="134,00"/>
        <filter val="14,00"/>
        <filter val="15,00"/>
        <filter val="15,43"/>
        <filter val="17,00"/>
        <filter val="18,00"/>
        <filter val="18,33"/>
        <filter val="182,00"/>
        <filter val="188,00"/>
        <filter val="19,00"/>
        <filter val="198,00"/>
        <filter val="2,00"/>
        <filter val="2,12"/>
        <filter val="2,38"/>
        <filter val="2,93"/>
        <filter val="223,00"/>
        <filter val="230,00"/>
        <filter val="245,00"/>
        <filter val="246,59"/>
        <filter val="25,00"/>
        <filter val="256,00"/>
        <filter val="26,00"/>
        <filter val="26,25"/>
        <filter val="262,00"/>
        <filter val="264,00"/>
        <filter val="278,00"/>
        <filter val="28,00"/>
        <filter val="29,00"/>
        <filter val="293,00"/>
        <filter val="3,00"/>
        <filter val="314,00"/>
        <filter val="32,50"/>
        <filter val="321,00"/>
        <filter val="351,00"/>
        <filter val="37,56"/>
        <filter val="38,00"/>
        <filter val="39,63"/>
        <filter val="4 999,00"/>
        <filter val="4,00"/>
        <filter val="40,00"/>
        <filter val="42,00"/>
        <filter val="437,00"/>
        <filter val="44,00"/>
        <filter val="45,00"/>
        <filter val="48,00"/>
        <filter val="48,48"/>
        <filter val="486,00"/>
        <filter val="49,00"/>
        <filter val="5 373,77"/>
        <filter val="5 623,77"/>
        <filter val="5,56"/>
        <filter val="5,87"/>
        <filter val="54,00"/>
        <filter val="6,22"/>
        <filter val="60,78"/>
        <filter val="616,00"/>
        <filter val="63,00"/>
        <filter val="68,44"/>
        <filter val="69,00"/>
        <filter val="7,00"/>
        <filter val="783,00"/>
        <filter val="8,00"/>
        <filter val="81,00"/>
        <filter val="82,38"/>
        <filter val="84,55"/>
        <filter val="88,00"/>
        <filter val="9,00"/>
        <filter val="91,11"/>
        <filter val="94,00"/>
      </filters>
    </filterColumn>
    <filterColumn colId="29" showButton="0"/>
    <filterColumn colId="30" showButton="0"/>
  </autoFilter>
  <mergeCells count="872"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204:V204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D357:E357"/>
    <mergeCell ref="D258:E258"/>
    <mergeCell ref="P235:V235"/>
    <mergeCell ref="D301:E301"/>
    <mergeCell ref="D245:E245"/>
    <mergeCell ref="P188:V188"/>
    <mergeCell ref="D147:E147"/>
    <mergeCell ref="P353:T353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P402:T402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60:V360"/>
    <mergeCell ref="P87:T87"/>
    <mergeCell ref="D372:E372"/>
    <mergeCell ref="D335:E335"/>
    <mergeCell ref="D201:E201"/>
    <mergeCell ref="P245:T245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A240:Z240"/>
    <mergeCell ref="P74:T74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P355:V355"/>
    <mergeCell ref="D343:E343"/>
    <mergeCell ref="P397:T397"/>
    <mergeCell ref="P243:V243"/>
    <mergeCell ref="P387:T387"/>
    <mergeCell ref="A381:Z381"/>
    <mergeCell ref="P450:T450"/>
    <mergeCell ref="D414:E414"/>
    <mergeCell ref="P185:T185"/>
    <mergeCell ref="P380:V380"/>
    <mergeCell ref="D168:E168"/>
    <mergeCell ref="D180:E180"/>
    <mergeCell ref="P168:T16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233:T233"/>
    <mergeCell ref="P206:T206"/>
    <mergeCell ref="D347:E347"/>
    <mergeCell ref="D176:E176"/>
    <mergeCell ref="D114:E114"/>
    <mergeCell ref="P220:V220"/>
    <mergeCell ref="P248:T248"/>
    <mergeCell ref="D51:E51"/>
    <mergeCell ref="A38:Z38"/>
    <mergeCell ref="P207:T207"/>
    <mergeCell ref="A131:O132"/>
    <mergeCell ref="P299:T299"/>
    <mergeCell ref="P172:V172"/>
    <mergeCell ref="P221:V221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D314:E314"/>
    <mergeCell ref="A152:O153"/>
    <mergeCell ref="P171:V171"/>
    <mergeCell ref="P242:V242"/>
    <mergeCell ref="P121:V121"/>
    <mergeCell ref="D80:E80"/>
    <mergeCell ref="P241:T241"/>
    <mergeCell ref="A455:Z455"/>
    <mergeCell ref="D320:E320"/>
    <mergeCell ref="P470:T470"/>
    <mergeCell ref="A222:Z222"/>
    <mergeCell ref="D385:E385"/>
    <mergeCell ref="P301:T301"/>
    <mergeCell ref="A220:O22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P346:T346"/>
    <mergeCell ref="A433:Z433"/>
    <mergeCell ref="P211:T211"/>
    <mergeCell ref="P309:T309"/>
    <mergeCell ref="P377:T377"/>
    <mergeCell ref="A363:O364"/>
    <mergeCell ref="D362:E362"/>
    <mergeCell ref="P215:V215"/>
    <mergeCell ref="P232:T232"/>
    <mergeCell ref="P461:V461"/>
    <mergeCell ref="A261:Z261"/>
    <mergeCell ref="P338:V338"/>
    <mergeCell ref="P440:T440"/>
    <mergeCell ref="A369:O370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Q13:R13"/>
    <mergeCell ref="P47:V47"/>
    <mergeCell ref="P176:T176"/>
    <mergeCell ref="P114:T114"/>
    <mergeCell ref="P161:T161"/>
    <mergeCell ref="G17:G18"/>
    <mergeCell ref="P41:T41"/>
    <mergeCell ref="A35:O36"/>
    <mergeCell ref="D22:E22"/>
    <mergeCell ref="H17:H18"/>
    <mergeCell ref="D74:E74"/>
    <mergeCell ref="D93:E93"/>
    <mergeCell ref="A98:Z98"/>
    <mergeCell ref="D52:E52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P201:T201"/>
    <mergeCell ref="P247:T247"/>
    <mergeCell ref="D299:E299"/>
    <mergeCell ref="P110:V110"/>
    <mergeCell ref="P26:T26"/>
    <mergeCell ref="A138:Z138"/>
    <mergeCell ref="P58:V58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