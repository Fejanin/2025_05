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90CF6C6-2C7C-4CFC-8E1C-6A5CC68B5C5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BP471" i="1" s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BP449" i="1" s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BP435" i="1" s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P423" i="1" s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BP377" i="1" s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BP308" i="1" s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Z278" i="1" s="1"/>
  <c r="P278" i="1"/>
  <c r="X275" i="1"/>
  <c r="X274" i="1"/>
  <c r="BO273" i="1"/>
  <c r="BM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O163" i="1"/>
  <c r="BM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BP145" i="1" s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X488" i="1" l="1"/>
  <c r="Y32" i="1"/>
  <c r="Z34" i="1"/>
  <c r="Z35" i="1" s="1"/>
  <c r="BN34" i="1"/>
  <c r="BP34" i="1"/>
  <c r="Y35" i="1"/>
  <c r="Z40" i="1"/>
  <c r="BN40" i="1"/>
  <c r="Z55" i="1"/>
  <c r="BN55" i="1"/>
  <c r="Z79" i="1"/>
  <c r="BN79" i="1"/>
  <c r="Z99" i="1"/>
  <c r="BN99" i="1"/>
  <c r="Z115" i="1"/>
  <c r="BN115" i="1"/>
  <c r="Z141" i="1"/>
  <c r="BN141" i="1"/>
  <c r="Z145" i="1"/>
  <c r="BN145" i="1"/>
  <c r="Z164" i="1"/>
  <c r="BN164" i="1"/>
  <c r="Z165" i="1"/>
  <c r="BN165" i="1"/>
  <c r="Z186" i="1"/>
  <c r="BN186" i="1"/>
  <c r="Z200" i="1"/>
  <c r="BN200" i="1"/>
  <c r="Z210" i="1"/>
  <c r="BN210" i="1"/>
  <c r="Z226" i="1"/>
  <c r="BN226" i="1"/>
  <c r="Z246" i="1"/>
  <c r="BN246" i="1"/>
  <c r="Z264" i="1"/>
  <c r="BN264" i="1"/>
  <c r="Z292" i="1"/>
  <c r="BN292" i="1"/>
  <c r="Z308" i="1"/>
  <c r="BN308" i="1"/>
  <c r="Z322" i="1"/>
  <c r="BN322" i="1"/>
  <c r="Z345" i="1"/>
  <c r="BN345" i="1"/>
  <c r="Z377" i="1"/>
  <c r="BN377" i="1"/>
  <c r="Z391" i="1"/>
  <c r="BN391" i="1"/>
  <c r="Z423" i="1"/>
  <c r="BN423" i="1"/>
  <c r="Z435" i="1"/>
  <c r="BN435" i="1"/>
  <c r="Z449" i="1"/>
  <c r="BN449" i="1"/>
  <c r="Z471" i="1"/>
  <c r="BN471" i="1"/>
  <c r="J9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Y69" i="1"/>
  <c r="Z73" i="1"/>
  <c r="BN73" i="1"/>
  <c r="BP75" i="1"/>
  <c r="BN75" i="1"/>
  <c r="Z75" i="1"/>
  <c r="BP94" i="1"/>
  <c r="BN94" i="1"/>
  <c r="Z94" i="1"/>
  <c r="BP113" i="1"/>
  <c r="BN113" i="1"/>
  <c r="Z113" i="1"/>
  <c r="Y136" i="1"/>
  <c r="BP134" i="1"/>
  <c r="BN134" i="1"/>
  <c r="Z134" i="1"/>
  <c r="BP162" i="1"/>
  <c r="BN162" i="1"/>
  <c r="Z162" i="1"/>
  <c r="BP175" i="1"/>
  <c r="BN175" i="1"/>
  <c r="Z175" i="1"/>
  <c r="BP198" i="1"/>
  <c r="BN198" i="1"/>
  <c r="Z198" i="1"/>
  <c r="BP208" i="1"/>
  <c r="BN208" i="1"/>
  <c r="Z208" i="1"/>
  <c r="Y220" i="1"/>
  <c r="BN218" i="1"/>
  <c r="Z218" i="1"/>
  <c r="BP219" i="1"/>
  <c r="BN219" i="1"/>
  <c r="Z219" i="1"/>
  <c r="BP224" i="1"/>
  <c r="BN224" i="1"/>
  <c r="Z224" i="1"/>
  <c r="BP232" i="1"/>
  <c r="BN232" i="1"/>
  <c r="Z232" i="1"/>
  <c r="BP257" i="1"/>
  <c r="BN257" i="1"/>
  <c r="Z257" i="1"/>
  <c r="BP273" i="1"/>
  <c r="BN273" i="1"/>
  <c r="Z273" i="1"/>
  <c r="BP86" i="1"/>
  <c r="BN86" i="1"/>
  <c r="Z86" i="1"/>
  <c r="BP101" i="1"/>
  <c r="BN101" i="1"/>
  <c r="Z101" i="1"/>
  <c r="Y121" i="1"/>
  <c r="Y120" i="1"/>
  <c r="BP119" i="1"/>
  <c r="BN119" i="1"/>
  <c r="Z119" i="1"/>
  <c r="Z120" i="1" s="1"/>
  <c r="BP124" i="1"/>
  <c r="BN124" i="1"/>
  <c r="Z124" i="1"/>
  <c r="BP147" i="1"/>
  <c r="BN147" i="1"/>
  <c r="Z147" i="1"/>
  <c r="BP167" i="1"/>
  <c r="BN167" i="1"/>
  <c r="Z167" i="1"/>
  <c r="Y192" i="1"/>
  <c r="BP190" i="1"/>
  <c r="BN190" i="1"/>
  <c r="Z190" i="1"/>
  <c r="BP202" i="1"/>
  <c r="BN202" i="1"/>
  <c r="Z202" i="1"/>
  <c r="BP212" i="1"/>
  <c r="BN212" i="1"/>
  <c r="Z212" i="1"/>
  <c r="BP228" i="1"/>
  <c r="BN228" i="1"/>
  <c r="Z228" i="1"/>
  <c r="BP248" i="1"/>
  <c r="BN248" i="1"/>
  <c r="Z248" i="1"/>
  <c r="BP266" i="1"/>
  <c r="BN266" i="1"/>
  <c r="Z266" i="1"/>
  <c r="BP298" i="1"/>
  <c r="BN298" i="1"/>
  <c r="Z298" i="1"/>
  <c r="BP310" i="1"/>
  <c r="BN310" i="1"/>
  <c r="Z310" i="1"/>
  <c r="BP328" i="1"/>
  <c r="BN328" i="1"/>
  <c r="Z328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81" i="1"/>
  <c r="Y216" i="1"/>
  <c r="BP278" i="1"/>
  <c r="BN278" i="1"/>
  <c r="BP290" i="1"/>
  <c r="BN290" i="1"/>
  <c r="Z290" i="1"/>
  <c r="BP302" i="1"/>
  <c r="BN302" i="1"/>
  <c r="Z302" i="1"/>
  <c r="BP316" i="1"/>
  <c r="BN316" i="1"/>
  <c r="Z316" i="1"/>
  <c r="BP320" i="1"/>
  <c r="BN320" i="1"/>
  <c r="Z320" i="1"/>
  <c r="BP343" i="1"/>
  <c r="BN343" i="1"/>
  <c r="Z343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Y318" i="1"/>
  <c r="Y317" i="1"/>
  <c r="Y379" i="1"/>
  <c r="Y453" i="1"/>
  <c r="Y452" i="1"/>
  <c r="Y31" i="1"/>
  <c r="Y43" i="1"/>
  <c r="Y58" i="1"/>
  <c r="Y64" i="1"/>
  <c r="Y70" i="1"/>
  <c r="Y77" i="1"/>
  <c r="BP72" i="1"/>
  <c r="BN72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BP146" i="1"/>
  <c r="BN146" i="1"/>
  <c r="Z146" i="1"/>
  <c r="Z148" i="1" s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8" i="1"/>
  <c r="Y188" i="1"/>
  <c r="BP185" i="1"/>
  <c r="BN185" i="1"/>
  <c r="Z185" i="1"/>
  <c r="Z187" i="1" s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D498" i="1"/>
  <c r="H9" i="1"/>
  <c r="B498" i="1"/>
  <c r="X489" i="1"/>
  <c r="X491" i="1" s="1"/>
  <c r="X490" i="1"/>
  <c r="X492" i="1"/>
  <c r="Y24" i="1"/>
  <c r="Z27" i="1"/>
  <c r="BN27" i="1"/>
  <c r="Z29" i="1"/>
  <c r="BN29" i="1"/>
  <c r="C498" i="1"/>
  <c r="Z41" i="1"/>
  <c r="BN41" i="1"/>
  <c r="Y44" i="1"/>
  <c r="Z52" i="1"/>
  <c r="BN52" i="1"/>
  <c r="Z54" i="1"/>
  <c r="BN54" i="1"/>
  <c r="Z56" i="1"/>
  <c r="BN56" i="1"/>
  <c r="Z60" i="1"/>
  <c r="Z63" i="1" s="1"/>
  <c r="BN60" i="1"/>
  <c r="BP60" i="1"/>
  <c r="Z62" i="1"/>
  <c r="BN62" i="1"/>
  <c r="Z66" i="1"/>
  <c r="BN66" i="1"/>
  <c r="BP66" i="1"/>
  <c r="Z68" i="1"/>
  <c r="BN68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Z142" i="1" s="1"/>
  <c r="Y149" i="1"/>
  <c r="Y148" i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Z177" i="1" s="1"/>
  <c r="Y187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1" i="1"/>
  <c r="BN211" i="1"/>
  <c r="Z211" i="1"/>
  <c r="Y215" i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498" i="1"/>
  <c r="BP258" i="1"/>
  <c r="BN258" i="1"/>
  <c r="Z258" i="1"/>
  <c r="Y260" i="1"/>
  <c r="M498" i="1"/>
  <c r="Y268" i="1"/>
  <c r="BP263" i="1"/>
  <c r="BN263" i="1"/>
  <c r="Z263" i="1"/>
  <c r="Y267" i="1"/>
  <c r="BP272" i="1"/>
  <c r="BN272" i="1"/>
  <c r="Z272" i="1"/>
  <c r="Z274" i="1" s="1"/>
  <c r="Y274" i="1"/>
  <c r="BP321" i="1"/>
  <c r="BN321" i="1"/>
  <c r="Z321" i="1"/>
  <c r="Y325" i="1"/>
  <c r="BP329" i="1"/>
  <c r="BN329" i="1"/>
  <c r="Z329" i="1"/>
  <c r="Y331" i="1"/>
  <c r="R498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Z285" i="1" s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498" i="1"/>
  <c r="Y349" i="1"/>
  <c r="BP342" i="1"/>
  <c r="BN342" i="1"/>
  <c r="Z342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Z410" i="1" s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Z452" i="1" s="1"/>
  <c r="Y461" i="1"/>
  <c r="BP460" i="1"/>
  <c r="BN460" i="1"/>
  <c r="Z460" i="1"/>
  <c r="Z461" i="1" s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330" i="1" l="1"/>
  <c r="Z317" i="1"/>
  <c r="Z311" i="1"/>
  <c r="Z43" i="1"/>
  <c r="Z220" i="1"/>
  <c r="Z234" i="1"/>
  <c r="Z215" i="1"/>
  <c r="Y489" i="1"/>
  <c r="Z103" i="1"/>
  <c r="Y492" i="1"/>
  <c r="Z324" i="1"/>
  <c r="Y490" i="1"/>
  <c r="Z57" i="1"/>
  <c r="Z31" i="1"/>
  <c r="Z393" i="1"/>
  <c r="Z337" i="1"/>
  <c r="Z304" i="1"/>
  <c r="Z294" i="1"/>
  <c r="Z116" i="1"/>
  <c r="Z95" i="1"/>
  <c r="Z437" i="1"/>
  <c r="Z446" i="1"/>
  <c r="Z431" i="1"/>
  <c r="Z349" i="1"/>
  <c r="Z267" i="1"/>
  <c r="Z259" i="1"/>
  <c r="Z250" i="1"/>
  <c r="Z203" i="1"/>
  <c r="Z171" i="1"/>
  <c r="Z69" i="1"/>
  <c r="Z493" i="1" s="1"/>
  <c r="Y488" i="1"/>
  <c r="Y491" i="1" l="1"/>
</calcChain>
</file>

<file path=xl/sharedStrings.xml><?xml version="1.0" encoding="utf-8"?>
<sst xmlns="http://schemas.openxmlformats.org/spreadsheetml/2006/main" count="2271" uniqueCount="760">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</sst>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4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22" t="s">
        <v>0</v>
      </c>
      <c r="E1" s="564"/>
      <c r="F1" s="564"/>
      <c r="G1" s="12" t="s">
        <v>1</v>
      </c>
      <c r="H1" s="622" t="s">
        <v>2</v>
      </c>
      <c r="I1" s="564"/>
      <c r="J1" s="564"/>
      <c r="K1" s="564"/>
      <c r="L1" s="564"/>
      <c r="M1" s="564"/>
      <c r="N1" s="564"/>
      <c r="O1" s="564"/>
      <c r="P1" s="564"/>
      <c r="Q1" s="564"/>
      <c r="R1" s="563" t="s">
        <v>3</v>
      </c>
      <c r="S1" s="564"/>
      <c r="T1" s="5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24" t="s">
        <v>7</v>
      </c>
      <c r="B5" s="625"/>
      <c r="C5" s="626"/>
      <c r="D5" s="596"/>
      <c r="E5" s="597"/>
      <c r="F5" s="822" t="s">
        <v>8</v>
      </c>
      <c r="G5" s="626"/>
      <c r="H5" s="596" t="s">
        <v>759</v>
      </c>
      <c r="I5" s="764"/>
      <c r="J5" s="764"/>
      <c r="K5" s="764"/>
      <c r="L5" s="764"/>
      <c r="M5" s="597"/>
      <c r="N5" s="58"/>
      <c r="P5" s="24" t="s">
        <v>9</v>
      </c>
      <c r="Q5" s="831">
        <v>45990</v>
      </c>
      <c r="R5" s="656"/>
      <c r="T5" s="703" t="s">
        <v>10</v>
      </c>
      <c r="U5" s="704"/>
      <c r="V5" s="705" t="s">
        <v>11</v>
      </c>
      <c r="W5" s="656"/>
      <c r="AB5" s="51"/>
      <c r="AC5" s="51"/>
      <c r="AD5" s="51"/>
      <c r="AE5" s="51"/>
    </row>
    <row r="6" spans="1:32" s="533" customFormat="1" ht="24" customHeight="1" x14ac:dyDescent="0.2">
      <c r="A6" s="624" t="s">
        <v>12</v>
      </c>
      <c r="B6" s="625"/>
      <c r="C6" s="626"/>
      <c r="D6" s="767" t="s">
        <v>13</v>
      </c>
      <c r="E6" s="768"/>
      <c r="F6" s="768"/>
      <c r="G6" s="768"/>
      <c r="H6" s="768"/>
      <c r="I6" s="768"/>
      <c r="J6" s="768"/>
      <c r="K6" s="768"/>
      <c r="L6" s="768"/>
      <c r="M6" s="656"/>
      <c r="N6" s="59"/>
      <c r="P6" s="24" t="s">
        <v>14</v>
      </c>
      <c r="Q6" s="839" t="str">
        <f>IF(Q5=0," ",CHOOSE(WEEKDAY(Q5,2),"Понедельник","Вторник","Среда","Четверг","Пятница","Суббота","Воскресенье"))</f>
        <v>Суббота</v>
      </c>
      <c r="R6" s="544"/>
      <c r="T6" s="707" t="s">
        <v>15</v>
      </c>
      <c r="U6" s="704"/>
      <c r="V6" s="749" t="s">
        <v>16</v>
      </c>
      <c r="W6" s="579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8" t="str">
        <f>IFERROR(VLOOKUP(DeliveryAddress,Table,3,0),1)</f>
        <v>1</v>
      </c>
      <c r="E7" s="599"/>
      <c r="F7" s="599"/>
      <c r="G7" s="599"/>
      <c r="H7" s="599"/>
      <c r="I7" s="599"/>
      <c r="J7" s="599"/>
      <c r="K7" s="599"/>
      <c r="L7" s="599"/>
      <c r="M7" s="600"/>
      <c r="N7" s="60"/>
      <c r="P7" s="24"/>
      <c r="Q7" s="42"/>
      <c r="R7" s="42"/>
      <c r="T7" s="554"/>
      <c r="U7" s="704"/>
      <c r="V7" s="750"/>
      <c r="W7" s="751"/>
      <c r="AB7" s="51"/>
      <c r="AC7" s="51"/>
      <c r="AD7" s="51"/>
      <c r="AE7" s="51"/>
    </row>
    <row r="8" spans="1:32" s="533" customFormat="1" ht="25.5" customHeight="1" x14ac:dyDescent="0.2">
      <c r="A8" s="860" t="s">
        <v>17</v>
      </c>
      <c r="B8" s="546"/>
      <c r="C8" s="547"/>
      <c r="D8" s="611" t="s">
        <v>18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19</v>
      </c>
      <c r="Q8" s="627">
        <v>0.45833333333333331</v>
      </c>
      <c r="R8" s="600"/>
      <c r="T8" s="554"/>
      <c r="U8" s="704"/>
      <c r="V8" s="750"/>
      <c r="W8" s="751"/>
      <c r="AB8" s="51"/>
      <c r="AC8" s="51"/>
      <c r="AD8" s="51"/>
      <c r="AE8" s="51"/>
    </row>
    <row r="9" spans="1:32" s="533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68"/>
      <c r="E9" s="552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1" t="str">
        <f>IF(AND($A$9="Тип доверенности/получателя при получении в адресе перегруза:",$D$9="Разовая доверенность"),"Введите ФИО","")</f>
        <v/>
      </c>
      <c r="I9" s="552"/>
      <c r="J9" s="5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2"/>
      <c r="L9" s="552"/>
      <c r="M9" s="552"/>
      <c r="N9" s="531"/>
      <c r="P9" s="26" t="s">
        <v>20</v>
      </c>
      <c r="Q9" s="653"/>
      <c r="R9" s="654"/>
      <c r="T9" s="554"/>
      <c r="U9" s="704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68"/>
      <c r="E10" s="552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38" t="str">
        <f>IFERROR(VLOOKUP($D$10,Proxy,2,FALSE),"")</f>
        <v/>
      </c>
      <c r="I10" s="554"/>
      <c r="J10" s="554"/>
      <c r="K10" s="554"/>
      <c r="L10" s="554"/>
      <c r="M10" s="554"/>
      <c r="N10" s="532"/>
      <c r="P10" s="26" t="s">
        <v>21</v>
      </c>
      <c r="Q10" s="708"/>
      <c r="R10" s="709"/>
      <c r="U10" s="24" t="s">
        <v>22</v>
      </c>
      <c r="V10" s="578" t="s">
        <v>23</v>
      </c>
      <c r="W10" s="579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5"/>
      <c r="R11" s="656"/>
      <c r="U11" s="24" t="s">
        <v>26</v>
      </c>
      <c r="V11" s="785" t="s">
        <v>27</v>
      </c>
      <c r="W11" s="654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1" t="s">
        <v>28</v>
      </c>
      <c r="B12" s="625"/>
      <c r="C12" s="625"/>
      <c r="D12" s="625"/>
      <c r="E12" s="625"/>
      <c r="F12" s="625"/>
      <c r="G12" s="625"/>
      <c r="H12" s="625"/>
      <c r="I12" s="625"/>
      <c r="J12" s="625"/>
      <c r="K12" s="625"/>
      <c r="L12" s="625"/>
      <c r="M12" s="626"/>
      <c r="N12" s="62"/>
      <c r="P12" s="24" t="s">
        <v>29</v>
      </c>
      <c r="Q12" s="627"/>
      <c r="R12" s="600"/>
      <c r="S12" s="23"/>
      <c r="U12" s="24"/>
      <c r="V12" s="564"/>
      <c r="W12" s="554"/>
      <c r="AB12" s="51"/>
      <c r="AC12" s="51"/>
      <c r="AD12" s="51"/>
      <c r="AE12" s="51"/>
    </row>
    <row r="13" spans="1:32" s="533" customFormat="1" ht="23.25" customHeight="1" x14ac:dyDescent="0.2">
      <c r="A13" s="691" t="s">
        <v>30</v>
      </c>
      <c r="B13" s="625"/>
      <c r="C13" s="625"/>
      <c r="D13" s="625"/>
      <c r="E13" s="625"/>
      <c r="F13" s="625"/>
      <c r="G13" s="625"/>
      <c r="H13" s="625"/>
      <c r="I13" s="625"/>
      <c r="J13" s="625"/>
      <c r="K13" s="625"/>
      <c r="L13" s="625"/>
      <c r="M13" s="626"/>
      <c r="N13" s="62"/>
      <c r="O13" s="26"/>
      <c r="P13" s="26" t="s">
        <v>31</v>
      </c>
      <c r="Q13" s="785"/>
      <c r="R13" s="6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1" t="s">
        <v>32</v>
      </c>
      <c r="B14" s="625"/>
      <c r="C14" s="625"/>
      <c r="D14" s="625"/>
      <c r="E14" s="625"/>
      <c r="F14" s="625"/>
      <c r="G14" s="625"/>
      <c r="H14" s="625"/>
      <c r="I14" s="625"/>
      <c r="J14" s="625"/>
      <c r="K14" s="625"/>
      <c r="L14" s="625"/>
      <c r="M14" s="62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5" t="s">
        <v>33</v>
      </c>
      <c r="B15" s="625"/>
      <c r="C15" s="625"/>
      <c r="D15" s="625"/>
      <c r="E15" s="625"/>
      <c r="F15" s="625"/>
      <c r="G15" s="625"/>
      <c r="H15" s="625"/>
      <c r="I15" s="625"/>
      <c r="J15" s="625"/>
      <c r="K15" s="625"/>
      <c r="L15" s="625"/>
      <c r="M15" s="626"/>
      <c r="N15" s="63"/>
      <c r="P15" s="631" t="s">
        <v>34</v>
      </c>
      <c r="Q15" s="564"/>
      <c r="R15" s="564"/>
      <c r="S15" s="564"/>
      <c r="T15" s="5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32"/>
      <c r="Q16" s="632"/>
      <c r="R16" s="632"/>
      <c r="S16" s="632"/>
      <c r="T16" s="63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6" t="s">
        <v>35</v>
      </c>
      <c r="B17" s="576" t="s">
        <v>36</v>
      </c>
      <c r="C17" s="630" t="s">
        <v>37</v>
      </c>
      <c r="D17" s="576" t="s">
        <v>38</v>
      </c>
      <c r="E17" s="636"/>
      <c r="F17" s="576" t="s">
        <v>39</v>
      </c>
      <c r="G17" s="576" t="s">
        <v>40</v>
      </c>
      <c r="H17" s="576" t="s">
        <v>41</v>
      </c>
      <c r="I17" s="576" t="s">
        <v>42</v>
      </c>
      <c r="J17" s="576" t="s">
        <v>43</v>
      </c>
      <c r="K17" s="576" t="s">
        <v>44</v>
      </c>
      <c r="L17" s="576" t="s">
        <v>45</v>
      </c>
      <c r="M17" s="576" t="s">
        <v>46</v>
      </c>
      <c r="N17" s="576" t="s">
        <v>47</v>
      </c>
      <c r="O17" s="576" t="s">
        <v>48</v>
      </c>
      <c r="P17" s="576" t="s">
        <v>49</v>
      </c>
      <c r="Q17" s="635"/>
      <c r="R17" s="635"/>
      <c r="S17" s="635"/>
      <c r="T17" s="636"/>
      <c r="U17" s="855" t="s">
        <v>50</v>
      </c>
      <c r="V17" s="626"/>
      <c r="W17" s="576" t="s">
        <v>51</v>
      </c>
      <c r="X17" s="576" t="s">
        <v>52</v>
      </c>
      <c r="Y17" s="856" t="s">
        <v>53</v>
      </c>
      <c r="Z17" s="761" t="s">
        <v>54</v>
      </c>
      <c r="AA17" s="735" t="s">
        <v>55</v>
      </c>
      <c r="AB17" s="735" t="s">
        <v>56</v>
      </c>
      <c r="AC17" s="735" t="s">
        <v>57</v>
      </c>
      <c r="AD17" s="735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77"/>
      <c r="B18" s="577"/>
      <c r="C18" s="577"/>
      <c r="D18" s="637"/>
      <c r="E18" s="639"/>
      <c r="F18" s="577"/>
      <c r="G18" s="577"/>
      <c r="H18" s="577"/>
      <c r="I18" s="577"/>
      <c r="J18" s="577"/>
      <c r="K18" s="577"/>
      <c r="L18" s="577"/>
      <c r="M18" s="577"/>
      <c r="N18" s="577"/>
      <c r="O18" s="577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77"/>
      <c r="X18" s="577"/>
      <c r="Y18" s="857"/>
      <c r="Z18" s="762"/>
      <c r="AA18" s="736"/>
      <c r="AB18" s="736"/>
      <c r="AC18" s="736"/>
      <c r="AD18" s="818"/>
      <c r="AE18" s="819"/>
      <c r="AF18" s="820"/>
      <c r="AG18" s="66"/>
      <c r="BD18" s="65"/>
    </row>
    <row r="19" spans="1:68" ht="27.75" hidden="1" customHeight="1" x14ac:dyDescent="0.2">
      <c r="A19" s="694" t="s">
        <v>62</v>
      </c>
      <c r="B19" s="695"/>
      <c r="C19" s="695"/>
      <c r="D19" s="695"/>
      <c r="E19" s="695"/>
      <c r="F19" s="695"/>
      <c r="G19" s="695"/>
      <c r="H19" s="695"/>
      <c r="I19" s="695"/>
      <c r="J19" s="695"/>
      <c r="K19" s="695"/>
      <c r="L19" s="695"/>
      <c r="M19" s="695"/>
      <c r="N19" s="695"/>
      <c r="O19" s="695"/>
      <c r="P19" s="695"/>
      <c r="Q19" s="695"/>
      <c r="R19" s="695"/>
      <c r="S19" s="695"/>
      <c r="T19" s="695"/>
      <c r="U19" s="695"/>
      <c r="V19" s="695"/>
      <c r="W19" s="695"/>
      <c r="X19" s="695"/>
      <c r="Y19" s="695"/>
      <c r="Z19" s="695"/>
      <c r="AA19" s="48"/>
      <c r="AB19" s="48"/>
      <c r="AC19" s="48"/>
    </row>
    <row r="20" spans="1:68" ht="16.5" hidden="1" customHeight="1" x14ac:dyDescent="0.25">
      <c r="A20" s="553" t="s">
        <v>62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4"/>
      <c r="AB20" s="534"/>
      <c r="AC20" s="534"/>
    </row>
    <row r="21" spans="1:68" ht="14.25" hidden="1" customHeight="1" x14ac:dyDescent="0.25">
      <c r="A21" s="556" t="s">
        <v>63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5"/>
      <c r="AB21" s="535"/>
      <c r="AC21" s="535"/>
    </row>
    <row r="22" spans="1:68" ht="27" hidden="1" customHeight="1" x14ac:dyDescent="0.25">
      <c r="A22" s="54" t="s">
        <v>64</v>
      </c>
      <c r="B22" s="54" t="s">
        <v>65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9"/>
      <c r="R22" s="549"/>
      <c r="S22" s="549"/>
      <c r="T22" s="550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5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66"/>
      <c r="P23" s="545" t="s">
        <v>70</v>
      </c>
      <c r="Q23" s="546"/>
      <c r="R23" s="546"/>
      <c r="S23" s="546"/>
      <c r="T23" s="546"/>
      <c r="U23" s="546"/>
      <c r="V23" s="547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66"/>
      <c r="P24" s="545" t="s">
        <v>70</v>
      </c>
      <c r="Q24" s="546"/>
      <c r="R24" s="546"/>
      <c r="S24" s="546"/>
      <c r="T24" s="546"/>
      <c r="U24" s="546"/>
      <c r="V24" s="547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6" t="s">
        <v>72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5"/>
      <c r="AB25" s="535"/>
      <c r="AC25" s="535"/>
    </row>
    <row r="26" spans="1:68" ht="27" hidden="1" customHeight="1" x14ac:dyDescent="0.25">
      <c r="A26" s="54" t="s">
        <v>73</v>
      </c>
      <c r="B26" s="54" t="s">
        <v>74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9"/>
      <c r="R26" s="549"/>
      <c r="S26" s="549"/>
      <c r="T26" s="550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78</v>
      </c>
      <c r="B27" s="54" t="s">
        <v>79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9"/>
      <c r="R27" s="549"/>
      <c r="S27" s="549"/>
      <c r="T27" s="550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81</v>
      </c>
      <c r="B28" s="54" t="s">
        <v>82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9"/>
      <c r="R28" s="549"/>
      <c r="S28" s="549"/>
      <c r="T28" s="550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9"/>
      <c r="R29" s="549"/>
      <c r="S29" s="549"/>
      <c r="T29" s="550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9"/>
      <c r="R30" s="549"/>
      <c r="S30" s="549"/>
      <c r="T30" s="550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5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66"/>
      <c r="P31" s="545" t="s">
        <v>70</v>
      </c>
      <c r="Q31" s="546"/>
      <c r="R31" s="546"/>
      <c r="S31" s="546"/>
      <c r="T31" s="546"/>
      <c r="U31" s="546"/>
      <c r="V31" s="547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66"/>
      <c r="P32" s="545" t="s">
        <v>70</v>
      </c>
      <c r="Q32" s="546"/>
      <c r="R32" s="546"/>
      <c r="S32" s="546"/>
      <c r="T32" s="546"/>
      <c r="U32" s="546"/>
      <c r="V32" s="547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6" t="s">
        <v>90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5"/>
      <c r="AB33" s="535"/>
      <c r="AC33" s="535"/>
    </row>
    <row r="34" spans="1:68" ht="27" hidden="1" customHeight="1" x14ac:dyDescent="0.25">
      <c r="A34" s="54" t="s">
        <v>91</v>
      </c>
      <c r="B34" s="54" t="s">
        <v>92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4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9"/>
      <c r="R34" s="549"/>
      <c r="S34" s="549"/>
      <c r="T34" s="550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5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66"/>
      <c r="P35" s="545" t="s">
        <v>70</v>
      </c>
      <c r="Q35" s="546"/>
      <c r="R35" s="546"/>
      <c r="S35" s="546"/>
      <c r="T35" s="546"/>
      <c r="U35" s="546"/>
      <c r="V35" s="547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66"/>
      <c r="P36" s="545" t="s">
        <v>70</v>
      </c>
      <c r="Q36" s="546"/>
      <c r="R36" s="546"/>
      <c r="S36" s="546"/>
      <c r="T36" s="546"/>
      <c r="U36" s="546"/>
      <c r="V36" s="547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4" t="s">
        <v>96</v>
      </c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5"/>
      <c r="T37" s="695"/>
      <c r="U37" s="695"/>
      <c r="V37" s="695"/>
      <c r="W37" s="695"/>
      <c r="X37" s="695"/>
      <c r="Y37" s="695"/>
      <c r="Z37" s="695"/>
      <c r="AA37" s="48"/>
      <c r="AB37" s="48"/>
      <c r="AC37" s="48"/>
    </row>
    <row r="38" spans="1:68" ht="16.5" hidden="1" customHeight="1" x14ac:dyDescent="0.25">
      <c r="A38" s="553" t="s">
        <v>97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4"/>
      <c r="AB38" s="534"/>
      <c r="AC38" s="534"/>
    </row>
    <row r="39" spans="1:68" ht="14.25" hidden="1" customHeight="1" x14ac:dyDescent="0.25">
      <c r="A39" s="556" t="s">
        <v>98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9"/>
      <c r="R40" s="549"/>
      <c r="S40" s="549"/>
      <c r="T40" s="550"/>
      <c r="U40" s="34"/>
      <c r="V40" s="34"/>
      <c r="W40" s="35" t="s">
        <v>68</v>
      </c>
      <c r="X40" s="539">
        <v>11</v>
      </c>
      <c r="Y40" s="540">
        <f>IFERROR(IF(X40="",0,CEILING((X40/$H40),1)*$H40),"")</f>
        <v>21.6</v>
      </c>
      <c r="Z40" s="36">
        <f>IFERROR(IF(Y40=0,"",ROUNDUP(Y40/H40,0)*0.01898),"")</f>
        <v>3.7960000000000001E-2</v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11.417592592592593</v>
      </c>
      <c r="BN40" s="64">
        <f>IFERROR(Y40*I40/H40,"0")</f>
        <v>22.42</v>
      </c>
      <c r="BO40" s="64">
        <f>IFERROR(1/J40*(X40/H40),"0")</f>
        <v>1.591435185185185E-2</v>
      </c>
      <c r="BP40" s="64">
        <f>IFERROR(1/J40*(Y40/H40),"0")</f>
        <v>3.125E-2</v>
      </c>
    </row>
    <row r="41" spans="1:68" ht="27" hidden="1" customHeight="1" x14ac:dyDescent="0.25">
      <c r="A41" s="54" t="s">
        <v>106</v>
      </c>
      <c r="B41" s="54" t="s">
        <v>107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 t="s">
        <v>109</v>
      </c>
      <c r="M41" s="33" t="s">
        <v>76</v>
      </c>
      <c r="N41" s="33"/>
      <c r="O41" s="32">
        <v>50</v>
      </c>
      <c r="P41" s="77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9"/>
      <c r="R41" s="549"/>
      <c r="S41" s="549"/>
      <c r="T41" s="550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 t="s">
        <v>105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/>
      <c r="M42" s="33" t="s">
        <v>76</v>
      </c>
      <c r="N42" s="33"/>
      <c r="O42" s="32">
        <v>50</v>
      </c>
      <c r="P42" s="5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9"/>
      <c r="R42" s="549"/>
      <c r="S42" s="549"/>
      <c r="T42" s="550"/>
      <c r="U42" s="34"/>
      <c r="V42" s="34"/>
      <c r="W42" s="35" t="s">
        <v>68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5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66"/>
      <c r="P43" s="545" t="s">
        <v>70</v>
      </c>
      <c r="Q43" s="546"/>
      <c r="R43" s="546"/>
      <c r="S43" s="546"/>
      <c r="T43" s="546"/>
      <c r="U43" s="546"/>
      <c r="V43" s="547"/>
      <c r="W43" s="37" t="s">
        <v>71</v>
      </c>
      <c r="X43" s="541">
        <f>IFERROR(X40/H40,"0")+IFERROR(X41/H41,"0")+IFERROR(X42/H42,"0")</f>
        <v>1.0185185185185184</v>
      </c>
      <c r="Y43" s="541">
        <f>IFERROR(Y40/H40,"0")+IFERROR(Y41/H41,"0")+IFERROR(Y42/H42,"0")</f>
        <v>2</v>
      </c>
      <c r="Z43" s="541">
        <f>IFERROR(IF(Z40="",0,Z40),"0")+IFERROR(IF(Z41="",0,Z41),"0")+IFERROR(IF(Z42="",0,Z42),"0")</f>
        <v>3.7960000000000001E-2</v>
      </c>
      <c r="AA43" s="542"/>
      <c r="AB43" s="542"/>
      <c r="AC43" s="542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66"/>
      <c r="P44" s="545" t="s">
        <v>70</v>
      </c>
      <c r="Q44" s="546"/>
      <c r="R44" s="546"/>
      <c r="S44" s="546"/>
      <c r="T44" s="546"/>
      <c r="U44" s="546"/>
      <c r="V44" s="547"/>
      <c r="W44" s="37" t="s">
        <v>68</v>
      </c>
      <c r="X44" s="541">
        <f>IFERROR(SUM(X40:X42),"0")</f>
        <v>11</v>
      </c>
      <c r="Y44" s="541">
        <f>IFERROR(SUM(Y40:Y42),"0")</f>
        <v>21.6</v>
      </c>
      <c r="Z44" s="37"/>
      <c r="AA44" s="542"/>
      <c r="AB44" s="542"/>
      <c r="AC44" s="542"/>
    </row>
    <row r="45" spans="1:68" ht="14.25" hidden="1" customHeight="1" x14ac:dyDescent="0.25">
      <c r="A45" s="556" t="s">
        <v>72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5"/>
      <c r="AB45" s="535"/>
      <c r="AC45" s="535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9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9"/>
      <c r="R46" s="549"/>
      <c r="S46" s="549"/>
      <c r="T46" s="550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5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66"/>
      <c r="P47" s="545" t="s">
        <v>70</v>
      </c>
      <c r="Q47" s="546"/>
      <c r="R47" s="546"/>
      <c r="S47" s="546"/>
      <c r="T47" s="546"/>
      <c r="U47" s="546"/>
      <c r="V47" s="547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66"/>
      <c r="P48" s="545" t="s">
        <v>70</v>
      </c>
      <c r="Q48" s="546"/>
      <c r="R48" s="546"/>
      <c r="S48" s="546"/>
      <c r="T48" s="546"/>
      <c r="U48" s="546"/>
      <c r="V48" s="547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53" t="s">
        <v>115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4"/>
      <c r="AB49" s="534"/>
      <c r="AC49" s="534"/>
    </row>
    <row r="50" spans="1:68" ht="14.25" hidden="1" customHeight="1" x14ac:dyDescent="0.25">
      <c r="A50" s="556" t="s">
        <v>98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5"/>
      <c r="AB50" s="535"/>
      <c r="AC50" s="535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/>
      <c r="M51" s="33" t="s">
        <v>76</v>
      </c>
      <c r="N51" s="33"/>
      <c r="O51" s="32">
        <v>50</v>
      </c>
      <c r="P51" s="73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9"/>
      <c r="R51" s="549"/>
      <c r="S51" s="549"/>
      <c r="T51" s="550"/>
      <c r="U51" s="34"/>
      <c r="V51" s="34"/>
      <c r="W51" s="35" t="s">
        <v>68</v>
      </c>
      <c r="X51" s="539">
        <v>48</v>
      </c>
      <c r="Y51" s="540">
        <f t="shared" ref="Y51:Y56" si="0">IFERROR(IF(X51="",0,CEILING((X51/$H51),1)*$H51),"")</f>
        <v>56</v>
      </c>
      <c r="Z51" s="36">
        <f>IFERROR(IF(Y51=0,"",ROUNDUP(Y51/H51,0)*0.01898),"")</f>
        <v>9.4899999999999998E-2</v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49.75714285714286</v>
      </c>
      <c r="BN51" s="64">
        <f t="shared" ref="BN51:BN56" si="2">IFERROR(Y51*I51/H51,"0")</f>
        <v>58.050000000000004</v>
      </c>
      <c r="BO51" s="64">
        <f t="shared" ref="BO51:BO56" si="3">IFERROR(1/J51*(X51/H51),"0")</f>
        <v>6.6964285714285712E-2</v>
      </c>
      <c r="BP51" s="64">
        <f t="shared" ref="BP51:BP56" si="4">IFERROR(1/J51*(Y51/H51),"0")</f>
        <v>7.8125E-2</v>
      </c>
    </row>
    <row r="52" spans="1:68" ht="27" hidden="1" customHeight="1" x14ac:dyDescent="0.25">
      <c r="A52" s="54" t="s">
        <v>119</v>
      </c>
      <c r="B52" s="54" t="s">
        <v>120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6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9"/>
      <c r="R52" s="549"/>
      <c r="S52" s="549"/>
      <c r="T52" s="550"/>
      <c r="U52" s="34"/>
      <c r="V52" s="34"/>
      <c r="W52" s="35" t="s">
        <v>68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9"/>
      <c r="R53" s="549"/>
      <c r="S53" s="549"/>
      <c r="T53" s="550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125</v>
      </c>
      <c r="B54" s="54" t="s">
        <v>126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109</v>
      </c>
      <c r="M54" s="33" t="s">
        <v>103</v>
      </c>
      <c r="N54" s="33"/>
      <c r="O54" s="32">
        <v>50</v>
      </c>
      <c r="P54" s="81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9"/>
      <c r="R54" s="549"/>
      <c r="S54" s="549"/>
      <c r="T54" s="550"/>
      <c r="U54" s="34"/>
      <c r="V54" s="34"/>
      <c r="W54" s="35" t="s">
        <v>68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6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9"/>
      <c r="R55" s="549"/>
      <c r="S55" s="549"/>
      <c r="T55" s="550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 t="s">
        <v>109</v>
      </c>
      <c r="M56" s="33" t="s">
        <v>103</v>
      </c>
      <c r="N56" s="33"/>
      <c r="O56" s="32">
        <v>50</v>
      </c>
      <c r="P56" s="6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9"/>
      <c r="R56" s="549"/>
      <c r="S56" s="549"/>
      <c r="T56" s="550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 t="s">
        <v>105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5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66"/>
      <c r="P57" s="545" t="s">
        <v>70</v>
      </c>
      <c r="Q57" s="546"/>
      <c r="R57" s="546"/>
      <c r="S57" s="546"/>
      <c r="T57" s="546"/>
      <c r="U57" s="546"/>
      <c r="V57" s="547"/>
      <c r="W57" s="37" t="s">
        <v>71</v>
      </c>
      <c r="X57" s="541">
        <f>IFERROR(X51/H51,"0")+IFERROR(X52/H52,"0")+IFERROR(X53/H53,"0")+IFERROR(X54/H54,"0")+IFERROR(X55/H55,"0")+IFERROR(X56/H56,"0")</f>
        <v>4.2857142857142856</v>
      </c>
      <c r="Y57" s="541">
        <f>IFERROR(Y51/H51,"0")+IFERROR(Y52/H52,"0")+IFERROR(Y53/H53,"0")+IFERROR(Y54/H54,"0")+IFERROR(Y55/H55,"0")+IFERROR(Y56/H56,"0")</f>
        <v>5</v>
      </c>
      <c r="Z57" s="541">
        <f>IFERROR(IF(Z51="",0,Z51),"0")+IFERROR(IF(Z52="",0,Z52),"0")+IFERROR(IF(Z53="",0,Z53),"0")+IFERROR(IF(Z54="",0,Z54),"0")+IFERROR(IF(Z55="",0,Z55),"0")+IFERROR(IF(Z56="",0,Z56),"0")</f>
        <v>9.4899999999999998E-2</v>
      </c>
      <c r="AA57" s="542"/>
      <c r="AB57" s="542"/>
      <c r="AC57" s="542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66"/>
      <c r="P58" s="545" t="s">
        <v>70</v>
      </c>
      <c r="Q58" s="546"/>
      <c r="R58" s="546"/>
      <c r="S58" s="546"/>
      <c r="T58" s="546"/>
      <c r="U58" s="546"/>
      <c r="V58" s="547"/>
      <c r="W58" s="37" t="s">
        <v>68</v>
      </c>
      <c r="X58" s="541">
        <f>IFERROR(SUM(X51:X56),"0")</f>
        <v>48</v>
      </c>
      <c r="Y58" s="541">
        <f>IFERROR(SUM(Y51:Y56),"0")</f>
        <v>56</v>
      </c>
      <c r="Z58" s="37"/>
      <c r="AA58" s="542"/>
      <c r="AB58" s="542"/>
      <c r="AC58" s="542"/>
    </row>
    <row r="59" spans="1:68" ht="14.25" hidden="1" customHeight="1" x14ac:dyDescent="0.25">
      <c r="A59" s="556" t="s">
        <v>134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5"/>
      <c r="AB59" s="535"/>
      <c r="AC59" s="53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9"/>
      <c r="R60" s="549"/>
      <c r="S60" s="549"/>
      <c r="T60" s="550"/>
      <c r="U60" s="34"/>
      <c r="V60" s="34"/>
      <c r="W60" s="35" t="s">
        <v>68</v>
      </c>
      <c r="X60" s="539">
        <v>66</v>
      </c>
      <c r="Y60" s="540">
        <f>IFERROR(IF(X60="",0,CEILING((X60/$H60),1)*$H60),"")</f>
        <v>75.600000000000009</v>
      </c>
      <c r="Z60" s="36">
        <f>IFERROR(IF(Y60=0,"",ROUNDUP(Y60/H60,0)*0.01898),"")</f>
        <v>0.13286000000000001</v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68.505555555555546</v>
      </c>
      <c r="BN60" s="64">
        <f>IFERROR(Y60*I60/H60,"0")</f>
        <v>78.47</v>
      </c>
      <c r="BO60" s="64">
        <f>IFERROR(1/J60*(X60/H60),"0")</f>
        <v>9.5486111111111105E-2</v>
      </c>
      <c r="BP60" s="64">
        <f>IFERROR(1/J60*(Y60/H60),"0")</f>
        <v>0.109375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9"/>
      <c r="R61" s="549"/>
      <c r="S61" s="549"/>
      <c r="T61" s="550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9"/>
      <c r="R62" s="549"/>
      <c r="S62" s="549"/>
      <c r="T62" s="550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5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66"/>
      <c r="P63" s="545" t="s">
        <v>70</v>
      </c>
      <c r="Q63" s="546"/>
      <c r="R63" s="546"/>
      <c r="S63" s="546"/>
      <c r="T63" s="546"/>
      <c r="U63" s="546"/>
      <c r="V63" s="547"/>
      <c r="W63" s="37" t="s">
        <v>71</v>
      </c>
      <c r="X63" s="541">
        <f>IFERROR(X60/H60,"0")+IFERROR(X61/H61,"0")+IFERROR(X62/H62,"0")</f>
        <v>6.1111111111111107</v>
      </c>
      <c r="Y63" s="541">
        <f>IFERROR(Y60/H60,"0")+IFERROR(Y61/H61,"0")+IFERROR(Y62/H62,"0")</f>
        <v>7</v>
      </c>
      <c r="Z63" s="541">
        <f>IFERROR(IF(Z60="",0,Z60),"0")+IFERROR(IF(Z61="",0,Z61),"0")+IFERROR(IF(Z62="",0,Z62),"0")</f>
        <v>0.13286000000000001</v>
      </c>
      <c r="AA63" s="542"/>
      <c r="AB63" s="542"/>
      <c r="AC63" s="542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66"/>
      <c r="P64" s="545" t="s">
        <v>70</v>
      </c>
      <c r="Q64" s="546"/>
      <c r="R64" s="546"/>
      <c r="S64" s="546"/>
      <c r="T64" s="546"/>
      <c r="U64" s="546"/>
      <c r="V64" s="547"/>
      <c r="W64" s="37" t="s">
        <v>68</v>
      </c>
      <c r="X64" s="541">
        <f>IFERROR(SUM(X60:X62),"0")</f>
        <v>66</v>
      </c>
      <c r="Y64" s="541">
        <f>IFERROR(SUM(Y60:Y62),"0")</f>
        <v>75.600000000000009</v>
      </c>
      <c r="Z64" s="37"/>
      <c r="AA64" s="542"/>
      <c r="AB64" s="542"/>
      <c r="AC64" s="542"/>
    </row>
    <row r="65" spans="1:68" ht="14.25" hidden="1" customHeight="1" x14ac:dyDescent="0.25">
      <c r="A65" s="556" t="s">
        <v>63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5"/>
      <c r="AB65" s="535"/>
      <c r="AC65" s="535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9"/>
      <c r="R66" s="549"/>
      <c r="S66" s="549"/>
      <c r="T66" s="550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9"/>
      <c r="R67" s="549"/>
      <c r="S67" s="549"/>
      <c r="T67" s="550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9"/>
      <c r="R68" s="549"/>
      <c r="S68" s="549"/>
      <c r="T68" s="550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5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66"/>
      <c r="P69" s="545" t="s">
        <v>70</v>
      </c>
      <c r="Q69" s="546"/>
      <c r="R69" s="546"/>
      <c r="S69" s="546"/>
      <c r="T69" s="546"/>
      <c r="U69" s="546"/>
      <c r="V69" s="547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66"/>
      <c r="P70" s="545" t="s">
        <v>70</v>
      </c>
      <c r="Q70" s="546"/>
      <c r="R70" s="546"/>
      <c r="S70" s="546"/>
      <c r="T70" s="546"/>
      <c r="U70" s="546"/>
      <c r="V70" s="547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6" t="s">
        <v>72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5"/>
      <c r="AB71" s="535"/>
      <c r="AC71" s="535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/>
      <c r="M72" s="33" t="s">
        <v>76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9"/>
      <c r="R72" s="549"/>
      <c r="S72" s="549"/>
      <c r="T72" s="550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9"/>
      <c r="R73" s="549"/>
      <c r="S73" s="549"/>
      <c r="T73" s="550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9"/>
      <c r="R74" s="549"/>
      <c r="S74" s="549"/>
      <c r="T74" s="550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9"/>
      <c r="R75" s="549"/>
      <c r="S75" s="549"/>
      <c r="T75" s="550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5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66"/>
      <c r="P76" s="545" t="s">
        <v>70</v>
      </c>
      <c r="Q76" s="546"/>
      <c r="R76" s="546"/>
      <c r="S76" s="546"/>
      <c r="T76" s="546"/>
      <c r="U76" s="546"/>
      <c r="V76" s="547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66"/>
      <c r="P77" s="545" t="s">
        <v>70</v>
      </c>
      <c r="Q77" s="546"/>
      <c r="R77" s="546"/>
      <c r="S77" s="546"/>
      <c r="T77" s="546"/>
      <c r="U77" s="546"/>
      <c r="V77" s="547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6" t="s">
        <v>162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5"/>
      <c r="AB78" s="535"/>
      <c r="AC78" s="535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9"/>
      <c r="R79" s="549"/>
      <c r="S79" s="549"/>
      <c r="T79" s="550"/>
      <c r="U79" s="34"/>
      <c r="V79" s="34"/>
      <c r="W79" s="35" t="s">
        <v>68</v>
      </c>
      <c r="X79" s="539">
        <v>33</v>
      </c>
      <c r="Y79" s="540">
        <f>IFERROR(IF(X79="",0,CEILING((X79/$H79),1)*$H79),"")</f>
        <v>39</v>
      </c>
      <c r="Z79" s="36">
        <f>IFERROR(IF(Y79=0,"",ROUNDUP(Y79/H79,0)*0.01898),"")</f>
        <v>9.4899999999999998E-2</v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34.734615384615388</v>
      </c>
      <c r="BN79" s="64">
        <f>IFERROR(Y79*I79/H79,"0")</f>
        <v>41.050000000000011</v>
      </c>
      <c r="BO79" s="64">
        <f>IFERROR(1/J79*(X79/H79),"0")</f>
        <v>6.6105769230769232E-2</v>
      </c>
      <c r="BP79" s="64">
        <f>IFERROR(1/J79*(Y79/H79),"0")</f>
        <v>7.8125E-2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9"/>
      <c r="R80" s="549"/>
      <c r="S80" s="549"/>
      <c r="T80" s="550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5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66"/>
      <c r="P81" s="545" t="s">
        <v>70</v>
      </c>
      <c r="Q81" s="546"/>
      <c r="R81" s="546"/>
      <c r="S81" s="546"/>
      <c r="T81" s="546"/>
      <c r="U81" s="546"/>
      <c r="V81" s="547"/>
      <c r="W81" s="37" t="s">
        <v>71</v>
      </c>
      <c r="X81" s="541">
        <f>IFERROR(X79/H79,"0")+IFERROR(X80/H80,"0")</f>
        <v>4.2307692307692308</v>
      </c>
      <c r="Y81" s="541">
        <f>IFERROR(Y79/H79,"0")+IFERROR(Y80/H80,"0")</f>
        <v>5</v>
      </c>
      <c r="Z81" s="541">
        <f>IFERROR(IF(Z79="",0,Z79),"0")+IFERROR(IF(Z80="",0,Z80),"0")</f>
        <v>9.4899999999999998E-2</v>
      </c>
      <c r="AA81" s="542"/>
      <c r="AB81" s="542"/>
      <c r="AC81" s="542"/>
    </row>
    <row r="82" spans="1:68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66"/>
      <c r="P82" s="545" t="s">
        <v>70</v>
      </c>
      <c r="Q82" s="546"/>
      <c r="R82" s="546"/>
      <c r="S82" s="546"/>
      <c r="T82" s="546"/>
      <c r="U82" s="546"/>
      <c r="V82" s="547"/>
      <c r="W82" s="37" t="s">
        <v>68</v>
      </c>
      <c r="X82" s="541">
        <f>IFERROR(SUM(X79:X80),"0")</f>
        <v>33</v>
      </c>
      <c r="Y82" s="541">
        <f>IFERROR(SUM(Y79:Y80),"0")</f>
        <v>39</v>
      </c>
      <c r="Z82" s="37"/>
      <c r="AA82" s="542"/>
      <c r="AB82" s="542"/>
      <c r="AC82" s="542"/>
    </row>
    <row r="83" spans="1:68" ht="16.5" hidden="1" customHeight="1" x14ac:dyDescent="0.25">
      <c r="A83" s="553" t="s">
        <v>169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4"/>
      <c r="AB83" s="534"/>
      <c r="AC83" s="534"/>
    </row>
    <row r="84" spans="1:68" ht="14.25" hidden="1" customHeight="1" x14ac:dyDescent="0.25">
      <c r="A84" s="556" t="s">
        <v>98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5"/>
      <c r="AB84" s="535"/>
      <c r="AC84" s="53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9"/>
      <c r="R85" s="549"/>
      <c r="S85" s="549"/>
      <c r="T85" s="550"/>
      <c r="U85" s="34"/>
      <c r="V85" s="34"/>
      <c r="W85" s="35" t="s">
        <v>68</v>
      </c>
      <c r="X85" s="539">
        <v>616</v>
      </c>
      <c r="Y85" s="540">
        <f>IFERROR(IF(X85="",0,CEILING((X85/$H85),1)*$H85),"")</f>
        <v>626.40000000000009</v>
      </c>
      <c r="Z85" s="36">
        <f>IFERROR(IF(Y85=0,"",ROUNDUP(Y85/H85,0)*0.01898),"")</f>
        <v>1.10084</v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639.38518518518515</v>
      </c>
      <c r="BN85" s="64">
        <f>IFERROR(Y85*I85/H85,"0")</f>
        <v>650.18000000000006</v>
      </c>
      <c r="BO85" s="64">
        <f>IFERROR(1/J85*(X85/H85),"0")</f>
        <v>0.89120370370370361</v>
      </c>
      <c r="BP85" s="64">
        <f>IFERROR(1/J85*(Y85/H85),"0")</f>
        <v>0.90625000000000011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 t="s">
        <v>109</v>
      </c>
      <c r="M86" s="33" t="s">
        <v>76</v>
      </c>
      <c r="N86" s="33"/>
      <c r="O86" s="32">
        <v>50</v>
      </c>
      <c r="P86" s="5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9"/>
      <c r="R86" s="549"/>
      <c r="S86" s="549"/>
      <c r="T86" s="550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 t="s">
        <v>105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109</v>
      </c>
      <c r="M87" s="33" t="s">
        <v>83</v>
      </c>
      <c r="N87" s="33"/>
      <c r="O87" s="32">
        <v>50</v>
      </c>
      <c r="P87" s="7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9"/>
      <c r="R87" s="549"/>
      <c r="S87" s="549"/>
      <c r="T87" s="550"/>
      <c r="U87" s="34"/>
      <c r="V87" s="34"/>
      <c r="W87" s="35" t="s">
        <v>68</v>
      </c>
      <c r="X87" s="539">
        <v>65</v>
      </c>
      <c r="Y87" s="540">
        <f>IFERROR(IF(X87="",0,CEILING((X87/$H87),1)*$H87),"")</f>
        <v>67.5</v>
      </c>
      <c r="Z87" s="36">
        <f>IFERROR(IF(Y87=0,"",ROUNDUP(Y87/H87,0)*0.00902),"")</f>
        <v>0.1353</v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67.744444444444454</v>
      </c>
      <c r="BN87" s="64">
        <f>IFERROR(Y87*I87/H87,"0")</f>
        <v>70.350000000000009</v>
      </c>
      <c r="BO87" s="64">
        <f>IFERROR(1/J87*(X87/H87),"0")</f>
        <v>0.10942760942760943</v>
      </c>
      <c r="BP87" s="64">
        <f>IFERROR(1/J87*(Y87/H87),"0")</f>
        <v>0.11363636363636365</v>
      </c>
    </row>
    <row r="88" spans="1:68" x14ac:dyDescent="0.2">
      <c r="A88" s="565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66"/>
      <c r="P88" s="545" t="s">
        <v>70</v>
      </c>
      <c r="Q88" s="546"/>
      <c r="R88" s="546"/>
      <c r="S88" s="546"/>
      <c r="T88" s="546"/>
      <c r="U88" s="546"/>
      <c r="V88" s="547"/>
      <c r="W88" s="37" t="s">
        <v>71</v>
      </c>
      <c r="X88" s="541">
        <f>IFERROR(X85/H85,"0")+IFERROR(X86/H86,"0")+IFERROR(X87/H87,"0")</f>
        <v>71.481481481481481</v>
      </c>
      <c r="Y88" s="541">
        <f>IFERROR(Y85/H85,"0")+IFERROR(Y86/H86,"0")+IFERROR(Y87/H87,"0")</f>
        <v>73</v>
      </c>
      <c r="Z88" s="541">
        <f>IFERROR(IF(Z85="",0,Z85),"0")+IFERROR(IF(Z86="",0,Z86),"0")+IFERROR(IF(Z87="",0,Z87),"0")</f>
        <v>1.23614</v>
      </c>
      <c r="AA88" s="542"/>
      <c r="AB88" s="542"/>
      <c r="AC88" s="542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66"/>
      <c r="P89" s="545" t="s">
        <v>70</v>
      </c>
      <c r="Q89" s="546"/>
      <c r="R89" s="546"/>
      <c r="S89" s="546"/>
      <c r="T89" s="546"/>
      <c r="U89" s="546"/>
      <c r="V89" s="547"/>
      <c r="W89" s="37" t="s">
        <v>68</v>
      </c>
      <c r="X89" s="541">
        <f>IFERROR(SUM(X85:X87),"0")</f>
        <v>681</v>
      </c>
      <c r="Y89" s="541">
        <f>IFERROR(SUM(Y85:Y87),"0")</f>
        <v>693.90000000000009</v>
      </c>
      <c r="Z89" s="37"/>
      <c r="AA89" s="542"/>
      <c r="AB89" s="542"/>
      <c r="AC89" s="542"/>
    </row>
    <row r="90" spans="1:68" ht="14.25" hidden="1" customHeight="1" x14ac:dyDescent="0.25">
      <c r="A90" s="556" t="s">
        <v>72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5"/>
      <c r="AB90" s="535"/>
      <c r="AC90" s="535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9"/>
      <c r="R91" s="549"/>
      <c r="S91" s="549"/>
      <c r="T91" s="550"/>
      <c r="U91" s="34"/>
      <c r="V91" s="34"/>
      <c r="W91" s="35" t="s">
        <v>68</v>
      </c>
      <c r="X91" s="539">
        <v>70</v>
      </c>
      <c r="Y91" s="540">
        <f>IFERROR(IF(X91="",0,CEILING((X91/$H91),1)*$H91),"")</f>
        <v>72.899999999999991</v>
      </c>
      <c r="Z91" s="36">
        <f>IFERROR(IF(Y91=0,"",ROUNDUP(Y91/H91,0)*0.01898),"")</f>
        <v>0.17082</v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74.269135802469137</v>
      </c>
      <c r="BN91" s="64">
        <f>IFERROR(Y91*I91/H91,"0")</f>
        <v>77.345999999999989</v>
      </c>
      <c r="BO91" s="64">
        <f>IFERROR(1/J91*(X91/H91),"0")</f>
        <v>0.13503086419753088</v>
      </c>
      <c r="BP91" s="64">
        <f>IFERROR(1/J91*(Y91/H91),"0")</f>
        <v>0.140625</v>
      </c>
    </row>
    <row r="92" spans="1:68" ht="27" hidden="1" customHeight="1" x14ac:dyDescent="0.25">
      <c r="A92" s="54" t="s">
        <v>180</v>
      </c>
      <c r="B92" s="54" t="s">
        <v>181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9"/>
      <c r="R92" s="549"/>
      <c r="S92" s="549"/>
      <c r="T92" s="550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 t="s">
        <v>185</v>
      </c>
      <c r="M93" s="33" t="s">
        <v>83</v>
      </c>
      <c r="N93" s="33"/>
      <c r="O93" s="32">
        <v>45</v>
      </c>
      <c r="P93" s="74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9"/>
      <c r="R93" s="549"/>
      <c r="S93" s="549"/>
      <c r="T93" s="550"/>
      <c r="U93" s="34"/>
      <c r="V93" s="34"/>
      <c r="W93" s="35" t="s">
        <v>68</v>
      </c>
      <c r="X93" s="539">
        <v>196</v>
      </c>
      <c r="Y93" s="540">
        <f>IFERROR(IF(X93="",0,CEILING((X93/$H93),1)*$H93),"")</f>
        <v>197.10000000000002</v>
      </c>
      <c r="Z93" s="36">
        <f>IFERROR(IF(Y93=0,"",ROUNDUP(Y93/H93,0)*0.00651),"")</f>
        <v>0.47522999999999999</v>
      </c>
      <c r="AA93" s="56"/>
      <c r="AB93" s="57"/>
      <c r="AC93" s="137" t="s">
        <v>179</v>
      </c>
      <c r="AG93" s="64"/>
      <c r="AJ93" s="68" t="s">
        <v>105</v>
      </c>
      <c r="AK93" s="68">
        <v>37.799999999999997</v>
      </c>
      <c r="BB93" s="138" t="s">
        <v>1</v>
      </c>
      <c r="BM93" s="64">
        <f>IFERROR(X93*I93/H93,"0")</f>
        <v>214.29333333333332</v>
      </c>
      <c r="BN93" s="64">
        <f>IFERROR(Y93*I93/H93,"0")</f>
        <v>215.49599999999998</v>
      </c>
      <c r="BO93" s="64">
        <f>IFERROR(1/J93*(X93/H93),"0")</f>
        <v>0.39886039886039881</v>
      </c>
      <c r="BP93" s="64">
        <f>IFERROR(1/J93*(Y93/H93),"0")</f>
        <v>0.40109890109890112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 t="s">
        <v>185</v>
      </c>
      <c r="M94" s="33" t="s">
        <v>76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9"/>
      <c r="R94" s="549"/>
      <c r="S94" s="549"/>
      <c r="T94" s="550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 t="s">
        <v>105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5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66"/>
      <c r="P95" s="545" t="s">
        <v>70</v>
      </c>
      <c r="Q95" s="546"/>
      <c r="R95" s="546"/>
      <c r="S95" s="546"/>
      <c r="T95" s="546"/>
      <c r="U95" s="546"/>
      <c r="V95" s="547"/>
      <c r="W95" s="37" t="s">
        <v>71</v>
      </c>
      <c r="X95" s="541">
        <f>IFERROR(X91/H91,"0")+IFERROR(X92/H92,"0")+IFERROR(X93/H93,"0")+IFERROR(X94/H94,"0")</f>
        <v>81.234567901234556</v>
      </c>
      <c r="Y95" s="541">
        <f>IFERROR(Y91/H91,"0")+IFERROR(Y92/H92,"0")+IFERROR(Y93/H93,"0")+IFERROR(Y94/H94,"0")</f>
        <v>82</v>
      </c>
      <c r="Z95" s="541">
        <f>IFERROR(IF(Z91="",0,Z91),"0")+IFERROR(IF(Z92="",0,Z92),"0")+IFERROR(IF(Z93="",0,Z93),"0")+IFERROR(IF(Z94="",0,Z94),"0")</f>
        <v>0.64605000000000001</v>
      </c>
      <c r="AA95" s="542"/>
      <c r="AB95" s="542"/>
      <c r="AC95" s="542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66"/>
      <c r="P96" s="545" t="s">
        <v>70</v>
      </c>
      <c r="Q96" s="546"/>
      <c r="R96" s="546"/>
      <c r="S96" s="546"/>
      <c r="T96" s="546"/>
      <c r="U96" s="546"/>
      <c r="V96" s="547"/>
      <c r="W96" s="37" t="s">
        <v>68</v>
      </c>
      <c r="X96" s="541">
        <f>IFERROR(SUM(X91:X94),"0")</f>
        <v>266</v>
      </c>
      <c r="Y96" s="541">
        <f>IFERROR(SUM(Y91:Y94),"0")</f>
        <v>270</v>
      </c>
      <c r="Z96" s="37"/>
      <c r="AA96" s="542"/>
      <c r="AB96" s="542"/>
      <c r="AC96" s="542"/>
    </row>
    <row r="97" spans="1:68" ht="16.5" hidden="1" customHeight="1" x14ac:dyDescent="0.25">
      <c r="A97" s="553" t="s">
        <v>189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4"/>
      <c r="AB97" s="534"/>
      <c r="AC97" s="534"/>
    </row>
    <row r="98" spans="1:68" ht="14.25" hidden="1" customHeight="1" x14ac:dyDescent="0.25">
      <c r="A98" s="556" t="s">
        <v>98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9"/>
      <c r="R99" s="549"/>
      <c r="S99" s="549"/>
      <c r="T99" s="550"/>
      <c r="U99" s="34"/>
      <c r="V99" s="34"/>
      <c r="W99" s="35" t="s">
        <v>68</v>
      </c>
      <c r="X99" s="539">
        <v>217</v>
      </c>
      <c r="Y99" s="540">
        <f>IFERROR(IF(X99="",0,CEILING((X99/$H99),1)*$H99),"")</f>
        <v>226.8</v>
      </c>
      <c r="Z99" s="36">
        <f>IFERROR(IF(Y99=0,"",ROUNDUP(Y99/H99,0)*0.01898),"")</f>
        <v>0.39857999999999999</v>
      </c>
      <c r="AA99" s="56"/>
      <c r="AB99" s="57"/>
      <c r="AC99" s="141" t="s">
        <v>192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225.23796296296297</v>
      </c>
      <c r="BN99" s="64">
        <f>IFERROR(Y99*I99/H99,"0")</f>
        <v>235.41000000000003</v>
      </c>
      <c r="BO99" s="64">
        <f>IFERROR(1/J99*(X99/H99),"0")</f>
        <v>0.31394675925925924</v>
      </c>
      <c r="BP99" s="64">
        <f>IFERROR(1/J99*(Y99/H99),"0")</f>
        <v>0.328125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 t="s">
        <v>109</v>
      </c>
      <c r="M100" s="33" t="s">
        <v>76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9"/>
      <c r="R100" s="549"/>
      <c r="S100" s="549"/>
      <c r="T100" s="550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 t="s">
        <v>105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195</v>
      </c>
      <c r="B101" s="54" t="s">
        <v>196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109</v>
      </c>
      <c r="M101" s="33" t="s">
        <v>76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9"/>
      <c r="R101" s="549"/>
      <c r="S101" s="549"/>
      <c r="T101" s="550"/>
      <c r="U101" s="34"/>
      <c r="V101" s="34"/>
      <c r="W101" s="35" t="s">
        <v>68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9"/>
      <c r="R102" s="549"/>
      <c r="S102" s="549"/>
      <c r="T102" s="550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5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66"/>
      <c r="P103" s="545" t="s">
        <v>70</v>
      </c>
      <c r="Q103" s="546"/>
      <c r="R103" s="546"/>
      <c r="S103" s="546"/>
      <c r="T103" s="546"/>
      <c r="U103" s="546"/>
      <c r="V103" s="547"/>
      <c r="W103" s="37" t="s">
        <v>71</v>
      </c>
      <c r="X103" s="541">
        <f>IFERROR(X99/H99,"0")+IFERROR(X100/H100,"0")+IFERROR(X101/H101,"0")+IFERROR(X102/H102,"0")</f>
        <v>20.092592592592592</v>
      </c>
      <c r="Y103" s="541">
        <f>IFERROR(Y99/H99,"0")+IFERROR(Y100/H100,"0")+IFERROR(Y101/H101,"0")+IFERROR(Y102/H102,"0")</f>
        <v>21</v>
      </c>
      <c r="Z103" s="541">
        <f>IFERROR(IF(Z99="",0,Z99),"0")+IFERROR(IF(Z100="",0,Z100),"0")+IFERROR(IF(Z101="",0,Z101),"0")+IFERROR(IF(Z102="",0,Z102),"0")</f>
        <v>0.39857999999999999</v>
      </c>
      <c r="AA103" s="542"/>
      <c r="AB103" s="542"/>
      <c r="AC103" s="542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66"/>
      <c r="P104" s="545" t="s">
        <v>70</v>
      </c>
      <c r="Q104" s="546"/>
      <c r="R104" s="546"/>
      <c r="S104" s="546"/>
      <c r="T104" s="546"/>
      <c r="U104" s="546"/>
      <c r="V104" s="547"/>
      <c r="W104" s="37" t="s">
        <v>68</v>
      </c>
      <c r="X104" s="541">
        <f>IFERROR(SUM(X99:X102),"0")</f>
        <v>217</v>
      </c>
      <c r="Y104" s="541">
        <f>IFERROR(SUM(Y99:Y102),"0")</f>
        <v>226.8</v>
      </c>
      <c r="Z104" s="37"/>
      <c r="AA104" s="542"/>
      <c r="AB104" s="542"/>
      <c r="AC104" s="542"/>
    </row>
    <row r="105" spans="1:68" ht="14.25" hidden="1" customHeight="1" x14ac:dyDescent="0.25">
      <c r="A105" s="556" t="s">
        <v>134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5"/>
      <c r="AB105" s="535"/>
      <c r="AC105" s="535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9"/>
      <c r="R106" s="549"/>
      <c r="S106" s="549"/>
      <c r="T106" s="550"/>
      <c r="U106" s="34"/>
      <c r="V106" s="34"/>
      <c r="W106" s="35" t="s">
        <v>68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9"/>
      <c r="R107" s="549"/>
      <c r="S107" s="549"/>
      <c r="T107" s="550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/>
      <c r="M108" s="33" t="s">
        <v>103</v>
      </c>
      <c r="N108" s="33"/>
      <c r="O108" s="32">
        <v>55</v>
      </c>
      <c r="P108" s="7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9"/>
      <c r="R108" s="549"/>
      <c r="S108" s="549"/>
      <c r="T108" s="550"/>
      <c r="U108" s="34"/>
      <c r="V108" s="34"/>
      <c r="W108" s="35" t="s">
        <v>68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65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66"/>
      <c r="P109" s="545" t="s">
        <v>70</v>
      </c>
      <c r="Q109" s="546"/>
      <c r="R109" s="546"/>
      <c r="S109" s="546"/>
      <c r="T109" s="546"/>
      <c r="U109" s="546"/>
      <c r="V109" s="547"/>
      <c r="W109" s="37" t="s">
        <v>71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66"/>
      <c r="P110" s="545" t="s">
        <v>70</v>
      </c>
      <c r="Q110" s="546"/>
      <c r="R110" s="546"/>
      <c r="S110" s="546"/>
      <c r="T110" s="546"/>
      <c r="U110" s="546"/>
      <c r="V110" s="547"/>
      <c r="W110" s="37" t="s">
        <v>68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6" t="s">
        <v>72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5"/>
      <c r="AB111" s="535"/>
      <c r="AC111" s="535"/>
    </row>
    <row r="112" spans="1:68" ht="27" hidden="1" customHeight="1" x14ac:dyDescent="0.25">
      <c r="A112" s="54" t="s">
        <v>206</v>
      </c>
      <c r="B112" s="54" t="s">
        <v>207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9"/>
      <c r="R112" s="549"/>
      <c r="S112" s="549"/>
      <c r="T112" s="550"/>
      <c r="U112" s="34"/>
      <c r="V112" s="34"/>
      <c r="W112" s="35" t="s">
        <v>68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4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9"/>
      <c r="R113" s="549"/>
      <c r="S113" s="549"/>
      <c r="T113" s="550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211</v>
      </c>
      <c r="B114" s="54" t="s">
        <v>212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185</v>
      </c>
      <c r="M114" s="33" t="s">
        <v>83</v>
      </c>
      <c r="N114" s="33"/>
      <c r="O114" s="32">
        <v>45</v>
      </c>
      <c r="P114" s="78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9"/>
      <c r="R114" s="549"/>
      <c r="S114" s="549"/>
      <c r="T114" s="550"/>
      <c r="U114" s="34"/>
      <c r="V114" s="34"/>
      <c r="W114" s="35" t="s">
        <v>68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213</v>
      </c>
      <c r="B115" s="54" t="s">
        <v>214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9"/>
      <c r="R115" s="549"/>
      <c r="S115" s="549"/>
      <c r="T115" s="550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65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66"/>
      <c r="P116" s="545" t="s">
        <v>70</v>
      </c>
      <c r="Q116" s="546"/>
      <c r="R116" s="546"/>
      <c r="S116" s="546"/>
      <c r="T116" s="546"/>
      <c r="U116" s="546"/>
      <c r="V116" s="547"/>
      <c r="W116" s="37" t="s">
        <v>71</v>
      </c>
      <c r="X116" s="541">
        <f>IFERROR(X112/H112,"0")+IFERROR(X113/H113,"0")+IFERROR(X114/H114,"0")+IFERROR(X115/H115,"0")</f>
        <v>0</v>
      </c>
      <c r="Y116" s="541">
        <f>IFERROR(Y112/H112,"0")+IFERROR(Y113/H113,"0")+IFERROR(Y114/H114,"0")+IFERROR(Y115/H115,"0")</f>
        <v>0</v>
      </c>
      <c r="Z116" s="541">
        <f>IFERROR(IF(Z112="",0,Z112),"0")+IFERROR(IF(Z113="",0,Z113),"0")+IFERROR(IF(Z114="",0,Z114),"0")+IFERROR(IF(Z115="",0,Z115),"0")</f>
        <v>0</v>
      </c>
      <c r="AA116" s="542"/>
      <c r="AB116" s="542"/>
      <c r="AC116" s="542"/>
    </row>
    <row r="117" spans="1:68" hidden="1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66"/>
      <c r="P117" s="545" t="s">
        <v>70</v>
      </c>
      <c r="Q117" s="546"/>
      <c r="R117" s="546"/>
      <c r="S117" s="546"/>
      <c r="T117" s="546"/>
      <c r="U117" s="546"/>
      <c r="V117" s="547"/>
      <c r="W117" s="37" t="s">
        <v>68</v>
      </c>
      <c r="X117" s="541">
        <f>IFERROR(SUM(X112:X115),"0")</f>
        <v>0</v>
      </c>
      <c r="Y117" s="541">
        <f>IFERROR(SUM(Y112:Y115),"0")</f>
        <v>0</v>
      </c>
      <c r="Z117" s="37"/>
      <c r="AA117" s="542"/>
      <c r="AB117" s="542"/>
      <c r="AC117" s="542"/>
    </row>
    <row r="118" spans="1:68" ht="14.25" hidden="1" customHeight="1" x14ac:dyDescent="0.25">
      <c r="A118" s="556" t="s">
        <v>162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5"/>
      <c r="AB118" s="535"/>
      <c r="AC118" s="535"/>
    </row>
    <row r="119" spans="1:68" ht="16.5" hidden="1" customHeight="1" x14ac:dyDescent="0.25">
      <c r="A119" s="54" t="s">
        <v>216</v>
      </c>
      <c r="B119" s="54" t="s">
        <v>217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9"/>
      <c r="R119" s="549"/>
      <c r="S119" s="549"/>
      <c r="T119" s="550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65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66"/>
      <c r="P120" s="545" t="s">
        <v>70</v>
      </c>
      <c r="Q120" s="546"/>
      <c r="R120" s="546"/>
      <c r="S120" s="546"/>
      <c r="T120" s="546"/>
      <c r="U120" s="546"/>
      <c r="V120" s="547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66"/>
      <c r="P121" s="545" t="s">
        <v>70</v>
      </c>
      <c r="Q121" s="546"/>
      <c r="R121" s="546"/>
      <c r="S121" s="546"/>
      <c r="T121" s="546"/>
      <c r="U121" s="546"/>
      <c r="V121" s="547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53" t="s">
        <v>219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4"/>
      <c r="AB122" s="534"/>
      <c r="AC122" s="534"/>
    </row>
    <row r="123" spans="1:68" ht="14.25" hidden="1" customHeight="1" x14ac:dyDescent="0.25">
      <c r="A123" s="556" t="s">
        <v>98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5"/>
      <c r="AB123" s="535"/>
      <c r="AC123" s="535"/>
    </row>
    <row r="124" spans="1:68" ht="27" hidden="1" customHeight="1" x14ac:dyDescent="0.25">
      <c r="A124" s="54" t="s">
        <v>220</v>
      </c>
      <c r="B124" s="54" t="s">
        <v>221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 t="s">
        <v>185</v>
      </c>
      <c r="M124" s="33" t="s">
        <v>93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9"/>
      <c r="R124" s="549"/>
      <c r="S124" s="549"/>
      <c r="T124" s="550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 t="s">
        <v>105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220</v>
      </c>
      <c r="B125" s="54" t="s">
        <v>223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 t="s">
        <v>185</v>
      </c>
      <c r="M125" s="33" t="s">
        <v>93</v>
      </c>
      <c r="N125" s="33"/>
      <c r="O125" s="32">
        <v>90</v>
      </c>
      <c r="P125" s="7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9"/>
      <c r="R125" s="549"/>
      <c r="S125" s="549"/>
      <c r="T125" s="550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 t="s">
        <v>105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65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66"/>
      <c r="P126" s="545" t="s">
        <v>70</v>
      </c>
      <c r="Q126" s="546"/>
      <c r="R126" s="546"/>
      <c r="S126" s="546"/>
      <c r="T126" s="546"/>
      <c r="U126" s="546"/>
      <c r="V126" s="547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66"/>
      <c r="P127" s="545" t="s">
        <v>70</v>
      </c>
      <c r="Q127" s="546"/>
      <c r="R127" s="546"/>
      <c r="S127" s="546"/>
      <c r="T127" s="546"/>
      <c r="U127" s="546"/>
      <c r="V127" s="547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6" t="s">
        <v>63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5"/>
      <c r="AB128" s="535"/>
      <c r="AC128" s="535"/>
    </row>
    <row r="129" spans="1:68" ht="27" hidden="1" customHeight="1" x14ac:dyDescent="0.25">
      <c r="A129" s="54" t="s">
        <v>224</v>
      </c>
      <c r="B129" s="54" t="s">
        <v>225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9"/>
      <c r="R129" s="549"/>
      <c r="S129" s="549"/>
      <c r="T129" s="550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224</v>
      </c>
      <c r="B130" s="54" t="s">
        <v>227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 t="s">
        <v>185</v>
      </c>
      <c r="M130" s="33" t="s">
        <v>93</v>
      </c>
      <c r="N130" s="33"/>
      <c r="O130" s="32">
        <v>90</v>
      </c>
      <c r="P130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9"/>
      <c r="R130" s="549"/>
      <c r="S130" s="549"/>
      <c r="T130" s="550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 t="s">
        <v>105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65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66"/>
      <c r="P131" s="545" t="s">
        <v>70</v>
      </c>
      <c r="Q131" s="546"/>
      <c r="R131" s="546"/>
      <c r="S131" s="546"/>
      <c r="T131" s="546"/>
      <c r="U131" s="546"/>
      <c r="V131" s="547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66"/>
      <c r="P132" s="545" t="s">
        <v>70</v>
      </c>
      <c r="Q132" s="546"/>
      <c r="R132" s="546"/>
      <c r="S132" s="546"/>
      <c r="T132" s="546"/>
      <c r="U132" s="546"/>
      <c r="V132" s="547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6" t="s">
        <v>72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5"/>
      <c r="AB133" s="535"/>
      <c r="AC133" s="535"/>
    </row>
    <row r="134" spans="1:68" ht="16.5" hidden="1" customHeight="1" x14ac:dyDescent="0.25">
      <c r="A134" s="54" t="s">
        <v>228</v>
      </c>
      <c r="B134" s="54" t="s">
        <v>229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9"/>
      <c r="R134" s="549"/>
      <c r="S134" s="549"/>
      <c r="T134" s="550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228</v>
      </c>
      <c r="B135" s="54" t="s">
        <v>230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9"/>
      <c r="R135" s="549"/>
      <c r="S135" s="549"/>
      <c r="T135" s="550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65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66"/>
      <c r="P136" s="545" t="s">
        <v>70</v>
      </c>
      <c r="Q136" s="546"/>
      <c r="R136" s="546"/>
      <c r="S136" s="546"/>
      <c r="T136" s="546"/>
      <c r="U136" s="546"/>
      <c r="V136" s="547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66"/>
      <c r="P137" s="545" t="s">
        <v>70</v>
      </c>
      <c r="Q137" s="546"/>
      <c r="R137" s="546"/>
      <c r="S137" s="546"/>
      <c r="T137" s="546"/>
      <c r="U137" s="546"/>
      <c r="V137" s="547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53" t="s">
        <v>96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4"/>
      <c r="AB138" s="534"/>
      <c r="AC138" s="534"/>
    </row>
    <row r="139" spans="1:68" ht="14.25" hidden="1" customHeight="1" x14ac:dyDescent="0.25">
      <c r="A139" s="556" t="s">
        <v>98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5"/>
      <c r="AB139" s="535"/>
      <c r="AC139" s="535"/>
    </row>
    <row r="140" spans="1:68" ht="27" hidden="1" customHeight="1" x14ac:dyDescent="0.25">
      <c r="A140" s="54" t="s">
        <v>231</v>
      </c>
      <c r="B140" s="54" t="s">
        <v>232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9"/>
      <c r="R140" s="549"/>
      <c r="S140" s="549"/>
      <c r="T140" s="550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234</v>
      </c>
      <c r="B141" s="54" t="s">
        <v>235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9"/>
      <c r="R141" s="549"/>
      <c r="S141" s="549"/>
      <c r="T141" s="550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65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66"/>
      <c r="P142" s="545" t="s">
        <v>70</v>
      </c>
      <c r="Q142" s="546"/>
      <c r="R142" s="546"/>
      <c r="S142" s="546"/>
      <c r="T142" s="546"/>
      <c r="U142" s="546"/>
      <c r="V142" s="547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66"/>
      <c r="P143" s="545" t="s">
        <v>70</v>
      </c>
      <c r="Q143" s="546"/>
      <c r="R143" s="546"/>
      <c r="S143" s="546"/>
      <c r="T143" s="546"/>
      <c r="U143" s="546"/>
      <c r="V143" s="547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hidden="1" customHeight="1" x14ac:dyDescent="0.25">
      <c r="A144" s="556" t="s">
        <v>63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5"/>
      <c r="AB144" s="535"/>
      <c r="AC144" s="535"/>
    </row>
    <row r="145" spans="1:68" ht="16.5" hidden="1" customHeight="1" x14ac:dyDescent="0.25">
      <c r="A145" s="54" t="s">
        <v>237</v>
      </c>
      <c r="B145" s="54" t="s">
        <v>238</v>
      </c>
      <c r="C145" s="31">
        <v>4301030895</v>
      </c>
      <c r="D145" s="543">
        <v>4607091387667</v>
      </c>
      <c r="E145" s="544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9"/>
      <c r="R145" s="549"/>
      <c r="S145" s="549"/>
      <c r="T145" s="550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240</v>
      </c>
      <c r="B146" s="54" t="s">
        <v>241</v>
      </c>
      <c r="C146" s="31">
        <v>4301030961</v>
      </c>
      <c r="D146" s="543">
        <v>4607091387636</v>
      </c>
      <c r="E146" s="544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5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9"/>
      <c r="R146" s="549"/>
      <c r="S146" s="549"/>
      <c r="T146" s="550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243</v>
      </c>
      <c r="B147" s="54" t="s">
        <v>244</v>
      </c>
      <c r="C147" s="31">
        <v>4301030963</v>
      </c>
      <c r="D147" s="543">
        <v>4607091382426</v>
      </c>
      <c r="E147" s="544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9"/>
      <c r="R147" s="549"/>
      <c r="S147" s="549"/>
      <c r="T147" s="550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65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66"/>
      <c r="P148" s="545" t="s">
        <v>70</v>
      </c>
      <c r="Q148" s="546"/>
      <c r="R148" s="546"/>
      <c r="S148" s="546"/>
      <c r="T148" s="546"/>
      <c r="U148" s="546"/>
      <c r="V148" s="547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66"/>
      <c r="P149" s="545" t="s">
        <v>70</v>
      </c>
      <c r="Q149" s="546"/>
      <c r="R149" s="546"/>
      <c r="S149" s="546"/>
      <c r="T149" s="546"/>
      <c r="U149" s="546"/>
      <c r="V149" s="547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hidden="1" customHeight="1" x14ac:dyDescent="0.25">
      <c r="A150" s="556" t="s">
        <v>72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5"/>
      <c r="AB150" s="535"/>
      <c r="AC150" s="535"/>
    </row>
    <row r="151" spans="1:68" ht="27" hidden="1" customHeight="1" x14ac:dyDescent="0.25">
      <c r="A151" s="54" t="s">
        <v>246</v>
      </c>
      <c r="B151" s="54" t="s">
        <v>247</v>
      </c>
      <c r="C151" s="31">
        <v>4301052064</v>
      </c>
      <c r="D151" s="543">
        <v>4680115887459</v>
      </c>
      <c r="E151" s="544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62" t="s">
        <v>248</v>
      </c>
      <c r="Q151" s="549"/>
      <c r="R151" s="549"/>
      <c r="S151" s="549"/>
      <c r="T151" s="550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5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66"/>
      <c r="P152" s="545" t="s">
        <v>70</v>
      </c>
      <c r="Q152" s="546"/>
      <c r="R152" s="546"/>
      <c r="S152" s="546"/>
      <c r="T152" s="546"/>
      <c r="U152" s="546"/>
      <c r="V152" s="547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66"/>
      <c r="P153" s="545" t="s">
        <v>70</v>
      </c>
      <c r="Q153" s="546"/>
      <c r="R153" s="546"/>
      <c r="S153" s="546"/>
      <c r="T153" s="546"/>
      <c r="U153" s="546"/>
      <c r="V153" s="547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hidden="1" customHeight="1" x14ac:dyDescent="0.2">
      <c r="A154" s="694" t="s">
        <v>250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48"/>
      <c r="AB154" s="48"/>
      <c r="AC154" s="48"/>
    </row>
    <row r="155" spans="1:68" ht="16.5" hidden="1" customHeight="1" x14ac:dyDescent="0.25">
      <c r="A155" s="553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4"/>
      <c r="AB155" s="534"/>
      <c r="AC155" s="534"/>
    </row>
    <row r="156" spans="1:68" ht="14.25" hidden="1" customHeight="1" x14ac:dyDescent="0.25">
      <c r="A156" s="556" t="s">
        <v>134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5"/>
      <c r="AB156" s="535"/>
      <c r="AC156" s="535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3">
        <v>4680115886223</v>
      </c>
      <c r="E157" s="544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9"/>
      <c r="R157" s="549"/>
      <c r="S157" s="549"/>
      <c r="T157" s="550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5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66"/>
      <c r="P158" s="545" t="s">
        <v>70</v>
      </c>
      <c r="Q158" s="546"/>
      <c r="R158" s="546"/>
      <c r="S158" s="546"/>
      <c r="T158" s="546"/>
      <c r="U158" s="546"/>
      <c r="V158" s="547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66"/>
      <c r="P159" s="545" t="s">
        <v>70</v>
      </c>
      <c r="Q159" s="546"/>
      <c r="R159" s="546"/>
      <c r="S159" s="546"/>
      <c r="T159" s="546"/>
      <c r="U159" s="546"/>
      <c r="V159" s="547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hidden="1" customHeight="1" x14ac:dyDescent="0.25">
      <c r="A160" s="556" t="s">
        <v>63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5"/>
      <c r="AB160" s="535"/>
      <c r="AC160" s="535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3">
        <v>4680115880993</v>
      </c>
      <c r="E161" s="544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/>
      <c r="M161" s="33" t="s">
        <v>67</v>
      </c>
      <c r="N161" s="33"/>
      <c r="O161" s="32">
        <v>40</v>
      </c>
      <c r="P161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9"/>
      <c r="R161" s="549"/>
      <c r="S161" s="549"/>
      <c r="T161" s="550"/>
      <c r="U161" s="34"/>
      <c r="V161" s="34"/>
      <c r="W161" s="35" t="s">
        <v>68</v>
      </c>
      <c r="X161" s="539">
        <v>13</v>
      </c>
      <c r="Y161" s="540">
        <f t="shared" ref="Y161:Y170" si="5">IFERROR(IF(X161="",0,CEILING((X161/$H161),1)*$H161),"")</f>
        <v>16.8</v>
      </c>
      <c r="Z161" s="36">
        <f>IFERROR(IF(Y161=0,"",ROUNDUP(Y161/H161,0)*0.00902),"")</f>
        <v>3.6080000000000001E-2</v>
      </c>
      <c r="AA161" s="56"/>
      <c r="AB161" s="57"/>
      <c r="AC161" s="191" t="s">
        <v>257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13.773809523809524</v>
      </c>
      <c r="BN161" s="64">
        <f t="shared" ref="BN161:BN170" si="7">IFERROR(Y161*I161/H161,"0")</f>
        <v>17.8</v>
      </c>
      <c r="BO161" s="64">
        <f t="shared" ref="BO161:BO170" si="8">IFERROR(1/J161*(X161/H161),"0")</f>
        <v>2.3448773448773448E-2</v>
      </c>
      <c r="BP161" s="64">
        <f t="shared" ref="BP161:BP170" si="9">IFERROR(1/J161*(Y161/H161),"0")</f>
        <v>3.0303030303030304E-2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3">
        <v>4680115881761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9"/>
      <c r="R162" s="549"/>
      <c r="S162" s="549"/>
      <c r="T162" s="550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3">
        <v>4680115881563</v>
      </c>
      <c r="E163" s="544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109</v>
      </c>
      <c r="M163" s="33" t="s">
        <v>67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9"/>
      <c r="R163" s="549"/>
      <c r="S163" s="549"/>
      <c r="T163" s="550"/>
      <c r="U163" s="34"/>
      <c r="V163" s="34"/>
      <c r="W163" s="35" t="s">
        <v>68</v>
      </c>
      <c r="X163" s="539">
        <v>29</v>
      </c>
      <c r="Y163" s="540">
        <f t="shared" si="5"/>
        <v>29.400000000000002</v>
      </c>
      <c r="Z163" s="36">
        <f>IFERROR(IF(Y163=0,"",ROUNDUP(Y163/H163,0)*0.00902),"")</f>
        <v>6.3140000000000002E-2</v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30.311904761904756</v>
      </c>
      <c r="BN163" s="64">
        <f t="shared" si="7"/>
        <v>30.73</v>
      </c>
      <c r="BO163" s="64">
        <f t="shared" si="8"/>
        <v>5.2308802308802305E-2</v>
      </c>
      <c r="BP163" s="64">
        <f t="shared" si="9"/>
        <v>5.3030303030303032E-2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3">
        <v>4680115880986</v>
      </c>
      <c r="E164" s="544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9"/>
      <c r="R164" s="549"/>
      <c r="S164" s="549"/>
      <c r="T164" s="550"/>
      <c r="U164" s="34"/>
      <c r="V164" s="34"/>
      <c r="W164" s="35" t="s">
        <v>68</v>
      </c>
      <c r="X164" s="539">
        <v>35</v>
      </c>
      <c r="Y164" s="540">
        <f t="shared" si="5"/>
        <v>35.700000000000003</v>
      </c>
      <c r="Z164" s="36">
        <f>IFERROR(IF(Y164=0,"",ROUNDUP(Y164/H164,0)*0.00502),"")</f>
        <v>8.5339999999999999E-2</v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37.166666666666664</v>
      </c>
      <c r="BN164" s="64">
        <f t="shared" si="7"/>
        <v>37.910000000000004</v>
      </c>
      <c r="BO164" s="64">
        <f t="shared" si="8"/>
        <v>7.1225071225071226E-2</v>
      </c>
      <c r="BP164" s="64">
        <f t="shared" si="9"/>
        <v>7.2649572649572655E-2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3">
        <v>4680115887213</v>
      </c>
      <c r="E165" s="544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3" t="s">
        <v>269</v>
      </c>
      <c r="Q165" s="549"/>
      <c r="R165" s="549"/>
      <c r="S165" s="549"/>
      <c r="T165" s="550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9"/>
      <c r="R166" s="549"/>
      <c r="S166" s="549"/>
      <c r="T166" s="550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/>
      <c r="M167" s="33" t="s">
        <v>67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9"/>
      <c r="R167" s="549"/>
      <c r="S167" s="549"/>
      <c r="T167" s="550"/>
      <c r="U167" s="34"/>
      <c r="V167" s="34"/>
      <c r="W167" s="35" t="s">
        <v>68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68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9"/>
      <c r="R168" s="549"/>
      <c r="S168" s="549"/>
      <c r="T168" s="550"/>
      <c r="U168" s="34"/>
      <c r="V168" s="34"/>
      <c r="W168" s="35" t="s">
        <v>68</v>
      </c>
      <c r="X168" s="539">
        <v>141</v>
      </c>
      <c r="Y168" s="540">
        <f t="shared" si="5"/>
        <v>142.80000000000001</v>
      </c>
      <c r="Z168" s="36">
        <f>IFERROR(IF(Y168=0,"",ROUNDUP(Y168/H168,0)*0.00502),"")</f>
        <v>0.34136</v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147.71428571428572</v>
      </c>
      <c r="BN168" s="64">
        <f t="shared" si="7"/>
        <v>149.6</v>
      </c>
      <c r="BO168" s="64">
        <f t="shared" si="8"/>
        <v>0.28693528693528697</v>
      </c>
      <c r="BP168" s="64">
        <f t="shared" si="9"/>
        <v>0.29059829059829062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9"/>
      <c r="R169" s="549"/>
      <c r="S169" s="549"/>
      <c r="T169" s="550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9"/>
      <c r="R170" s="549"/>
      <c r="S170" s="549"/>
      <c r="T170" s="550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5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66"/>
      <c r="P171" s="545" t="s">
        <v>70</v>
      </c>
      <c r="Q171" s="546"/>
      <c r="R171" s="546"/>
      <c r="S171" s="546"/>
      <c r="T171" s="546"/>
      <c r="U171" s="546"/>
      <c r="V171" s="547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93.809523809523796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96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0.52591999999999994</v>
      </c>
      <c r="AA171" s="542"/>
      <c r="AB171" s="542"/>
      <c r="AC171" s="542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66"/>
      <c r="P172" s="545" t="s">
        <v>70</v>
      </c>
      <c r="Q172" s="546"/>
      <c r="R172" s="546"/>
      <c r="S172" s="546"/>
      <c r="T172" s="546"/>
      <c r="U172" s="546"/>
      <c r="V172" s="547"/>
      <c r="W172" s="37" t="s">
        <v>68</v>
      </c>
      <c r="X172" s="541">
        <f>IFERROR(SUM(X161:X170),"0")</f>
        <v>218</v>
      </c>
      <c r="Y172" s="541">
        <f>IFERROR(SUM(Y161:Y170),"0")</f>
        <v>224.70000000000002</v>
      </c>
      <c r="Z172" s="37"/>
      <c r="AA172" s="542"/>
      <c r="AB172" s="542"/>
      <c r="AC172" s="542"/>
    </row>
    <row r="173" spans="1:68" ht="14.25" hidden="1" customHeight="1" x14ac:dyDescent="0.25">
      <c r="A173" s="556" t="s">
        <v>90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5"/>
      <c r="AB173" s="535"/>
      <c r="AC173" s="535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9"/>
      <c r="R174" s="549"/>
      <c r="S174" s="549"/>
      <c r="T174" s="550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9"/>
      <c r="R175" s="549"/>
      <c r="S175" s="549"/>
      <c r="T175" s="550"/>
      <c r="U175" s="34"/>
      <c r="V175" s="34"/>
      <c r="W175" s="35" t="s">
        <v>68</v>
      </c>
      <c r="X175" s="539">
        <v>1</v>
      </c>
      <c r="Y175" s="540">
        <f>IFERROR(IF(X175="",0,CEILING((X175/$H175),1)*$H175),"")</f>
        <v>1.26</v>
      </c>
      <c r="Z175" s="36">
        <f>IFERROR(IF(Y175=0,"",ROUNDUP(Y175/H175,0)*0.0059),"")</f>
        <v>5.8999999999999999E-3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1.1507936507936507</v>
      </c>
      <c r="BN175" s="64">
        <f>IFERROR(Y175*I175/H175,"0")</f>
        <v>1.45</v>
      </c>
      <c r="BO175" s="64">
        <f>IFERROR(1/J175*(X175/H175),"0")</f>
        <v>3.6743092298647849E-3</v>
      </c>
      <c r="BP175" s="64">
        <f>IFERROR(1/J175*(Y175/H175),"0")</f>
        <v>4.6296296296296294E-3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9"/>
      <c r="R176" s="549"/>
      <c r="S176" s="549"/>
      <c r="T176" s="550"/>
      <c r="U176" s="34"/>
      <c r="V176" s="34"/>
      <c r="W176" s="35" t="s">
        <v>68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5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66"/>
      <c r="P177" s="545" t="s">
        <v>70</v>
      </c>
      <c r="Q177" s="546"/>
      <c r="R177" s="546"/>
      <c r="S177" s="546"/>
      <c r="T177" s="546"/>
      <c r="U177" s="546"/>
      <c r="V177" s="547"/>
      <c r="W177" s="37" t="s">
        <v>71</v>
      </c>
      <c r="X177" s="541">
        <f>IFERROR(X174/H174,"0")+IFERROR(X175/H175,"0")+IFERROR(X176/H176,"0")</f>
        <v>0.79365079365079361</v>
      </c>
      <c r="Y177" s="541">
        <f>IFERROR(Y174/H174,"0")+IFERROR(Y175/H175,"0")+IFERROR(Y176/H176,"0")</f>
        <v>1</v>
      </c>
      <c r="Z177" s="541">
        <f>IFERROR(IF(Z174="",0,Z174),"0")+IFERROR(IF(Z175="",0,Z175),"0")+IFERROR(IF(Z176="",0,Z176),"0")</f>
        <v>5.8999999999999999E-3</v>
      </c>
      <c r="AA177" s="542"/>
      <c r="AB177" s="542"/>
      <c r="AC177" s="542"/>
    </row>
    <row r="178" spans="1:68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66"/>
      <c r="P178" s="545" t="s">
        <v>70</v>
      </c>
      <c r="Q178" s="546"/>
      <c r="R178" s="546"/>
      <c r="S178" s="546"/>
      <c r="T178" s="546"/>
      <c r="U178" s="546"/>
      <c r="V178" s="547"/>
      <c r="W178" s="37" t="s">
        <v>68</v>
      </c>
      <c r="X178" s="541">
        <f>IFERROR(SUM(X174:X176),"0")</f>
        <v>1</v>
      </c>
      <c r="Y178" s="541">
        <f>IFERROR(SUM(Y174:Y176),"0")</f>
        <v>1.26</v>
      </c>
      <c r="Z178" s="37"/>
      <c r="AA178" s="542"/>
      <c r="AB178" s="542"/>
      <c r="AC178" s="542"/>
    </row>
    <row r="179" spans="1:68" ht="14.25" hidden="1" customHeight="1" x14ac:dyDescent="0.25">
      <c r="A179" s="556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5"/>
      <c r="AB179" s="535"/>
      <c r="AC179" s="535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9"/>
      <c r="R180" s="549"/>
      <c r="S180" s="549"/>
      <c r="T180" s="550"/>
      <c r="U180" s="34"/>
      <c r="V180" s="34"/>
      <c r="W180" s="35" t="s">
        <v>68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65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66"/>
      <c r="P181" s="545" t="s">
        <v>70</v>
      </c>
      <c r="Q181" s="546"/>
      <c r="R181" s="546"/>
      <c r="S181" s="546"/>
      <c r="T181" s="546"/>
      <c r="U181" s="546"/>
      <c r="V181" s="547"/>
      <c r="W181" s="37" t="s">
        <v>71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66"/>
      <c r="P182" s="545" t="s">
        <v>70</v>
      </c>
      <c r="Q182" s="546"/>
      <c r="R182" s="546"/>
      <c r="S182" s="546"/>
      <c r="T182" s="546"/>
      <c r="U182" s="546"/>
      <c r="V182" s="547"/>
      <c r="W182" s="37" t="s">
        <v>68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hidden="1" customHeight="1" x14ac:dyDescent="0.25">
      <c r="A183" s="553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4"/>
      <c r="AB183" s="534"/>
      <c r="AC183" s="534"/>
    </row>
    <row r="184" spans="1:68" ht="14.25" hidden="1" customHeight="1" x14ac:dyDescent="0.25">
      <c r="A184" s="556" t="s">
        <v>98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5"/>
      <c r="AB184" s="535"/>
      <c r="AC184" s="535"/>
    </row>
    <row r="185" spans="1:68" ht="16.5" hidden="1" customHeight="1" x14ac:dyDescent="0.25">
      <c r="A185" s="54" t="s">
        <v>297</v>
      </c>
      <c r="B185" s="54" t="s">
        <v>298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9"/>
      <c r="R185" s="549"/>
      <c r="S185" s="549"/>
      <c r="T185" s="550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 t="s">
        <v>185</v>
      </c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9"/>
      <c r="R186" s="549"/>
      <c r="S186" s="549"/>
      <c r="T186" s="550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105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5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66"/>
      <c r="P187" s="545" t="s">
        <v>70</v>
      </c>
      <c r="Q187" s="546"/>
      <c r="R187" s="546"/>
      <c r="S187" s="546"/>
      <c r="T187" s="546"/>
      <c r="U187" s="546"/>
      <c r="V187" s="547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66"/>
      <c r="P188" s="545" t="s">
        <v>70</v>
      </c>
      <c r="Q188" s="546"/>
      <c r="R188" s="546"/>
      <c r="S188" s="546"/>
      <c r="T188" s="546"/>
      <c r="U188" s="546"/>
      <c r="V188" s="547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6" t="s">
        <v>134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5"/>
      <c r="AB189" s="535"/>
      <c r="AC189" s="535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9"/>
      <c r="R190" s="549"/>
      <c r="S190" s="549"/>
      <c r="T190" s="550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/>
      <c r="M191" s="33" t="s">
        <v>103</v>
      </c>
      <c r="N191" s="33"/>
      <c r="O191" s="32">
        <v>50</v>
      </c>
      <c r="P191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9"/>
      <c r="R191" s="549"/>
      <c r="S191" s="549"/>
      <c r="T191" s="550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65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66"/>
      <c r="P192" s="545" t="s">
        <v>70</v>
      </c>
      <c r="Q192" s="546"/>
      <c r="R192" s="546"/>
      <c r="S192" s="546"/>
      <c r="T192" s="546"/>
      <c r="U192" s="546"/>
      <c r="V192" s="547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66"/>
      <c r="P193" s="545" t="s">
        <v>70</v>
      </c>
      <c r="Q193" s="546"/>
      <c r="R193" s="546"/>
      <c r="S193" s="546"/>
      <c r="T193" s="546"/>
      <c r="U193" s="546"/>
      <c r="V193" s="547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6" t="s">
        <v>63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5"/>
      <c r="AB194" s="535"/>
      <c r="AC194" s="535"/>
    </row>
    <row r="195" spans="1:68" ht="27" hidden="1" customHeight="1" x14ac:dyDescent="0.25">
      <c r="A195" s="54" t="s">
        <v>307</v>
      </c>
      <c r="B195" s="54" t="s">
        <v>308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109</v>
      </c>
      <c r="M195" s="33" t="s">
        <v>67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9"/>
      <c r="R195" s="549"/>
      <c r="S195" s="549"/>
      <c r="T195" s="550"/>
      <c r="U195" s="34"/>
      <c r="V195" s="34"/>
      <c r="W195" s="35" t="s">
        <v>68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109</v>
      </c>
      <c r="M196" s="33" t="s">
        <v>67</v>
      </c>
      <c r="N196" s="33"/>
      <c r="O196" s="32">
        <v>40</v>
      </c>
      <c r="P19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9"/>
      <c r="R196" s="549"/>
      <c r="S196" s="549"/>
      <c r="T196" s="550"/>
      <c r="U196" s="34"/>
      <c r="V196" s="34"/>
      <c r="W196" s="35" t="s">
        <v>68</v>
      </c>
      <c r="X196" s="539">
        <v>98</v>
      </c>
      <c r="Y196" s="540">
        <f t="shared" si="10"/>
        <v>102.60000000000001</v>
      </c>
      <c r="Z196" s="36">
        <f>IFERROR(IF(Y196=0,"",ROUNDUP(Y196/H196,0)*0.00902),"")</f>
        <v>0.17138</v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101.44814814814814</v>
      </c>
      <c r="BN196" s="64">
        <f t="shared" si="12"/>
        <v>106.21</v>
      </c>
      <c r="BO196" s="64">
        <f t="shared" si="13"/>
        <v>0.13748597081930414</v>
      </c>
      <c r="BP196" s="64">
        <f t="shared" si="14"/>
        <v>0.14393939393939395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 t="s">
        <v>109</v>
      </c>
      <c r="M197" s="33" t="s">
        <v>67</v>
      </c>
      <c r="N197" s="33"/>
      <c r="O197" s="32">
        <v>40</v>
      </c>
      <c r="P197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9"/>
      <c r="R197" s="549"/>
      <c r="S197" s="549"/>
      <c r="T197" s="550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105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109</v>
      </c>
      <c r="M198" s="33" t="s">
        <v>67</v>
      </c>
      <c r="N198" s="33"/>
      <c r="O198" s="32">
        <v>40</v>
      </c>
      <c r="P198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9"/>
      <c r="R198" s="549"/>
      <c r="S198" s="549"/>
      <c r="T198" s="550"/>
      <c r="U198" s="34"/>
      <c r="V198" s="34"/>
      <c r="W198" s="35" t="s">
        <v>68</v>
      </c>
      <c r="X198" s="539">
        <v>39</v>
      </c>
      <c r="Y198" s="540">
        <f t="shared" si="10"/>
        <v>43.2</v>
      </c>
      <c r="Z198" s="36">
        <f>IFERROR(IF(Y198=0,"",ROUNDUP(Y198/H198,0)*0.00902),"")</f>
        <v>7.2160000000000002E-2</v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40.37222222222222</v>
      </c>
      <c r="BN198" s="64">
        <f t="shared" si="12"/>
        <v>44.72</v>
      </c>
      <c r="BO198" s="64">
        <f t="shared" si="13"/>
        <v>5.4713804713804708E-2</v>
      </c>
      <c r="BP198" s="64">
        <f t="shared" si="14"/>
        <v>6.0606060606060608E-2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9"/>
      <c r="R199" s="549"/>
      <c r="S199" s="549"/>
      <c r="T199" s="550"/>
      <c r="U199" s="34"/>
      <c r="V199" s="34"/>
      <c r="W199" s="35" t="s">
        <v>68</v>
      </c>
      <c r="X199" s="539">
        <v>29</v>
      </c>
      <c r="Y199" s="540">
        <f t="shared" si="10"/>
        <v>30.6</v>
      </c>
      <c r="Z199" s="36">
        <f>IFERROR(IF(Y199=0,"",ROUNDUP(Y199/H199,0)*0.00502),"")</f>
        <v>8.5339999999999999E-2</v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31.094444444444441</v>
      </c>
      <c r="BN199" s="64">
        <f t="shared" si="12"/>
        <v>32.81</v>
      </c>
      <c r="BO199" s="64">
        <f t="shared" si="13"/>
        <v>6.8850902184235521E-2</v>
      </c>
      <c r="BP199" s="64">
        <f t="shared" si="14"/>
        <v>7.2649572649572655E-2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8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9"/>
      <c r="R200" s="549"/>
      <c r="S200" s="549"/>
      <c r="T200" s="550"/>
      <c r="U200" s="34"/>
      <c r="V200" s="34"/>
      <c r="W200" s="35" t="s">
        <v>68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9"/>
      <c r="R201" s="549"/>
      <c r="S201" s="549"/>
      <c r="T201" s="550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9"/>
      <c r="R202" s="549"/>
      <c r="S202" s="549"/>
      <c r="T202" s="550"/>
      <c r="U202" s="34"/>
      <c r="V202" s="34"/>
      <c r="W202" s="35" t="s">
        <v>68</v>
      </c>
      <c r="X202" s="539">
        <v>3</v>
      </c>
      <c r="Y202" s="540">
        <f t="shared" si="10"/>
        <v>3.6</v>
      </c>
      <c r="Z202" s="36">
        <f>IFERROR(IF(Y202=0,"",ROUNDUP(Y202/H202,0)*0.00502),"")</f>
        <v>1.004E-2</v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3.1666666666666661</v>
      </c>
      <c r="BN202" s="64">
        <f t="shared" si="12"/>
        <v>3.8</v>
      </c>
      <c r="BO202" s="64">
        <f t="shared" si="13"/>
        <v>7.1225071225071226E-3</v>
      </c>
      <c r="BP202" s="64">
        <f t="shared" si="14"/>
        <v>8.5470085470085479E-3</v>
      </c>
    </row>
    <row r="203" spans="1:68" x14ac:dyDescent="0.2">
      <c r="A203" s="565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66"/>
      <c r="P203" s="545" t="s">
        <v>70</v>
      </c>
      <c r="Q203" s="546"/>
      <c r="R203" s="546"/>
      <c r="S203" s="546"/>
      <c r="T203" s="546"/>
      <c r="U203" s="546"/>
      <c r="V203" s="547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43.148148148148145</v>
      </c>
      <c r="Y203" s="541">
        <f>IFERROR(Y195/H195,"0")+IFERROR(Y196/H196,"0")+IFERROR(Y197/H197,"0")+IFERROR(Y198/H198,"0")+IFERROR(Y199/H199,"0")+IFERROR(Y200/H200,"0")+IFERROR(Y201/H201,"0")+IFERROR(Y202/H202,"0")</f>
        <v>46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0.33892</v>
      </c>
      <c r="AA203" s="542"/>
      <c r="AB203" s="542"/>
      <c r="AC203" s="542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66"/>
      <c r="P204" s="545" t="s">
        <v>70</v>
      </c>
      <c r="Q204" s="546"/>
      <c r="R204" s="546"/>
      <c r="S204" s="546"/>
      <c r="T204" s="546"/>
      <c r="U204" s="546"/>
      <c r="V204" s="547"/>
      <c r="W204" s="37" t="s">
        <v>68</v>
      </c>
      <c r="X204" s="541">
        <f>IFERROR(SUM(X195:X202),"0")</f>
        <v>169</v>
      </c>
      <c r="Y204" s="541">
        <f>IFERROR(SUM(Y195:Y202),"0")</f>
        <v>180</v>
      </c>
      <c r="Z204" s="37"/>
      <c r="AA204" s="542"/>
      <c r="AB204" s="542"/>
      <c r="AC204" s="542"/>
    </row>
    <row r="205" spans="1:68" ht="14.25" hidden="1" customHeight="1" x14ac:dyDescent="0.25">
      <c r="A205" s="556" t="s">
        <v>72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5"/>
      <c r="AB205" s="535"/>
      <c r="AC205" s="535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 t="s">
        <v>102</v>
      </c>
      <c r="M206" s="33" t="s">
        <v>76</v>
      </c>
      <c r="N206" s="33"/>
      <c r="O206" s="32">
        <v>40</v>
      </c>
      <c r="P206" s="72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9"/>
      <c r="R206" s="549"/>
      <c r="S206" s="549"/>
      <c r="T206" s="550"/>
      <c r="U206" s="34"/>
      <c r="V206" s="34"/>
      <c r="W206" s="35" t="s">
        <v>68</v>
      </c>
      <c r="X206" s="539">
        <v>64</v>
      </c>
      <c r="Y206" s="540">
        <f t="shared" ref="Y206:Y214" si="15">IFERROR(IF(X206="",0,CEILING((X206/$H206),1)*$H206),"")</f>
        <v>64.8</v>
      </c>
      <c r="Z206" s="36">
        <f>IFERROR(IF(Y206=0,"",ROUNDUP(Y206/H206,0)*0.01898),"")</f>
        <v>0.15184</v>
      </c>
      <c r="AA206" s="56"/>
      <c r="AB206" s="57"/>
      <c r="AC206" s="243" t="s">
        <v>329</v>
      </c>
      <c r="AG206" s="64"/>
      <c r="AJ206" s="68" t="s">
        <v>105</v>
      </c>
      <c r="AK206" s="68">
        <v>64.8</v>
      </c>
      <c r="BB206" s="244" t="s">
        <v>1</v>
      </c>
      <c r="BM206" s="64">
        <f t="shared" ref="BM206:BM214" si="16">IFERROR(X206*I206/H206,"0")</f>
        <v>67.903209876543215</v>
      </c>
      <c r="BN206" s="64">
        <f t="shared" ref="BN206:BN214" si="17">IFERROR(Y206*I206/H206,"0")</f>
        <v>68.751999999999995</v>
      </c>
      <c r="BO206" s="64">
        <f t="shared" ref="BO206:BO214" si="18">IFERROR(1/J206*(X206/H206),"0")</f>
        <v>0.1234567901234568</v>
      </c>
      <c r="BP206" s="64">
        <f t="shared" ref="BP206:BP214" si="19">IFERROR(1/J206*(Y206/H206),"0")</f>
        <v>0.125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 t="s">
        <v>102</v>
      </c>
      <c r="M207" s="33" t="s">
        <v>76</v>
      </c>
      <c r="N207" s="33"/>
      <c r="O207" s="32">
        <v>40</v>
      </c>
      <c r="P207" s="72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9"/>
      <c r="R207" s="549"/>
      <c r="S207" s="549"/>
      <c r="T207" s="550"/>
      <c r="U207" s="34"/>
      <c r="V207" s="34"/>
      <c r="W207" s="35" t="s">
        <v>68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105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9"/>
      <c r="R208" s="549"/>
      <c r="S208" s="549"/>
      <c r="T208" s="550"/>
      <c r="U208" s="34"/>
      <c r="V208" s="34"/>
      <c r="W208" s="35" t="s">
        <v>68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185</v>
      </c>
      <c r="M209" s="33" t="s">
        <v>76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9"/>
      <c r="R209" s="549"/>
      <c r="S209" s="549"/>
      <c r="T209" s="550"/>
      <c r="U209" s="34"/>
      <c r="V209" s="34"/>
      <c r="W209" s="35" t="s">
        <v>68</v>
      </c>
      <c r="X209" s="539">
        <v>246</v>
      </c>
      <c r="Y209" s="540">
        <f t="shared" si="15"/>
        <v>247.2</v>
      </c>
      <c r="Z209" s="36">
        <f t="shared" ref="Z209:Z214" si="20">IFERROR(IF(Y209=0,"",ROUNDUP(Y209/H209,0)*0.00651),"")</f>
        <v>0.67053000000000007</v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273.67500000000001</v>
      </c>
      <c r="BN209" s="64">
        <f t="shared" si="17"/>
        <v>275.01</v>
      </c>
      <c r="BO209" s="64">
        <f t="shared" si="18"/>
        <v>0.56318681318681318</v>
      </c>
      <c r="BP209" s="64">
        <f t="shared" si="19"/>
        <v>0.56593406593406603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9"/>
      <c r="R210" s="549"/>
      <c r="S210" s="549"/>
      <c r="T210" s="550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185</v>
      </c>
      <c r="M211" s="33" t="s">
        <v>76</v>
      </c>
      <c r="N211" s="33"/>
      <c r="O211" s="32">
        <v>45</v>
      </c>
      <c r="P211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9"/>
      <c r="R211" s="549"/>
      <c r="S211" s="549"/>
      <c r="T211" s="550"/>
      <c r="U211" s="34"/>
      <c r="V211" s="34"/>
      <c r="W211" s="35" t="s">
        <v>68</v>
      </c>
      <c r="X211" s="539">
        <v>186</v>
      </c>
      <c r="Y211" s="540">
        <f t="shared" si="15"/>
        <v>187.2</v>
      </c>
      <c r="Z211" s="36">
        <f t="shared" si="20"/>
        <v>0.50778000000000001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205.53000000000003</v>
      </c>
      <c r="BN211" s="64">
        <f t="shared" si="17"/>
        <v>206.85600000000002</v>
      </c>
      <c r="BO211" s="64">
        <f t="shared" si="18"/>
        <v>0.42582417582417587</v>
      </c>
      <c r="BP211" s="64">
        <f t="shared" si="19"/>
        <v>0.4285714285714286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185</v>
      </c>
      <c r="M212" s="33" t="s">
        <v>76</v>
      </c>
      <c r="N212" s="33"/>
      <c r="O212" s="32">
        <v>45</v>
      </c>
      <c r="P212" s="7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9"/>
      <c r="R212" s="549"/>
      <c r="S212" s="549"/>
      <c r="T212" s="550"/>
      <c r="U212" s="34"/>
      <c r="V212" s="34"/>
      <c r="W212" s="35" t="s">
        <v>68</v>
      </c>
      <c r="X212" s="539">
        <v>341</v>
      </c>
      <c r="Y212" s="540">
        <f t="shared" si="15"/>
        <v>343.2</v>
      </c>
      <c r="Z212" s="36">
        <f t="shared" si="20"/>
        <v>0.93093000000000004</v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376.80500000000001</v>
      </c>
      <c r="BN212" s="64">
        <f t="shared" si="17"/>
        <v>379.23600000000005</v>
      </c>
      <c r="BO212" s="64">
        <f t="shared" si="18"/>
        <v>0.78067765567765579</v>
      </c>
      <c r="BP212" s="64">
        <f t="shared" si="19"/>
        <v>0.78571428571428581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185</v>
      </c>
      <c r="M213" s="33" t="s">
        <v>83</v>
      </c>
      <c r="N213" s="33"/>
      <c r="O213" s="32">
        <v>40</v>
      </c>
      <c r="P213" s="5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9"/>
      <c r="R213" s="549"/>
      <c r="S213" s="549"/>
      <c r="T213" s="550"/>
      <c r="U213" s="34"/>
      <c r="V213" s="34"/>
      <c r="W213" s="35" t="s">
        <v>68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185</v>
      </c>
      <c r="M214" s="33" t="s">
        <v>76</v>
      </c>
      <c r="N214" s="33"/>
      <c r="O214" s="32">
        <v>40</v>
      </c>
      <c r="P21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9"/>
      <c r="R214" s="549"/>
      <c r="S214" s="549"/>
      <c r="T214" s="550"/>
      <c r="U214" s="34"/>
      <c r="V214" s="34"/>
      <c r="W214" s="35" t="s">
        <v>68</v>
      </c>
      <c r="X214" s="539">
        <v>133</v>
      </c>
      <c r="Y214" s="540">
        <f t="shared" si="15"/>
        <v>134.4</v>
      </c>
      <c r="Z214" s="36">
        <f t="shared" si="20"/>
        <v>0.36456</v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147.29750000000001</v>
      </c>
      <c r="BN214" s="64">
        <f t="shared" si="17"/>
        <v>148.84800000000001</v>
      </c>
      <c r="BO214" s="64">
        <f t="shared" si="18"/>
        <v>0.30448717948717952</v>
      </c>
      <c r="BP214" s="64">
        <f t="shared" si="19"/>
        <v>0.30769230769230776</v>
      </c>
    </row>
    <row r="215" spans="1:68" x14ac:dyDescent="0.2">
      <c r="A215" s="565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66"/>
      <c r="P215" s="545" t="s">
        <v>70</v>
      </c>
      <c r="Q215" s="546"/>
      <c r="R215" s="546"/>
      <c r="S215" s="546"/>
      <c r="T215" s="546"/>
      <c r="U215" s="546"/>
      <c r="V215" s="547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385.40123456790127</v>
      </c>
      <c r="Y215" s="541">
        <f>IFERROR(Y206/H206,"0")+IFERROR(Y207/H207,"0")+IFERROR(Y208/H208,"0")+IFERROR(Y209/H209,"0")+IFERROR(Y210/H210,"0")+IFERROR(Y211/H211,"0")+IFERROR(Y212/H212,"0")+IFERROR(Y213/H213,"0")+IFERROR(Y214/H214,"0")</f>
        <v>388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2.6256400000000002</v>
      </c>
      <c r="AA215" s="542"/>
      <c r="AB215" s="542"/>
      <c r="AC215" s="542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66"/>
      <c r="P216" s="545" t="s">
        <v>70</v>
      </c>
      <c r="Q216" s="546"/>
      <c r="R216" s="546"/>
      <c r="S216" s="546"/>
      <c r="T216" s="546"/>
      <c r="U216" s="546"/>
      <c r="V216" s="547"/>
      <c r="W216" s="37" t="s">
        <v>68</v>
      </c>
      <c r="X216" s="541">
        <f>IFERROR(SUM(X206:X214),"0")</f>
        <v>970</v>
      </c>
      <c r="Y216" s="541">
        <f>IFERROR(SUM(Y206:Y214),"0")</f>
        <v>976.8</v>
      </c>
      <c r="Z216" s="37"/>
      <c r="AA216" s="542"/>
      <c r="AB216" s="542"/>
      <c r="AC216" s="542"/>
    </row>
    <row r="217" spans="1:68" ht="14.25" hidden="1" customHeight="1" x14ac:dyDescent="0.25">
      <c r="A217" s="556" t="s">
        <v>162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5"/>
      <c r="AB217" s="535"/>
      <c r="AC217" s="535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/>
      <c r="M218" s="33" t="s">
        <v>83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9"/>
      <c r="R218" s="549"/>
      <c r="S218" s="549"/>
      <c r="T218" s="550"/>
      <c r="U218" s="34"/>
      <c r="V218" s="34"/>
      <c r="W218" s="35" t="s">
        <v>68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/>
      <c r="M219" s="33" t="s">
        <v>76</v>
      </c>
      <c r="N219" s="33"/>
      <c r="O219" s="32">
        <v>40</v>
      </c>
      <c r="P219" s="6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9"/>
      <c r="R219" s="549"/>
      <c r="S219" s="549"/>
      <c r="T219" s="550"/>
      <c r="U219" s="34"/>
      <c r="V219" s="34"/>
      <c r="W219" s="35" t="s">
        <v>68</v>
      </c>
      <c r="X219" s="539">
        <v>19</v>
      </c>
      <c r="Y219" s="540">
        <f>IFERROR(IF(X219="",0,CEILING((X219/$H219),1)*$H219),"")</f>
        <v>19.2</v>
      </c>
      <c r="Z219" s="36">
        <f>IFERROR(IF(Y219=0,"",ROUNDUP(Y219/H219,0)*0.00651),"")</f>
        <v>5.2080000000000001E-2</v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20.995000000000005</v>
      </c>
      <c r="BN219" s="64">
        <f>IFERROR(Y219*I219/H219,"0")</f>
        <v>21.216000000000001</v>
      </c>
      <c r="BO219" s="64">
        <f>IFERROR(1/J219*(X219/H219),"0")</f>
        <v>4.3498168498168503E-2</v>
      </c>
      <c r="BP219" s="64">
        <f>IFERROR(1/J219*(Y219/H219),"0")</f>
        <v>4.3956043956043959E-2</v>
      </c>
    </row>
    <row r="220" spans="1:68" x14ac:dyDescent="0.2">
      <c r="A220" s="565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66"/>
      <c r="P220" s="545" t="s">
        <v>70</v>
      </c>
      <c r="Q220" s="546"/>
      <c r="R220" s="546"/>
      <c r="S220" s="546"/>
      <c r="T220" s="546"/>
      <c r="U220" s="546"/>
      <c r="V220" s="547"/>
      <c r="W220" s="37" t="s">
        <v>71</v>
      </c>
      <c r="X220" s="541">
        <f>IFERROR(X218/H218,"0")+IFERROR(X219/H219,"0")</f>
        <v>7.916666666666667</v>
      </c>
      <c r="Y220" s="541">
        <f>IFERROR(Y218/H218,"0")+IFERROR(Y219/H219,"0")</f>
        <v>8</v>
      </c>
      <c r="Z220" s="541">
        <f>IFERROR(IF(Z218="",0,Z218),"0")+IFERROR(IF(Z219="",0,Z219),"0")</f>
        <v>5.2080000000000001E-2</v>
      </c>
      <c r="AA220" s="542"/>
      <c r="AB220" s="542"/>
      <c r="AC220" s="542"/>
    </row>
    <row r="221" spans="1:68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66"/>
      <c r="P221" s="545" t="s">
        <v>70</v>
      </c>
      <c r="Q221" s="546"/>
      <c r="R221" s="546"/>
      <c r="S221" s="546"/>
      <c r="T221" s="546"/>
      <c r="U221" s="546"/>
      <c r="V221" s="547"/>
      <c r="W221" s="37" t="s">
        <v>68</v>
      </c>
      <c r="X221" s="541">
        <f>IFERROR(SUM(X218:X219),"0")</f>
        <v>19</v>
      </c>
      <c r="Y221" s="541">
        <f>IFERROR(SUM(Y218:Y219),"0")</f>
        <v>19.2</v>
      </c>
      <c r="Z221" s="37"/>
      <c r="AA221" s="542"/>
      <c r="AB221" s="542"/>
      <c r="AC221" s="542"/>
    </row>
    <row r="222" spans="1:68" ht="16.5" hidden="1" customHeight="1" x14ac:dyDescent="0.25">
      <c r="A222" s="553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4"/>
      <c r="AB222" s="534"/>
      <c r="AC222" s="534"/>
    </row>
    <row r="223" spans="1:68" ht="14.25" hidden="1" customHeight="1" x14ac:dyDescent="0.25">
      <c r="A223" s="556" t="s">
        <v>98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5"/>
      <c r="AB223" s="535"/>
      <c r="AC223" s="535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/>
      <c r="M224" s="33" t="s">
        <v>103</v>
      </c>
      <c r="N224" s="33"/>
      <c r="O224" s="32">
        <v>55</v>
      </c>
      <c r="P224" s="7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9"/>
      <c r="R224" s="549"/>
      <c r="S224" s="549"/>
      <c r="T224" s="550"/>
      <c r="U224" s="34"/>
      <c r="V224" s="34"/>
      <c r="W224" s="35" t="s">
        <v>68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9"/>
      <c r="R225" s="549"/>
      <c r="S225" s="549"/>
      <c r="T225" s="550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9"/>
      <c r="R226" s="549"/>
      <c r="S226" s="549"/>
      <c r="T226" s="550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9"/>
      <c r="R227" s="549"/>
      <c r="S227" s="549"/>
      <c r="T227" s="550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9"/>
      <c r="R228" s="549"/>
      <c r="S228" s="549"/>
      <c r="T228" s="550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9"/>
      <c r="R229" s="549"/>
      <c r="S229" s="549"/>
      <c r="T229" s="550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7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9"/>
      <c r="R230" s="549"/>
      <c r="S230" s="549"/>
      <c r="T230" s="550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6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9"/>
      <c r="R231" s="549"/>
      <c r="S231" s="549"/>
      <c r="T231" s="550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 t="s">
        <v>109</v>
      </c>
      <c r="M232" s="33" t="s">
        <v>103</v>
      </c>
      <c r="N232" s="33"/>
      <c r="O232" s="32">
        <v>55</v>
      </c>
      <c r="P232" s="7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9"/>
      <c r="R232" s="549"/>
      <c r="S232" s="549"/>
      <c r="T232" s="550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105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9"/>
      <c r="R233" s="549"/>
      <c r="S233" s="549"/>
      <c r="T233" s="550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65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66"/>
      <c r="P234" s="545" t="s">
        <v>70</v>
      </c>
      <c r="Q234" s="546"/>
      <c r="R234" s="546"/>
      <c r="S234" s="546"/>
      <c r="T234" s="546"/>
      <c r="U234" s="546"/>
      <c r="V234" s="547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66"/>
      <c r="P235" s="545" t="s">
        <v>70</v>
      </c>
      <c r="Q235" s="546"/>
      <c r="R235" s="546"/>
      <c r="S235" s="546"/>
      <c r="T235" s="546"/>
      <c r="U235" s="546"/>
      <c r="V235" s="547"/>
      <c r="W235" s="37" t="s">
        <v>68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hidden="1" customHeight="1" x14ac:dyDescent="0.25">
      <c r="A236" s="556" t="s">
        <v>134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5"/>
      <c r="AB236" s="535"/>
      <c r="AC236" s="535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9"/>
      <c r="R237" s="549"/>
      <c r="S237" s="549"/>
      <c r="T237" s="550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65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66"/>
      <c r="P238" s="545" t="s">
        <v>70</v>
      </c>
      <c r="Q238" s="546"/>
      <c r="R238" s="546"/>
      <c r="S238" s="546"/>
      <c r="T238" s="546"/>
      <c r="U238" s="546"/>
      <c r="V238" s="547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66"/>
      <c r="P239" s="545" t="s">
        <v>70</v>
      </c>
      <c r="Q239" s="546"/>
      <c r="R239" s="546"/>
      <c r="S239" s="546"/>
      <c r="T239" s="546"/>
      <c r="U239" s="546"/>
      <c r="V239" s="547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6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5"/>
      <c r="AB240" s="535"/>
      <c r="AC240" s="535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9"/>
      <c r="R241" s="549"/>
      <c r="S241" s="549"/>
      <c r="T241" s="550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65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66"/>
      <c r="P242" s="545" t="s">
        <v>70</v>
      </c>
      <c r="Q242" s="546"/>
      <c r="R242" s="546"/>
      <c r="S242" s="546"/>
      <c r="T242" s="546"/>
      <c r="U242" s="546"/>
      <c r="V242" s="547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66"/>
      <c r="P243" s="545" t="s">
        <v>70</v>
      </c>
      <c r="Q243" s="546"/>
      <c r="R243" s="546"/>
      <c r="S243" s="546"/>
      <c r="T243" s="546"/>
      <c r="U243" s="546"/>
      <c r="V243" s="547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6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5"/>
      <c r="AB244" s="535"/>
      <c r="AC244" s="535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9"/>
      <c r="R245" s="549"/>
      <c r="S245" s="549"/>
      <c r="T245" s="550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9"/>
      <c r="R246" s="549"/>
      <c r="S246" s="549"/>
      <c r="T246" s="550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9"/>
      <c r="R247" s="549"/>
      <c r="S247" s="549"/>
      <c r="T247" s="550"/>
      <c r="U247" s="34"/>
      <c r="V247" s="34"/>
      <c r="W247" s="35" t="s">
        <v>68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9"/>
      <c r="R248" s="549"/>
      <c r="S248" s="549"/>
      <c r="T248" s="550"/>
      <c r="U248" s="34"/>
      <c r="V248" s="34"/>
      <c r="W248" s="35" t="s">
        <v>68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71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9"/>
      <c r="R249" s="549"/>
      <c r="S249" s="549"/>
      <c r="T249" s="550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5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66"/>
      <c r="P250" s="545" t="s">
        <v>70</v>
      </c>
      <c r="Q250" s="546"/>
      <c r="R250" s="546"/>
      <c r="S250" s="546"/>
      <c r="T250" s="546"/>
      <c r="U250" s="546"/>
      <c r="V250" s="547"/>
      <c r="W250" s="37" t="s">
        <v>71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66"/>
      <c r="P251" s="545" t="s">
        <v>70</v>
      </c>
      <c r="Q251" s="546"/>
      <c r="R251" s="546"/>
      <c r="S251" s="546"/>
      <c r="T251" s="546"/>
      <c r="U251" s="546"/>
      <c r="V251" s="547"/>
      <c r="W251" s="37" t="s">
        <v>68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hidden="1" customHeight="1" x14ac:dyDescent="0.25">
      <c r="A252" s="553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4"/>
      <c r="AB252" s="534"/>
      <c r="AC252" s="534"/>
    </row>
    <row r="253" spans="1:68" ht="14.25" hidden="1" customHeight="1" x14ac:dyDescent="0.25">
      <c r="A253" s="556" t="s">
        <v>98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5"/>
      <c r="AB253" s="535"/>
      <c r="AC253" s="535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 t="s">
        <v>102</v>
      </c>
      <c r="M254" s="33" t="s">
        <v>103</v>
      </c>
      <c r="N254" s="33"/>
      <c r="O254" s="32">
        <v>55</v>
      </c>
      <c r="P254" s="7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9"/>
      <c r="R254" s="549"/>
      <c r="S254" s="549"/>
      <c r="T254" s="550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105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9"/>
      <c r="R255" s="549"/>
      <c r="S255" s="549"/>
      <c r="T255" s="550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 t="s">
        <v>102</v>
      </c>
      <c r="M256" s="33" t="s">
        <v>103</v>
      </c>
      <c r="N256" s="33"/>
      <c r="O256" s="32">
        <v>55</v>
      </c>
      <c r="P256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9"/>
      <c r="R256" s="549"/>
      <c r="S256" s="549"/>
      <c r="T256" s="550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105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9"/>
      <c r="R257" s="549"/>
      <c r="S257" s="549"/>
      <c r="T257" s="550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9"/>
      <c r="R258" s="549"/>
      <c r="S258" s="549"/>
      <c r="T258" s="550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5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66"/>
      <c r="P259" s="545" t="s">
        <v>70</v>
      </c>
      <c r="Q259" s="546"/>
      <c r="R259" s="546"/>
      <c r="S259" s="546"/>
      <c r="T259" s="546"/>
      <c r="U259" s="546"/>
      <c r="V259" s="547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66"/>
      <c r="P260" s="545" t="s">
        <v>70</v>
      </c>
      <c r="Q260" s="546"/>
      <c r="R260" s="546"/>
      <c r="S260" s="546"/>
      <c r="T260" s="546"/>
      <c r="U260" s="546"/>
      <c r="V260" s="547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53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4"/>
      <c r="AB261" s="534"/>
      <c r="AC261" s="534"/>
    </row>
    <row r="262" spans="1:68" ht="14.25" hidden="1" customHeight="1" x14ac:dyDescent="0.25">
      <c r="A262" s="556" t="s">
        <v>98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5"/>
      <c r="AB262" s="535"/>
      <c r="AC262" s="535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9"/>
      <c r="R263" s="549"/>
      <c r="S263" s="549"/>
      <c r="T263" s="550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9"/>
      <c r="R264" s="549"/>
      <c r="S264" s="549"/>
      <c r="T264" s="550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9"/>
      <c r="R265" s="549"/>
      <c r="S265" s="549"/>
      <c r="T265" s="550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9"/>
      <c r="R266" s="549"/>
      <c r="S266" s="549"/>
      <c r="T266" s="550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5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66"/>
      <c r="P267" s="545" t="s">
        <v>70</v>
      </c>
      <c r="Q267" s="546"/>
      <c r="R267" s="546"/>
      <c r="S267" s="546"/>
      <c r="T267" s="546"/>
      <c r="U267" s="546"/>
      <c r="V267" s="547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66"/>
      <c r="P268" s="545" t="s">
        <v>70</v>
      </c>
      <c r="Q268" s="546"/>
      <c r="R268" s="546"/>
      <c r="S268" s="546"/>
      <c r="T268" s="546"/>
      <c r="U268" s="546"/>
      <c r="V268" s="547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53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4"/>
      <c r="AB269" s="534"/>
      <c r="AC269" s="534"/>
    </row>
    <row r="270" spans="1:68" ht="14.25" hidden="1" customHeight="1" x14ac:dyDescent="0.25">
      <c r="A270" s="556" t="s">
        <v>72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5"/>
      <c r="AB270" s="535"/>
      <c r="AC270" s="535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9"/>
      <c r="R271" s="549"/>
      <c r="S271" s="549"/>
      <c r="T271" s="550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185</v>
      </c>
      <c r="M272" s="33" t="s">
        <v>83</v>
      </c>
      <c r="N272" s="33"/>
      <c r="O272" s="32">
        <v>40</v>
      </c>
      <c r="P272" s="6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9"/>
      <c r="R272" s="549"/>
      <c r="S272" s="549"/>
      <c r="T272" s="550"/>
      <c r="U272" s="34"/>
      <c r="V272" s="34"/>
      <c r="W272" s="35" t="s">
        <v>68</v>
      </c>
      <c r="X272" s="539">
        <v>56</v>
      </c>
      <c r="Y272" s="540">
        <f>IFERROR(IF(X272="",0,CEILING((X272/$H272),1)*$H272),"")</f>
        <v>57.599999999999994</v>
      </c>
      <c r="Z272" s="36">
        <f>IFERROR(IF(Y272=0,"",ROUNDUP(Y272/H272,0)*0.00651),"")</f>
        <v>0.15623999999999999</v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61.88</v>
      </c>
      <c r="BN272" s="64">
        <f>IFERROR(Y272*I272/H272,"0")</f>
        <v>63.648000000000003</v>
      </c>
      <c r="BO272" s="64">
        <f>IFERROR(1/J272*(X272/H272),"0")</f>
        <v>0.12820512820512822</v>
      </c>
      <c r="BP272" s="64">
        <f>IFERROR(1/J272*(Y272/H272),"0")</f>
        <v>0.13186813186813187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185</v>
      </c>
      <c r="M273" s="33" t="s">
        <v>76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9"/>
      <c r="R273" s="549"/>
      <c r="S273" s="549"/>
      <c r="T273" s="550"/>
      <c r="U273" s="34"/>
      <c r="V273" s="34"/>
      <c r="W273" s="35" t="s">
        <v>68</v>
      </c>
      <c r="X273" s="539">
        <v>196</v>
      </c>
      <c r="Y273" s="540">
        <f>IFERROR(IF(X273="",0,CEILING((X273/$H273),1)*$H273),"")</f>
        <v>196.79999999999998</v>
      </c>
      <c r="Z273" s="36">
        <f>IFERROR(IF(Y273=0,"",ROUNDUP(Y273/H273,0)*0.00651),"")</f>
        <v>0.53381999999999996</v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210.70000000000002</v>
      </c>
      <c r="BN273" s="64">
        <f>IFERROR(Y273*I273/H273,"0")</f>
        <v>211.56</v>
      </c>
      <c r="BO273" s="64">
        <f>IFERROR(1/J273*(X273/H273),"0")</f>
        <v>0.44871794871794879</v>
      </c>
      <c r="BP273" s="64">
        <f>IFERROR(1/J273*(Y273/H273),"0")</f>
        <v>0.45054945054945056</v>
      </c>
    </row>
    <row r="274" spans="1:68" x14ac:dyDescent="0.2">
      <c r="A274" s="565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66"/>
      <c r="P274" s="545" t="s">
        <v>70</v>
      </c>
      <c r="Q274" s="546"/>
      <c r="R274" s="546"/>
      <c r="S274" s="546"/>
      <c r="T274" s="546"/>
      <c r="U274" s="546"/>
      <c r="V274" s="547"/>
      <c r="W274" s="37" t="s">
        <v>71</v>
      </c>
      <c r="X274" s="541">
        <f>IFERROR(X271/H271,"0")+IFERROR(X272/H272,"0")+IFERROR(X273/H273,"0")</f>
        <v>105</v>
      </c>
      <c r="Y274" s="541">
        <f>IFERROR(Y271/H271,"0")+IFERROR(Y272/H272,"0")+IFERROR(Y273/H273,"0")</f>
        <v>106</v>
      </c>
      <c r="Z274" s="541">
        <f>IFERROR(IF(Z271="",0,Z271),"0")+IFERROR(IF(Z272="",0,Z272),"0")+IFERROR(IF(Z273="",0,Z273),"0")</f>
        <v>0.6900599999999999</v>
      </c>
      <c r="AA274" s="542"/>
      <c r="AB274" s="542"/>
      <c r="AC274" s="542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66"/>
      <c r="P275" s="545" t="s">
        <v>70</v>
      </c>
      <c r="Q275" s="546"/>
      <c r="R275" s="546"/>
      <c r="S275" s="546"/>
      <c r="T275" s="546"/>
      <c r="U275" s="546"/>
      <c r="V275" s="547"/>
      <c r="W275" s="37" t="s">
        <v>68</v>
      </c>
      <c r="X275" s="541">
        <f>IFERROR(SUM(X271:X273),"0")</f>
        <v>252</v>
      </c>
      <c r="Y275" s="541">
        <f>IFERROR(SUM(Y271:Y273),"0")</f>
        <v>254.39999999999998</v>
      </c>
      <c r="Z275" s="37"/>
      <c r="AA275" s="542"/>
      <c r="AB275" s="542"/>
      <c r="AC275" s="542"/>
    </row>
    <row r="276" spans="1:68" ht="16.5" hidden="1" customHeight="1" x14ac:dyDescent="0.25">
      <c r="A276" s="553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4"/>
      <c r="AB276" s="534"/>
      <c r="AC276" s="534"/>
    </row>
    <row r="277" spans="1:68" ht="14.25" hidden="1" customHeight="1" x14ac:dyDescent="0.25">
      <c r="A277" s="556" t="s">
        <v>63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5"/>
      <c r="AB277" s="535"/>
      <c r="AC277" s="535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9"/>
      <c r="R278" s="549"/>
      <c r="S278" s="549"/>
      <c r="T278" s="550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3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9"/>
      <c r="R279" s="549"/>
      <c r="S279" s="549"/>
      <c r="T279" s="550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65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66"/>
      <c r="P280" s="545" t="s">
        <v>70</v>
      </c>
      <c r="Q280" s="546"/>
      <c r="R280" s="546"/>
      <c r="S280" s="546"/>
      <c r="T280" s="546"/>
      <c r="U280" s="546"/>
      <c r="V280" s="547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66"/>
      <c r="P281" s="545" t="s">
        <v>70</v>
      </c>
      <c r="Q281" s="546"/>
      <c r="R281" s="546"/>
      <c r="S281" s="546"/>
      <c r="T281" s="546"/>
      <c r="U281" s="546"/>
      <c r="V281" s="547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6" t="s">
        <v>72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5"/>
      <c r="AB282" s="535"/>
      <c r="AC282" s="535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71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9"/>
      <c r="R283" s="549"/>
      <c r="S283" s="549"/>
      <c r="T283" s="550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3">
        <v>4680115887114</v>
      </c>
      <c r="E284" s="544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46" t="s">
        <v>445</v>
      </c>
      <c r="Q284" s="549"/>
      <c r="R284" s="549"/>
      <c r="S284" s="549"/>
      <c r="T284" s="550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5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66"/>
      <c r="P285" s="545" t="s">
        <v>70</v>
      </c>
      <c r="Q285" s="546"/>
      <c r="R285" s="546"/>
      <c r="S285" s="546"/>
      <c r="T285" s="546"/>
      <c r="U285" s="546"/>
      <c r="V285" s="547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66"/>
      <c r="P286" s="545" t="s">
        <v>70</v>
      </c>
      <c r="Q286" s="546"/>
      <c r="R286" s="546"/>
      <c r="S286" s="546"/>
      <c r="T286" s="546"/>
      <c r="U286" s="546"/>
      <c r="V286" s="547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hidden="1" customHeight="1" x14ac:dyDescent="0.25">
      <c r="A287" s="553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4"/>
      <c r="AB287" s="534"/>
      <c r="AC287" s="534"/>
    </row>
    <row r="288" spans="1:68" ht="14.25" hidden="1" customHeight="1" x14ac:dyDescent="0.25">
      <c r="A288" s="556" t="s">
        <v>98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5"/>
      <c r="AB288" s="535"/>
      <c r="AC288" s="535"/>
    </row>
    <row r="289" spans="1:68" ht="27" hidden="1" customHeight="1" x14ac:dyDescent="0.25">
      <c r="A289" s="54" t="s">
        <v>448</v>
      </c>
      <c r="B289" s="54" t="s">
        <v>449</v>
      </c>
      <c r="C289" s="31">
        <v>4301012024</v>
      </c>
      <c r="D289" s="543">
        <v>4680115885615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9"/>
      <c r="R289" s="549"/>
      <c r="S289" s="549"/>
      <c r="T289" s="550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451</v>
      </c>
      <c r="B290" s="54" t="s">
        <v>452</v>
      </c>
      <c r="C290" s="31">
        <v>4301011858</v>
      </c>
      <c r="D290" s="543">
        <v>4680115885646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9"/>
      <c r="R290" s="549"/>
      <c r="S290" s="549"/>
      <c r="T290" s="550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454</v>
      </c>
      <c r="B291" s="54" t="s">
        <v>455</v>
      </c>
      <c r="C291" s="31">
        <v>4301012016</v>
      </c>
      <c r="D291" s="543">
        <v>4680115885554</v>
      </c>
      <c r="E291" s="544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9"/>
      <c r="R291" s="549"/>
      <c r="S291" s="549"/>
      <c r="T291" s="550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4301011857</v>
      </c>
      <c r="D292" s="543">
        <v>4680115885622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9"/>
      <c r="R292" s="549"/>
      <c r="S292" s="549"/>
      <c r="T292" s="550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4301011859</v>
      </c>
      <c r="D293" s="543">
        <v>4680115885608</v>
      </c>
      <c r="E293" s="544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3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9"/>
      <c r="R293" s="549"/>
      <c r="S293" s="549"/>
      <c r="T293" s="550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5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66"/>
      <c r="P294" s="545" t="s">
        <v>70</v>
      </c>
      <c r="Q294" s="546"/>
      <c r="R294" s="546"/>
      <c r="S294" s="546"/>
      <c r="T294" s="546"/>
      <c r="U294" s="546"/>
      <c r="V294" s="547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66"/>
      <c r="P295" s="545" t="s">
        <v>70</v>
      </c>
      <c r="Q295" s="546"/>
      <c r="R295" s="546"/>
      <c r="S295" s="546"/>
      <c r="T295" s="546"/>
      <c r="U295" s="546"/>
      <c r="V295" s="547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hidden="1" customHeight="1" x14ac:dyDescent="0.25">
      <c r="A296" s="556" t="s">
        <v>63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5"/>
      <c r="AB296" s="535"/>
      <c r="AC296" s="535"/>
    </row>
    <row r="297" spans="1:68" ht="27" hidden="1" customHeight="1" x14ac:dyDescent="0.25">
      <c r="A297" s="54" t="s">
        <v>462</v>
      </c>
      <c r="B297" s="54" t="s">
        <v>463</v>
      </c>
      <c r="C297" s="31">
        <v>4301030878</v>
      </c>
      <c r="D297" s="543">
        <v>4607091387193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9"/>
      <c r="R297" s="549"/>
      <c r="S297" s="549"/>
      <c r="T297" s="550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465</v>
      </c>
      <c r="B298" s="54" t="s">
        <v>466</v>
      </c>
      <c r="C298" s="31">
        <v>4301031153</v>
      </c>
      <c r="D298" s="543">
        <v>4607091387230</v>
      </c>
      <c r="E298" s="544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 t="s">
        <v>109</v>
      </c>
      <c r="M298" s="33" t="s">
        <v>67</v>
      </c>
      <c r="N298" s="33"/>
      <c r="O298" s="32">
        <v>40</v>
      </c>
      <c r="P298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9"/>
      <c r="R298" s="549"/>
      <c r="S298" s="549"/>
      <c r="T298" s="550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105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4301031154</v>
      </c>
      <c r="D299" s="543">
        <v>4607091387292</v>
      </c>
      <c r="E299" s="544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9"/>
      <c r="R299" s="549"/>
      <c r="S299" s="549"/>
      <c r="T299" s="550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4301031152</v>
      </c>
      <c r="D300" s="543">
        <v>4607091387285</v>
      </c>
      <c r="E300" s="544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9"/>
      <c r="R300" s="549"/>
      <c r="S300" s="549"/>
      <c r="T300" s="550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4301031305</v>
      </c>
      <c r="D301" s="543">
        <v>4607091389845</v>
      </c>
      <c r="E301" s="544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/>
      <c r="M301" s="33" t="s">
        <v>67</v>
      </c>
      <c r="N301" s="33"/>
      <c r="O301" s="32">
        <v>40</v>
      </c>
      <c r="P301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9"/>
      <c r="R301" s="549"/>
      <c r="S301" s="549"/>
      <c r="T301" s="550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4301031306</v>
      </c>
      <c r="D302" s="543">
        <v>4680115882881</v>
      </c>
      <c r="E302" s="544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61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9"/>
      <c r="R302" s="549"/>
      <c r="S302" s="549"/>
      <c r="T302" s="550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4301031066</v>
      </c>
      <c r="D303" s="543">
        <v>4607091383836</v>
      </c>
      <c r="E303" s="544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9"/>
      <c r="R303" s="549"/>
      <c r="S303" s="549"/>
      <c r="T303" s="550"/>
      <c r="U303" s="34"/>
      <c r="V303" s="34"/>
      <c r="W303" s="35" t="s">
        <v>68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65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66"/>
      <c r="P304" s="545" t="s">
        <v>70</v>
      </c>
      <c r="Q304" s="546"/>
      <c r="R304" s="546"/>
      <c r="S304" s="546"/>
      <c r="T304" s="546"/>
      <c r="U304" s="546"/>
      <c r="V304" s="547"/>
      <c r="W304" s="37" t="s">
        <v>71</v>
      </c>
      <c r="X304" s="541">
        <f>IFERROR(X297/H297,"0")+IFERROR(X298/H298,"0")+IFERROR(X299/H299,"0")+IFERROR(X300/H300,"0")+IFERROR(X301/H301,"0")+IFERROR(X302/H302,"0")+IFERROR(X303/H303,"0")</f>
        <v>0</v>
      </c>
      <c r="Y304" s="541">
        <f>IFERROR(Y297/H297,"0")+IFERROR(Y298/H298,"0")+IFERROR(Y299/H299,"0")+IFERROR(Y300/H300,"0")+IFERROR(Y301/H301,"0")+IFERROR(Y302/H302,"0")+IFERROR(Y303/H303,"0")</f>
        <v>0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2"/>
      <c r="AB304" s="542"/>
      <c r="AC304" s="542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66"/>
      <c r="P305" s="545" t="s">
        <v>70</v>
      </c>
      <c r="Q305" s="546"/>
      <c r="R305" s="546"/>
      <c r="S305" s="546"/>
      <c r="T305" s="546"/>
      <c r="U305" s="546"/>
      <c r="V305" s="547"/>
      <c r="W305" s="37" t="s">
        <v>68</v>
      </c>
      <c r="X305" s="541">
        <f>IFERROR(SUM(X297:X303),"0")</f>
        <v>0</v>
      </c>
      <c r="Y305" s="541">
        <f>IFERROR(SUM(Y297:Y303),"0")</f>
        <v>0</v>
      </c>
      <c r="Z305" s="37"/>
      <c r="AA305" s="542"/>
      <c r="AB305" s="542"/>
      <c r="AC305" s="542"/>
    </row>
    <row r="306" spans="1:68" ht="14.25" hidden="1" customHeight="1" x14ac:dyDescent="0.25">
      <c r="A306" s="556" t="s">
        <v>72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5"/>
      <c r="AB306" s="535"/>
      <c r="AC306" s="535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43">
        <v>4607091387766</v>
      </c>
      <c r="E307" s="544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 t="s">
        <v>102</v>
      </c>
      <c r="M307" s="33" t="s">
        <v>76</v>
      </c>
      <c r="N307" s="33"/>
      <c r="O307" s="32">
        <v>40</v>
      </c>
      <c r="P307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9"/>
      <c r="R307" s="549"/>
      <c r="S307" s="549"/>
      <c r="T307" s="550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105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43">
        <v>4607091387957</v>
      </c>
      <c r="E308" s="544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9"/>
      <c r="R308" s="549"/>
      <c r="S308" s="549"/>
      <c r="T308" s="550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43">
        <v>4607091387964</v>
      </c>
      <c r="E309" s="544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9"/>
      <c r="R309" s="549"/>
      <c r="S309" s="549"/>
      <c r="T309" s="550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43">
        <v>4680115884588</v>
      </c>
      <c r="E310" s="544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9"/>
      <c r="R310" s="549"/>
      <c r="S310" s="549"/>
      <c r="T310" s="550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65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66"/>
      <c r="P311" s="545" t="s">
        <v>70</v>
      </c>
      <c r="Q311" s="546"/>
      <c r="R311" s="546"/>
      <c r="S311" s="546"/>
      <c r="T311" s="546"/>
      <c r="U311" s="546"/>
      <c r="V311" s="547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66"/>
      <c r="P312" s="545" t="s">
        <v>70</v>
      </c>
      <c r="Q312" s="546"/>
      <c r="R312" s="546"/>
      <c r="S312" s="546"/>
      <c r="T312" s="546"/>
      <c r="U312" s="546"/>
      <c r="V312" s="547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6" t="s">
        <v>162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5"/>
      <c r="AB313" s="535"/>
      <c r="AC313" s="535"/>
    </row>
    <row r="314" spans="1:68" ht="27" hidden="1" customHeight="1" x14ac:dyDescent="0.25">
      <c r="A314" s="54" t="s">
        <v>493</v>
      </c>
      <c r="B314" s="54" t="s">
        <v>494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/>
      <c r="M314" s="33" t="s">
        <v>76</v>
      </c>
      <c r="N314" s="33"/>
      <c r="O314" s="32">
        <v>30</v>
      </c>
      <c r="P314" s="7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9"/>
      <c r="R314" s="549"/>
      <c r="S314" s="549"/>
      <c r="T314" s="550"/>
      <c r="U314" s="34"/>
      <c r="V314" s="34"/>
      <c r="W314" s="35" t="s">
        <v>68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9"/>
      <c r="R315" s="549"/>
      <c r="S315" s="549"/>
      <c r="T315" s="550"/>
      <c r="U315" s="34"/>
      <c r="V315" s="34"/>
      <c r="W315" s="35" t="s">
        <v>68</v>
      </c>
      <c r="X315" s="539">
        <v>561</v>
      </c>
      <c r="Y315" s="540">
        <f>IFERROR(IF(X315="",0,CEILING((X315/$H315),1)*$H315),"")</f>
        <v>561.6</v>
      </c>
      <c r="Z315" s="36">
        <f>IFERROR(IF(Y315=0,"",ROUNDUP(Y315/H315,0)*0.01898),"")</f>
        <v>1.36656</v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596.53000000000009</v>
      </c>
      <c r="BN315" s="64">
        <f>IFERROR(Y315*I315/H315,"0")</f>
        <v>597.16800000000012</v>
      </c>
      <c r="BO315" s="64">
        <f>IFERROR(1/J315*(X315/H315),"0")</f>
        <v>1.1237980769230769</v>
      </c>
      <c r="BP315" s="64">
        <f>IFERROR(1/J315*(Y315/H315),"0")</f>
        <v>1.125</v>
      </c>
    </row>
    <row r="316" spans="1:68" ht="16.5" hidden="1" customHeight="1" x14ac:dyDescent="0.25">
      <c r="A316" s="54" t="s">
        <v>499</v>
      </c>
      <c r="B316" s="54" t="s">
        <v>500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/>
      <c r="M316" s="33" t="s">
        <v>83</v>
      </c>
      <c r="N316" s="33"/>
      <c r="O316" s="32">
        <v>30</v>
      </c>
      <c r="P316" s="58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9"/>
      <c r="R316" s="549"/>
      <c r="S316" s="549"/>
      <c r="T316" s="550"/>
      <c r="U316" s="34"/>
      <c r="V316" s="34"/>
      <c r="W316" s="35" t="s">
        <v>68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5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66"/>
      <c r="P317" s="545" t="s">
        <v>70</v>
      </c>
      <c r="Q317" s="546"/>
      <c r="R317" s="546"/>
      <c r="S317" s="546"/>
      <c r="T317" s="546"/>
      <c r="U317" s="546"/>
      <c r="V317" s="547"/>
      <c r="W317" s="37" t="s">
        <v>71</v>
      </c>
      <c r="X317" s="541">
        <f>IFERROR(X314/H314,"0")+IFERROR(X315/H315,"0")+IFERROR(X316/H316,"0")</f>
        <v>71.92307692307692</v>
      </c>
      <c r="Y317" s="541">
        <f>IFERROR(Y314/H314,"0")+IFERROR(Y315/H315,"0")+IFERROR(Y316/H316,"0")</f>
        <v>72</v>
      </c>
      <c r="Z317" s="541">
        <f>IFERROR(IF(Z314="",0,Z314),"0")+IFERROR(IF(Z315="",0,Z315),"0")+IFERROR(IF(Z316="",0,Z316),"0")</f>
        <v>1.36656</v>
      </c>
      <c r="AA317" s="542"/>
      <c r="AB317" s="542"/>
      <c r="AC317" s="542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66"/>
      <c r="P318" s="545" t="s">
        <v>70</v>
      </c>
      <c r="Q318" s="546"/>
      <c r="R318" s="546"/>
      <c r="S318" s="546"/>
      <c r="T318" s="546"/>
      <c r="U318" s="546"/>
      <c r="V318" s="547"/>
      <c r="W318" s="37" t="s">
        <v>68</v>
      </c>
      <c r="X318" s="541">
        <f>IFERROR(SUM(X314:X316),"0")</f>
        <v>561</v>
      </c>
      <c r="Y318" s="541">
        <f>IFERROR(SUM(Y314:Y316),"0")</f>
        <v>561.6</v>
      </c>
      <c r="Z318" s="37"/>
      <c r="AA318" s="542"/>
      <c r="AB318" s="542"/>
      <c r="AC318" s="542"/>
    </row>
    <row r="319" spans="1:68" ht="14.25" hidden="1" customHeight="1" x14ac:dyDescent="0.25">
      <c r="A319" s="556" t="s">
        <v>90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5"/>
      <c r="AB319" s="535"/>
      <c r="AC319" s="535"/>
    </row>
    <row r="320" spans="1:68" ht="27" hidden="1" customHeight="1" x14ac:dyDescent="0.25">
      <c r="A320" s="54" t="s">
        <v>502</v>
      </c>
      <c r="B320" s="54" t="s">
        <v>503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9"/>
      <c r="R320" s="549"/>
      <c r="S320" s="549"/>
      <c r="T320" s="550"/>
      <c r="U320" s="34"/>
      <c r="V320" s="34"/>
      <c r="W320" s="35" t="s">
        <v>68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505</v>
      </c>
      <c r="B321" s="54" t="s">
        <v>506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9"/>
      <c r="R321" s="549"/>
      <c r="S321" s="549"/>
      <c r="T321" s="550"/>
      <c r="U321" s="34"/>
      <c r="V321" s="34"/>
      <c r="W321" s="35" t="s">
        <v>68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 t="s">
        <v>185</v>
      </c>
      <c r="M322" s="33" t="s">
        <v>93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9"/>
      <c r="R322" s="549"/>
      <c r="S322" s="549"/>
      <c r="T322" s="550"/>
      <c r="U322" s="34"/>
      <c r="V322" s="34"/>
      <c r="W322" s="35" t="s">
        <v>68</v>
      </c>
      <c r="X322" s="539">
        <v>7</v>
      </c>
      <c r="Y322" s="540">
        <f>IFERROR(IF(X322="",0,CEILING((X322/$H322),1)*$H322),"")</f>
        <v>7.6499999999999995</v>
      </c>
      <c r="Z322" s="36">
        <f>IFERROR(IF(Y322=0,"",ROUNDUP(Y322/H322,0)*0.00651),"")</f>
        <v>1.9529999999999999E-2</v>
      </c>
      <c r="AA322" s="56"/>
      <c r="AB322" s="57"/>
      <c r="AC322" s="373" t="s">
        <v>509</v>
      </c>
      <c r="AG322" s="64"/>
      <c r="AJ322" s="68" t="s">
        <v>105</v>
      </c>
      <c r="AK322" s="68">
        <v>35.700000000000003</v>
      </c>
      <c r="BB322" s="374" t="s">
        <v>1</v>
      </c>
      <c r="BM322" s="64">
        <f>IFERROR(X322*I322/H322,"0")</f>
        <v>8.1117647058823543</v>
      </c>
      <c r="BN322" s="64">
        <f>IFERROR(Y322*I322/H322,"0")</f>
        <v>8.8650000000000002</v>
      </c>
      <c r="BO322" s="64">
        <f>IFERROR(1/J322*(X322/H322),"0")</f>
        <v>1.508295625942685E-2</v>
      </c>
      <c r="BP322" s="64">
        <f>IFERROR(1/J322*(Y322/H322),"0")</f>
        <v>1.6483516483516484E-2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185</v>
      </c>
      <c r="M323" s="33" t="s">
        <v>93</v>
      </c>
      <c r="N323" s="33"/>
      <c r="O323" s="32">
        <v>180</v>
      </c>
      <c r="P323" s="80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9"/>
      <c r="R323" s="549"/>
      <c r="S323" s="549"/>
      <c r="T323" s="550"/>
      <c r="U323" s="34"/>
      <c r="V323" s="34"/>
      <c r="W323" s="35" t="s">
        <v>68</v>
      </c>
      <c r="X323" s="539">
        <v>18</v>
      </c>
      <c r="Y323" s="540">
        <f>IFERROR(IF(X323="",0,CEILING((X323/$H323),1)*$H323),"")</f>
        <v>20.399999999999999</v>
      </c>
      <c r="Z323" s="36">
        <f>IFERROR(IF(Y323=0,"",ROUNDUP(Y323/H323,0)*0.00651),"")</f>
        <v>5.2080000000000001E-2</v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20.329411764705881</v>
      </c>
      <c r="BN323" s="64">
        <f>IFERROR(Y323*I323/H323,"0")</f>
        <v>23.04</v>
      </c>
      <c r="BO323" s="64">
        <f>IFERROR(1/J323*(X323/H323),"0")</f>
        <v>3.8784744667097616E-2</v>
      </c>
      <c r="BP323" s="64">
        <f>IFERROR(1/J323*(Y323/H323),"0")</f>
        <v>4.3956043956043959E-2</v>
      </c>
    </row>
    <row r="324" spans="1:68" x14ac:dyDescent="0.2">
      <c r="A324" s="565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66"/>
      <c r="P324" s="545" t="s">
        <v>70</v>
      </c>
      <c r="Q324" s="546"/>
      <c r="R324" s="546"/>
      <c r="S324" s="546"/>
      <c r="T324" s="546"/>
      <c r="U324" s="546"/>
      <c r="V324" s="547"/>
      <c r="W324" s="37" t="s">
        <v>71</v>
      </c>
      <c r="X324" s="541">
        <f>IFERROR(X320/H320,"0")+IFERROR(X321/H321,"0")+IFERROR(X322/H322,"0")+IFERROR(X323/H323,"0")</f>
        <v>9.8039215686274517</v>
      </c>
      <c r="Y324" s="541">
        <f>IFERROR(Y320/H320,"0")+IFERROR(Y321/H321,"0")+IFERROR(Y322/H322,"0")+IFERROR(Y323/H323,"0")</f>
        <v>11</v>
      </c>
      <c r="Z324" s="541">
        <f>IFERROR(IF(Z320="",0,Z320),"0")+IFERROR(IF(Z321="",0,Z321),"0")+IFERROR(IF(Z322="",0,Z322),"0")+IFERROR(IF(Z323="",0,Z323),"0")</f>
        <v>7.1610000000000007E-2</v>
      </c>
      <c r="AA324" s="542"/>
      <c r="AB324" s="542"/>
      <c r="AC324" s="542"/>
    </row>
    <row r="325" spans="1:68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66"/>
      <c r="P325" s="545" t="s">
        <v>70</v>
      </c>
      <c r="Q325" s="546"/>
      <c r="R325" s="546"/>
      <c r="S325" s="546"/>
      <c r="T325" s="546"/>
      <c r="U325" s="546"/>
      <c r="V325" s="547"/>
      <c r="W325" s="37" t="s">
        <v>68</v>
      </c>
      <c r="X325" s="541">
        <f>IFERROR(SUM(X320:X323),"0")</f>
        <v>25</v>
      </c>
      <c r="Y325" s="541">
        <f>IFERROR(SUM(Y320:Y323),"0")</f>
        <v>28.049999999999997</v>
      </c>
      <c r="Z325" s="37"/>
      <c r="AA325" s="542"/>
      <c r="AB325" s="542"/>
      <c r="AC325" s="542"/>
    </row>
    <row r="326" spans="1:68" ht="14.25" hidden="1" customHeight="1" x14ac:dyDescent="0.25">
      <c r="A326" s="556" t="s">
        <v>512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5"/>
      <c r="AB326" s="535"/>
      <c r="AC326" s="535"/>
    </row>
    <row r="327" spans="1:68" ht="16.5" hidden="1" customHeight="1" x14ac:dyDescent="0.25">
      <c r="A327" s="54" t="s">
        <v>513</v>
      </c>
      <c r="B327" s="54" t="s">
        <v>514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/>
      <c r="M327" s="33" t="s">
        <v>515</v>
      </c>
      <c r="N327" s="33"/>
      <c r="O327" s="32">
        <v>730</v>
      </c>
      <c r="P327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9"/>
      <c r="R327" s="549"/>
      <c r="S327" s="549"/>
      <c r="T327" s="550"/>
      <c r="U327" s="34"/>
      <c r="V327" s="34"/>
      <c r="W327" s="35" t="s">
        <v>68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/>
      <c r="M328" s="33" t="s">
        <v>515</v>
      </c>
      <c r="N328" s="33"/>
      <c r="O328" s="32">
        <v>730</v>
      </c>
      <c r="P328" s="5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9"/>
      <c r="R328" s="549"/>
      <c r="S328" s="549"/>
      <c r="T328" s="550"/>
      <c r="U328" s="34"/>
      <c r="V328" s="34"/>
      <c r="W328" s="35" t="s">
        <v>68</v>
      </c>
      <c r="X328" s="539">
        <v>2</v>
      </c>
      <c r="Y328" s="540">
        <f>IFERROR(IF(X328="",0,CEILING((X328/$H328),1)*$H328),"")</f>
        <v>2</v>
      </c>
      <c r="Z328" s="36">
        <f>IFERROR(IF(Y328=0,"",ROUNDUP(Y328/H328,0)*0.00474),"")</f>
        <v>4.7400000000000003E-3</v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2.2400000000000002</v>
      </c>
      <c r="BN328" s="64">
        <f>IFERROR(Y328*I328/H328,"0")</f>
        <v>2.2400000000000002</v>
      </c>
      <c r="BO328" s="64">
        <f>IFERROR(1/J328*(X328/H328),"0")</f>
        <v>4.2016806722689074E-3</v>
      </c>
      <c r="BP328" s="64">
        <f>IFERROR(1/J328*(Y328/H328),"0")</f>
        <v>4.2016806722689074E-3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/>
      <c r="M329" s="33" t="s">
        <v>515</v>
      </c>
      <c r="N329" s="33"/>
      <c r="O329" s="32">
        <v>730</v>
      </c>
      <c r="P329" s="6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9"/>
      <c r="R329" s="549"/>
      <c r="S329" s="549"/>
      <c r="T329" s="550"/>
      <c r="U329" s="34"/>
      <c r="V329" s="34"/>
      <c r="W329" s="35" t="s">
        <v>68</v>
      </c>
      <c r="X329" s="539">
        <v>2</v>
      </c>
      <c r="Y329" s="540">
        <f>IFERROR(IF(X329="",0,CEILING((X329/$H329),1)*$H329),"")</f>
        <v>2</v>
      </c>
      <c r="Z329" s="36">
        <f>IFERROR(IF(Y329=0,"",ROUNDUP(Y329/H329,0)*0.00474),"")</f>
        <v>4.7400000000000003E-3</v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2.2400000000000002</v>
      </c>
      <c r="BN329" s="64">
        <f>IFERROR(Y329*I329/H329,"0")</f>
        <v>2.2400000000000002</v>
      </c>
      <c r="BO329" s="64">
        <f>IFERROR(1/J329*(X329/H329),"0")</f>
        <v>4.2016806722689074E-3</v>
      </c>
      <c r="BP329" s="64">
        <f>IFERROR(1/J329*(Y329/H329),"0")</f>
        <v>4.2016806722689074E-3</v>
      </c>
    </row>
    <row r="330" spans="1:68" x14ac:dyDescent="0.2">
      <c r="A330" s="565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66"/>
      <c r="P330" s="545" t="s">
        <v>70</v>
      </c>
      <c r="Q330" s="546"/>
      <c r="R330" s="546"/>
      <c r="S330" s="546"/>
      <c r="T330" s="546"/>
      <c r="U330" s="546"/>
      <c r="V330" s="547"/>
      <c r="W330" s="37" t="s">
        <v>71</v>
      </c>
      <c r="X330" s="541">
        <f>IFERROR(X327/H327,"0")+IFERROR(X328/H328,"0")+IFERROR(X329/H329,"0")</f>
        <v>2</v>
      </c>
      <c r="Y330" s="541">
        <f>IFERROR(Y327/H327,"0")+IFERROR(Y328/H328,"0")+IFERROR(Y329/H329,"0")</f>
        <v>2</v>
      </c>
      <c r="Z330" s="541">
        <f>IFERROR(IF(Z327="",0,Z327),"0")+IFERROR(IF(Z328="",0,Z328),"0")+IFERROR(IF(Z329="",0,Z329),"0")</f>
        <v>9.4800000000000006E-3</v>
      </c>
      <c r="AA330" s="542"/>
      <c r="AB330" s="542"/>
      <c r="AC330" s="542"/>
    </row>
    <row r="331" spans="1:68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66"/>
      <c r="P331" s="545" t="s">
        <v>70</v>
      </c>
      <c r="Q331" s="546"/>
      <c r="R331" s="546"/>
      <c r="S331" s="546"/>
      <c r="T331" s="546"/>
      <c r="U331" s="546"/>
      <c r="V331" s="547"/>
      <c r="W331" s="37" t="s">
        <v>68</v>
      </c>
      <c r="X331" s="541">
        <f>IFERROR(SUM(X327:X329),"0")</f>
        <v>4</v>
      </c>
      <c r="Y331" s="541">
        <f>IFERROR(SUM(Y327:Y329),"0")</f>
        <v>4</v>
      </c>
      <c r="Z331" s="37"/>
      <c r="AA331" s="542"/>
      <c r="AB331" s="542"/>
      <c r="AC331" s="542"/>
    </row>
    <row r="332" spans="1:68" ht="16.5" hidden="1" customHeight="1" x14ac:dyDescent="0.25">
      <c r="A332" s="553" t="s">
        <v>521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4"/>
      <c r="AB332" s="534"/>
      <c r="AC332" s="534"/>
    </row>
    <row r="333" spans="1:68" ht="14.25" hidden="1" customHeight="1" x14ac:dyDescent="0.25">
      <c r="A333" s="556" t="s">
        <v>72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5"/>
      <c r="AB333" s="535"/>
      <c r="AC333" s="535"/>
    </row>
    <row r="334" spans="1:68" ht="27" hidden="1" customHeight="1" x14ac:dyDescent="0.25">
      <c r="A334" s="54" t="s">
        <v>522</v>
      </c>
      <c r="B334" s="54" t="s">
        <v>523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/>
      <c r="M334" s="33" t="s">
        <v>83</v>
      </c>
      <c r="N334" s="33"/>
      <c r="O334" s="32">
        <v>45</v>
      </c>
      <c r="P334" s="6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9"/>
      <c r="R334" s="549"/>
      <c r="S334" s="549"/>
      <c r="T334" s="550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525</v>
      </c>
      <c r="B335" s="54" t="s">
        <v>526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 t="s">
        <v>185</v>
      </c>
      <c r="M335" s="33" t="s">
        <v>76</v>
      </c>
      <c r="N335" s="33"/>
      <c r="O335" s="32">
        <v>45</v>
      </c>
      <c r="P335" s="7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9"/>
      <c r="R335" s="549"/>
      <c r="S335" s="549"/>
      <c r="T335" s="550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105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 t="s">
        <v>185</v>
      </c>
      <c r="M336" s="33" t="s">
        <v>83</v>
      </c>
      <c r="N336" s="33"/>
      <c r="O336" s="32">
        <v>40</v>
      </c>
      <c r="P336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9"/>
      <c r="R336" s="549"/>
      <c r="S336" s="549"/>
      <c r="T336" s="550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105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5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66"/>
      <c r="P337" s="545" t="s">
        <v>70</v>
      </c>
      <c r="Q337" s="546"/>
      <c r="R337" s="546"/>
      <c r="S337" s="546"/>
      <c r="T337" s="546"/>
      <c r="U337" s="546"/>
      <c r="V337" s="547"/>
      <c r="W337" s="37" t="s">
        <v>71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66"/>
      <c r="P338" s="545" t="s">
        <v>70</v>
      </c>
      <c r="Q338" s="546"/>
      <c r="R338" s="546"/>
      <c r="S338" s="546"/>
      <c r="T338" s="546"/>
      <c r="U338" s="546"/>
      <c r="V338" s="547"/>
      <c r="W338" s="37" t="s">
        <v>68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hidden="1" customHeight="1" x14ac:dyDescent="0.2">
      <c r="A339" s="694" t="s">
        <v>531</v>
      </c>
      <c r="B339" s="695"/>
      <c r="C339" s="695"/>
      <c r="D339" s="695"/>
      <c r="E339" s="695"/>
      <c r="F339" s="695"/>
      <c r="G339" s="695"/>
      <c r="H339" s="695"/>
      <c r="I339" s="695"/>
      <c r="J339" s="695"/>
      <c r="K339" s="695"/>
      <c r="L339" s="695"/>
      <c r="M339" s="695"/>
      <c r="N339" s="695"/>
      <c r="O339" s="695"/>
      <c r="P339" s="695"/>
      <c r="Q339" s="695"/>
      <c r="R339" s="695"/>
      <c r="S339" s="695"/>
      <c r="T339" s="695"/>
      <c r="U339" s="695"/>
      <c r="V339" s="695"/>
      <c r="W339" s="695"/>
      <c r="X339" s="695"/>
      <c r="Y339" s="695"/>
      <c r="Z339" s="695"/>
      <c r="AA339" s="48"/>
      <c r="AB339" s="48"/>
      <c r="AC339" s="48"/>
    </row>
    <row r="340" spans="1:68" ht="16.5" hidden="1" customHeight="1" x14ac:dyDescent="0.25">
      <c r="A340" s="553" t="s">
        <v>532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4"/>
      <c r="AB340" s="534"/>
      <c r="AC340" s="534"/>
    </row>
    <row r="341" spans="1:68" ht="14.25" hidden="1" customHeight="1" x14ac:dyDescent="0.25">
      <c r="A341" s="556" t="s">
        <v>98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9"/>
      <c r="R342" s="549"/>
      <c r="S342" s="549"/>
      <c r="T342" s="550"/>
      <c r="U342" s="34"/>
      <c r="V342" s="34"/>
      <c r="W342" s="35" t="s">
        <v>68</v>
      </c>
      <c r="X342" s="539">
        <v>560</v>
      </c>
      <c r="Y342" s="540">
        <f t="shared" ref="Y342:Y348" si="31">IFERROR(IF(X342="",0,CEILING((X342/$H342),1)*$H342),"")</f>
        <v>570</v>
      </c>
      <c r="Z342" s="36">
        <f>IFERROR(IF(Y342=0,"",ROUNDUP(Y342/H342,0)*0.02175),"")</f>
        <v>0.8264999999999999</v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577.54666666666674</v>
      </c>
      <c r="BN342" s="64">
        <f t="shared" ref="BN342:BN348" si="33">IFERROR(Y342*I342/H342,"0")</f>
        <v>587.86</v>
      </c>
      <c r="BO342" s="64">
        <f t="shared" ref="BO342:BO348" si="34">IFERROR(1/J342*(X342/H342),"0")</f>
        <v>0.77777777777777779</v>
      </c>
      <c r="BP342" s="64">
        <f t="shared" ref="BP342:BP348" si="35">IFERROR(1/J342*(Y342/H342),"0")</f>
        <v>0.79166666666666663</v>
      </c>
    </row>
    <row r="343" spans="1:68" ht="27" hidden="1" customHeight="1" x14ac:dyDescent="0.25">
      <c r="A343" s="54" t="s">
        <v>536</v>
      </c>
      <c r="B343" s="54" t="s">
        <v>537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9"/>
      <c r="R343" s="549"/>
      <c r="S343" s="549"/>
      <c r="T343" s="550"/>
      <c r="U343" s="34"/>
      <c r="V343" s="34"/>
      <c r="W343" s="35" t="s">
        <v>68</v>
      </c>
      <c r="X343" s="539">
        <v>0</v>
      </c>
      <c r="Y343" s="540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9"/>
      <c r="R344" s="549"/>
      <c r="S344" s="549"/>
      <c r="T344" s="550"/>
      <c r="U344" s="34"/>
      <c r="V344" s="34"/>
      <c r="W344" s="35" t="s">
        <v>68</v>
      </c>
      <c r="X344" s="539">
        <v>424</v>
      </c>
      <c r="Y344" s="540">
        <f t="shared" si="31"/>
        <v>435</v>
      </c>
      <c r="Z344" s="36">
        <f>IFERROR(IF(Y344=0,"",ROUNDUP(Y344/H344,0)*0.02175),"")</f>
        <v>0.63074999999999992</v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437.28533333333337</v>
      </c>
      <c r="BN344" s="64">
        <f t="shared" si="33"/>
        <v>448.63000000000005</v>
      </c>
      <c r="BO344" s="64">
        <f t="shared" si="34"/>
        <v>0.5888888888888888</v>
      </c>
      <c r="BP344" s="64">
        <f t="shared" si="35"/>
        <v>0.60416666666666663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7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9"/>
      <c r="R345" s="549"/>
      <c r="S345" s="549"/>
      <c r="T345" s="550"/>
      <c r="U345" s="34"/>
      <c r="V345" s="34"/>
      <c r="W345" s="35" t="s">
        <v>68</v>
      </c>
      <c r="X345" s="539">
        <v>805</v>
      </c>
      <c r="Y345" s="540">
        <f t="shared" si="31"/>
        <v>810</v>
      </c>
      <c r="Z345" s="36">
        <f>IFERROR(IF(Y345=0,"",ROUNDUP(Y345/H345,0)*0.02175),"")</f>
        <v>1.1744999999999999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830.22333333333336</v>
      </c>
      <c r="BN345" s="64">
        <f t="shared" si="33"/>
        <v>835.38</v>
      </c>
      <c r="BO345" s="64">
        <f t="shared" si="34"/>
        <v>1.1180555555555554</v>
      </c>
      <c r="BP345" s="64">
        <f t="shared" si="35"/>
        <v>1.125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9"/>
      <c r="R346" s="549"/>
      <c r="S346" s="549"/>
      <c r="T346" s="550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9"/>
      <c r="R347" s="549"/>
      <c r="S347" s="549"/>
      <c r="T347" s="550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550</v>
      </c>
      <c r="B348" s="54" t="s">
        <v>551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9"/>
      <c r="R348" s="549"/>
      <c r="S348" s="549"/>
      <c r="T348" s="550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5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66"/>
      <c r="P349" s="545" t="s">
        <v>70</v>
      </c>
      <c r="Q349" s="546"/>
      <c r="R349" s="546"/>
      <c r="S349" s="546"/>
      <c r="T349" s="546"/>
      <c r="U349" s="546"/>
      <c r="V349" s="547"/>
      <c r="W349" s="37" t="s">
        <v>71</v>
      </c>
      <c r="X349" s="541">
        <f>IFERROR(X342/H342,"0")+IFERROR(X343/H343,"0")+IFERROR(X344/H344,"0")+IFERROR(X345/H345,"0")+IFERROR(X346/H346,"0")+IFERROR(X347/H347,"0")+IFERROR(X348/H348,"0")</f>
        <v>119.26666666666665</v>
      </c>
      <c r="Y349" s="541">
        <f>IFERROR(Y342/H342,"0")+IFERROR(Y343/H343,"0")+IFERROR(Y344/H344,"0")+IFERROR(Y345/H345,"0")+IFERROR(Y346/H346,"0")+IFERROR(Y347/H347,"0")+IFERROR(Y348/H348,"0")</f>
        <v>121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2.6317499999999994</v>
      </c>
      <c r="AA349" s="542"/>
      <c r="AB349" s="542"/>
      <c r="AC349" s="542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66"/>
      <c r="P350" s="545" t="s">
        <v>70</v>
      </c>
      <c r="Q350" s="546"/>
      <c r="R350" s="546"/>
      <c r="S350" s="546"/>
      <c r="T350" s="546"/>
      <c r="U350" s="546"/>
      <c r="V350" s="547"/>
      <c r="W350" s="37" t="s">
        <v>68</v>
      </c>
      <c r="X350" s="541">
        <f>IFERROR(SUM(X342:X348),"0")</f>
        <v>1789</v>
      </c>
      <c r="Y350" s="541">
        <f>IFERROR(SUM(Y342:Y348),"0")</f>
        <v>1815</v>
      </c>
      <c r="Z350" s="37"/>
      <c r="AA350" s="542"/>
      <c r="AB350" s="542"/>
      <c r="AC350" s="542"/>
    </row>
    <row r="351" spans="1:68" ht="14.25" hidden="1" customHeight="1" x14ac:dyDescent="0.25">
      <c r="A351" s="556" t="s">
        <v>134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9"/>
      <c r="R352" s="549"/>
      <c r="S352" s="549"/>
      <c r="T352" s="550"/>
      <c r="U352" s="34"/>
      <c r="V352" s="34"/>
      <c r="W352" s="35" t="s">
        <v>68</v>
      </c>
      <c r="X352" s="539">
        <v>1433</v>
      </c>
      <c r="Y352" s="540">
        <f>IFERROR(IF(X352="",0,CEILING((X352/$H352),1)*$H352),"")</f>
        <v>1440</v>
      </c>
      <c r="Z352" s="36">
        <f>IFERROR(IF(Y352=0,"",ROUNDUP(Y352/H352,0)*0.02175),"")</f>
        <v>2.0880000000000001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1477.9006666666669</v>
      </c>
      <c r="BN352" s="64">
        <f>IFERROR(Y352*I352/H352,"0")</f>
        <v>1485.12</v>
      </c>
      <c r="BO352" s="64">
        <f>IFERROR(1/J352*(X352/H352),"0")</f>
        <v>1.9902777777777776</v>
      </c>
      <c r="BP352" s="64">
        <f>IFERROR(1/J352*(Y352/H352),"0")</f>
        <v>2</v>
      </c>
    </row>
    <row r="353" spans="1:68" ht="16.5" hidden="1" customHeight="1" x14ac:dyDescent="0.25">
      <c r="A353" s="54" t="s">
        <v>555</v>
      </c>
      <c r="B353" s="54" t="s">
        <v>556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9"/>
      <c r="R353" s="549"/>
      <c r="S353" s="549"/>
      <c r="T353" s="550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5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66"/>
      <c r="P354" s="545" t="s">
        <v>70</v>
      </c>
      <c r="Q354" s="546"/>
      <c r="R354" s="546"/>
      <c r="S354" s="546"/>
      <c r="T354" s="546"/>
      <c r="U354" s="546"/>
      <c r="V354" s="547"/>
      <c r="W354" s="37" t="s">
        <v>71</v>
      </c>
      <c r="X354" s="541">
        <f>IFERROR(X352/H352,"0")+IFERROR(X353/H353,"0")</f>
        <v>95.533333333333331</v>
      </c>
      <c r="Y354" s="541">
        <f>IFERROR(Y352/H352,"0")+IFERROR(Y353/H353,"0")</f>
        <v>96</v>
      </c>
      <c r="Z354" s="541">
        <f>IFERROR(IF(Z352="",0,Z352),"0")+IFERROR(IF(Z353="",0,Z353),"0")</f>
        <v>2.0880000000000001</v>
      </c>
      <c r="AA354" s="542"/>
      <c r="AB354" s="542"/>
      <c r="AC354" s="542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66"/>
      <c r="P355" s="545" t="s">
        <v>70</v>
      </c>
      <c r="Q355" s="546"/>
      <c r="R355" s="546"/>
      <c r="S355" s="546"/>
      <c r="T355" s="546"/>
      <c r="U355" s="546"/>
      <c r="V355" s="547"/>
      <c r="W355" s="37" t="s">
        <v>68</v>
      </c>
      <c r="X355" s="541">
        <f>IFERROR(SUM(X352:X353),"0")</f>
        <v>1433</v>
      </c>
      <c r="Y355" s="541">
        <f>IFERROR(SUM(Y352:Y353),"0")</f>
        <v>1440</v>
      </c>
      <c r="Z355" s="37"/>
      <c r="AA355" s="542"/>
      <c r="AB355" s="542"/>
      <c r="AC355" s="542"/>
    </row>
    <row r="356" spans="1:68" ht="14.25" hidden="1" customHeight="1" x14ac:dyDescent="0.25">
      <c r="A356" s="556" t="s">
        <v>72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5"/>
      <c r="AB356" s="535"/>
      <c r="AC356" s="535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9"/>
      <c r="R357" s="549"/>
      <c r="S357" s="549"/>
      <c r="T357" s="550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/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9"/>
      <c r="R358" s="549"/>
      <c r="S358" s="549"/>
      <c r="T358" s="550"/>
      <c r="U358" s="34"/>
      <c r="V358" s="34"/>
      <c r="W358" s="35" t="s">
        <v>68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65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66"/>
      <c r="P359" s="545" t="s">
        <v>70</v>
      </c>
      <c r="Q359" s="546"/>
      <c r="R359" s="546"/>
      <c r="S359" s="546"/>
      <c r="T359" s="546"/>
      <c r="U359" s="546"/>
      <c r="V359" s="547"/>
      <c r="W359" s="37" t="s">
        <v>71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66"/>
      <c r="P360" s="545" t="s">
        <v>70</v>
      </c>
      <c r="Q360" s="546"/>
      <c r="R360" s="546"/>
      <c r="S360" s="546"/>
      <c r="T360" s="546"/>
      <c r="U360" s="546"/>
      <c r="V360" s="547"/>
      <c r="W360" s="37" t="s">
        <v>68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6" t="s">
        <v>162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5"/>
      <c r="AB361" s="535"/>
      <c r="AC361" s="535"/>
    </row>
    <row r="362" spans="1:68" ht="16.5" hidden="1" customHeight="1" x14ac:dyDescent="0.25">
      <c r="A362" s="54" t="s">
        <v>563</v>
      </c>
      <c r="B362" s="54" t="s">
        <v>564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9"/>
      <c r="R362" s="549"/>
      <c r="S362" s="549"/>
      <c r="T362" s="550"/>
      <c r="U362" s="34"/>
      <c r="V362" s="34"/>
      <c r="W362" s="35" t="s">
        <v>68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5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66"/>
      <c r="P363" s="545" t="s">
        <v>70</v>
      </c>
      <c r="Q363" s="546"/>
      <c r="R363" s="546"/>
      <c r="S363" s="546"/>
      <c r="T363" s="546"/>
      <c r="U363" s="546"/>
      <c r="V363" s="547"/>
      <c r="W363" s="37" t="s">
        <v>71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hidden="1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66"/>
      <c r="P364" s="545" t="s">
        <v>70</v>
      </c>
      <c r="Q364" s="546"/>
      <c r="R364" s="546"/>
      <c r="S364" s="546"/>
      <c r="T364" s="546"/>
      <c r="U364" s="546"/>
      <c r="V364" s="547"/>
      <c r="W364" s="37" t="s">
        <v>68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hidden="1" customHeight="1" x14ac:dyDescent="0.25">
      <c r="A365" s="553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4"/>
      <c r="AB365" s="534"/>
      <c r="AC365" s="534"/>
    </row>
    <row r="366" spans="1:68" ht="14.25" hidden="1" customHeight="1" x14ac:dyDescent="0.25">
      <c r="A366" s="556" t="s">
        <v>98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5"/>
      <c r="AB366" s="535"/>
      <c r="AC366" s="535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 t="s">
        <v>102</v>
      </c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9"/>
      <c r="R367" s="549"/>
      <c r="S367" s="549"/>
      <c r="T367" s="550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105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9"/>
      <c r="R368" s="549"/>
      <c r="S368" s="549"/>
      <c r="T368" s="550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5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66"/>
      <c r="P369" s="545" t="s">
        <v>70</v>
      </c>
      <c r="Q369" s="546"/>
      <c r="R369" s="546"/>
      <c r="S369" s="546"/>
      <c r="T369" s="546"/>
      <c r="U369" s="546"/>
      <c r="V369" s="547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66"/>
      <c r="P370" s="545" t="s">
        <v>70</v>
      </c>
      <c r="Q370" s="546"/>
      <c r="R370" s="546"/>
      <c r="S370" s="546"/>
      <c r="T370" s="546"/>
      <c r="U370" s="546"/>
      <c r="V370" s="547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6" t="s">
        <v>63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5"/>
      <c r="AB371" s="535"/>
      <c r="AC371" s="535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 t="s">
        <v>109</v>
      </c>
      <c r="M372" s="33" t="s">
        <v>67</v>
      </c>
      <c r="N372" s="33"/>
      <c r="O372" s="32">
        <v>35</v>
      </c>
      <c r="P372" s="6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9"/>
      <c r="R372" s="549"/>
      <c r="S372" s="549"/>
      <c r="T372" s="550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105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9"/>
      <c r="R373" s="549"/>
      <c r="S373" s="549"/>
      <c r="T373" s="550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65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66"/>
      <c r="P374" s="545" t="s">
        <v>70</v>
      </c>
      <c r="Q374" s="546"/>
      <c r="R374" s="546"/>
      <c r="S374" s="546"/>
      <c r="T374" s="546"/>
      <c r="U374" s="546"/>
      <c r="V374" s="547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66"/>
      <c r="P375" s="545" t="s">
        <v>70</v>
      </c>
      <c r="Q375" s="546"/>
      <c r="R375" s="546"/>
      <c r="S375" s="546"/>
      <c r="T375" s="546"/>
      <c r="U375" s="546"/>
      <c r="V375" s="547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6" t="s">
        <v>72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9"/>
      <c r="R377" s="549"/>
      <c r="S377" s="549"/>
      <c r="T377" s="550"/>
      <c r="U377" s="34"/>
      <c r="V377" s="34"/>
      <c r="W377" s="35" t="s">
        <v>68</v>
      </c>
      <c r="X377" s="539">
        <v>296</v>
      </c>
      <c r="Y377" s="540">
        <f>IFERROR(IF(X377="",0,CEILING((X377/$H377),1)*$H377),"")</f>
        <v>297</v>
      </c>
      <c r="Z377" s="36">
        <f>IFERROR(IF(Y377=0,"",ROUNDUP(Y377/H377,0)*0.01898),"")</f>
        <v>0.62634000000000001</v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312.24711111111111</v>
      </c>
      <c r="BN377" s="64">
        <f>IFERROR(Y377*I377/H377,"0")</f>
        <v>313.30199999999996</v>
      </c>
      <c r="BO377" s="64">
        <f>IFERROR(1/J377*(X377/H377),"0")</f>
        <v>0.51388888888888884</v>
      </c>
      <c r="BP377" s="64">
        <f>IFERROR(1/J377*(Y377/H377),"0")</f>
        <v>0.515625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185</v>
      </c>
      <c r="M378" s="33" t="s">
        <v>76</v>
      </c>
      <c r="N378" s="33"/>
      <c r="O378" s="32">
        <v>40</v>
      </c>
      <c r="P378" s="6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9"/>
      <c r="R378" s="549"/>
      <c r="S378" s="549"/>
      <c r="T378" s="550"/>
      <c r="U378" s="34"/>
      <c r="V378" s="34"/>
      <c r="W378" s="35" t="s">
        <v>68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5"/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66"/>
      <c r="P379" s="545" t="s">
        <v>70</v>
      </c>
      <c r="Q379" s="546"/>
      <c r="R379" s="546"/>
      <c r="S379" s="546"/>
      <c r="T379" s="546"/>
      <c r="U379" s="546"/>
      <c r="V379" s="547"/>
      <c r="W379" s="37" t="s">
        <v>71</v>
      </c>
      <c r="X379" s="541">
        <f>IFERROR(X377/H377,"0")+IFERROR(X378/H378,"0")</f>
        <v>32.888888888888886</v>
      </c>
      <c r="Y379" s="541">
        <f>IFERROR(Y377/H377,"0")+IFERROR(Y378/H378,"0")</f>
        <v>33</v>
      </c>
      <c r="Z379" s="541">
        <f>IFERROR(IF(Z377="",0,Z377),"0")+IFERROR(IF(Z378="",0,Z378),"0")</f>
        <v>0.62634000000000001</v>
      </c>
      <c r="AA379" s="542"/>
      <c r="AB379" s="542"/>
      <c r="AC379" s="542"/>
    </row>
    <row r="380" spans="1:68" x14ac:dyDescent="0.2">
      <c r="A380" s="554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66"/>
      <c r="P380" s="545" t="s">
        <v>70</v>
      </c>
      <c r="Q380" s="546"/>
      <c r="R380" s="546"/>
      <c r="S380" s="546"/>
      <c r="T380" s="546"/>
      <c r="U380" s="546"/>
      <c r="V380" s="547"/>
      <c r="W380" s="37" t="s">
        <v>68</v>
      </c>
      <c r="X380" s="541">
        <f>IFERROR(SUM(X377:X378),"0")</f>
        <v>296</v>
      </c>
      <c r="Y380" s="541">
        <f>IFERROR(SUM(Y377:Y378),"0")</f>
        <v>297</v>
      </c>
      <c r="Z380" s="37"/>
      <c r="AA380" s="542"/>
      <c r="AB380" s="542"/>
      <c r="AC380" s="542"/>
    </row>
    <row r="381" spans="1:68" ht="27.75" hidden="1" customHeight="1" x14ac:dyDescent="0.2">
      <c r="A381" s="694" t="s">
        <v>582</v>
      </c>
      <c r="B381" s="695"/>
      <c r="C381" s="695"/>
      <c r="D381" s="695"/>
      <c r="E381" s="695"/>
      <c r="F381" s="695"/>
      <c r="G381" s="695"/>
      <c r="H381" s="695"/>
      <c r="I381" s="695"/>
      <c r="J381" s="695"/>
      <c r="K381" s="695"/>
      <c r="L381" s="695"/>
      <c r="M381" s="695"/>
      <c r="N381" s="695"/>
      <c r="O381" s="695"/>
      <c r="P381" s="695"/>
      <c r="Q381" s="695"/>
      <c r="R381" s="695"/>
      <c r="S381" s="695"/>
      <c r="T381" s="695"/>
      <c r="U381" s="695"/>
      <c r="V381" s="695"/>
      <c r="W381" s="695"/>
      <c r="X381" s="695"/>
      <c r="Y381" s="695"/>
      <c r="Z381" s="695"/>
      <c r="AA381" s="48"/>
      <c r="AB381" s="48"/>
      <c r="AC381" s="48"/>
    </row>
    <row r="382" spans="1:68" ht="16.5" hidden="1" customHeight="1" x14ac:dyDescent="0.25">
      <c r="A382" s="553" t="s">
        <v>583</v>
      </c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4"/>
      <c r="P382" s="554"/>
      <c r="Q382" s="554"/>
      <c r="R382" s="554"/>
      <c r="S382" s="554"/>
      <c r="T382" s="554"/>
      <c r="U382" s="554"/>
      <c r="V382" s="554"/>
      <c r="W382" s="554"/>
      <c r="X382" s="554"/>
      <c r="Y382" s="554"/>
      <c r="Z382" s="554"/>
      <c r="AA382" s="534"/>
      <c r="AB382" s="534"/>
      <c r="AC382" s="534"/>
    </row>
    <row r="383" spans="1:68" ht="14.25" hidden="1" customHeight="1" x14ac:dyDescent="0.25">
      <c r="A383" s="556" t="s">
        <v>63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5"/>
      <c r="AB383" s="535"/>
      <c r="AC383" s="535"/>
    </row>
    <row r="384" spans="1:68" ht="27" customHeight="1" x14ac:dyDescent="0.25">
      <c r="A384" s="54" t="s">
        <v>584</v>
      </c>
      <c r="B384" s="54" t="s">
        <v>585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/>
      <c r="M384" s="33" t="s">
        <v>67</v>
      </c>
      <c r="N384" s="33"/>
      <c r="O384" s="32">
        <v>50</v>
      </c>
      <c r="P384" s="5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9"/>
      <c r="R384" s="549"/>
      <c r="S384" s="549"/>
      <c r="T384" s="550"/>
      <c r="U384" s="34"/>
      <c r="V384" s="34"/>
      <c r="W384" s="35" t="s">
        <v>68</v>
      </c>
      <c r="X384" s="539">
        <v>6</v>
      </c>
      <c r="Y384" s="540">
        <f t="shared" ref="Y384:Y392" si="36">IFERROR(IF(X384="",0,CEILING((X384/$H384),1)*$H384),"")</f>
        <v>10.8</v>
      </c>
      <c r="Z384" s="36">
        <f>IFERROR(IF(Y384=0,"",ROUNDUP(Y384/H384,0)*0.00902),"")</f>
        <v>1.804E-2</v>
      </c>
      <c r="AA384" s="56"/>
      <c r="AB384" s="57"/>
      <c r="AC384" s="425" t="s">
        <v>586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6.2111111111111104</v>
      </c>
      <c r="BN384" s="64">
        <f t="shared" ref="BN384:BN392" si="38">IFERROR(Y384*I384/H384,"0")</f>
        <v>11.18</v>
      </c>
      <c r="BO384" s="64">
        <f t="shared" ref="BO384:BO392" si="39">IFERROR(1/J384*(X384/H384),"0")</f>
        <v>8.4175084175084156E-3</v>
      </c>
      <c r="BP384" s="64">
        <f t="shared" ref="BP384:BP392" si="40">IFERROR(1/J384*(Y384/H384),"0")</f>
        <v>1.5151515151515152E-2</v>
      </c>
    </row>
    <row r="385" spans="1:68" ht="27" hidden="1" customHeight="1" x14ac:dyDescent="0.25">
      <c r="A385" s="54" t="s">
        <v>587</v>
      </c>
      <c r="B385" s="54" t="s">
        <v>588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4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9"/>
      <c r="R385" s="549"/>
      <c r="S385" s="549"/>
      <c r="T385" s="550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 t="s">
        <v>109</v>
      </c>
      <c r="M386" s="33" t="s">
        <v>67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9"/>
      <c r="R386" s="549"/>
      <c r="S386" s="549"/>
      <c r="T386" s="550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105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69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9"/>
      <c r="R387" s="549"/>
      <c r="S387" s="549"/>
      <c r="T387" s="550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595</v>
      </c>
      <c r="B388" s="54" t="s">
        <v>596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9"/>
      <c r="R388" s="549"/>
      <c r="S388" s="549"/>
      <c r="T388" s="550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597</v>
      </c>
      <c r="B389" s="54" t="s">
        <v>598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9"/>
      <c r="R389" s="549"/>
      <c r="S389" s="549"/>
      <c r="T389" s="550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600</v>
      </c>
      <c r="B390" s="54" t="s">
        <v>601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9"/>
      <c r="R390" s="549"/>
      <c r="S390" s="549"/>
      <c r="T390" s="550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/>
      <c r="M391" s="33" t="s">
        <v>67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9"/>
      <c r="R391" s="549"/>
      <c r="S391" s="549"/>
      <c r="T391" s="550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606</v>
      </c>
      <c r="B392" s="54" t="s">
        <v>607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9"/>
      <c r="R392" s="549"/>
      <c r="S392" s="549"/>
      <c r="T392" s="550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5"/>
      <c r="B393" s="554"/>
      <c r="C393" s="554"/>
      <c r="D393" s="554"/>
      <c r="E393" s="554"/>
      <c r="F393" s="554"/>
      <c r="G393" s="554"/>
      <c r="H393" s="554"/>
      <c r="I393" s="554"/>
      <c r="J393" s="554"/>
      <c r="K393" s="554"/>
      <c r="L393" s="554"/>
      <c r="M393" s="554"/>
      <c r="N393" s="554"/>
      <c r="O393" s="566"/>
      <c r="P393" s="545" t="s">
        <v>70</v>
      </c>
      <c r="Q393" s="546"/>
      <c r="R393" s="546"/>
      <c r="S393" s="546"/>
      <c r="T393" s="546"/>
      <c r="U393" s="546"/>
      <c r="V393" s="547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1.1111111111111109</v>
      </c>
      <c r="Y393" s="541">
        <f>IFERROR(Y384/H384,"0")+IFERROR(Y385/H385,"0")+IFERROR(Y386/H386,"0")+IFERROR(Y387/H387,"0")+IFERROR(Y388/H388,"0")+IFERROR(Y389/H389,"0")+IFERROR(Y390/H390,"0")+IFERROR(Y391/H391,"0")+IFERROR(Y392/H392,"0")</f>
        <v>2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1.804E-2</v>
      </c>
      <c r="AA393" s="542"/>
      <c r="AB393" s="542"/>
      <c r="AC393" s="542"/>
    </row>
    <row r="394" spans="1:68" x14ac:dyDescent="0.2">
      <c r="A394" s="554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66"/>
      <c r="P394" s="545" t="s">
        <v>70</v>
      </c>
      <c r="Q394" s="546"/>
      <c r="R394" s="546"/>
      <c r="S394" s="546"/>
      <c r="T394" s="546"/>
      <c r="U394" s="546"/>
      <c r="V394" s="547"/>
      <c r="W394" s="37" t="s">
        <v>68</v>
      </c>
      <c r="X394" s="541">
        <f>IFERROR(SUM(X384:X392),"0")</f>
        <v>6</v>
      </c>
      <c r="Y394" s="541">
        <f>IFERROR(SUM(Y384:Y392),"0")</f>
        <v>10.8</v>
      </c>
      <c r="Z394" s="37"/>
      <c r="AA394" s="542"/>
      <c r="AB394" s="542"/>
      <c r="AC394" s="542"/>
    </row>
    <row r="395" spans="1:68" ht="14.25" hidden="1" customHeight="1" x14ac:dyDescent="0.25">
      <c r="A395" s="556" t="s">
        <v>72</v>
      </c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4"/>
      <c r="P395" s="554"/>
      <c r="Q395" s="554"/>
      <c r="R395" s="554"/>
      <c r="S395" s="554"/>
      <c r="T395" s="554"/>
      <c r="U395" s="554"/>
      <c r="V395" s="554"/>
      <c r="W395" s="554"/>
      <c r="X395" s="554"/>
      <c r="Y395" s="554"/>
      <c r="Z395" s="554"/>
      <c r="AA395" s="535"/>
      <c r="AB395" s="535"/>
      <c r="AC395" s="535"/>
    </row>
    <row r="396" spans="1:68" ht="27" hidden="1" customHeight="1" x14ac:dyDescent="0.25">
      <c r="A396" s="54" t="s">
        <v>608</v>
      </c>
      <c r="B396" s="54" t="s">
        <v>609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9"/>
      <c r="R396" s="549"/>
      <c r="S396" s="549"/>
      <c r="T396" s="550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611</v>
      </c>
      <c r="B397" s="54" t="s">
        <v>612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9"/>
      <c r="R397" s="549"/>
      <c r="S397" s="549"/>
      <c r="T397" s="550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65"/>
      <c r="B398" s="554"/>
      <c r="C398" s="554"/>
      <c r="D398" s="554"/>
      <c r="E398" s="554"/>
      <c r="F398" s="554"/>
      <c r="G398" s="554"/>
      <c r="H398" s="554"/>
      <c r="I398" s="554"/>
      <c r="J398" s="554"/>
      <c r="K398" s="554"/>
      <c r="L398" s="554"/>
      <c r="M398" s="554"/>
      <c r="N398" s="554"/>
      <c r="O398" s="566"/>
      <c r="P398" s="545" t="s">
        <v>70</v>
      </c>
      <c r="Q398" s="546"/>
      <c r="R398" s="546"/>
      <c r="S398" s="546"/>
      <c r="T398" s="546"/>
      <c r="U398" s="546"/>
      <c r="V398" s="547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54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66"/>
      <c r="P399" s="545" t="s">
        <v>70</v>
      </c>
      <c r="Q399" s="546"/>
      <c r="R399" s="546"/>
      <c r="S399" s="546"/>
      <c r="T399" s="546"/>
      <c r="U399" s="546"/>
      <c r="V399" s="547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53" t="s">
        <v>614</v>
      </c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4"/>
      <c r="P400" s="554"/>
      <c r="Q400" s="554"/>
      <c r="R400" s="554"/>
      <c r="S400" s="554"/>
      <c r="T400" s="554"/>
      <c r="U400" s="554"/>
      <c r="V400" s="554"/>
      <c r="W400" s="554"/>
      <c r="X400" s="554"/>
      <c r="Y400" s="554"/>
      <c r="Z400" s="554"/>
      <c r="AA400" s="534"/>
      <c r="AB400" s="534"/>
      <c r="AC400" s="534"/>
    </row>
    <row r="401" spans="1:68" ht="14.25" hidden="1" customHeight="1" x14ac:dyDescent="0.25">
      <c r="A401" s="556" t="s">
        <v>134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5"/>
      <c r="AB401" s="535"/>
      <c r="AC401" s="535"/>
    </row>
    <row r="402" spans="1:68" ht="27" hidden="1" customHeight="1" x14ac:dyDescent="0.25">
      <c r="A402" s="54" t="s">
        <v>615</v>
      </c>
      <c r="B402" s="54" t="s">
        <v>616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5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9"/>
      <c r="R402" s="549"/>
      <c r="S402" s="549"/>
      <c r="T402" s="550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5"/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66"/>
      <c r="P403" s="545" t="s">
        <v>70</v>
      </c>
      <c r="Q403" s="546"/>
      <c r="R403" s="546"/>
      <c r="S403" s="546"/>
      <c r="T403" s="546"/>
      <c r="U403" s="546"/>
      <c r="V403" s="547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54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66"/>
      <c r="P404" s="545" t="s">
        <v>70</v>
      </c>
      <c r="Q404" s="546"/>
      <c r="R404" s="546"/>
      <c r="S404" s="546"/>
      <c r="T404" s="546"/>
      <c r="U404" s="546"/>
      <c r="V404" s="547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6" t="s">
        <v>63</v>
      </c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4"/>
      <c r="P405" s="554"/>
      <c r="Q405" s="554"/>
      <c r="R405" s="554"/>
      <c r="S405" s="554"/>
      <c r="T405" s="554"/>
      <c r="U405" s="554"/>
      <c r="V405" s="554"/>
      <c r="W405" s="554"/>
      <c r="X405" s="554"/>
      <c r="Y405" s="554"/>
      <c r="Z405" s="554"/>
      <c r="AA405" s="535"/>
      <c r="AB405" s="535"/>
      <c r="AC405" s="535"/>
    </row>
    <row r="406" spans="1:68" ht="27" hidden="1" customHeight="1" x14ac:dyDescent="0.25">
      <c r="A406" s="54" t="s">
        <v>618</v>
      </c>
      <c r="B406" s="54" t="s">
        <v>619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/>
      <c r="M406" s="33" t="s">
        <v>103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9"/>
      <c r="R406" s="549"/>
      <c r="S406" s="549"/>
      <c r="T406" s="550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621</v>
      </c>
      <c r="B407" s="54" t="s">
        <v>622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9"/>
      <c r="R407" s="549"/>
      <c r="S407" s="549"/>
      <c r="T407" s="550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9"/>
      <c r="R408" s="549"/>
      <c r="S408" s="549"/>
      <c r="T408" s="550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9"/>
      <c r="R409" s="549"/>
      <c r="S409" s="549"/>
      <c r="T409" s="550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5"/>
      <c r="B410" s="554"/>
      <c r="C410" s="554"/>
      <c r="D410" s="554"/>
      <c r="E410" s="554"/>
      <c r="F410" s="554"/>
      <c r="G410" s="554"/>
      <c r="H410" s="554"/>
      <c r="I410" s="554"/>
      <c r="J410" s="554"/>
      <c r="K410" s="554"/>
      <c r="L410" s="554"/>
      <c r="M410" s="554"/>
      <c r="N410" s="554"/>
      <c r="O410" s="566"/>
      <c r="P410" s="545" t="s">
        <v>70</v>
      </c>
      <c r="Q410" s="546"/>
      <c r="R410" s="546"/>
      <c r="S410" s="546"/>
      <c r="T410" s="546"/>
      <c r="U410" s="546"/>
      <c r="V410" s="547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54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66"/>
      <c r="P411" s="545" t="s">
        <v>70</v>
      </c>
      <c r="Q411" s="546"/>
      <c r="R411" s="546"/>
      <c r="S411" s="546"/>
      <c r="T411" s="546"/>
      <c r="U411" s="546"/>
      <c r="V411" s="547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53" t="s">
        <v>629</v>
      </c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4"/>
      <c r="P412" s="554"/>
      <c r="Q412" s="554"/>
      <c r="R412" s="554"/>
      <c r="S412" s="554"/>
      <c r="T412" s="554"/>
      <c r="U412" s="554"/>
      <c r="V412" s="554"/>
      <c r="W412" s="554"/>
      <c r="X412" s="554"/>
      <c r="Y412" s="554"/>
      <c r="Z412" s="554"/>
      <c r="AA412" s="534"/>
      <c r="AB412" s="534"/>
      <c r="AC412" s="534"/>
    </row>
    <row r="413" spans="1:68" ht="14.25" hidden="1" customHeight="1" x14ac:dyDescent="0.25">
      <c r="A413" s="556" t="s">
        <v>63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5"/>
      <c r="AB413" s="535"/>
      <c r="AC413" s="535"/>
    </row>
    <row r="414" spans="1:68" ht="27" hidden="1" customHeight="1" x14ac:dyDescent="0.25">
      <c r="A414" s="54" t="s">
        <v>630</v>
      </c>
      <c r="B414" s="54" t="s">
        <v>631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9"/>
      <c r="R414" s="549"/>
      <c r="S414" s="549"/>
      <c r="T414" s="550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5"/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66"/>
      <c r="P415" s="545" t="s">
        <v>70</v>
      </c>
      <c r="Q415" s="546"/>
      <c r="R415" s="546"/>
      <c r="S415" s="546"/>
      <c r="T415" s="546"/>
      <c r="U415" s="546"/>
      <c r="V415" s="547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54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66"/>
      <c r="P416" s="545" t="s">
        <v>70</v>
      </c>
      <c r="Q416" s="546"/>
      <c r="R416" s="546"/>
      <c r="S416" s="546"/>
      <c r="T416" s="546"/>
      <c r="U416" s="546"/>
      <c r="V416" s="547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4" t="s">
        <v>633</v>
      </c>
      <c r="B417" s="695"/>
      <c r="C417" s="695"/>
      <c r="D417" s="695"/>
      <c r="E417" s="695"/>
      <c r="F417" s="695"/>
      <c r="G417" s="695"/>
      <c r="H417" s="695"/>
      <c r="I417" s="695"/>
      <c r="J417" s="695"/>
      <c r="K417" s="695"/>
      <c r="L417" s="695"/>
      <c r="M417" s="695"/>
      <c r="N417" s="695"/>
      <c r="O417" s="695"/>
      <c r="P417" s="695"/>
      <c r="Q417" s="695"/>
      <c r="R417" s="695"/>
      <c r="S417" s="695"/>
      <c r="T417" s="695"/>
      <c r="U417" s="695"/>
      <c r="V417" s="695"/>
      <c r="W417" s="695"/>
      <c r="X417" s="695"/>
      <c r="Y417" s="695"/>
      <c r="Z417" s="695"/>
      <c r="AA417" s="48"/>
      <c r="AB417" s="48"/>
      <c r="AC417" s="48"/>
    </row>
    <row r="418" spans="1:68" ht="16.5" hidden="1" customHeight="1" x14ac:dyDescent="0.25">
      <c r="A418" s="553" t="s">
        <v>633</v>
      </c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4"/>
      <c r="P418" s="554"/>
      <c r="Q418" s="554"/>
      <c r="R418" s="554"/>
      <c r="S418" s="554"/>
      <c r="T418" s="554"/>
      <c r="U418" s="554"/>
      <c r="V418" s="554"/>
      <c r="W418" s="554"/>
      <c r="X418" s="554"/>
      <c r="Y418" s="554"/>
      <c r="Z418" s="554"/>
      <c r="AA418" s="534"/>
      <c r="AB418" s="534"/>
      <c r="AC418" s="534"/>
    </row>
    <row r="419" spans="1:68" ht="14.25" hidden="1" customHeight="1" x14ac:dyDescent="0.25">
      <c r="A419" s="556" t="s">
        <v>98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5"/>
      <c r="AB419" s="535"/>
      <c r="AC419" s="535"/>
    </row>
    <row r="420" spans="1:68" ht="27" customHeight="1" x14ac:dyDescent="0.25">
      <c r="A420" s="54" t="s">
        <v>634</v>
      </c>
      <c r="B420" s="54" t="s">
        <v>635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8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9"/>
      <c r="R420" s="549"/>
      <c r="S420" s="549"/>
      <c r="T420" s="550"/>
      <c r="U420" s="34"/>
      <c r="V420" s="34"/>
      <c r="W420" s="35" t="s">
        <v>68</v>
      </c>
      <c r="X420" s="539">
        <v>224</v>
      </c>
      <c r="Y420" s="540">
        <f t="shared" ref="Y420:Y430" si="42">IFERROR(IF(X420="",0,CEILING((X420/$H420),1)*$H420),"")</f>
        <v>227.04000000000002</v>
      </c>
      <c r="Z420" s="36">
        <f t="shared" ref="Z420:Z425" si="43">IFERROR(IF(Y420=0,"",ROUNDUP(Y420/H420,0)*0.01196),"")</f>
        <v>0.51427999999999996</v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238.84848484848482</v>
      </c>
      <c r="BN420" s="64">
        <f t="shared" ref="BN420:BN430" si="45">IFERROR(Y420*I420/H420,"0")</f>
        <v>242.09</v>
      </c>
      <c r="BO420" s="64">
        <f t="shared" ref="BO420:BO430" si="46">IFERROR(1/J420*(X420/H420),"0")</f>
        <v>0.40792540792540793</v>
      </c>
      <c r="BP420" s="64">
        <f t="shared" ref="BP420:BP430" si="47">IFERROR(1/J420*(Y420/H420),"0")</f>
        <v>0.41346153846153849</v>
      </c>
    </row>
    <row r="421" spans="1:68" ht="27" hidden="1" customHeight="1" x14ac:dyDescent="0.25">
      <c r="A421" s="54" t="s">
        <v>636</v>
      </c>
      <c r="B421" s="54" t="s">
        <v>637</v>
      </c>
      <c r="C421" s="31">
        <v>4301012145</v>
      </c>
      <c r="D421" s="543">
        <v>4607091383522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9"/>
      <c r="R421" s="549"/>
      <c r="S421" s="549"/>
      <c r="T421" s="550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4301011961</v>
      </c>
      <c r="D422" s="543">
        <v>4680115885271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6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9"/>
      <c r="R422" s="549"/>
      <c r="S422" s="549"/>
      <c r="T422" s="550"/>
      <c r="U422" s="34"/>
      <c r="V422" s="34"/>
      <c r="W422" s="35" t="s">
        <v>68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4301011376</v>
      </c>
      <c r="D423" s="543">
        <v>4680115885226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9"/>
      <c r="R423" s="549"/>
      <c r="S423" s="549"/>
      <c r="T423" s="550"/>
      <c r="U423" s="34"/>
      <c r="V423" s="34"/>
      <c r="W423" s="35" t="s">
        <v>68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645</v>
      </c>
      <c r="B424" s="54" t="s">
        <v>646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9"/>
      <c r="R424" s="549"/>
      <c r="S424" s="549"/>
      <c r="T424" s="550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9"/>
      <c r="R425" s="549"/>
      <c r="S425" s="549"/>
      <c r="T425" s="550"/>
      <c r="U425" s="34"/>
      <c r="V425" s="34"/>
      <c r="W425" s="35" t="s">
        <v>68</v>
      </c>
      <c r="X425" s="539">
        <v>2060</v>
      </c>
      <c r="Y425" s="540">
        <f t="shared" si="42"/>
        <v>2064.48</v>
      </c>
      <c r="Z425" s="36">
        <f t="shared" si="43"/>
        <v>4.6763599999999999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2196.55303030303</v>
      </c>
      <c r="BN425" s="64">
        <f t="shared" si="45"/>
        <v>2201.33</v>
      </c>
      <c r="BO425" s="64">
        <f t="shared" si="46"/>
        <v>3.7514568764568765</v>
      </c>
      <c r="BP425" s="64">
        <f t="shared" si="47"/>
        <v>3.759615384615385</v>
      </c>
    </row>
    <row r="426" spans="1:68" ht="27" hidden="1" customHeight="1" x14ac:dyDescent="0.25">
      <c r="A426" s="54" t="s">
        <v>651</v>
      </c>
      <c r="B426" s="54" t="s">
        <v>652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9"/>
      <c r="R426" s="549"/>
      <c r="S426" s="549"/>
      <c r="T426" s="550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9"/>
      <c r="R427" s="549"/>
      <c r="S427" s="549"/>
      <c r="T427" s="550"/>
      <c r="U427" s="34"/>
      <c r="V427" s="34"/>
      <c r="W427" s="35" t="s">
        <v>68</v>
      </c>
      <c r="X427" s="539">
        <v>13</v>
      </c>
      <c r="Y427" s="540">
        <f t="shared" si="42"/>
        <v>14.399999999999999</v>
      </c>
      <c r="Z427" s="36">
        <f>IFERROR(IF(Y427=0,"",ROUNDUP(Y427/H427,0)*0.00902),"")</f>
        <v>2.7060000000000001E-2</v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18.714583333333334</v>
      </c>
      <c r="BN427" s="64">
        <f t="shared" si="45"/>
        <v>20.73</v>
      </c>
      <c r="BO427" s="64">
        <f t="shared" si="46"/>
        <v>2.0517676767676768E-2</v>
      </c>
      <c r="BP427" s="64">
        <f t="shared" si="47"/>
        <v>2.2727272727272728E-2</v>
      </c>
    </row>
    <row r="428" spans="1:68" ht="27" hidden="1" customHeight="1" x14ac:dyDescent="0.25">
      <c r="A428" s="54" t="s">
        <v>655</v>
      </c>
      <c r="B428" s="54" t="s">
        <v>656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9"/>
      <c r="R428" s="549"/>
      <c r="S428" s="549"/>
      <c r="T428" s="550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657</v>
      </c>
      <c r="B429" s="54" t="s">
        <v>658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5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9"/>
      <c r="R429" s="549"/>
      <c r="S429" s="549"/>
      <c r="T429" s="550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/>
      <c r="M430" s="33" t="s">
        <v>103</v>
      </c>
      <c r="N430" s="33"/>
      <c r="O430" s="32">
        <v>60</v>
      </c>
      <c r="P430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9"/>
      <c r="R430" s="549"/>
      <c r="S430" s="549"/>
      <c r="T430" s="550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5"/>
      <c r="B431" s="554"/>
      <c r="C431" s="554"/>
      <c r="D431" s="554"/>
      <c r="E431" s="554"/>
      <c r="F431" s="554"/>
      <c r="G431" s="554"/>
      <c r="H431" s="554"/>
      <c r="I431" s="554"/>
      <c r="J431" s="554"/>
      <c r="K431" s="554"/>
      <c r="L431" s="554"/>
      <c r="M431" s="554"/>
      <c r="N431" s="554"/>
      <c r="O431" s="566"/>
      <c r="P431" s="545" t="s">
        <v>70</v>
      </c>
      <c r="Q431" s="546"/>
      <c r="R431" s="546"/>
      <c r="S431" s="546"/>
      <c r="T431" s="546"/>
      <c r="U431" s="546"/>
      <c r="V431" s="547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435.28409090909088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437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5.2176999999999998</v>
      </c>
      <c r="AA431" s="542"/>
      <c r="AB431" s="542"/>
      <c r="AC431" s="542"/>
    </row>
    <row r="432" spans="1:68" x14ac:dyDescent="0.2">
      <c r="A432" s="554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66"/>
      <c r="P432" s="545" t="s">
        <v>70</v>
      </c>
      <c r="Q432" s="546"/>
      <c r="R432" s="546"/>
      <c r="S432" s="546"/>
      <c r="T432" s="546"/>
      <c r="U432" s="546"/>
      <c r="V432" s="547"/>
      <c r="W432" s="37" t="s">
        <v>68</v>
      </c>
      <c r="X432" s="541">
        <f>IFERROR(SUM(X420:X430),"0")</f>
        <v>2297</v>
      </c>
      <c r="Y432" s="541">
        <f>IFERROR(SUM(Y420:Y430),"0")</f>
        <v>2305.92</v>
      </c>
      <c r="Z432" s="37"/>
      <c r="AA432" s="542"/>
      <c r="AB432" s="542"/>
      <c r="AC432" s="542"/>
    </row>
    <row r="433" spans="1:68" ht="14.25" hidden="1" customHeight="1" x14ac:dyDescent="0.25">
      <c r="A433" s="556" t="s">
        <v>134</v>
      </c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4"/>
      <c r="P433" s="554"/>
      <c r="Q433" s="554"/>
      <c r="R433" s="554"/>
      <c r="S433" s="554"/>
      <c r="T433" s="554"/>
      <c r="U433" s="554"/>
      <c r="V433" s="554"/>
      <c r="W433" s="554"/>
      <c r="X433" s="554"/>
      <c r="Y433" s="554"/>
      <c r="Z433" s="554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3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9"/>
      <c r="R434" s="549"/>
      <c r="S434" s="549"/>
      <c r="T434" s="550"/>
      <c r="U434" s="34"/>
      <c r="V434" s="34"/>
      <c r="W434" s="35" t="s">
        <v>68</v>
      </c>
      <c r="X434" s="539">
        <v>1745</v>
      </c>
      <c r="Y434" s="540">
        <f>IFERROR(IF(X434="",0,CEILING((X434/$H434),1)*$H434),"")</f>
        <v>1747.68</v>
      </c>
      <c r="Z434" s="36">
        <f>IFERROR(IF(Y434=0,"",ROUNDUP(Y434/H434,0)*0.01196),"")</f>
        <v>3.9587599999999998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1860.6723484848485</v>
      </c>
      <c r="BN434" s="64">
        <f>IFERROR(Y434*I434/H434,"0")</f>
        <v>1863.53</v>
      </c>
      <c r="BO434" s="64">
        <f>IFERROR(1/J434*(X434/H434),"0")</f>
        <v>3.177811771561772</v>
      </c>
      <c r="BP434" s="64">
        <f>IFERROR(1/J434*(Y434/H434),"0")</f>
        <v>3.1826923076923079</v>
      </c>
    </row>
    <row r="435" spans="1:68" ht="16.5" hidden="1" customHeight="1" x14ac:dyDescent="0.25">
      <c r="A435" s="54" t="s">
        <v>665</v>
      </c>
      <c r="B435" s="54" t="s">
        <v>666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9"/>
      <c r="R435" s="549"/>
      <c r="S435" s="549"/>
      <c r="T435" s="550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667</v>
      </c>
      <c r="B436" s="54" t="s">
        <v>668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109</v>
      </c>
      <c r="M436" s="33" t="s">
        <v>103</v>
      </c>
      <c r="N436" s="33"/>
      <c r="O436" s="32">
        <v>70</v>
      </c>
      <c r="P436" s="8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9"/>
      <c r="R436" s="549"/>
      <c r="S436" s="549"/>
      <c r="T436" s="550"/>
      <c r="U436" s="34"/>
      <c r="V436" s="34"/>
      <c r="W436" s="35" t="s">
        <v>68</v>
      </c>
      <c r="X436" s="539">
        <v>14</v>
      </c>
      <c r="Y436" s="540">
        <f>IFERROR(IF(X436="",0,CEILING((X436/$H436),1)*$H436),"")</f>
        <v>14.399999999999999</v>
      </c>
      <c r="Z436" s="36">
        <f>IFERROR(IF(Y436=0,"",ROUNDUP(Y436/H436,0)*0.00902),"")</f>
        <v>2.7060000000000001E-2</v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20.154166666666669</v>
      </c>
      <c r="BN436" s="64">
        <f>IFERROR(Y436*I436/H436,"0")</f>
        <v>20.73</v>
      </c>
      <c r="BO436" s="64">
        <f>IFERROR(1/J436*(X436/H436),"0")</f>
        <v>2.2095959595959599E-2</v>
      </c>
      <c r="BP436" s="64">
        <f>IFERROR(1/J436*(Y436/H436),"0")</f>
        <v>2.2727272727272728E-2</v>
      </c>
    </row>
    <row r="437" spans="1:68" x14ac:dyDescent="0.2">
      <c r="A437" s="565"/>
      <c r="B437" s="554"/>
      <c r="C437" s="554"/>
      <c r="D437" s="554"/>
      <c r="E437" s="554"/>
      <c r="F437" s="554"/>
      <c r="G437" s="554"/>
      <c r="H437" s="554"/>
      <c r="I437" s="554"/>
      <c r="J437" s="554"/>
      <c r="K437" s="554"/>
      <c r="L437" s="554"/>
      <c r="M437" s="554"/>
      <c r="N437" s="554"/>
      <c r="O437" s="566"/>
      <c r="P437" s="545" t="s">
        <v>70</v>
      </c>
      <c r="Q437" s="546"/>
      <c r="R437" s="546"/>
      <c r="S437" s="546"/>
      <c r="T437" s="546"/>
      <c r="U437" s="546"/>
      <c r="V437" s="547"/>
      <c r="W437" s="37" t="s">
        <v>71</v>
      </c>
      <c r="X437" s="541">
        <f>IFERROR(X434/H434,"0")+IFERROR(X435/H435,"0")+IFERROR(X436/H436,"0")</f>
        <v>333.40909090909093</v>
      </c>
      <c r="Y437" s="541">
        <f>IFERROR(Y434/H434,"0")+IFERROR(Y435/H435,"0")+IFERROR(Y436/H436,"0")</f>
        <v>334</v>
      </c>
      <c r="Z437" s="541">
        <f>IFERROR(IF(Z434="",0,Z434),"0")+IFERROR(IF(Z435="",0,Z435),"0")+IFERROR(IF(Z436="",0,Z436),"0")</f>
        <v>3.9858199999999999</v>
      </c>
      <c r="AA437" s="542"/>
      <c r="AB437" s="542"/>
      <c r="AC437" s="542"/>
    </row>
    <row r="438" spans="1:68" x14ac:dyDescent="0.2">
      <c r="A438" s="554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66"/>
      <c r="P438" s="545" t="s">
        <v>70</v>
      </c>
      <c r="Q438" s="546"/>
      <c r="R438" s="546"/>
      <c r="S438" s="546"/>
      <c r="T438" s="546"/>
      <c r="U438" s="546"/>
      <c r="V438" s="547"/>
      <c r="W438" s="37" t="s">
        <v>68</v>
      </c>
      <c r="X438" s="541">
        <f>IFERROR(SUM(X434:X436),"0")</f>
        <v>1759</v>
      </c>
      <c r="Y438" s="541">
        <f>IFERROR(SUM(Y434:Y436),"0")</f>
        <v>1762.0800000000002</v>
      </c>
      <c r="Z438" s="37"/>
      <c r="AA438" s="542"/>
      <c r="AB438" s="542"/>
      <c r="AC438" s="542"/>
    </row>
    <row r="439" spans="1:68" ht="14.25" hidden="1" customHeight="1" x14ac:dyDescent="0.25">
      <c r="A439" s="556" t="s">
        <v>63</v>
      </c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4"/>
      <c r="P439" s="554"/>
      <c r="Q439" s="554"/>
      <c r="R439" s="554"/>
      <c r="S439" s="554"/>
      <c r="T439" s="554"/>
      <c r="U439" s="554"/>
      <c r="V439" s="554"/>
      <c r="W439" s="554"/>
      <c r="X439" s="554"/>
      <c r="Y439" s="554"/>
      <c r="Z439" s="554"/>
      <c r="AA439" s="535"/>
      <c r="AB439" s="535"/>
      <c r="AC439" s="535"/>
    </row>
    <row r="440" spans="1:68" ht="27" customHeight="1" x14ac:dyDescent="0.25">
      <c r="A440" s="54" t="s">
        <v>669</v>
      </c>
      <c r="B440" s="54" t="s">
        <v>670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9"/>
      <c r="R440" s="549"/>
      <c r="S440" s="549"/>
      <c r="T440" s="550"/>
      <c r="U440" s="34"/>
      <c r="V440" s="34"/>
      <c r="W440" s="35" t="s">
        <v>68</v>
      </c>
      <c r="X440" s="539">
        <v>753</v>
      </c>
      <c r="Y440" s="540">
        <f t="shared" ref="Y440:Y445" si="48">IFERROR(IF(X440="",0,CEILING((X440/$H440),1)*$H440),"")</f>
        <v>755.04000000000008</v>
      </c>
      <c r="Z440" s="36">
        <f>IFERROR(IF(Y440=0,"",ROUNDUP(Y440/H440,0)*0.01196),"")</f>
        <v>1.71028</v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802.91477272727275</v>
      </c>
      <c r="BN440" s="64">
        <f t="shared" ref="BN440:BN445" si="50">IFERROR(Y440*I440/H440,"0")</f>
        <v>805.09</v>
      </c>
      <c r="BO440" s="64">
        <f t="shared" ref="BO440:BO445" si="51">IFERROR(1/J440*(X440/H440),"0")</f>
        <v>1.371284965034965</v>
      </c>
      <c r="BP440" s="64">
        <f t="shared" ref="BP440:BP445" si="52">IFERROR(1/J440*(Y440/H440),"0")</f>
        <v>1.375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1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9"/>
      <c r="R441" s="549"/>
      <c r="S441" s="549"/>
      <c r="T441" s="550"/>
      <c r="U441" s="34"/>
      <c r="V441" s="34"/>
      <c r="W441" s="35" t="s">
        <v>68</v>
      </c>
      <c r="X441" s="539">
        <v>728</v>
      </c>
      <c r="Y441" s="540">
        <f t="shared" si="48"/>
        <v>728.64</v>
      </c>
      <c r="Z441" s="36">
        <f>IFERROR(IF(Y441=0,"",ROUNDUP(Y441/H441,0)*0.01196),"")</f>
        <v>1.6504799999999999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776.25757575757575</v>
      </c>
      <c r="BN441" s="64">
        <f t="shared" si="50"/>
        <v>776.93999999999994</v>
      </c>
      <c r="BO441" s="64">
        <f t="shared" si="51"/>
        <v>1.3257575757575757</v>
      </c>
      <c r="BP441" s="64">
        <f t="shared" si="52"/>
        <v>1.3269230769230771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9"/>
      <c r="R442" s="549"/>
      <c r="S442" s="549"/>
      <c r="T442" s="550"/>
      <c r="U442" s="34"/>
      <c r="V442" s="34"/>
      <c r="W442" s="35" t="s">
        <v>68</v>
      </c>
      <c r="X442" s="539">
        <v>1288</v>
      </c>
      <c r="Y442" s="540">
        <f t="shared" si="48"/>
        <v>1288.3200000000002</v>
      </c>
      <c r="Z442" s="36">
        <f>IFERROR(IF(Y442=0,"",ROUNDUP(Y442/H442,0)*0.01196),"")</f>
        <v>2.9182399999999999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1373.3787878787878</v>
      </c>
      <c r="BN442" s="64">
        <f t="shared" si="50"/>
        <v>1373.7200000000003</v>
      </c>
      <c r="BO442" s="64">
        <f t="shared" si="51"/>
        <v>2.3455710955710956</v>
      </c>
      <c r="BP442" s="64">
        <f t="shared" si="52"/>
        <v>2.3461538461538467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9"/>
      <c r="R443" s="549"/>
      <c r="S443" s="549"/>
      <c r="T443" s="550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9"/>
      <c r="R444" s="549"/>
      <c r="S444" s="549"/>
      <c r="T444" s="550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682</v>
      </c>
      <c r="B445" s="54" t="s">
        <v>683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9"/>
      <c r="R445" s="549"/>
      <c r="S445" s="549"/>
      <c r="T445" s="550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5"/>
      <c r="B446" s="554"/>
      <c r="C446" s="554"/>
      <c r="D446" s="554"/>
      <c r="E446" s="554"/>
      <c r="F446" s="554"/>
      <c r="G446" s="554"/>
      <c r="H446" s="554"/>
      <c r="I446" s="554"/>
      <c r="J446" s="554"/>
      <c r="K446" s="554"/>
      <c r="L446" s="554"/>
      <c r="M446" s="554"/>
      <c r="N446" s="554"/>
      <c r="O446" s="566"/>
      <c r="P446" s="545" t="s">
        <v>70</v>
      </c>
      <c r="Q446" s="546"/>
      <c r="R446" s="546"/>
      <c r="S446" s="546"/>
      <c r="T446" s="546"/>
      <c r="U446" s="546"/>
      <c r="V446" s="547"/>
      <c r="W446" s="37" t="s">
        <v>71</v>
      </c>
      <c r="X446" s="541">
        <f>IFERROR(X440/H440,"0")+IFERROR(X441/H441,"0")+IFERROR(X442/H442,"0")+IFERROR(X443/H443,"0")+IFERROR(X444/H444,"0")+IFERROR(X445/H445,"0")</f>
        <v>524.43181818181824</v>
      </c>
      <c r="Y446" s="541">
        <f>IFERROR(Y440/H440,"0")+IFERROR(Y441/H441,"0")+IFERROR(Y442/H442,"0")+IFERROR(Y443/H443,"0")+IFERROR(Y444/H444,"0")+IFERROR(Y445/H445,"0")</f>
        <v>525</v>
      </c>
      <c r="Z446" s="541">
        <f>IFERROR(IF(Z440="",0,Z440),"0")+IFERROR(IF(Z441="",0,Z441),"0")+IFERROR(IF(Z442="",0,Z442),"0")+IFERROR(IF(Z443="",0,Z443),"0")+IFERROR(IF(Z444="",0,Z444),"0")+IFERROR(IF(Z445="",0,Z445),"0")</f>
        <v>6.2789999999999999</v>
      </c>
      <c r="AA446" s="542"/>
      <c r="AB446" s="542"/>
      <c r="AC446" s="542"/>
    </row>
    <row r="447" spans="1:68" x14ac:dyDescent="0.2">
      <c r="A447" s="554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66"/>
      <c r="P447" s="545" t="s">
        <v>70</v>
      </c>
      <c r="Q447" s="546"/>
      <c r="R447" s="546"/>
      <c r="S447" s="546"/>
      <c r="T447" s="546"/>
      <c r="U447" s="546"/>
      <c r="V447" s="547"/>
      <c r="W447" s="37" t="s">
        <v>68</v>
      </c>
      <c r="X447" s="541">
        <f>IFERROR(SUM(X440:X445),"0")</f>
        <v>2769</v>
      </c>
      <c r="Y447" s="541">
        <f>IFERROR(SUM(Y440:Y445),"0")</f>
        <v>2772</v>
      </c>
      <c r="Z447" s="37"/>
      <c r="AA447" s="542"/>
      <c r="AB447" s="542"/>
      <c r="AC447" s="542"/>
    </row>
    <row r="448" spans="1:68" ht="14.25" hidden="1" customHeight="1" x14ac:dyDescent="0.25">
      <c r="A448" s="556" t="s">
        <v>72</v>
      </c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4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35"/>
      <c r="AB448" s="535"/>
      <c r="AC448" s="535"/>
    </row>
    <row r="449" spans="1:68" ht="16.5" hidden="1" customHeight="1" x14ac:dyDescent="0.25">
      <c r="A449" s="54" t="s">
        <v>684</v>
      </c>
      <c r="B449" s="54" t="s">
        <v>685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9"/>
      <c r="R449" s="549"/>
      <c r="S449" s="549"/>
      <c r="T449" s="550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687</v>
      </c>
      <c r="B450" s="54" t="s">
        <v>688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9"/>
      <c r="R450" s="549"/>
      <c r="S450" s="549"/>
      <c r="T450" s="550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690</v>
      </c>
      <c r="B451" s="54" t="s">
        <v>691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69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9"/>
      <c r="R451" s="549"/>
      <c r="S451" s="549"/>
      <c r="T451" s="550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65"/>
      <c r="B452" s="554"/>
      <c r="C452" s="554"/>
      <c r="D452" s="554"/>
      <c r="E452" s="554"/>
      <c r="F452" s="554"/>
      <c r="G452" s="554"/>
      <c r="H452" s="554"/>
      <c r="I452" s="554"/>
      <c r="J452" s="554"/>
      <c r="K452" s="554"/>
      <c r="L452" s="554"/>
      <c r="M452" s="554"/>
      <c r="N452" s="554"/>
      <c r="O452" s="566"/>
      <c r="P452" s="545" t="s">
        <v>70</v>
      </c>
      <c r="Q452" s="546"/>
      <c r="R452" s="546"/>
      <c r="S452" s="546"/>
      <c r="T452" s="546"/>
      <c r="U452" s="546"/>
      <c r="V452" s="547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54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66"/>
      <c r="P453" s="545" t="s">
        <v>70</v>
      </c>
      <c r="Q453" s="546"/>
      <c r="R453" s="546"/>
      <c r="S453" s="546"/>
      <c r="T453" s="546"/>
      <c r="U453" s="546"/>
      <c r="V453" s="547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4" t="s">
        <v>693</v>
      </c>
      <c r="B454" s="695"/>
      <c r="C454" s="695"/>
      <c r="D454" s="695"/>
      <c r="E454" s="695"/>
      <c r="F454" s="695"/>
      <c r="G454" s="695"/>
      <c r="H454" s="695"/>
      <c r="I454" s="695"/>
      <c r="J454" s="695"/>
      <c r="K454" s="695"/>
      <c r="L454" s="695"/>
      <c r="M454" s="695"/>
      <c r="N454" s="695"/>
      <c r="O454" s="695"/>
      <c r="P454" s="695"/>
      <c r="Q454" s="695"/>
      <c r="R454" s="695"/>
      <c r="S454" s="695"/>
      <c r="T454" s="695"/>
      <c r="U454" s="695"/>
      <c r="V454" s="695"/>
      <c r="W454" s="695"/>
      <c r="X454" s="695"/>
      <c r="Y454" s="695"/>
      <c r="Z454" s="695"/>
      <c r="AA454" s="48"/>
      <c r="AB454" s="48"/>
      <c r="AC454" s="48"/>
    </row>
    <row r="455" spans="1:68" ht="16.5" hidden="1" customHeight="1" x14ac:dyDescent="0.25">
      <c r="A455" s="553" t="s">
        <v>693</v>
      </c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4"/>
      <c r="P455" s="554"/>
      <c r="Q455" s="554"/>
      <c r="R455" s="554"/>
      <c r="S455" s="554"/>
      <c r="T455" s="554"/>
      <c r="U455" s="554"/>
      <c r="V455" s="554"/>
      <c r="W455" s="554"/>
      <c r="X455" s="554"/>
      <c r="Y455" s="554"/>
      <c r="Z455" s="554"/>
      <c r="AA455" s="534"/>
      <c r="AB455" s="534"/>
      <c r="AC455" s="534"/>
    </row>
    <row r="456" spans="1:68" ht="14.25" hidden="1" customHeight="1" x14ac:dyDescent="0.25">
      <c r="A456" s="556" t="s">
        <v>98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5"/>
      <c r="AB456" s="535"/>
      <c r="AC456" s="535"/>
    </row>
    <row r="457" spans="1:68" ht="27" hidden="1" customHeight="1" x14ac:dyDescent="0.25">
      <c r="A457" s="54" t="s">
        <v>694</v>
      </c>
      <c r="B457" s="54" t="s">
        <v>695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9"/>
      <c r="R457" s="549"/>
      <c r="S457" s="549"/>
      <c r="T457" s="550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697</v>
      </c>
      <c r="B458" s="54" t="s">
        <v>698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9"/>
      <c r="R458" s="549"/>
      <c r="S458" s="549"/>
      <c r="T458" s="550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 t="s">
        <v>102</v>
      </c>
      <c r="M459" s="33" t="s">
        <v>103</v>
      </c>
      <c r="N459" s="33"/>
      <c r="O459" s="32">
        <v>50</v>
      </c>
      <c r="P459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9"/>
      <c r="R459" s="549"/>
      <c r="S459" s="549"/>
      <c r="T459" s="550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 t="s">
        <v>105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7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9"/>
      <c r="R460" s="549"/>
      <c r="S460" s="549"/>
      <c r="T460" s="550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65"/>
      <c r="B461" s="554"/>
      <c r="C461" s="554"/>
      <c r="D461" s="554"/>
      <c r="E461" s="554"/>
      <c r="F461" s="554"/>
      <c r="G461" s="554"/>
      <c r="H461" s="554"/>
      <c r="I461" s="554"/>
      <c r="J461" s="554"/>
      <c r="K461" s="554"/>
      <c r="L461" s="554"/>
      <c r="M461" s="554"/>
      <c r="N461" s="554"/>
      <c r="O461" s="566"/>
      <c r="P461" s="545" t="s">
        <v>70</v>
      </c>
      <c r="Q461" s="546"/>
      <c r="R461" s="546"/>
      <c r="S461" s="546"/>
      <c r="T461" s="546"/>
      <c r="U461" s="546"/>
      <c r="V461" s="547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54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66"/>
      <c r="P462" s="545" t="s">
        <v>70</v>
      </c>
      <c r="Q462" s="546"/>
      <c r="R462" s="546"/>
      <c r="S462" s="546"/>
      <c r="T462" s="546"/>
      <c r="U462" s="546"/>
      <c r="V462" s="547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6" t="s">
        <v>134</v>
      </c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4"/>
      <c r="P463" s="554"/>
      <c r="Q463" s="554"/>
      <c r="R463" s="554"/>
      <c r="S463" s="554"/>
      <c r="T463" s="554"/>
      <c r="U463" s="554"/>
      <c r="V463" s="554"/>
      <c r="W463" s="554"/>
      <c r="X463" s="554"/>
      <c r="Y463" s="554"/>
      <c r="Z463" s="554"/>
      <c r="AA463" s="535"/>
      <c r="AB463" s="535"/>
      <c r="AC463" s="535"/>
    </row>
    <row r="464" spans="1:68" ht="27" hidden="1" customHeight="1" x14ac:dyDescent="0.25">
      <c r="A464" s="54" t="s">
        <v>705</v>
      </c>
      <c r="B464" s="54" t="s">
        <v>706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9"/>
      <c r="R464" s="549"/>
      <c r="S464" s="549"/>
      <c r="T464" s="550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708</v>
      </c>
      <c r="B465" s="54" t="s">
        <v>709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9"/>
      <c r="R465" s="549"/>
      <c r="S465" s="549"/>
      <c r="T465" s="550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9"/>
      <c r="R466" s="549"/>
      <c r="S466" s="549"/>
      <c r="T466" s="550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5"/>
      <c r="B467" s="554"/>
      <c r="C467" s="554"/>
      <c r="D467" s="554"/>
      <c r="E467" s="554"/>
      <c r="F467" s="554"/>
      <c r="G467" s="554"/>
      <c r="H467" s="554"/>
      <c r="I467" s="554"/>
      <c r="J467" s="554"/>
      <c r="K467" s="554"/>
      <c r="L467" s="554"/>
      <c r="M467" s="554"/>
      <c r="N467" s="554"/>
      <c r="O467" s="566"/>
      <c r="P467" s="545" t="s">
        <v>70</v>
      </c>
      <c r="Q467" s="546"/>
      <c r="R467" s="546"/>
      <c r="S467" s="546"/>
      <c r="T467" s="546"/>
      <c r="U467" s="546"/>
      <c r="V467" s="547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54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66"/>
      <c r="P468" s="545" t="s">
        <v>70</v>
      </c>
      <c r="Q468" s="546"/>
      <c r="R468" s="546"/>
      <c r="S468" s="546"/>
      <c r="T468" s="546"/>
      <c r="U468" s="546"/>
      <c r="V468" s="547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6" t="s">
        <v>63</v>
      </c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4"/>
      <c r="P469" s="554"/>
      <c r="Q469" s="554"/>
      <c r="R469" s="554"/>
      <c r="S469" s="554"/>
      <c r="T469" s="554"/>
      <c r="U469" s="554"/>
      <c r="V469" s="554"/>
      <c r="W469" s="554"/>
      <c r="X469" s="554"/>
      <c r="Y469" s="554"/>
      <c r="Z469" s="554"/>
      <c r="AA469" s="535"/>
      <c r="AB469" s="535"/>
      <c r="AC469" s="535"/>
    </row>
    <row r="470" spans="1:68" ht="27" hidden="1" customHeight="1" x14ac:dyDescent="0.25">
      <c r="A470" s="54" t="s">
        <v>714</v>
      </c>
      <c r="B470" s="54" t="s">
        <v>715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/>
      <c r="M470" s="33" t="s">
        <v>67</v>
      </c>
      <c r="N470" s="33"/>
      <c r="O470" s="32">
        <v>40</v>
      </c>
      <c r="P470" s="77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9"/>
      <c r="R470" s="549"/>
      <c r="S470" s="549"/>
      <c r="T470" s="550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717</v>
      </c>
      <c r="B471" s="54" t="s">
        <v>718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/>
      <c r="M471" s="33" t="s">
        <v>67</v>
      </c>
      <c r="N471" s="33"/>
      <c r="O471" s="32">
        <v>40</v>
      </c>
      <c r="P471" s="5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9"/>
      <c r="R471" s="549"/>
      <c r="S471" s="549"/>
      <c r="T471" s="550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5"/>
      <c r="B472" s="554"/>
      <c r="C472" s="554"/>
      <c r="D472" s="554"/>
      <c r="E472" s="554"/>
      <c r="F472" s="554"/>
      <c r="G472" s="554"/>
      <c r="H472" s="554"/>
      <c r="I472" s="554"/>
      <c r="J472" s="554"/>
      <c r="K472" s="554"/>
      <c r="L472" s="554"/>
      <c r="M472" s="554"/>
      <c r="N472" s="554"/>
      <c r="O472" s="566"/>
      <c r="P472" s="545" t="s">
        <v>70</v>
      </c>
      <c r="Q472" s="546"/>
      <c r="R472" s="546"/>
      <c r="S472" s="546"/>
      <c r="T472" s="546"/>
      <c r="U472" s="546"/>
      <c r="V472" s="547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54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66"/>
      <c r="P473" s="545" t="s">
        <v>70</v>
      </c>
      <c r="Q473" s="546"/>
      <c r="R473" s="546"/>
      <c r="S473" s="546"/>
      <c r="T473" s="546"/>
      <c r="U473" s="546"/>
      <c r="V473" s="547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6" t="s">
        <v>72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535"/>
      <c r="AB474" s="535"/>
      <c r="AC474" s="535"/>
    </row>
    <row r="475" spans="1:68" ht="27" hidden="1" customHeight="1" x14ac:dyDescent="0.25">
      <c r="A475" s="54" t="s">
        <v>720</v>
      </c>
      <c r="B475" s="54" t="s">
        <v>721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 t="s">
        <v>102</v>
      </c>
      <c r="M475" s="33" t="s">
        <v>83</v>
      </c>
      <c r="N475" s="33"/>
      <c r="O475" s="32">
        <v>45</v>
      </c>
      <c r="P475" s="7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9"/>
      <c r="R475" s="549"/>
      <c r="S475" s="549"/>
      <c r="T475" s="550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 t="s">
        <v>105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5"/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66"/>
      <c r="P476" s="545" t="s">
        <v>70</v>
      </c>
      <c r="Q476" s="546"/>
      <c r="R476" s="546"/>
      <c r="S476" s="546"/>
      <c r="T476" s="546"/>
      <c r="U476" s="546"/>
      <c r="V476" s="547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54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66"/>
      <c r="P477" s="545" t="s">
        <v>70</v>
      </c>
      <c r="Q477" s="546"/>
      <c r="R477" s="546"/>
      <c r="S477" s="546"/>
      <c r="T477" s="546"/>
      <c r="U477" s="546"/>
      <c r="V477" s="547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56" t="s">
        <v>162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535"/>
      <c r="AB478" s="535"/>
      <c r="AC478" s="535"/>
    </row>
    <row r="479" spans="1:68" ht="27" hidden="1" customHeight="1" x14ac:dyDescent="0.25">
      <c r="A479" s="54" t="s">
        <v>723</v>
      </c>
      <c r="B479" s="54" t="s">
        <v>724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9"/>
      <c r="R479" s="549"/>
      <c r="S479" s="549"/>
      <c r="T479" s="550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726</v>
      </c>
      <c r="B480" s="54" t="s">
        <v>727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9"/>
      <c r="R480" s="549"/>
      <c r="S480" s="549"/>
      <c r="T480" s="550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5"/>
      <c r="B481" s="554"/>
      <c r="C481" s="554"/>
      <c r="D481" s="554"/>
      <c r="E481" s="554"/>
      <c r="F481" s="554"/>
      <c r="G481" s="554"/>
      <c r="H481" s="554"/>
      <c r="I481" s="554"/>
      <c r="J481" s="554"/>
      <c r="K481" s="554"/>
      <c r="L481" s="554"/>
      <c r="M481" s="554"/>
      <c r="N481" s="554"/>
      <c r="O481" s="566"/>
      <c r="P481" s="545" t="s">
        <v>70</v>
      </c>
      <c r="Q481" s="546"/>
      <c r="R481" s="546"/>
      <c r="S481" s="546"/>
      <c r="T481" s="546"/>
      <c r="U481" s="546"/>
      <c r="V481" s="547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54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66"/>
      <c r="P482" s="545" t="s">
        <v>70</v>
      </c>
      <c r="Q482" s="546"/>
      <c r="R482" s="546"/>
      <c r="S482" s="546"/>
      <c r="T482" s="546"/>
      <c r="U482" s="546"/>
      <c r="V482" s="547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53" t="s">
        <v>729</v>
      </c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4"/>
      <c r="P483" s="554"/>
      <c r="Q483" s="554"/>
      <c r="R483" s="554"/>
      <c r="S483" s="554"/>
      <c r="T483" s="554"/>
      <c r="U483" s="554"/>
      <c r="V483" s="554"/>
      <c r="W483" s="554"/>
      <c r="X483" s="554"/>
      <c r="Y483" s="554"/>
      <c r="Z483" s="554"/>
      <c r="AA483" s="534"/>
      <c r="AB483" s="534"/>
      <c r="AC483" s="534"/>
    </row>
    <row r="484" spans="1:68" ht="14.25" hidden="1" customHeight="1" x14ac:dyDescent="0.25">
      <c r="A484" s="556" t="s">
        <v>134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5"/>
      <c r="AB484" s="535"/>
      <c r="AC484" s="535"/>
    </row>
    <row r="485" spans="1:68" ht="27" hidden="1" customHeight="1" x14ac:dyDescent="0.25">
      <c r="A485" s="54" t="s">
        <v>730</v>
      </c>
      <c r="B485" s="54" t="s">
        <v>731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9"/>
      <c r="R485" s="549"/>
      <c r="S485" s="549"/>
      <c r="T485" s="550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5"/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66"/>
      <c r="P486" s="545" t="s">
        <v>70</v>
      </c>
      <c r="Q486" s="546"/>
      <c r="R486" s="546"/>
      <c r="S486" s="546"/>
      <c r="T486" s="546"/>
      <c r="U486" s="546"/>
      <c r="V486" s="547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54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66"/>
      <c r="P487" s="545" t="s">
        <v>70</v>
      </c>
      <c r="Q487" s="546"/>
      <c r="R487" s="546"/>
      <c r="S487" s="546"/>
      <c r="T487" s="546"/>
      <c r="U487" s="546"/>
      <c r="V487" s="547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0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704"/>
      <c r="P488" s="634" t="s">
        <v>733</v>
      </c>
      <c r="Q488" s="625"/>
      <c r="R488" s="625"/>
      <c r="S488" s="625"/>
      <c r="T488" s="625"/>
      <c r="U488" s="625"/>
      <c r="V488" s="626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13890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14035.710000000001</v>
      </c>
      <c r="Z488" s="37"/>
      <c r="AA488" s="542"/>
      <c r="AB488" s="542"/>
      <c r="AC488" s="542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4"/>
      <c r="P489" s="634" t="s">
        <v>734</v>
      </c>
      <c r="Q489" s="625"/>
      <c r="R489" s="625"/>
      <c r="S489" s="625"/>
      <c r="T489" s="625"/>
      <c r="U489" s="625"/>
      <c r="V489" s="626"/>
      <c r="W489" s="37" t="s">
        <v>68</v>
      </c>
      <c r="X489" s="541">
        <f>IFERROR(SUM(BM22:BM485),"0")</f>
        <v>14714.688768486596</v>
      </c>
      <c r="Y489" s="541">
        <f>IFERROR(SUM(BN22:BN485),"0")</f>
        <v>14868.113000000001</v>
      </c>
      <c r="Z489" s="37"/>
      <c r="AA489" s="542"/>
      <c r="AB489" s="542"/>
      <c r="AC489" s="542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4"/>
      <c r="P490" s="634" t="s">
        <v>735</v>
      </c>
      <c r="Q490" s="625"/>
      <c r="R490" s="625"/>
      <c r="S490" s="625"/>
      <c r="T490" s="625"/>
      <c r="U490" s="625"/>
      <c r="V490" s="626"/>
      <c r="W490" s="37" t="s">
        <v>736</v>
      </c>
      <c r="X490" s="38">
        <f>ROUNDUP(SUM(BO22:BO485),0)</f>
        <v>25</v>
      </c>
      <c r="Y490" s="38">
        <f>ROUNDUP(SUM(BP22:BP485),0)</f>
        <v>25</v>
      </c>
      <c r="Z490" s="37"/>
      <c r="AA490" s="542"/>
      <c r="AB490" s="542"/>
      <c r="AC490" s="542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4"/>
      <c r="P491" s="634" t="s">
        <v>737</v>
      </c>
      <c r="Q491" s="625"/>
      <c r="R491" s="625"/>
      <c r="S491" s="625"/>
      <c r="T491" s="625"/>
      <c r="U491" s="625"/>
      <c r="V491" s="626"/>
      <c r="W491" s="37" t="s">
        <v>68</v>
      </c>
      <c r="X491" s="541">
        <f>GrossWeightTotal+PalletQtyTotal*25</f>
        <v>15339.688768486596</v>
      </c>
      <c r="Y491" s="541">
        <f>GrossWeightTotalR+PalletQtyTotalR*25</f>
        <v>15493.113000000001</v>
      </c>
      <c r="Z491" s="37"/>
      <c r="AA491" s="542"/>
      <c r="AB491" s="542"/>
      <c r="AC491" s="542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4"/>
      <c r="P492" s="634" t="s">
        <v>738</v>
      </c>
      <c r="Q492" s="625"/>
      <c r="R492" s="625"/>
      <c r="S492" s="625"/>
      <c r="T492" s="625"/>
      <c r="U492" s="625"/>
      <c r="V492" s="626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2450.1759775990167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2473</v>
      </c>
      <c r="Z492" s="37"/>
      <c r="AA492" s="542"/>
      <c r="AB492" s="542"/>
      <c r="AC492" s="542"/>
    </row>
    <row r="493" spans="1:68" ht="14.25" hidden="1" customHeight="1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4"/>
      <c r="P493" s="634" t="s">
        <v>739</v>
      </c>
      <c r="Q493" s="625"/>
      <c r="R493" s="625"/>
      <c r="S493" s="625"/>
      <c r="T493" s="625"/>
      <c r="U493" s="625"/>
      <c r="V493" s="626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29.174209999999999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1" t="s">
        <v>96</v>
      </c>
      <c r="D495" s="591"/>
      <c r="E495" s="591"/>
      <c r="F495" s="591"/>
      <c r="G495" s="591"/>
      <c r="H495" s="592"/>
      <c r="I495" s="571" t="s">
        <v>250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531</v>
      </c>
      <c r="T495" s="592"/>
      <c r="U495" s="571" t="s">
        <v>582</v>
      </c>
      <c r="V495" s="591"/>
      <c r="W495" s="592"/>
      <c r="X495" s="536" t="s">
        <v>633</v>
      </c>
      <c r="Y495" s="571" t="s">
        <v>693</v>
      </c>
      <c r="Z495" s="592"/>
      <c r="AB495" s="52"/>
      <c r="AC495" s="52"/>
      <c r="AF495" s="537"/>
    </row>
    <row r="496" spans="1:68" ht="14.25" customHeight="1" thickTop="1" x14ac:dyDescent="0.2">
      <c r="A496" s="601" t="s">
        <v>742</v>
      </c>
      <c r="B496" s="571" t="s">
        <v>62</v>
      </c>
      <c r="C496" s="571" t="s">
        <v>97</v>
      </c>
      <c r="D496" s="571" t="s">
        <v>115</v>
      </c>
      <c r="E496" s="571" t="s">
        <v>169</v>
      </c>
      <c r="F496" s="571" t="s">
        <v>189</v>
      </c>
      <c r="G496" s="571" t="s">
        <v>219</v>
      </c>
      <c r="H496" s="571" t="s">
        <v>96</v>
      </c>
      <c r="I496" s="571" t="s">
        <v>251</v>
      </c>
      <c r="J496" s="571" t="s">
        <v>296</v>
      </c>
      <c r="K496" s="571" t="s">
        <v>355</v>
      </c>
      <c r="L496" s="571" t="s">
        <v>397</v>
      </c>
      <c r="M496" s="571" t="s">
        <v>413</v>
      </c>
      <c r="N496" s="537"/>
      <c r="O496" s="571" t="s">
        <v>424</v>
      </c>
      <c r="P496" s="571" t="s">
        <v>433</v>
      </c>
      <c r="Q496" s="571" t="s">
        <v>447</v>
      </c>
      <c r="R496" s="571" t="s">
        <v>521</v>
      </c>
      <c r="S496" s="571" t="s">
        <v>532</v>
      </c>
      <c r="T496" s="571" t="s">
        <v>566</v>
      </c>
      <c r="U496" s="571" t="s">
        <v>583</v>
      </c>
      <c r="V496" s="571" t="s">
        <v>614</v>
      </c>
      <c r="W496" s="571" t="s">
        <v>629</v>
      </c>
      <c r="X496" s="571" t="s">
        <v>633</v>
      </c>
      <c r="Y496" s="571" t="s">
        <v>693</v>
      </c>
      <c r="Z496" s="571" t="s">
        <v>729</v>
      </c>
      <c r="AB496" s="52"/>
      <c r="AC496" s="52"/>
      <c r="AF496" s="537"/>
    </row>
    <row r="497" spans="1:32" ht="13.5" customHeight="1" thickBot="1" x14ac:dyDescent="0.25">
      <c r="A497" s="602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21.6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170.60000000000002</v>
      </c>
      <c r="E498" s="46">
        <f>IFERROR(Y85*1,"0")+IFERROR(Y86*1,"0")+IFERROR(Y87*1,"0")+IFERROR(Y91*1,"0")+IFERROR(Y92*1,"0")+IFERROR(Y93*1,"0")+IFERROR(Y94*1,"0")</f>
        <v>963.90000000000009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226.8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225.96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1176.0000000000002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254.39999999999998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593.65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3255</v>
      </c>
      <c r="T498" s="46">
        <f>IFERROR(Y367*1,"0")+IFERROR(Y368*1,"0")+IFERROR(Y372*1,"0")+IFERROR(Y373*1,"0")+IFERROR(Y377*1,"0")+IFERROR(Y378*1,"0")</f>
        <v>297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10.8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6840.0000000000018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5TfaQXW9POJ/dLhH2uYRNI9tEeNJo/7lnAeAmNgyuqlL/5sRGALZ+f9Eni6dyjBx0lUkIzHW8bfRJI4tyCtx6g==" saltValue="/Ul3XHiNzeHh/ZK4wubsXA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9"/>
        <filter val="1 288,00"/>
        <filter val="1 433,00"/>
        <filter val="1 745,00"/>
        <filter val="1 759,00"/>
        <filter val="1 789,00"/>
        <filter val="1,00"/>
        <filter val="1,02"/>
        <filter val="1,11"/>
        <filter val="105,00"/>
        <filter val="11,00"/>
        <filter val="119,27"/>
        <filter val="13 890,00"/>
        <filter val="13,00"/>
        <filter val="133,00"/>
        <filter val="14 714,69"/>
        <filter val="14,00"/>
        <filter val="141,00"/>
        <filter val="15 339,69"/>
        <filter val="169,00"/>
        <filter val="18,00"/>
        <filter val="186,00"/>
        <filter val="19,00"/>
        <filter val="196,00"/>
        <filter val="2 060,00"/>
        <filter val="2 297,00"/>
        <filter val="2 450,18"/>
        <filter val="2 769,00"/>
        <filter val="2,00"/>
        <filter val="20,09"/>
        <filter val="217,00"/>
        <filter val="218,00"/>
        <filter val="224,00"/>
        <filter val="246,00"/>
        <filter val="25"/>
        <filter val="25,00"/>
        <filter val="252,00"/>
        <filter val="266,00"/>
        <filter val="29,00"/>
        <filter val="296,00"/>
        <filter val="3,00"/>
        <filter val="32,89"/>
        <filter val="33,00"/>
        <filter val="333,41"/>
        <filter val="341,00"/>
        <filter val="35,00"/>
        <filter val="385,40"/>
        <filter val="39,00"/>
        <filter val="4,00"/>
        <filter val="4,23"/>
        <filter val="4,29"/>
        <filter val="424,00"/>
        <filter val="43,15"/>
        <filter val="435,28"/>
        <filter val="48,00"/>
        <filter val="524,43"/>
        <filter val="56,00"/>
        <filter val="560,00"/>
        <filter val="561,00"/>
        <filter val="6,00"/>
        <filter val="6,11"/>
        <filter val="616,00"/>
        <filter val="64,00"/>
        <filter val="65,00"/>
        <filter val="66,00"/>
        <filter val="681,00"/>
        <filter val="7,00"/>
        <filter val="7,92"/>
        <filter val="70,00"/>
        <filter val="71,48"/>
        <filter val="71,92"/>
        <filter val="728,00"/>
        <filter val="753,00"/>
        <filter val="805,00"/>
        <filter val="81,23"/>
        <filter val="9,80"/>
        <filter val="93,81"/>
        <filter val="95,53"/>
        <filter val="970,00"/>
        <filter val="98,00"/>
      </filters>
    </filterColumn>
    <filterColumn colId="29" showButton="0"/>
    <filterColumn colId="30" showButton="0"/>
  </autoFilter>
  <mergeCells count="872"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420:T420"/>
    <mergeCell ref="P146:T146"/>
    <mergeCell ref="D323:E323"/>
    <mergeCell ref="A136:O137"/>
    <mergeCell ref="A192:O193"/>
    <mergeCell ref="D384:E384"/>
    <mergeCell ref="X17:X18"/>
    <mergeCell ref="D408:E408"/>
    <mergeCell ref="P216:V216"/>
    <mergeCell ref="A333:Z333"/>
    <mergeCell ref="D54:E54"/>
    <mergeCell ref="D271:E271"/>
    <mergeCell ref="V12:W12"/>
    <mergeCell ref="D191:E191"/>
    <mergeCell ref="U17:V17"/>
    <mergeCell ref="Y17:Y18"/>
    <mergeCell ref="N17:N18"/>
    <mergeCell ref="F17:F18"/>
    <mergeCell ref="A31:O32"/>
    <mergeCell ref="A33:Z33"/>
    <mergeCell ref="M17:M18"/>
    <mergeCell ref="O17:O18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P385:T385"/>
    <mergeCell ref="P199:T199"/>
    <mergeCell ref="P131:V131"/>
    <mergeCell ref="P410:V410"/>
    <mergeCell ref="P102:T102"/>
    <mergeCell ref="P196:T196"/>
    <mergeCell ref="P281:V281"/>
    <mergeCell ref="D226:E226"/>
    <mergeCell ref="D164:E164"/>
    <mergeCell ref="P62:T62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132:V132"/>
    <mergeCell ref="P72:T72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A478:Z478"/>
    <mergeCell ref="P436:T436"/>
    <mergeCell ref="P379:V379"/>
    <mergeCell ref="D196:E196"/>
    <mergeCell ref="A269:Z269"/>
    <mergeCell ref="A469:Z469"/>
    <mergeCell ref="P336:T336"/>
    <mergeCell ref="P187:V187"/>
    <mergeCell ref="P430:T430"/>
    <mergeCell ref="P350:V350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P307:T307"/>
    <mergeCell ref="P444:T444"/>
    <mergeCell ref="D421:E421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D213:E213"/>
    <mergeCell ref="P192:V192"/>
    <mergeCell ref="P321:T321"/>
    <mergeCell ref="P125:T125"/>
    <mergeCell ref="Z496:Z497"/>
    <mergeCell ref="A454:Z454"/>
    <mergeCell ref="D389:E389"/>
    <mergeCell ref="S495:T495"/>
    <mergeCell ref="D299:E299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D424:E424"/>
    <mergeCell ref="T496:T497"/>
    <mergeCell ref="Q496:Q497"/>
    <mergeCell ref="S496:S497"/>
    <mergeCell ref="A155:Z155"/>
    <mergeCell ref="P268:V268"/>
    <mergeCell ref="D151:E151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17:H18"/>
    <mergeCell ref="A220:O221"/>
    <mergeCell ref="P346:T346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D85:E85"/>
    <mergeCell ref="A285:O286"/>
    <mergeCell ref="P211:T211"/>
    <mergeCell ref="P309:T309"/>
    <mergeCell ref="D74:E74"/>
    <mergeCell ref="D93:E93"/>
    <mergeCell ref="A98:Z98"/>
    <mergeCell ref="D52:E52"/>
    <mergeCell ref="P110:V110"/>
    <mergeCell ref="AA17:AA18"/>
    <mergeCell ref="D292:E292"/>
    <mergeCell ref="D227:E227"/>
    <mergeCell ref="P23:V23"/>
    <mergeCell ref="A262:Z26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D425:E425"/>
    <mergeCell ref="A139:Z139"/>
    <mergeCell ref="D130:E130"/>
    <mergeCell ref="P283:T283"/>
    <mergeCell ref="D264:E264"/>
    <mergeCell ref="D391:E391"/>
    <mergeCell ref="P370:V370"/>
    <mergeCell ref="A369:O370"/>
    <mergeCell ref="D328:E328"/>
    <mergeCell ref="A270:Z270"/>
    <mergeCell ref="D134:E134"/>
    <mergeCell ref="A379:O380"/>
    <mergeCell ref="A330:O331"/>
    <mergeCell ref="P249:T249"/>
    <mergeCell ref="A365:Z365"/>
    <mergeCell ref="D206:E206"/>
    <mergeCell ref="P390:T390"/>
    <mergeCell ref="D298:E298"/>
    <mergeCell ref="P404:V404"/>
    <mergeCell ref="A351:Z351"/>
    <mergeCell ref="D273:E273"/>
    <mergeCell ref="P327:T327"/>
    <mergeCell ref="A160:Z160"/>
    <mergeCell ref="P224:T224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D460:E460"/>
    <mergeCell ref="A474:Z474"/>
    <mergeCell ref="D466:E466"/>
    <mergeCell ref="P450:T450"/>
    <mergeCell ref="D414:E414"/>
    <mergeCell ref="D352:E352"/>
    <mergeCell ref="P219:T219"/>
    <mergeCell ref="D91:E91"/>
    <mergeCell ref="D162:E162"/>
    <mergeCell ref="P272:T272"/>
    <mergeCell ref="D327:E327"/>
    <mergeCell ref="P210:T210"/>
    <mergeCell ref="A267:O268"/>
    <mergeCell ref="P308:T308"/>
    <mergeCell ref="P185:T185"/>
    <mergeCell ref="P380:V380"/>
    <mergeCell ref="D168:E168"/>
    <mergeCell ref="D180:E180"/>
    <mergeCell ref="P168:T168"/>
    <mergeCell ref="P193:V193"/>
    <mergeCell ref="A276:Z276"/>
    <mergeCell ref="A418:Z418"/>
    <mergeCell ref="D283:E283"/>
    <mergeCell ref="A356:Z356"/>
    <mergeCell ref="D112:E112"/>
    <mergeCell ref="P441:T441"/>
    <mergeCell ref="A431:O432"/>
    <mergeCell ref="P82:V82"/>
    <mergeCell ref="P303:T303"/>
    <mergeCell ref="A376:Z376"/>
    <mergeCell ref="A105:Z105"/>
    <mergeCell ref="D224:E224"/>
    <mergeCell ref="A398:O399"/>
    <mergeCell ref="P230:T230"/>
    <mergeCell ref="D211:E211"/>
    <mergeCell ref="D27:E27"/>
    <mergeCell ref="P208:T208"/>
    <mergeCell ref="D396:E396"/>
    <mergeCell ref="A69:O70"/>
    <mergeCell ref="P66:T66"/>
    <mergeCell ref="A83:Z83"/>
    <mergeCell ref="P152:V152"/>
    <mergeCell ref="D140:E140"/>
    <mergeCell ref="A340:Z340"/>
    <mergeCell ref="P104:V104"/>
    <mergeCell ref="P27:T27"/>
    <mergeCell ref="D75:E75"/>
    <mergeCell ref="P91:T91"/>
    <mergeCell ref="P51:T51"/>
    <mergeCell ref="P126:V126"/>
    <mergeCell ref="P322:T322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H1:Q1"/>
    <mergeCell ref="P280:V280"/>
    <mergeCell ref="P109:V109"/>
    <mergeCell ref="P274:V274"/>
    <mergeCell ref="A366:Z366"/>
    <mergeCell ref="D214:E214"/>
    <mergeCell ref="D284:E284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Y495:Z495"/>
    <mergeCell ref="P329:T329"/>
    <mergeCell ref="A148:O149"/>
    <mergeCell ref="P477:V477"/>
    <mergeCell ref="D124:E124"/>
    <mergeCell ref="P56:T56"/>
    <mergeCell ref="D195:E195"/>
    <mergeCell ref="P231:T231"/>
    <mergeCell ref="D423:E423"/>
    <mergeCell ref="P302:T302"/>
    <mergeCell ref="D174:E174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197:T197"/>
    <mergeCell ref="A354:O355"/>
    <mergeCell ref="P53:T53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A84:Z84"/>
    <mergeCell ref="P330:V330"/>
    <mergeCell ref="D289:E289"/>
    <mergeCell ref="P159:V159"/>
    <mergeCell ref="P209:T209"/>
    <mergeCell ref="P147:T147"/>
    <mergeCell ref="P445:T445"/>
    <mergeCell ref="P79:T79"/>
    <mergeCell ref="P73:T73"/>
    <mergeCell ref="P315:T315"/>
    <mergeCell ref="P96:V96"/>
    <mergeCell ref="P325:V325"/>
    <mergeCell ref="A150:Z150"/>
    <mergeCell ref="I495:R495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D426:E426"/>
    <mergeCell ref="P86:T86"/>
    <mergeCell ref="P328:T328"/>
    <mergeCell ref="P384:T384"/>
    <mergeCell ref="P213:T213"/>
    <mergeCell ref="P157:T157"/>
    <mergeCell ref="A144:Z144"/>
    <mergeCell ref="A120:O121"/>
    <mergeCell ref="D378:E378"/>
    <mergeCell ref="D129:E129"/>
    <mergeCell ref="D406:E406"/>
    <mergeCell ref="P251:V251"/>
    <mergeCell ref="D357:E357"/>
    <mergeCell ref="D258:E258"/>
    <mergeCell ref="P235:V235"/>
    <mergeCell ref="P402:T402"/>
    <mergeCell ref="D301:E301"/>
    <mergeCell ref="D245:E245"/>
    <mergeCell ref="P188:V188"/>
    <mergeCell ref="D147:E147"/>
    <mergeCell ref="H9:I9"/>
    <mergeCell ref="P24:V24"/>
    <mergeCell ref="A49:Z49"/>
    <mergeCell ref="P260:V260"/>
    <mergeCell ref="P89:V89"/>
    <mergeCell ref="A65:Z65"/>
    <mergeCell ref="V10:W10"/>
    <mergeCell ref="D53:E53"/>
    <mergeCell ref="A50:Z50"/>
    <mergeCell ref="D60:E60"/>
    <mergeCell ref="W17:W18"/>
    <mergeCell ref="D9:E9"/>
    <mergeCell ref="F9:G9"/>
    <mergeCell ref="D169:E169"/>
    <mergeCell ref="P353:T353"/>
    <mergeCell ref="P204:V20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3:X164 X168 X186 X195:X200 X202 X206:X209 X211:X214 X232 X254 X256 X272:X273 X298 X307 X315 X322:X323 X335:X336 X342:X344 X352 X367 X372 X377:X378 X386 X420 X422:X423 X425 X434 X436 X440:X442 X459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pErioa5apzSVtTnzB4koQTETRGTNvTlmQI51qz9R13gRFWJQ4jjDEZWq9T5vWiroLSc1kQlPDpiQTM5KhA6+dA==" saltValue="NmZhLgqhMlSD2H1MUr+i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2025-11-26T10:23:50Z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