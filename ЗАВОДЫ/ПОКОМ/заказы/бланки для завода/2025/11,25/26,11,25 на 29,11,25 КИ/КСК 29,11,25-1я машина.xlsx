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6640B2B-DA25-433E-975B-21CC79CA30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O458" i="1"/>
  <c r="BM458" i="1"/>
  <c r="Y458" i="1"/>
  <c r="P458" i="1"/>
  <c r="BO457" i="1"/>
  <c r="BM457" i="1"/>
  <c r="Y457" i="1"/>
  <c r="Y461" i="1" s="1"/>
  <c r="P457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BP443" i="1" s="1"/>
  <c r="P443" i="1"/>
  <c r="BP442" i="1"/>
  <c r="BO442" i="1"/>
  <c r="BN442" i="1"/>
  <c r="BM442" i="1"/>
  <c r="Z442" i="1"/>
  <c r="Y442" i="1"/>
  <c r="P442" i="1"/>
  <c r="BO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Y415" i="1" s="1"/>
  <c r="P414" i="1"/>
  <c r="X411" i="1"/>
  <c r="X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Y324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Y268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3" i="1" s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E498" i="1" s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A9" i="1"/>
  <c r="F10" i="1" s="1"/>
  <c r="D7" i="1"/>
  <c r="Q6" i="1"/>
  <c r="P2" i="1"/>
  <c r="BP107" i="1" l="1"/>
  <c r="BN107" i="1"/>
  <c r="Z107" i="1"/>
  <c r="BP147" i="1"/>
  <c r="BN147" i="1"/>
  <c r="Z147" i="1"/>
  <c r="BP167" i="1"/>
  <c r="BN167" i="1"/>
  <c r="Z167" i="1"/>
  <c r="BP202" i="1"/>
  <c r="BN202" i="1"/>
  <c r="Z202" i="1"/>
  <c r="BP227" i="1"/>
  <c r="BN227" i="1"/>
  <c r="Z227" i="1"/>
  <c r="BP256" i="1"/>
  <c r="BN256" i="1"/>
  <c r="Z256" i="1"/>
  <c r="BP293" i="1"/>
  <c r="BN293" i="1"/>
  <c r="Z293" i="1"/>
  <c r="BP323" i="1"/>
  <c r="BN323" i="1"/>
  <c r="Z323" i="1"/>
  <c r="BP348" i="1"/>
  <c r="BN348" i="1"/>
  <c r="Z348" i="1"/>
  <c r="BP389" i="1"/>
  <c r="BN389" i="1"/>
  <c r="Z389" i="1"/>
  <c r="BP426" i="1"/>
  <c r="BN426" i="1"/>
  <c r="Z426" i="1"/>
  <c r="BP450" i="1"/>
  <c r="BN450" i="1"/>
  <c r="Z450" i="1"/>
  <c r="Z22" i="1"/>
  <c r="Z23" i="1" s="1"/>
  <c r="BN22" i="1"/>
  <c r="BP22" i="1"/>
  <c r="Z26" i="1"/>
  <c r="BN26" i="1"/>
  <c r="Y31" i="1"/>
  <c r="Z42" i="1"/>
  <c r="BN42" i="1"/>
  <c r="Z61" i="1"/>
  <c r="BN61" i="1"/>
  <c r="Z79" i="1"/>
  <c r="BN79" i="1"/>
  <c r="Y82" i="1"/>
  <c r="BP92" i="1"/>
  <c r="BN92" i="1"/>
  <c r="Z92" i="1"/>
  <c r="BP130" i="1"/>
  <c r="BN130" i="1"/>
  <c r="Z130" i="1"/>
  <c r="BP162" i="1"/>
  <c r="BN162" i="1"/>
  <c r="Z162" i="1"/>
  <c r="J498" i="1"/>
  <c r="BP190" i="1"/>
  <c r="BN190" i="1"/>
  <c r="Z190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07" i="1"/>
  <c r="BN307" i="1"/>
  <c r="Z307" i="1"/>
  <c r="BP336" i="1"/>
  <c r="BN336" i="1"/>
  <c r="Z336" i="1"/>
  <c r="BP373" i="1"/>
  <c r="BN373" i="1"/>
  <c r="Z373" i="1"/>
  <c r="BP408" i="1"/>
  <c r="BN408" i="1"/>
  <c r="Z408" i="1"/>
  <c r="BP436" i="1"/>
  <c r="BN436" i="1"/>
  <c r="Z436" i="1"/>
  <c r="BP466" i="1"/>
  <c r="BN466" i="1"/>
  <c r="Z466" i="1"/>
  <c r="Y193" i="1"/>
  <c r="Y312" i="1"/>
  <c r="Y121" i="1"/>
  <c r="Y120" i="1"/>
  <c r="BP119" i="1"/>
  <c r="BP124" i="1"/>
  <c r="BN124" i="1"/>
  <c r="Z124" i="1"/>
  <c r="Y149" i="1"/>
  <c r="BP145" i="1"/>
  <c r="BN145" i="1"/>
  <c r="Z145" i="1"/>
  <c r="BP165" i="1"/>
  <c r="BN165" i="1"/>
  <c r="Z165" i="1"/>
  <c r="BP186" i="1"/>
  <c r="BN186" i="1"/>
  <c r="Z186" i="1"/>
  <c r="BP200" i="1"/>
  <c r="BN200" i="1"/>
  <c r="Z200" i="1"/>
  <c r="BP210" i="1"/>
  <c r="BN210" i="1"/>
  <c r="Z210" i="1"/>
  <c r="BP225" i="1"/>
  <c r="BN225" i="1"/>
  <c r="Z225" i="1"/>
  <c r="BP233" i="1"/>
  <c r="BN233" i="1"/>
  <c r="Z233" i="1"/>
  <c r="BP254" i="1"/>
  <c r="BN254" i="1"/>
  <c r="Z254" i="1"/>
  <c r="BP265" i="1"/>
  <c r="BN265" i="1"/>
  <c r="Z265" i="1"/>
  <c r="BP291" i="1"/>
  <c r="BN291" i="1"/>
  <c r="Z291" i="1"/>
  <c r="BP301" i="1"/>
  <c r="BN301" i="1"/>
  <c r="Z301" i="1"/>
  <c r="X488" i="1"/>
  <c r="Y32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Y64" i="1"/>
  <c r="Z67" i="1"/>
  <c r="BN67" i="1"/>
  <c r="Y76" i="1"/>
  <c r="Z75" i="1"/>
  <c r="BN75" i="1"/>
  <c r="Y81" i="1"/>
  <c r="Z86" i="1"/>
  <c r="BN86" i="1"/>
  <c r="Y95" i="1"/>
  <c r="Z94" i="1"/>
  <c r="BN94" i="1"/>
  <c r="Z101" i="1"/>
  <c r="BN101" i="1"/>
  <c r="Y110" i="1"/>
  <c r="Z113" i="1"/>
  <c r="BN113" i="1"/>
  <c r="Z119" i="1"/>
  <c r="Z120" i="1" s="1"/>
  <c r="BN119" i="1"/>
  <c r="Y136" i="1"/>
  <c r="BP134" i="1"/>
  <c r="BN134" i="1"/>
  <c r="Z134" i="1"/>
  <c r="BP164" i="1"/>
  <c r="BN164" i="1"/>
  <c r="Z164" i="1"/>
  <c r="BP169" i="1"/>
  <c r="BN169" i="1"/>
  <c r="Z169" i="1"/>
  <c r="Y203" i="1"/>
  <c r="BP196" i="1"/>
  <c r="BN196" i="1"/>
  <c r="Z196" i="1"/>
  <c r="Y216" i="1"/>
  <c r="BP206" i="1"/>
  <c r="BN206" i="1"/>
  <c r="Z206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79" i="1"/>
  <c r="BN279" i="1"/>
  <c r="Z279" i="1"/>
  <c r="Y305" i="1"/>
  <c r="BP297" i="1"/>
  <c r="BN297" i="1"/>
  <c r="Z297" i="1"/>
  <c r="BP309" i="1"/>
  <c r="BN309" i="1"/>
  <c r="Z309" i="1"/>
  <c r="Y331" i="1"/>
  <c r="BP327" i="1"/>
  <c r="BN327" i="1"/>
  <c r="Z327" i="1"/>
  <c r="BP342" i="1"/>
  <c r="BN342" i="1"/>
  <c r="Z342" i="1"/>
  <c r="Y354" i="1"/>
  <c r="BP352" i="1"/>
  <c r="BN352" i="1"/>
  <c r="Z352" i="1"/>
  <c r="Y379" i="1"/>
  <c r="BP377" i="1"/>
  <c r="BN377" i="1"/>
  <c r="Z377" i="1"/>
  <c r="BP391" i="1"/>
  <c r="BN391" i="1"/>
  <c r="Z391" i="1"/>
  <c r="BP420" i="1"/>
  <c r="BN420" i="1"/>
  <c r="Z420" i="1"/>
  <c r="BP428" i="1"/>
  <c r="BN428" i="1"/>
  <c r="Z428" i="1"/>
  <c r="Y447" i="1"/>
  <c r="BP440" i="1"/>
  <c r="BN440" i="1"/>
  <c r="Z440" i="1"/>
  <c r="BP458" i="1"/>
  <c r="BN458" i="1"/>
  <c r="Z458" i="1"/>
  <c r="Y473" i="1"/>
  <c r="BP470" i="1"/>
  <c r="BN470" i="1"/>
  <c r="Z470" i="1"/>
  <c r="Y127" i="1"/>
  <c r="Y137" i="1"/>
  <c r="H498" i="1"/>
  <c r="Y148" i="1"/>
  <c r="I498" i="1"/>
  <c r="Y172" i="1"/>
  <c r="Y178" i="1"/>
  <c r="Y192" i="1"/>
  <c r="Y215" i="1"/>
  <c r="Y220" i="1"/>
  <c r="BP303" i="1"/>
  <c r="BN303" i="1"/>
  <c r="Z303" i="1"/>
  <c r="BP321" i="1"/>
  <c r="BN321" i="1"/>
  <c r="Z321" i="1"/>
  <c r="BP334" i="1"/>
  <c r="BN334" i="1"/>
  <c r="Z334" i="1"/>
  <c r="BP346" i="1"/>
  <c r="BN346" i="1"/>
  <c r="Z346" i="1"/>
  <c r="Y364" i="1"/>
  <c r="Y363" i="1"/>
  <c r="BP362" i="1"/>
  <c r="BN362" i="1"/>
  <c r="Z362" i="1"/>
  <c r="Z363" i="1" s="1"/>
  <c r="BP367" i="1"/>
  <c r="BN367" i="1"/>
  <c r="Z367" i="1"/>
  <c r="BP387" i="1"/>
  <c r="BN387" i="1"/>
  <c r="Z387" i="1"/>
  <c r="V498" i="1"/>
  <c r="Y403" i="1"/>
  <c r="BP402" i="1"/>
  <c r="BN402" i="1"/>
  <c r="Z402" i="1"/>
  <c r="Z403" i="1" s="1"/>
  <c r="Y411" i="1"/>
  <c r="BP406" i="1"/>
  <c r="BN406" i="1"/>
  <c r="Z406" i="1"/>
  <c r="BP424" i="1"/>
  <c r="BN424" i="1"/>
  <c r="Z424" i="1"/>
  <c r="Y438" i="1"/>
  <c r="BP434" i="1"/>
  <c r="BN434" i="1"/>
  <c r="Z434" i="1"/>
  <c r="BP444" i="1"/>
  <c r="BN444" i="1"/>
  <c r="Z444" i="1"/>
  <c r="Y468" i="1"/>
  <c r="BP464" i="1"/>
  <c r="BN464" i="1"/>
  <c r="Z464" i="1"/>
  <c r="Y311" i="1"/>
  <c r="Y318" i="1"/>
  <c r="Y330" i="1"/>
  <c r="Y337" i="1"/>
  <c r="Y355" i="1"/>
  <c r="Y370" i="1"/>
  <c r="Y380" i="1"/>
  <c r="U498" i="1"/>
  <c r="Y437" i="1"/>
  <c r="Y453" i="1"/>
  <c r="Y467" i="1"/>
  <c r="H9" i="1"/>
  <c r="A10" i="1"/>
  <c r="B498" i="1"/>
  <c r="X489" i="1"/>
  <c r="X490" i="1"/>
  <c r="X492" i="1"/>
  <c r="Y24" i="1"/>
  <c r="Z27" i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Z180" i="1"/>
  <c r="Z181" i="1" s="1"/>
  <c r="BN180" i="1"/>
  <c r="BP180" i="1"/>
  <c r="Y181" i="1"/>
  <c r="Z185" i="1"/>
  <c r="BN185" i="1"/>
  <c r="BP185" i="1"/>
  <c r="Y188" i="1"/>
  <c r="Z191" i="1"/>
  <c r="Z192" i="1" s="1"/>
  <c r="BN191" i="1"/>
  <c r="BP191" i="1"/>
  <c r="Z195" i="1"/>
  <c r="BN195" i="1"/>
  <c r="BP195" i="1"/>
  <c r="Z197" i="1"/>
  <c r="BN197" i="1"/>
  <c r="Z199" i="1"/>
  <c r="BN199" i="1"/>
  <c r="Z201" i="1"/>
  <c r="BN201" i="1"/>
  <c r="Y204" i="1"/>
  <c r="Z207" i="1"/>
  <c r="BN207" i="1"/>
  <c r="BP207" i="1"/>
  <c r="Z209" i="1"/>
  <c r="BN209" i="1"/>
  <c r="Z211" i="1"/>
  <c r="BN211" i="1"/>
  <c r="Z213" i="1"/>
  <c r="BN213" i="1"/>
  <c r="Z219" i="1"/>
  <c r="Z220" i="1" s="1"/>
  <c r="BN219" i="1"/>
  <c r="BP219" i="1"/>
  <c r="Z224" i="1"/>
  <c r="BN224" i="1"/>
  <c r="Z226" i="1"/>
  <c r="BN226" i="1"/>
  <c r="Z228" i="1"/>
  <c r="BN228" i="1"/>
  <c r="Z230" i="1"/>
  <c r="BN230" i="1"/>
  <c r="Z232" i="1"/>
  <c r="BN232" i="1"/>
  <c r="Y251" i="1"/>
  <c r="BP248" i="1"/>
  <c r="BN248" i="1"/>
  <c r="Z248" i="1"/>
  <c r="BP257" i="1"/>
  <c r="BN257" i="1"/>
  <c r="Z257" i="1"/>
  <c r="BP266" i="1"/>
  <c r="BN266" i="1"/>
  <c r="Z266" i="1"/>
  <c r="O498" i="1"/>
  <c r="Y274" i="1"/>
  <c r="BP271" i="1"/>
  <c r="BN271" i="1"/>
  <c r="Z271" i="1"/>
  <c r="BP290" i="1"/>
  <c r="BN290" i="1"/>
  <c r="Z290" i="1"/>
  <c r="Z294" i="1" s="1"/>
  <c r="Y294" i="1"/>
  <c r="Y304" i="1"/>
  <c r="BP298" i="1"/>
  <c r="BN298" i="1"/>
  <c r="Z298" i="1"/>
  <c r="F9" i="1"/>
  <c r="J9" i="1"/>
  <c r="Y89" i="1"/>
  <c r="Y142" i="1"/>
  <c r="Y159" i="1"/>
  <c r="Y187" i="1"/>
  <c r="K498" i="1"/>
  <c r="Y235" i="1"/>
  <c r="Y234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Y275" i="1"/>
  <c r="P498" i="1"/>
  <c r="Y281" i="1"/>
  <c r="BP278" i="1"/>
  <c r="BN278" i="1"/>
  <c r="Z278" i="1"/>
  <c r="BP292" i="1"/>
  <c r="BN292" i="1"/>
  <c r="Z292" i="1"/>
  <c r="L498" i="1"/>
  <c r="Y260" i="1"/>
  <c r="M498" i="1"/>
  <c r="Y267" i="1"/>
  <c r="Q498" i="1"/>
  <c r="Y295" i="1"/>
  <c r="Z300" i="1"/>
  <c r="BN300" i="1"/>
  <c r="Z302" i="1"/>
  <c r="BN302" i="1"/>
  <c r="Z308" i="1"/>
  <c r="BN308" i="1"/>
  <c r="BP308" i="1"/>
  <c r="Z310" i="1"/>
  <c r="BN310" i="1"/>
  <c r="Z314" i="1"/>
  <c r="BN314" i="1"/>
  <c r="BP314" i="1"/>
  <c r="Z316" i="1"/>
  <c r="BN316" i="1"/>
  <c r="Y317" i="1"/>
  <c r="Z320" i="1"/>
  <c r="BN320" i="1"/>
  <c r="BP320" i="1"/>
  <c r="Z322" i="1"/>
  <c r="BN322" i="1"/>
  <c r="Y325" i="1"/>
  <c r="Z328" i="1"/>
  <c r="BN328" i="1"/>
  <c r="BP328" i="1"/>
  <c r="R498" i="1"/>
  <c r="Z335" i="1"/>
  <c r="BN335" i="1"/>
  <c r="BP335" i="1"/>
  <c r="Y338" i="1"/>
  <c r="S498" i="1"/>
  <c r="Z343" i="1"/>
  <c r="BN343" i="1"/>
  <c r="Z345" i="1"/>
  <c r="BN345" i="1"/>
  <c r="Z347" i="1"/>
  <c r="BN347" i="1"/>
  <c r="Y350" i="1"/>
  <c r="Z353" i="1"/>
  <c r="BN353" i="1"/>
  <c r="BP353" i="1"/>
  <c r="Z357" i="1"/>
  <c r="Z359" i="1" s="1"/>
  <c r="BN357" i="1"/>
  <c r="BP357" i="1"/>
  <c r="Y360" i="1"/>
  <c r="T498" i="1"/>
  <c r="Z368" i="1"/>
  <c r="BN368" i="1"/>
  <c r="BP368" i="1"/>
  <c r="Y369" i="1"/>
  <c r="Z372" i="1"/>
  <c r="BN372" i="1"/>
  <c r="BP372" i="1"/>
  <c r="Y375" i="1"/>
  <c r="Z378" i="1"/>
  <c r="BN378" i="1"/>
  <c r="BP378" i="1"/>
  <c r="Z384" i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Y399" i="1"/>
  <c r="Y404" i="1"/>
  <c r="Z407" i="1"/>
  <c r="BN407" i="1"/>
  <c r="Z409" i="1"/>
  <c r="BN409" i="1"/>
  <c r="Y410" i="1"/>
  <c r="Z414" i="1"/>
  <c r="Z415" i="1" s="1"/>
  <c r="BN414" i="1"/>
  <c r="BP414" i="1"/>
  <c r="X498" i="1"/>
  <c r="BP423" i="1"/>
  <c r="BN423" i="1"/>
  <c r="Z423" i="1"/>
  <c r="BP427" i="1"/>
  <c r="BN427" i="1"/>
  <c r="Z427" i="1"/>
  <c r="Y349" i="1"/>
  <c r="Y394" i="1"/>
  <c r="W498" i="1"/>
  <c r="Y416" i="1"/>
  <c r="BP421" i="1"/>
  <c r="BN421" i="1"/>
  <c r="Z421" i="1"/>
  <c r="BP425" i="1"/>
  <c r="BN425" i="1"/>
  <c r="Z425" i="1"/>
  <c r="Z429" i="1"/>
  <c r="BN429" i="1"/>
  <c r="Y432" i="1"/>
  <c r="Z435" i="1"/>
  <c r="Z437" i="1" s="1"/>
  <c r="BN435" i="1"/>
  <c r="BP435" i="1"/>
  <c r="Z441" i="1"/>
  <c r="BN441" i="1"/>
  <c r="Z443" i="1"/>
  <c r="BN443" i="1"/>
  <c r="Z445" i="1"/>
  <c r="BN445" i="1"/>
  <c r="Y446" i="1"/>
  <c r="Z449" i="1"/>
  <c r="BN449" i="1"/>
  <c r="BP449" i="1"/>
  <c r="Z451" i="1"/>
  <c r="BN451" i="1"/>
  <c r="Y452" i="1"/>
  <c r="Z457" i="1"/>
  <c r="BN457" i="1"/>
  <c r="BP457" i="1"/>
  <c r="Z459" i="1"/>
  <c r="BN459" i="1"/>
  <c r="Y462" i="1"/>
  <c r="Z465" i="1"/>
  <c r="BN465" i="1"/>
  <c r="BP465" i="1"/>
  <c r="Z471" i="1"/>
  <c r="Z472" i="1" s="1"/>
  <c r="BN471" i="1"/>
  <c r="Y472" i="1"/>
  <c r="Z475" i="1"/>
  <c r="Z476" i="1" s="1"/>
  <c r="BN475" i="1"/>
  <c r="BP475" i="1"/>
  <c r="Y476" i="1"/>
  <c r="Z479" i="1"/>
  <c r="BN479" i="1"/>
  <c r="BP479" i="1"/>
  <c r="Y482" i="1"/>
  <c r="Y487" i="1"/>
  <c r="Y498" i="1"/>
  <c r="Y431" i="1"/>
  <c r="Z480" i="1"/>
  <c r="BN480" i="1"/>
  <c r="Z485" i="1"/>
  <c r="Z486" i="1" s="1"/>
  <c r="BN485" i="1"/>
  <c r="BP485" i="1"/>
  <c r="Y486" i="1"/>
  <c r="Z374" i="1" l="1"/>
  <c r="Z337" i="1"/>
  <c r="Z330" i="1"/>
  <c r="Z267" i="1"/>
  <c r="Z259" i="1"/>
  <c r="Z215" i="1"/>
  <c r="Z148" i="1"/>
  <c r="Z103" i="1"/>
  <c r="Z57" i="1"/>
  <c r="Z467" i="1"/>
  <c r="Z349" i="1"/>
  <c r="Z446" i="1"/>
  <c r="Z431" i="1"/>
  <c r="Z410" i="1"/>
  <c r="Z379" i="1"/>
  <c r="Z369" i="1"/>
  <c r="Z354" i="1"/>
  <c r="Z324" i="1"/>
  <c r="Z317" i="1"/>
  <c r="Z311" i="1"/>
  <c r="Z280" i="1"/>
  <c r="Z250" i="1"/>
  <c r="Y490" i="1"/>
  <c r="Y492" i="1"/>
  <c r="Z304" i="1"/>
  <c r="Y489" i="1"/>
  <c r="Z187" i="1"/>
  <c r="Z177" i="1"/>
  <c r="Z171" i="1"/>
  <c r="Z126" i="1"/>
  <c r="Z95" i="1"/>
  <c r="Z88" i="1"/>
  <c r="Z31" i="1"/>
  <c r="Z481" i="1"/>
  <c r="Z461" i="1"/>
  <c r="Z452" i="1"/>
  <c r="Z393" i="1"/>
  <c r="Z274" i="1"/>
  <c r="Z234" i="1"/>
  <c r="Z203" i="1"/>
  <c r="Z116" i="1"/>
  <c r="Z109" i="1"/>
  <c r="Z76" i="1"/>
  <c r="Z69" i="1"/>
  <c r="Z63" i="1"/>
  <c r="Y488" i="1"/>
  <c r="X491" i="1"/>
  <c r="Y491" i="1" l="1"/>
  <c r="Z493" i="1"/>
</calcChain>
</file>

<file path=xl/sharedStrings.xml><?xml version="1.0" encoding="utf-8"?>
<sst xmlns="http://schemas.openxmlformats.org/spreadsheetml/2006/main" count="2269" uniqueCount="761">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</sst>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8</v>
      </c>
      <c r="B5" s="625"/>
      <c r="C5" s="626"/>
      <c r="D5" s="596"/>
      <c r="E5" s="597"/>
      <c r="F5" s="822" t="s">
        <v>9</v>
      </c>
      <c r="G5" s="626"/>
      <c r="H5" s="596" t="s">
        <v>760</v>
      </c>
      <c r="I5" s="764"/>
      <c r="J5" s="764"/>
      <c r="K5" s="764"/>
      <c r="L5" s="764"/>
      <c r="M5" s="597"/>
      <c r="N5" s="58"/>
      <c r="P5" s="24" t="s">
        <v>10</v>
      </c>
      <c r="Q5" s="831">
        <v>45990</v>
      </c>
      <c r="R5" s="656"/>
      <c r="T5" s="703" t="s">
        <v>11</v>
      </c>
      <c r="U5" s="704"/>
      <c r="V5" s="705" t="s">
        <v>12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13</v>
      </c>
      <c r="B6" s="625"/>
      <c r="C6" s="626"/>
      <c r="D6" s="767" t="s">
        <v>14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15</v>
      </c>
      <c r="Q6" s="839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7" t="s">
        <v>16</v>
      </c>
      <c r="U6" s="704"/>
      <c r="V6" s="749" t="s">
        <v>17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18</v>
      </c>
      <c r="B8" s="546"/>
      <c r="C8" s="547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27">
        <v>0.375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21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22</v>
      </c>
      <c r="Q10" s="708"/>
      <c r="R10" s="709"/>
      <c r="U10" s="24" t="s">
        <v>23</v>
      </c>
      <c r="V10" s="578" t="s">
        <v>24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5"/>
      <c r="R11" s="656"/>
      <c r="U11" s="24" t="s">
        <v>27</v>
      </c>
      <c r="V11" s="785" t="s">
        <v>28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30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32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35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36</v>
      </c>
      <c r="B17" s="576" t="s">
        <v>37</v>
      </c>
      <c r="C17" s="630" t="s">
        <v>38</v>
      </c>
      <c r="D17" s="576" t="s">
        <v>39</v>
      </c>
      <c r="E17" s="636"/>
      <c r="F17" s="576" t="s">
        <v>40</v>
      </c>
      <c r="G17" s="576" t="s">
        <v>41</v>
      </c>
      <c r="H17" s="576" t="s">
        <v>42</v>
      </c>
      <c r="I17" s="576" t="s">
        <v>43</v>
      </c>
      <c r="J17" s="576" t="s">
        <v>44</v>
      </c>
      <c r="K17" s="576" t="s">
        <v>45</v>
      </c>
      <c r="L17" s="576" t="s">
        <v>46</v>
      </c>
      <c r="M17" s="576" t="s">
        <v>47</v>
      </c>
      <c r="N17" s="576" t="s">
        <v>48</v>
      </c>
      <c r="O17" s="576" t="s">
        <v>49</v>
      </c>
      <c r="P17" s="576" t="s">
        <v>50</v>
      </c>
      <c r="Q17" s="635"/>
      <c r="R17" s="635"/>
      <c r="S17" s="635"/>
      <c r="T17" s="636"/>
      <c r="U17" s="855" t="s">
        <v>51</v>
      </c>
      <c r="V17" s="626"/>
      <c r="W17" s="576" t="s">
        <v>52</v>
      </c>
      <c r="X17" s="576" t="s">
        <v>53</v>
      </c>
      <c r="Y17" s="856" t="s">
        <v>54</v>
      </c>
      <c r="Z17" s="761" t="s">
        <v>55</v>
      </c>
      <c r="AA17" s="735" t="s">
        <v>56</v>
      </c>
      <c r="AB17" s="735" t="s">
        <v>57</v>
      </c>
      <c r="AC17" s="735" t="s">
        <v>58</v>
      </c>
      <c r="AD17" s="735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63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97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39">
        <v>200</v>
      </c>
      <c r="Y40" s="540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39">
        <v>200</v>
      </c>
      <c r="Y41" s="540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68.518518518518519</v>
      </c>
      <c r="Y43" s="541">
        <f>IFERROR(Y40/H40,"0")+IFERROR(Y41/H41,"0")+IFERROR(Y42/H42,"0")</f>
        <v>69</v>
      </c>
      <c r="Z43" s="541">
        <f>IFERROR(IF(Z40="",0,Z40),"0")+IFERROR(IF(Z41="",0,Z41),"0")+IFERROR(IF(Z42="",0,Z42),"0")</f>
        <v>0.81162000000000001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400</v>
      </c>
      <c r="Y44" s="541">
        <f>IFERROR(SUM(Y40:Y42),"0")</f>
        <v>405.20000000000005</v>
      </c>
      <c r="Z44" s="37"/>
      <c r="AA44" s="542"/>
      <c r="AB44" s="542"/>
      <c r="AC44" s="542"/>
    </row>
    <row r="45" spans="1:68" ht="14.25" hidden="1" customHeight="1" x14ac:dyDescent="0.25">
      <c r="A45" s="556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39">
        <v>360</v>
      </c>
      <c r="Y56" s="540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98.518518518518519</v>
      </c>
      <c r="Y57" s="541">
        <f>IFERROR(Y51/H51,"0")+IFERROR(Y52/H52,"0")+IFERROR(Y53/H53,"0")+IFERROR(Y54/H54,"0")+IFERROR(Y55/H55,"0")+IFERROR(Y56/H56,"0")</f>
        <v>99</v>
      </c>
      <c r="Z57" s="541">
        <f>IFERROR(IF(Z51="",0,Z51),"0")+IFERROR(IF(Z52="",0,Z52),"0")+IFERROR(IF(Z53="",0,Z53),"0")+IFERROR(IF(Z54="",0,Z54),"0")+IFERROR(IF(Z55="",0,Z55),"0")+IFERROR(IF(Z56="",0,Z56),"0")</f>
        <v>1.08222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560</v>
      </c>
      <c r="Y58" s="541">
        <f>IFERROR(SUM(Y51:Y56),"0")</f>
        <v>565.20000000000005</v>
      </c>
      <c r="Z58" s="37"/>
      <c r="AA58" s="542"/>
      <c r="AB58" s="542"/>
      <c r="AC58" s="542"/>
    </row>
    <row r="59" spans="1:68" ht="14.25" hidden="1" customHeight="1" x14ac:dyDescent="0.25">
      <c r="A59" s="556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39">
        <v>200</v>
      </c>
      <c r="Y60" s="54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39">
        <v>135</v>
      </c>
      <c r="Y62" s="540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68.518518518518519</v>
      </c>
      <c r="Y63" s="541">
        <f>IFERROR(Y60/H60,"0")+IFERROR(Y61/H61,"0")+IFERROR(Y62/H62,"0")</f>
        <v>69</v>
      </c>
      <c r="Z63" s="541">
        <f>IFERROR(IF(Z60="",0,Z60),"0")+IFERROR(IF(Z61="",0,Z61),"0")+IFERROR(IF(Z62="",0,Z62),"0")</f>
        <v>0.68612000000000006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335</v>
      </c>
      <c r="Y64" s="541">
        <f>IFERROR(SUM(Y60:Y62),"0")</f>
        <v>340.20000000000005</v>
      </c>
      <c r="Z64" s="37"/>
      <c r="AA64" s="542"/>
      <c r="AB64" s="542"/>
      <c r="AC64" s="542"/>
    </row>
    <row r="65" spans="1:68" ht="14.25" hidden="1" customHeight="1" x14ac:dyDescent="0.25">
      <c r="A65" s="556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39">
        <v>30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3.8461538461538463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30</v>
      </c>
      <c r="Y82" s="541">
        <f>IFERROR(SUM(Y79:Y80),"0")</f>
        <v>31.2</v>
      </c>
      <c r="Z82" s="37"/>
      <c r="AA82" s="542"/>
      <c r="AB82" s="542"/>
      <c r="AC82" s="542"/>
    </row>
    <row r="83" spans="1:68" ht="16.5" hidden="1" customHeight="1" x14ac:dyDescent="0.25">
      <c r="A83" s="553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39">
        <v>150</v>
      </c>
      <c r="Y85" s="540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39">
        <v>360</v>
      </c>
      <c r="Y87" s="54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93.888888888888886</v>
      </c>
      <c r="Y88" s="541">
        <f>IFERROR(Y85/H85,"0")+IFERROR(Y86/H86,"0")+IFERROR(Y87/H87,"0")</f>
        <v>94</v>
      </c>
      <c r="Z88" s="541">
        <f>IFERROR(IF(Z85="",0,Z85),"0")+IFERROR(IF(Z86="",0,Z86),"0")+IFERROR(IF(Z87="",0,Z87),"0")</f>
        <v>0.98731999999999998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510</v>
      </c>
      <c r="Y89" s="541">
        <f>IFERROR(SUM(Y85:Y87),"0")</f>
        <v>511.20000000000005</v>
      </c>
      <c r="Z89" s="37"/>
      <c r="AA89" s="542"/>
      <c r="AB89" s="542"/>
      <c r="AC89" s="542"/>
    </row>
    <row r="90" spans="1:68" ht="14.25" hidden="1" customHeight="1" x14ac:dyDescent="0.25">
      <c r="A90" s="556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39">
        <v>300</v>
      </c>
      <c r="Y91" s="540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153.7037037037037</v>
      </c>
      <c r="Y95" s="541">
        <f>IFERROR(Y91/H91,"0")+IFERROR(Y92/H92,"0")+IFERROR(Y93/H93,"0")+IFERROR(Y94/H94,"0")</f>
        <v>155</v>
      </c>
      <c r="Z95" s="541">
        <f>IFERROR(IF(Z91="",0,Z91),"0")+IFERROR(IF(Z92="",0,Z92),"0")+IFERROR(IF(Z93="",0,Z93),"0")+IFERROR(IF(Z94="",0,Z94),"0")</f>
        <v>1.48291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615</v>
      </c>
      <c r="Y96" s="541">
        <f>IFERROR(SUM(Y91:Y94),"0")</f>
        <v>623.70000000000005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39">
        <v>450</v>
      </c>
      <c r="Y101" s="540">
        <f>IFERROR(IF(X101="",0,CEILING((X101/$H101),1)*$H101),"")</f>
        <v>450</v>
      </c>
      <c r="Z101" s="36">
        <f>IFERROR(IF(Y101=0,"",ROUNDUP(Y101/H101,0)*0.00902),"")</f>
        <v>0.90200000000000002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469</v>
      </c>
      <c r="BN101" s="64">
        <f>IFERROR(Y101*I101/H101,"0")</f>
        <v>469</v>
      </c>
      <c r="BO101" s="64">
        <f>IFERROR(1/J101*(X101/H101),"0")</f>
        <v>0.75757575757575757</v>
      </c>
      <c r="BP101" s="64">
        <f>IFERROR(1/J101*(Y101/H101),"0")</f>
        <v>0.75757575757575757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104.62962962962963</v>
      </c>
      <c r="Y103" s="541">
        <f>IFERROR(Y99/H99,"0")+IFERROR(Y100/H100,"0")+IFERROR(Y101/H101,"0")+IFERROR(Y102/H102,"0")</f>
        <v>105</v>
      </c>
      <c r="Z103" s="541">
        <f>IFERROR(IF(Z99="",0,Z99),"0")+IFERROR(IF(Z100="",0,Z100),"0")+IFERROR(IF(Z101="",0,Z101),"0")+IFERROR(IF(Z102="",0,Z102),"0")</f>
        <v>0.99690000000000001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500</v>
      </c>
      <c r="Y104" s="541">
        <f>IFERROR(SUM(Y99:Y102),"0")</f>
        <v>504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39">
        <v>400</v>
      </c>
      <c r="Y112" s="540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39">
        <v>360</v>
      </c>
      <c r="Y114" s="540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39">
        <v>24</v>
      </c>
      <c r="Y115" s="540">
        <f>IFERROR(IF(X115="",0,CEILING((X115/$H115),1)*$H115),"")</f>
        <v>25.2</v>
      </c>
      <c r="Z115" s="36">
        <f>IFERROR(IF(Y115=0,"",ROUNDUP(Y115/H115,0)*0.00651),"")</f>
        <v>9.1139999999999999E-2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26.4</v>
      </c>
      <c r="BN115" s="64">
        <f>IFERROR(Y115*I115/H115,"0")</f>
        <v>27.72</v>
      </c>
      <c r="BO115" s="64">
        <f>IFERROR(1/J115*(X115/H115),"0")</f>
        <v>7.3260073260073263E-2</v>
      </c>
      <c r="BP115" s="64">
        <f>IFERROR(1/J115*(Y115/H115),"0")</f>
        <v>7.6923076923076927E-2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196.04938271604937</v>
      </c>
      <c r="Y116" s="541">
        <f>IFERROR(Y112/H112,"0")+IFERROR(Y113/H113,"0")+IFERROR(Y114/H114,"0")+IFERROR(Y115/H115,"0")</f>
        <v>198</v>
      </c>
      <c r="Z116" s="541">
        <f>IFERROR(IF(Z112="",0,Z112),"0")+IFERROR(IF(Z113="",0,Z113),"0")+IFERROR(IF(Z114="",0,Z114),"0")+IFERROR(IF(Z115="",0,Z115),"0")</f>
        <v>1.9124800000000002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784</v>
      </c>
      <c r="Y117" s="541">
        <f>IFERROR(SUM(Y112:Y115),"0")</f>
        <v>792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39">
        <v>33</v>
      </c>
      <c r="Y119" s="540">
        <f>IFERROR(IF(X119="",0,CEILING((X119/$H119),1)*$H119),"")</f>
        <v>33.659999999999997</v>
      </c>
      <c r="Z119" s="36">
        <f>IFERROR(IF(Y119=0,"",ROUNDUP(Y119/H119,0)*0.00651),"")</f>
        <v>0.11067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37.299999999999997</v>
      </c>
      <c r="BN119" s="64">
        <f>IFERROR(Y119*I119/H119,"0")</f>
        <v>38.045999999999992</v>
      </c>
      <c r="BO119" s="64">
        <f>IFERROR(1/J119*(X119/H119),"0")</f>
        <v>9.1575091575091583E-2</v>
      </c>
      <c r="BP119" s="64">
        <f>IFERROR(1/J119*(Y119/H119),"0")</f>
        <v>9.3406593406593408E-2</v>
      </c>
    </row>
    <row r="120" spans="1:68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16.666666666666668</v>
      </c>
      <c r="Y120" s="541">
        <f>IFERROR(Y119/H119,"0")</f>
        <v>17</v>
      </c>
      <c r="Z120" s="541">
        <f>IFERROR(IF(Z119="",0,Z119),"0")</f>
        <v>0.11067</v>
      </c>
      <c r="AA120" s="542"/>
      <c r="AB120" s="542"/>
      <c r="AC120" s="542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33</v>
      </c>
      <c r="Y121" s="541">
        <f>IFERROR(SUM(Y119:Y119),"0")</f>
        <v>33.659999999999997</v>
      </c>
      <c r="Z121" s="37"/>
      <c r="AA121" s="542"/>
      <c r="AB121" s="542"/>
      <c r="AC121" s="542"/>
    </row>
    <row r="122" spans="1:68" ht="16.5" hidden="1" customHeight="1" x14ac:dyDescent="0.25">
      <c r="A122" s="553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39">
        <v>48</v>
      </c>
      <c r="Y124" s="540">
        <f>IFERROR(IF(X124="",0,CEILING((X124/$H124),1)*$H124),"")</f>
        <v>48</v>
      </c>
      <c r="Z124" s="36">
        <f>IFERROR(IF(Y124=0,"",ROUNDUP(Y124/H124,0)*0.00651),"")</f>
        <v>9.7650000000000001E-2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50.7</v>
      </c>
      <c r="BN124" s="64">
        <f>IFERROR(Y124*I124/H124,"0")</f>
        <v>50.7</v>
      </c>
      <c r="BO124" s="64">
        <f>IFERROR(1/J124*(X124/H124),"0")</f>
        <v>8.241758241758243E-2</v>
      </c>
      <c r="BP124" s="64">
        <f>IFERROR(1/J124*(Y124/H124),"0")</f>
        <v>8.241758241758243E-2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15</v>
      </c>
      <c r="Y126" s="541">
        <f>IFERROR(Y124/H124,"0")+IFERROR(Y125/H125,"0")</f>
        <v>15</v>
      </c>
      <c r="Z126" s="541">
        <f>IFERROR(IF(Z124="",0,Z124),"0")+IFERROR(IF(Z125="",0,Z125),"0")</f>
        <v>9.7650000000000001E-2</v>
      </c>
      <c r="AA126" s="542"/>
      <c r="AB126" s="542"/>
      <c r="AC126" s="542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48</v>
      </c>
      <c r="Y127" s="541">
        <f>IFERROR(SUM(Y124:Y125),"0")</f>
        <v>48</v>
      </c>
      <c r="Z127" s="37"/>
      <c r="AA127" s="542"/>
      <c r="AB127" s="542"/>
      <c r="AC127" s="542"/>
    </row>
    <row r="128" spans="1:68" ht="14.25" hidden="1" customHeight="1" x14ac:dyDescent="0.25">
      <c r="A128" s="556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39">
        <v>38.5</v>
      </c>
      <c r="Y130" s="540">
        <f>IFERROR(IF(X130="",0,CEILING((X130/$H130),1)*$H130),"")</f>
        <v>39.199999999999996</v>
      </c>
      <c r="Z130" s="36">
        <f>IFERROR(IF(Y130=0,"",ROUNDUP(Y130/H130,0)*0.00651),"")</f>
        <v>9.1139999999999999E-2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42.185000000000009</v>
      </c>
      <c r="BN130" s="64">
        <f>IFERROR(Y130*I130/H130,"0")</f>
        <v>42.951999999999998</v>
      </c>
      <c r="BO130" s="64">
        <f>IFERROR(1/J130*(X130/H130),"0")</f>
        <v>7.5549450549450559E-2</v>
      </c>
      <c r="BP130" s="64">
        <f>IFERROR(1/J130*(Y130/H130),"0")</f>
        <v>7.6923076923076927E-2</v>
      </c>
    </row>
    <row r="131" spans="1:68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13.75</v>
      </c>
      <c r="Y131" s="541">
        <f>IFERROR(Y129/H129,"0")+IFERROR(Y130/H130,"0")</f>
        <v>14</v>
      </c>
      <c r="Z131" s="541">
        <f>IFERROR(IF(Z129="",0,Z129),"0")+IFERROR(IF(Z130="",0,Z130),"0")</f>
        <v>9.1139999999999999E-2</v>
      </c>
      <c r="AA131" s="542"/>
      <c r="AB131" s="542"/>
      <c r="AC131" s="542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38.5</v>
      </c>
      <c r="Y132" s="541">
        <f>IFERROR(SUM(Y129:Y130),"0")</f>
        <v>39.199999999999996</v>
      </c>
      <c r="Z132" s="37"/>
      <c r="AA132" s="542"/>
      <c r="AB132" s="542"/>
      <c r="AC132" s="542"/>
    </row>
    <row r="133" spans="1:68" ht="14.25" hidden="1" customHeight="1" x14ac:dyDescent="0.25">
      <c r="A133" s="556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39">
        <v>39.6</v>
      </c>
      <c r="Y135" s="540">
        <f>IFERROR(IF(X135="",0,CEILING((X135/$H135),1)*$H135),"")</f>
        <v>39.6</v>
      </c>
      <c r="Z135" s="36">
        <f>IFERROR(IF(Y135=0,"",ROUNDUP(Y135/H135,0)*0.00651),"")</f>
        <v>9.7650000000000001E-2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43.62</v>
      </c>
      <c r="BN135" s="64">
        <f>IFERROR(Y135*I135/H135,"0")</f>
        <v>43.62</v>
      </c>
      <c r="BO135" s="64">
        <f>IFERROR(1/J135*(X135/H135),"0")</f>
        <v>8.241758241758243E-2</v>
      </c>
      <c r="BP135" s="64">
        <f>IFERROR(1/J135*(Y135/H135),"0")</f>
        <v>8.241758241758243E-2</v>
      </c>
    </row>
    <row r="136" spans="1:68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15</v>
      </c>
      <c r="Y136" s="541">
        <f>IFERROR(Y134/H134,"0")+IFERROR(Y135/H135,"0")</f>
        <v>15</v>
      </c>
      <c r="Z136" s="541">
        <f>IFERROR(IF(Z134="",0,Z134),"0")+IFERROR(IF(Z135="",0,Z135),"0")</f>
        <v>9.7650000000000001E-2</v>
      </c>
      <c r="AA136" s="542"/>
      <c r="AB136" s="542"/>
      <c r="AC136" s="542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39.6</v>
      </c>
      <c r="Y137" s="541">
        <f>IFERROR(SUM(Y134:Y135),"0")</f>
        <v>39.6</v>
      </c>
      <c r="Z137" s="37"/>
      <c r="AA137" s="542"/>
      <c r="AB137" s="542"/>
      <c r="AC137" s="542"/>
    </row>
    <row r="138" spans="1:68" ht="16.5" hidden="1" customHeight="1" x14ac:dyDescent="0.25">
      <c r="A138" s="553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2" t="s">
        <v>249</v>
      </c>
      <c r="Q151" s="549"/>
      <c r="R151" s="549"/>
      <c r="S151" s="549"/>
      <c r="T151" s="550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251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252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39">
        <v>50</v>
      </c>
      <c r="Y161" s="540">
        <f t="shared" ref="Y161:Y170" si="5">IFERROR(IF(X161="",0,CEILING((X161/$H161),1)*$H161),"")</f>
        <v>50.400000000000006</v>
      </c>
      <c r="Z161" s="36">
        <f>IFERROR(IF(Y161=0,"",ROUNDUP(Y161/H161,0)*0.00902),"")</f>
        <v>0.10824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52.976190476190474</v>
      </c>
      <c r="BN161" s="64">
        <f t="shared" ref="BN161:BN170" si="7">IFERROR(Y161*I161/H161,"0")</f>
        <v>53.400000000000006</v>
      </c>
      <c r="BO161" s="64">
        <f t="shared" ref="BO161:BO170" si="8">IFERROR(1/J161*(X161/H161),"0")</f>
        <v>9.0187590187590191E-2</v>
      </c>
      <c r="BP161" s="64">
        <f t="shared" ref="BP161:BP170" si="9">IFERROR(1/J161*(Y161/H161),"0")</f>
        <v>9.0909090909090912E-2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39">
        <v>30</v>
      </c>
      <c r="Y162" s="540">
        <f t="shared" si="5"/>
        <v>33.6</v>
      </c>
      <c r="Z162" s="36">
        <f>IFERROR(IF(Y162=0,"",ROUNDUP(Y162/H162,0)*0.00902),"")</f>
        <v>7.2160000000000002E-2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31.785714285714285</v>
      </c>
      <c r="BN162" s="64">
        <f t="shared" si="7"/>
        <v>35.6</v>
      </c>
      <c r="BO162" s="64">
        <f t="shared" si="8"/>
        <v>5.4112554112554112E-2</v>
      </c>
      <c r="BP162" s="64">
        <f t="shared" si="9"/>
        <v>6.0606060606060608E-2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39">
        <v>100</v>
      </c>
      <c r="Y163" s="540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39">
        <v>77</v>
      </c>
      <c r="Y164" s="540">
        <f t="shared" si="5"/>
        <v>77.7</v>
      </c>
      <c r="Z164" s="36">
        <f>IFERROR(IF(Y164=0,"",ROUNDUP(Y164/H164,0)*0.00502),"")</f>
        <v>0.18574000000000002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81.766666666666666</v>
      </c>
      <c r="BN164" s="64">
        <f t="shared" si="7"/>
        <v>82.51</v>
      </c>
      <c r="BO164" s="64">
        <f t="shared" si="8"/>
        <v>0.15669515669515671</v>
      </c>
      <c r="BP164" s="64">
        <f t="shared" si="9"/>
        <v>0.15811965811965814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3" t="s">
        <v>270</v>
      </c>
      <c r="Q165" s="549"/>
      <c r="R165" s="549"/>
      <c r="S165" s="549"/>
      <c r="T165" s="550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39">
        <v>87.5</v>
      </c>
      <c r="Y166" s="540">
        <f t="shared" si="5"/>
        <v>88.2</v>
      </c>
      <c r="Z166" s="36">
        <f>IFERROR(IF(Y166=0,"",ROUNDUP(Y166/H166,0)*0.00502),"")</f>
        <v>0.21084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92.916666666666657</v>
      </c>
      <c r="BN166" s="64">
        <f t="shared" si="7"/>
        <v>93.66</v>
      </c>
      <c r="BO166" s="64">
        <f t="shared" si="8"/>
        <v>0.17806267806267806</v>
      </c>
      <c r="BP166" s="64">
        <f t="shared" si="9"/>
        <v>0.17948717948717952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39">
        <v>175</v>
      </c>
      <c r="Y168" s="540">
        <f t="shared" si="5"/>
        <v>176.4</v>
      </c>
      <c r="Z168" s="36">
        <f>IFERROR(IF(Y168=0,"",ROUNDUP(Y168/H168,0)*0.00502),"")</f>
        <v>0.42168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183.33333333333334</v>
      </c>
      <c r="BN168" s="64">
        <f t="shared" si="7"/>
        <v>184.8</v>
      </c>
      <c r="BO168" s="64">
        <f t="shared" si="8"/>
        <v>0.35612535612535612</v>
      </c>
      <c r="BP168" s="64">
        <f t="shared" si="9"/>
        <v>0.35897435897435903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204.52380952380952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207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1.2151400000000001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IFERROR(SUM(X161:X170),"0")</f>
        <v>519.5</v>
      </c>
      <c r="Y172" s="541">
        <f>IFERROR(SUM(Y161:Y170),"0")</f>
        <v>527.1</v>
      </c>
      <c r="Z172" s="37"/>
      <c r="AA172" s="542"/>
      <c r="AB172" s="542"/>
      <c r="AC172" s="542"/>
    </row>
    <row r="173" spans="1:68" ht="14.25" hidden="1" customHeight="1" x14ac:dyDescent="0.25">
      <c r="A173" s="556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39">
        <v>14</v>
      </c>
      <c r="Y174" s="540">
        <f>IFERROR(IF(X174="",0,CEILING((X174/$H174),1)*$H174),"")</f>
        <v>15.120000000000001</v>
      </c>
      <c r="Z174" s="36">
        <f>IFERROR(IF(Y174=0,"",ROUNDUP(Y174/H174,0)*0.0059),"")</f>
        <v>7.0800000000000002E-2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16.111111111111111</v>
      </c>
      <c r="BN174" s="64">
        <f>IFERROR(Y174*I174/H174,"0")</f>
        <v>17.399999999999999</v>
      </c>
      <c r="BO174" s="64">
        <f>IFERROR(1/J174*(X174/H174),"0")</f>
        <v>5.1440329218106991E-2</v>
      </c>
      <c r="BP174" s="64">
        <f>IFERROR(1/J174*(Y174/H174),"0")</f>
        <v>5.5555555555555552E-2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39">
        <v>10.5</v>
      </c>
      <c r="Y175" s="540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39">
        <v>8.4</v>
      </c>
      <c r="Y176" s="540">
        <f>IFERROR(IF(X176="",0,CEILING((X176/$H176),1)*$H176),"")</f>
        <v>8.82</v>
      </c>
      <c r="Z176" s="36">
        <f>IFERROR(IF(Y176=0,"",ROUNDUP(Y176/H176,0)*0.0059),"")</f>
        <v>4.1299999999999996E-2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9.6666666666666661</v>
      </c>
      <c r="BN176" s="64">
        <f>IFERROR(Y176*I176/H176,"0")</f>
        <v>10.15</v>
      </c>
      <c r="BO176" s="64">
        <f>IFERROR(1/J176*(X176/H176),"0")</f>
        <v>3.0864197530864196E-2</v>
      </c>
      <c r="BP176" s="64">
        <f>IFERROR(1/J176*(Y176/H176),"0")</f>
        <v>3.2407407407407406E-2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26.111111111111111</v>
      </c>
      <c r="Y177" s="541">
        <f>IFERROR(Y174/H174,"0")+IFERROR(Y175/H175,"0")+IFERROR(Y176/H176,"0")</f>
        <v>28</v>
      </c>
      <c r="Z177" s="541">
        <f>IFERROR(IF(Z174="",0,Z174),"0")+IFERROR(IF(Z175="",0,Z175),"0")+IFERROR(IF(Z176="",0,Z176),"0")</f>
        <v>0.16520000000000001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32.9</v>
      </c>
      <c r="Y178" s="541">
        <f>IFERROR(SUM(Y174:Y176),"0")</f>
        <v>35.28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39">
        <v>3.5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2.7777777777777777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3.5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hidden="1" customHeight="1" x14ac:dyDescent="0.25">
      <c r="A183" s="553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39">
        <v>160</v>
      </c>
      <c r="Y195" s="540">
        <f t="shared" ref="Y195:Y202" si="10">IFERROR(IF(X195="",0,CEILING((X195/$H195),1)*$H195),"")</f>
        <v>162</v>
      </c>
      <c r="Z195" s="36">
        <f>IFERROR(IF(Y195=0,"",ROUNDUP(Y195/H195,0)*0.00902),"")</f>
        <v>0.27060000000000001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165.62962962962962</v>
      </c>
      <c r="BN195" s="64">
        <f t="shared" ref="BN195:BN202" si="12">IFERROR(Y195*I195/H195,"0")</f>
        <v>167.7</v>
      </c>
      <c r="BO195" s="64">
        <f t="shared" ref="BO195:BO202" si="13">IFERROR(1/J195*(X195/H195),"0")</f>
        <v>0.22446689113355778</v>
      </c>
      <c r="BP195" s="64">
        <f t="shared" ref="BP195:BP202" si="14">IFERROR(1/J195*(Y195/H195),"0")</f>
        <v>0.22727272727272727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39">
        <v>400</v>
      </c>
      <c r="Y197" s="540">
        <f t="shared" si="10"/>
        <v>405</v>
      </c>
      <c r="Z197" s="36">
        <f>IFERROR(IF(Y197=0,"",ROUNDUP(Y197/H197,0)*0.00902),"")</f>
        <v>0.67649999999999999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414.07407407407402</v>
      </c>
      <c r="BN197" s="64">
        <f t="shared" si="12"/>
        <v>419.24999999999994</v>
      </c>
      <c r="BO197" s="64">
        <f t="shared" si="13"/>
        <v>0.5611672278338945</v>
      </c>
      <c r="BP197" s="64">
        <f t="shared" si="14"/>
        <v>0.56818181818181823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39">
        <v>60</v>
      </c>
      <c r="Y198" s="540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62.1111111111111</v>
      </c>
      <c r="BN198" s="64">
        <f t="shared" si="12"/>
        <v>67.08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39">
        <v>84</v>
      </c>
      <c r="Y199" s="540">
        <f t="shared" si="10"/>
        <v>84.600000000000009</v>
      </c>
      <c r="Z199" s="36">
        <f>IFERROR(IF(Y199=0,"",ROUNDUP(Y199/H199,0)*0.00502),"")</f>
        <v>0.23594000000000001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90.066666666666663</v>
      </c>
      <c r="BN199" s="64">
        <f t="shared" si="12"/>
        <v>90.710000000000008</v>
      </c>
      <c r="BO199" s="64">
        <f t="shared" si="13"/>
        <v>0.19943019943019943</v>
      </c>
      <c r="BP199" s="64">
        <f t="shared" si="14"/>
        <v>0.20085470085470092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39">
        <v>51</v>
      </c>
      <c r="Y200" s="540">
        <f t="shared" si="10"/>
        <v>52.2</v>
      </c>
      <c r="Z200" s="36">
        <f>IFERROR(IF(Y200=0,"",ROUNDUP(Y200/H200,0)*0.00502),"")</f>
        <v>0.14558000000000001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53.833333333333329</v>
      </c>
      <c r="BN200" s="64">
        <f t="shared" si="12"/>
        <v>55.1</v>
      </c>
      <c r="BO200" s="64">
        <f t="shared" si="13"/>
        <v>0.12108262108262109</v>
      </c>
      <c r="BP200" s="64">
        <f t="shared" si="14"/>
        <v>0.12393162393162395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39">
        <v>105</v>
      </c>
      <c r="Y201" s="540">
        <f t="shared" si="10"/>
        <v>106.2</v>
      </c>
      <c r="Z201" s="36">
        <f>IFERROR(IF(Y201=0,"",ROUNDUP(Y201/H201,0)*0.00502),"")</f>
        <v>0.29618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110.83333333333333</v>
      </c>
      <c r="BN201" s="64">
        <f t="shared" si="12"/>
        <v>112.1</v>
      </c>
      <c r="BO201" s="64">
        <f t="shared" si="13"/>
        <v>0.2492877492877493</v>
      </c>
      <c r="BP201" s="64">
        <f t="shared" si="14"/>
        <v>0.25213675213675218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39">
        <v>51</v>
      </c>
      <c r="Y202" s="540">
        <f t="shared" si="10"/>
        <v>52.2</v>
      </c>
      <c r="Z202" s="36">
        <f>IFERROR(IF(Y202=0,"",ROUNDUP(Y202/H202,0)*0.00502),"")</f>
        <v>0.14558000000000001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53.833333333333329</v>
      </c>
      <c r="BN202" s="64">
        <f t="shared" si="12"/>
        <v>55.1</v>
      </c>
      <c r="BO202" s="64">
        <f t="shared" si="13"/>
        <v>0.12108262108262109</v>
      </c>
      <c r="BP202" s="64">
        <f t="shared" si="14"/>
        <v>0.12393162393162395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285.7407407407407</v>
      </c>
      <c r="Y203" s="541">
        <f>IFERROR(Y195/H195,"0")+IFERROR(Y196/H196,"0")+IFERROR(Y197/H197,"0")+IFERROR(Y198/H198,"0")+IFERROR(Y199/H199,"0")+IFERROR(Y200/H200,"0")+IFERROR(Y201/H201,"0")+IFERROR(Y202/H202,"0")</f>
        <v>291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1.9688200000000002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961</v>
      </c>
      <c r="Y204" s="541">
        <f>IFERROR(SUM(Y195:Y202),"0")</f>
        <v>981.00000000000011</v>
      </c>
      <c r="Z204" s="37"/>
      <c r="AA204" s="542"/>
      <c r="AB204" s="542"/>
      <c r="AC204" s="542"/>
    </row>
    <row r="205" spans="1:68" ht="14.25" hidden="1" customHeight="1" x14ac:dyDescent="0.25">
      <c r="A205" s="556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39">
        <v>240</v>
      </c>
      <c r="Y209" s="540">
        <f t="shared" si="15"/>
        <v>240</v>
      </c>
      <c r="Z209" s="36">
        <f t="shared" ref="Z209:Z214" si="20">IFERROR(IF(Y209=0,"",ROUNDUP(Y209/H209,0)*0.00651),"")</f>
        <v>0.65100000000000002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267</v>
      </c>
      <c r="BN209" s="64">
        <f t="shared" si="17"/>
        <v>267</v>
      </c>
      <c r="BO209" s="64">
        <f t="shared" si="18"/>
        <v>0.5494505494505495</v>
      </c>
      <c r="BP209" s="64">
        <f t="shared" si="19"/>
        <v>0.5494505494505495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39">
        <v>200</v>
      </c>
      <c r="Y211" s="540">
        <f t="shared" si="15"/>
        <v>201.6</v>
      </c>
      <c r="Z211" s="36">
        <f t="shared" si="20"/>
        <v>0.54683999999999999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39">
        <v>100</v>
      </c>
      <c r="Y213" s="540">
        <f t="shared" si="15"/>
        <v>100.8</v>
      </c>
      <c r="Z213" s="36">
        <f t="shared" si="20"/>
        <v>0.27342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39">
        <v>200</v>
      </c>
      <c r="Y214" s="540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319.82758620689663</v>
      </c>
      <c r="Y215" s="541">
        <f>IFERROR(Y206/H206,"0")+IFERROR(Y207/H207,"0")+IFERROR(Y208/H208,"0")+IFERROR(Y209/H209,"0")+IFERROR(Y210/H210,"0")+IFERROR(Y211/H211,"0")+IFERROR(Y212/H212,"0")+IFERROR(Y213/H213,"0")+IFERROR(Y214/H214,"0")</f>
        <v>322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2.24586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840</v>
      </c>
      <c r="Y216" s="541">
        <f>IFERROR(SUM(Y206:Y214),"0")</f>
        <v>848.4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39">
        <v>24</v>
      </c>
      <c r="Y218" s="540">
        <f>IFERROR(IF(X218="",0,CEILING((X218/$H218),1)*$H218),"")</f>
        <v>24</v>
      </c>
      <c r="Z218" s="36">
        <f>IFERROR(IF(Y218=0,"",ROUNDUP(Y218/H218,0)*0.00651),"")</f>
        <v>6.5100000000000005E-2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26.520000000000003</v>
      </c>
      <c r="BN218" s="64">
        <f>IFERROR(Y218*I218/H218,"0")</f>
        <v>26.520000000000003</v>
      </c>
      <c r="BO218" s="64">
        <f>IFERROR(1/J218*(X218/H218),"0")</f>
        <v>5.4945054945054951E-2</v>
      </c>
      <c r="BP218" s="64">
        <f>IFERROR(1/J218*(Y218/H218),"0")</f>
        <v>5.4945054945054951E-2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39">
        <v>24</v>
      </c>
      <c r="Y219" s="540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20</v>
      </c>
      <c r="Y220" s="541">
        <f>IFERROR(Y218/H218,"0")+IFERROR(Y219/H219,"0")</f>
        <v>20</v>
      </c>
      <c r="Z220" s="541">
        <f>IFERROR(IF(Z218="",0,Z218),"0")+IFERROR(IF(Z219="",0,Z219),"0")</f>
        <v>0.13020000000000001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48</v>
      </c>
      <c r="Y221" s="541">
        <f>IFERROR(SUM(Y218:Y219),"0")</f>
        <v>48</v>
      </c>
      <c r="Z221" s="37"/>
      <c r="AA221" s="542"/>
      <c r="AB221" s="542"/>
      <c r="AC221" s="542"/>
    </row>
    <row r="222" spans="1:68" ht="16.5" hidden="1" customHeight="1" x14ac:dyDescent="0.25">
      <c r="A222" s="553" t="s">
        <v>356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39">
        <v>20</v>
      </c>
      <c r="Y224" s="540">
        <f t="shared" ref="Y224:Y233" si="21">IFERROR(IF(X224="",0,CEILING((X224/$H224),1)*$H224),"")</f>
        <v>23.2</v>
      </c>
      <c r="Z224" s="36">
        <f>IFERROR(IF(Y224=0,"",ROUNDUP(Y224/H224,0)*0.01898),"")</f>
        <v>3.7960000000000001E-2</v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20.706896551724139</v>
      </c>
      <c r="BN224" s="64">
        <f t="shared" ref="BN224:BN233" si="23">IFERROR(Y224*I224/H224,"0")</f>
        <v>24.02</v>
      </c>
      <c r="BO224" s="64">
        <f t="shared" ref="BO224:BO233" si="24">IFERROR(1/J224*(X224/H224),"0")</f>
        <v>2.6939655172413795E-2</v>
      </c>
      <c r="BP224" s="64">
        <f t="shared" ref="BP224:BP233" si="25">IFERROR(1/J224*(Y224/H224),"0")</f>
        <v>3.125E-2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39">
        <v>80</v>
      </c>
      <c r="Y226" s="540">
        <f t="shared" si="21"/>
        <v>81.2</v>
      </c>
      <c r="Z226" s="36">
        <f>IFERROR(IF(Y226=0,"",ROUNDUP(Y226/H226,0)*0.01898),"")</f>
        <v>0.13286000000000001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82.827586206896555</v>
      </c>
      <c r="BN226" s="64">
        <f t="shared" si="23"/>
        <v>84.070000000000007</v>
      </c>
      <c r="BO226" s="64">
        <f t="shared" si="24"/>
        <v>0.10775862068965518</v>
      </c>
      <c r="BP226" s="64">
        <f t="shared" si="25"/>
        <v>0.10937500000000001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39">
        <v>60</v>
      </c>
      <c r="Y227" s="540">
        <f t="shared" si="21"/>
        <v>60</v>
      </c>
      <c r="Z227" s="36">
        <f>IFERROR(IF(Y227=0,"",ROUNDUP(Y227/H227,0)*0.00902),"")</f>
        <v>0.1353</v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62.850000000000009</v>
      </c>
      <c r="BN227" s="64">
        <f t="shared" si="23"/>
        <v>62.850000000000009</v>
      </c>
      <c r="BO227" s="64">
        <f t="shared" si="24"/>
        <v>0.11363636363636365</v>
      </c>
      <c r="BP227" s="64">
        <f t="shared" si="25"/>
        <v>0.11363636363636365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39">
        <v>40</v>
      </c>
      <c r="Y232" s="540">
        <f t="shared" si="21"/>
        <v>40</v>
      </c>
      <c r="Z232" s="36">
        <f>IFERROR(IF(Y232=0,"",ROUNDUP(Y232/H232,0)*0.00902),"")</f>
        <v>9.0200000000000002E-2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41.900000000000006</v>
      </c>
      <c r="BN232" s="64">
        <f t="shared" si="23"/>
        <v>41.900000000000006</v>
      </c>
      <c r="BO232" s="64">
        <f t="shared" si="24"/>
        <v>7.575757575757576E-2</v>
      </c>
      <c r="BP232" s="64">
        <f t="shared" si="25"/>
        <v>7.575757575757576E-2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33.620689655172413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34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0.39632000000000001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200</v>
      </c>
      <c r="Y235" s="541">
        <f>IFERROR(SUM(Y224:Y233),"0")</f>
        <v>204.4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382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386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39">
        <v>3.5</v>
      </c>
      <c r="Y246" s="540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3.8402777777777781</v>
      </c>
      <c r="BN246" s="64">
        <f>IFERROR(Y246*I246/H246,"0")</f>
        <v>3.95</v>
      </c>
      <c r="BO246" s="64">
        <f>IFERROR(1/J246*(X246/H246),"0")</f>
        <v>9.0020576131687232E-3</v>
      </c>
      <c r="BP246" s="64">
        <f>IFERROR(1/J246*(Y246/H246),"0")</f>
        <v>9.2592592592592587E-3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1.9444444444444444</v>
      </c>
      <c r="Y250" s="541">
        <f>IFERROR(Y245/H245,"0")+IFERROR(Y246/H246,"0")+IFERROR(Y247/H247,"0")+IFERROR(Y248/H248,"0")+IFERROR(Y249/H249,"0")</f>
        <v>2</v>
      </c>
      <c r="Z250" s="541">
        <f>IFERROR(IF(Z245="",0,Z245),"0")+IFERROR(IF(Z246="",0,Z246),"0")+IFERROR(IF(Z247="",0,Z247),"0")+IFERROR(IF(Z248="",0,Z248),"0")+IFERROR(IF(Z249="",0,Z249),"0")</f>
        <v>1.18E-2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3.5</v>
      </c>
      <c r="Y251" s="541">
        <f>IFERROR(SUM(Y245:Y249),"0")</f>
        <v>3.6</v>
      </c>
      <c r="Z251" s="37"/>
      <c r="AA251" s="542"/>
      <c r="AB251" s="542"/>
      <c r="AC251" s="542"/>
    </row>
    <row r="252" spans="1:68" ht="16.5" hidden="1" customHeight="1" x14ac:dyDescent="0.25">
      <c r="A252" s="553" t="s">
        <v>398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425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39">
        <v>60</v>
      </c>
      <c r="Y272" s="540">
        <f>IFERROR(IF(X272="",0,CEILING((X272/$H272),1)*$H272),"")</f>
        <v>60</v>
      </c>
      <c r="Z272" s="36">
        <f>IFERROR(IF(Y272=0,"",ROUNDUP(Y272/H272,0)*0.00651),"")</f>
        <v>0.16275000000000001</v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66.300000000000011</v>
      </c>
      <c r="BN272" s="64">
        <f>IFERROR(Y272*I272/H272,"0")</f>
        <v>66.300000000000011</v>
      </c>
      <c r="BO272" s="64">
        <f>IFERROR(1/J272*(X272/H272),"0")</f>
        <v>0.13736263736263737</v>
      </c>
      <c r="BP272" s="64">
        <f>IFERROR(1/J272*(Y272/H272),"0")</f>
        <v>0.13736263736263737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39">
        <v>120</v>
      </c>
      <c r="Y273" s="540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129.00000000000003</v>
      </c>
      <c r="BN273" s="64">
        <f>IFERROR(Y273*I273/H273,"0")</f>
        <v>129.00000000000003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75</v>
      </c>
      <c r="Y274" s="541">
        <f>IFERROR(Y271/H271,"0")+IFERROR(Y272/H272,"0")+IFERROR(Y273/H273,"0")</f>
        <v>75</v>
      </c>
      <c r="Z274" s="541">
        <f>IFERROR(IF(Z271="",0,Z271),"0")+IFERROR(IF(Z272="",0,Z272),"0")+IFERROR(IF(Z273="",0,Z273),"0")</f>
        <v>0.48825000000000002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180</v>
      </c>
      <c r="Y275" s="541">
        <f>IFERROR(SUM(Y271:Y273),"0")</f>
        <v>180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434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39">
        <v>12</v>
      </c>
      <c r="Y279" s="540">
        <f>IFERROR(IF(X279="",0,CEILING((X279/$H279),1)*$H279),"")</f>
        <v>12</v>
      </c>
      <c r="Z279" s="36">
        <f>IFERROR(IF(Y279=0,"",ROUNDUP(Y279/H279,0)*0.00651),"")</f>
        <v>3.2550000000000003E-2</v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12.9</v>
      </c>
      <c r="BN279" s="64">
        <f>IFERROR(Y279*I279/H279,"0")</f>
        <v>12.9</v>
      </c>
      <c r="BO279" s="64">
        <f>IFERROR(1/J279*(X279/H279),"0")</f>
        <v>2.7472527472527476E-2</v>
      </c>
      <c r="BP279" s="64">
        <f>IFERROR(1/J279*(Y279/H279),"0")</f>
        <v>2.7472527472527476E-2</v>
      </c>
    </row>
    <row r="280" spans="1:68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5</v>
      </c>
      <c r="Y280" s="541">
        <f>IFERROR(Y278/H278,"0")+IFERROR(Y279/H279,"0")</f>
        <v>5</v>
      </c>
      <c r="Z280" s="541">
        <f>IFERROR(IF(Z278="",0,Z278),"0")+IFERROR(IF(Z279="",0,Z279),"0")</f>
        <v>3.2550000000000003E-2</v>
      </c>
      <c r="AA280" s="542"/>
      <c r="AB280" s="542"/>
      <c r="AC280" s="542"/>
    </row>
    <row r="281" spans="1:68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12</v>
      </c>
      <c r="Y281" s="541">
        <f>IFERROR(SUM(Y278:Y279),"0")</f>
        <v>12</v>
      </c>
      <c r="Z281" s="37"/>
      <c r="AA281" s="542"/>
      <c r="AB281" s="542"/>
      <c r="AC281" s="542"/>
    </row>
    <row r="282" spans="1:68" ht="14.25" hidden="1" customHeight="1" x14ac:dyDescent="0.25">
      <c r="A282" s="556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6" t="s">
        <v>446</v>
      </c>
      <c r="Q284" s="549"/>
      <c r="R284" s="549"/>
      <c r="S284" s="549"/>
      <c r="T284" s="550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71</v>
      </c>
      <c r="Q294" s="546"/>
      <c r="R294" s="546"/>
      <c r="S294" s="546"/>
      <c r="T294" s="546"/>
      <c r="U294" s="546"/>
      <c r="V294" s="547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71</v>
      </c>
      <c r="Q295" s="546"/>
      <c r="R295" s="546"/>
      <c r="S295" s="546"/>
      <c r="T295" s="546"/>
      <c r="U295" s="546"/>
      <c r="V295" s="547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39">
        <v>175</v>
      </c>
      <c r="Y301" s="540">
        <f t="shared" si="26"/>
        <v>176.4</v>
      </c>
      <c r="Z301" s="36">
        <f>IFERROR(IF(Y301=0,"",ROUNDUP(Y301/H301,0)*0.00502),"")</f>
        <v>0.42168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183.33333333333334</v>
      </c>
      <c r="BN301" s="64">
        <f t="shared" si="28"/>
        <v>184.8</v>
      </c>
      <c r="BO301" s="64">
        <f t="shared" si="29"/>
        <v>0.35612535612535612</v>
      </c>
      <c r="BP301" s="64">
        <f t="shared" si="30"/>
        <v>0.35897435897435903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69</v>
      </c>
      <c r="X303" s="539">
        <v>21</v>
      </c>
      <c r="Y303" s="540">
        <f t="shared" si="26"/>
        <v>21.6</v>
      </c>
      <c r="Z303" s="36">
        <f>IFERROR(IF(Y303=0,"",ROUNDUP(Y303/H303,0)*0.00651),"")</f>
        <v>7.8119999999999995E-2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23.66</v>
      </c>
      <c r="BN303" s="64">
        <f t="shared" si="28"/>
        <v>24.335999999999999</v>
      </c>
      <c r="BO303" s="64">
        <f t="shared" si="29"/>
        <v>6.4102564102564111E-2</v>
      </c>
      <c r="BP303" s="64">
        <f t="shared" si="30"/>
        <v>6.5934065934065936E-2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71</v>
      </c>
      <c r="Q304" s="546"/>
      <c r="R304" s="546"/>
      <c r="S304" s="546"/>
      <c r="T304" s="546"/>
      <c r="U304" s="546"/>
      <c r="V304" s="547"/>
      <c r="W304" s="37" t="s">
        <v>72</v>
      </c>
      <c r="X304" s="541">
        <f>IFERROR(X297/H297,"0")+IFERROR(X298/H298,"0")+IFERROR(X299/H299,"0")+IFERROR(X300/H300,"0")+IFERROR(X301/H301,"0")+IFERROR(X302/H302,"0")+IFERROR(X303/H303,"0")</f>
        <v>95</v>
      </c>
      <c r="Y304" s="541">
        <f>IFERROR(Y297/H297,"0")+IFERROR(Y298/H298,"0")+IFERROR(Y299/H299,"0")+IFERROR(Y300/H300,"0")+IFERROR(Y301/H301,"0")+IFERROR(Y302/H302,"0")+IFERROR(Y303/H303,"0")</f>
        <v>96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0.49980000000000002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71</v>
      </c>
      <c r="Q305" s="546"/>
      <c r="R305" s="546"/>
      <c r="S305" s="546"/>
      <c r="T305" s="546"/>
      <c r="U305" s="546"/>
      <c r="V305" s="547"/>
      <c r="W305" s="37" t="s">
        <v>69</v>
      </c>
      <c r="X305" s="541">
        <f>IFERROR(SUM(X297:X303),"0")</f>
        <v>196</v>
      </c>
      <c r="Y305" s="541">
        <f>IFERROR(SUM(Y297:Y303),"0")</f>
        <v>198</v>
      </c>
      <c r="Z305" s="37"/>
      <c r="AA305" s="542"/>
      <c r="AB305" s="542"/>
      <c r="AC305" s="542"/>
    </row>
    <row r="306" spans="1:68" ht="14.25" hidden="1" customHeight="1" x14ac:dyDescent="0.25">
      <c r="A306" s="556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39">
        <v>400</v>
      </c>
      <c r="Y315" s="540">
        <f>IFERROR(IF(X315="",0,CEILING((X315/$H315),1)*$H315),"")</f>
        <v>405.59999999999997</v>
      </c>
      <c r="Z315" s="36">
        <f>IFERROR(IF(Y315=0,"",ROUNDUP(Y315/H315,0)*0.01898),"")</f>
        <v>0.98696000000000006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425.33333333333337</v>
      </c>
      <c r="BN315" s="64">
        <f>IFERROR(Y315*I315/H315,"0")</f>
        <v>431.28799999999995</v>
      </c>
      <c r="BO315" s="64">
        <f>IFERROR(1/J315*(X315/H315),"0")</f>
        <v>0.80128205128205132</v>
      </c>
      <c r="BP315" s="64">
        <f>IFERROR(1/J315*(Y315/H315),"0")</f>
        <v>0.8125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39">
        <v>200</v>
      </c>
      <c r="Y316" s="540">
        <f>IFERROR(IF(X316="",0,CEILING((X316/$H316),1)*$H316),"")</f>
        <v>201.60000000000002</v>
      </c>
      <c r="Z316" s="36">
        <f>IFERROR(IF(Y316=0,"",ROUNDUP(Y316/H316,0)*0.01898),"")</f>
        <v>0.45552000000000004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211.76190476190476</v>
      </c>
      <c r="BN316" s="64">
        <f>IFERROR(Y316*I316/H316,"0")</f>
        <v>213.45600000000002</v>
      </c>
      <c r="BO316" s="64">
        <f>IFERROR(1/J316*(X316/H316),"0")</f>
        <v>0.37202380952380953</v>
      </c>
      <c r="BP316" s="64">
        <f>IFERROR(1/J316*(Y316/H316),"0")</f>
        <v>0.375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77.472527472527474</v>
      </c>
      <c r="Y317" s="541">
        <f>IFERROR(Y314/H314,"0")+IFERROR(Y315/H315,"0")+IFERROR(Y316/H316,"0")</f>
        <v>79</v>
      </c>
      <c r="Z317" s="541">
        <f>IFERROR(IF(Z314="",0,Z314),"0")+IFERROR(IF(Z315="",0,Z315),"0")+IFERROR(IF(Z316="",0,Z316),"0")</f>
        <v>1.4994200000000002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620</v>
      </c>
      <c r="Y318" s="541">
        <f>IFERROR(SUM(Y314:Y316),"0")</f>
        <v>632.4</v>
      </c>
      <c r="Z318" s="37"/>
      <c r="AA318" s="542"/>
      <c r="AB318" s="542"/>
      <c r="AC318" s="542"/>
    </row>
    <row r="319" spans="1:68" ht="14.25" hidden="1" customHeight="1" x14ac:dyDescent="0.25">
      <c r="A319" s="556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513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514</v>
      </c>
      <c r="B327" s="54" t="s">
        <v>515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518</v>
      </c>
      <c r="B328" s="54" t="s">
        <v>519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522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523</v>
      </c>
      <c r="B334" s="54" t="s">
        <v>524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69</v>
      </c>
      <c r="X335" s="539">
        <v>840</v>
      </c>
      <c r="Y335" s="540">
        <f>IFERROR(IF(X335="",0,CEILING((X335/$H335),1)*$H335),"")</f>
        <v>840</v>
      </c>
      <c r="Z335" s="36">
        <f>IFERROR(IF(Y335=0,"",ROUNDUP(Y335/H335,0)*0.00651),"")</f>
        <v>2.6040000000000001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940.79999999999984</v>
      </c>
      <c r="BN335" s="64">
        <f>IFERROR(Y335*I335/H335,"0")</f>
        <v>940.79999999999984</v>
      </c>
      <c r="BO335" s="64">
        <f>IFERROR(1/J335*(X335/H335),"0")</f>
        <v>2.197802197802198</v>
      </c>
      <c r="BP335" s="64">
        <f>IFERROR(1/J335*(Y335/H335),"0")</f>
        <v>2.197802197802198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39">
        <v>350</v>
      </c>
      <c r="Y336" s="540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390</v>
      </c>
      <c r="BN336" s="64">
        <f>IFERROR(Y336*I336/H336,"0")</f>
        <v>390.78</v>
      </c>
      <c r="BO336" s="64">
        <f>IFERROR(1/J336*(X336/H336),"0")</f>
        <v>0.91575091575091572</v>
      </c>
      <c r="BP336" s="64">
        <f>IFERROR(1/J336*(Y336/H336),"0")</f>
        <v>0.91758241758241765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566.66666666666663</v>
      </c>
      <c r="Y337" s="541">
        <f>IFERROR(Y334/H334,"0")+IFERROR(Y335/H335,"0")+IFERROR(Y336/H336,"0")</f>
        <v>567</v>
      </c>
      <c r="Z337" s="541">
        <f>IFERROR(IF(Z334="",0,Z334),"0")+IFERROR(IF(Z335="",0,Z335),"0")+IFERROR(IF(Z336="",0,Z336),"0")</f>
        <v>3.6911700000000001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1190</v>
      </c>
      <c r="Y338" s="541">
        <f>IFERROR(SUM(Y334:Y336),"0")</f>
        <v>1190.7</v>
      </c>
      <c r="Z338" s="37"/>
      <c r="AA338" s="542"/>
      <c r="AB338" s="542"/>
      <c r="AC338" s="542"/>
    </row>
    <row r="339" spans="1:68" ht="27.75" hidden="1" customHeight="1" x14ac:dyDescent="0.2">
      <c r="A339" s="694" t="s">
        <v>532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533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69</v>
      </c>
      <c r="X342" s="539">
        <v>2100</v>
      </c>
      <c r="Y342" s="540">
        <f t="shared" ref="Y342:Y348" si="31">IFERROR(IF(X342="",0,CEILING((X342/$H342),1)*$H342),"")</f>
        <v>2100</v>
      </c>
      <c r="Z342" s="36">
        <f>IFERROR(IF(Y342=0,"",ROUNDUP(Y342/H342,0)*0.02175),"")</f>
        <v>3.0449999999999999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2165.8000000000002</v>
      </c>
      <c r="BN342" s="64">
        <f t="shared" ref="BN342:BN348" si="33">IFERROR(Y342*I342/H342,"0")</f>
        <v>2165.8000000000002</v>
      </c>
      <c r="BO342" s="64">
        <f t="shared" ref="BO342:BO348" si="34">IFERROR(1/J342*(X342/H342),"0")</f>
        <v>2.9166666666666665</v>
      </c>
      <c r="BP342" s="64">
        <f t="shared" ref="BP342:BP348" si="35">IFERROR(1/J342*(Y342/H342),"0")</f>
        <v>2.9166666666666665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39">
        <v>1400</v>
      </c>
      <c r="Y344" s="540">
        <f t="shared" si="31"/>
        <v>1410</v>
      </c>
      <c r="Z344" s="36">
        <f>IFERROR(IF(Y344=0,"",ROUNDUP(Y344/H344,0)*0.02175),"")</f>
        <v>2.0444999999999998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1443.8666666666666</v>
      </c>
      <c r="BN344" s="64">
        <f t="shared" si="33"/>
        <v>1454.18</v>
      </c>
      <c r="BO344" s="64">
        <f t="shared" si="34"/>
        <v>1.9444444444444442</v>
      </c>
      <c r="BP344" s="64">
        <f t="shared" si="35"/>
        <v>1.9583333333333333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69</v>
      </c>
      <c r="X345" s="539">
        <v>280</v>
      </c>
      <c r="Y345" s="540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288.77333333333337</v>
      </c>
      <c r="BN345" s="64">
        <f t="shared" si="33"/>
        <v>293.93</v>
      </c>
      <c r="BO345" s="64">
        <f t="shared" si="34"/>
        <v>0.3888888888888889</v>
      </c>
      <c r="BP345" s="64">
        <f t="shared" si="35"/>
        <v>0.39583333333333331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39">
        <v>50</v>
      </c>
      <c r="Y348" s="540">
        <f t="shared" si="31"/>
        <v>50</v>
      </c>
      <c r="Z348" s="36">
        <f>IFERROR(IF(Y348=0,"",ROUNDUP(Y348/H348,0)*0.00902),"")</f>
        <v>9.0200000000000002E-2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51.9</v>
      </c>
      <c r="BN348" s="64">
        <f t="shared" si="33"/>
        <v>51.9</v>
      </c>
      <c r="BO348" s="64">
        <f t="shared" si="34"/>
        <v>7.575757575757576E-2</v>
      </c>
      <c r="BP348" s="64">
        <f t="shared" si="35"/>
        <v>7.575757575757576E-2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328.66666666666669</v>
      </c>
      <c r="Y349" s="541">
        <f>IFERROR(Y342/H342,"0")+IFERROR(Y343/H343,"0")+IFERROR(Y344/H344,"0")+IFERROR(Y345/H345,"0")+IFERROR(Y346/H346,"0")+IFERROR(Y347/H347,"0")+IFERROR(Y348/H348,"0")</f>
        <v>330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7.0501999999999994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4830</v>
      </c>
      <c r="Y350" s="541">
        <f>IFERROR(SUM(Y342:Y348),"0")</f>
        <v>4850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69</v>
      </c>
      <c r="X352" s="539">
        <v>1000</v>
      </c>
      <c r="Y352" s="540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69</v>
      </c>
      <c r="X353" s="539">
        <v>12</v>
      </c>
      <c r="Y353" s="540">
        <f>IFERROR(IF(X353="",0,CEILING((X353/$H353),1)*$H353),"")</f>
        <v>12</v>
      </c>
      <c r="Z353" s="36">
        <f>IFERROR(IF(Y353=0,"",ROUNDUP(Y353/H353,0)*0.00902),"")</f>
        <v>2.7060000000000001E-2</v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12.57</v>
      </c>
      <c r="BN353" s="64">
        <f>IFERROR(Y353*I353/H353,"0")</f>
        <v>12.57</v>
      </c>
      <c r="BO353" s="64">
        <f>IFERROR(1/J353*(X353/H353),"0")</f>
        <v>2.2727272727272728E-2</v>
      </c>
      <c r="BP353" s="64">
        <f>IFERROR(1/J353*(Y353/H353),"0")</f>
        <v>2.2727272727272728E-2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69.666666666666671</v>
      </c>
      <c r="Y354" s="541">
        <f>IFERROR(Y352/H352,"0")+IFERROR(Y353/H353,"0")</f>
        <v>70</v>
      </c>
      <c r="Z354" s="541">
        <f>IFERROR(IF(Z352="",0,Z352),"0")+IFERROR(IF(Z353="",0,Z353),"0")</f>
        <v>1.48431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1012</v>
      </c>
      <c r="Y355" s="541">
        <f>IFERROR(SUM(Y352:Y353),"0")</f>
        <v>1017</v>
      </c>
      <c r="Z355" s="37"/>
      <c r="AA355" s="542"/>
      <c r="AB355" s="542"/>
      <c r="AC355" s="542"/>
    </row>
    <row r="356" spans="1:68" ht="14.25" hidden="1" customHeight="1" x14ac:dyDescent="0.25">
      <c r="A356" s="556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39">
        <v>30</v>
      </c>
      <c r="Y358" s="540">
        <f>IFERROR(IF(X358="",0,CEILING((X358/$H358),1)*$H358),"")</f>
        <v>36</v>
      </c>
      <c r="Z358" s="36">
        <f>IFERROR(IF(Y358=0,"",ROUNDUP(Y358/H358,0)*0.01898),"")</f>
        <v>7.5920000000000001E-2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31.646666666666665</v>
      </c>
      <c r="BN358" s="64">
        <f>IFERROR(Y358*I358/H358,"0")</f>
        <v>37.975999999999999</v>
      </c>
      <c r="BO358" s="64">
        <f>IFERROR(1/J358*(X358/H358),"0")</f>
        <v>5.2083333333333336E-2</v>
      </c>
      <c r="BP358" s="64">
        <f>IFERROR(1/J358*(Y358/H358),"0")</f>
        <v>6.25E-2</v>
      </c>
    </row>
    <row r="359" spans="1:68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3.3333333333333335</v>
      </c>
      <c r="Y359" s="541">
        <f>IFERROR(Y357/H357,"0")+IFERROR(Y358/H358,"0")</f>
        <v>4</v>
      </c>
      <c r="Z359" s="541">
        <f>IFERROR(IF(Z357="",0,Z357),"0")+IFERROR(IF(Z358="",0,Z358),"0")</f>
        <v>7.5920000000000001E-2</v>
      </c>
      <c r="AA359" s="542"/>
      <c r="AB359" s="542"/>
      <c r="AC359" s="542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30</v>
      </c>
      <c r="Y360" s="541">
        <f>IFERROR(SUM(Y357:Y358),"0")</f>
        <v>36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69</v>
      </c>
      <c r="X362" s="539">
        <v>20</v>
      </c>
      <c r="Y362" s="540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2.2222222222222223</v>
      </c>
      <c r="Y363" s="541">
        <f>IFERROR(Y362/H362,"0")</f>
        <v>3</v>
      </c>
      <c r="Z363" s="541">
        <f>IFERROR(IF(Z362="",0,Z362),"0")</f>
        <v>5.6940000000000004E-2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20</v>
      </c>
      <c r="Y364" s="541">
        <f>IFERROR(SUM(Y362:Y362),"0")</f>
        <v>27</v>
      </c>
      <c r="Z364" s="37"/>
      <c r="AA364" s="542"/>
      <c r="AB364" s="542"/>
      <c r="AC364" s="542"/>
    </row>
    <row r="365" spans="1:68" ht="16.5" hidden="1" customHeight="1" x14ac:dyDescent="0.25">
      <c r="A365" s="553" t="s">
        <v>567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69</v>
      </c>
      <c r="X367" s="539">
        <v>50</v>
      </c>
      <c r="Y367" s="540">
        <f>IFERROR(IF(X367="",0,CEILING((X367/$H367),1)*$H367),"")</f>
        <v>60</v>
      </c>
      <c r="Z367" s="36">
        <f>IFERROR(IF(Y367=0,"",ROUNDUP(Y367/H367,0)*0.01898),"")</f>
        <v>9.4899999999999998E-2</v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51.708333333333336</v>
      </c>
      <c r="BN367" s="64">
        <f>IFERROR(Y367*I367/H367,"0")</f>
        <v>62.050000000000004</v>
      </c>
      <c r="BO367" s="64">
        <f>IFERROR(1/J367*(X367/H367),"0")</f>
        <v>6.5104166666666671E-2</v>
      </c>
      <c r="BP367" s="64">
        <f>IFERROR(1/J367*(Y367/H367),"0")</f>
        <v>7.8125E-2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4.166666666666667</v>
      </c>
      <c r="Y369" s="541">
        <f>IFERROR(Y367/H367,"0")+IFERROR(Y368/H368,"0")</f>
        <v>5</v>
      </c>
      <c r="Z369" s="541">
        <f>IFERROR(IF(Z367="",0,Z367),"0")+IFERROR(IF(Z368="",0,Z368),"0")</f>
        <v>9.4899999999999998E-2</v>
      </c>
      <c r="AA369" s="542"/>
      <c r="AB369" s="542"/>
      <c r="AC369" s="542"/>
    </row>
    <row r="370" spans="1:68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50</v>
      </c>
      <c r="Y370" s="541">
        <f>IFERROR(SUM(Y367:Y368),"0")</f>
        <v>60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69</v>
      </c>
      <c r="X377" s="539">
        <v>20</v>
      </c>
      <c r="Y377" s="540">
        <f>IFERROR(IF(X377="",0,CEILING((X377/$H377),1)*$H377),"")</f>
        <v>27</v>
      </c>
      <c r="Z377" s="36">
        <f>IFERROR(IF(Y377=0,"",ROUNDUP(Y377/H377,0)*0.01898),"")</f>
        <v>5.6940000000000004E-2</v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21.097777777777779</v>
      </c>
      <c r="BN377" s="64">
        <f>IFERROR(Y377*I377/H377,"0")</f>
        <v>28.481999999999996</v>
      </c>
      <c r="BO377" s="64">
        <f>IFERROR(1/J377*(X377/H377),"0")</f>
        <v>3.4722222222222224E-2</v>
      </c>
      <c r="BP377" s="64">
        <f>IFERROR(1/J377*(Y377/H377),"0")</f>
        <v>4.6875E-2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2.2222222222222223</v>
      </c>
      <c r="Y379" s="541">
        <f>IFERROR(Y377/H377,"0")+IFERROR(Y378/H378,"0")</f>
        <v>3</v>
      </c>
      <c r="Z379" s="541">
        <f>IFERROR(IF(Z377="",0,Z377),"0")+IFERROR(IF(Z378="",0,Z378),"0")</f>
        <v>5.6940000000000004E-2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20</v>
      </c>
      <c r="Y380" s="541">
        <f>IFERROR(SUM(Y377:Y378),"0")</f>
        <v>27</v>
      </c>
      <c r="Z380" s="37"/>
      <c r="AA380" s="542"/>
      <c r="AB380" s="542"/>
      <c r="AC380" s="542"/>
    </row>
    <row r="381" spans="1:68" ht="27.75" hidden="1" customHeight="1" x14ac:dyDescent="0.2">
      <c r="A381" s="694" t="s">
        <v>583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584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64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585</v>
      </c>
      <c r="B384" s="54" t="s">
        <v>586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588</v>
      </c>
      <c r="B385" s="54" t="s">
        <v>589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39">
        <v>10.5</v>
      </c>
      <c r="Y389" s="540">
        <f t="shared" si="36"/>
        <v>10.5</v>
      </c>
      <c r="Z389" s="36">
        <f t="shared" si="41"/>
        <v>2.5100000000000001E-2</v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11.149999999999999</v>
      </c>
      <c r="BN389" s="64">
        <f t="shared" si="38"/>
        <v>11.149999999999999</v>
      </c>
      <c r="BO389" s="64">
        <f t="shared" si="39"/>
        <v>2.1367521367521368E-2</v>
      </c>
      <c r="BP389" s="64">
        <f t="shared" si="40"/>
        <v>2.1367521367521368E-2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hidden="1" customHeight="1" x14ac:dyDescent="0.25">
      <c r="A392" s="54" t="s">
        <v>607</v>
      </c>
      <c r="B392" s="54" t="s">
        <v>608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21.666666666666664</v>
      </c>
      <c r="Y393" s="541">
        <f>IFERROR(Y384/H384,"0")+IFERROR(Y385/H385,"0")+IFERROR(Y386/H386,"0")+IFERROR(Y387/H387,"0")+IFERROR(Y388/H388,"0")+IFERROR(Y389/H389,"0")+IFERROR(Y390/H390,"0")+IFERROR(Y391/H391,"0")+IFERROR(Y392/H392,"0")</f>
        <v>22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0.11044</v>
      </c>
      <c r="AA393" s="542"/>
      <c r="AB393" s="542"/>
      <c r="AC393" s="542"/>
    </row>
    <row r="394" spans="1:68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45.5</v>
      </c>
      <c r="Y394" s="541">
        <f>IFERROR(SUM(Y384:Y392),"0")</f>
        <v>46.2</v>
      </c>
      <c r="Z394" s="37"/>
      <c r="AA394" s="542"/>
      <c r="AB394" s="542"/>
      <c r="AC394" s="542"/>
    </row>
    <row r="395" spans="1:68" ht="14.25" hidden="1" customHeight="1" x14ac:dyDescent="0.25">
      <c r="A395" s="556" t="s">
        <v>73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609</v>
      </c>
      <c r="B396" s="54" t="s">
        <v>610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612</v>
      </c>
      <c r="B397" s="54" t="s">
        <v>613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615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135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616</v>
      </c>
      <c r="B402" s="54" t="s">
        <v>617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64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619</v>
      </c>
      <c r="B406" s="54" t="s">
        <v>620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622</v>
      </c>
      <c r="B407" s="54" t="s">
        <v>623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39">
        <v>7</v>
      </c>
      <c r="Y409" s="540">
        <f>IFERROR(IF(X409="",0,CEILING((X409/$H409),1)*$H409),"")</f>
        <v>8.4</v>
      </c>
      <c r="Z409" s="36">
        <f>IFERROR(IF(Y409=0,"",ROUNDUP(Y409/H409,0)*0.00502),"")</f>
        <v>2.0080000000000001E-2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7.4333333333333327</v>
      </c>
      <c r="BN409" s="64">
        <f>IFERROR(Y409*I409/H409,"0")</f>
        <v>8.92</v>
      </c>
      <c r="BO409" s="64">
        <f>IFERROR(1/J409*(X409/H409),"0")</f>
        <v>1.4245014245014245E-2</v>
      </c>
      <c r="BP409" s="64">
        <f>IFERROR(1/J409*(Y409/H409),"0")</f>
        <v>1.7094017094017096E-2</v>
      </c>
    </row>
    <row r="410" spans="1:68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3.333333333333333</v>
      </c>
      <c r="Y410" s="541">
        <f>IFERROR(Y406/H406,"0")+IFERROR(Y407/H407,"0")+IFERROR(Y408/H408,"0")+IFERROR(Y409/H409,"0")</f>
        <v>4</v>
      </c>
      <c r="Z410" s="541">
        <f>IFERROR(IF(Z406="",0,Z406),"0")+IFERROR(IF(Z407="",0,Z407),"0")+IFERROR(IF(Z408="",0,Z408),"0")+IFERROR(IF(Z409="",0,Z409),"0")</f>
        <v>2.0080000000000001E-2</v>
      </c>
      <c r="AA410" s="542"/>
      <c r="AB410" s="542"/>
      <c r="AC410" s="542"/>
    </row>
    <row r="411" spans="1:68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7</v>
      </c>
      <c r="Y411" s="541">
        <f>IFERROR(SUM(Y406:Y409),"0")</f>
        <v>8.4</v>
      </c>
      <c r="Z411" s="37"/>
      <c r="AA411" s="542"/>
      <c r="AB411" s="542"/>
      <c r="AC411" s="542"/>
    </row>
    <row r="412" spans="1:68" ht="16.5" hidden="1" customHeight="1" x14ac:dyDescent="0.25">
      <c r="A412" s="553" t="s">
        <v>630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hidden="1" customHeight="1" x14ac:dyDescent="0.2">
      <c r="A417" s="694" t="s">
        <v>634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634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69</v>
      </c>
      <c r="X420" s="539">
        <v>80</v>
      </c>
      <c r="Y420" s="540">
        <f t="shared" ref="Y420:Y430" si="42">IFERROR(IF(X420="",0,CEILING((X420/$H420),1)*$H420),"")</f>
        <v>84.48</v>
      </c>
      <c r="Z420" s="36">
        <f t="shared" ref="Z420:Z425" si="43">IFERROR(IF(Y420=0,"",ROUNDUP(Y420/H420,0)*0.01196),"")</f>
        <v>0.19136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85.303030303030297</v>
      </c>
      <c r="BN420" s="64">
        <f t="shared" ref="BN420:BN430" si="45">IFERROR(Y420*I420/H420,"0")</f>
        <v>90.08</v>
      </c>
      <c r="BO420" s="64">
        <f t="shared" ref="BO420:BO430" si="46">IFERROR(1/J420*(X420/H420),"0")</f>
        <v>0.14568764568764569</v>
      </c>
      <c r="BP420" s="64">
        <f t="shared" ref="BP420:BP430" si="47">IFERROR(1/J420*(Y420/H420),"0")</f>
        <v>0.15384615384615385</v>
      </c>
    </row>
    <row r="421" spans="1:68" ht="27" hidden="1" customHeight="1" x14ac:dyDescent="0.25">
      <c r="A421" s="54" t="s">
        <v>637</v>
      </c>
      <c r="B421" s="54" t="s">
        <v>638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39">
        <v>100</v>
      </c>
      <c r="Y423" s="540">
        <f t="shared" si="42"/>
        <v>100.32000000000001</v>
      </c>
      <c r="Z423" s="36">
        <f t="shared" si="43"/>
        <v>0.22724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16.5" hidden="1" customHeight="1" x14ac:dyDescent="0.25">
      <c r="A424" s="54" t="s">
        <v>646</v>
      </c>
      <c r="B424" s="54" t="s">
        <v>647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69</v>
      </c>
      <c r="X427" s="539">
        <v>90</v>
      </c>
      <c r="Y427" s="540">
        <f t="shared" si="42"/>
        <v>91.2</v>
      </c>
      <c r="Z427" s="36">
        <f>IFERROR(IF(Y427=0,"",ROUNDUP(Y427/H427,0)*0.00902),"")</f>
        <v>0.17138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129.5625</v>
      </c>
      <c r="BN427" s="64">
        <f t="shared" si="45"/>
        <v>131.29000000000002</v>
      </c>
      <c r="BO427" s="64">
        <f t="shared" si="46"/>
        <v>0.14204545454545456</v>
      </c>
      <c r="BP427" s="64">
        <f t="shared" si="47"/>
        <v>0.14393939393939395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106.25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108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1.1623199999999998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540</v>
      </c>
      <c r="Y432" s="541">
        <f>IFERROR(SUM(Y420:Y430),"0")</f>
        <v>549.12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135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69</v>
      </c>
      <c r="X434" s="539">
        <v>120</v>
      </c>
      <c r="Y434" s="540">
        <f>IFERROR(IF(X434="",0,CEILING((X434/$H434),1)*$H434),"")</f>
        <v>121.44000000000001</v>
      </c>
      <c r="Z434" s="36">
        <f>IFERROR(IF(Y434=0,"",ROUNDUP(Y434/H434,0)*0.01196),"")</f>
        <v>0.27507999999999999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127.95454545454545</v>
      </c>
      <c r="BN434" s="64">
        <f>IFERROR(Y434*I434/H434,"0")</f>
        <v>129.49</v>
      </c>
      <c r="BO434" s="64">
        <f>IFERROR(1/J434*(X434/H434),"0")</f>
        <v>0.21853146853146854</v>
      </c>
      <c r="BP434" s="64">
        <f>IFERROR(1/J434*(Y434/H434),"0")</f>
        <v>0.22115384615384617</v>
      </c>
    </row>
    <row r="435" spans="1:68" ht="16.5" hidden="1" customHeight="1" x14ac:dyDescent="0.25">
      <c r="A435" s="54" t="s">
        <v>666</v>
      </c>
      <c r="B435" s="54" t="s">
        <v>667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22.727272727272727</v>
      </c>
      <c r="Y437" s="541">
        <f>IFERROR(Y434/H434,"0")+IFERROR(Y435/H435,"0")+IFERROR(Y436/H436,"0")</f>
        <v>23</v>
      </c>
      <c r="Z437" s="541">
        <f>IFERROR(IF(Z434="",0,Z434),"0")+IFERROR(IF(Z435="",0,Z435),"0")+IFERROR(IF(Z436="",0,Z436),"0")</f>
        <v>0.27507999999999999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120</v>
      </c>
      <c r="Y438" s="541">
        <f>IFERROR(SUM(Y434:Y436),"0")</f>
        <v>121.44000000000001</v>
      </c>
      <c r="Z438" s="37"/>
      <c r="AA438" s="542"/>
      <c r="AB438" s="542"/>
      <c r="AC438" s="542"/>
    </row>
    <row r="439" spans="1:68" ht="14.25" hidden="1" customHeight="1" x14ac:dyDescent="0.25">
      <c r="A439" s="556" t="s">
        <v>64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69</v>
      </c>
      <c r="X440" s="539">
        <v>30</v>
      </c>
      <c r="Y440" s="540">
        <f t="shared" ref="Y440:Y445" si="48">IFERROR(IF(X440="",0,CEILING((X440/$H440),1)*$H440),"")</f>
        <v>31.68</v>
      </c>
      <c r="Z440" s="36">
        <f>IFERROR(IF(Y440=0,"",ROUNDUP(Y440/H440,0)*0.01196),"")</f>
        <v>7.1760000000000004E-2</v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31.988636363636363</v>
      </c>
      <c r="BN440" s="64">
        <f t="shared" ref="BN440:BN445" si="50">IFERROR(Y440*I440/H440,"0")</f>
        <v>33.779999999999994</v>
      </c>
      <c r="BO440" s="64">
        <f t="shared" ref="BO440:BO445" si="51">IFERROR(1/J440*(X440/H440),"0")</f>
        <v>5.4632867132867136E-2</v>
      </c>
      <c r="BP440" s="64">
        <f t="shared" ref="BP440:BP445" si="52">IFERROR(1/J440*(Y440/H440),"0")</f>
        <v>5.7692307692307696E-2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39">
        <v>70</v>
      </c>
      <c r="Y441" s="540">
        <f t="shared" si="48"/>
        <v>73.92</v>
      </c>
      <c r="Z441" s="36">
        <f>IFERROR(IF(Y441=0,"",ROUNDUP(Y441/H441,0)*0.01196),"")</f>
        <v>0.16744000000000001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74.640151515151501</v>
      </c>
      <c r="BN441" s="64">
        <f t="shared" si="50"/>
        <v>78.819999999999993</v>
      </c>
      <c r="BO441" s="64">
        <f t="shared" si="51"/>
        <v>0.12747668997668998</v>
      </c>
      <c r="BP441" s="64">
        <f t="shared" si="52"/>
        <v>0.13461538461538464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39">
        <v>70</v>
      </c>
      <c r="Y442" s="540">
        <f t="shared" si="48"/>
        <v>73.92</v>
      </c>
      <c r="Z442" s="36">
        <f>IFERROR(IF(Y442=0,"",ROUNDUP(Y442/H442,0)*0.01196),"")</f>
        <v>0.16744000000000001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74.640151515151501</v>
      </c>
      <c r="BN442" s="64">
        <f t="shared" si="50"/>
        <v>78.819999999999993</v>
      </c>
      <c r="BO442" s="64">
        <f t="shared" si="51"/>
        <v>0.12747668997668998</v>
      </c>
      <c r="BP442" s="64">
        <f t="shared" si="52"/>
        <v>0.13461538461538464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39">
        <v>48</v>
      </c>
      <c r="Y443" s="540">
        <f t="shared" si="48"/>
        <v>48</v>
      </c>
      <c r="Z443" s="36">
        <f>IFERROR(IF(Y443=0,"",ROUNDUP(Y443/H443,0)*0.00902),"")</f>
        <v>9.0200000000000002E-2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69.100000000000009</v>
      </c>
      <c r="BN443" s="64">
        <f t="shared" si="50"/>
        <v>69.100000000000009</v>
      </c>
      <c r="BO443" s="64">
        <f t="shared" si="51"/>
        <v>7.575757575757576E-2</v>
      </c>
      <c r="BP443" s="64">
        <f t="shared" si="52"/>
        <v>7.575757575757576E-2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39">
        <v>60</v>
      </c>
      <c r="Y445" s="540">
        <f t="shared" si="48"/>
        <v>62.4</v>
      </c>
      <c r="Z445" s="36">
        <f>IFERROR(IF(Y445=0,"",ROUNDUP(Y445/H445,0)*0.00902),"")</f>
        <v>0.11726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83.375</v>
      </c>
      <c r="BN445" s="64">
        <f t="shared" si="50"/>
        <v>86.71</v>
      </c>
      <c r="BO445" s="64">
        <f t="shared" si="51"/>
        <v>9.4696969696969696E-2</v>
      </c>
      <c r="BP445" s="64">
        <f t="shared" si="52"/>
        <v>9.8484848484848481E-2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58.446969696969695</v>
      </c>
      <c r="Y446" s="541">
        <f>IFERROR(Y440/H440,"0")+IFERROR(Y441/H441,"0")+IFERROR(Y442/H442,"0")+IFERROR(Y443/H443,"0")+IFERROR(Y444/H444,"0")+IFERROR(Y445/H445,"0")</f>
        <v>61</v>
      </c>
      <c r="Z446" s="541">
        <f>IFERROR(IF(Z440="",0,Z440),"0")+IFERROR(IF(Z441="",0,Z441),"0")+IFERROR(IF(Z442="",0,Z442),"0")+IFERROR(IF(Z443="",0,Z443),"0")+IFERROR(IF(Z444="",0,Z444),"0")+IFERROR(IF(Z445="",0,Z445),"0")</f>
        <v>0.65018000000000009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296</v>
      </c>
      <c r="Y447" s="541">
        <f>IFERROR(SUM(Y440:Y445),"0")</f>
        <v>309.11999999999995</v>
      </c>
      <c r="Z447" s="37"/>
      <c r="AA447" s="542"/>
      <c r="AB447" s="542"/>
      <c r="AC447" s="542"/>
    </row>
    <row r="448" spans="1:68" ht="14.25" hidden="1" customHeight="1" x14ac:dyDescent="0.25">
      <c r="A448" s="556" t="s">
        <v>73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685</v>
      </c>
      <c r="B449" s="54" t="s">
        <v>686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688</v>
      </c>
      <c r="B450" s="54" t="s">
        <v>689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691</v>
      </c>
      <c r="B451" s="54" t="s">
        <v>692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694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694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695</v>
      </c>
      <c r="B457" s="54" t="s">
        <v>696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698</v>
      </c>
      <c r="B458" s="54" t="s">
        <v>699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39">
        <v>700</v>
      </c>
      <c r="Y459" s="540">
        <f>IFERROR(IF(X459="",0,CEILING((X459/$H459),1)*$H459),"")</f>
        <v>708</v>
      </c>
      <c r="Z459" s="36">
        <f>IFERROR(IF(Y459=0,"",ROUNDUP(Y459/H459,0)*0.01898),"")</f>
        <v>1.11982</v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723.91666666666663</v>
      </c>
      <c r="BN459" s="64">
        <f>IFERROR(Y459*I459/H459,"0")</f>
        <v>732.19</v>
      </c>
      <c r="BO459" s="64">
        <f>IFERROR(1/J459*(X459/H459),"0")</f>
        <v>0.91145833333333337</v>
      </c>
      <c r="BP459" s="64">
        <f>IFERROR(1/J459*(Y459/H459),"0")</f>
        <v>0.921875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58.333333333333336</v>
      </c>
      <c r="Y461" s="541">
        <f>IFERROR(Y457/H457,"0")+IFERROR(Y458/H458,"0")+IFERROR(Y459/H459,"0")+IFERROR(Y460/H460,"0")</f>
        <v>59</v>
      </c>
      <c r="Z461" s="541">
        <f>IFERROR(IF(Z457="",0,Z457),"0")+IFERROR(IF(Z458="",0,Z458),"0")+IFERROR(IF(Z459="",0,Z459),"0")+IFERROR(IF(Z460="",0,Z460),"0")</f>
        <v>1.11982</v>
      </c>
      <c r="AA461" s="542"/>
      <c r="AB461" s="542"/>
      <c r="AC461" s="542"/>
    </row>
    <row r="462" spans="1:68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700</v>
      </c>
      <c r="Y462" s="541">
        <f>IFERROR(SUM(Y457:Y460),"0")</f>
        <v>708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135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706</v>
      </c>
      <c r="B464" s="54" t="s">
        <v>707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709</v>
      </c>
      <c r="B465" s="54" t="s">
        <v>710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64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715</v>
      </c>
      <c r="B470" s="54" t="s">
        <v>716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718</v>
      </c>
      <c r="B471" s="54" t="s">
        <v>719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73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69</v>
      </c>
      <c r="X475" s="539">
        <v>1100</v>
      </c>
      <c r="Y475" s="540">
        <f>IFERROR(IF(X475="",0,CEILING((X475/$H475),1)*$H475),"")</f>
        <v>1107</v>
      </c>
      <c r="Z475" s="36">
        <f>IFERROR(IF(Y475=0,"",ROUNDUP(Y475/H475,0)*0.01898),"")</f>
        <v>2.3345400000000001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1160.3777777777777</v>
      </c>
      <c r="BN475" s="64">
        <f>IFERROR(Y475*I475/H475,"0")</f>
        <v>1167.7619999999999</v>
      </c>
      <c r="BO475" s="64">
        <f>IFERROR(1/J475*(X475/H475),"0")</f>
        <v>1.9097222222222223</v>
      </c>
      <c r="BP475" s="64">
        <f>IFERROR(1/J475*(Y475/H475),"0")</f>
        <v>1.921875</v>
      </c>
    </row>
    <row r="476" spans="1:68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122.22222222222223</v>
      </c>
      <c r="Y476" s="541">
        <f>IFERROR(Y475/H475,"0")</f>
        <v>123</v>
      </c>
      <c r="Z476" s="541">
        <f>IFERROR(IF(Z475="",0,Z475),"0")</f>
        <v>2.3345400000000001</v>
      </c>
      <c r="AA476" s="542"/>
      <c r="AB476" s="542"/>
      <c r="AC476" s="542"/>
    </row>
    <row r="477" spans="1:68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1100</v>
      </c>
      <c r="Y477" s="541">
        <f>IFERROR(SUM(Y475:Y475),"0")</f>
        <v>1107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724</v>
      </c>
      <c r="B479" s="54" t="s">
        <v>725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727</v>
      </c>
      <c r="B480" s="54" t="s">
        <v>728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730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731</v>
      </c>
      <c r="B485" s="54" t="s">
        <v>732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734</v>
      </c>
      <c r="Q488" s="625"/>
      <c r="R488" s="625"/>
      <c r="S488" s="625"/>
      <c r="T488" s="625"/>
      <c r="U488" s="625"/>
      <c r="V488" s="626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17490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17684.5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735</v>
      </c>
      <c r="Q489" s="625"/>
      <c r="R489" s="625"/>
      <c r="S489" s="625"/>
      <c r="T489" s="625"/>
      <c r="U489" s="625"/>
      <c r="V489" s="626"/>
      <c r="W489" s="37" t="s">
        <v>69</v>
      </c>
      <c r="X489" s="541">
        <f>IFERROR(SUM(BM22:BM485),"0")</f>
        <v>18568.957200633551</v>
      </c>
      <c r="Y489" s="541">
        <f>IFERROR(SUM(BN22:BN485),"0")</f>
        <v>18775.547999999999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736</v>
      </c>
      <c r="Q490" s="625"/>
      <c r="R490" s="625"/>
      <c r="S490" s="625"/>
      <c r="T490" s="625"/>
      <c r="U490" s="625"/>
      <c r="V490" s="626"/>
      <c r="W490" s="37" t="s">
        <v>737</v>
      </c>
      <c r="X490" s="38">
        <f>ROUNDUP(SUM(BO22:BO485),0)</f>
        <v>31</v>
      </c>
      <c r="Y490" s="38">
        <f>ROUNDUP(SUM(BP22:BP485),0)</f>
        <v>31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738</v>
      </c>
      <c r="Q491" s="625"/>
      <c r="R491" s="625"/>
      <c r="S491" s="625"/>
      <c r="T491" s="625"/>
      <c r="U491" s="625"/>
      <c r="V491" s="626"/>
      <c r="W491" s="37" t="s">
        <v>69</v>
      </c>
      <c r="X491" s="541">
        <f>GrossWeightTotal+PalletQtyTotal*25</f>
        <v>19343.957200633551</v>
      </c>
      <c r="Y491" s="541">
        <f>GrossWeightTotalR+PalletQtyTotalR*25</f>
        <v>19550.547999999999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739</v>
      </c>
      <c r="Q492" s="625"/>
      <c r="R492" s="625"/>
      <c r="S492" s="625"/>
      <c r="T492" s="625"/>
      <c r="U492" s="625"/>
      <c r="V492" s="626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3381.6995770300359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3415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740</v>
      </c>
      <c r="Q493" s="625"/>
      <c r="R493" s="625"/>
      <c r="S493" s="625"/>
      <c r="T493" s="625"/>
      <c r="U493" s="625"/>
      <c r="V493" s="626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35.397169999999996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251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532</v>
      </c>
      <c r="T495" s="592"/>
      <c r="U495" s="571" t="s">
        <v>583</v>
      </c>
      <c r="V495" s="591"/>
      <c r="W495" s="592"/>
      <c r="X495" s="536" t="s">
        <v>634</v>
      </c>
      <c r="Y495" s="571" t="s">
        <v>694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743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220</v>
      </c>
      <c r="H496" s="571" t="s">
        <v>97</v>
      </c>
      <c r="I496" s="571" t="s">
        <v>252</v>
      </c>
      <c r="J496" s="571" t="s">
        <v>297</v>
      </c>
      <c r="K496" s="571" t="s">
        <v>356</v>
      </c>
      <c r="L496" s="571" t="s">
        <v>398</v>
      </c>
      <c r="M496" s="571" t="s">
        <v>414</v>
      </c>
      <c r="N496" s="537"/>
      <c r="O496" s="571" t="s">
        <v>425</v>
      </c>
      <c r="P496" s="571" t="s">
        <v>434</v>
      </c>
      <c r="Q496" s="571" t="s">
        <v>448</v>
      </c>
      <c r="R496" s="571" t="s">
        <v>522</v>
      </c>
      <c r="S496" s="571" t="s">
        <v>533</v>
      </c>
      <c r="T496" s="571" t="s">
        <v>567</v>
      </c>
      <c r="U496" s="571" t="s">
        <v>584</v>
      </c>
      <c r="V496" s="571" t="s">
        <v>615</v>
      </c>
      <c r="W496" s="571" t="s">
        <v>630</v>
      </c>
      <c r="X496" s="571" t="s">
        <v>634</v>
      </c>
      <c r="Y496" s="571" t="s">
        <v>694</v>
      </c>
      <c r="Z496" s="571" t="s">
        <v>730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405.20000000000005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936.60000000000014</v>
      </c>
      <c r="E498" s="46">
        <f>IFERROR(Y85*1,"0")+IFERROR(Y86*1,"0")+IFERROR(Y87*1,"0")+IFERROR(Y91*1,"0")+IFERROR(Y92*1,"0")+IFERROR(Y93*1,"0")+IFERROR(Y94*1,"0")</f>
        <v>1134.9000000000001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1329.66</v>
      </c>
      <c r="G498" s="46">
        <f>IFERROR(Y124*1,"0")+IFERROR(Y125*1,"0")+IFERROR(Y129*1,"0")+IFERROR(Y130*1,"0")+IFERROR(Y134*1,"0")+IFERROR(Y135*1,"0")</f>
        <v>126.79999999999998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566.16000000000008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1877.3999999999999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208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180</v>
      </c>
      <c r="P498" s="46">
        <f>IFERROR(Y278*1,"0")+IFERROR(Y279*1,"0")+IFERROR(Y283*1,"0")+IFERROR(Y284*1,"0")</f>
        <v>12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830.4</v>
      </c>
      <c r="R498" s="46">
        <f>IFERROR(Y334*1,"0")+IFERROR(Y335*1,"0")+IFERROR(Y336*1,"0")</f>
        <v>1190.7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5930</v>
      </c>
      <c r="T498" s="46">
        <f>IFERROR(Y367*1,"0")+IFERROR(Y368*1,"0")+IFERROR(Y372*1,"0")+IFERROR(Y373*1,"0")+IFERROR(Y377*1,"0")+IFERROR(Y378*1,"0")</f>
        <v>87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46.2</v>
      </c>
      <c r="V498" s="46">
        <f>IFERROR(Y402*1,"0")+IFERROR(Y406*1,"0")+IFERROR(Y407*1,"0")+IFERROR(Y408*1,"0")+IFERROR(Y409*1,"0")</f>
        <v>8.4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979.68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1815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2,00"/>
        <filter val="1 100,00"/>
        <filter val="1 190,00"/>
        <filter val="1 400,00"/>
        <filter val="1,94"/>
        <filter val="10,50"/>
        <filter val="100,00"/>
        <filter val="104,63"/>
        <filter val="105,00"/>
        <filter val="106,25"/>
        <filter val="12,00"/>
        <filter val="120,00"/>
        <filter val="122,22"/>
        <filter val="13,75"/>
        <filter val="135,00"/>
        <filter val="14,00"/>
        <filter val="15,00"/>
        <filter val="150,00"/>
        <filter val="153,70"/>
        <filter val="16,67"/>
        <filter val="160,00"/>
        <filter val="17 490,00"/>
        <filter val="175,00"/>
        <filter val="18 568,96"/>
        <filter val="18,00"/>
        <filter val="180,00"/>
        <filter val="19 343,96"/>
        <filter val="196,00"/>
        <filter val="196,05"/>
        <filter val="2 100,00"/>
        <filter val="2,22"/>
        <filter val="2,78"/>
        <filter val="20,00"/>
        <filter val="200,00"/>
        <filter val="204,52"/>
        <filter val="21,00"/>
        <filter val="21,67"/>
        <filter val="22,73"/>
        <filter val="24,00"/>
        <filter val="240,00"/>
        <filter val="26,11"/>
        <filter val="280,00"/>
        <filter val="285,74"/>
        <filter val="296,00"/>
        <filter val="3 381,70"/>
        <filter val="3,33"/>
        <filter val="3,50"/>
        <filter val="3,85"/>
        <filter val="30,00"/>
        <filter val="300,00"/>
        <filter val="31"/>
        <filter val="315,00"/>
        <filter val="319,83"/>
        <filter val="32,90"/>
        <filter val="328,67"/>
        <filter val="33,00"/>
        <filter val="33,62"/>
        <filter val="335,00"/>
        <filter val="35,00"/>
        <filter val="350,00"/>
        <filter val="360,00"/>
        <filter val="38,50"/>
        <filter val="39,60"/>
        <filter val="4 830,00"/>
        <filter val="4,17"/>
        <filter val="40,00"/>
        <filter val="400,00"/>
        <filter val="45,50"/>
        <filter val="450,00"/>
        <filter val="48,00"/>
        <filter val="5,00"/>
        <filter val="50,00"/>
        <filter val="500,00"/>
        <filter val="51,00"/>
        <filter val="510,00"/>
        <filter val="519,50"/>
        <filter val="540,00"/>
        <filter val="560,00"/>
        <filter val="566,67"/>
        <filter val="58,33"/>
        <filter val="58,45"/>
        <filter val="60,00"/>
        <filter val="615,00"/>
        <filter val="620,00"/>
        <filter val="68,52"/>
        <filter val="69,67"/>
        <filter val="7,00"/>
        <filter val="70,00"/>
        <filter val="700,00"/>
        <filter val="75,00"/>
        <filter val="77,00"/>
        <filter val="77,47"/>
        <filter val="784,00"/>
        <filter val="8,40"/>
        <filter val="80,00"/>
        <filter val="84,00"/>
        <filter val="840,00"/>
        <filter val="87,50"/>
        <filter val="90,00"/>
        <filter val="93,89"/>
        <filter val="95,00"/>
        <filter val="961,00"/>
        <filter val="98,52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