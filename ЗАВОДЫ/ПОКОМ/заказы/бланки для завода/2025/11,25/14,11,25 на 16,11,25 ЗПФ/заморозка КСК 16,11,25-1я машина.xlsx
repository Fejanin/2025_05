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DD41BD-9FCC-4C67-98A9-0C0080FC51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Z114" i="1" s="1"/>
  <c r="Y113" i="1"/>
  <c r="Y114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BP86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Y57" i="1"/>
  <c r="Y60" i="1" s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Z30" i="1" s="1"/>
  <c r="Y28" i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6" i="1" l="1"/>
  <c r="Z82" i="1"/>
  <c r="Z92" i="1"/>
  <c r="BN86" i="1"/>
  <c r="BN88" i="1"/>
  <c r="BN90" i="1"/>
  <c r="Z98" i="1"/>
  <c r="Z110" i="1"/>
  <c r="BN102" i="1"/>
  <c r="BN104" i="1"/>
  <c r="BN106" i="1"/>
  <c r="BN108" i="1"/>
  <c r="Z124" i="1"/>
  <c r="Z130" i="1"/>
  <c r="BN128" i="1"/>
  <c r="Z136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BN174" i="1"/>
  <c r="BP174" i="1"/>
  <c r="Y175" i="1"/>
  <c r="BN180" i="1"/>
  <c r="BP180" i="1"/>
  <c r="Y181" i="1"/>
  <c r="Z188" i="1"/>
  <c r="BN184" i="1"/>
  <c r="BN185" i="1"/>
  <c r="BN187" i="1"/>
  <c r="Y196" i="1"/>
  <c r="Z196" i="1"/>
  <c r="Y197" i="1"/>
  <c r="X275" i="1"/>
  <c r="X278" i="1"/>
  <c r="X274" i="1"/>
  <c r="Y31" i="1"/>
  <c r="BN29" i="1"/>
  <c r="Y38" i="1"/>
  <c r="Z45" i="1"/>
  <c r="BN41" i="1"/>
  <c r="BP41" i="1"/>
  <c r="BN43" i="1"/>
  <c r="Z59" i="1"/>
  <c r="Z65" i="1"/>
  <c r="Z279" i="1" s="1"/>
  <c r="BN62" i="1"/>
  <c r="BP62" i="1"/>
  <c r="BN64" i="1"/>
  <c r="Y71" i="1"/>
  <c r="Y83" i="1"/>
  <c r="BN81" i="1"/>
  <c r="Y92" i="1"/>
  <c r="Y99" i="1"/>
  <c r="BN97" i="1"/>
  <c r="Y110" i="1"/>
  <c r="Y125" i="1"/>
  <c r="BN123" i="1"/>
  <c r="Y130" i="1"/>
  <c r="BN135" i="1"/>
  <c r="Y163" i="1"/>
  <c r="Y164" i="1"/>
  <c r="Z171" i="1"/>
  <c r="BN169" i="1"/>
  <c r="Y189" i="1"/>
  <c r="BN192" i="1"/>
  <c r="BP192" i="1"/>
  <c r="BN194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11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09" i="1"/>
  <c r="BN113" i="1"/>
  <c r="BP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X277" i="1" l="1"/>
  <c r="Y278" i="1"/>
  <c r="Y275" i="1"/>
  <c r="Y274" i="1"/>
  <c r="Y276" i="1"/>
  <c r="B287" i="1" l="1"/>
  <c r="Y277" i="1"/>
  <c r="C287" i="1"/>
  <c r="A287" i="1"/>
</calcChain>
</file>

<file path=xl/sharedStrings.xml><?xml version="1.0" encoding="utf-8"?>
<sst xmlns="http://schemas.openxmlformats.org/spreadsheetml/2006/main" count="1230" uniqueCount="398">
  <si>
    <t xml:space="preserve">  БЛАНК ЗАКАЗА </t>
  </si>
  <si>
    <t>ЗПФ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</si>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</sst>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5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0" t="s">
        <v>8</v>
      </c>
      <c r="B5" s="318"/>
      <c r="C5" s="319"/>
      <c r="D5" s="325"/>
      <c r="E5" s="326"/>
      <c r="F5" s="437" t="s">
        <v>9</v>
      </c>
      <c r="G5" s="319"/>
      <c r="H5" s="325" t="s">
        <v>397</v>
      </c>
      <c r="I5" s="382"/>
      <c r="J5" s="382"/>
      <c r="K5" s="382"/>
      <c r="L5" s="382"/>
      <c r="M5" s="326"/>
      <c r="N5" s="61"/>
      <c r="P5" s="24" t="s">
        <v>10</v>
      </c>
      <c r="Q5" s="443">
        <v>45977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30" t="s">
        <v>13</v>
      </c>
      <c r="B6" s="318"/>
      <c r="C6" s="319"/>
      <c r="D6" s="452" t="s">
        <v>14</v>
      </c>
      <c r="E6" s="453"/>
      <c r="F6" s="453"/>
      <c r="G6" s="453"/>
      <c r="H6" s="453"/>
      <c r="I6" s="453"/>
      <c r="J6" s="453"/>
      <c r="K6" s="453"/>
      <c r="L6" s="453"/>
      <c r="M6" s="349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Воскресенье</v>
      </c>
      <c r="R6" s="285"/>
      <c r="T6" s="383" t="s">
        <v>16</v>
      </c>
      <c r="U6" s="372"/>
      <c r="V6" s="377" t="s">
        <v>17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3"/>
      <c r="U7" s="372"/>
      <c r="V7" s="378"/>
      <c r="W7" s="379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3">
        <v>0.375</v>
      </c>
      <c r="R8" s="307"/>
      <c r="T8" s="283"/>
      <c r="U8" s="372"/>
      <c r="V8" s="378"/>
      <c r="W8" s="379"/>
      <c r="AB8" s="51"/>
      <c r="AC8" s="51"/>
      <c r="AD8" s="51"/>
      <c r="AE8" s="51"/>
    </row>
    <row r="9" spans="1:32" s="262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75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28"/>
      <c r="R9" s="329"/>
      <c r="T9" s="283"/>
      <c r="U9" s="372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75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4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84"/>
      <c r="R10" s="385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39" t="s">
        <v>28</v>
      </c>
      <c r="W11" s="32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3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3"/>
      <c r="R12" s="307"/>
      <c r="S12" s="23"/>
      <c r="U12" s="24"/>
      <c r="V12" s="293"/>
      <c r="W12" s="283"/>
      <c r="AB12" s="51"/>
      <c r="AC12" s="51"/>
      <c r="AD12" s="51"/>
      <c r="AE12" s="51"/>
    </row>
    <row r="13" spans="1:32" s="262" customFormat="1" ht="23.25" customHeight="1" x14ac:dyDescent="0.2">
      <c r="A13" s="363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39"/>
      <c r="R13" s="3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3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7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8"/>
      <c r="Q16" s="368"/>
      <c r="R16" s="368"/>
      <c r="S16" s="368"/>
      <c r="T16" s="3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7" t="s">
        <v>38</v>
      </c>
      <c r="D17" s="297" t="s">
        <v>39</v>
      </c>
      <c r="E17" s="338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7"/>
      <c r="R17" s="337"/>
      <c r="S17" s="337"/>
      <c r="T17" s="338"/>
      <c r="U17" s="449" t="s">
        <v>51</v>
      </c>
      <c r="V17" s="319"/>
      <c r="W17" s="297" t="s">
        <v>52</v>
      </c>
      <c r="X17" s="297" t="s">
        <v>53</v>
      </c>
      <c r="Y17" s="365" t="s">
        <v>54</v>
      </c>
      <c r="Z17" s="409" t="s">
        <v>55</v>
      </c>
      <c r="AA17" s="402" t="s">
        <v>56</v>
      </c>
      <c r="AB17" s="402" t="s">
        <v>57</v>
      </c>
      <c r="AC17" s="402" t="s">
        <v>58</v>
      </c>
      <c r="AD17" s="402" t="s">
        <v>59</v>
      </c>
      <c r="AE17" s="432"/>
      <c r="AF17" s="433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9"/>
      <c r="E18" s="341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8"/>
      <c r="X18" s="298"/>
      <c r="Y18" s="366"/>
      <c r="Z18" s="410"/>
      <c r="AA18" s="403"/>
      <c r="AB18" s="403"/>
      <c r="AC18" s="403"/>
      <c r="AD18" s="434"/>
      <c r="AE18" s="435"/>
      <c r="AF18" s="436"/>
      <c r="AG18" s="69"/>
      <c r="BD18" s="68"/>
    </row>
    <row r="19" spans="1:68" ht="27.75" hidden="1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hidden="1" customHeight="1" x14ac:dyDescent="0.25">
      <c r="A21" s="304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hidden="1" customHeight="1" x14ac:dyDescent="0.25">
      <c r="A27" s="304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68">
        <v>168</v>
      </c>
      <c r="Y28" s="269">
        <f>IFERROR(IF(X28="","",X28),"")</f>
        <v>168</v>
      </c>
      <c r="Z28" s="36">
        <f>IFERROR(IF(X28="","",X28*0.00941),"")</f>
        <v>1.5808800000000001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322.86239999999998</v>
      </c>
      <c r="BN28" s="67">
        <f>IFERROR(Y28*I28,"0")</f>
        <v>322.86239999999998</v>
      </c>
      <c r="BO28" s="67">
        <f>IFERROR(X28/J28,"0")</f>
        <v>1.2</v>
      </c>
      <c r="BP28" s="67">
        <f>IFERROR(Y28/J28,"0")</f>
        <v>1.2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168</v>
      </c>
      <c r="Y30" s="270">
        <f>IFERROR(SUM(Y28:Y29),"0")</f>
        <v>168</v>
      </c>
      <c r="Z30" s="270">
        <f>IFERROR(IF(Z28="",0,Z28),"0")+IFERROR(IF(Z29="",0,Z29),"0")</f>
        <v>1.5808800000000001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252</v>
      </c>
      <c r="Y31" s="270">
        <f>IFERROR(SUMPRODUCT(Y28:Y29*H28:H29),"0")</f>
        <v>252</v>
      </c>
      <c r="Z31" s="37"/>
      <c r="AA31" s="271"/>
      <c r="AB31" s="271"/>
      <c r="AC31" s="271"/>
    </row>
    <row r="32" spans="1:68" ht="16.5" hidden="1" customHeight="1" x14ac:dyDescent="0.25">
      <c r="A32" s="282" t="s">
        <v>87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hidden="1" customHeight="1" x14ac:dyDescent="0.25">
      <c r="A33" s="304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39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hidden="1" customHeight="1" x14ac:dyDescent="0.25">
      <c r="A39" s="282" t="s">
        <v>99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hidden="1" customHeight="1" x14ac:dyDescent="0.25">
      <c r="A40" s="304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68">
        <v>60</v>
      </c>
      <c r="Y41" s="269">
        <f>IFERROR(IF(X41="","",X41),"")</f>
        <v>60</v>
      </c>
      <c r="Z41" s="36">
        <f>IFERROR(IF(X41="","",X41*0.0155),"")</f>
        <v>0.92999999999999994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438</v>
      </c>
      <c r="BN41" s="67">
        <f>IFERROR(Y41*I41,"0")</f>
        <v>438</v>
      </c>
      <c r="BO41" s="67">
        <f>IFERROR(X41/J41,"0")</f>
        <v>0.7142857142857143</v>
      </c>
      <c r="BP41" s="67">
        <f>IFERROR(Y41/J41,"0")</f>
        <v>0.7142857142857143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68">
        <v>72</v>
      </c>
      <c r="Y42" s="269">
        <f>IFERROR(IF(X42="","",X42),"")</f>
        <v>72</v>
      </c>
      <c r="Z42" s="36">
        <f>IFERROR(IF(X42="","",X42*0.0155),"")</f>
        <v>1.1160000000000001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524.59199999999998</v>
      </c>
      <c r="BN42" s="67">
        <f>IFERROR(Y42*I42,"0")</f>
        <v>524.59199999999998</v>
      </c>
      <c r="BO42" s="67">
        <f>IFERROR(X42/J42,"0")</f>
        <v>0.8571428571428571</v>
      </c>
      <c r="BP42" s="67">
        <f>IFERROR(Y42/J42,"0")</f>
        <v>0.8571428571428571</v>
      </c>
    </row>
    <row r="43" spans="1:68" ht="27" hidden="1" customHeight="1" x14ac:dyDescent="0.25">
      <c r="A43" s="54" t="s">
        <v>106</v>
      </c>
      <c r="B43" s="54" t="s">
        <v>107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68">
        <v>84</v>
      </c>
      <c r="Y44" s="269">
        <f>IFERROR(IF(X44="","",X44),"")</f>
        <v>84</v>
      </c>
      <c r="Z44" s="36">
        <f>IFERROR(IF(X44="","",X44*0.0155),"")</f>
        <v>1.302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613.19999999999993</v>
      </c>
      <c r="BN44" s="67">
        <f>IFERROR(Y44*I44,"0")</f>
        <v>613.19999999999993</v>
      </c>
      <c r="BO44" s="67">
        <f>IFERROR(X44/J44,"0")</f>
        <v>1</v>
      </c>
      <c r="BP44" s="67">
        <f>IFERROR(Y44/J44,"0")</f>
        <v>1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216</v>
      </c>
      <c r="Y45" s="270">
        <f>IFERROR(SUM(Y41:Y44),"0")</f>
        <v>216</v>
      </c>
      <c r="Z45" s="270">
        <f>IFERROR(IF(Z41="",0,Z41),"0")+IFERROR(IF(Z42="",0,Z42),"0")+IFERROR(IF(Z43="",0,Z43),"0")+IFERROR(IF(Z44="",0,Z44),"0")</f>
        <v>3.3480000000000003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1512</v>
      </c>
      <c r="Y46" s="270">
        <f>IFERROR(SUMPRODUCT(Y41:Y44*H41:H44),"0")</f>
        <v>1512</v>
      </c>
      <c r="Z46" s="37"/>
      <c r="AA46" s="271"/>
      <c r="AB46" s="271"/>
      <c r="AC46" s="271"/>
    </row>
    <row r="47" spans="1:68" ht="16.5" hidden="1" customHeight="1" x14ac:dyDescent="0.25">
      <c r="A47" s="282" t="s">
        <v>110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hidden="1" customHeight="1" x14ac:dyDescent="0.25">
      <c r="A48" s="304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117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123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68">
        <v>56</v>
      </c>
      <c r="Y63" s="269">
        <f>IFERROR(IF(X63="","",X63),"")</f>
        <v>56</v>
      </c>
      <c r="Z63" s="36">
        <f>IFERROR(IF(X63="","",X63*0.00941),"")</f>
        <v>0.52695999999999998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87.36</v>
      </c>
      <c r="BN63" s="67">
        <f>IFERROR(Y63*I63,"0")</f>
        <v>87.36</v>
      </c>
      <c r="BO63" s="67">
        <f>IFERROR(X63/J63,"0")</f>
        <v>0.4</v>
      </c>
      <c r="BP63" s="67">
        <f>IFERROR(Y63/J63,"0")</f>
        <v>0.4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68">
        <v>28</v>
      </c>
      <c r="Y64" s="269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84</v>
      </c>
      <c r="Y65" s="270">
        <f>IFERROR(SUM(Y62:Y64),"0")</f>
        <v>84</v>
      </c>
      <c r="Z65" s="270">
        <f>IFERROR(IF(Z62="",0,Z62),"0")+IFERROR(IF(Z63="",0,Z63),"0")+IFERROR(IF(Z64="",0,Z64),"0")</f>
        <v>0.79044000000000003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100.80000000000001</v>
      </c>
      <c r="Y66" s="270">
        <f>IFERROR(SUMPRODUCT(Y62:Y64*H62:H64),"0")</f>
        <v>100.80000000000001</v>
      </c>
      <c r="Z66" s="37"/>
      <c r="AA66" s="271"/>
      <c r="AB66" s="271"/>
      <c r="AC66" s="271"/>
    </row>
    <row r="67" spans="1:68" ht="16.5" hidden="1" customHeight="1" x14ac:dyDescent="0.25">
      <c r="A67" s="282" t="s">
        <v>131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hidden="1" customHeight="1" x14ac:dyDescent="0.25">
      <c r="A68" s="304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68">
        <v>192</v>
      </c>
      <c r="Y70" s="269">
        <f>IFERROR(IF(X70="","",X70),"")</f>
        <v>192</v>
      </c>
      <c r="Z70" s="36">
        <f>IFERROR(IF(X70="","",X70*0.00866),"")</f>
        <v>1.6627199999999998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1000.9343999999999</v>
      </c>
      <c r="BN70" s="67">
        <f>IFERROR(Y70*I70,"0")</f>
        <v>1000.9343999999999</v>
      </c>
      <c r="BO70" s="67">
        <f>IFERROR(X70/J70,"0")</f>
        <v>1.3333333333333333</v>
      </c>
      <c r="BP70" s="67">
        <f>IFERROR(Y70/J70,"0")</f>
        <v>1.3333333333333333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192</v>
      </c>
      <c r="Y71" s="270">
        <f>IFERROR(SUM(Y69:Y70),"0")</f>
        <v>192</v>
      </c>
      <c r="Z71" s="270">
        <f>IFERROR(IF(Z69="",0,Z69),"0")+IFERROR(IF(Z70="",0,Z70),"0")</f>
        <v>1.6627199999999998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960</v>
      </c>
      <c r="Y72" s="270">
        <f>IFERROR(SUMPRODUCT(Y69:Y70*H69:H70),"0")</f>
        <v>960</v>
      </c>
      <c r="Z72" s="37"/>
      <c r="AA72" s="271"/>
      <c r="AB72" s="271"/>
      <c r="AC72" s="271"/>
    </row>
    <row r="73" spans="1:68" ht="16.5" hidden="1" customHeight="1" x14ac:dyDescent="0.25">
      <c r="A73" s="282" t="s">
        <v>138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hidden="1" customHeight="1" x14ac:dyDescent="0.25">
      <c r="A74" s="304" t="s">
        <v>123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82" t="s">
        <v>142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hidden="1" customHeight="1" x14ac:dyDescent="0.25">
      <c r="A79" s="304" t="s">
        <v>143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hidden="1" customHeight="1" x14ac:dyDescent="0.25">
      <c r="A84" s="282" t="s">
        <v>150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hidden="1" customHeight="1" x14ac:dyDescent="0.25">
      <c r="A85" s="304" t="s">
        <v>123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9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68">
        <v>70</v>
      </c>
      <c r="Y87" s="269">
        <f t="shared" si="0"/>
        <v>70</v>
      </c>
      <c r="Z87" s="36">
        <f t="shared" si="1"/>
        <v>1.2516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68">
        <v>84</v>
      </c>
      <c r="Y89" s="269">
        <f t="shared" si="0"/>
        <v>84</v>
      </c>
      <c r="Z89" s="36">
        <f t="shared" si="1"/>
        <v>1.5019199999999999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301.0224</v>
      </c>
      <c r="BN89" s="67">
        <f t="shared" si="3"/>
        <v>301.0224</v>
      </c>
      <c r="BO89" s="67">
        <f t="shared" si="4"/>
        <v>1.2</v>
      </c>
      <c r="BP89" s="67">
        <f t="shared" si="5"/>
        <v>1.2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3.2541600000000002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542.64</v>
      </c>
      <c r="Y93" s="270">
        <f>IFERROR(SUMPRODUCT(Y86:Y91*H86:H91),"0")</f>
        <v>542.64</v>
      </c>
      <c r="Z93" s="37"/>
      <c r="AA93" s="271"/>
      <c r="AB93" s="271"/>
      <c r="AC93" s="271"/>
    </row>
    <row r="94" spans="1:68" ht="16.5" hidden="1" customHeight="1" x14ac:dyDescent="0.25">
      <c r="A94" s="282" t="s">
        <v>165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hidden="1" customHeight="1" x14ac:dyDescent="0.25">
      <c r="A95" s="304" t="s">
        <v>117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68">
        <v>14</v>
      </c>
      <c r="Y96" s="269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14</v>
      </c>
      <c r="Y98" s="270">
        <f>IFERROR(SUM(Y96:Y97),"0")</f>
        <v>14</v>
      </c>
      <c r="Z98" s="270">
        <f>IFERROR(IF(Z96="",0,Z96),"0")+IFERROR(IF(Z97="",0,Z97),"0")</f>
        <v>0.13103999999999999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30.240000000000002</v>
      </c>
      <c r="Y99" s="270">
        <f>IFERROR(SUMPRODUCT(Y96:Y97*H96:H97),"0")</f>
        <v>30.240000000000002</v>
      </c>
      <c r="Z99" s="37"/>
      <c r="AA99" s="271"/>
      <c r="AB99" s="271"/>
      <c r="AC99" s="271"/>
    </row>
    <row r="100" spans="1:68" ht="16.5" hidden="1" customHeight="1" x14ac:dyDescent="0.25">
      <c r="A100" s="282" t="s">
        <v>171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hidden="1" customHeight="1" x14ac:dyDescent="0.25">
      <c r="A101" s="304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68">
        <v>12</v>
      </c>
      <c r="Y102" s="269">
        <f t="shared" ref="Y102:Y109" si="6">IFERROR(IF(X102="","",X102),"")</f>
        <v>12</v>
      </c>
      <c r="Z102" s="36">
        <f t="shared" ref="Z102:Z109" si="7">IFERROR(IF(X102="","",X102*0.0155),"")</f>
        <v>0.186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87.36</v>
      </c>
      <c r="BN102" s="67">
        <f t="shared" ref="BN102:BN109" si="9">IFERROR(Y102*I102,"0")</f>
        <v>87.36</v>
      </c>
      <c r="BO102" s="67">
        <f t="shared" ref="BO102:BO109" si="10">IFERROR(X102/J102,"0")</f>
        <v>0.14285714285714285</v>
      </c>
      <c r="BP102" s="67">
        <f t="shared" ref="BP102:BP109" si="11">IFERROR(Y102/J102,"0")</f>
        <v>0.14285714285714285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68">
        <v>36</v>
      </c>
      <c r="Y103" s="269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68">
        <v>96</v>
      </c>
      <c r="Y104" s="269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5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68">
        <v>60</v>
      </c>
      <c r="Y106" s="269">
        <f t="shared" si="6"/>
        <v>60</v>
      </c>
      <c r="Z106" s="36">
        <f t="shared" si="7"/>
        <v>0.92999999999999994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403.17599999999999</v>
      </c>
      <c r="BN106" s="67">
        <f t="shared" si="9"/>
        <v>403.17599999999999</v>
      </c>
      <c r="BO106" s="67">
        <f t="shared" si="10"/>
        <v>0.7142857142857143</v>
      </c>
      <c r="BP106" s="67">
        <f t="shared" si="11"/>
        <v>0.7142857142857143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68">
        <v>156</v>
      </c>
      <c r="Y107" s="269">
        <f t="shared" si="6"/>
        <v>156</v>
      </c>
      <c r="Z107" s="36">
        <f t="shared" si="7"/>
        <v>2.4180000000000001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1138.8</v>
      </c>
      <c r="BN107" s="67">
        <f t="shared" si="9"/>
        <v>1138.8</v>
      </c>
      <c r="BO107" s="67">
        <f t="shared" si="10"/>
        <v>1.8571428571428572</v>
      </c>
      <c r="BP107" s="67">
        <f t="shared" si="11"/>
        <v>1.8571428571428572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84">
        <v>4620207491102</v>
      </c>
      <c r="E109" s="285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68">
        <v>24</v>
      </c>
      <c r="Y109" s="269">
        <f t="shared" si="6"/>
        <v>24</v>
      </c>
      <c r="Z109" s="36">
        <f t="shared" si="7"/>
        <v>0.372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173.52</v>
      </c>
      <c r="BN109" s="67">
        <f t="shared" si="9"/>
        <v>173.52</v>
      </c>
      <c r="BO109" s="67">
        <f t="shared" si="10"/>
        <v>0.2857142857142857</v>
      </c>
      <c r="BP109" s="67">
        <f t="shared" si="11"/>
        <v>0.2857142857142857</v>
      </c>
    </row>
    <row r="110" spans="1:68" x14ac:dyDescent="0.2">
      <c r="A110" s="286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0">
        <f>IFERROR(SUM(X102:X109),"0")</f>
        <v>384</v>
      </c>
      <c r="Y110" s="270">
        <f>IFERROR(SUM(Y102:Y109),"0")</f>
        <v>384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5.952</v>
      </c>
      <c r="AA110" s="271"/>
      <c r="AB110" s="271"/>
      <c r="AC110" s="271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7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0">
        <f>IFERROR(SUMPRODUCT(X102:X109*H102:H109),"0")</f>
        <v>2630.4</v>
      </c>
      <c r="Y111" s="270">
        <f>IFERROR(SUMPRODUCT(Y102:Y109*H102:H109),"0")</f>
        <v>2630.4</v>
      </c>
      <c r="Z111" s="37"/>
      <c r="AA111" s="271"/>
      <c r="AB111" s="271"/>
      <c r="AC111" s="271"/>
    </row>
    <row r="112" spans="1:68" ht="14.25" hidden="1" customHeight="1" x14ac:dyDescent="0.25">
      <c r="A112" s="304" t="s">
        <v>123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4"/>
      <c r="AB112" s="264"/>
      <c r="AC112" s="264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68">
        <v>14</v>
      </c>
      <c r="Y113" s="269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6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0">
        <f>IFERROR(SUM(X113:X113),"0")</f>
        <v>14</v>
      </c>
      <c r="Y114" s="270">
        <f>IFERROR(SUM(Y113:Y113),"0")</f>
        <v>14</v>
      </c>
      <c r="Z114" s="270">
        <f>IFERROR(IF(Z113="",0,Z113),"0")</f>
        <v>0.25031999999999999</v>
      </c>
      <c r="AA114" s="271"/>
      <c r="AB114" s="271"/>
      <c r="AC114" s="271"/>
    </row>
    <row r="115" spans="1:68" x14ac:dyDescent="0.2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7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0">
        <f>IFERROR(SUMPRODUCT(X113:X113*H113:H113),"0")</f>
        <v>36.96</v>
      </c>
      <c r="Y115" s="270">
        <f>IFERROR(SUMPRODUCT(Y113:Y113*H113:H113),"0")</f>
        <v>36.96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195</v>
      </c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64"/>
      <c r="AB116" s="264"/>
      <c r="AC116" s="264"/>
    </row>
    <row r="117" spans="1:68" ht="27" hidden="1" customHeight="1" x14ac:dyDescent="0.25">
      <c r="A117" s="54" t="s">
        <v>196</v>
      </c>
      <c r="B117" s="54" t="s">
        <v>197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7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82" t="s">
        <v>199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3"/>
      <c r="AB120" s="263"/>
      <c r="AC120" s="263"/>
    </row>
    <row r="121" spans="1:68" ht="14.25" hidden="1" customHeight="1" x14ac:dyDescent="0.25">
      <c r="A121" s="304" t="s">
        <v>123</v>
      </c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8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68">
        <v>98</v>
      </c>
      <c r="Y122" s="269">
        <f>IFERROR(IF(X122="","",X122),"")</f>
        <v>98</v>
      </c>
      <c r="Z122" s="36">
        <f>IFERROR(IF(X122="","",X122*0.01788),"")</f>
        <v>1.75224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362.95279999999997</v>
      </c>
      <c r="BN122" s="67">
        <f>IFERROR(Y122*I122,"0")</f>
        <v>362.95279999999997</v>
      </c>
      <c r="BO122" s="67">
        <f>IFERROR(X122/J122,"0")</f>
        <v>1.4</v>
      </c>
      <c r="BP122" s="67">
        <f>IFERROR(Y122/J122,"0")</f>
        <v>1.4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68">
        <v>224</v>
      </c>
      <c r="Y123" s="269">
        <f>IFERROR(IF(X123="","",X123),"")</f>
        <v>224</v>
      </c>
      <c r="Z123" s="36">
        <f>IFERROR(IF(X123="","",X123*0.01788),"")</f>
        <v>4.0051199999999998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829.60639999999989</v>
      </c>
      <c r="BN123" s="67">
        <f>IFERROR(Y123*I123,"0")</f>
        <v>829.60639999999989</v>
      </c>
      <c r="BO123" s="67">
        <f>IFERROR(X123/J123,"0")</f>
        <v>3.2</v>
      </c>
      <c r="BP123" s="67">
        <f>IFERROR(Y123/J123,"0")</f>
        <v>3.2</v>
      </c>
    </row>
    <row r="124" spans="1:68" x14ac:dyDescent="0.2">
      <c r="A124" s="286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0">
        <f>IFERROR(SUM(X122:X123),"0")</f>
        <v>322</v>
      </c>
      <c r="Y124" s="270">
        <f>IFERROR(SUM(Y122:Y123),"0")</f>
        <v>322</v>
      </c>
      <c r="Z124" s="270">
        <f>IFERROR(IF(Z122="",0,Z122),"0")+IFERROR(IF(Z123="",0,Z123),"0")</f>
        <v>5.7573600000000003</v>
      </c>
      <c r="AA124" s="271"/>
      <c r="AB124" s="271"/>
      <c r="AC124" s="271"/>
    </row>
    <row r="125" spans="1:68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7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0">
        <f>IFERROR(SUMPRODUCT(X122:X123*H122:H123),"0")</f>
        <v>966</v>
      </c>
      <c r="Y125" s="270">
        <f>IFERROR(SUMPRODUCT(Y122:Y123*H122:H123),"0")</f>
        <v>966</v>
      </c>
      <c r="Z125" s="37"/>
      <c r="AA125" s="271"/>
      <c r="AB125" s="271"/>
      <c r="AC125" s="271"/>
    </row>
    <row r="126" spans="1:68" ht="16.5" hidden="1" customHeight="1" x14ac:dyDescent="0.25">
      <c r="A126" s="282" t="s">
        <v>205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3"/>
      <c r="AB126" s="263"/>
      <c r="AC126" s="263"/>
    </row>
    <row r="127" spans="1:68" ht="14.25" hidden="1" customHeight="1" x14ac:dyDescent="0.25">
      <c r="A127" s="304" t="s">
        <v>123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2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104.944</v>
      </c>
      <c r="BN128" s="67">
        <f>IFERROR(Y128*I128,"0")</f>
        <v>104.944</v>
      </c>
      <c r="BO128" s="67">
        <f>IFERROR(X128/J128,"0")</f>
        <v>0.4</v>
      </c>
      <c r="BP128" s="67">
        <f>IFERROR(Y128/J128,"0")</f>
        <v>0.4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68">
        <v>70</v>
      </c>
      <c r="Y129" s="269">
        <f>IFERROR(IF(X129="","",X129),"")</f>
        <v>70</v>
      </c>
      <c r="Z129" s="36">
        <f>IFERROR(IF(X129="","",X129*0.01788),"")</f>
        <v>1.2516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259.25200000000001</v>
      </c>
      <c r="BN129" s="67">
        <f>IFERROR(Y129*I129,"0")</f>
        <v>259.25200000000001</v>
      </c>
      <c r="BO129" s="67">
        <f>IFERROR(X129/J129,"0")</f>
        <v>1</v>
      </c>
      <c r="BP129" s="67">
        <f>IFERROR(Y129/J129,"0")</f>
        <v>1</v>
      </c>
    </row>
    <row r="130" spans="1:68" x14ac:dyDescent="0.2">
      <c r="A130" s="286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7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hidden="1" customHeight="1" x14ac:dyDescent="0.25">
      <c r="A132" s="282" t="s">
        <v>212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3"/>
      <c r="AB132" s="263"/>
      <c r="AC132" s="263"/>
    </row>
    <row r="133" spans="1:68" ht="14.25" hidden="1" customHeight="1" x14ac:dyDescent="0.25">
      <c r="A133" s="304" t="s">
        <v>123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68">
        <v>56</v>
      </c>
      <c r="Y135" s="269">
        <f>IFERROR(IF(X135="","",X135),"")</f>
        <v>56</v>
      </c>
      <c r="Z135" s="36">
        <f>IFERROR(IF(X135="","",X135*0.01788),"")</f>
        <v>1.0012799999999999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150.08000000000001</v>
      </c>
      <c r="BN135" s="67">
        <f>IFERROR(Y135*I135,"0")</f>
        <v>150.08000000000001</v>
      </c>
      <c r="BO135" s="67">
        <f>IFERROR(X135/J135,"0")</f>
        <v>0.8</v>
      </c>
      <c r="BP135" s="67">
        <f>IFERROR(Y135/J135,"0")</f>
        <v>0.8</v>
      </c>
    </row>
    <row r="136" spans="1:68" x14ac:dyDescent="0.2">
      <c r="A136" s="286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0">
        <f>IFERROR(SUM(X134:X135),"0")</f>
        <v>84</v>
      </c>
      <c r="Y136" s="270">
        <f>IFERROR(SUM(Y134:Y135),"0")</f>
        <v>84</v>
      </c>
      <c r="Z136" s="270">
        <f>IFERROR(IF(Z134="",0,Z134),"0")+IFERROR(IF(Z135="",0,Z135),"0")</f>
        <v>1.5019199999999999</v>
      </c>
      <c r="AA136" s="271"/>
      <c r="AB136" s="271"/>
      <c r="AC136" s="27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7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0">
        <f>IFERROR(SUMPRODUCT(X134:X135*H134:H135),"0")</f>
        <v>201.60000000000002</v>
      </c>
      <c r="Y137" s="270">
        <f>IFERROR(SUMPRODUCT(Y134:Y135*H134:H135),"0")</f>
        <v>201.60000000000002</v>
      </c>
      <c r="Z137" s="37"/>
      <c r="AA137" s="271"/>
      <c r="AB137" s="271"/>
      <c r="AC137" s="271"/>
    </row>
    <row r="138" spans="1:68" ht="16.5" hidden="1" customHeight="1" x14ac:dyDescent="0.25">
      <c r="A138" s="282" t="s">
        <v>217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3"/>
      <c r="AB138" s="263"/>
      <c r="AC138" s="263"/>
    </row>
    <row r="139" spans="1:68" ht="14.25" hidden="1" customHeight="1" x14ac:dyDescent="0.25">
      <c r="A139" s="304" t="s">
        <v>123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7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hidden="1" customHeight="1" x14ac:dyDescent="0.25">
      <c r="A143" s="282" t="s">
        <v>221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3"/>
      <c r="AB143" s="263"/>
      <c r="AC143" s="263"/>
    </row>
    <row r="144" spans="1:68" ht="14.25" hidden="1" customHeight="1" x14ac:dyDescent="0.25">
      <c r="A144" s="304" t="s">
        <v>123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64"/>
      <c r="AB144" s="264"/>
      <c r="AC144" s="264"/>
    </row>
    <row r="145" spans="1:68" ht="16.5" hidden="1" customHeight="1" x14ac:dyDescent="0.25">
      <c r="A145" s="54" t="s">
        <v>222</v>
      </c>
      <c r="B145" s="54" t="s">
        <v>223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7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82" t="s">
        <v>224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3"/>
      <c r="AB148" s="263"/>
      <c r="AC148" s="263"/>
    </row>
    <row r="149" spans="1:68" ht="14.25" hidden="1" customHeight="1" x14ac:dyDescent="0.25">
      <c r="A149" s="304" t="s">
        <v>195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64"/>
      <c r="AB149" s="264"/>
      <c r="AC149" s="264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7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82" t="s">
        <v>229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3"/>
      <c r="AB153" s="263"/>
      <c r="AC153" s="263"/>
    </row>
    <row r="154" spans="1:68" ht="14.25" hidden="1" customHeight="1" x14ac:dyDescent="0.25">
      <c r="A154" s="304" t="s">
        <v>123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64"/>
      <c r="AB154" s="264"/>
      <c r="AC154" s="264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7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233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82" t="s">
        <v>234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3"/>
      <c r="AB159" s="263"/>
      <c r="AC159" s="263"/>
    </row>
    <row r="160" spans="1:68" ht="14.25" hidden="1" customHeight="1" x14ac:dyDescent="0.25">
      <c r="A160" s="304" t="s">
        <v>64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64"/>
      <c r="AB160" s="264"/>
      <c r="AC160" s="264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68">
        <v>96</v>
      </c>
      <c r="Y162" s="269">
        <f>IFERROR(IF(X162="","",X162),"")</f>
        <v>96</v>
      </c>
      <c r="Z162" s="36">
        <f>IFERROR(IF(X162="","",X162*0.00866),"")</f>
        <v>0.83135999999999988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500.46719999999993</v>
      </c>
      <c r="BN162" s="67">
        <f>IFERROR(Y162*I162,"0")</f>
        <v>500.46719999999993</v>
      </c>
      <c r="BO162" s="67">
        <f>IFERROR(X162/J162,"0")</f>
        <v>0.66666666666666663</v>
      </c>
      <c r="BP162" s="67">
        <f>IFERROR(Y162/J162,"0")</f>
        <v>0.66666666666666663</v>
      </c>
    </row>
    <row r="163" spans="1:68" x14ac:dyDescent="0.2">
      <c r="A163" s="286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0">
        <f>IFERROR(SUM(X161:X162),"0")</f>
        <v>96</v>
      </c>
      <c r="Y163" s="270">
        <f>IFERROR(SUM(Y161:Y162),"0")</f>
        <v>96</v>
      </c>
      <c r="Z163" s="270">
        <f>IFERROR(IF(Z161="",0,Z161),"0")+IFERROR(IF(Z162="",0,Z162),"0")</f>
        <v>0.83135999999999988</v>
      </c>
      <c r="AA163" s="271"/>
      <c r="AB163" s="271"/>
      <c r="AC163" s="271"/>
    </row>
    <row r="164" spans="1:68" x14ac:dyDescent="0.2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7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0">
        <f>IFERROR(SUMPRODUCT(X161:X162*H161:H162),"0")</f>
        <v>480</v>
      </c>
      <c r="Y164" s="270">
        <f>IFERROR(SUMPRODUCT(Y161:Y162*H161:H162),"0")</f>
        <v>480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241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82" t="s">
        <v>242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3"/>
      <c r="AB166" s="263"/>
      <c r="AC166" s="263"/>
    </row>
    <row r="167" spans="1:68" ht="14.25" hidden="1" customHeight="1" x14ac:dyDescent="0.25">
      <c r="A167" s="304" t="s">
        <v>77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68">
        <v>98</v>
      </c>
      <c r="Y168" s="269">
        <f>IFERROR(IF(X168="","",X168),"")</f>
        <v>98</v>
      </c>
      <c r="Z168" s="36">
        <f>IFERROR(IF(X168="","",X168*0.01788),"")</f>
        <v>1.75224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332.024</v>
      </c>
      <c r="BN168" s="67">
        <f>IFERROR(Y168*I168,"0")</f>
        <v>332.024</v>
      </c>
      <c r="BO168" s="67">
        <f>IFERROR(X168/J168,"0")</f>
        <v>1.4</v>
      </c>
      <c r="BP168" s="67">
        <f>IFERROR(Y168/J168,"0")</f>
        <v>1.4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68">
        <v>98</v>
      </c>
      <c r="Y169" s="269">
        <f>IFERROR(IF(X169="","",X169),"")</f>
        <v>98</v>
      </c>
      <c r="Z169" s="36">
        <f>IFERROR(IF(X169="","",X169*0.01788),"")</f>
        <v>1.75224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332.024</v>
      </c>
      <c r="BN169" s="67">
        <f>IFERROR(Y169*I169,"0")</f>
        <v>332.024</v>
      </c>
      <c r="BO169" s="67">
        <f>IFERROR(X169/J169,"0")</f>
        <v>1.4</v>
      </c>
      <c r="BP169" s="67">
        <f>IFERROR(Y169/J169,"0")</f>
        <v>1.4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68">
        <v>84</v>
      </c>
      <c r="Y170" s="269">
        <f>IFERROR(IF(X170="","",X170),"")</f>
        <v>84</v>
      </c>
      <c r="Z170" s="36">
        <f>IFERROR(IF(X170="","",X170*0.01788),"")</f>
        <v>1.5019199999999999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313.82400000000001</v>
      </c>
      <c r="BN170" s="67">
        <f>IFERROR(Y170*I170,"0")</f>
        <v>313.82400000000001</v>
      </c>
      <c r="BO170" s="67">
        <f>IFERROR(X170/J170,"0")</f>
        <v>1.2</v>
      </c>
      <c r="BP170" s="67">
        <f>IFERROR(Y170/J170,"0")</f>
        <v>1.2</v>
      </c>
    </row>
    <row r="171" spans="1:68" x14ac:dyDescent="0.2">
      <c r="A171" s="286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0">
        <f>IFERROR(SUM(X168:X170),"0")</f>
        <v>280</v>
      </c>
      <c r="Y171" s="270">
        <f>IFERROR(SUM(Y168:Y170),"0")</f>
        <v>280</v>
      </c>
      <c r="Z171" s="270">
        <f>IFERROR(IF(Z168="",0,Z168),"0")+IFERROR(IF(Z169="",0,Z169),"0")+IFERROR(IF(Z170="",0,Z170),"0")</f>
        <v>5.0064000000000002</v>
      </c>
      <c r="AA171" s="271"/>
      <c r="AB171" s="271"/>
      <c r="AC171" s="271"/>
    </row>
    <row r="172" spans="1:68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7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0">
        <f>IFERROR(SUMPRODUCT(X168:X170*H168:H170),"0")</f>
        <v>840</v>
      </c>
      <c r="Y172" s="270">
        <f>IFERROR(SUMPRODUCT(Y168:Y170*H168:H170),"0")</f>
        <v>840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252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4"/>
      <c r="AB173" s="264"/>
      <c r="AC173" s="264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6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7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260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82" t="s">
        <v>261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3"/>
      <c r="AB178" s="263"/>
      <c r="AC178" s="263"/>
    </row>
    <row r="179" spans="1:68" ht="14.25" hidden="1" customHeight="1" x14ac:dyDescent="0.25">
      <c r="A179" s="304" t="s">
        <v>77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7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64"/>
      <c r="AB183" s="264"/>
      <c r="AC183" s="264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70" t="s">
        <v>270</v>
      </c>
      <c r="Q185" s="280"/>
      <c r="R185" s="280"/>
      <c r="S185" s="280"/>
      <c r="T185" s="281"/>
      <c r="U185" s="34"/>
      <c r="V185" s="34"/>
      <c r="W185" s="35" t="s">
        <v>70</v>
      </c>
      <c r="X185" s="268">
        <v>28</v>
      </c>
      <c r="Y185" s="269">
        <f>IFERROR(IF(X185="","",X185),"")</f>
        <v>28</v>
      </c>
      <c r="Z185" s="36">
        <f>IFERROR(IF(X185="","",X185*0.01788),"")</f>
        <v>0.50063999999999997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86.900800000000004</v>
      </c>
      <c r="BN185" s="67">
        <f>IFERROR(Y185*I185,"0")</f>
        <v>86.900800000000004</v>
      </c>
      <c r="BO185" s="67">
        <f>IFERROR(X185/J185,"0")</f>
        <v>0.4</v>
      </c>
      <c r="BP185" s="67">
        <f>IFERROR(Y185/J185,"0")</f>
        <v>0.4</v>
      </c>
    </row>
    <row r="186" spans="1:68" ht="27" hidden="1" customHeight="1" x14ac:dyDescent="0.25">
      <c r="A186" s="54" t="s">
        <v>272</v>
      </c>
      <c r="B186" s="54" t="s">
        <v>273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274</v>
      </c>
      <c r="B187" s="54" t="s">
        <v>275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0">
        <f>IFERROR(SUM(X184:X187),"0")</f>
        <v>28</v>
      </c>
      <c r="Y188" s="270">
        <f>IFERROR(SUM(Y184:Y187),"0")</f>
        <v>28</v>
      </c>
      <c r="Z188" s="270">
        <f>IFERROR(IF(Z184="",0,Z184),"0")+IFERROR(IF(Z185="",0,Z185),"0")+IFERROR(IF(Z186="",0,Z186),"0")+IFERROR(IF(Z187="",0,Z187),"0")</f>
        <v>0.50063999999999997</v>
      </c>
      <c r="AA188" s="271"/>
      <c r="AB188" s="271"/>
      <c r="AC188" s="271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7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0">
        <f>IFERROR(SUMPRODUCT(X184:X187*H184:H187),"0")</f>
        <v>67.2</v>
      </c>
      <c r="Y189" s="270">
        <f>IFERROR(SUMPRODUCT(Y184:Y187*H184:H187),"0")</f>
        <v>67.2</v>
      </c>
      <c r="Z189" s="37"/>
      <c r="AA189" s="271"/>
      <c r="AB189" s="271"/>
      <c r="AC189" s="271"/>
    </row>
    <row r="190" spans="1:68" ht="16.5" hidden="1" customHeight="1" x14ac:dyDescent="0.25">
      <c r="A190" s="282" t="s">
        <v>277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3"/>
      <c r="AB190" s="263"/>
      <c r="AC190" s="263"/>
    </row>
    <row r="191" spans="1:68" ht="14.25" hidden="1" customHeight="1" x14ac:dyDescent="0.25">
      <c r="A191" s="304" t="s">
        <v>64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4"/>
      <c r="AB191" s="264"/>
      <c r="AC191" s="264"/>
    </row>
    <row r="192" spans="1:68" ht="27" hidden="1" customHeight="1" x14ac:dyDescent="0.25">
      <c r="A192" s="54" t="s">
        <v>278</v>
      </c>
      <c r="B192" s="54" t="s">
        <v>279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hidden="1" customHeight="1" x14ac:dyDescent="0.25">
      <c r="A194" s="54" t="s">
        <v>283</v>
      </c>
      <c r="B194" s="54" t="s">
        <v>284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285</v>
      </c>
      <c r="B195" s="54" t="s">
        <v>286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IFERROR(SUM(X192:X195),"0")</f>
        <v>24</v>
      </c>
      <c r="Y196" s="270">
        <f>IFERROR(SUM(Y192:Y195),"0")</f>
        <v>24</v>
      </c>
      <c r="Z196" s="270">
        <f>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IFERROR(SUMPRODUCT(X192:X195*H192:H195),"0")</f>
        <v>172.8</v>
      </c>
      <c r="Y197" s="270">
        <f>IFERROR(SUMPRODUCT(Y192:Y195*H192:H195),"0")</f>
        <v>172.8</v>
      </c>
      <c r="Z197" s="37"/>
      <c r="AA197" s="271"/>
      <c r="AB197" s="271"/>
      <c r="AC197" s="271"/>
    </row>
    <row r="198" spans="1:68" ht="16.5" hidden="1" customHeight="1" x14ac:dyDescent="0.25">
      <c r="A198" s="282" t="s">
        <v>287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hidden="1" customHeight="1" x14ac:dyDescent="0.25">
      <c r="A199" s="304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0"/>
      <c r="R200" s="280"/>
      <c r="S200" s="280"/>
      <c r="T200" s="281"/>
      <c r="U200" s="34"/>
      <c r="V200" s="34"/>
      <c r="W200" s="35" t="s">
        <v>70</v>
      </c>
      <c r="X200" s="268">
        <v>72</v>
      </c>
      <c r="Y200" s="269">
        <f>IFERROR(IF(X200="","",X200),"")</f>
        <v>72</v>
      </c>
      <c r="Z200" s="36">
        <f>IFERROR(IF(X200="","",X200*0.0155),"")</f>
        <v>1.1160000000000001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376.56000000000006</v>
      </c>
      <c r="BN200" s="67">
        <f>IFERROR(Y200*I200,"0")</f>
        <v>376.56000000000006</v>
      </c>
      <c r="BO200" s="67">
        <f>IFERROR(X200/J200,"0")</f>
        <v>0.8571428571428571</v>
      </c>
      <c r="BP200" s="67">
        <f>IFERROR(Y200/J200,"0")</f>
        <v>0.8571428571428571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72</v>
      </c>
      <c r="Y201" s="270">
        <f>IFERROR(SUM(Y200:Y200),"0")</f>
        <v>72</v>
      </c>
      <c r="Z201" s="270">
        <f>IFERROR(IF(Z200="",0,Z200),"0")</f>
        <v>1.1160000000000001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360</v>
      </c>
      <c r="Y202" s="270">
        <f>IFERROR(SUMPRODUCT(Y200:Y200*H200:H200),"0")</f>
        <v>360</v>
      </c>
      <c r="Z202" s="37"/>
      <c r="AA202" s="271"/>
      <c r="AB202" s="271"/>
      <c r="AC202" s="271"/>
    </row>
    <row r="203" spans="1:68" ht="16.5" hidden="1" customHeight="1" x14ac:dyDescent="0.25">
      <c r="A203" s="282" t="s">
        <v>291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hidden="1" customHeight="1" x14ac:dyDescent="0.25">
      <c r="A204" s="304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hidden="1" customHeight="1" x14ac:dyDescent="0.25">
      <c r="A205" s="54" t="s">
        <v>292</v>
      </c>
      <c r="B205" s="54" t="s">
        <v>293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0"/>
      <c r="R205" s="280"/>
      <c r="S205" s="280"/>
      <c r="T205" s="281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123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45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0"/>
      <c r="R209" s="280"/>
      <c r="S209" s="280"/>
      <c r="T209" s="281"/>
      <c r="U209" s="34"/>
      <c r="V209" s="34"/>
      <c r="W209" s="35" t="s">
        <v>70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hidden="1" customHeight="1" x14ac:dyDescent="0.25">
      <c r="A214" s="282" t="s">
        <v>302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hidden="1" customHeight="1" x14ac:dyDescent="0.25">
      <c r="A215" s="304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hidden="1" customHeight="1" x14ac:dyDescent="0.25">
      <c r="A216" s="54" t="s">
        <v>303</v>
      </c>
      <c r="B216" s="54" t="s">
        <v>304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0"/>
      <c r="R216" s="280"/>
      <c r="S216" s="280"/>
      <c r="T216" s="281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306</v>
      </c>
      <c r="B217" s="54" t="s">
        <v>307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2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82" t="s">
        <v>309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hidden="1" customHeight="1" x14ac:dyDescent="0.25">
      <c r="A222" s="304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hidden="1" customHeight="1" x14ac:dyDescent="0.25">
      <c r="A223" s="54" t="s">
        <v>310</v>
      </c>
      <c r="B223" s="54" t="s">
        <v>311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0"/>
      <c r="R223" s="280"/>
      <c r="S223" s="280"/>
      <c r="T223" s="281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82" t="s">
        <v>314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hidden="1" customHeight="1" x14ac:dyDescent="0.25">
      <c r="A228" s="304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0"/>
      <c r="R229" s="280"/>
      <c r="S229" s="280"/>
      <c r="T229" s="281"/>
      <c r="U229" s="34"/>
      <c r="V229" s="34"/>
      <c r="W229" s="35" t="s">
        <v>70</v>
      </c>
      <c r="X229" s="268">
        <v>108</v>
      </c>
      <c r="Y229" s="269">
        <f>IFERROR(IF(X229="","",X229),"")</f>
        <v>108</v>
      </c>
      <c r="Z229" s="36">
        <f>IFERROR(IF(X229="","",X229*0.0155),"")</f>
        <v>1.6739999999999999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568.29599999999994</v>
      </c>
      <c r="BN229" s="67">
        <f>IFERROR(Y229*I229,"0")</f>
        <v>568.29599999999994</v>
      </c>
      <c r="BO229" s="67">
        <f>IFERROR(X229/J229,"0")</f>
        <v>1.2857142857142858</v>
      </c>
      <c r="BP229" s="67">
        <f>IFERROR(Y229/J229,"0")</f>
        <v>1.2857142857142858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108</v>
      </c>
      <c r="Y230" s="270">
        <f>IFERROR(SUM(Y229:Y229),"0")</f>
        <v>108</v>
      </c>
      <c r="Z230" s="270">
        <f>IFERROR(IF(Z229="",0,Z229),"0")</f>
        <v>1.6739999999999999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540</v>
      </c>
      <c r="Y231" s="270">
        <f>IFERROR(SUMPRODUCT(Y229:Y229*H229:H229),"0")</f>
        <v>540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317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82" t="s">
        <v>318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hidden="1" customHeight="1" x14ac:dyDescent="0.25">
      <c r="A234" s="304" t="s">
        <v>319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hidden="1" customHeight="1" x14ac:dyDescent="0.25">
      <c r="A235" s="54" t="s">
        <v>320</v>
      </c>
      <c r="B235" s="54" t="s">
        <v>321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7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0"/>
      <c r="R235" s="280"/>
      <c r="S235" s="280"/>
      <c r="T235" s="281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123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hidden="1" customHeight="1" x14ac:dyDescent="0.25">
      <c r="A239" s="54" t="s">
        <v>323</v>
      </c>
      <c r="B239" s="54" t="s">
        <v>324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0"/>
      <c r="R239" s="280"/>
      <c r="S239" s="280"/>
      <c r="T239" s="281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82" t="s">
        <v>325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hidden="1" customHeight="1" x14ac:dyDescent="0.25">
      <c r="A244" s="304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hidden="1" customHeight="1" x14ac:dyDescent="0.25">
      <c r="A245" s="54" t="s">
        <v>326</v>
      </c>
      <c r="B245" s="54" t="s">
        <v>327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0"/>
      <c r="R245" s="280"/>
      <c r="S245" s="280"/>
      <c r="T245" s="281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329</v>
      </c>
      <c r="B246" s="54" t="s">
        <v>330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0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0"/>
      <c r="R251" s="280"/>
      <c r="S251" s="280"/>
      <c r="T251" s="281"/>
      <c r="U251" s="34"/>
      <c r="V251" s="34"/>
      <c r="W251" s="35" t="s">
        <v>70</v>
      </c>
      <c r="X251" s="268">
        <v>156</v>
      </c>
      <c r="Y251" s="269">
        <f>IFERROR(IF(X251="","",X251),"")</f>
        <v>156</v>
      </c>
      <c r="Z251" s="36">
        <f>IFERROR(IF(X251="","",X251*0.0155),"")</f>
        <v>2.4180000000000001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976.56</v>
      </c>
      <c r="BN251" s="67">
        <f>IFERROR(Y251*I251,"0")</f>
        <v>976.56</v>
      </c>
      <c r="BO251" s="67">
        <f>IFERROR(X251/J251,"0")</f>
        <v>1.8571428571428572</v>
      </c>
      <c r="BP251" s="67">
        <f>IFERROR(Y251/J251,"0")</f>
        <v>1.8571428571428572</v>
      </c>
    </row>
    <row r="252" spans="1:68" ht="27" hidden="1" customHeight="1" x14ac:dyDescent="0.25">
      <c r="A252" s="54" t="s">
        <v>337</v>
      </c>
      <c r="B252" s="54" t="s">
        <v>338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0"/>
      <c r="R252" s="280"/>
      <c r="S252" s="280"/>
      <c r="T252" s="281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156</v>
      </c>
      <c r="Y253" s="270">
        <f>IFERROR(SUM(Y251:Y252),"0")</f>
        <v>156</v>
      </c>
      <c r="Z253" s="270">
        <f>IFERROR(IF(Z251="",0,Z251),"0")+IFERROR(IF(Z252="",0,Z252),"0")</f>
        <v>2.4180000000000001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936</v>
      </c>
      <c r="Y254" s="270">
        <f>IFERROR(SUMPRODUCT(Y251:Y252*H251:H252),"0")</f>
        <v>936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117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hidden="1" customHeight="1" x14ac:dyDescent="0.25">
      <c r="A256" s="54" t="s">
        <v>339</v>
      </c>
      <c r="B256" s="54" t="s">
        <v>340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0"/>
      <c r="R256" s="280"/>
      <c r="S256" s="280"/>
      <c r="T256" s="281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0"/>
      <c r="R257" s="280"/>
      <c r="S257" s="280"/>
      <c r="T257" s="281"/>
      <c r="U257" s="34"/>
      <c r="V257" s="34"/>
      <c r="W257" s="35" t="s">
        <v>70</v>
      </c>
      <c r="X257" s="268">
        <v>144</v>
      </c>
      <c r="Y257" s="269">
        <f>IFERROR(IF(X257="","",X257),"")</f>
        <v>144</v>
      </c>
      <c r="Z257" s="36">
        <f>IFERROR(IF(X257="","",X257*0.0155),"")</f>
        <v>2.2320000000000002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753.84</v>
      </c>
      <c r="BN257" s="67">
        <f>IFERROR(Y257*I257,"0")</f>
        <v>753.84</v>
      </c>
      <c r="BO257" s="67">
        <f>IFERROR(X257/J257,"0")</f>
        <v>1.7142857142857142</v>
      </c>
      <c r="BP257" s="67">
        <f>IFERROR(Y257/J257,"0")</f>
        <v>1.7142857142857142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0"/>
      <c r="R258" s="280"/>
      <c r="S258" s="280"/>
      <c r="T258" s="281"/>
      <c r="U258" s="34"/>
      <c r="V258" s="34"/>
      <c r="W258" s="35" t="s">
        <v>70</v>
      </c>
      <c r="X258" s="268">
        <v>28</v>
      </c>
      <c r="Y258" s="269">
        <f>IFERROR(IF(X258="","",X258),"")</f>
        <v>28</v>
      </c>
      <c r="Z258" s="36">
        <f>IFERROR(IF(X258="","",X258*0.00936),"")</f>
        <v>0.26207999999999998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68.096000000000004</v>
      </c>
      <c r="BN258" s="67">
        <f>IFERROR(Y258*I258,"0")</f>
        <v>68.096000000000004</v>
      </c>
      <c r="BO258" s="67">
        <f>IFERROR(X258/J258,"0")</f>
        <v>0.22222222222222221</v>
      </c>
      <c r="BP258" s="67">
        <f>IFERROR(Y258/J258,"0")</f>
        <v>0.22222222222222221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172</v>
      </c>
      <c r="Y259" s="270">
        <f>IFERROR(SUM(Y256:Y258),"0")</f>
        <v>172</v>
      </c>
      <c r="Z259" s="270">
        <f>IFERROR(IF(Z256="",0,Z256),"0")+IFERROR(IF(Z257="",0,Z257),"0")+IFERROR(IF(Z258="",0,Z258),"0")</f>
        <v>2.4940800000000003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782.72</v>
      </c>
      <c r="Y260" s="270">
        <f>IFERROR(SUMPRODUCT(Y256:Y258*H256:H258),"0")</f>
        <v>782.72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123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hidden="1" customHeight="1" x14ac:dyDescent="0.25">
      <c r="A262" s="54" t="s">
        <v>346</v>
      </c>
      <c r="B262" s="54" t="s">
        <v>347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0"/>
      <c r="R262" s="280"/>
      <c r="S262" s="280"/>
      <c r="T262" s="281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349</v>
      </c>
      <c r="B263" s="54" t="s">
        <v>350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0"/>
      <c r="R263" s="280"/>
      <c r="S263" s="280"/>
      <c r="T263" s="281"/>
      <c r="U263" s="34"/>
      <c r="V263" s="34"/>
      <c r="W263" s="35" t="s">
        <v>70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352</v>
      </c>
      <c r="B264" s="54" t="s">
        <v>353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0"/>
      <c r="R264" s="280"/>
      <c r="S264" s="280"/>
      <c r="T264" s="281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0"/>
      <c r="R265" s="280"/>
      <c r="S265" s="280"/>
      <c r="T265" s="281"/>
      <c r="U265" s="34"/>
      <c r="V265" s="34"/>
      <c r="W265" s="35" t="s">
        <v>70</v>
      </c>
      <c r="X265" s="268">
        <v>154</v>
      </c>
      <c r="Y265" s="269">
        <f t="shared" si="12"/>
        <v>154</v>
      </c>
      <c r="Z265" s="36">
        <f t="shared" ref="Z265:Z270" si="17">IFERROR(IF(X265="","",X265*0.00936),"")</f>
        <v>1.4414400000000001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491.56800000000004</v>
      </c>
      <c r="BN265" s="67">
        <f t="shared" si="14"/>
        <v>491.56800000000004</v>
      </c>
      <c r="BO265" s="67">
        <f t="shared" si="15"/>
        <v>1.2222222222222223</v>
      </c>
      <c r="BP265" s="67">
        <f t="shared" si="16"/>
        <v>1.2222222222222223</v>
      </c>
    </row>
    <row r="266" spans="1:68" ht="27" hidden="1" customHeight="1" x14ac:dyDescent="0.25">
      <c r="A266" s="54" t="s">
        <v>356</v>
      </c>
      <c r="B266" s="54" t="s">
        <v>357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0"/>
      <c r="R266" s="280"/>
      <c r="S266" s="280"/>
      <c r="T266" s="281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358</v>
      </c>
      <c r="B267" s="54" t="s">
        <v>359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362</v>
      </c>
      <c r="B269" s="54" t="s">
        <v>363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3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154</v>
      </c>
      <c r="Y272" s="270">
        <f>IFERROR(SUM(Y262:Y271),"0")</f>
        <v>154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1.4414400000000001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462</v>
      </c>
      <c r="Y273" s="270">
        <f>IFERROR(SUMPRODUCT(Y262:Y271*H262:H271),"0")</f>
        <v>462</v>
      </c>
      <c r="Z273" s="37"/>
      <c r="AA273" s="271"/>
      <c r="AB273" s="271"/>
      <c r="AC273" s="271"/>
    </row>
    <row r="274" spans="1:32" ht="15" customHeight="1" x14ac:dyDescent="0.2">
      <c r="A274" s="431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72"/>
      <c r="P274" s="317" t="s">
        <v>368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12651.2</v>
      </c>
      <c r="Y274" s="270">
        <f>IFERROR(Y24+Y31+Y38+Y46+Y51+Y55+Y60+Y66+Y72+Y77+Y83+Y93+Y99+Y111+Y115+Y119+Y125+Y131+Y137+Y142+Y147+Y152+Y157+Y164+Y172+Y176+Y182+Y189+Y197+Y202+Y207+Y213+Y219+Y225+Y231+Y237+Y241+Y249+Y254+Y260+Y273,"0")</f>
        <v>12651.2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72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13853.609599999996</v>
      </c>
      <c r="Y275" s="270">
        <f>IFERROR(SUM(BN22:BN271),"0")</f>
        <v>13853.609599999996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72"/>
      <c r="P276" s="317" t="s">
        <v>370</v>
      </c>
      <c r="Q276" s="318"/>
      <c r="R276" s="318"/>
      <c r="S276" s="318"/>
      <c r="T276" s="318"/>
      <c r="U276" s="318"/>
      <c r="V276" s="319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72"/>
      <c r="P277" s="317" t="s">
        <v>372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14728.609599999996</v>
      </c>
      <c r="Y277" s="270">
        <f>GrossWeightTotalR+PalletQtyTotalR*25</f>
        <v>14728.609599999996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72"/>
      <c r="P278" s="317" t="s">
        <v>373</v>
      </c>
      <c r="Q278" s="318"/>
      <c r="R278" s="318"/>
      <c r="S278" s="318"/>
      <c r="T278" s="318"/>
      <c r="U278" s="318"/>
      <c r="V278" s="319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2986</v>
      </c>
      <c r="Y278" s="270">
        <f>IFERROR(Y23+Y30+Y37+Y45+Y50+Y54+Y59+Y65+Y71+Y76+Y82+Y92+Y98+Y110+Y114+Y118+Y124+Y130+Y136+Y141+Y146+Y151+Y156+Y163+Y171+Y175+Y181+Y188+Y196+Y201+Y206+Y212+Y218+Y224+Y230+Y236+Y240+Y248+Y253+Y259+Y272,"0")</f>
        <v>2986</v>
      </c>
      <c r="Z278" s="37"/>
      <c r="AA278" s="271"/>
      <c r="AB278" s="271"/>
      <c r="AC278" s="271"/>
    </row>
    <row r="279" spans="1:32" ht="14.25" hidden="1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72"/>
      <c r="P279" s="317" t="s">
        <v>374</v>
      </c>
      <c r="Q279" s="318"/>
      <c r="R279" s="318"/>
      <c r="S279" s="318"/>
      <c r="T279" s="318"/>
      <c r="U279" s="318"/>
      <c r="V279" s="319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44.273879999999991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2" t="s">
        <v>75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5" t="s">
        <v>233</v>
      </c>
      <c r="V281" s="265" t="s">
        <v>241</v>
      </c>
      <c r="W281" s="272" t="s">
        <v>260</v>
      </c>
      <c r="X281" s="308"/>
      <c r="Y281" s="308"/>
      <c r="Z281" s="308"/>
      <c r="AA281" s="309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290" t="s">
        <v>377</v>
      </c>
      <c r="B282" s="272" t="s">
        <v>63</v>
      </c>
      <c r="C282" s="272" t="s">
        <v>76</v>
      </c>
      <c r="D282" s="272" t="s">
        <v>87</v>
      </c>
      <c r="E282" s="272" t="s">
        <v>99</v>
      </c>
      <c r="F282" s="272" t="s">
        <v>110</v>
      </c>
      <c r="G282" s="272" t="s">
        <v>131</v>
      </c>
      <c r="H282" s="272" t="s">
        <v>138</v>
      </c>
      <c r="I282" s="272" t="s">
        <v>142</v>
      </c>
      <c r="J282" s="272" t="s">
        <v>150</v>
      </c>
      <c r="K282" s="272" t="s">
        <v>165</v>
      </c>
      <c r="L282" s="272" t="s">
        <v>171</v>
      </c>
      <c r="M282" s="272" t="s">
        <v>199</v>
      </c>
      <c r="N282" s="266"/>
      <c r="O282" s="272" t="s">
        <v>205</v>
      </c>
      <c r="P282" s="272" t="s">
        <v>212</v>
      </c>
      <c r="Q282" s="272" t="s">
        <v>217</v>
      </c>
      <c r="R282" s="272" t="s">
        <v>221</v>
      </c>
      <c r="S282" s="272" t="s">
        <v>224</v>
      </c>
      <c r="T282" s="272" t="s">
        <v>229</v>
      </c>
      <c r="U282" s="272" t="s">
        <v>234</v>
      </c>
      <c r="V282" s="272" t="s">
        <v>242</v>
      </c>
      <c r="W282" s="272" t="s">
        <v>261</v>
      </c>
      <c r="X282" s="272" t="s">
        <v>277</v>
      </c>
      <c r="Y282" s="272" t="s">
        <v>287</v>
      </c>
      <c r="Z282" s="272" t="s">
        <v>291</v>
      </c>
      <c r="AA282" s="272" t="s">
        <v>302</v>
      </c>
      <c r="AB282" s="272" t="s">
        <v>309</v>
      </c>
      <c r="AC282" s="272" t="s">
        <v>314</v>
      </c>
      <c r="AD282" s="272" t="s">
        <v>318</v>
      </c>
      <c r="AE282" s="272" t="s">
        <v>325</v>
      </c>
      <c r="AF282" s="266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252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1512</v>
      </c>
      <c r="F284" s="46">
        <f>IFERROR(X49*H49,"0")+IFERROR(X53*H53,"0")+IFERROR(X57*H57,"0")+IFERROR(X58*H58,"0")+IFERROR(X62*H62,"0")+IFERROR(X63*H63,"0")+IFERROR(X64*H64,"0")</f>
        <v>100.80000000000001</v>
      </c>
      <c r="G284" s="46">
        <f>IFERROR(X69*H69,"0")+IFERROR(X70*H70,"0")</f>
        <v>960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542.64</v>
      </c>
      <c r="K284" s="46">
        <f>IFERROR(X96*H96,"0")+IFERROR(X97*H97,"0")</f>
        <v>30.240000000000002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2667.36</v>
      </c>
      <c r="M284" s="46">
        <f>IFERROR(X122*H122,"0")+IFERROR(X123*H123,"0")</f>
        <v>966</v>
      </c>
      <c r="N284" s="266"/>
      <c r="O284" s="46">
        <f>IFERROR(X128*H128,"0")+IFERROR(X129*H129,"0")</f>
        <v>294</v>
      </c>
      <c r="P284" s="46">
        <f>IFERROR(X134*H134,"0")+IFERROR(X135*H135,"0")</f>
        <v>201.60000000000002</v>
      </c>
      <c r="Q284" s="46">
        <f>IFERROR(X140*H140,"0")</f>
        <v>42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480</v>
      </c>
      <c r="V284" s="46">
        <f>IFERROR(X168*H168,"0")+IFERROR(X169*H169,"0")+IFERROR(X170*H170,"0")+IFERROR(X174*H174,"0")</f>
        <v>840</v>
      </c>
      <c r="W284" s="46">
        <f>IFERROR(X180*H180,"0")+IFERROR(X184*H184,"0")+IFERROR(X185*H185,"0")+IFERROR(X186*H186,"0")+IFERROR(X187*H187,"0")</f>
        <v>105.84</v>
      </c>
      <c r="X284" s="46">
        <f>IFERROR(X192*H192,"0")+IFERROR(X193*H193,"0")+IFERROR(X194*H194,"0")+IFERROR(X195*H195,"0")</f>
        <v>172.8</v>
      </c>
      <c r="Y284" s="46">
        <f>IFERROR(X200*H200,"0")</f>
        <v>360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540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2180.7200000000003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6722.4000000000005</v>
      </c>
      <c r="B287" s="60">
        <f>SUMPRODUCT(--(BB:BB="ПГП"),--(W:W="кор"),H:H,Y:Y)+SUMPRODUCT(--(BB:BB="ПГП"),--(W:W="кг"),Y:Y)</f>
        <v>5928.8</v>
      </c>
      <c r="C287" s="60">
        <f>SUMPRODUCT(--(BB:BB="КИЗ"),--(W:W="кор"),H:H,Y:Y)+SUMPRODUCT(--(BB:BB="КИЗ"),--(W:W="кг"),Y:Y)</f>
        <v>0</v>
      </c>
    </row>
  </sheetData>
  <sheetProtection algorithmName="SHA-512" hashValue="uvdQ9AKyaTpntwfV1FzWyCHfFaEj6SXh0woGrmvWznXhhmz/RqUwDRsfW05W7QiN2Ye3CucOGacwQZxHvaD92Q==" saltValue="EsIoKm3mlxC0mGuzeNCLQ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12,00"/>
        <filter val="100,80"/>
        <filter val="108,00"/>
        <filter val="12 651,20"/>
        <filter val="12,00"/>
        <filter val="13 853,61"/>
        <filter val="14 728,61"/>
        <filter val="14,00"/>
        <filter val="144,00"/>
        <filter val="154,00"/>
        <filter val="156,00"/>
        <filter val="168,00"/>
        <filter val="172,00"/>
        <filter val="172,80"/>
        <filter val="182,00"/>
        <filter val="192,00"/>
        <filter val="2 630,40"/>
        <filter val="2 986,00"/>
        <filter val="201,60"/>
        <filter val="216,00"/>
        <filter val="224,00"/>
        <filter val="24,00"/>
        <filter val="252,00"/>
        <filter val="28,00"/>
        <filter val="280,00"/>
        <filter val="294,00"/>
        <filter val="30,24"/>
        <filter val="322,00"/>
        <filter val="33,60"/>
        <filter val="35"/>
        <filter val="36,00"/>
        <filter val="36,96"/>
        <filter val="360,00"/>
        <filter val="38,64"/>
        <filter val="384,00"/>
        <filter val="42,00"/>
        <filter val="462,00"/>
        <filter val="480,00"/>
        <filter val="50,40"/>
        <filter val="540,00"/>
        <filter val="542,64"/>
        <filter val="56,00"/>
        <filter val="60,00"/>
        <filter val="67,20"/>
        <filter val="70,00"/>
        <filter val="72,00"/>
        <filter val="782,72"/>
        <filter val="84,00"/>
        <filter val="840,00"/>
        <filter val="936,00"/>
        <filter val="96,00"/>
        <filter val="960,00"/>
        <filter val="966,00"/>
        <filter val="98,00"/>
      </filters>
    </filterColumn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D251:E251"/>
    <mergeCell ref="D106:E106"/>
    <mergeCell ref="A146:O147"/>
    <mergeCell ref="P209:T209"/>
    <mergeCell ref="D174:E174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D6:M6"/>
    <mergeCell ref="P162:T162"/>
    <mergeCell ref="A85:Z85"/>
    <mergeCell ref="P106:T106"/>
    <mergeCell ref="D256:E256"/>
    <mergeCell ref="A9:C9"/>
    <mergeCell ref="Q13:R13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71:O72"/>
    <mergeCell ref="A179:Z179"/>
    <mergeCell ref="D58:E58"/>
    <mergeCell ref="A236:O237"/>
    <mergeCell ref="A116:Z116"/>
    <mergeCell ref="D267:E267"/>
    <mergeCell ref="P96:T96"/>
    <mergeCell ref="H17:H18"/>
    <mergeCell ref="P90:T90"/>
    <mergeCell ref="P161:T161"/>
    <mergeCell ref="P217:T217"/>
    <mergeCell ref="D269:E269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D264:E264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P72:V72"/>
    <mergeCell ref="P122:T122"/>
    <mergeCell ref="P43:T43"/>
    <mergeCell ref="P65:V65"/>
    <mergeCell ref="P136:V136"/>
    <mergeCell ref="A126:Z126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D262:E262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93:V93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P38:V38"/>
    <mergeCell ref="B282:B283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W17:W18"/>
    <mergeCell ref="A144:Z14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KOO7qvofonU4Y4orK588Q4twv5CdZhG7nCmNL182C5rBcMUTxvWELm/GmFrDpCa3YXkG2G1DMN3qYxHC9s48sg==" saltValue="quVSjM5pxhBfGsim1+tX4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2025-11-14T11:45:01Z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