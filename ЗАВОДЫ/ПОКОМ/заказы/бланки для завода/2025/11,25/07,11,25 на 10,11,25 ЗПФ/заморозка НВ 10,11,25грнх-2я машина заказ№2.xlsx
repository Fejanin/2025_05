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EDA8BA-8E08-480A-A8E3-D7C856940E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X197" i="1"/>
  <c r="X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Z162" i="1"/>
  <c r="Z170" i="1"/>
  <c r="BN167" i="1"/>
  <c r="BN169" i="1"/>
  <c r="BN184" i="1"/>
  <c r="BN186" i="1"/>
  <c r="Y197" i="1"/>
  <c r="J9" i="1"/>
  <c r="X276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Y136" i="1"/>
  <c r="BN134" i="1"/>
  <c r="BN161" i="1"/>
  <c r="Y171" i="1"/>
  <c r="Z187" i="1"/>
  <c r="Z196" i="1"/>
  <c r="BN191" i="1"/>
  <c r="BP191" i="1"/>
  <c r="BN193" i="1"/>
  <c r="BN195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X277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0" i="1"/>
  <c r="BP149" i="1"/>
  <c r="BN149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07" i="1"/>
  <c r="Y212" i="1"/>
  <c r="BP209" i="1"/>
  <c r="BN209" i="1"/>
  <c r="BP211" i="1"/>
  <c r="BN211" i="1"/>
  <c r="Z218" i="1"/>
  <c r="Y249" i="1"/>
  <c r="Y253" i="1"/>
  <c r="Y254" i="1"/>
  <c r="Y259" i="1"/>
  <c r="BP256" i="1"/>
  <c r="BN256" i="1"/>
  <c r="BP258" i="1"/>
  <c r="BN258" i="1"/>
  <c r="Z272" i="1"/>
  <c r="Z279" i="1" l="1"/>
  <c r="Y276" i="1"/>
  <c r="Y275" i="1"/>
  <c r="Y278" i="1"/>
  <c r="Y274" i="1"/>
  <c r="Y277" i="1"/>
  <c r="B287" i="1"/>
  <c r="C287" i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<sst xmlns="http://schemas.openxmlformats.org/spreadsheetml/2006/main" count="1230" uniqueCount="397">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</sst>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167" sqref="AA167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8</v>
      </c>
      <c r="B5" s="317"/>
      <c r="C5" s="318"/>
      <c r="D5" s="324"/>
      <c r="E5" s="325"/>
      <c r="F5" s="441" t="s">
        <v>9</v>
      </c>
      <c r="G5" s="318"/>
      <c r="H5" s="324" t="s">
        <v>396</v>
      </c>
      <c r="I5" s="435"/>
      <c r="J5" s="435"/>
      <c r="K5" s="435"/>
      <c r="L5" s="435"/>
      <c r="M5" s="325"/>
      <c r="N5" s="61"/>
      <c r="P5" s="24" t="s">
        <v>10</v>
      </c>
      <c r="Q5" s="434">
        <v>45971</v>
      </c>
      <c r="R5" s="351"/>
      <c r="T5" s="367" t="s">
        <v>11</v>
      </c>
      <c r="U5" s="368"/>
      <c r="V5" s="369" t="s">
        <v>12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13</v>
      </c>
      <c r="B6" s="317"/>
      <c r="C6" s="318"/>
      <c r="D6" s="421" t="s">
        <v>14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16</v>
      </c>
      <c r="U6" s="368"/>
      <c r="V6" s="392" t="s">
        <v>17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4">
        <v>0.45833333333333331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22</v>
      </c>
      <c r="Q10" s="372"/>
      <c r="R10" s="373"/>
      <c r="U10" s="24" t="s">
        <v>23</v>
      </c>
      <c r="V10" s="299" t="s">
        <v>24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16" t="s">
        <v>28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58" t="s">
        <v>38</v>
      </c>
      <c r="D17" s="296" t="s">
        <v>39</v>
      </c>
      <c r="E17" s="342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41"/>
      <c r="R17" s="341"/>
      <c r="S17" s="341"/>
      <c r="T17" s="342"/>
      <c r="U17" s="384" t="s">
        <v>51</v>
      </c>
      <c r="V17" s="318"/>
      <c r="W17" s="296" t="s">
        <v>52</v>
      </c>
      <c r="X17" s="296" t="s">
        <v>53</v>
      </c>
      <c r="Y17" s="385" t="s">
        <v>54</v>
      </c>
      <c r="Z17" s="414" t="s">
        <v>55</v>
      </c>
      <c r="AA17" s="407" t="s">
        <v>56</v>
      </c>
      <c r="AB17" s="407" t="s">
        <v>57</v>
      </c>
      <c r="AC17" s="407" t="s">
        <v>58</v>
      </c>
      <c r="AD17" s="407" t="s">
        <v>59</v>
      </c>
      <c r="AE17" s="436"/>
      <c r="AF17" s="437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61</v>
      </c>
      <c r="V18" s="70" t="s">
        <v>62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63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75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78</v>
      </c>
      <c r="B28" s="54" t="s">
        <v>79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idden="1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hidden="1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hidden="1" customHeight="1" x14ac:dyDescent="0.25">
      <c r="A32" s="279" t="s">
        <v>87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91</v>
      </c>
      <c r="B35" s="54" t="s">
        <v>92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94</v>
      </c>
      <c r="B36" s="54" t="s">
        <v>95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79" t="s">
        <v>97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64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hidden="1" customHeight="1" x14ac:dyDescent="0.25">
      <c r="A41" s="54" t="s">
        <v>98</v>
      </c>
      <c r="B41" s="54" t="s">
        <v>99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101</v>
      </c>
      <c r="B42" s="54" t="s">
        <v>102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104</v>
      </c>
      <c r="B43" s="54" t="s">
        <v>105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106</v>
      </c>
      <c r="B44" s="54" t="s">
        <v>107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idden="1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hidden="1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hidden="1" customHeight="1" x14ac:dyDescent="0.25">
      <c r="A47" s="279" t="s">
        <v>108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64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109</v>
      </c>
      <c r="B49" s="54" t="s">
        <v>110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77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112</v>
      </c>
      <c r="B53" s="54" t="s">
        <v>113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115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116</v>
      </c>
      <c r="B57" s="54" t="s">
        <v>117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119</v>
      </c>
      <c r="B58" s="54" t="s">
        <v>120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121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122</v>
      </c>
      <c r="B62" s="54" t="s">
        <v>123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124</v>
      </c>
      <c r="B63" s="54" t="s">
        <v>125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127</v>
      </c>
      <c r="B64" s="54" t="s">
        <v>128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129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64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130</v>
      </c>
      <c r="B69" s="54" t="s">
        <v>131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134</v>
      </c>
      <c r="B70" s="54" t="s">
        <v>135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70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hidden="1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hidden="1" customHeight="1" x14ac:dyDescent="0.25">
      <c r="A73" s="279" t="s">
        <v>136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121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hidden="1" customHeight="1" x14ac:dyDescent="0.25">
      <c r="A75" s="54" t="s">
        <v>137</v>
      </c>
      <c r="B75" s="54" t="s">
        <v>138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140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141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hidden="1" customHeight="1" x14ac:dyDescent="0.25">
      <c r="A80" s="54" t="s">
        <v>142</v>
      </c>
      <c r="B80" s="54" t="s">
        <v>143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145</v>
      </c>
      <c r="B81" s="54" t="s">
        <v>146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79" t="s">
        <v>148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121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hidden="1" customHeight="1" x14ac:dyDescent="0.25">
      <c r="A86" s="54" t="s">
        <v>149</v>
      </c>
      <c r="B86" s="54" t="s">
        <v>150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hidden="1" customHeight="1" x14ac:dyDescent="0.25">
      <c r="A87" s="54" t="s">
        <v>151</v>
      </c>
      <c r="B87" s="54" t="s">
        <v>152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70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hidden="1" customHeight="1" x14ac:dyDescent="0.25">
      <c r="A88" s="54" t="s">
        <v>153</v>
      </c>
      <c r="B88" s="54" t="s">
        <v>154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hidden="1" customHeight="1" x14ac:dyDescent="0.25">
      <c r="A89" s="54" t="s">
        <v>156</v>
      </c>
      <c r="B89" s="54" t="s">
        <v>157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158</v>
      </c>
      <c r="B90" s="54" t="s">
        <v>159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160</v>
      </c>
      <c r="B91" s="54" t="s">
        <v>161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idden="1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0</v>
      </c>
      <c r="Y92" s="270">
        <f>IFERROR(SUM(Y86:Y91),"0")</f>
        <v>0</v>
      </c>
      <c r="Z92" s="270">
        <f>IFERROR(IF(Z86="",0,Z86),"0")+IFERROR(IF(Z87="",0,Z87),"0")+IFERROR(IF(Z88="",0,Z88),"0")+IFERROR(IF(Z89="",0,Z89),"0")+IFERROR(IF(Z90="",0,Z90),"0")+IFERROR(IF(Z91="",0,Z91),"0")</f>
        <v>0</v>
      </c>
      <c r="AA92" s="271"/>
      <c r="AB92" s="271"/>
      <c r="AC92" s="271"/>
    </row>
    <row r="93" spans="1:68" hidden="1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0</v>
      </c>
      <c r="Y93" s="270">
        <f>IFERROR(SUMPRODUCT(Y86:Y91*H86:H91),"0")</f>
        <v>0</v>
      </c>
      <c r="Z93" s="37"/>
      <c r="AA93" s="271"/>
      <c r="AB93" s="271"/>
      <c r="AC93" s="271"/>
    </row>
    <row r="94" spans="1:68" ht="16.5" hidden="1" customHeight="1" x14ac:dyDescent="0.25">
      <c r="A94" s="279" t="s">
        <v>163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115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164</v>
      </c>
      <c r="B96" s="54" t="s">
        <v>165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167</v>
      </c>
      <c r="B97" s="54" t="s">
        <v>168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169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64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hidden="1" customHeight="1" x14ac:dyDescent="0.25">
      <c r="A102" s="54" t="s">
        <v>170</v>
      </c>
      <c r="B102" s="54" t="s">
        <v>171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173</v>
      </c>
      <c r="B103" s="54" t="s">
        <v>174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70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175</v>
      </c>
      <c r="B104" s="54" t="s">
        <v>176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70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177</v>
      </c>
      <c r="B105" s="54" t="s">
        <v>178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180</v>
      </c>
      <c r="B106" s="54" t="s">
        <v>181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70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182</v>
      </c>
      <c r="B107" s="54" t="s">
        <v>183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70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idden="1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73</v>
      </c>
      <c r="Q109" s="277"/>
      <c r="R109" s="277"/>
      <c r="S109" s="277"/>
      <c r="T109" s="277"/>
      <c r="U109" s="277"/>
      <c r="V109" s="278"/>
      <c r="W109" s="37" t="s">
        <v>70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73</v>
      </c>
      <c r="Q110" s="277"/>
      <c r="R110" s="277"/>
      <c r="S110" s="277"/>
      <c r="T110" s="277"/>
      <c r="U110" s="277"/>
      <c r="V110" s="278"/>
      <c r="W110" s="37" t="s">
        <v>74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121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hidden="1" customHeight="1" x14ac:dyDescent="0.25">
      <c r="A112" s="54" t="s">
        <v>187</v>
      </c>
      <c r="B112" s="54" t="s">
        <v>188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73</v>
      </c>
      <c r="Q113" s="277"/>
      <c r="R113" s="277"/>
      <c r="S113" s="277"/>
      <c r="T113" s="277"/>
      <c r="U113" s="277"/>
      <c r="V113" s="278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73</v>
      </c>
      <c r="Q114" s="277"/>
      <c r="R114" s="277"/>
      <c r="S114" s="277"/>
      <c r="T114" s="277"/>
      <c r="U114" s="277"/>
      <c r="V114" s="278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91" t="s">
        <v>190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191</v>
      </c>
      <c r="B116" s="54" t="s">
        <v>192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73</v>
      </c>
      <c r="Q117" s="277"/>
      <c r="R117" s="277"/>
      <c r="S117" s="277"/>
      <c r="T117" s="277"/>
      <c r="U117" s="277"/>
      <c r="V117" s="278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73</v>
      </c>
      <c r="Q118" s="277"/>
      <c r="R118" s="277"/>
      <c r="S118" s="277"/>
      <c r="T118" s="277"/>
      <c r="U118" s="277"/>
      <c r="V118" s="278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194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121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hidden="1" customHeight="1" x14ac:dyDescent="0.25">
      <c r="A121" s="54" t="s">
        <v>195</v>
      </c>
      <c r="B121" s="54" t="s">
        <v>196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70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hidden="1" customHeight="1" x14ac:dyDescent="0.25">
      <c r="A122" s="54" t="s">
        <v>198</v>
      </c>
      <c r="B122" s="54" t="s">
        <v>199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70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73</v>
      </c>
      <c r="Q123" s="277"/>
      <c r="R123" s="277"/>
      <c r="S123" s="277"/>
      <c r="T123" s="277"/>
      <c r="U123" s="277"/>
      <c r="V123" s="278"/>
      <c r="W123" s="37" t="s">
        <v>70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hidden="1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73</v>
      </c>
      <c r="Q124" s="277"/>
      <c r="R124" s="277"/>
      <c r="S124" s="277"/>
      <c r="T124" s="277"/>
      <c r="U124" s="277"/>
      <c r="V124" s="278"/>
      <c r="W124" s="37" t="s">
        <v>74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hidden="1" customHeight="1" x14ac:dyDescent="0.25">
      <c r="A125" s="279" t="s">
        <v>202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121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hidden="1" customHeight="1" x14ac:dyDescent="0.25">
      <c r="A127" s="54" t="s">
        <v>203</v>
      </c>
      <c r="B127" s="54" t="s">
        <v>204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hidden="1" customHeight="1" x14ac:dyDescent="0.25">
      <c r="A128" s="54" t="s">
        <v>206</v>
      </c>
      <c r="B128" s="54" t="s">
        <v>207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73</v>
      </c>
      <c r="Q129" s="277"/>
      <c r="R129" s="277"/>
      <c r="S129" s="277"/>
      <c r="T129" s="277"/>
      <c r="U129" s="277"/>
      <c r="V129" s="278"/>
      <c r="W129" s="37" t="s">
        <v>70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hidden="1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73</v>
      </c>
      <c r="Q130" s="277"/>
      <c r="R130" s="277"/>
      <c r="S130" s="277"/>
      <c r="T130" s="277"/>
      <c r="U130" s="277"/>
      <c r="V130" s="278"/>
      <c r="W130" s="37" t="s">
        <v>74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79" t="s">
        <v>209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hidden="1" customHeight="1" x14ac:dyDescent="0.25">
      <c r="A133" s="54" t="s">
        <v>210</v>
      </c>
      <c r="B133" s="54" t="s">
        <v>211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212</v>
      </c>
      <c r="B134" s="54" t="s">
        <v>213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73</v>
      </c>
      <c r="Q135" s="277"/>
      <c r="R135" s="277"/>
      <c r="S135" s="277"/>
      <c r="T135" s="277"/>
      <c r="U135" s="277"/>
      <c r="V135" s="278"/>
      <c r="W135" s="37" t="s">
        <v>70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73</v>
      </c>
      <c r="Q136" s="277"/>
      <c r="R136" s="277"/>
      <c r="S136" s="277"/>
      <c r="T136" s="277"/>
      <c r="U136" s="277"/>
      <c r="V136" s="278"/>
      <c r="W136" s="37" t="s">
        <v>74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79" t="s">
        <v>214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121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hidden="1" customHeight="1" x14ac:dyDescent="0.25">
      <c r="A139" s="54" t="s">
        <v>215</v>
      </c>
      <c r="B139" s="54" t="s">
        <v>216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73</v>
      </c>
      <c r="Q140" s="277"/>
      <c r="R140" s="277"/>
      <c r="S140" s="277"/>
      <c r="T140" s="277"/>
      <c r="U140" s="277"/>
      <c r="V140" s="278"/>
      <c r="W140" s="37" t="s">
        <v>70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73</v>
      </c>
      <c r="Q141" s="277"/>
      <c r="R141" s="277"/>
      <c r="S141" s="277"/>
      <c r="T141" s="277"/>
      <c r="U141" s="277"/>
      <c r="V141" s="278"/>
      <c r="W141" s="37" t="s">
        <v>74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218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121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219</v>
      </c>
      <c r="B144" s="54" t="s">
        <v>220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73</v>
      </c>
      <c r="Q145" s="277"/>
      <c r="R145" s="277"/>
      <c r="S145" s="277"/>
      <c r="T145" s="277"/>
      <c r="U145" s="277"/>
      <c r="V145" s="278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73</v>
      </c>
      <c r="Q146" s="277"/>
      <c r="R146" s="277"/>
      <c r="S146" s="277"/>
      <c r="T146" s="277"/>
      <c r="U146" s="277"/>
      <c r="V146" s="278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221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190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222</v>
      </c>
      <c r="B149" s="54" t="s">
        <v>223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73</v>
      </c>
      <c r="Q150" s="277"/>
      <c r="R150" s="277"/>
      <c r="S150" s="277"/>
      <c r="T150" s="277"/>
      <c r="U150" s="277"/>
      <c r="V150" s="278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73</v>
      </c>
      <c r="Q151" s="277"/>
      <c r="R151" s="277"/>
      <c r="S151" s="277"/>
      <c r="T151" s="277"/>
      <c r="U151" s="277"/>
      <c r="V151" s="278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226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121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hidden="1" customHeight="1" x14ac:dyDescent="0.25">
      <c r="A154" s="54" t="s">
        <v>227</v>
      </c>
      <c r="B154" s="54" t="s">
        <v>228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70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73</v>
      </c>
      <c r="Q155" s="277"/>
      <c r="R155" s="277"/>
      <c r="S155" s="277"/>
      <c r="T155" s="277"/>
      <c r="U155" s="277"/>
      <c r="V155" s="278"/>
      <c r="W155" s="37" t="s">
        <v>70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hidden="1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73</v>
      </c>
      <c r="Q156" s="277"/>
      <c r="R156" s="277"/>
      <c r="S156" s="277"/>
      <c r="T156" s="277"/>
      <c r="U156" s="277"/>
      <c r="V156" s="278"/>
      <c r="W156" s="37" t="s">
        <v>74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hidden="1" customHeight="1" x14ac:dyDescent="0.2">
      <c r="A157" s="319" t="s">
        <v>230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231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64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232</v>
      </c>
      <c r="B160" s="54" t="s">
        <v>233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235</v>
      </c>
      <c r="B161" s="54" t="s">
        <v>236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73</v>
      </c>
      <c r="Q162" s="277"/>
      <c r="R162" s="277"/>
      <c r="S162" s="277"/>
      <c r="T162" s="277"/>
      <c r="U162" s="277"/>
      <c r="V162" s="278"/>
      <c r="W162" s="37" t="s">
        <v>70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hidden="1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73</v>
      </c>
      <c r="Q163" s="277"/>
      <c r="R163" s="277"/>
      <c r="S163" s="277"/>
      <c r="T163" s="277"/>
      <c r="U163" s="277"/>
      <c r="V163" s="278"/>
      <c r="W163" s="37" t="s">
        <v>74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238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239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77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70</v>
      </c>
      <c r="X167" s="268">
        <v>126</v>
      </c>
      <c r="Y167" s="269">
        <f>IFERROR(IF(X167="","",X167),"")</f>
        <v>126</v>
      </c>
      <c r="Z167" s="36">
        <f>IFERROR(IF(X167="","",X167*0.01788),"")</f>
        <v>2.2528800000000002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426.88799999999998</v>
      </c>
      <c r="BN167" s="67">
        <f>IFERROR(Y167*I167,"0")</f>
        <v>426.88799999999998</v>
      </c>
      <c r="BO167" s="67">
        <f>IFERROR(X167/J167,"0")</f>
        <v>1.8</v>
      </c>
      <c r="BP167" s="67">
        <f>IFERROR(Y167/J167,"0")</f>
        <v>1.8</v>
      </c>
    </row>
    <row r="168" spans="1:68" ht="27" hidden="1" customHeight="1" x14ac:dyDescent="0.25">
      <c r="A168" s="54" t="s">
        <v>243</v>
      </c>
      <c r="B168" s="54" t="s">
        <v>244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70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hidden="1" customHeight="1" x14ac:dyDescent="0.25">
      <c r="A169" s="54" t="s">
        <v>246</v>
      </c>
      <c r="B169" s="54" t="s">
        <v>247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73</v>
      </c>
      <c r="Q170" s="277"/>
      <c r="R170" s="277"/>
      <c r="S170" s="277"/>
      <c r="T170" s="277"/>
      <c r="U170" s="277"/>
      <c r="V170" s="278"/>
      <c r="W170" s="37" t="s">
        <v>70</v>
      </c>
      <c r="X170" s="270">
        <f>IFERROR(SUM(X167:X169),"0")</f>
        <v>126</v>
      </c>
      <c r="Y170" s="270">
        <f>IFERROR(SUM(Y167:Y169),"0")</f>
        <v>126</v>
      </c>
      <c r="Z170" s="270">
        <f>IFERROR(IF(Z167="",0,Z167),"0")+IFERROR(IF(Z168="",0,Z168),"0")+IFERROR(IF(Z169="",0,Z169),"0")</f>
        <v>2.2528800000000002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73</v>
      </c>
      <c r="Q171" s="277"/>
      <c r="R171" s="277"/>
      <c r="S171" s="277"/>
      <c r="T171" s="277"/>
      <c r="U171" s="277"/>
      <c r="V171" s="278"/>
      <c r="W171" s="37" t="s">
        <v>74</v>
      </c>
      <c r="X171" s="270">
        <f>IFERROR(SUMPRODUCT(X167:X169*H167:H169),"0")</f>
        <v>378</v>
      </c>
      <c r="Y171" s="270">
        <f>IFERROR(SUMPRODUCT(Y167:Y169*H167:H169),"0")</f>
        <v>378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249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250</v>
      </c>
      <c r="B173" s="54" t="s">
        <v>251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8" t="s">
        <v>254</v>
      </c>
      <c r="Q173" s="286"/>
      <c r="R173" s="286"/>
      <c r="S173" s="286"/>
      <c r="T173" s="287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73</v>
      </c>
      <c r="Q174" s="277"/>
      <c r="R174" s="277"/>
      <c r="S174" s="277"/>
      <c r="T174" s="277"/>
      <c r="U174" s="277"/>
      <c r="V174" s="278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73</v>
      </c>
      <c r="Q175" s="277"/>
      <c r="R175" s="277"/>
      <c r="S175" s="277"/>
      <c r="T175" s="277"/>
      <c r="U175" s="277"/>
      <c r="V175" s="278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257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258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77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hidden="1" customHeight="1" x14ac:dyDescent="0.25">
      <c r="A179" s="54" t="s">
        <v>259</v>
      </c>
      <c r="B179" s="54" t="s">
        <v>260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73</v>
      </c>
      <c r="Q180" s="277"/>
      <c r="R180" s="277"/>
      <c r="S180" s="277"/>
      <c r="T180" s="277"/>
      <c r="U180" s="277"/>
      <c r="V180" s="278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73</v>
      </c>
      <c r="Q181" s="277"/>
      <c r="R181" s="277"/>
      <c r="S181" s="277"/>
      <c r="T181" s="277"/>
      <c r="U181" s="277"/>
      <c r="V181" s="278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121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262</v>
      </c>
      <c r="B183" s="54" t="s">
        <v>263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265</v>
      </c>
      <c r="B184" s="54" t="s">
        <v>266</v>
      </c>
      <c r="C184" s="31">
        <v>4301135696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86"/>
      <c r="R184" s="286"/>
      <c r="S184" s="286"/>
      <c r="T184" s="287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73</v>
      </c>
      <c r="Q187" s="277"/>
      <c r="R187" s="277"/>
      <c r="S187" s="277"/>
      <c r="T187" s="277"/>
      <c r="U187" s="277"/>
      <c r="V187" s="278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73</v>
      </c>
      <c r="Q188" s="277"/>
      <c r="R188" s="277"/>
      <c r="S188" s="277"/>
      <c r="T188" s="277"/>
      <c r="U188" s="277"/>
      <c r="V188" s="278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64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64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47" t="s">
        <v>288</v>
      </c>
      <c r="Q200" s="286"/>
      <c r="R200" s="286"/>
      <c r="S200" s="286"/>
      <c r="T200" s="287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64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121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64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307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64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312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64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316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121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324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64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77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70</v>
      </c>
      <c r="X251" s="268">
        <v>180</v>
      </c>
      <c r="Y251" s="269">
        <f>IFERROR(IF(X251="","",X251),"")</f>
        <v>180</v>
      </c>
      <c r="Z251" s="36">
        <f>IFERROR(IF(X251="","",X251*0.0155),"")</f>
        <v>2.79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1126.8</v>
      </c>
      <c r="BN251" s="67">
        <f>IFERROR(Y251*I251,"0")</f>
        <v>1126.8</v>
      </c>
      <c r="BO251" s="67">
        <f>IFERROR(X251/J251,"0")</f>
        <v>2.1428571428571428</v>
      </c>
      <c r="BP251" s="67">
        <f>IFERROR(Y251/J251,"0")</f>
        <v>2.1428571428571428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180</v>
      </c>
      <c r="Y253" s="270">
        <f>IFERROR(SUM(Y251:Y252),"0")</f>
        <v>180</v>
      </c>
      <c r="Z253" s="270">
        <f>IFERROR(IF(Z251="",0,Z251),"0")+IFERROR(IF(Z252="",0,Z252),"0")</f>
        <v>2.79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1080</v>
      </c>
      <c r="Y254" s="270">
        <f>IFERROR(SUMPRODUCT(Y251:Y252*H251:H252),"0")</f>
        <v>1080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115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341</v>
      </c>
      <c r="B257" s="54" t="s">
        <v>342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121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70</v>
      </c>
      <c r="X263" s="268">
        <v>420</v>
      </c>
      <c r="Y263" s="269">
        <f t="shared" si="12"/>
        <v>420</v>
      </c>
      <c r="Z263" s="36">
        <f>IFERROR(IF(X263="","",X263*0.00936),"")</f>
        <v>3.9312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1634.6399999999999</v>
      </c>
      <c r="BN263" s="67">
        <f t="shared" si="14"/>
        <v>1634.6399999999999</v>
      </c>
      <c r="BO263" s="67">
        <f t="shared" si="15"/>
        <v>3.3333333333333335</v>
      </c>
      <c r="BP263" s="67">
        <f t="shared" si="16"/>
        <v>3.3333333333333335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70</v>
      </c>
      <c r="X264" s="268">
        <v>168</v>
      </c>
      <c r="Y264" s="269">
        <f t="shared" si="12"/>
        <v>168</v>
      </c>
      <c r="Z264" s="36">
        <f>IFERROR(IF(X264="","",X264*0.0155),"")</f>
        <v>2.6040000000000001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963.48</v>
      </c>
      <c r="BN264" s="67">
        <f t="shared" si="14"/>
        <v>963.48</v>
      </c>
      <c r="BO264" s="67">
        <f t="shared" si="15"/>
        <v>2</v>
      </c>
      <c r="BP264" s="67">
        <f t="shared" si="16"/>
        <v>2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70</v>
      </c>
      <c r="X265" s="268">
        <v>126</v>
      </c>
      <c r="Y265" s="269">
        <f t="shared" si="12"/>
        <v>126</v>
      </c>
      <c r="Z265" s="36">
        <f t="shared" ref="Z265:Z270" si="17">IFERROR(IF(X265="","",X265*0.00936),"")</f>
        <v>1.17936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402.19200000000001</v>
      </c>
      <c r="BN265" s="67">
        <f t="shared" si="14"/>
        <v>402.19200000000001</v>
      </c>
      <c r="BO265" s="67">
        <f t="shared" si="15"/>
        <v>1</v>
      </c>
      <c r="BP265" s="67">
        <f t="shared" si="16"/>
        <v>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70</v>
      </c>
      <c r="X266" s="268">
        <v>756</v>
      </c>
      <c r="Y266" s="269">
        <f t="shared" si="12"/>
        <v>756</v>
      </c>
      <c r="Z266" s="36">
        <f t="shared" si="17"/>
        <v>7.0761599999999998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2942.3519999999999</v>
      </c>
      <c r="BN266" s="67">
        <f t="shared" si="14"/>
        <v>2942.3519999999999</v>
      </c>
      <c r="BO266" s="67">
        <f t="shared" si="15"/>
        <v>6</v>
      </c>
      <c r="BP266" s="67">
        <f t="shared" si="16"/>
        <v>6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70</v>
      </c>
      <c r="X267" s="268">
        <v>42</v>
      </c>
      <c r="Y267" s="269">
        <f t="shared" si="12"/>
        <v>42</v>
      </c>
      <c r="Z267" s="36">
        <f t="shared" si="17"/>
        <v>0.39312000000000002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163.464</v>
      </c>
      <c r="BN267" s="67">
        <f t="shared" si="14"/>
        <v>163.464</v>
      </c>
      <c r="BO267" s="67">
        <f t="shared" si="15"/>
        <v>0.33333333333333331</v>
      </c>
      <c r="BP267" s="67">
        <f t="shared" si="16"/>
        <v>0.33333333333333331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1512</v>
      </c>
      <c r="Y272" s="270">
        <f>IFERROR(SUM(Y262:Y271),"0")</f>
        <v>1512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15.18384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5808.6</v>
      </c>
      <c r="Y273" s="270">
        <f>IFERROR(SUMPRODUCT(Y262:Y271*H262:H271),"0")</f>
        <v>5808.6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367</v>
      </c>
      <c r="Q274" s="317"/>
      <c r="R274" s="317"/>
      <c r="S274" s="317"/>
      <c r="T274" s="317"/>
      <c r="U274" s="317"/>
      <c r="V274" s="318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7266.6</v>
      </c>
      <c r="Y274" s="270">
        <f>IFERROR(Y24+Y31+Y38+Y46+Y51+Y55+Y60+Y66+Y72+Y77+Y83+Y93+Y99+Y110+Y114+Y118+Y124+Y130+Y136+Y141+Y146+Y151+Y156+Y163+Y171+Y175+Y181+Y188+Y197+Y202+Y207+Y213+Y219+Y225+Y231+Y237+Y241+Y249+Y254+Y260+Y273,"0")</f>
        <v>7266.6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368</v>
      </c>
      <c r="Q275" s="317"/>
      <c r="R275" s="317"/>
      <c r="S275" s="317"/>
      <c r="T275" s="317"/>
      <c r="U275" s="317"/>
      <c r="V275" s="318"/>
      <c r="W275" s="37" t="s">
        <v>74</v>
      </c>
      <c r="X275" s="270">
        <f>IFERROR(SUM(BM22:BM271),"0")</f>
        <v>7659.8159999999989</v>
      </c>
      <c r="Y275" s="270">
        <f>IFERROR(SUM(BN22:BN271),"0")</f>
        <v>7659.8159999999989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369</v>
      </c>
      <c r="Q276" s="317"/>
      <c r="R276" s="317"/>
      <c r="S276" s="317"/>
      <c r="T276" s="317"/>
      <c r="U276" s="317"/>
      <c r="V276" s="318"/>
      <c r="W276" s="37" t="s">
        <v>370</v>
      </c>
      <c r="X276" s="38">
        <f>ROUNDUP(SUM(BO22:BO271),0)</f>
        <v>17</v>
      </c>
      <c r="Y276" s="38">
        <f>ROUNDUP(SUM(BP22:BP271),0)</f>
        <v>17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371</v>
      </c>
      <c r="Q277" s="317"/>
      <c r="R277" s="317"/>
      <c r="S277" s="317"/>
      <c r="T277" s="317"/>
      <c r="U277" s="317"/>
      <c r="V277" s="318"/>
      <c r="W277" s="37" t="s">
        <v>74</v>
      </c>
      <c r="X277" s="270">
        <f>GrossWeightTotal+PalletQtyTotal*25</f>
        <v>8084.8159999999989</v>
      </c>
      <c r="Y277" s="270">
        <f>GrossWeightTotalR+PalletQtyTotalR*25</f>
        <v>8084.8159999999989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372</v>
      </c>
      <c r="Q278" s="317"/>
      <c r="R278" s="317"/>
      <c r="S278" s="317"/>
      <c r="T278" s="317"/>
      <c r="U278" s="317"/>
      <c r="V278" s="318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1818</v>
      </c>
      <c r="Y278" s="270">
        <f>IFERROR(Y23+Y30+Y37+Y45+Y50+Y54+Y59+Y65+Y71+Y76+Y82+Y92+Y98+Y109+Y113+Y117+Y123+Y129+Y135+Y140+Y145+Y150+Y155+Y162+Y170+Y174+Y180+Y187+Y196+Y201+Y206+Y212+Y218+Y224+Y230+Y236+Y240+Y248+Y253+Y259+Y272,"0")</f>
        <v>1818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373</v>
      </c>
      <c r="Q279" s="317"/>
      <c r="R279" s="317"/>
      <c r="S279" s="317"/>
      <c r="T279" s="317"/>
      <c r="U279" s="317"/>
      <c r="V279" s="318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20.22672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2" t="s">
        <v>75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230</v>
      </c>
      <c r="V281" s="265" t="s">
        <v>238</v>
      </c>
      <c r="W281" s="272" t="s">
        <v>257</v>
      </c>
      <c r="X281" s="306"/>
      <c r="Y281" s="306"/>
      <c r="Z281" s="306"/>
      <c r="AA281" s="307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89" t="s">
        <v>376</v>
      </c>
      <c r="B282" s="272" t="s">
        <v>63</v>
      </c>
      <c r="C282" s="272" t="s">
        <v>76</v>
      </c>
      <c r="D282" s="272" t="s">
        <v>87</v>
      </c>
      <c r="E282" s="272" t="s">
        <v>97</v>
      </c>
      <c r="F282" s="272" t="s">
        <v>108</v>
      </c>
      <c r="G282" s="272" t="s">
        <v>129</v>
      </c>
      <c r="H282" s="272" t="s">
        <v>136</v>
      </c>
      <c r="I282" s="272" t="s">
        <v>140</v>
      </c>
      <c r="J282" s="272" t="s">
        <v>148</v>
      </c>
      <c r="K282" s="272" t="s">
        <v>163</v>
      </c>
      <c r="L282" s="272" t="s">
        <v>169</v>
      </c>
      <c r="M282" s="272" t="s">
        <v>194</v>
      </c>
      <c r="N282" s="266"/>
      <c r="O282" s="272" t="s">
        <v>202</v>
      </c>
      <c r="P282" s="272" t="s">
        <v>209</v>
      </c>
      <c r="Q282" s="272" t="s">
        <v>214</v>
      </c>
      <c r="R282" s="272" t="s">
        <v>218</v>
      </c>
      <c r="S282" s="272" t="s">
        <v>221</v>
      </c>
      <c r="T282" s="272" t="s">
        <v>226</v>
      </c>
      <c r="U282" s="272" t="s">
        <v>231</v>
      </c>
      <c r="V282" s="272" t="s">
        <v>239</v>
      </c>
      <c r="W282" s="272" t="s">
        <v>258</v>
      </c>
      <c r="X282" s="272" t="s">
        <v>273</v>
      </c>
      <c r="Y282" s="272" t="s">
        <v>285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0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0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378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6888.6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0</v>
      </c>
      <c r="B287" s="60">
        <f>SUMPRODUCT(--(BB:BB="ПГП"),--(W:W="кор"),H:H,Y:Y)+SUMPRODUCT(--(BB:BB="ПГП"),--(W:W="кг"),Y:Y)</f>
        <v>7266.6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512,00"/>
        <filter val="1 818,00"/>
        <filter val="126,00"/>
        <filter val="168,00"/>
        <filter val="17"/>
        <filter val="180,00"/>
        <filter val="378,00"/>
        <filter val="42,00"/>
        <filter val="420,00"/>
        <filter val="5 808,60"/>
        <filter val="7 266,60"/>
        <filter val="7 659,82"/>
        <filter val="756,00"/>
        <filter val="8 084,82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