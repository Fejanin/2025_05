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0E2DEF-C7BF-47B0-B298-D24F4E1A79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P423" i="1" s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O145" i="1"/>
  <c r="BM145" i="1"/>
  <c r="Y145" i="1"/>
  <c r="Y149" i="1" s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7" i="1"/>
  <c r="X136" i="1"/>
  <c r="BO135" i="1"/>
  <c r="BM135" i="1"/>
  <c r="Y135" i="1"/>
  <c r="P135" i="1"/>
  <c r="BO134" i="1"/>
  <c r="BM134" i="1"/>
  <c r="Y134" i="1"/>
  <c r="BP134" i="1" s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498" i="1" l="1"/>
  <c r="X490" i="1"/>
  <c r="Y32" i="1"/>
  <c r="Z52" i="1"/>
  <c r="BN52" i="1"/>
  <c r="Z62" i="1"/>
  <c r="BN62" i="1"/>
  <c r="Z73" i="1"/>
  <c r="BN73" i="1"/>
  <c r="Z94" i="1"/>
  <c r="BN94" i="1"/>
  <c r="Z113" i="1"/>
  <c r="BN113" i="1"/>
  <c r="Z141" i="1"/>
  <c r="BN141" i="1"/>
  <c r="Z169" i="1"/>
  <c r="BN169" i="1"/>
  <c r="Z198" i="1"/>
  <c r="BN198" i="1"/>
  <c r="Z208" i="1"/>
  <c r="BN208" i="1"/>
  <c r="Z218" i="1"/>
  <c r="BN218" i="1"/>
  <c r="Z219" i="1"/>
  <c r="BN219" i="1"/>
  <c r="Z224" i="1"/>
  <c r="BN224" i="1"/>
  <c r="Z232" i="1"/>
  <c r="BN232" i="1"/>
  <c r="Z257" i="1"/>
  <c r="BN257" i="1"/>
  <c r="Z273" i="1"/>
  <c r="BN273" i="1"/>
  <c r="Z292" i="1"/>
  <c r="BN292" i="1"/>
  <c r="Z308" i="1"/>
  <c r="BN308" i="1"/>
  <c r="Z322" i="1"/>
  <c r="BN322" i="1"/>
  <c r="Z345" i="1"/>
  <c r="BN345" i="1"/>
  <c r="Z377" i="1"/>
  <c r="BN377" i="1"/>
  <c r="Z391" i="1"/>
  <c r="BN391" i="1"/>
  <c r="Z423" i="1"/>
  <c r="BN423" i="1"/>
  <c r="Z435" i="1"/>
  <c r="BN435" i="1"/>
  <c r="Z449" i="1"/>
  <c r="BN449" i="1"/>
  <c r="Z471" i="1"/>
  <c r="BN471" i="1"/>
  <c r="Y148" i="1"/>
  <c r="BP278" i="1"/>
  <c r="BN278" i="1"/>
  <c r="BP290" i="1"/>
  <c r="BN290" i="1"/>
  <c r="Z290" i="1"/>
  <c r="BP302" i="1"/>
  <c r="BN302" i="1"/>
  <c r="Z302" i="1"/>
  <c r="BP316" i="1"/>
  <c r="BN316" i="1"/>
  <c r="Z316" i="1"/>
  <c r="BP320" i="1"/>
  <c r="BN320" i="1"/>
  <c r="Z320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Y63" i="1"/>
  <c r="Z66" i="1"/>
  <c r="BN66" i="1"/>
  <c r="BP66" i="1"/>
  <c r="Y69" i="1"/>
  <c r="Z72" i="1"/>
  <c r="Z75" i="1"/>
  <c r="BN75" i="1"/>
  <c r="Z79" i="1"/>
  <c r="BN79" i="1"/>
  <c r="Y89" i="1"/>
  <c r="Z92" i="1"/>
  <c r="BN92" i="1"/>
  <c r="Z99" i="1"/>
  <c r="BN99" i="1"/>
  <c r="Z107" i="1"/>
  <c r="BN107" i="1"/>
  <c r="Z115" i="1"/>
  <c r="BN115" i="1"/>
  <c r="Z130" i="1"/>
  <c r="BN130" i="1"/>
  <c r="Z134" i="1"/>
  <c r="BN134" i="1"/>
  <c r="Z145" i="1"/>
  <c r="BN145" i="1"/>
  <c r="BP145" i="1"/>
  <c r="Z162" i="1"/>
  <c r="BN162" i="1"/>
  <c r="Z167" i="1"/>
  <c r="BN167" i="1"/>
  <c r="Z175" i="1"/>
  <c r="BN175" i="1"/>
  <c r="Z196" i="1"/>
  <c r="BN196" i="1"/>
  <c r="Z200" i="1"/>
  <c r="BN200" i="1"/>
  <c r="Z206" i="1"/>
  <c r="BN206" i="1"/>
  <c r="Z210" i="1"/>
  <c r="BN210" i="1"/>
  <c r="Z214" i="1"/>
  <c r="BN214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Z278" i="1"/>
  <c r="BP298" i="1"/>
  <c r="BN298" i="1"/>
  <c r="Z298" i="1"/>
  <c r="BP310" i="1"/>
  <c r="BN310" i="1"/>
  <c r="Z310" i="1"/>
  <c r="BP328" i="1"/>
  <c r="BN328" i="1"/>
  <c r="Z328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318" i="1"/>
  <c r="Y317" i="1"/>
  <c r="Y379" i="1"/>
  <c r="Y453" i="1"/>
  <c r="Y452" i="1"/>
  <c r="F9" i="1"/>
  <c r="J9" i="1"/>
  <c r="F10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Z69" i="1" s="1"/>
  <c r="BN67" i="1"/>
  <c r="BP67" i="1"/>
  <c r="Y77" i="1"/>
  <c r="BP72" i="1"/>
  <c r="BN72" i="1"/>
  <c r="BP74" i="1"/>
  <c r="BN74" i="1"/>
  <c r="Z74" i="1"/>
  <c r="Y81" i="1"/>
  <c r="BP87" i="1"/>
  <c r="BN87" i="1"/>
  <c r="Z87" i="1"/>
  <c r="Y96" i="1"/>
  <c r="BP91" i="1"/>
  <c r="BN91" i="1"/>
  <c r="Z91" i="1"/>
  <c r="Y95" i="1"/>
  <c r="BP100" i="1"/>
  <c r="BN100" i="1"/>
  <c r="Z100" i="1"/>
  <c r="BP108" i="1"/>
  <c r="BN108" i="1"/>
  <c r="Z108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6" i="1"/>
  <c r="BN146" i="1"/>
  <c r="Z146" i="1"/>
  <c r="Z148" i="1" s="1"/>
  <c r="BP163" i="1"/>
  <c r="BN163" i="1"/>
  <c r="Z163" i="1"/>
  <c r="BP168" i="1"/>
  <c r="BN168" i="1"/>
  <c r="Z168" i="1"/>
  <c r="BP176" i="1"/>
  <c r="BN176" i="1"/>
  <c r="Z176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H9" i="1"/>
  <c r="Y24" i="1"/>
  <c r="Y44" i="1"/>
  <c r="Y57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8" i="1"/>
  <c r="Y143" i="1"/>
  <c r="BP140" i="1"/>
  <c r="BN140" i="1"/>
  <c r="Z140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Z274" i="1"/>
  <c r="BP272" i="1"/>
  <c r="BN272" i="1"/>
  <c r="Z272" i="1"/>
  <c r="Y274" i="1"/>
  <c r="BP321" i="1"/>
  <c r="BN321" i="1"/>
  <c r="Z321" i="1"/>
  <c r="Y325" i="1"/>
  <c r="BP329" i="1"/>
  <c r="BN329" i="1"/>
  <c r="Z329" i="1"/>
  <c r="Y331" i="1"/>
  <c r="R498" i="1"/>
  <c r="Y337" i="1"/>
  <c r="BP334" i="1"/>
  <c r="BN334" i="1"/>
  <c r="Z334" i="1"/>
  <c r="Y33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220" i="1" l="1"/>
  <c r="Z452" i="1"/>
  <c r="Z398" i="1"/>
  <c r="Z379" i="1"/>
  <c r="Z374" i="1"/>
  <c r="Z285" i="1"/>
  <c r="Z324" i="1"/>
  <c r="Z142" i="1"/>
  <c r="Z76" i="1"/>
  <c r="Z461" i="1"/>
  <c r="Z267" i="1"/>
  <c r="Z250" i="1"/>
  <c r="Z437" i="1"/>
  <c r="Z410" i="1"/>
  <c r="Z311" i="1"/>
  <c r="Z234" i="1"/>
  <c r="Z203" i="1"/>
  <c r="Z177" i="1"/>
  <c r="Z136" i="1"/>
  <c r="Z109" i="1"/>
  <c r="Z63" i="1"/>
  <c r="Z431" i="1"/>
  <c r="Z393" i="1"/>
  <c r="Z349" i="1"/>
  <c r="Z337" i="1"/>
  <c r="Z171" i="1"/>
  <c r="Y488" i="1"/>
  <c r="Z304" i="1"/>
  <c r="Z294" i="1"/>
  <c r="Z116" i="1"/>
  <c r="Z57" i="1"/>
  <c r="Z43" i="1"/>
  <c r="Z493" i="1" s="1"/>
  <c r="Z31" i="1"/>
  <c r="Y492" i="1"/>
  <c r="Y489" i="1"/>
  <c r="Z446" i="1"/>
  <c r="Z259" i="1"/>
  <c r="Z103" i="1"/>
  <c r="Z95" i="1"/>
  <c r="Y490" i="1"/>
  <c r="Y491" i="1" l="1"/>
</calcChain>
</file>

<file path=xl/sharedStrings.xml><?xml version="1.0" encoding="utf-8"?>
<sst xmlns="http://schemas.openxmlformats.org/spreadsheetml/2006/main" count="2269" uniqueCount="761">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</sst>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4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22" t="s">
        <v>0</v>
      </c>
      <c r="E1" s="564"/>
      <c r="F1" s="564"/>
      <c r="G1" s="12" t="s">
        <v>1</v>
      </c>
      <c r="H1" s="622" t="s">
        <v>2</v>
      </c>
      <c r="I1" s="564"/>
      <c r="J1" s="564"/>
      <c r="K1" s="564"/>
      <c r="L1" s="564"/>
      <c r="M1" s="564"/>
      <c r="N1" s="564"/>
      <c r="O1" s="564"/>
      <c r="P1" s="564"/>
      <c r="Q1" s="564"/>
      <c r="R1" s="563" t="s">
        <v>3</v>
      </c>
      <c r="S1" s="564"/>
      <c r="T1" s="5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24" t="s">
        <v>8</v>
      </c>
      <c r="B5" s="625"/>
      <c r="C5" s="626"/>
      <c r="D5" s="596"/>
      <c r="E5" s="597"/>
      <c r="F5" s="822" t="s">
        <v>9</v>
      </c>
      <c r="G5" s="626"/>
      <c r="H5" s="596" t="s">
        <v>760</v>
      </c>
      <c r="I5" s="764"/>
      <c r="J5" s="764"/>
      <c r="K5" s="764"/>
      <c r="L5" s="764"/>
      <c r="M5" s="597"/>
      <c r="N5" s="58"/>
      <c r="P5" s="24" t="s">
        <v>10</v>
      </c>
      <c r="Q5" s="831">
        <v>45989</v>
      </c>
      <c r="R5" s="656"/>
      <c r="T5" s="703" t="s">
        <v>11</v>
      </c>
      <c r="U5" s="704"/>
      <c r="V5" s="705" t="s">
        <v>12</v>
      </c>
      <c r="W5" s="656"/>
      <c r="AB5" s="51"/>
      <c r="AC5" s="51"/>
      <c r="AD5" s="51"/>
      <c r="AE5" s="51"/>
    </row>
    <row r="6" spans="1:32" s="533" customFormat="1" ht="24" customHeight="1" x14ac:dyDescent="0.2">
      <c r="A6" s="624" t="s">
        <v>13</v>
      </c>
      <c r="B6" s="625"/>
      <c r="C6" s="626"/>
      <c r="D6" s="767" t="s">
        <v>14</v>
      </c>
      <c r="E6" s="768"/>
      <c r="F6" s="768"/>
      <c r="G6" s="768"/>
      <c r="H6" s="768"/>
      <c r="I6" s="768"/>
      <c r="J6" s="768"/>
      <c r="K6" s="768"/>
      <c r="L6" s="768"/>
      <c r="M6" s="656"/>
      <c r="N6" s="59"/>
      <c r="P6" s="24" t="s">
        <v>15</v>
      </c>
      <c r="Q6" s="839" t="str">
        <f>IF(Q5=0," ",CHOOSE(WEEKDAY(Q5,2),"Понедельник","Вторник","Среда","Четверг","Пятница","Суббота","Воскресенье"))</f>
        <v>Пятница</v>
      </c>
      <c r="R6" s="544"/>
      <c r="T6" s="707" t="s">
        <v>16</v>
      </c>
      <c r="U6" s="704"/>
      <c r="V6" s="749" t="s">
        <v>17</v>
      </c>
      <c r="W6" s="579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60"/>
      <c r="P7" s="24"/>
      <c r="Q7" s="42"/>
      <c r="R7" s="42"/>
      <c r="T7" s="554"/>
      <c r="U7" s="704"/>
      <c r="V7" s="750"/>
      <c r="W7" s="751"/>
      <c r="AB7" s="51"/>
      <c r="AC7" s="51"/>
      <c r="AD7" s="51"/>
      <c r="AE7" s="51"/>
    </row>
    <row r="8" spans="1:32" s="533" customFormat="1" ht="25.5" customHeight="1" x14ac:dyDescent="0.2">
      <c r="A8" s="860" t="s">
        <v>18</v>
      </c>
      <c r="B8" s="546"/>
      <c r="C8" s="547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27">
        <v>0.375</v>
      </c>
      <c r="R8" s="600"/>
      <c r="T8" s="554"/>
      <c r="U8" s="704"/>
      <c r="V8" s="750"/>
      <c r="W8" s="751"/>
      <c r="AB8" s="51"/>
      <c r="AC8" s="51"/>
      <c r="AD8" s="51"/>
      <c r="AE8" s="51"/>
    </row>
    <row r="9" spans="1:32" s="533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68"/>
      <c r="E9" s="552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51" t="str">
        <f>IF(AND($A$9="Тип доверенности/получателя при получении в адресе перегруза:",$D$9="Разовая доверенность"),"Введите ФИО","")</f>
        <v/>
      </c>
      <c r="I9" s="552"/>
      <c r="J9" s="5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2"/>
      <c r="L9" s="552"/>
      <c r="M9" s="552"/>
      <c r="N9" s="531"/>
      <c r="P9" s="26" t="s">
        <v>21</v>
      </c>
      <c r="Q9" s="653"/>
      <c r="R9" s="654"/>
      <c r="T9" s="554"/>
      <c r="U9" s="704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68"/>
      <c r="E10" s="552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38" t="str">
        <f>IFERROR(VLOOKUP($D$10,Proxy,2,FALSE),"")</f>
        <v/>
      </c>
      <c r="I10" s="554"/>
      <c r="J10" s="554"/>
      <c r="K10" s="554"/>
      <c r="L10" s="554"/>
      <c r="M10" s="554"/>
      <c r="N10" s="532"/>
      <c r="P10" s="26" t="s">
        <v>22</v>
      </c>
      <c r="Q10" s="708"/>
      <c r="R10" s="709"/>
      <c r="U10" s="24" t="s">
        <v>23</v>
      </c>
      <c r="V10" s="578" t="s">
        <v>24</v>
      </c>
      <c r="W10" s="579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5"/>
      <c r="R11" s="656"/>
      <c r="U11" s="24" t="s">
        <v>27</v>
      </c>
      <c r="V11" s="785" t="s">
        <v>28</v>
      </c>
      <c r="W11" s="65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1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6"/>
      <c r="N12" s="62"/>
      <c r="P12" s="24" t="s">
        <v>30</v>
      </c>
      <c r="Q12" s="627"/>
      <c r="R12" s="600"/>
      <c r="S12" s="23"/>
      <c r="U12" s="24"/>
      <c r="V12" s="564"/>
      <c r="W12" s="554"/>
      <c r="AB12" s="51"/>
      <c r="AC12" s="51"/>
      <c r="AD12" s="51"/>
      <c r="AE12" s="51"/>
    </row>
    <row r="13" spans="1:32" s="533" customFormat="1" ht="23.25" customHeight="1" x14ac:dyDescent="0.2">
      <c r="A13" s="691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6"/>
      <c r="N13" s="62"/>
      <c r="O13" s="26"/>
      <c r="P13" s="26" t="s">
        <v>32</v>
      </c>
      <c r="Q13" s="785"/>
      <c r="R13" s="6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1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5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626"/>
      <c r="N15" s="63"/>
      <c r="P15" s="631" t="s">
        <v>35</v>
      </c>
      <c r="Q15" s="564"/>
      <c r="R15" s="564"/>
      <c r="S15" s="564"/>
      <c r="T15" s="5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2"/>
      <c r="Q16" s="632"/>
      <c r="R16" s="632"/>
      <c r="S16" s="632"/>
      <c r="T16" s="63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6" t="s">
        <v>36</v>
      </c>
      <c r="B17" s="576" t="s">
        <v>37</v>
      </c>
      <c r="C17" s="630" t="s">
        <v>38</v>
      </c>
      <c r="D17" s="576" t="s">
        <v>39</v>
      </c>
      <c r="E17" s="636"/>
      <c r="F17" s="576" t="s">
        <v>40</v>
      </c>
      <c r="G17" s="576" t="s">
        <v>41</v>
      </c>
      <c r="H17" s="576" t="s">
        <v>42</v>
      </c>
      <c r="I17" s="576" t="s">
        <v>43</v>
      </c>
      <c r="J17" s="576" t="s">
        <v>44</v>
      </c>
      <c r="K17" s="576" t="s">
        <v>45</v>
      </c>
      <c r="L17" s="576" t="s">
        <v>46</v>
      </c>
      <c r="M17" s="576" t="s">
        <v>47</v>
      </c>
      <c r="N17" s="576" t="s">
        <v>48</v>
      </c>
      <c r="O17" s="576" t="s">
        <v>49</v>
      </c>
      <c r="P17" s="576" t="s">
        <v>50</v>
      </c>
      <c r="Q17" s="635"/>
      <c r="R17" s="635"/>
      <c r="S17" s="635"/>
      <c r="T17" s="636"/>
      <c r="U17" s="855" t="s">
        <v>51</v>
      </c>
      <c r="V17" s="626"/>
      <c r="W17" s="576" t="s">
        <v>52</v>
      </c>
      <c r="X17" s="576" t="s">
        <v>53</v>
      </c>
      <c r="Y17" s="856" t="s">
        <v>54</v>
      </c>
      <c r="Z17" s="761" t="s">
        <v>55</v>
      </c>
      <c r="AA17" s="735" t="s">
        <v>56</v>
      </c>
      <c r="AB17" s="735" t="s">
        <v>57</v>
      </c>
      <c r="AC17" s="735" t="s">
        <v>58</v>
      </c>
      <c r="AD17" s="735" t="s">
        <v>59</v>
      </c>
      <c r="AE17" s="816"/>
      <c r="AF17" s="817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637"/>
      <c r="E18" s="639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77"/>
      <c r="X18" s="577"/>
      <c r="Y18" s="857"/>
      <c r="Z18" s="762"/>
      <c r="AA18" s="736"/>
      <c r="AB18" s="736"/>
      <c r="AC18" s="736"/>
      <c r="AD18" s="818"/>
      <c r="AE18" s="819"/>
      <c r="AF18" s="820"/>
      <c r="AG18" s="66"/>
      <c r="BD18" s="65"/>
    </row>
    <row r="19" spans="1:68" ht="27.75" hidden="1" customHeight="1" x14ac:dyDescent="0.2">
      <c r="A19" s="694" t="s">
        <v>63</v>
      </c>
      <c r="B19" s="695"/>
      <c r="C19" s="695"/>
      <c r="D19" s="695"/>
      <c r="E19" s="695"/>
      <c r="F19" s="695"/>
      <c r="G19" s="695"/>
      <c r="H19" s="695"/>
      <c r="I19" s="695"/>
      <c r="J19" s="695"/>
      <c r="K19" s="695"/>
      <c r="L19" s="695"/>
      <c r="M19" s="695"/>
      <c r="N19" s="695"/>
      <c r="O19" s="695"/>
      <c r="P19" s="695"/>
      <c r="Q19" s="695"/>
      <c r="R19" s="695"/>
      <c r="S19" s="695"/>
      <c r="T19" s="695"/>
      <c r="U19" s="695"/>
      <c r="V19" s="695"/>
      <c r="W19" s="695"/>
      <c r="X19" s="695"/>
      <c r="Y19" s="695"/>
      <c r="Z19" s="695"/>
      <c r="AA19" s="48"/>
      <c r="AB19" s="48"/>
      <c r="AC19" s="48"/>
    </row>
    <row r="20" spans="1:68" ht="16.5" hidden="1" customHeight="1" x14ac:dyDescent="0.25">
      <c r="A20" s="553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4"/>
      <c r="AB20" s="534"/>
      <c r="AC20" s="534"/>
    </row>
    <row r="21" spans="1:68" ht="14.25" hidden="1" customHeight="1" x14ac:dyDescent="0.25">
      <c r="A21" s="556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9"/>
      <c r="R22" s="549"/>
      <c r="S22" s="549"/>
      <c r="T22" s="550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5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66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66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6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9"/>
      <c r="R26" s="549"/>
      <c r="S26" s="549"/>
      <c r="T26" s="550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9"/>
      <c r="R27" s="549"/>
      <c r="S27" s="549"/>
      <c r="T27" s="550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9"/>
      <c r="R28" s="549"/>
      <c r="S28" s="549"/>
      <c r="T28" s="550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9"/>
      <c r="R29" s="549"/>
      <c r="S29" s="549"/>
      <c r="T29" s="550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9"/>
      <c r="R30" s="549"/>
      <c r="S30" s="549"/>
      <c r="T30" s="550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5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66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66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6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9"/>
      <c r="R34" s="549"/>
      <c r="S34" s="549"/>
      <c r="T34" s="550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5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66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66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4" t="s">
        <v>97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5"/>
      <c r="P37" s="695"/>
      <c r="Q37" s="695"/>
      <c r="R37" s="695"/>
      <c r="S37" s="695"/>
      <c r="T37" s="695"/>
      <c r="U37" s="695"/>
      <c r="V37" s="695"/>
      <c r="W37" s="695"/>
      <c r="X37" s="695"/>
      <c r="Y37" s="695"/>
      <c r="Z37" s="695"/>
      <c r="AA37" s="48"/>
      <c r="AB37" s="48"/>
      <c r="AC37" s="48"/>
    </row>
    <row r="38" spans="1:68" ht="16.5" hidden="1" customHeight="1" x14ac:dyDescent="0.25">
      <c r="A38" s="553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4"/>
      <c r="AB38" s="534"/>
      <c r="AC38" s="534"/>
    </row>
    <row r="39" spans="1:68" ht="14.25" hidden="1" customHeight="1" x14ac:dyDescent="0.25">
      <c r="A39" s="556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9"/>
      <c r="R40" s="549"/>
      <c r="S40" s="549"/>
      <c r="T40" s="550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7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9"/>
      <c r="R41" s="549"/>
      <c r="S41" s="549"/>
      <c r="T41" s="550"/>
      <c r="U41" s="34"/>
      <c r="V41" s="34"/>
      <c r="W41" s="35" t="s">
        <v>69</v>
      </c>
      <c r="X41" s="539">
        <v>120</v>
      </c>
      <c r="Y41" s="540">
        <f>IFERROR(IF(X41="",0,CEILING((X41/$H41),1)*$H41),"")</f>
        <v>120</v>
      </c>
      <c r="Z41" s="36">
        <f>IFERROR(IF(Y41=0,"",ROUNDUP(Y41/H41,0)*0.00902),"")</f>
        <v>0.27060000000000001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125.70000000000002</v>
      </c>
      <c r="BN41" s="64">
        <f>IFERROR(Y41*I41/H41,"0")</f>
        <v>125.70000000000002</v>
      </c>
      <c r="BO41" s="64">
        <f>IFERROR(1/J41*(X41/H41),"0")</f>
        <v>0.22727272727272729</v>
      </c>
      <c r="BP41" s="64">
        <f>IFERROR(1/J41*(Y41/H41),"0")</f>
        <v>0.22727272727272729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5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9"/>
      <c r="R42" s="549"/>
      <c r="S42" s="549"/>
      <c r="T42" s="550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5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66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39.25925925925926</v>
      </c>
      <c r="Y43" s="541">
        <f>IFERROR(Y40/H40,"0")+IFERROR(Y41/H41,"0")+IFERROR(Y42/H42,"0")</f>
        <v>40</v>
      </c>
      <c r="Z43" s="541">
        <f>IFERROR(IF(Z40="",0,Z40),"0")+IFERROR(IF(Z41="",0,Z41),"0")+IFERROR(IF(Z42="",0,Z42),"0")</f>
        <v>0.46040000000000003</v>
      </c>
      <c r="AA43" s="542"/>
      <c r="AB43" s="542"/>
      <c r="AC43" s="542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66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220</v>
      </c>
      <c r="Y44" s="541">
        <f>IFERROR(SUM(Y40:Y42),"0")</f>
        <v>228</v>
      </c>
      <c r="Z44" s="37"/>
      <c r="AA44" s="542"/>
      <c r="AB44" s="542"/>
      <c r="AC44" s="542"/>
    </row>
    <row r="45" spans="1:68" ht="14.25" hidden="1" customHeight="1" x14ac:dyDescent="0.25">
      <c r="A45" s="556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9"/>
      <c r="R46" s="549"/>
      <c r="S46" s="549"/>
      <c r="T46" s="550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5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66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66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53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4"/>
      <c r="AB49" s="534"/>
      <c r="AC49" s="534"/>
    </row>
    <row r="50" spans="1:68" ht="14.25" hidden="1" customHeight="1" x14ac:dyDescent="0.25">
      <c r="A50" s="556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3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9"/>
      <c r="R51" s="549"/>
      <c r="S51" s="549"/>
      <c r="T51" s="550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9"/>
      <c r="R52" s="549"/>
      <c r="S52" s="549"/>
      <c r="T52" s="550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9"/>
      <c r="R53" s="549"/>
      <c r="S53" s="549"/>
      <c r="T53" s="550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9"/>
      <c r="R54" s="549"/>
      <c r="S54" s="549"/>
      <c r="T54" s="550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9"/>
      <c r="R55" s="549"/>
      <c r="S55" s="549"/>
      <c r="T55" s="550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9"/>
      <c r="R56" s="549"/>
      <c r="S56" s="549"/>
      <c r="T56" s="550"/>
      <c r="U56" s="34"/>
      <c r="V56" s="34"/>
      <c r="W56" s="35" t="s">
        <v>69</v>
      </c>
      <c r="X56" s="539">
        <v>225</v>
      </c>
      <c r="Y56" s="540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65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66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68.518518518518519</v>
      </c>
      <c r="Y57" s="541">
        <f>IFERROR(Y51/H51,"0")+IFERROR(Y52/H52,"0")+IFERROR(Y53/H53,"0")+IFERROR(Y54/H54,"0")+IFERROR(Y55/H55,"0")+IFERROR(Y56/H56,"0")</f>
        <v>69</v>
      </c>
      <c r="Z57" s="541">
        <f>IFERROR(IF(Z51="",0,Z51),"0")+IFERROR(IF(Z52="",0,Z52),"0")+IFERROR(IF(Z53="",0,Z53),"0")+IFERROR(IF(Z54="",0,Z54),"0")+IFERROR(IF(Z55="",0,Z55),"0")+IFERROR(IF(Z56="",0,Z56),"0")</f>
        <v>0.81162000000000001</v>
      </c>
      <c r="AA57" s="542"/>
      <c r="AB57" s="542"/>
      <c r="AC57" s="542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66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425</v>
      </c>
      <c r="Y58" s="541">
        <f>IFERROR(SUM(Y51:Y56),"0")</f>
        <v>430.20000000000005</v>
      </c>
      <c r="Z58" s="37"/>
      <c r="AA58" s="542"/>
      <c r="AB58" s="542"/>
      <c r="AC58" s="542"/>
    </row>
    <row r="59" spans="1:68" ht="14.25" hidden="1" customHeight="1" x14ac:dyDescent="0.25">
      <c r="A59" s="556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9"/>
      <c r="R60" s="549"/>
      <c r="S60" s="549"/>
      <c r="T60" s="550"/>
      <c r="U60" s="34"/>
      <c r="V60" s="34"/>
      <c r="W60" s="35" t="s">
        <v>69</v>
      </c>
      <c r="X60" s="539">
        <v>100</v>
      </c>
      <c r="Y60" s="540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9"/>
      <c r="R61" s="549"/>
      <c r="S61" s="549"/>
      <c r="T61" s="550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9"/>
      <c r="R62" s="549"/>
      <c r="S62" s="549"/>
      <c r="T62" s="550"/>
      <c r="U62" s="34"/>
      <c r="V62" s="34"/>
      <c r="W62" s="35" t="s">
        <v>69</v>
      </c>
      <c r="X62" s="539">
        <v>135</v>
      </c>
      <c r="Y62" s="540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65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66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59.25925925925926</v>
      </c>
      <c r="Y63" s="541">
        <f>IFERROR(Y60/H60,"0")+IFERROR(Y61/H61,"0")+IFERROR(Y62/H62,"0")</f>
        <v>60</v>
      </c>
      <c r="Z63" s="541">
        <f>IFERROR(IF(Z60="",0,Z60),"0")+IFERROR(IF(Z61="",0,Z61),"0")+IFERROR(IF(Z62="",0,Z62),"0")</f>
        <v>0.51529999999999998</v>
      </c>
      <c r="AA63" s="542"/>
      <c r="AB63" s="542"/>
      <c r="AC63" s="542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66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235</v>
      </c>
      <c r="Y64" s="541">
        <f>IFERROR(SUM(Y60:Y62),"0")</f>
        <v>243</v>
      </c>
      <c r="Z64" s="37"/>
      <c r="AA64" s="542"/>
      <c r="AB64" s="542"/>
      <c r="AC64" s="542"/>
    </row>
    <row r="65" spans="1:68" ht="14.25" hidden="1" customHeight="1" x14ac:dyDescent="0.25">
      <c r="A65" s="556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9"/>
      <c r="R66" s="549"/>
      <c r="S66" s="549"/>
      <c r="T66" s="550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9"/>
      <c r="R67" s="549"/>
      <c r="S67" s="549"/>
      <c r="T67" s="550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9"/>
      <c r="R68" s="549"/>
      <c r="S68" s="549"/>
      <c r="T68" s="550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5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66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66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6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9"/>
      <c r="R72" s="549"/>
      <c r="S72" s="549"/>
      <c r="T72" s="550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9"/>
      <c r="R73" s="549"/>
      <c r="S73" s="549"/>
      <c r="T73" s="550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9"/>
      <c r="R74" s="549"/>
      <c r="S74" s="549"/>
      <c r="T74" s="550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9"/>
      <c r="R75" s="549"/>
      <c r="S75" s="549"/>
      <c r="T75" s="550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5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66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66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6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9"/>
      <c r="R79" s="549"/>
      <c r="S79" s="549"/>
      <c r="T79" s="550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9"/>
      <c r="R80" s="549"/>
      <c r="S80" s="549"/>
      <c r="T80" s="550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5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66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66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53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4"/>
      <c r="AB83" s="534"/>
      <c r="AC83" s="534"/>
    </row>
    <row r="84" spans="1:68" ht="14.25" hidden="1" customHeight="1" x14ac:dyDescent="0.25">
      <c r="A84" s="556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9"/>
      <c r="R85" s="549"/>
      <c r="S85" s="549"/>
      <c r="T85" s="550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9"/>
      <c r="R86" s="549"/>
      <c r="S86" s="549"/>
      <c r="T86" s="550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9"/>
      <c r="R87" s="549"/>
      <c r="S87" s="549"/>
      <c r="T87" s="550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5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66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50</v>
      </c>
      <c r="Y88" s="541">
        <f>IFERROR(Y85/H85,"0")+IFERROR(Y86/H86,"0")+IFERROR(Y87/H87,"0")</f>
        <v>50</v>
      </c>
      <c r="Z88" s="541">
        <f>IFERROR(IF(Z85="",0,Z85),"0")+IFERROR(IF(Z86="",0,Z86),"0")+IFERROR(IF(Z87="",0,Z87),"0")</f>
        <v>0.45100000000000001</v>
      </c>
      <c r="AA88" s="542"/>
      <c r="AB88" s="542"/>
      <c r="AC88" s="542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66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225</v>
      </c>
      <c r="Y89" s="541">
        <f>IFERROR(SUM(Y85:Y87),"0")</f>
        <v>225</v>
      </c>
      <c r="Z89" s="37"/>
      <c r="AA89" s="542"/>
      <c r="AB89" s="542"/>
      <c r="AC89" s="542"/>
    </row>
    <row r="90" spans="1:68" ht="14.25" hidden="1" customHeight="1" x14ac:dyDescent="0.25">
      <c r="A90" s="556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9"/>
      <c r="R91" s="549"/>
      <c r="S91" s="549"/>
      <c r="T91" s="550"/>
      <c r="U91" s="34"/>
      <c r="V91" s="34"/>
      <c r="W91" s="35" t="s">
        <v>69</v>
      </c>
      <c r="X91" s="539">
        <v>200</v>
      </c>
      <c r="Y91" s="540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9"/>
      <c r="R92" s="549"/>
      <c r="S92" s="549"/>
      <c r="T92" s="550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4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9"/>
      <c r="R93" s="549"/>
      <c r="S93" s="549"/>
      <c r="T93" s="550"/>
      <c r="U93" s="34"/>
      <c r="V93" s="34"/>
      <c r="W93" s="35" t="s">
        <v>69</v>
      </c>
      <c r="X93" s="539">
        <v>315</v>
      </c>
      <c r="Y93" s="540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9"/>
      <c r="R94" s="549"/>
      <c r="S94" s="549"/>
      <c r="T94" s="550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5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66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141.35802469135803</v>
      </c>
      <c r="Y95" s="541">
        <f>IFERROR(Y91/H91,"0")+IFERROR(Y92/H92,"0")+IFERROR(Y93/H93,"0")+IFERROR(Y94/H94,"0")</f>
        <v>142</v>
      </c>
      <c r="Z95" s="541">
        <f>IFERROR(IF(Z91="",0,Z91),"0")+IFERROR(IF(Z92="",0,Z92),"0")+IFERROR(IF(Z93="",0,Z93),"0")+IFERROR(IF(Z94="",0,Z94),"0")</f>
        <v>1.23617</v>
      </c>
      <c r="AA95" s="542"/>
      <c r="AB95" s="542"/>
      <c r="AC95" s="542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66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515</v>
      </c>
      <c r="Y96" s="541">
        <f>IFERROR(SUM(Y91:Y94),"0")</f>
        <v>518.40000000000009</v>
      </c>
      <c r="Z96" s="37"/>
      <c r="AA96" s="542"/>
      <c r="AB96" s="542"/>
      <c r="AC96" s="542"/>
    </row>
    <row r="97" spans="1:68" ht="16.5" hidden="1" customHeight="1" x14ac:dyDescent="0.25">
      <c r="A97" s="553" t="s">
        <v>189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4"/>
      <c r="AB97" s="534"/>
      <c r="AC97" s="534"/>
    </row>
    <row r="98" spans="1:68" ht="14.25" hidden="1" customHeight="1" x14ac:dyDescent="0.25">
      <c r="A98" s="556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9"/>
      <c r="R99" s="549"/>
      <c r="S99" s="549"/>
      <c r="T99" s="550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9"/>
      <c r="R100" s="549"/>
      <c r="S100" s="549"/>
      <c r="T100" s="550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9"/>
      <c r="R101" s="549"/>
      <c r="S101" s="549"/>
      <c r="T101" s="550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9"/>
      <c r="R102" s="549"/>
      <c r="S102" s="549"/>
      <c r="T102" s="550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65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66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66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6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9"/>
      <c r="R106" s="549"/>
      <c r="S106" s="549"/>
      <c r="T106" s="550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9"/>
      <c r="R107" s="549"/>
      <c r="S107" s="549"/>
      <c r="T107" s="550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9"/>
      <c r="R108" s="549"/>
      <c r="S108" s="549"/>
      <c r="T108" s="550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65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66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66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6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9"/>
      <c r="R112" s="549"/>
      <c r="S112" s="549"/>
      <c r="T112" s="550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9"/>
      <c r="R113" s="549"/>
      <c r="S113" s="549"/>
      <c r="T113" s="550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9"/>
      <c r="R114" s="549"/>
      <c r="S114" s="549"/>
      <c r="T114" s="550"/>
      <c r="U114" s="34"/>
      <c r="V114" s="34"/>
      <c r="W114" s="35" t="s">
        <v>69</v>
      </c>
      <c r="X114" s="539">
        <v>360</v>
      </c>
      <c r="Y114" s="540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9"/>
      <c r="R115" s="549"/>
      <c r="S115" s="549"/>
      <c r="T115" s="550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5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66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192.71604938271602</v>
      </c>
      <c r="Y116" s="541">
        <f>IFERROR(Y112/H112,"0")+IFERROR(Y113/H113,"0")+IFERROR(Y114/H114,"0")+IFERROR(Y115/H115,"0")</f>
        <v>194</v>
      </c>
      <c r="Z116" s="541">
        <f>IFERROR(IF(Z112="",0,Z112),"0")+IFERROR(IF(Z113="",0,Z113),"0")+IFERROR(IF(Z114="",0,Z114),"0")+IFERROR(IF(Z115="",0,Z115),"0")</f>
        <v>1.8864400000000001</v>
      </c>
      <c r="AA116" s="542"/>
      <c r="AB116" s="542"/>
      <c r="AC116" s="542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66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778</v>
      </c>
      <c r="Y117" s="541">
        <f>IFERROR(SUM(Y112:Y115),"0")</f>
        <v>784.8</v>
      </c>
      <c r="Z117" s="37"/>
      <c r="AA117" s="542"/>
      <c r="AB117" s="542"/>
      <c r="AC117" s="542"/>
    </row>
    <row r="118" spans="1:68" ht="14.25" hidden="1" customHeight="1" x14ac:dyDescent="0.25">
      <c r="A118" s="556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9"/>
      <c r="R119" s="549"/>
      <c r="S119" s="549"/>
      <c r="T119" s="550"/>
      <c r="U119" s="34"/>
      <c r="V119" s="34"/>
      <c r="W119" s="35" t="s">
        <v>69</v>
      </c>
      <c r="X119" s="539">
        <v>19.8</v>
      </c>
      <c r="Y119" s="540">
        <f>IFERROR(IF(X119="",0,CEILING((X119/$H119),1)*$H119),"")</f>
        <v>19.8</v>
      </c>
      <c r="Z119" s="36">
        <f>IFERROR(IF(Y119=0,"",ROUNDUP(Y119/H119,0)*0.00651),"")</f>
        <v>6.5100000000000005E-2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22.380000000000003</v>
      </c>
      <c r="BN119" s="64">
        <f>IFERROR(Y119*I119/H119,"0")</f>
        <v>22.380000000000003</v>
      </c>
      <c r="BO119" s="64">
        <f>IFERROR(1/J119*(X119/H119),"0")</f>
        <v>5.4945054945054951E-2</v>
      </c>
      <c r="BP119" s="64">
        <f>IFERROR(1/J119*(Y119/H119),"0")</f>
        <v>5.4945054945054951E-2</v>
      </c>
    </row>
    <row r="120" spans="1:68" x14ac:dyDescent="0.2">
      <c r="A120" s="565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66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10</v>
      </c>
      <c r="Y120" s="541">
        <f>IFERROR(Y119/H119,"0")</f>
        <v>10</v>
      </c>
      <c r="Z120" s="541">
        <f>IFERROR(IF(Z119="",0,Z119),"0")</f>
        <v>6.5100000000000005E-2</v>
      </c>
      <c r="AA120" s="542"/>
      <c r="AB120" s="542"/>
      <c r="AC120" s="542"/>
    </row>
    <row r="121" spans="1:68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66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19.8</v>
      </c>
      <c r="Y121" s="541">
        <f>IFERROR(SUM(Y119:Y119),"0")</f>
        <v>19.8</v>
      </c>
      <c r="Z121" s="37"/>
      <c r="AA121" s="542"/>
      <c r="AB121" s="542"/>
      <c r="AC121" s="542"/>
    </row>
    <row r="122" spans="1:68" ht="16.5" hidden="1" customHeight="1" x14ac:dyDescent="0.25">
      <c r="A122" s="553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4"/>
      <c r="AB122" s="534"/>
      <c r="AC122" s="534"/>
    </row>
    <row r="123" spans="1:68" ht="14.25" hidden="1" customHeight="1" x14ac:dyDescent="0.25">
      <c r="A123" s="556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9"/>
      <c r="R124" s="549"/>
      <c r="S124" s="549"/>
      <c r="T124" s="550"/>
      <c r="U124" s="34"/>
      <c r="V124" s="34"/>
      <c r="W124" s="35" t="s">
        <v>69</v>
      </c>
      <c r="X124" s="539">
        <v>40</v>
      </c>
      <c r="Y124" s="540">
        <f>IFERROR(IF(X124="",0,CEILING((X124/$H124),1)*$H124),"")</f>
        <v>41.6</v>
      </c>
      <c r="Z124" s="36">
        <f>IFERROR(IF(Y124=0,"",ROUNDUP(Y124/H124,0)*0.00651),"")</f>
        <v>8.4629999999999997E-2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42.249999999999993</v>
      </c>
      <c r="BN124" s="64">
        <f>IFERROR(Y124*I124/H124,"0")</f>
        <v>43.94</v>
      </c>
      <c r="BO124" s="64">
        <f>IFERROR(1/J124*(X124/H124),"0")</f>
        <v>6.8681318681318687E-2</v>
      </c>
      <c r="BP124" s="64">
        <f>IFERROR(1/J124*(Y124/H124),"0")</f>
        <v>7.1428571428571438E-2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9"/>
      <c r="R125" s="549"/>
      <c r="S125" s="549"/>
      <c r="T125" s="550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5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66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12.5</v>
      </c>
      <c r="Y126" s="541">
        <f>IFERROR(Y124/H124,"0")+IFERROR(Y125/H125,"0")</f>
        <v>13</v>
      </c>
      <c r="Z126" s="541">
        <f>IFERROR(IF(Z124="",0,Z124),"0")+IFERROR(IF(Z125="",0,Z125),"0")</f>
        <v>8.4629999999999997E-2</v>
      </c>
      <c r="AA126" s="542"/>
      <c r="AB126" s="542"/>
      <c r="AC126" s="542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66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40</v>
      </c>
      <c r="Y127" s="541">
        <f>IFERROR(SUM(Y124:Y125),"0")</f>
        <v>41.6</v>
      </c>
      <c r="Z127" s="37"/>
      <c r="AA127" s="542"/>
      <c r="AB127" s="542"/>
      <c r="AC127" s="542"/>
    </row>
    <row r="128" spans="1:68" ht="14.25" hidden="1" customHeight="1" x14ac:dyDescent="0.25">
      <c r="A128" s="556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9"/>
      <c r="R129" s="549"/>
      <c r="S129" s="549"/>
      <c r="T129" s="550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9"/>
      <c r="R130" s="549"/>
      <c r="S130" s="549"/>
      <c r="T130" s="550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65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66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66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6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9"/>
      <c r="R134" s="549"/>
      <c r="S134" s="549"/>
      <c r="T134" s="550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9"/>
      <c r="R135" s="549"/>
      <c r="S135" s="549"/>
      <c r="T135" s="550"/>
      <c r="U135" s="34"/>
      <c r="V135" s="34"/>
      <c r="W135" s="35" t="s">
        <v>69</v>
      </c>
      <c r="X135" s="539">
        <v>33</v>
      </c>
      <c r="Y135" s="540">
        <f>IFERROR(IF(X135="",0,CEILING((X135/$H135),1)*$H135),"")</f>
        <v>34.32</v>
      </c>
      <c r="Z135" s="36">
        <f>IFERROR(IF(Y135=0,"",ROUNDUP(Y135/H135,0)*0.00651),"")</f>
        <v>8.4629999999999997E-2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36.349999999999994</v>
      </c>
      <c r="BN135" s="64">
        <f>IFERROR(Y135*I135/H135,"0")</f>
        <v>37.803999999999995</v>
      </c>
      <c r="BO135" s="64">
        <f>IFERROR(1/J135*(X135/H135),"0")</f>
        <v>6.8681318681318687E-2</v>
      </c>
      <c r="BP135" s="64">
        <f>IFERROR(1/J135*(Y135/H135),"0")</f>
        <v>7.1428571428571438E-2</v>
      </c>
    </row>
    <row r="136" spans="1:68" x14ac:dyDescent="0.2">
      <c r="A136" s="565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66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12.5</v>
      </c>
      <c r="Y136" s="541">
        <f>IFERROR(Y134/H134,"0")+IFERROR(Y135/H135,"0")</f>
        <v>13</v>
      </c>
      <c r="Z136" s="541">
        <f>IFERROR(IF(Z134="",0,Z134),"0")+IFERROR(IF(Z135="",0,Z135),"0")</f>
        <v>8.4629999999999997E-2</v>
      </c>
      <c r="AA136" s="542"/>
      <c r="AB136" s="542"/>
      <c r="AC136" s="542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66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33</v>
      </c>
      <c r="Y137" s="541">
        <f>IFERROR(SUM(Y134:Y135),"0")</f>
        <v>34.32</v>
      </c>
      <c r="Z137" s="37"/>
      <c r="AA137" s="542"/>
      <c r="AB137" s="542"/>
      <c r="AC137" s="542"/>
    </row>
    <row r="138" spans="1:68" ht="16.5" hidden="1" customHeight="1" x14ac:dyDescent="0.25">
      <c r="A138" s="553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4"/>
      <c r="AB138" s="534"/>
      <c r="AC138" s="534"/>
    </row>
    <row r="139" spans="1:68" ht="14.25" hidden="1" customHeight="1" x14ac:dyDescent="0.25">
      <c r="A139" s="556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9"/>
      <c r="R140" s="549"/>
      <c r="S140" s="549"/>
      <c r="T140" s="550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9"/>
      <c r="R141" s="549"/>
      <c r="S141" s="549"/>
      <c r="T141" s="550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65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66"/>
      <c r="P142" s="545" t="s">
        <v>71</v>
      </c>
      <c r="Q142" s="546"/>
      <c r="R142" s="546"/>
      <c r="S142" s="546"/>
      <c r="T142" s="546"/>
      <c r="U142" s="546"/>
      <c r="V142" s="547"/>
      <c r="W142" s="37" t="s">
        <v>72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66"/>
      <c r="P143" s="545" t="s">
        <v>71</v>
      </c>
      <c r="Q143" s="546"/>
      <c r="R143" s="546"/>
      <c r="S143" s="546"/>
      <c r="T143" s="546"/>
      <c r="U143" s="546"/>
      <c r="V143" s="547"/>
      <c r="W143" s="37" t="s">
        <v>69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hidden="1" customHeight="1" x14ac:dyDescent="0.25">
      <c r="A144" s="556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5"/>
      <c r="AB144" s="535"/>
      <c r="AC144" s="535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3">
        <v>4607091387667</v>
      </c>
      <c r="E145" s="544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9"/>
      <c r="R145" s="549"/>
      <c r="S145" s="549"/>
      <c r="T145" s="550"/>
      <c r="U145" s="34"/>
      <c r="V145" s="34"/>
      <c r="W145" s="35" t="s">
        <v>69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3">
        <v>4607091387636</v>
      </c>
      <c r="E146" s="544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5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9"/>
      <c r="R146" s="549"/>
      <c r="S146" s="549"/>
      <c r="T146" s="550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3">
        <v>4607091382426</v>
      </c>
      <c r="E147" s="544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9"/>
      <c r="R147" s="549"/>
      <c r="S147" s="549"/>
      <c r="T147" s="550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65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66"/>
      <c r="P148" s="545" t="s">
        <v>71</v>
      </c>
      <c r="Q148" s="546"/>
      <c r="R148" s="546"/>
      <c r="S148" s="546"/>
      <c r="T148" s="546"/>
      <c r="U148" s="546"/>
      <c r="V148" s="547"/>
      <c r="W148" s="37" t="s">
        <v>72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66"/>
      <c r="P149" s="545" t="s">
        <v>71</v>
      </c>
      <c r="Q149" s="546"/>
      <c r="R149" s="546"/>
      <c r="S149" s="546"/>
      <c r="T149" s="546"/>
      <c r="U149" s="546"/>
      <c r="V149" s="547"/>
      <c r="W149" s="37" t="s">
        <v>69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hidden="1" customHeight="1" x14ac:dyDescent="0.25">
      <c r="A150" s="556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5"/>
      <c r="AB150" s="535"/>
      <c r="AC150" s="535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3">
        <v>4680115887459</v>
      </c>
      <c r="E151" s="544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2" t="s">
        <v>249</v>
      </c>
      <c r="Q151" s="549"/>
      <c r="R151" s="549"/>
      <c r="S151" s="549"/>
      <c r="T151" s="550"/>
      <c r="U151" s="34"/>
      <c r="V151" s="34"/>
      <c r="W151" s="35" t="s">
        <v>69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5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66"/>
      <c r="P152" s="545" t="s">
        <v>71</v>
      </c>
      <c r="Q152" s="546"/>
      <c r="R152" s="546"/>
      <c r="S152" s="546"/>
      <c r="T152" s="546"/>
      <c r="U152" s="546"/>
      <c r="V152" s="547"/>
      <c r="W152" s="37" t="s">
        <v>72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66"/>
      <c r="P153" s="545" t="s">
        <v>71</v>
      </c>
      <c r="Q153" s="546"/>
      <c r="R153" s="546"/>
      <c r="S153" s="546"/>
      <c r="T153" s="546"/>
      <c r="U153" s="546"/>
      <c r="V153" s="547"/>
      <c r="W153" s="37" t="s">
        <v>69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hidden="1" customHeight="1" x14ac:dyDescent="0.2">
      <c r="A154" s="694" t="s">
        <v>251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48"/>
      <c r="AB154" s="48"/>
      <c r="AC154" s="48"/>
    </row>
    <row r="155" spans="1:68" ht="16.5" hidden="1" customHeight="1" x14ac:dyDescent="0.25">
      <c r="A155" s="553" t="s">
        <v>252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4"/>
      <c r="AB155" s="534"/>
      <c r="AC155" s="534"/>
    </row>
    <row r="156" spans="1:68" ht="14.25" hidden="1" customHeight="1" x14ac:dyDescent="0.25">
      <c r="A156" s="556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5"/>
      <c r="AB156" s="535"/>
      <c r="AC156" s="535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43">
        <v>4680115886223</v>
      </c>
      <c r="E157" s="544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9"/>
      <c r="R157" s="549"/>
      <c r="S157" s="549"/>
      <c r="T157" s="550"/>
      <c r="U157" s="34"/>
      <c r="V157" s="34"/>
      <c r="W157" s="35" t="s">
        <v>69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5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66"/>
      <c r="P158" s="545" t="s">
        <v>71</v>
      </c>
      <c r="Q158" s="546"/>
      <c r="R158" s="546"/>
      <c r="S158" s="546"/>
      <c r="T158" s="546"/>
      <c r="U158" s="546"/>
      <c r="V158" s="547"/>
      <c r="W158" s="37" t="s">
        <v>72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66"/>
      <c r="P159" s="545" t="s">
        <v>71</v>
      </c>
      <c r="Q159" s="546"/>
      <c r="R159" s="546"/>
      <c r="S159" s="546"/>
      <c r="T159" s="546"/>
      <c r="U159" s="546"/>
      <c r="V159" s="547"/>
      <c r="W159" s="37" t="s">
        <v>69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hidden="1" customHeight="1" x14ac:dyDescent="0.25">
      <c r="A160" s="556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5"/>
      <c r="AB160" s="535"/>
      <c r="AC160" s="535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43">
        <v>4680115880993</v>
      </c>
      <c r="E161" s="544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9"/>
      <c r="R161" s="549"/>
      <c r="S161" s="549"/>
      <c r="T161" s="550"/>
      <c r="U161" s="34"/>
      <c r="V161" s="34"/>
      <c r="W161" s="35" t="s">
        <v>69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43">
        <v>4680115881761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9"/>
      <c r="R162" s="549"/>
      <c r="S162" s="549"/>
      <c r="T162" s="550"/>
      <c r="U162" s="34"/>
      <c r="V162" s="34"/>
      <c r="W162" s="35" t="s">
        <v>69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3">
        <v>4680115881563</v>
      </c>
      <c r="E163" s="544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9"/>
      <c r="R163" s="549"/>
      <c r="S163" s="549"/>
      <c r="T163" s="550"/>
      <c r="U163" s="34"/>
      <c r="V163" s="34"/>
      <c r="W163" s="35" t="s">
        <v>69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52.261904761904752</v>
      </c>
      <c r="BN163" s="64">
        <f t="shared" si="7"/>
        <v>52.68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3">
        <v>4680115880986</v>
      </c>
      <c r="E164" s="544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9"/>
      <c r="R164" s="549"/>
      <c r="S164" s="549"/>
      <c r="T164" s="550"/>
      <c r="U164" s="34"/>
      <c r="V164" s="34"/>
      <c r="W164" s="35" t="s">
        <v>69</v>
      </c>
      <c r="X164" s="539">
        <v>52.5</v>
      </c>
      <c r="Y164" s="540">
        <f t="shared" si="5"/>
        <v>52.5</v>
      </c>
      <c r="Z164" s="36">
        <f>IFERROR(IF(Y164=0,"",ROUNDUP(Y164/H164,0)*0.00502),"")</f>
        <v>0.1255</v>
      </c>
      <c r="AA164" s="56"/>
      <c r="AB164" s="57"/>
      <c r="AC164" s="197" t="s">
        <v>258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55.75</v>
      </c>
      <c r="BN164" s="64">
        <f t="shared" si="7"/>
        <v>55.75</v>
      </c>
      <c r="BO164" s="64">
        <f t="shared" si="8"/>
        <v>0.10683760683760685</v>
      </c>
      <c r="BP164" s="64">
        <f t="shared" si="9"/>
        <v>0.10683760683760685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43">
        <v>4680115887213</v>
      </c>
      <c r="E165" s="544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3" t="s">
        <v>270</v>
      </c>
      <c r="Q165" s="549"/>
      <c r="R165" s="549"/>
      <c r="S165" s="549"/>
      <c r="T165" s="550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9"/>
      <c r="R166" s="549"/>
      <c r="S166" s="549"/>
      <c r="T166" s="550"/>
      <c r="U166" s="34"/>
      <c r="V166" s="34"/>
      <c r="W166" s="35" t="s">
        <v>69</v>
      </c>
      <c r="X166" s="539">
        <v>70</v>
      </c>
      <c r="Y166" s="540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261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9"/>
      <c r="R167" s="549"/>
      <c r="S167" s="549"/>
      <c r="T167" s="550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8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9"/>
      <c r="R168" s="549"/>
      <c r="S168" s="549"/>
      <c r="T168" s="550"/>
      <c r="U168" s="34"/>
      <c r="V168" s="34"/>
      <c r="W168" s="35" t="s">
        <v>69</v>
      </c>
      <c r="X168" s="539">
        <v>105</v>
      </c>
      <c r="Y168" s="540">
        <f t="shared" si="5"/>
        <v>105</v>
      </c>
      <c r="Z168" s="36">
        <f>IFERROR(IF(Y168=0,"",ROUNDUP(Y168/H168,0)*0.00502),"")</f>
        <v>0.251</v>
      </c>
      <c r="AA168" s="56"/>
      <c r="AB168" s="57"/>
      <c r="AC168" s="205" t="s">
        <v>264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110.00000000000001</v>
      </c>
      <c r="BN168" s="64">
        <f t="shared" si="7"/>
        <v>110.00000000000001</v>
      </c>
      <c r="BO168" s="64">
        <f t="shared" si="8"/>
        <v>0.21367521367521369</v>
      </c>
      <c r="BP168" s="64">
        <f t="shared" si="9"/>
        <v>0.21367521367521369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9"/>
      <c r="R169" s="549"/>
      <c r="S169" s="549"/>
      <c r="T169" s="550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9"/>
      <c r="R170" s="549"/>
      <c r="S170" s="549"/>
      <c r="T170" s="550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5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66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120.23809523809524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121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0.65542</v>
      </c>
      <c r="AA171" s="542"/>
      <c r="AB171" s="542"/>
      <c r="AC171" s="542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66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IFERROR(SUM(X161:X170),"0")</f>
        <v>277.5</v>
      </c>
      <c r="Y172" s="541">
        <f>IFERROR(SUM(Y161:Y170),"0")</f>
        <v>279.3</v>
      </c>
      <c r="Z172" s="37"/>
      <c r="AA172" s="542"/>
      <c r="AB172" s="542"/>
      <c r="AC172" s="542"/>
    </row>
    <row r="173" spans="1:68" ht="14.25" hidden="1" customHeight="1" x14ac:dyDescent="0.25">
      <c r="A173" s="556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9"/>
      <c r="R174" s="549"/>
      <c r="S174" s="549"/>
      <c r="T174" s="550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9"/>
      <c r="R175" s="549"/>
      <c r="S175" s="549"/>
      <c r="T175" s="550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8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9"/>
      <c r="R176" s="549"/>
      <c r="S176" s="549"/>
      <c r="T176" s="550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65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66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66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6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9"/>
      <c r="R180" s="549"/>
      <c r="S180" s="549"/>
      <c r="T180" s="550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65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66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66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53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4"/>
      <c r="AB183" s="534"/>
      <c r="AC183" s="534"/>
    </row>
    <row r="184" spans="1:68" ht="14.25" hidden="1" customHeight="1" x14ac:dyDescent="0.25">
      <c r="A184" s="556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9"/>
      <c r="R185" s="549"/>
      <c r="S185" s="549"/>
      <c r="T185" s="550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9"/>
      <c r="R186" s="549"/>
      <c r="S186" s="549"/>
      <c r="T186" s="550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5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66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66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6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9"/>
      <c r="R190" s="549"/>
      <c r="S190" s="549"/>
      <c r="T190" s="550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9"/>
      <c r="R191" s="549"/>
      <c r="S191" s="549"/>
      <c r="T191" s="550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65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66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66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6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9"/>
      <c r="R195" s="549"/>
      <c r="S195" s="549"/>
      <c r="T195" s="550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9"/>
      <c r="R196" s="549"/>
      <c r="S196" s="549"/>
      <c r="T196" s="550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9"/>
      <c r="R197" s="549"/>
      <c r="S197" s="549"/>
      <c r="T197" s="550"/>
      <c r="U197" s="34"/>
      <c r="V197" s="34"/>
      <c r="W197" s="35" t="s">
        <v>69</v>
      </c>
      <c r="X197" s="539">
        <v>300</v>
      </c>
      <c r="Y197" s="540">
        <f t="shared" si="10"/>
        <v>302.40000000000003</v>
      </c>
      <c r="Z197" s="36">
        <f>IFERROR(IF(Y197=0,"",ROUNDUP(Y197/H197,0)*0.00902),"")</f>
        <v>0.50512000000000001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310.55555555555554</v>
      </c>
      <c r="BN197" s="64">
        <f t="shared" si="12"/>
        <v>313.04000000000002</v>
      </c>
      <c r="BO197" s="64">
        <f t="shared" si="13"/>
        <v>0.42087542087542085</v>
      </c>
      <c r="BP197" s="64">
        <f t="shared" si="14"/>
        <v>0.42424242424242425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9"/>
      <c r="R198" s="549"/>
      <c r="S198" s="549"/>
      <c r="T198" s="550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9"/>
      <c r="R199" s="549"/>
      <c r="S199" s="549"/>
      <c r="T199" s="550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9"/>
      <c r="R200" s="549"/>
      <c r="S200" s="549"/>
      <c r="T200" s="550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267</v>
      </c>
      <c r="M201" s="33" t="s">
        <v>68</v>
      </c>
      <c r="N201" s="33"/>
      <c r="O201" s="32">
        <v>40</v>
      </c>
      <c r="P201" s="78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9"/>
      <c r="R201" s="549"/>
      <c r="S201" s="549"/>
      <c r="T201" s="550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9"/>
      <c r="R202" s="549"/>
      <c r="S202" s="549"/>
      <c r="T202" s="550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5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66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55.55555555555555</v>
      </c>
      <c r="Y203" s="541">
        <f>IFERROR(Y195/H195,"0")+IFERROR(Y196/H196,"0")+IFERROR(Y197/H197,"0")+IFERROR(Y198/H198,"0")+IFERROR(Y199/H199,"0")+IFERROR(Y200/H200,"0")+IFERROR(Y201/H201,"0")+IFERROR(Y202/H202,"0")</f>
        <v>56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0.50512000000000001</v>
      </c>
      <c r="AA203" s="542"/>
      <c r="AB203" s="542"/>
      <c r="AC203" s="542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66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300</v>
      </c>
      <c r="Y204" s="541">
        <f>IFERROR(SUM(Y195:Y202),"0")</f>
        <v>302.40000000000003</v>
      </c>
      <c r="Z204" s="37"/>
      <c r="AA204" s="542"/>
      <c r="AB204" s="542"/>
      <c r="AC204" s="542"/>
    </row>
    <row r="205" spans="1:68" ht="14.25" hidden="1" customHeight="1" x14ac:dyDescent="0.25">
      <c r="A205" s="556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9"/>
      <c r="R206" s="549"/>
      <c r="S206" s="549"/>
      <c r="T206" s="550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9"/>
      <c r="R207" s="549"/>
      <c r="S207" s="549"/>
      <c r="T207" s="550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9"/>
      <c r="R208" s="549"/>
      <c r="S208" s="549"/>
      <c r="T208" s="550"/>
      <c r="U208" s="34"/>
      <c r="V208" s="34"/>
      <c r="W208" s="35" t="s">
        <v>69</v>
      </c>
      <c r="X208" s="539">
        <v>80</v>
      </c>
      <c r="Y208" s="540">
        <f t="shared" si="15"/>
        <v>87</v>
      </c>
      <c r="Z208" s="36">
        <f>IFERROR(IF(Y208=0,"",ROUNDUP(Y208/H208,0)*0.01898),"")</f>
        <v>0.1898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84.542528735632203</v>
      </c>
      <c r="BN208" s="64">
        <f t="shared" si="17"/>
        <v>91.940000000000012</v>
      </c>
      <c r="BO208" s="64">
        <f t="shared" si="18"/>
        <v>0.14367816091954025</v>
      </c>
      <c r="BP208" s="64">
        <f t="shared" si="19"/>
        <v>0.15625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9"/>
      <c r="R209" s="549"/>
      <c r="S209" s="549"/>
      <c r="T209" s="550"/>
      <c r="U209" s="34"/>
      <c r="V209" s="34"/>
      <c r="W209" s="35" t="s">
        <v>69</v>
      </c>
      <c r="X209" s="539">
        <v>120</v>
      </c>
      <c r="Y209" s="540">
        <f t="shared" si="15"/>
        <v>120</v>
      </c>
      <c r="Z209" s="36">
        <f t="shared" ref="Z209:Z214" si="20">IFERROR(IF(Y209=0,"",ROUNDUP(Y209/H209,0)*0.00651),"")</f>
        <v>0.32550000000000001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133.5</v>
      </c>
      <c r="BN209" s="64">
        <f t="shared" si="17"/>
        <v>133.5</v>
      </c>
      <c r="BO209" s="64">
        <f t="shared" si="18"/>
        <v>0.27472527472527475</v>
      </c>
      <c r="BP209" s="64">
        <f t="shared" si="19"/>
        <v>0.27472527472527475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9"/>
      <c r="R210" s="549"/>
      <c r="S210" s="549"/>
      <c r="T210" s="550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9"/>
      <c r="R211" s="549"/>
      <c r="S211" s="549"/>
      <c r="T211" s="550"/>
      <c r="U211" s="34"/>
      <c r="V211" s="34"/>
      <c r="W211" s="35" t="s">
        <v>69</v>
      </c>
      <c r="X211" s="539">
        <v>160</v>
      </c>
      <c r="Y211" s="540">
        <f t="shared" si="15"/>
        <v>160.79999999999998</v>
      </c>
      <c r="Z211" s="36">
        <f t="shared" si="20"/>
        <v>0.43617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9"/>
      <c r="R212" s="549"/>
      <c r="S212" s="549"/>
      <c r="T212" s="550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9"/>
      <c r="R213" s="549"/>
      <c r="S213" s="549"/>
      <c r="T213" s="550"/>
      <c r="U213" s="34"/>
      <c r="V213" s="34"/>
      <c r="W213" s="35" t="s">
        <v>69</v>
      </c>
      <c r="X213" s="539">
        <v>60</v>
      </c>
      <c r="Y213" s="540">
        <f t="shared" si="15"/>
        <v>60</v>
      </c>
      <c r="Z213" s="36">
        <f t="shared" si="20"/>
        <v>0.16275000000000001</v>
      </c>
      <c r="AA213" s="56"/>
      <c r="AB213" s="57"/>
      <c r="AC213" s="257" t="s">
        <v>347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66.300000000000011</v>
      </c>
      <c r="BN213" s="64">
        <f t="shared" si="17"/>
        <v>66.300000000000011</v>
      </c>
      <c r="BO213" s="64">
        <f t="shared" si="18"/>
        <v>0.13736263736263737</v>
      </c>
      <c r="BP213" s="64">
        <f t="shared" si="19"/>
        <v>0.13736263736263737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9"/>
      <c r="R214" s="549"/>
      <c r="S214" s="549"/>
      <c r="T214" s="550"/>
      <c r="U214" s="34"/>
      <c r="V214" s="34"/>
      <c r="W214" s="35" t="s">
        <v>69</v>
      </c>
      <c r="X214" s="539">
        <v>120</v>
      </c>
      <c r="Y214" s="540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132.9</v>
      </c>
      <c r="BN214" s="64">
        <f t="shared" si="17"/>
        <v>132.9</v>
      </c>
      <c r="BO214" s="64">
        <f t="shared" si="18"/>
        <v>0.27472527472527475</v>
      </c>
      <c r="BP214" s="64">
        <f t="shared" si="19"/>
        <v>0.27472527472527475</v>
      </c>
    </row>
    <row r="215" spans="1:68" x14ac:dyDescent="0.2">
      <c r="A215" s="565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66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200.86206896551724</v>
      </c>
      <c r="Y215" s="541">
        <f>IFERROR(Y206/H206,"0")+IFERROR(Y207/H207,"0")+IFERROR(Y208/H208,"0")+IFERROR(Y209/H209,"0")+IFERROR(Y210/H210,"0")+IFERROR(Y211/H211,"0")+IFERROR(Y212/H212,"0")+IFERROR(Y213/H213,"0")+IFERROR(Y214/H214,"0")</f>
        <v>202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1.4397199999999999</v>
      </c>
      <c r="AA215" s="542"/>
      <c r="AB215" s="542"/>
      <c r="AC215" s="542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66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540</v>
      </c>
      <c r="Y216" s="541">
        <f>IFERROR(SUM(Y206:Y214),"0")</f>
        <v>547.79999999999995</v>
      </c>
      <c r="Z216" s="37"/>
      <c r="AA216" s="542"/>
      <c r="AB216" s="542"/>
      <c r="AC216" s="542"/>
    </row>
    <row r="217" spans="1:68" ht="14.25" hidden="1" customHeight="1" x14ac:dyDescent="0.25">
      <c r="A217" s="556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9"/>
      <c r="R218" s="549"/>
      <c r="S218" s="549"/>
      <c r="T218" s="550"/>
      <c r="U218" s="34"/>
      <c r="V218" s="34"/>
      <c r="W218" s="35" t="s">
        <v>69</v>
      </c>
      <c r="X218" s="539">
        <v>20</v>
      </c>
      <c r="Y218" s="540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352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9"/>
      <c r="R219" s="549"/>
      <c r="S219" s="549"/>
      <c r="T219" s="550"/>
      <c r="U219" s="34"/>
      <c r="V219" s="34"/>
      <c r="W219" s="35" t="s">
        <v>69</v>
      </c>
      <c r="X219" s="539">
        <v>20</v>
      </c>
      <c r="Y219" s="540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x14ac:dyDescent="0.2">
      <c r="A220" s="565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66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16.666666666666668</v>
      </c>
      <c r="Y220" s="541">
        <f>IFERROR(Y218/H218,"0")+IFERROR(Y219/H219,"0")</f>
        <v>18</v>
      </c>
      <c r="Z220" s="541">
        <f>IFERROR(IF(Z218="",0,Z218),"0")+IFERROR(IF(Z219="",0,Z219),"0")</f>
        <v>0.11718000000000001</v>
      </c>
      <c r="AA220" s="542"/>
      <c r="AB220" s="542"/>
      <c r="AC220" s="542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66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40</v>
      </c>
      <c r="Y221" s="541">
        <f>IFERROR(SUM(Y218:Y219),"0")</f>
        <v>43.199999999999996</v>
      </c>
      <c r="Z221" s="37"/>
      <c r="AA221" s="542"/>
      <c r="AB221" s="542"/>
      <c r="AC221" s="542"/>
    </row>
    <row r="222" spans="1:68" ht="16.5" hidden="1" customHeight="1" x14ac:dyDescent="0.25">
      <c r="A222" s="553" t="s">
        <v>356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4"/>
      <c r="AB222" s="534"/>
      <c r="AC222" s="534"/>
    </row>
    <row r="223" spans="1:68" ht="14.25" hidden="1" customHeight="1" x14ac:dyDescent="0.25">
      <c r="A223" s="556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9"/>
      <c r="R224" s="549"/>
      <c r="S224" s="549"/>
      <c r="T224" s="550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9"/>
      <c r="R225" s="549"/>
      <c r="S225" s="549"/>
      <c r="T225" s="550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9"/>
      <c r="R226" s="549"/>
      <c r="S226" s="549"/>
      <c r="T226" s="550"/>
      <c r="U226" s="34"/>
      <c r="V226" s="34"/>
      <c r="W226" s="35" t="s">
        <v>69</v>
      </c>
      <c r="X226" s="539">
        <v>100</v>
      </c>
      <c r="Y226" s="540">
        <f t="shared" si="21"/>
        <v>104.39999999999999</v>
      </c>
      <c r="Z226" s="36">
        <f>IFERROR(IF(Y226=0,"",ROUNDUP(Y226/H226,0)*0.01898),"")</f>
        <v>0.17082</v>
      </c>
      <c r="AA226" s="56"/>
      <c r="AB226" s="57"/>
      <c r="AC226" s="269" t="s">
        <v>365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103.5344827586207</v>
      </c>
      <c r="BN226" s="64">
        <f t="shared" si="23"/>
        <v>108.08999999999999</v>
      </c>
      <c r="BO226" s="64">
        <f t="shared" si="24"/>
        <v>0.13469827586206898</v>
      </c>
      <c r="BP226" s="64">
        <f t="shared" si="25"/>
        <v>0.140625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9"/>
      <c r="R227" s="549"/>
      <c r="S227" s="549"/>
      <c r="T227" s="550"/>
      <c r="U227" s="34"/>
      <c r="V227" s="34"/>
      <c r="W227" s="35" t="s">
        <v>69</v>
      </c>
      <c r="X227" s="539">
        <v>40</v>
      </c>
      <c r="Y227" s="540">
        <f t="shared" si="21"/>
        <v>40</v>
      </c>
      <c r="Z227" s="36">
        <f>IFERROR(IF(Y227=0,"",ROUNDUP(Y227/H227,0)*0.00902),"")</f>
        <v>9.0200000000000002E-2</v>
      </c>
      <c r="AA227" s="56"/>
      <c r="AB227" s="57"/>
      <c r="AC227" s="271" t="s">
        <v>359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41.900000000000006</v>
      </c>
      <c r="BN227" s="64">
        <f t="shared" si="23"/>
        <v>41.900000000000006</v>
      </c>
      <c r="BO227" s="64">
        <f t="shared" si="24"/>
        <v>7.575757575757576E-2</v>
      </c>
      <c r="BP227" s="64">
        <f t="shared" si="25"/>
        <v>7.575757575757576E-2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9"/>
      <c r="R228" s="549"/>
      <c r="S228" s="549"/>
      <c r="T228" s="550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9"/>
      <c r="R229" s="549"/>
      <c r="S229" s="549"/>
      <c r="T229" s="550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7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9"/>
      <c r="R230" s="549"/>
      <c r="S230" s="549"/>
      <c r="T230" s="550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61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9"/>
      <c r="R231" s="549"/>
      <c r="S231" s="549"/>
      <c r="T231" s="550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9"/>
      <c r="R232" s="549"/>
      <c r="S232" s="549"/>
      <c r="T232" s="550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9"/>
      <c r="R233" s="549"/>
      <c r="S233" s="549"/>
      <c r="T233" s="550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5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66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18.620689655172413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19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0.26102000000000003</v>
      </c>
      <c r="AA234" s="542"/>
      <c r="AB234" s="542"/>
      <c r="AC234" s="542"/>
    </row>
    <row r="235" spans="1:68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66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140</v>
      </c>
      <c r="Y235" s="541">
        <f>IFERROR(SUM(Y224:Y233),"0")</f>
        <v>144.39999999999998</v>
      </c>
      <c r="Z235" s="37"/>
      <c r="AA235" s="542"/>
      <c r="AB235" s="542"/>
      <c r="AC235" s="542"/>
    </row>
    <row r="236" spans="1:68" ht="14.25" hidden="1" customHeight="1" x14ac:dyDescent="0.25">
      <c r="A236" s="556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9"/>
      <c r="R237" s="549"/>
      <c r="S237" s="549"/>
      <c r="T237" s="550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65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66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66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6" t="s">
        <v>382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9"/>
      <c r="R241" s="549"/>
      <c r="S241" s="549"/>
      <c r="T241" s="550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65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66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66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6" t="s">
        <v>386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9"/>
      <c r="R245" s="549"/>
      <c r="S245" s="549"/>
      <c r="T245" s="550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9"/>
      <c r="R246" s="549"/>
      <c r="S246" s="549"/>
      <c r="T246" s="550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9"/>
      <c r="R247" s="549"/>
      <c r="S247" s="549"/>
      <c r="T247" s="550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9"/>
      <c r="R248" s="549"/>
      <c r="S248" s="549"/>
      <c r="T248" s="550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71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9"/>
      <c r="R249" s="549"/>
      <c r="S249" s="549"/>
      <c r="T249" s="550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5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66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66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53" t="s">
        <v>398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4"/>
      <c r="AB252" s="534"/>
      <c r="AC252" s="534"/>
    </row>
    <row r="253" spans="1:68" ht="14.25" hidden="1" customHeight="1" x14ac:dyDescent="0.25">
      <c r="A253" s="556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9"/>
      <c r="R254" s="549"/>
      <c r="S254" s="549"/>
      <c r="T254" s="550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9"/>
      <c r="R255" s="549"/>
      <c r="S255" s="549"/>
      <c r="T255" s="550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9"/>
      <c r="R256" s="549"/>
      <c r="S256" s="549"/>
      <c r="T256" s="550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9"/>
      <c r="R257" s="549"/>
      <c r="S257" s="549"/>
      <c r="T257" s="550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9"/>
      <c r="R258" s="549"/>
      <c r="S258" s="549"/>
      <c r="T258" s="550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5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66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66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53" t="s">
        <v>414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4"/>
      <c r="AB261" s="534"/>
      <c r="AC261" s="534"/>
    </row>
    <row r="262" spans="1:68" ht="14.25" hidden="1" customHeight="1" x14ac:dyDescent="0.25">
      <c r="A262" s="556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9"/>
      <c r="R263" s="549"/>
      <c r="S263" s="549"/>
      <c r="T263" s="550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9"/>
      <c r="R264" s="549"/>
      <c r="S264" s="549"/>
      <c r="T264" s="550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9"/>
      <c r="R265" s="549"/>
      <c r="S265" s="549"/>
      <c r="T265" s="550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9"/>
      <c r="R266" s="549"/>
      <c r="S266" s="549"/>
      <c r="T266" s="550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5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66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66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53" t="s">
        <v>425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4"/>
      <c r="AB269" s="534"/>
      <c r="AC269" s="534"/>
    </row>
    <row r="270" spans="1:68" ht="14.25" hidden="1" customHeight="1" x14ac:dyDescent="0.25">
      <c r="A270" s="556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9"/>
      <c r="R271" s="549"/>
      <c r="S271" s="549"/>
      <c r="T271" s="550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9"/>
      <c r="R272" s="549"/>
      <c r="S272" s="549"/>
      <c r="T272" s="550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9"/>
      <c r="R273" s="549"/>
      <c r="S273" s="549"/>
      <c r="T273" s="550"/>
      <c r="U273" s="34"/>
      <c r="V273" s="34"/>
      <c r="W273" s="35" t="s">
        <v>69</v>
      </c>
      <c r="X273" s="539">
        <v>80</v>
      </c>
      <c r="Y273" s="540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428</v>
      </c>
      <c r="AG273" s="64"/>
      <c r="AJ273" s="68"/>
      <c r="AK273" s="68">
        <v>0</v>
      </c>
      <c r="BB273" s="322" t="s">
        <v>1</v>
      </c>
      <c r="BM273" s="64">
        <f>IFERROR(X273*I273/H273,"0")</f>
        <v>86</v>
      </c>
      <c r="BN273" s="64">
        <f>IFERROR(Y273*I273/H273,"0")</f>
        <v>87.72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x14ac:dyDescent="0.2">
      <c r="A274" s="565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66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33.333333333333336</v>
      </c>
      <c r="Y274" s="541">
        <f>IFERROR(Y271/H271,"0")+IFERROR(Y272/H272,"0")+IFERROR(Y273/H273,"0")</f>
        <v>34</v>
      </c>
      <c r="Z274" s="541">
        <f>IFERROR(IF(Z271="",0,Z271),"0")+IFERROR(IF(Z272="",0,Z272),"0")+IFERROR(IF(Z273="",0,Z273),"0")</f>
        <v>0.22134000000000001</v>
      </c>
      <c r="AA274" s="542"/>
      <c r="AB274" s="542"/>
      <c r="AC274" s="542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66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80</v>
      </c>
      <c r="Y275" s="541">
        <f>IFERROR(SUM(Y271:Y273),"0")</f>
        <v>81.599999999999994</v>
      </c>
      <c r="Z275" s="37"/>
      <c r="AA275" s="542"/>
      <c r="AB275" s="542"/>
      <c r="AC275" s="542"/>
    </row>
    <row r="276" spans="1:68" ht="16.5" hidden="1" customHeight="1" x14ac:dyDescent="0.25">
      <c r="A276" s="553" t="s">
        <v>434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4"/>
      <c r="AB276" s="534"/>
      <c r="AC276" s="534"/>
    </row>
    <row r="277" spans="1:68" ht="14.25" hidden="1" customHeight="1" x14ac:dyDescent="0.25">
      <c r="A277" s="556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9"/>
      <c r="R278" s="549"/>
      <c r="S278" s="549"/>
      <c r="T278" s="550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3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9"/>
      <c r="R279" s="549"/>
      <c r="S279" s="549"/>
      <c r="T279" s="550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5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66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66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6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1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9"/>
      <c r="R283" s="549"/>
      <c r="S283" s="549"/>
      <c r="T283" s="550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43">
        <v>4680115887114</v>
      </c>
      <c r="E284" s="544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6" t="s">
        <v>446</v>
      </c>
      <c r="Q284" s="549"/>
      <c r="R284" s="549"/>
      <c r="S284" s="549"/>
      <c r="T284" s="550"/>
      <c r="U284" s="34"/>
      <c r="V284" s="34"/>
      <c r="W284" s="35" t="s">
        <v>69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5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66"/>
      <c r="P285" s="545" t="s">
        <v>71</v>
      </c>
      <c r="Q285" s="546"/>
      <c r="R285" s="546"/>
      <c r="S285" s="546"/>
      <c r="T285" s="546"/>
      <c r="U285" s="546"/>
      <c r="V285" s="547"/>
      <c r="W285" s="37" t="s">
        <v>72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66"/>
      <c r="P286" s="545" t="s">
        <v>71</v>
      </c>
      <c r="Q286" s="546"/>
      <c r="R286" s="546"/>
      <c r="S286" s="546"/>
      <c r="T286" s="546"/>
      <c r="U286" s="546"/>
      <c r="V286" s="547"/>
      <c r="W286" s="37" t="s">
        <v>69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hidden="1" customHeight="1" x14ac:dyDescent="0.25">
      <c r="A287" s="553" t="s">
        <v>448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4"/>
      <c r="AB287" s="534"/>
      <c r="AC287" s="534"/>
    </row>
    <row r="288" spans="1:68" ht="14.25" hidden="1" customHeight="1" x14ac:dyDescent="0.25">
      <c r="A288" s="556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5"/>
      <c r="AB288" s="535"/>
      <c r="AC288" s="535"/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3">
        <v>4680115885615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9"/>
      <c r="R289" s="549"/>
      <c r="S289" s="549"/>
      <c r="T289" s="550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3">
        <v>4680115885646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9"/>
      <c r="R290" s="549"/>
      <c r="S290" s="549"/>
      <c r="T290" s="550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3">
        <v>4680115885554</v>
      </c>
      <c r="E291" s="544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9"/>
      <c r="R291" s="549"/>
      <c r="S291" s="549"/>
      <c r="T291" s="550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3">
        <v>4680115885622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9"/>
      <c r="R292" s="549"/>
      <c r="S292" s="549"/>
      <c r="T292" s="550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3">
        <v>4680115885608</v>
      </c>
      <c r="E293" s="544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9"/>
      <c r="R293" s="549"/>
      <c r="S293" s="549"/>
      <c r="T293" s="550"/>
      <c r="U293" s="34"/>
      <c r="V293" s="34"/>
      <c r="W293" s="35" t="s">
        <v>69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5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66"/>
      <c r="P294" s="545" t="s">
        <v>71</v>
      </c>
      <c r="Q294" s="546"/>
      <c r="R294" s="546"/>
      <c r="S294" s="546"/>
      <c r="T294" s="546"/>
      <c r="U294" s="546"/>
      <c r="V294" s="547"/>
      <c r="W294" s="37" t="s">
        <v>72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66"/>
      <c r="P295" s="545" t="s">
        <v>71</v>
      </c>
      <c r="Q295" s="546"/>
      <c r="R295" s="546"/>
      <c r="S295" s="546"/>
      <c r="T295" s="546"/>
      <c r="U295" s="546"/>
      <c r="V295" s="547"/>
      <c r="W295" s="37" t="s">
        <v>69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hidden="1" customHeight="1" x14ac:dyDescent="0.25">
      <c r="A296" s="556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3">
        <v>4607091387193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9"/>
      <c r="R297" s="549"/>
      <c r="S297" s="549"/>
      <c r="T297" s="550"/>
      <c r="U297" s="34"/>
      <c r="V297" s="34"/>
      <c r="W297" s="35" t="s">
        <v>69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3">
        <v>4607091387230</v>
      </c>
      <c r="E298" s="544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9"/>
      <c r="R298" s="549"/>
      <c r="S298" s="549"/>
      <c r="T298" s="550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3">
        <v>4607091387292</v>
      </c>
      <c r="E299" s="544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9"/>
      <c r="R299" s="549"/>
      <c r="S299" s="549"/>
      <c r="T299" s="550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3">
        <v>4607091387285</v>
      </c>
      <c r="E300" s="544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67</v>
      </c>
      <c r="L300" s="32" t="s">
        <v>267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9"/>
      <c r="R300" s="549"/>
      <c r="S300" s="549"/>
      <c r="T300" s="550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3">
        <v>4607091389845</v>
      </c>
      <c r="E301" s="544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9"/>
      <c r="R301" s="549"/>
      <c r="S301" s="549"/>
      <c r="T301" s="550"/>
      <c r="U301" s="34"/>
      <c r="V301" s="34"/>
      <c r="W301" s="35" t="s">
        <v>69</v>
      </c>
      <c r="X301" s="539">
        <v>70</v>
      </c>
      <c r="Y301" s="540">
        <f t="shared" si="26"/>
        <v>71.400000000000006</v>
      </c>
      <c r="Z301" s="36">
        <f>IFERROR(IF(Y301=0,"",ROUNDUP(Y301/H301,0)*0.00502),"")</f>
        <v>0.17068</v>
      </c>
      <c r="AA301" s="56"/>
      <c r="AB301" s="57"/>
      <c r="AC301" s="349" t="s">
        <v>476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73.333333333333329</v>
      </c>
      <c r="BN301" s="64">
        <f t="shared" si="28"/>
        <v>74.8</v>
      </c>
      <c r="BO301" s="64">
        <f t="shared" si="29"/>
        <v>0.14245014245014245</v>
      </c>
      <c r="BP301" s="64">
        <f t="shared" si="30"/>
        <v>0.14529914529914531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3">
        <v>4680115882881</v>
      </c>
      <c r="E302" s="544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61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9"/>
      <c r="R302" s="549"/>
      <c r="S302" s="549"/>
      <c r="T302" s="550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3">
        <v>4607091383836</v>
      </c>
      <c r="E303" s="544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7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9"/>
      <c r="R303" s="549"/>
      <c r="S303" s="549"/>
      <c r="T303" s="550"/>
      <c r="U303" s="34"/>
      <c r="V303" s="34"/>
      <c r="W303" s="35" t="s">
        <v>69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5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66"/>
      <c r="P304" s="545" t="s">
        <v>71</v>
      </c>
      <c r="Q304" s="546"/>
      <c r="R304" s="546"/>
      <c r="S304" s="546"/>
      <c r="T304" s="546"/>
      <c r="U304" s="546"/>
      <c r="V304" s="547"/>
      <c r="W304" s="37" t="s">
        <v>72</v>
      </c>
      <c r="X304" s="541">
        <f>IFERROR(X297/H297,"0")+IFERROR(X298/H298,"0")+IFERROR(X299/H299,"0")+IFERROR(X300/H300,"0")+IFERROR(X301/H301,"0")+IFERROR(X302/H302,"0")+IFERROR(X303/H303,"0")</f>
        <v>33.333333333333329</v>
      </c>
      <c r="Y304" s="541">
        <f>IFERROR(Y297/H297,"0")+IFERROR(Y298/H298,"0")+IFERROR(Y299/H299,"0")+IFERROR(Y300/H300,"0")+IFERROR(Y301/H301,"0")+IFERROR(Y302/H302,"0")+IFERROR(Y303/H303,"0")</f>
        <v>34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0.17068</v>
      </c>
      <c r="AA304" s="542"/>
      <c r="AB304" s="542"/>
      <c r="AC304" s="542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66"/>
      <c r="P305" s="545" t="s">
        <v>71</v>
      </c>
      <c r="Q305" s="546"/>
      <c r="R305" s="546"/>
      <c r="S305" s="546"/>
      <c r="T305" s="546"/>
      <c r="U305" s="546"/>
      <c r="V305" s="547"/>
      <c r="W305" s="37" t="s">
        <v>69</v>
      </c>
      <c r="X305" s="541">
        <f>IFERROR(SUM(X297:X303),"0")</f>
        <v>70</v>
      </c>
      <c r="Y305" s="541">
        <f>IFERROR(SUM(Y297:Y303),"0")</f>
        <v>71.400000000000006</v>
      </c>
      <c r="Z305" s="37"/>
      <c r="AA305" s="542"/>
      <c r="AB305" s="542"/>
      <c r="AC305" s="542"/>
    </row>
    <row r="306" spans="1:68" ht="14.25" hidden="1" customHeight="1" x14ac:dyDescent="0.25">
      <c r="A306" s="556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3">
        <v>4607091387766</v>
      </c>
      <c r="E307" s="544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9"/>
      <c r="R307" s="549"/>
      <c r="S307" s="549"/>
      <c r="T307" s="550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3">
        <v>4607091387957</v>
      </c>
      <c r="E308" s="544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9"/>
      <c r="R308" s="549"/>
      <c r="S308" s="549"/>
      <c r="T308" s="550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3">
        <v>4607091387964</v>
      </c>
      <c r="E309" s="544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9"/>
      <c r="R309" s="549"/>
      <c r="S309" s="549"/>
      <c r="T309" s="550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3">
        <v>4680115884588</v>
      </c>
      <c r="E310" s="544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9"/>
      <c r="R310" s="549"/>
      <c r="S310" s="549"/>
      <c r="T310" s="550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65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66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66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6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9"/>
      <c r="R314" s="549"/>
      <c r="S314" s="549"/>
      <c r="T314" s="550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9"/>
      <c r="R315" s="549"/>
      <c r="S315" s="549"/>
      <c r="T315" s="550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9"/>
      <c r="R316" s="549"/>
      <c r="S316" s="549"/>
      <c r="T316" s="550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5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66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40.842490842490839</v>
      </c>
      <c r="Y317" s="541">
        <f>IFERROR(Y314/H314,"0")+IFERROR(Y315/H315,"0")+IFERROR(Y316/H316,"0")</f>
        <v>42</v>
      </c>
      <c r="Z317" s="541">
        <f>IFERROR(IF(Z314="",0,Z314),"0")+IFERROR(IF(Z315="",0,Z315),"0")+IFERROR(IF(Z316="",0,Z316),"0")</f>
        <v>0.79715999999999998</v>
      </c>
      <c r="AA317" s="542"/>
      <c r="AB317" s="542"/>
      <c r="AC317" s="542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66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320</v>
      </c>
      <c r="Y318" s="541">
        <f>IFERROR(SUM(Y314:Y316),"0")</f>
        <v>329.4</v>
      </c>
      <c r="Z318" s="37"/>
      <c r="AA318" s="542"/>
      <c r="AB318" s="542"/>
      <c r="AC318" s="542"/>
    </row>
    <row r="319" spans="1:68" ht="14.25" hidden="1" customHeight="1" x14ac:dyDescent="0.25">
      <c r="A319" s="556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9"/>
      <c r="R320" s="549"/>
      <c r="S320" s="549"/>
      <c r="T320" s="550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9"/>
      <c r="R321" s="549"/>
      <c r="S321" s="549"/>
      <c r="T321" s="550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9"/>
      <c r="R322" s="549"/>
      <c r="S322" s="549"/>
      <c r="T322" s="550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510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80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9"/>
      <c r="R323" s="549"/>
      <c r="S323" s="549"/>
      <c r="T323" s="550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5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66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66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6" t="s">
        <v>513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5"/>
      <c r="AB326" s="535"/>
      <c r="AC326" s="535"/>
    </row>
    <row r="327" spans="1:68" ht="16.5" hidden="1" customHeight="1" x14ac:dyDescent="0.25">
      <c r="A327" s="54" t="s">
        <v>514</v>
      </c>
      <c r="B327" s="54" t="s">
        <v>515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213</v>
      </c>
      <c r="M327" s="33" t="s">
        <v>516</v>
      </c>
      <c r="N327" s="33"/>
      <c r="O327" s="32">
        <v>730</v>
      </c>
      <c r="P327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9"/>
      <c r="R327" s="549"/>
      <c r="S327" s="549"/>
      <c r="T327" s="550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517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518</v>
      </c>
      <c r="B328" s="54" t="s">
        <v>519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516</v>
      </c>
      <c r="N328" s="33"/>
      <c r="O328" s="32">
        <v>730</v>
      </c>
      <c r="P328" s="5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9"/>
      <c r="R328" s="549"/>
      <c r="S328" s="549"/>
      <c r="T328" s="550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517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213</v>
      </c>
      <c r="M329" s="33" t="s">
        <v>516</v>
      </c>
      <c r="N329" s="33"/>
      <c r="O329" s="32">
        <v>730</v>
      </c>
      <c r="P329" s="6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9"/>
      <c r="R329" s="549"/>
      <c r="S329" s="549"/>
      <c r="T329" s="550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517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5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66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66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53" t="s">
        <v>522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4"/>
      <c r="AB332" s="534"/>
      <c r="AC332" s="534"/>
    </row>
    <row r="333" spans="1:68" ht="14.25" hidden="1" customHeight="1" x14ac:dyDescent="0.25">
      <c r="A333" s="556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5"/>
      <c r="AB333" s="535"/>
      <c r="AC333" s="535"/>
    </row>
    <row r="334" spans="1:68" ht="27" hidden="1" customHeight="1" x14ac:dyDescent="0.25">
      <c r="A334" s="54" t="s">
        <v>523</v>
      </c>
      <c r="B334" s="54" t="s">
        <v>524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9"/>
      <c r="R334" s="549"/>
      <c r="S334" s="549"/>
      <c r="T334" s="550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525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526</v>
      </c>
      <c r="B335" s="54" t="s">
        <v>527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9"/>
      <c r="R335" s="549"/>
      <c r="S335" s="549"/>
      <c r="T335" s="550"/>
      <c r="U335" s="34"/>
      <c r="V335" s="34"/>
      <c r="W335" s="35" t="s">
        <v>69</v>
      </c>
      <c r="X335" s="539">
        <v>525</v>
      </c>
      <c r="Y335" s="540">
        <f>IFERROR(IF(X335="",0,CEILING((X335/$H335),1)*$H335),"")</f>
        <v>525</v>
      </c>
      <c r="Z335" s="36">
        <f>IFERROR(IF(Y335=0,"",ROUNDUP(Y335/H335,0)*0.00651),"")</f>
        <v>1.6274999999999999</v>
      </c>
      <c r="AA335" s="56"/>
      <c r="AB335" s="57"/>
      <c r="AC335" s="385" t="s">
        <v>528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588</v>
      </c>
      <c r="BN335" s="64">
        <f>IFERROR(Y335*I335/H335,"0")</f>
        <v>588</v>
      </c>
      <c r="BO335" s="64">
        <f>IFERROR(1/J335*(X335/H335),"0")</f>
        <v>1.3736263736263736</v>
      </c>
      <c r="BP335" s="64">
        <f>IFERROR(1/J335*(Y335/H335),"0")</f>
        <v>1.3736263736263736</v>
      </c>
    </row>
    <row r="336" spans="1:68" ht="27" customHeight="1" x14ac:dyDescent="0.25">
      <c r="A336" s="54" t="s">
        <v>529</v>
      </c>
      <c r="B336" s="54" t="s">
        <v>530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9"/>
      <c r="R336" s="549"/>
      <c r="S336" s="549"/>
      <c r="T336" s="550"/>
      <c r="U336" s="34"/>
      <c r="V336" s="34"/>
      <c r="W336" s="35" t="s">
        <v>69</v>
      </c>
      <c r="X336" s="539">
        <v>350</v>
      </c>
      <c r="Y336" s="540">
        <f>IFERROR(IF(X336="",0,CEILING((X336/$H336),1)*$H336),"")</f>
        <v>350.7</v>
      </c>
      <c r="Z336" s="36">
        <f>IFERROR(IF(Y336=0,"",ROUNDUP(Y336/H336,0)*0.00651),"")</f>
        <v>1.08717</v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390</v>
      </c>
      <c r="BN336" s="64">
        <f>IFERROR(Y336*I336/H336,"0")</f>
        <v>390.78</v>
      </c>
      <c r="BO336" s="64">
        <f>IFERROR(1/J336*(X336/H336),"0")</f>
        <v>0.91575091575091572</v>
      </c>
      <c r="BP336" s="64">
        <f>IFERROR(1/J336*(Y336/H336),"0")</f>
        <v>0.91758241758241765</v>
      </c>
    </row>
    <row r="337" spans="1:68" x14ac:dyDescent="0.2">
      <c r="A337" s="565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66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416.66666666666663</v>
      </c>
      <c r="Y337" s="541">
        <f>IFERROR(Y334/H334,"0")+IFERROR(Y335/H335,"0")+IFERROR(Y336/H336,"0")</f>
        <v>417</v>
      </c>
      <c r="Z337" s="541">
        <f>IFERROR(IF(Z334="",0,Z334),"0")+IFERROR(IF(Z335="",0,Z335),"0")+IFERROR(IF(Z336="",0,Z336),"0")</f>
        <v>2.7146699999999999</v>
      </c>
      <c r="AA337" s="542"/>
      <c r="AB337" s="542"/>
      <c r="AC337" s="542"/>
    </row>
    <row r="338" spans="1:68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66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875</v>
      </c>
      <c r="Y338" s="541">
        <f>IFERROR(SUM(Y334:Y336),"0")</f>
        <v>875.7</v>
      </c>
      <c r="Z338" s="37"/>
      <c r="AA338" s="542"/>
      <c r="AB338" s="542"/>
      <c r="AC338" s="542"/>
    </row>
    <row r="339" spans="1:68" ht="27.75" hidden="1" customHeight="1" x14ac:dyDescent="0.2">
      <c r="A339" s="694" t="s">
        <v>532</v>
      </c>
      <c r="B339" s="695"/>
      <c r="C339" s="695"/>
      <c r="D339" s="695"/>
      <c r="E339" s="695"/>
      <c r="F339" s="695"/>
      <c r="G339" s="695"/>
      <c r="H339" s="695"/>
      <c r="I339" s="695"/>
      <c r="J339" s="695"/>
      <c r="K339" s="695"/>
      <c r="L339" s="695"/>
      <c r="M339" s="695"/>
      <c r="N339" s="695"/>
      <c r="O339" s="695"/>
      <c r="P339" s="695"/>
      <c r="Q339" s="695"/>
      <c r="R339" s="695"/>
      <c r="S339" s="695"/>
      <c r="T339" s="695"/>
      <c r="U339" s="695"/>
      <c r="V339" s="695"/>
      <c r="W339" s="695"/>
      <c r="X339" s="695"/>
      <c r="Y339" s="695"/>
      <c r="Z339" s="695"/>
      <c r="AA339" s="48"/>
      <c r="AB339" s="48"/>
      <c r="AC339" s="48"/>
    </row>
    <row r="340" spans="1:68" ht="16.5" hidden="1" customHeight="1" x14ac:dyDescent="0.25">
      <c r="A340" s="553" t="s">
        <v>533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4"/>
      <c r="AB340" s="534"/>
      <c r="AC340" s="534"/>
    </row>
    <row r="341" spans="1:68" ht="14.25" hidden="1" customHeight="1" x14ac:dyDescent="0.25">
      <c r="A341" s="556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5"/>
      <c r="AB341" s="535"/>
      <c r="AC341" s="535"/>
    </row>
    <row r="342" spans="1:68" ht="37.5" customHeight="1" x14ac:dyDescent="0.25">
      <c r="A342" s="54" t="s">
        <v>534</v>
      </c>
      <c r="B342" s="54" t="s">
        <v>535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9"/>
      <c r="R342" s="549"/>
      <c r="S342" s="549"/>
      <c r="T342" s="550"/>
      <c r="U342" s="34"/>
      <c r="V342" s="34"/>
      <c r="W342" s="35" t="s">
        <v>69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536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537</v>
      </c>
      <c r="B343" s="54" t="s">
        <v>538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9"/>
      <c r="R343" s="549"/>
      <c r="S343" s="549"/>
      <c r="T343" s="550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540</v>
      </c>
      <c r="B344" s="54" t="s">
        <v>541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9"/>
      <c r="R344" s="549"/>
      <c r="S344" s="549"/>
      <c r="T344" s="550"/>
      <c r="U344" s="34"/>
      <c r="V344" s="34"/>
      <c r="W344" s="35" t="s">
        <v>69</v>
      </c>
      <c r="X344" s="539">
        <v>1300</v>
      </c>
      <c r="Y344" s="540">
        <f t="shared" si="31"/>
        <v>1305</v>
      </c>
      <c r="Z344" s="36">
        <f>IFERROR(IF(Y344=0,"",ROUNDUP(Y344/H344,0)*0.02175),"")</f>
        <v>1.8922499999999998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2"/>
        <v>1340.7333333333333</v>
      </c>
      <c r="BN344" s="64">
        <f t="shared" si="33"/>
        <v>1345.89</v>
      </c>
      <c r="BO344" s="64">
        <f t="shared" si="34"/>
        <v>1.8055555555555556</v>
      </c>
      <c r="BP344" s="64">
        <f t="shared" si="35"/>
        <v>1.8125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9"/>
      <c r="R345" s="549"/>
      <c r="S345" s="549"/>
      <c r="T345" s="550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9"/>
      <c r="R346" s="549"/>
      <c r="S346" s="549"/>
      <c r="T346" s="550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9"/>
      <c r="R347" s="549"/>
      <c r="S347" s="549"/>
      <c r="T347" s="550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539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551</v>
      </c>
      <c r="B348" s="54" t="s">
        <v>552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9"/>
      <c r="R348" s="549"/>
      <c r="S348" s="549"/>
      <c r="T348" s="550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5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66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200</v>
      </c>
      <c r="Y349" s="541">
        <f>IFERROR(Y342/H342,"0")+IFERROR(Y343/H343,"0")+IFERROR(Y344/H344,"0")+IFERROR(Y345/H345,"0")+IFERROR(Y346/H346,"0")+IFERROR(Y347/H347,"0")+IFERROR(Y348/H348,"0")</f>
        <v>201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4.3717499999999996</v>
      </c>
      <c r="AA349" s="542"/>
      <c r="AB349" s="542"/>
      <c r="AC349" s="542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66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3000</v>
      </c>
      <c r="Y350" s="541">
        <f>IFERROR(SUM(Y342:Y348),"0")</f>
        <v>3015</v>
      </c>
      <c r="Z350" s="37"/>
      <c r="AA350" s="542"/>
      <c r="AB350" s="542"/>
      <c r="AC350" s="542"/>
    </row>
    <row r="351" spans="1:68" ht="14.25" hidden="1" customHeight="1" x14ac:dyDescent="0.25">
      <c r="A351" s="556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5"/>
      <c r="AB351" s="535"/>
      <c r="AC351" s="535"/>
    </row>
    <row r="352" spans="1:68" ht="27" customHeight="1" x14ac:dyDescent="0.25">
      <c r="A352" s="54" t="s">
        <v>553</v>
      </c>
      <c r="B352" s="54" t="s">
        <v>554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9"/>
      <c r="R352" s="549"/>
      <c r="S352" s="549"/>
      <c r="T352" s="550"/>
      <c r="U352" s="34"/>
      <c r="V352" s="34"/>
      <c r="W352" s="35" t="s">
        <v>69</v>
      </c>
      <c r="X352" s="539">
        <v>900</v>
      </c>
      <c r="Y352" s="540">
        <f>IFERROR(IF(X352="",0,CEILING((X352/$H352),1)*$H352),"")</f>
        <v>900</v>
      </c>
      <c r="Z352" s="36">
        <f>IFERROR(IF(Y352=0,"",ROUNDUP(Y352/H352,0)*0.02175),"")</f>
        <v>1.3049999999999999</v>
      </c>
      <c r="AA352" s="56"/>
      <c r="AB352" s="57"/>
      <c r="AC352" s="403" t="s">
        <v>555</v>
      </c>
      <c r="AG352" s="64"/>
      <c r="AJ352" s="68"/>
      <c r="AK352" s="68">
        <v>0</v>
      </c>
      <c r="BB352" s="404" t="s">
        <v>1</v>
      </c>
      <c r="BM352" s="64">
        <f>IFERROR(X352*I352/H352,"0")</f>
        <v>928.2</v>
      </c>
      <c r="BN352" s="64">
        <f>IFERROR(Y352*I352/H352,"0")</f>
        <v>928.2</v>
      </c>
      <c r="BO352" s="64">
        <f>IFERROR(1/J352*(X352/H352),"0")</f>
        <v>1.25</v>
      </c>
      <c r="BP352" s="64">
        <f>IFERROR(1/J352*(Y352/H352),"0")</f>
        <v>1.25</v>
      </c>
    </row>
    <row r="353" spans="1:68" ht="16.5" hidden="1" customHeight="1" x14ac:dyDescent="0.25">
      <c r="A353" s="54" t="s">
        <v>556</v>
      </c>
      <c r="B353" s="54" t="s">
        <v>557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9"/>
      <c r="R353" s="549"/>
      <c r="S353" s="549"/>
      <c r="T353" s="550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555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5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66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60</v>
      </c>
      <c r="Y354" s="541">
        <f>IFERROR(Y352/H352,"0")+IFERROR(Y353/H353,"0")</f>
        <v>60</v>
      </c>
      <c r="Z354" s="541">
        <f>IFERROR(IF(Z352="",0,Z352),"0")+IFERROR(IF(Z353="",0,Z353),"0")</f>
        <v>1.3049999999999999</v>
      </c>
      <c r="AA354" s="542"/>
      <c r="AB354" s="542"/>
      <c r="AC354" s="542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66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900</v>
      </c>
      <c r="Y355" s="541">
        <f>IFERROR(SUM(Y352:Y353),"0")</f>
        <v>900</v>
      </c>
      <c r="Z355" s="37"/>
      <c r="AA355" s="542"/>
      <c r="AB355" s="542"/>
      <c r="AC355" s="542"/>
    </row>
    <row r="356" spans="1:68" ht="14.25" hidden="1" customHeight="1" x14ac:dyDescent="0.25">
      <c r="A356" s="556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5"/>
      <c r="AB356" s="535"/>
      <c r="AC356" s="535"/>
    </row>
    <row r="357" spans="1:68" ht="27" hidden="1" customHeight="1" x14ac:dyDescent="0.25">
      <c r="A357" s="54" t="s">
        <v>558</v>
      </c>
      <c r="B357" s="54" t="s">
        <v>559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9"/>
      <c r="R357" s="549"/>
      <c r="S357" s="549"/>
      <c r="T357" s="550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560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561</v>
      </c>
      <c r="B358" s="54" t="s">
        <v>562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9"/>
      <c r="R358" s="549"/>
      <c r="S358" s="549"/>
      <c r="T358" s="550"/>
      <c r="U358" s="34"/>
      <c r="V358" s="34"/>
      <c r="W358" s="35" t="s">
        <v>69</v>
      </c>
      <c r="X358" s="539">
        <v>30</v>
      </c>
      <c r="Y358" s="540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563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31.646666666666665</v>
      </c>
      <c r="BN358" s="64">
        <f>IFERROR(Y358*I358/H358,"0")</f>
        <v>37.975999999999999</v>
      </c>
      <c r="BO358" s="64">
        <f>IFERROR(1/J358*(X358/H358),"0")</f>
        <v>5.2083333333333336E-2</v>
      </c>
      <c r="BP358" s="64">
        <f>IFERROR(1/J358*(Y358/H358),"0")</f>
        <v>6.25E-2</v>
      </c>
    </row>
    <row r="359" spans="1:68" x14ac:dyDescent="0.2">
      <c r="A359" s="565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66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3.3333333333333335</v>
      </c>
      <c r="Y359" s="541">
        <f>IFERROR(Y357/H357,"0")+IFERROR(Y358/H358,"0")</f>
        <v>4</v>
      </c>
      <c r="Z359" s="541">
        <f>IFERROR(IF(Z357="",0,Z357),"0")+IFERROR(IF(Z358="",0,Z358),"0")</f>
        <v>7.5920000000000001E-2</v>
      </c>
      <c r="AA359" s="542"/>
      <c r="AB359" s="542"/>
      <c r="AC359" s="542"/>
    </row>
    <row r="360" spans="1:68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66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30</v>
      </c>
      <c r="Y360" s="541">
        <f>IFERROR(SUM(Y357:Y358),"0")</f>
        <v>36</v>
      </c>
      <c r="Z360" s="37"/>
      <c r="AA360" s="542"/>
      <c r="AB360" s="542"/>
      <c r="AC360" s="542"/>
    </row>
    <row r="361" spans="1:68" ht="14.25" hidden="1" customHeight="1" x14ac:dyDescent="0.25">
      <c r="A361" s="556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5"/>
      <c r="AB361" s="535"/>
      <c r="AC361" s="535"/>
    </row>
    <row r="362" spans="1:68" ht="16.5" hidden="1" customHeight="1" x14ac:dyDescent="0.25">
      <c r="A362" s="54" t="s">
        <v>564</v>
      </c>
      <c r="B362" s="54" t="s">
        <v>565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9"/>
      <c r="R362" s="549"/>
      <c r="S362" s="549"/>
      <c r="T362" s="550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566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65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66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66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53" t="s">
        <v>567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4"/>
      <c r="AB365" s="534"/>
      <c r="AC365" s="534"/>
    </row>
    <row r="366" spans="1:68" ht="14.25" hidden="1" customHeight="1" x14ac:dyDescent="0.25">
      <c r="A366" s="556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5"/>
      <c r="AB366" s="535"/>
      <c r="AC366" s="535"/>
    </row>
    <row r="367" spans="1:68" ht="37.5" hidden="1" customHeight="1" x14ac:dyDescent="0.25">
      <c r="A367" s="54" t="s">
        <v>568</v>
      </c>
      <c r="B367" s="54" t="s">
        <v>569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9"/>
      <c r="R367" s="549"/>
      <c r="S367" s="549"/>
      <c r="T367" s="550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570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571</v>
      </c>
      <c r="B368" s="54" t="s">
        <v>572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9"/>
      <c r="R368" s="549"/>
      <c r="S368" s="549"/>
      <c r="T368" s="550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5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66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66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6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5"/>
      <c r="AB371" s="535"/>
      <c r="AC371" s="535"/>
    </row>
    <row r="372" spans="1:68" ht="27" hidden="1" customHeight="1" x14ac:dyDescent="0.25">
      <c r="A372" s="54" t="s">
        <v>573</v>
      </c>
      <c r="B372" s="54" t="s">
        <v>574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9"/>
      <c r="R372" s="549"/>
      <c r="S372" s="549"/>
      <c r="T372" s="550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575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573</v>
      </c>
      <c r="B373" s="54" t="s">
        <v>576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9"/>
      <c r="R373" s="549"/>
      <c r="S373" s="549"/>
      <c r="T373" s="550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65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66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66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6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5"/>
      <c r="AB376" s="535"/>
      <c r="AC376" s="535"/>
    </row>
    <row r="377" spans="1:68" ht="27" hidden="1" customHeight="1" x14ac:dyDescent="0.25">
      <c r="A377" s="54" t="s">
        <v>578</v>
      </c>
      <c r="B377" s="54" t="s">
        <v>579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9"/>
      <c r="R377" s="549"/>
      <c r="S377" s="549"/>
      <c r="T377" s="550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580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581</v>
      </c>
      <c r="B378" s="54" t="s">
        <v>582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9"/>
      <c r="R378" s="549"/>
      <c r="S378" s="549"/>
      <c r="T378" s="550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5"/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66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54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66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694" t="s">
        <v>583</v>
      </c>
      <c r="B381" s="695"/>
      <c r="C381" s="695"/>
      <c r="D381" s="695"/>
      <c r="E381" s="695"/>
      <c r="F381" s="695"/>
      <c r="G381" s="695"/>
      <c r="H381" s="695"/>
      <c r="I381" s="695"/>
      <c r="J381" s="695"/>
      <c r="K381" s="695"/>
      <c r="L381" s="695"/>
      <c r="M381" s="695"/>
      <c r="N381" s="695"/>
      <c r="O381" s="695"/>
      <c r="P381" s="695"/>
      <c r="Q381" s="695"/>
      <c r="R381" s="695"/>
      <c r="S381" s="695"/>
      <c r="T381" s="695"/>
      <c r="U381" s="695"/>
      <c r="V381" s="695"/>
      <c r="W381" s="695"/>
      <c r="X381" s="695"/>
      <c r="Y381" s="695"/>
      <c r="Z381" s="695"/>
      <c r="AA381" s="48"/>
      <c r="AB381" s="48"/>
      <c r="AC381" s="48"/>
    </row>
    <row r="382" spans="1:68" ht="16.5" hidden="1" customHeight="1" x14ac:dyDescent="0.25">
      <c r="A382" s="553" t="s">
        <v>584</v>
      </c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4"/>
      <c r="P382" s="554"/>
      <c r="Q382" s="554"/>
      <c r="R382" s="554"/>
      <c r="S382" s="554"/>
      <c r="T382" s="554"/>
      <c r="U382" s="554"/>
      <c r="V382" s="554"/>
      <c r="W382" s="554"/>
      <c r="X382" s="554"/>
      <c r="Y382" s="554"/>
      <c r="Z382" s="554"/>
      <c r="AA382" s="534"/>
      <c r="AB382" s="534"/>
      <c r="AC382" s="534"/>
    </row>
    <row r="383" spans="1:68" ht="14.25" hidden="1" customHeight="1" x14ac:dyDescent="0.25">
      <c r="A383" s="556" t="s">
        <v>64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5"/>
      <c r="AB383" s="535"/>
      <c r="AC383" s="535"/>
    </row>
    <row r="384" spans="1:68" ht="27" hidden="1" customHeight="1" x14ac:dyDescent="0.25">
      <c r="A384" s="54" t="s">
        <v>585</v>
      </c>
      <c r="B384" s="54" t="s">
        <v>586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9"/>
      <c r="R384" s="549"/>
      <c r="S384" s="549"/>
      <c r="T384" s="550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587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588</v>
      </c>
      <c r="B385" s="54" t="s">
        <v>589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9"/>
      <c r="R385" s="549"/>
      <c r="S385" s="549"/>
      <c r="T385" s="550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9"/>
      <c r="R386" s="549"/>
      <c r="S386" s="549"/>
      <c r="T386" s="550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69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9"/>
      <c r="R387" s="549"/>
      <c r="S387" s="549"/>
      <c r="T387" s="550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587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267</v>
      </c>
      <c r="M388" s="33" t="s">
        <v>68</v>
      </c>
      <c r="N388" s="33"/>
      <c r="O388" s="32">
        <v>50</v>
      </c>
      <c r="P388" s="7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9"/>
      <c r="R388" s="549"/>
      <c r="S388" s="549"/>
      <c r="T388" s="550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587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598</v>
      </c>
      <c r="B389" s="54" t="s">
        <v>599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267</v>
      </c>
      <c r="M389" s="33" t="s">
        <v>68</v>
      </c>
      <c r="N389" s="33"/>
      <c r="O389" s="32">
        <v>50</v>
      </c>
      <c r="P389" s="55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9"/>
      <c r="R389" s="549"/>
      <c r="S389" s="549"/>
      <c r="T389" s="550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600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2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9"/>
      <c r="R390" s="549"/>
      <c r="S390" s="549"/>
      <c r="T390" s="550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267</v>
      </c>
      <c r="M391" s="33" t="s">
        <v>68</v>
      </c>
      <c r="N391" s="33"/>
      <c r="O391" s="32">
        <v>50</v>
      </c>
      <c r="P391" s="5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9"/>
      <c r="R391" s="549"/>
      <c r="S391" s="549"/>
      <c r="T391" s="550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607</v>
      </c>
      <c r="B392" s="54" t="s">
        <v>608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9"/>
      <c r="R392" s="549"/>
      <c r="S392" s="549"/>
      <c r="T392" s="550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65"/>
      <c r="B393" s="554"/>
      <c r="C393" s="554"/>
      <c r="D393" s="554"/>
      <c r="E393" s="554"/>
      <c r="F393" s="554"/>
      <c r="G393" s="554"/>
      <c r="H393" s="554"/>
      <c r="I393" s="554"/>
      <c r="J393" s="554"/>
      <c r="K393" s="554"/>
      <c r="L393" s="554"/>
      <c r="M393" s="554"/>
      <c r="N393" s="554"/>
      <c r="O393" s="566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54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66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6" t="s">
        <v>73</v>
      </c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4"/>
      <c r="P395" s="554"/>
      <c r="Q395" s="554"/>
      <c r="R395" s="554"/>
      <c r="S395" s="554"/>
      <c r="T395" s="554"/>
      <c r="U395" s="554"/>
      <c r="V395" s="554"/>
      <c r="W395" s="554"/>
      <c r="X395" s="554"/>
      <c r="Y395" s="554"/>
      <c r="Z395" s="554"/>
      <c r="AA395" s="535"/>
      <c r="AB395" s="535"/>
      <c r="AC395" s="535"/>
    </row>
    <row r="396" spans="1:68" ht="27" hidden="1" customHeight="1" x14ac:dyDescent="0.25">
      <c r="A396" s="54" t="s">
        <v>609</v>
      </c>
      <c r="B396" s="54" t="s">
        <v>610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9"/>
      <c r="R396" s="549"/>
      <c r="S396" s="549"/>
      <c r="T396" s="550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611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612</v>
      </c>
      <c r="B397" s="54" t="s">
        <v>613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9"/>
      <c r="R397" s="549"/>
      <c r="S397" s="549"/>
      <c r="T397" s="550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65"/>
      <c r="B398" s="554"/>
      <c r="C398" s="554"/>
      <c r="D398" s="554"/>
      <c r="E398" s="554"/>
      <c r="F398" s="554"/>
      <c r="G398" s="554"/>
      <c r="H398" s="554"/>
      <c r="I398" s="554"/>
      <c r="J398" s="554"/>
      <c r="K398" s="554"/>
      <c r="L398" s="554"/>
      <c r="M398" s="554"/>
      <c r="N398" s="554"/>
      <c r="O398" s="566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54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66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53" t="s">
        <v>615</v>
      </c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4"/>
      <c r="P400" s="554"/>
      <c r="Q400" s="554"/>
      <c r="R400" s="554"/>
      <c r="S400" s="554"/>
      <c r="T400" s="554"/>
      <c r="U400" s="554"/>
      <c r="V400" s="554"/>
      <c r="W400" s="554"/>
      <c r="X400" s="554"/>
      <c r="Y400" s="554"/>
      <c r="Z400" s="554"/>
      <c r="AA400" s="534"/>
      <c r="AB400" s="534"/>
      <c r="AC400" s="534"/>
    </row>
    <row r="401" spans="1:68" ht="14.25" hidden="1" customHeight="1" x14ac:dyDescent="0.25">
      <c r="A401" s="556" t="s">
        <v>135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5"/>
      <c r="AB401" s="535"/>
      <c r="AC401" s="535"/>
    </row>
    <row r="402" spans="1:68" ht="27" hidden="1" customHeight="1" x14ac:dyDescent="0.25">
      <c r="A402" s="54" t="s">
        <v>616</v>
      </c>
      <c r="B402" s="54" t="s">
        <v>617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54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9"/>
      <c r="R402" s="549"/>
      <c r="S402" s="549"/>
      <c r="T402" s="550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618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65"/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66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54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66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6" t="s">
        <v>64</v>
      </c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4"/>
      <c r="P405" s="554"/>
      <c r="Q405" s="554"/>
      <c r="R405" s="554"/>
      <c r="S405" s="554"/>
      <c r="T405" s="554"/>
      <c r="U405" s="554"/>
      <c r="V405" s="554"/>
      <c r="W405" s="554"/>
      <c r="X405" s="554"/>
      <c r="Y405" s="554"/>
      <c r="Z405" s="554"/>
      <c r="AA405" s="535"/>
      <c r="AB405" s="535"/>
      <c r="AC405" s="535"/>
    </row>
    <row r="406" spans="1:68" ht="27" hidden="1" customHeight="1" x14ac:dyDescent="0.25">
      <c r="A406" s="54" t="s">
        <v>619</v>
      </c>
      <c r="B406" s="54" t="s">
        <v>620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9"/>
      <c r="R406" s="549"/>
      <c r="S406" s="549"/>
      <c r="T406" s="550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621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622</v>
      </c>
      <c r="B407" s="54" t="s">
        <v>623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9"/>
      <c r="R407" s="549"/>
      <c r="S407" s="549"/>
      <c r="T407" s="550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624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9"/>
      <c r="R408" s="549"/>
      <c r="S408" s="549"/>
      <c r="T408" s="550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9"/>
      <c r="R409" s="549"/>
      <c r="S409" s="549"/>
      <c r="T409" s="550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627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5"/>
      <c r="B410" s="554"/>
      <c r="C410" s="554"/>
      <c r="D410" s="554"/>
      <c r="E410" s="554"/>
      <c r="F410" s="554"/>
      <c r="G410" s="554"/>
      <c r="H410" s="554"/>
      <c r="I410" s="554"/>
      <c r="J410" s="554"/>
      <c r="K410" s="554"/>
      <c r="L410" s="554"/>
      <c r="M410" s="554"/>
      <c r="N410" s="554"/>
      <c r="O410" s="566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54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66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53" t="s">
        <v>630</v>
      </c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4"/>
      <c r="P412" s="554"/>
      <c r="Q412" s="554"/>
      <c r="R412" s="554"/>
      <c r="S412" s="554"/>
      <c r="T412" s="554"/>
      <c r="U412" s="554"/>
      <c r="V412" s="554"/>
      <c r="W412" s="554"/>
      <c r="X412" s="554"/>
      <c r="Y412" s="554"/>
      <c r="Z412" s="554"/>
      <c r="AA412" s="534"/>
      <c r="AB412" s="534"/>
      <c r="AC412" s="534"/>
    </row>
    <row r="413" spans="1:68" ht="14.25" hidden="1" customHeight="1" x14ac:dyDescent="0.25">
      <c r="A413" s="556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5"/>
      <c r="AB413" s="535"/>
      <c r="AC413" s="535"/>
    </row>
    <row r="414" spans="1:68" ht="27" hidden="1" customHeight="1" x14ac:dyDescent="0.25">
      <c r="A414" s="54" t="s">
        <v>631</v>
      </c>
      <c r="B414" s="54" t="s">
        <v>632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213</v>
      </c>
      <c r="M414" s="33" t="s">
        <v>68</v>
      </c>
      <c r="N414" s="33"/>
      <c r="O414" s="32">
        <v>50</v>
      </c>
      <c r="P414" s="6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9"/>
      <c r="R414" s="549"/>
      <c r="S414" s="549"/>
      <c r="T414" s="550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633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65"/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66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54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66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4" t="s">
        <v>634</v>
      </c>
      <c r="B417" s="695"/>
      <c r="C417" s="695"/>
      <c r="D417" s="695"/>
      <c r="E417" s="695"/>
      <c r="F417" s="695"/>
      <c r="G417" s="695"/>
      <c r="H417" s="695"/>
      <c r="I417" s="695"/>
      <c r="J417" s="695"/>
      <c r="K417" s="695"/>
      <c r="L417" s="695"/>
      <c r="M417" s="695"/>
      <c r="N417" s="695"/>
      <c r="O417" s="695"/>
      <c r="P417" s="695"/>
      <c r="Q417" s="695"/>
      <c r="R417" s="695"/>
      <c r="S417" s="695"/>
      <c r="T417" s="695"/>
      <c r="U417" s="695"/>
      <c r="V417" s="695"/>
      <c r="W417" s="695"/>
      <c r="X417" s="695"/>
      <c r="Y417" s="695"/>
      <c r="Z417" s="695"/>
      <c r="AA417" s="48"/>
      <c r="AB417" s="48"/>
      <c r="AC417" s="48"/>
    </row>
    <row r="418" spans="1:68" ht="16.5" hidden="1" customHeight="1" x14ac:dyDescent="0.25">
      <c r="A418" s="553" t="s">
        <v>634</v>
      </c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4"/>
      <c r="P418" s="554"/>
      <c r="Q418" s="554"/>
      <c r="R418" s="554"/>
      <c r="S418" s="554"/>
      <c r="T418" s="554"/>
      <c r="U418" s="554"/>
      <c r="V418" s="554"/>
      <c r="W418" s="554"/>
      <c r="X418" s="554"/>
      <c r="Y418" s="554"/>
      <c r="Z418" s="554"/>
      <c r="AA418" s="534"/>
      <c r="AB418" s="534"/>
      <c r="AC418" s="534"/>
    </row>
    <row r="419" spans="1:68" ht="14.25" hidden="1" customHeight="1" x14ac:dyDescent="0.25">
      <c r="A419" s="556" t="s">
        <v>99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5"/>
      <c r="AB419" s="535"/>
      <c r="AC419" s="535"/>
    </row>
    <row r="420" spans="1:68" ht="27" customHeight="1" x14ac:dyDescent="0.25">
      <c r="A420" s="54" t="s">
        <v>635</v>
      </c>
      <c r="B420" s="54" t="s">
        <v>636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9"/>
      <c r="R420" s="549"/>
      <c r="S420" s="549"/>
      <c r="T420" s="550"/>
      <c r="U420" s="34"/>
      <c r="V420" s="34"/>
      <c r="W420" s="35" t="s">
        <v>69</v>
      </c>
      <c r="X420" s="539">
        <v>50</v>
      </c>
      <c r="Y420" s="540">
        <f t="shared" ref="Y420:Y430" si="42">IFERROR(IF(X420="",0,CEILING((X420/$H420),1)*$H420),"")</f>
        <v>52.800000000000004</v>
      </c>
      <c r="Z420" s="36">
        <f t="shared" ref="Z420:Z425" si="43">IFERROR(IF(Y420=0,"",ROUNDUP(Y420/H420,0)*0.01196),"")</f>
        <v>0.1196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53.314393939393938</v>
      </c>
      <c r="BN420" s="64">
        <f t="shared" ref="BN420:BN430" si="45">IFERROR(Y420*I420/H420,"0")</f>
        <v>56.3</v>
      </c>
      <c r="BO420" s="64">
        <f t="shared" ref="BO420:BO430" si="46">IFERROR(1/J420*(X420/H420),"0")</f>
        <v>9.1054778554778545E-2</v>
      </c>
      <c r="BP420" s="64">
        <f t="shared" ref="BP420:BP430" si="47">IFERROR(1/J420*(Y420/H420),"0")</f>
        <v>9.6153846153846159E-2</v>
      </c>
    </row>
    <row r="421" spans="1:68" ht="27" hidden="1" customHeight="1" x14ac:dyDescent="0.25">
      <c r="A421" s="54" t="s">
        <v>637</v>
      </c>
      <c r="B421" s="54" t="s">
        <v>638</v>
      </c>
      <c r="C421" s="31">
        <v>4301012145</v>
      </c>
      <c r="D421" s="543">
        <v>4607091383522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9"/>
      <c r="R421" s="549"/>
      <c r="S421" s="549"/>
      <c r="T421" s="550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639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3">
        <v>4680115885271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9"/>
      <c r="R422" s="549"/>
      <c r="S422" s="549"/>
      <c r="T422" s="550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4301011376</v>
      </c>
      <c r="D423" s="543">
        <v>4680115885226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9"/>
      <c r="R423" s="549"/>
      <c r="S423" s="549"/>
      <c r="T423" s="550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646</v>
      </c>
      <c r="B424" s="54" t="s">
        <v>647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9"/>
      <c r="R424" s="549"/>
      <c r="S424" s="549"/>
      <c r="T424" s="550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9"/>
      <c r="R425" s="549"/>
      <c r="S425" s="549"/>
      <c r="T425" s="550"/>
      <c r="U425" s="34"/>
      <c r="V425" s="34"/>
      <c r="W425" s="35" t="s">
        <v>69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651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4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9"/>
      <c r="R426" s="549"/>
      <c r="S426" s="549"/>
      <c r="T426" s="550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9"/>
      <c r="R427" s="549"/>
      <c r="S427" s="549"/>
      <c r="T427" s="550"/>
      <c r="U427" s="34"/>
      <c r="V427" s="34"/>
      <c r="W427" s="35" t="s">
        <v>69</v>
      </c>
      <c r="X427" s="539">
        <v>120</v>
      </c>
      <c r="Y427" s="540">
        <f t="shared" si="42"/>
        <v>120</v>
      </c>
      <c r="Z427" s="36">
        <f>IFERROR(IF(Y427=0,"",ROUNDUP(Y427/H427,0)*0.00902),"")</f>
        <v>0.22550000000000001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172.75000000000003</v>
      </c>
      <c r="BN427" s="64">
        <f t="shared" si="45"/>
        <v>172.75000000000003</v>
      </c>
      <c r="BO427" s="64">
        <f t="shared" si="46"/>
        <v>0.18939393939393939</v>
      </c>
      <c r="BP427" s="64">
        <f t="shared" si="47"/>
        <v>0.18939393939393939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4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9"/>
      <c r="R428" s="549"/>
      <c r="S428" s="549"/>
      <c r="T428" s="550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9"/>
      <c r="R429" s="549"/>
      <c r="S429" s="549"/>
      <c r="T429" s="550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9"/>
      <c r="R430" s="549"/>
      <c r="S430" s="549"/>
      <c r="T430" s="550"/>
      <c r="U430" s="34"/>
      <c r="V430" s="34"/>
      <c r="W430" s="35" t="s">
        <v>69</v>
      </c>
      <c r="X430" s="539">
        <v>90</v>
      </c>
      <c r="Y430" s="540">
        <f t="shared" si="42"/>
        <v>91.2</v>
      </c>
      <c r="Z430" s="36">
        <f>IFERROR(IF(Y430=0,"",ROUNDUP(Y430/H430,0)*0.00902),"")</f>
        <v>0.17138</v>
      </c>
      <c r="AA430" s="56"/>
      <c r="AB430" s="57"/>
      <c r="AC430" s="479" t="s">
        <v>651</v>
      </c>
      <c r="AG430" s="64"/>
      <c r="AJ430" s="68"/>
      <c r="AK430" s="68">
        <v>0</v>
      </c>
      <c r="BB430" s="480" t="s">
        <v>1</v>
      </c>
      <c r="BM430" s="64">
        <f t="shared" si="44"/>
        <v>129.5625</v>
      </c>
      <c r="BN430" s="64">
        <f t="shared" si="45"/>
        <v>131.29000000000002</v>
      </c>
      <c r="BO430" s="64">
        <f t="shared" si="46"/>
        <v>0.14204545454545456</v>
      </c>
      <c r="BP430" s="64">
        <f t="shared" si="47"/>
        <v>0.14393939393939395</v>
      </c>
    </row>
    <row r="431" spans="1:68" x14ac:dyDescent="0.2">
      <c r="A431" s="565"/>
      <c r="B431" s="554"/>
      <c r="C431" s="554"/>
      <c r="D431" s="554"/>
      <c r="E431" s="554"/>
      <c r="F431" s="554"/>
      <c r="G431" s="554"/>
      <c r="H431" s="554"/>
      <c r="I431" s="554"/>
      <c r="J431" s="554"/>
      <c r="K431" s="554"/>
      <c r="L431" s="554"/>
      <c r="M431" s="554"/>
      <c r="N431" s="554"/>
      <c r="O431" s="566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72.159090909090907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73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0.74371999999999994</v>
      </c>
      <c r="AA431" s="542"/>
      <c r="AB431" s="542"/>
      <c r="AC431" s="542"/>
    </row>
    <row r="432" spans="1:68" x14ac:dyDescent="0.2">
      <c r="A432" s="554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66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360</v>
      </c>
      <c r="Y432" s="541">
        <f>IFERROR(SUM(Y420:Y430),"0")</f>
        <v>364.32</v>
      </c>
      <c r="Z432" s="37"/>
      <c r="AA432" s="542"/>
      <c r="AB432" s="542"/>
      <c r="AC432" s="542"/>
    </row>
    <row r="433" spans="1:68" ht="14.25" hidden="1" customHeight="1" x14ac:dyDescent="0.25">
      <c r="A433" s="556" t="s">
        <v>135</v>
      </c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4"/>
      <c r="P433" s="554"/>
      <c r="Q433" s="554"/>
      <c r="R433" s="554"/>
      <c r="S433" s="554"/>
      <c r="T433" s="554"/>
      <c r="U433" s="554"/>
      <c r="V433" s="554"/>
      <c r="W433" s="554"/>
      <c r="X433" s="554"/>
      <c r="Y433" s="554"/>
      <c r="Z433" s="554"/>
      <c r="AA433" s="535"/>
      <c r="AB433" s="535"/>
      <c r="AC433" s="535"/>
    </row>
    <row r="434" spans="1:68" ht="16.5" hidden="1" customHeight="1" x14ac:dyDescent="0.25">
      <c r="A434" s="54" t="s">
        <v>663</v>
      </c>
      <c r="B434" s="54" t="s">
        <v>664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9"/>
      <c r="R434" s="549"/>
      <c r="S434" s="549"/>
      <c r="T434" s="550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665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666</v>
      </c>
      <c r="B435" s="54" t="s">
        <v>667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9"/>
      <c r="R435" s="549"/>
      <c r="S435" s="549"/>
      <c r="T435" s="550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665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9"/>
      <c r="R436" s="549"/>
      <c r="S436" s="549"/>
      <c r="T436" s="550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65"/>
      <c r="B437" s="554"/>
      <c r="C437" s="554"/>
      <c r="D437" s="554"/>
      <c r="E437" s="554"/>
      <c r="F437" s="554"/>
      <c r="G437" s="554"/>
      <c r="H437" s="554"/>
      <c r="I437" s="554"/>
      <c r="J437" s="554"/>
      <c r="K437" s="554"/>
      <c r="L437" s="554"/>
      <c r="M437" s="554"/>
      <c r="N437" s="554"/>
      <c r="O437" s="566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54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66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6" t="s">
        <v>64</v>
      </c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4"/>
      <c r="P439" s="554"/>
      <c r="Q439" s="554"/>
      <c r="R439" s="554"/>
      <c r="S439" s="554"/>
      <c r="T439" s="554"/>
      <c r="U439" s="554"/>
      <c r="V439" s="554"/>
      <c r="W439" s="554"/>
      <c r="X439" s="554"/>
      <c r="Y439" s="554"/>
      <c r="Z439" s="554"/>
      <c r="AA439" s="535"/>
      <c r="AB439" s="535"/>
      <c r="AC439" s="535"/>
    </row>
    <row r="440" spans="1:68" ht="27" hidden="1" customHeight="1" x14ac:dyDescent="0.25">
      <c r="A440" s="54" t="s">
        <v>670</v>
      </c>
      <c r="B440" s="54" t="s">
        <v>671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9"/>
      <c r="R440" s="549"/>
      <c r="S440" s="549"/>
      <c r="T440" s="550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672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hidden="1" customHeight="1" x14ac:dyDescent="0.25">
      <c r="A441" s="54" t="s">
        <v>673</v>
      </c>
      <c r="B441" s="54" t="s">
        <v>674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9"/>
      <c r="R441" s="549"/>
      <c r="S441" s="549"/>
      <c r="T441" s="550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9"/>
      <c r="R442" s="549"/>
      <c r="S442" s="549"/>
      <c r="T442" s="550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110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9"/>
      <c r="R443" s="549"/>
      <c r="S443" s="549"/>
      <c r="T443" s="550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672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110</v>
      </c>
      <c r="M444" s="33" t="s">
        <v>68</v>
      </c>
      <c r="N444" s="33"/>
      <c r="O444" s="32">
        <v>70</v>
      </c>
      <c r="P444" s="8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9"/>
      <c r="R444" s="549"/>
      <c r="S444" s="549"/>
      <c r="T444" s="550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9"/>
      <c r="R445" s="549"/>
      <c r="S445" s="549"/>
      <c r="T445" s="550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idden="1" x14ac:dyDescent="0.2">
      <c r="A446" s="565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66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hidden="1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66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hidden="1" customHeight="1" x14ac:dyDescent="0.25">
      <c r="A448" s="556" t="s">
        <v>73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35"/>
      <c r="AB448" s="535"/>
      <c r="AC448" s="535"/>
    </row>
    <row r="449" spans="1:68" ht="16.5" hidden="1" customHeight="1" x14ac:dyDescent="0.25">
      <c r="A449" s="54" t="s">
        <v>685</v>
      </c>
      <c r="B449" s="54" t="s">
        <v>686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9"/>
      <c r="R449" s="549"/>
      <c r="S449" s="549"/>
      <c r="T449" s="550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687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688</v>
      </c>
      <c r="B450" s="54" t="s">
        <v>689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9"/>
      <c r="R450" s="549"/>
      <c r="S450" s="549"/>
      <c r="T450" s="550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691</v>
      </c>
      <c r="B451" s="54" t="s">
        <v>692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69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9"/>
      <c r="R451" s="549"/>
      <c r="S451" s="549"/>
      <c r="T451" s="550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65"/>
      <c r="B452" s="554"/>
      <c r="C452" s="554"/>
      <c r="D452" s="554"/>
      <c r="E452" s="554"/>
      <c r="F452" s="554"/>
      <c r="G452" s="554"/>
      <c r="H452" s="554"/>
      <c r="I452" s="554"/>
      <c r="J452" s="554"/>
      <c r="K452" s="554"/>
      <c r="L452" s="554"/>
      <c r="M452" s="554"/>
      <c r="N452" s="554"/>
      <c r="O452" s="566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54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66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4" t="s">
        <v>694</v>
      </c>
      <c r="B454" s="695"/>
      <c r="C454" s="695"/>
      <c r="D454" s="695"/>
      <c r="E454" s="695"/>
      <c r="F454" s="695"/>
      <c r="G454" s="695"/>
      <c r="H454" s="695"/>
      <c r="I454" s="695"/>
      <c r="J454" s="695"/>
      <c r="K454" s="695"/>
      <c r="L454" s="695"/>
      <c r="M454" s="695"/>
      <c r="N454" s="695"/>
      <c r="O454" s="695"/>
      <c r="P454" s="695"/>
      <c r="Q454" s="695"/>
      <c r="R454" s="695"/>
      <c r="S454" s="695"/>
      <c r="T454" s="695"/>
      <c r="U454" s="695"/>
      <c r="V454" s="695"/>
      <c r="W454" s="695"/>
      <c r="X454" s="695"/>
      <c r="Y454" s="695"/>
      <c r="Z454" s="695"/>
      <c r="AA454" s="48"/>
      <c r="AB454" s="48"/>
      <c r="AC454" s="48"/>
    </row>
    <row r="455" spans="1:68" ht="16.5" hidden="1" customHeight="1" x14ac:dyDescent="0.25">
      <c r="A455" s="553" t="s">
        <v>694</v>
      </c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4"/>
      <c r="P455" s="554"/>
      <c r="Q455" s="554"/>
      <c r="R455" s="554"/>
      <c r="S455" s="554"/>
      <c r="T455" s="554"/>
      <c r="U455" s="554"/>
      <c r="V455" s="554"/>
      <c r="W455" s="554"/>
      <c r="X455" s="554"/>
      <c r="Y455" s="554"/>
      <c r="Z455" s="554"/>
      <c r="AA455" s="534"/>
      <c r="AB455" s="534"/>
      <c r="AC455" s="534"/>
    </row>
    <row r="456" spans="1:68" ht="14.25" hidden="1" customHeight="1" x14ac:dyDescent="0.25">
      <c r="A456" s="556" t="s">
        <v>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5"/>
      <c r="AB456" s="535"/>
      <c r="AC456" s="535"/>
    </row>
    <row r="457" spans="1:68" ht="27" hidden="1" customHeight="1" x14ac:dyDescent="0.25">
      <c r="A457" s="54" t="s">
        <v>695</v>
      </c>
      <c r="B457" s="54" t="s">
        <v>696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9"/>
      <c r="R457" s="549"/>
      <c r="S457" s="549"/>
      <c r="T457" s="550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697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698</v>
      </c>
      <c r="B458" s="54" t="s">
        <v>699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9"/>
      <c r="R458" s="549"/>
      <c r="S458" s="549"/>
      <c r="T458" s="550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9"/>
      <c r="R459" s="549"/>
      <c r="S459" s="549"/>
      <c r="T459" s="550"/>
      <c r="U459" s="34"/>
      <c r="V459" s="34"/>
      <c r="W459" s="35" t="s">
        <v>69</v>
      </c>
      <c r="X459" s="539">
        <v>400</v>
      </c>
      <c r="Y459" s="540">
        <f>IFERROR(IF(X459="",0,CEILING((X459/$H459),1)*$H459),"")</f>
        <v>408</v>
      </c>
      <c r="Z459" s="36">
        <f>IFERROR(IF(Y459=0,"",ROUNDUP(Y459/H459,0)*0.01898),"")</f>
        <v>0.64532</v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413.66666666666669</v>
      </c>
      <c r="BN459" s="64">
        <f>IFERROR(Y459*I459/H459,"0")</f>
        <v>421.94</v>
      </c>
      <c r="BO459" s="64">
        <f>IFERROR(1/J459*(X459/H459),"0")</f>
        <v>0.52083333333333337</v>
      </c>
      <c r="BP459" s="64">
        <f>IFERROR(1/J459*(Y459/H459),"0")</f>
        <v>0.53125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7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9"/>
      <c r="R460" s="549"/>
      <c r="S460" s="549"/>
      <c r="T460" s="550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697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5"/>
      <c r="B461" s="554"/>
      <c r="C461" s="554"/>
      <c r="D461" s="554"/>
      <c r="E461" s="554"/>
      <c r="F461" s="554"/>
      <c r="G461" s="554"/>
      <c r="H461" s="554"/>
      <c r="I461" s="554"/>
      <c r="J461" s="554"/>
      <c r="K461" s="554"/>
      <c r="L461" s="554"/>
      <c r="M461" s="554"/>
      <c r="N461" s="554"/>
      <c r="O461" s="566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33.333333333333336</v>
      </c>
      <c r="Y461" s="541">
        <f>IFERROR(Y457/H457,"0")+IFERROR(Y458/H458,"0")+IFERROR(Y459/H459,"0")+IFERROR(Y460/H460,"0")</f>
        <v>34</v>
      </c>
      <c r="Z461" s="541">
        <f>IFERROR(IF(Z457="",0,Z457),"0")+IFERROR(IF(Z458="",0,Z458),"0")+IFERROR(IF(Z459="",0,Z459),"0")+IFERROR(IF(Z460="",0,Z460),"0")</f>
        <v>0.64532</v>
      </c>
      <c r="AA461" s="542"/>
      <c r="AB461" s="542"/>
      <c r="AC461" s="542"/>
    </row>
    <row r="462" spans="1:68" x14ac:dyDescent="0.2">
      <c r="A462" s="554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66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400</v>
      </c>
      <c r="Y462" s="541">
        <f>IFERROR(SUM(Y457:Y460),"0")</f>
        <v>408</v>
      </c>
      <c r="Z462" s="37"/>
      <c r="AA462" s="542"/>
      <c r="AB462" s="542"/>
      <c r="AC462" s="542"/>
    </row>
    <row r="463" spans="1:68" ht="14.25" hidden="1" customHeight="1" x14ac:dyDescent="0.25">
      <c r="A463" s="556" t="s">
        <v>135</v>
      </c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4"/>
      <c r="P463" s="554"/>
      <c r="Q463" s="554"/>
      <c r="R463" s="554"/>
      <c r="S463" s="554"/>
      <c r="T463" s="554"/>
      <c r="U463" s="554"/>
      <c r="V463" s="554"/>
      <c r="W463" s="554"/>
      <c r="X463" s="554"/>
      <c r="Y463" s="554"/>
      <c r="Z463" s="554"/>
      <c r="AA463" s="535"/>
      <c r="AB463" s="535"/>
      <c r="AC463" s="535"/>
    </row>
    <row r="464" spans="1:68" ht="27" hidden="1" customHeight="1" x14ac:dyDescent="0.25">
      <c r="A464" s="54" t="s">
        <v>706</v>
      </c>
      <c r="B464" s="54" t="s">
        <v>707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9"/>
      <c r="R464" s="549"/>
      <c r="S464" s="549"/>
      <c r="T464" s="550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708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709</v>
      </c>
      <c r="B465" s="54" t="s">
        <v>710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9"/>
      <c r="R465" s="549"/>
      <c r="S465" s="549"/>
      <c r="T465" s="550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9"/>
      <c r="R466" s="549"/>
      <c r="S466" s="549"/>
      <c r="T466" s="550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5"/>
      <c r="B467" s="554"/>
      <c r="C467" s="554"/>
      <c r="D467" s="554"/>
      <c r="E467" s="554"/>
      <c r="F467" s="554"/>
      <c r="G467" s="554"/>
      <c r="H467" s="554"/>
      <c r="I467" s="554"/>
      <c r="J467" s="554"/>
      <c r="K467" s="554"/>
      <c r="L467" s="554"/>
      <c r="M467" s="554"/>
      <c r="N467" s="554"/>
      <c r="O467" s="566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54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66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6" t="s">
        <v>64</v>
      </c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4"/>
      <c r="P469" s="554"/>
      <c r="Q469" s="554"/>
      <c r="R469" s="554"/>
      <c r="S469" s="554"/>
      <c r="T469" s="554"/>
      <c r="U469" s="554"/>
      <c r="V469" s="554"/>
      <c r="W469" s="554"/>
      <c r="X469" s="554"/>
      <c r="Y469" s="554"/>
      <c r="Z469" s="554"/>
      <c r="AA469" s="535"/>
      <c r="AB469" s="535"/>
      <c r="AC469" s="535"/>
    </row>
    <row r="470" spans="1:68" ht="27" hidden="1" customHeight="1" x14ac:dyDescent="0.25">
      <c r="A470" s="54" t="s">
        <v>715</v>
      </c>
      <c r="B470" s="54" t="s">
        <v>716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9"/>
      <c r="R470" s="549"/>
      <c r="S470" s="549"/>
      <c r="T470" s="550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718</v>
      </c>
      <c r="B471" s="54" t="s">
        <v>719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5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9"/>
      <c r="R471" s="549"/>
      <c r="S471" s="549"/>
      <c r="T471" s="550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5"/>
      <c r="B472" s="554"/>
      <c r="C472" s="554"/>
      <c r="D472" s="554"/>
      <c r="E472" s="554"/>
      <c r="F472" s="554"/>
      <c r="G472" s="554"/>
      <c r="H472" s="554"/>
      <c r="I472" s="554"/>
      <c r="J472" s="554"/>
      <c r="K472" s="554"/>
      <c r="L472" s="554"/>
      <c r="M472" s="554"/>
      <c r="N472" s="554"/>
      <c r="O472" s="566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54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66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6" t="s">
        <v>73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535"/>
      <c r="AB474" s="535"/>
      <c r="AC474" s="535"/>
    </row>
    <row r="475" spans="1:68" ht="27" customHeight="1" x14ac:dyDescent="0.25">
      <c r="A475" s="54" t="s">
        <v>721</v>
      </c>
      <c r="B475" s="54" t="s">
        <v>722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9"/>
      <c r="R475" s="549"/>
      <c r="S475" s="549"/>
      <c r="T475" s="550"/>
      <c r="U475" s="34"/>
      <c r="V475" s="34"/>
      <c r="W475" s="35" t="s">
        <v>69</v>
      </c>
      <c r="X475" s="539">
        <v>1200</v>
      </c>
      <c r="Y475" s="540">
        <f>IFERROR(IF(X475="",0,CEILING((X475/$H475),1)*$H475),"")</f>
        <v>1206</v>
      </c>
      <c r="Z475" s="36">
        <f>IFERROR(IF(Y475=0,"",ROUNDUP(Y475/H475,0)*0.01898),"")</f>
        <v>2.54332</v>
      </c>
      <c r="AA475" s="56"/>
      <c r="AB475" s="57"/>
      <c r="AC475" s="523" t="s">
        <v>723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1265.8666666666666</v>
      </c>
      <c r="BN475" s="64">
        <f>IFERROR(Y475*I475/H475,"0")</f>
        <v>1272.1959999999999</v>
      </c>
      <c r="BO475" s="64">
        <f>IFERROR(1/J475*(X475/H475),"0")</f>
        <v>2.0833333333333335</v>
      </c>
      <c r="BP475" s="64">
        <f>IFERROR(1/J475*(Y475/H475),"0")</f>
        <v>2.09375</v>
      </c>
    </row>
    <row r="476" spans="1:68" x14ac:dyDescent="0.2">
      <c r="A476" s="565"/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66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133.33333333333334</v>
      </c>
      <c r="Y476" s="541">
        <f>IFERROR(Y475/H475,"0")</f>
        <v>134</v>
      </c>
      <c r="Z476" s="541">
        <f>IFERROR(IF(Z475="",0,Z475),"0")</f>
        <v>2.54332</v>
      </c>
      <c r="AA476" s="542"/>
      <c r="AB476" s="542"/>
      <c r="AC476" s="542"/>
    </row>
    <row r="477" spans="1:68" x14ac:dyDescent="0.2">
      <c r="A477" s="554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66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1200</v>
      </c>
      <c r="Y477" s="541">
        <f>IFERROR(SUM(Y475:Y475),"0")</f>
        <v>1206</v>
      </c>
      <c r="Z477" s="37"/>
      <c r="AA477" s="542"/>
      <c r="AB477" s="542"/>
      <c r="AC477" s="542"/>
    </row>
    <row r="478" spans="1:68" ht="14.25" hidden="1" customHeight="1" x14ac:dyDescent="0.25">
      <c r="A478" s="556" t="s">
        <v>163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535"/>
      <c r="AB478" s="535"/>
      <c r="AC478" s="535"/>
    </row>
    <row r="479" spans="1:68" ht="27" hidden="1" customHeight="1" x14ac:dyDescent="0.25">
      <c r="A479" s="54" t="s">
        <v>724</v>
      </c>
      <c r="B479" s="54" t="s">
        <v>725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9"/>
      <c r="R479" s="549"/>
      <c r="S479" s="549"/>
      <c r="T479" s="550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726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727</v>
      </c>
      <c r="B480" s="54" t="s">
        <v>728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9"/>
      <c r="R480" s="549"/>
      <c r="S480" s="549"/>
      <c r="T480" s="550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5"/>
      <c r="B481" s="554"/>
      <c r="C481" s="554"/>
      <c r="D481" s="554"/>
      <c r="E481" s="554"/>
      <c r="F481" s="554"/>
      <c r="G481" s="554"/>
      <c r="H481" s="554"/>
      <c r="I481" s="554"/>
      <c r="J481" s="554"/>
      <c r="K481" s="554"/>
      <c r="L481" s="554"/>
      <c r="M481" s="554"/>
      <c r="N481" s="554"/>
      <c r="O481" s="566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54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66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53" t="s">
        <v>730</v>
      </c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4"/>
      <c r="P483" s="554"/>
      <c r="Q483" s="554"/>
      <c r="R483" s="554"/>
      <c r="S483" s="554"/>
      <c r="T483" s="554"/>
      <c r="U483" s="554"/>
      <c r="V483" s="554"/>
      <c r="W483" s="554"/>
      <c r="X483" s="554"/>
      <c r="Y483" s="554"/>
      <c r="Z483" s="554"/>
      <c r="AA483" s="534"/>
      <c r="AB483" s="534"/>
      <c r="AC483" s="534"/>
    </row>
    <row r="484" spans="1:68" ht="14.25" hidden="1" customHeight="1" x14ac:dyDescent="0.25">
      <c r="A484" s="556" t="s">
        <v>135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5"/>
      <c r="AB484" s="535"/>
      <c r="AC484" s="535"/>
    </row>
    <row r="485" spans="1:68" ht="27" hidden="1" customHeight="1" x14ac:dyDescent="0.25">
      <c r="A485" s="54" t="s">
        <v>731</v>
      </c>
      <c r="B485" s="54" t="s">
        <v>732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9"/>
      <c r="R485" s="549"/>
      <c r="S485" s="549"/>
      <c r="T485" s="550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733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5"/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66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54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66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0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704"/>
      <c r="P488" s="634" t="s">
        <v>734</v>
      </c>
      <c r="Q488" s="625"/>
      <c r="R488" s="625"/>
      <c r="S488" s="625"/>
      <c r="T488" s="625"/>
      <c r="U488" s="625"/>
      <c r="V488" s="626"/>
      <c r="W488" s="37" t="s">
        <v>69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11023.3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11129.64</v>
      </c>
      <c r="Z488" s="37"/>
      <c r="AA488" s="542"/>
      <c r="AB488" s="542"/>
      <c r="AC488" s="542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4"/>
      <c r="P489" s="634" t="s">
        <v>735</v>
      </c>
      <c r="Q489" s="625"/>
      <c r="R489" s="625"/>
      <c r="S489" s="625"/>
      <c r="T489" s="625"/>
      <c r="U489" s="625"/>
      <c r="V489" s="626"/>
      <c r="W489" s="37" t="s">
        <v>69</v>
      </c>
      <c r="X489" s="541">
        <f>IFERROR(SUM(BM22:BM485),"0")</f>
        <v>11708.684492254235</v>
      </c>
      <c r="Y489" s="541">
        <f>IFERROR(SUM(BN22:BN485),"0")</f>
        <v>11820.896000000002</v>
      </c>
      <c r="Z489" s="37"/>
      <c r="AA489" s="542"/>
      <c r="AB489" s="542"/>
      <c r="AC489" s="542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4"/>
      <c r="P490" s="634" t="s">
        <v>736</v>
      </c>
      <c r="Q490" s="625"/>
      <c r="R490" s="625"/>
      <c r="S490" s="625"/>
      <c r="T490" s="625"/>
      <c r="U490" s="625"/>
      <c r="V490" s="626"/>
      <c r="W490" s="37" t="s">
        <v>737</v>
      </c>
      <c r="X490" s="38">
        <f>ROUNDUP(SUM(BO22:BO485),0)</f>
        <v>20</v>
      </c>
      <c r="Y490" s="38">
        <f>ROUNDUP(SUM(BP22:BP485),0)</f>
        <v>20</v>
      </c>
      <c r="Z490" s="37"/>
      <c r="AA490" s="542"/>
      <c r="AB490" s="542"/>
      <c r="AC490" s="542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4"/>
      <c r="P491" s="634" t="s">
        <v>738</v>
      </c>
      <c r="Q491" s="625"/>
      <c r="R491" s="625"/>
      <c r="S491" s="625"/>
      <c r="T491" s="625"/>
      <c r="U491" s="625"/>
      <c r="V491" s="626"/>
      <c r="W491" s="37" t="s">
        <v>69</v>
      </c>
      <c r="X491" s="541">
        <f>GrossWeightTotal+PalletQtyTotal*25</f>
        <v>12208.684492254235</v>
      </c>
      <c r="Y491" s="541">
        <f>GrossWeightTotalR+PalletQtyTotalR*25</f>
        <v>12320.896000000002</v>
      </c>
      <c r="Z491" s="37"/>
      <c r="AA491" s="542"/>
      <c r="AB491" s="542"/>
      <c r="AC491" s="542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4"/>
      <c r="P492" s="634" t="s">
        <v>739</v>
      </c>
      <c r="Q492" s="625"/>
      <c r="R492" s="625"/>
      <c r="S492" s="625"/>
      <c r="T492" s="625"/>
      <c r="U492" s="625"/>
      <c r="V492" s="626"/>
      <c r="W492" s="37" t="s">
        <v>737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2024.3891022770329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2040</v>
      </c>
      <c r="Z492" s="37"/>
      <c r="AA492" s="542"/>
      <c r="AB492" s="542"/>
      <c r="AC492" s="542"/>
    </row>
    <row r="493" spans="1:68" ht="14.25" hidden="1" customHeight="1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4"/>
      <c r="P493" s="634" t="s">
        <v>740</v>
      </c>
      <c r="Q493" s="625"/>
      <c r="R493" s="625"/>
      <c r="S493" s="625"/>
      <c r="T493" s="625"/>
      <c r="U493" s="625"/>
      <c r="V493" s="626"/>
      <c r="W493" s="39" t="s">
        <v>741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22.16263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742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251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532</v>
      </c>
      <c r="T495" s="592"/>
      <c r="U495" s="571" t="s">
        <v>583</v>
      </c>
      <c r="V495" s="591"/>
      <c r="W495" s="592"/>
      <c r="X495" s="536" t="s">
        <v>634</v>
      </c>
      <c r="Y495" s="571" t="s">
        <v>694</v>
      </c>
      <c r="Z495" s="592"/>
      <c r="AB495" s="52"/>
      <c r="AC495" s="52"/>
      <c r="AF495" s="537"/>
    </row>
    <row r="496" spans="1:68" ht="14.25" customHeight="1" thickTop="1" x14ac:dyDescent="0.2">
      <c r="A496" s="601" t="s">
        <v>743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252</v>
      </c>
      <c r="J496" s="571" t="s">
        <v>297</v>
      </c>
      <c r="K496" s="571" t="s">
        <v>356</v>
      </c>
      <c r="L496" s="571" t="s">
        <v>398</v>
      </c>
      <c r="M496" s="571" t="s">
        <v>414</v>
      </c>
      <c r="N496" s="537"/>
      <c r="O496" s="571" t="s">
        <v>425</v>
      </c>
      <c r="P496" s="571" t="s">
        <v>434</v>
      </c>
      <c r="Q496" s="571" t="s">
        <v>448</v>
      </c>
      <c r="R496" s="571" t="s">
        <v>522</v>
      </c>
      <c r="S496" s="571" t="s">
        <v>533</v>
      </c>
      <c r="T496" s="571" t="s">
        <v>567</v>
      </c>
      <c r="U496" s="571" t="s">
        <v>584</v>
      </c>
      <c r="V496" s="571" t="s">
        <v>615</v>
      </c>
      <c r="W496" s="571" t="s">
        <v>630</v>
      </c>
      <c r="X496" s="571" t="s">
        <v>634</v>
      </c>
      <c r="Y496" s="571" t="s">
        <v>694</v>
      </c>
      <c r="Z496" s="571" t="s">
        <v>730</v>
      </c>
      <c r="AB496" s="52"/>
      <c r="AC496" s="52"/>
      <c r="AF496" s="537"/>
    </row>
    <row r="497" spans="1:32" ht="13.5" customHeight="1" thickBot="1" x14ac:dyDescent="0.25">
      <c r="A497" s="602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744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228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673.2</v>
      </c>
      <c r="E498" s="46">
        <f>IFERROR(Y85*1,"0")+IFERROR(Y86*1,"0")+IFERROR(Y87*1,"0")+IFERROR(Y91*1,"0")+IFERROR(Y92*1,"0")+IFERROR(Y93*1,"0")+IFERROR(Y94*1,"0")</f>
        <v>743.40000000000009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804.59999999999991</v>
      </c>
      <c r="G498" s="46">
        <f>IFERROR(Y124*1,"0")+IFERROR(Y125*1,"0")+IFERROR(Y129*1,"0")+IFERROR(Y130*1,"0")+IFERROR(Y134*1,"0")+IFERROR(Y135*1,"0")</f>
        <v>75.92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279.3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893.40000000000009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144.39999999999998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81.599999999999994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400.8</v>
      </c>
      <c r="R498" s="46">
        <f>IFERROR(Y334*1,"0")+IFERROR(Y335*1,"0")+IFERROR(Y336*1,"0")</f>
        <v>875.7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3951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364.32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1614</v>
      </c>
      <c r="Z498" s="46">
        <f>IFERROR(Y485*1,"0")</f>
        <v>0</v>
      </c>
      <c r="AB498" s="52"/>
      <c r="AC498" s="52"/>
      <c r="AF498" s="537"/>
    </row>
  </sheetData>
  <sheetProtection algorithmName="SHA-512" hashValue="W+O4siZ4YXqSEc5N34jhOgSS5DeTPwp7FDdNyN6JAAgMF/lk6l0HOp1QrZu8KnX3Sl2e/XS87xNuxAUX55tBUw==" saltValue="zYwnMC9l+1epbj79IcWAG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00,00"/>
        <filter val="10,00"/>
        <filter val="100,00"/>
        <filter val="105,00"/>
        <filter val="11 023,30"/>
        <filter val="11 708,68"/>
        <filter val="12 208,68"/>
        <filter val="12,50"/>
        <filter val="120,00"/>
        <filter val="120,24"/>
        <filter val="133,33"/>
        <filter val="135,00"/>
        <filter val="140,00"/>
        <filter val="141,36"/>
        <filter val="16,67"/>
        <filter val="160,00"/>
        <filter val="18,00"/>
        <filter val="18,62"/>
        <filter val="19,80"/>
        <filter val="192,72"/>
        <filter val="2 024,39"/>
        <filter val="20"/>
        <filter val="20,00"/>
        <filter val="200,00"/>
        <filter val="200,86"/>
        <filter val="220,00"/>
        <filter val="225,00"/>
        <filter val="235,00"/>
        <filter val="277,50"/>
        <filter val="3 000,00"/>
        <filter val="3,33"/>
        <filter val="30,00"/>
        <filter val="300,00"/>
        <filter val="315,00"/>
        <filter val="320,00"/>
        <filter val="33,00"/>
        <filter val="33,33"/>
        <filter val="350,00"/>
        <filter val="360,00"/>
        <filter val="39,26"/>
        <filter val="40,00"/>
        <filter val="40,84"/>
        <filter val="400,00"/>
        <filter val="416,67"/>
        <filter val="425,00"/>
        <filter val="50,00"/>
        <filter val="515,00"/>
        <filter val="52,50"/>
        <filter val="525,00"/>
        <filter val="540,00"/>
        <filter val="55,56"/>
        <filter val="59,26"/>
        <filter val="60,00"/>
        <filter val="68,52"/>
        <filter val="70,00"/>
        <filter val="700,00"/>
        <filter val="72,16"/>
        <filter val="778,00"/>
        <filter val="80,00"/>
        <filter val="875,00"/>
        <filter val="90,00"/>
        <filter val="900,00"/>
      </filters>
    </filterColumn>
    <filterColumn colId="29" showButton="0"/>
    <filterColumn colId="30" showButton="0"/>
  </autoFilter>
  <mergeCells count="872"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420:T420"/>
    <mergeCell ref="P146:T146"/>
    <mergeCell ref="D323:E323"/>
    <mergeCell ref="A136:O137"/>
    <mergeCell ref="A192:O193"/>
    <mergeCell ref="D384:E384"/>
    <mergeCell ref="X17:X18"/>
    <mergeCell ref="D408:E408"/>
    <mergeCell ref="P216:V216"/>
    <mergeCell ref="A333:Z333"/>
    <mergeCell ref="D54:E54"/>
    <mergeCell ref="D271:E271"/>
    <mergeCell ref="V12:W12"/>
    <mergeCell ref="D191:E191"/>
    <mergeCell ref="U17:V17"/>
    <mergeCell ref="Y17:Y18"/>
    <mergeCell ref="N17:N18"/>
    <mergeCell ref="F17:F18"/>
    <mergeCell ref="A31:O32"/>
    <mergeCell ref="A33:Z33"/>
    <mergeCell ref="M17:M18"/>
    <mergeCell ref="O17:O18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P385:T385"/>
    <mergeCell ref="P199:T199"/>
    <mergeCell ref="P131:V131"/>
    <mergeCell ref="P410:V410"/>
    <mergeCell ref="P102:T102"/>
    <mergeCell ref="P196:T196"/>
    <mergeCell ref="P281:V281"/>
    <mergeCell ref="D226:E226"/>
    <mergeCell ref="D164:E164"/>
    <mergeCell ref="P62:T62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132:V132"/>
    <mergeCell ref="P72:T72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A478:Z478"/>
    <mergeCell ref="P436:T436"/>
    <mergeCell ref="P379:V379"/>
    <mergeCell ref="D196:E196"/>
    <mergeCell ref="A269:Z269"/>
    <mergeCell ref="A469:Z469"/>
    <mergeCell ref="P336:T336"/>
    <mergeCell ref="P187:V187"/>
    <mergeCell ref="P430:T430"/>
    <mergeCell ref="P350:V350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P307:T307"/>
    <mergeCell ref="P444:T444"/>
    <mergeCell ref="D421:E421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D213:E213"/>
    <mergeCell ref="P192:V192"/>
    <mergeCell ref="P321:T321"/>
    <mergeCell ref="P125:T125"/>
    <mergeCell ref="Z496:Z497"/>
    <mergeCell ref="A454:Z454"/>
    <mergeCell ref="D389:E389"/>
    <mergeCell ref="S495:T495"/>
    <mergeCell ref="D299:E299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D424:E424"/>
    <mergeCell ref="T496:T497"/>
    <mergeCell ref="Q496:Q497"/>
    <mergeCell ref="S496:S497"/>
    <mergeCell ref="A155:Z155"/>
    <mergeCell ref="P268:V268"/>
    <mergeCell ref="D151:E151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17:H18"/>
    <mergeCell ref="A220:O221"/>
    <mergeCell ref="P346:T346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D85:E85"/>
    <mergeCell ref="A285:O286"/>
    <mergeCell ref="P211:T211"/>
    <mergeCell ref="P309:T309"/>
    <mergeCell ref="D74:E74"/>
    <mergeCell ref="D93:E93"/>
    <mergeCell ref="A98:Z98"/>
    <mergeCell ref="D52:E52"/>
    <mergeCell ref="P110:V110"/>
    <mergeCell ref="AA17:AA18"/>
    <mergeCell ref="D292:E292"/>
    <mergeCell ref="D227:E227"/>
    <mergeCell ref="P23:V23"/>
    <mergeCell ref="A262:Z26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D425:E425"/>
    <mergeCell ref="A139:Z139"/>
    <mergeCell ref="D130:E130"/>
    <mergeCell ref="P283:T283"/>
    <mergeCell ref="D264:E264"/>
    <mergeCell ref="D391:E391"/>
    <mergeCell ref="P370:V370"/>
    <mergeCell ref="A369:O370"/>
    <mergeCell ref="D328:E328"/>
    <mergeCell ref="A270:Z270"/>
    <mergeCell ref="D134:E134"/>
    <mergeCell ref="A379:O380"/>
    <mergeCell ref="A330:O331"/>
    <mergeCell ref="P249:T249"/>
    <mergeCell ref="A365:Z365"/>
    <mergeCell ref="D206:E206"/>
    <mergeCell ref="P390:T390"/>
    <mergeCell ref="D298:E298"/>
    <mergeCell ref="P404:V404"/>
    <mergeCell ref="A351:Z351"/>
    <mergeCell ref="D273:E273"/>
    <mergeCell ref="P327:T327"/>
    <mergeCell ref="A160:Z160"/>
    <mergeCell ref="P224:T224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D460:E460"/>
    <mergeCell ref="A474:Z474"/>
    <mergeCell ref="D466:E466"/>
    <mergeCell ref="P450:T450"/>
    <mergeCell ref="D414:E414"/>
    <mergeCell ref="D352:E352"/>
    <mergeCell ref="P219:T219"/>
    <mergeCell ref="D91:E91"/>
    <mergeCell ref="D162:E162"/>
    <mergeCell ref="P272:T272"/>
    <mergeCell ref="D327:E327"/>
    <mergeCell ref="P210:T210"/>
    <mergeCell ref="A267:O268"/>
    <mergeCell ref="P308:T308"/>
    <mergeCell ref="P185:T185"/>
    <mergeCell ref="P380:V380"/>
    <mergeCell ref="D168:E168"/>
    <mergeCell ref="D180:E180"/>
    <mergeCell ref="P168:T168"/>
    <mergeCell ref="P193:V193"/>
    <mergeCell ref="A276:Z276"/>
    <mergeCell ref="A418:Z418"/>
    <mergeCell ref="D283:E283"/>
    <mergeCell ref="A356:Z356"/>
    <mergeCell ref="D112:E112"/>
    <mergeCell ref="P441:T441"/>
    <mergeCell ref="A431:O432"/>
    <mergeCell ref="P82:V82"/>
    <mergeCell ref="P303:T303"/>
    <mergeCell ref="A376:Z376"/>
    <mergeCell ref="A105:Z105"/>
    <mergeCell ref="D224:E224"/>
    <mergeCell ref="A398:O399"/>
    <mergeCell ref="P230:T230"/>
    <mergeCell ref="D211:E211"/>
    <mergeCell ref="D27:E27"/>
    <mergeCell ref="P208:T208"/>
    <mergeCell ref="D396:E396"/>
    <mergeCell ref="A69:O70"/>
    <mergeCell ref="P66:T66"/>
    <mergeCell ref="A83:Z83"/>
    <mergeCell ref="P152:V152"/>
    <mergeCell ref="D140:E140"/>
    <mergeCell ref="A340:Z340"/>
    <mergeCell ref="P104:V104"/>
    <mergeCell ref="P27:T27"/>
    <mergeCell ref="D75:E75"/>
    <mergeCell ref="P91:T91"/>
    <mergeCell ref="P51:T51"/>
    <mergeCell ref="P126:V126"/>
    <mergeCell ref="P322:T322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H1:Q1"/>
    <mergeCell ref="P280:V280"/>
    <mergeCell ref="P109:V109"/>
    <mergeCell ref="P274:V274"/>
    <mergeCell ref="A366:Z366"/>
    <mergeCell ref="D214:E214"/>
    <mergeCell ref="D284:E284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Y495:Z495"/>
    <mergeCell ref="P329:T329"/>
    <mergeCell ref="A148:O149"/>
    <mergeCell ref="P477:V477"/>
    <mergeCell ref="D124:E124"/>
    <mergeCell ref="P56:T56"/>
    <mergeCell ref="D195:E195"/>
    <mergeCell ref="P231:T231"/>
    <mergeCell ref="D423:E423"/>
    <mergeCell ref="P302:T302"/>
    <mergeCell ref="D174:E174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197:T197"/>
    <mergeCell ref="A354:O355"/>
    <mergeCell ref="P53:T53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A84:Z84"/>
    <mergeCell ref="P330:V330"/>
    <mergeCell ref="D289:E289"/>
    <mergeCell ref="P159:V159"/>
    <mergeCell ref="P209:T209"/>
    <mergeCell ref="P147:T147"/>
    <mergeCell ref="P445:T445"/>
    <mergeCell ref="P79:T79"/>
    <mergeCell ref="P73:T73"/>
    <mergeCell ref="P315:T315"/>
    <mergeCell ref="P96:V96"/>
    <mergeCell ref="P325:V325"/>
    <mergeCell ref="A150:Z150"/>
    <mergeCell ref="I495:R495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D426:E426"/>
    <mergeCell ref="P86:T86"/>
    <mergeCell ref="P328:T328"/>
    <mergeCell ref="P384:T384"/>
    <mergeCell ref="P213:T213"/>
    <mergeCell ref="P157:T157"/>
    <mergeCell ref="A144:Z144"/>
    <mergeCell ref="A120:O121"/>
    <mergeCell ref="D378:E378"/>
    <mergeCell ref="D129:E129"/>
    <mergeCell ref="D406:E406"/>
    <mergeCell ref="P251:V251"/>
    <mergeCell ref="D357:E357"/>
    <mergeCell ref="D258:E258"/>
    <mergeCell ref="P235:V235"/>
    <mergeCell ref="P402:T402"/>
    <mergeCell ref="D301:E301"/>
    <mergeCell ref="D245:E245"/>
    <mergeCell ref="P188:V188"/>
    <mergeCell ref="D147:E147"/>
    <mergeCell ref="H9:I9"/>
    <mergeCell ref="P24:V24"/>
    <mergeCell ref="A49:Z49"/>
    <mergeCell ref="P260:V260"/>
    <mergeCell ref="P89:V89"/>
    <mergeCell ref="A65:Z65"/>
    <mergeCell ref="V10:W10"/>
    <mergeCell ref="D53:E53"/>
    <mergeCell ref="A50:Z50"/>
    <mergeCell ref="D60:E60"/>
    <mergeCell ref="W17:W18"/>
    <mergeCell ref="D9:E9"/>
    <mergeCell ref="F9:G9"/>
    <mergeCell ref="D169:E169"/>
    <mergeCell ref="P353:T353"/>
    <mergeCell ref="P204:V20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8:X389 X391 X414 X420 X423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745</v>
      </c>
      <c r="H1" s="52"/>
    </row>
    <row r="3" spans="2:8" x14ac:dyDescent="0.2">
      <c r="B3" s="47" t="s">
        <v>746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747</v>
      </c>
      <c r="D6" s="47" t="s">
        <v>748</v>
      </c>
      <c r="E6" s="47"/>
    </row>
    <row r="8" spans="2:8" x14ac:dyDescent="0.2">
      <c r="B8" s="47" t="s">
        <v>19</v>
      </c>
      <c r="C8" s="47" t="s">
        <v>747</v>
      </c>
      <c r="D8" s="47"/>
      <c r="E8" s="47"/>
    </row>
    <row r="10" spans="2:8" x14ac:dyDescent="0.2">
      <c r="B10" s="47" t="s">
        <v>749</v>
      </c>
      <c r="C10" s="47"/>
      <c r="D10" s="47"/>
      <c r="E10" s="47"/>
    </row>
    <row r="11" spans="2:8" x14ac:dyDescent="0.2">
      <c r="B11" s="47" t="s">
        <v>750</v>
      </c>
      <c r="C11" s="47"/>
      <c r="D11" s="47"/>
      <c r="E11" s="47"/>
    </row>
    <row r="12" spans="2:8" x14ac:dyDescent="0.2">
      <c r="B12" s="47" t="s">
        <v>751</v>
      </c>
      <c r="C12" s="47"/>
      <c r="D12" s="47"/>
      <c r="E12" s="47"/>
    </row>
    <row r="13" spans="2:8" x14ac:dyDescent="0.2">
      <c r="B13" s="47" t="s">
        <v>752</v>
      </c>
      <c r="C13" s="47"/>
      <c r="D13" s="47"/>
      <c r="E13" s="47"/>
    </row>
    <row r="14" spans="2:8" x14ac:dyDescent="0.2">
      <c r="B14" s="47" t="s">
        <v>753</v>
      </c>
      <c r="C14" s="47"/>
      <c r="D14" s="47"/>
      <c r="E14" s="47"/>
    </row>
    <row r="15" spans="2:8" x14ac:dyDescent="0.2">
      <c r="B15" s="47" t="s">
        <v>754</v>
      </c>
      <c r="C15" s="47"/>
      <c r="D15" s="47"/>
      <c r="E15" s="47"/>
    </row>
    <row r="16" spans="2:8" x14ac:dyDescent="0.2">
      <c r="B16" s="47" t="s">
        <v>755</v>
      </c>
      <c r="C16" s="47"/>
      <c r="D16" s="47"/>
      <c r="E16" s="47"/>
    </row>
    <row r="17" spans="2:5" x14ac:dyDescent="0.2">
      <c r="B17" s="47" t="s">
        <v>756</v>
      </c>
      <c r="C17" s="47"/>
      <c r="D17" s="47"/>
      <c r="E17" s="47"/>
    </row>
    <row r="18" spans="2:5" x14ac:dyDescent="0.2">
      <c r="B18" s="47" t="s">
        <v>757</v>
      </c>
      <c r="C18" s="47"/>
      <c r="D18" s="47"/>
      <c r="E18" s="47"/>
    </row>
    <row r="19" spans="2:5" x14ac:dyDescent="0.2">
      <c r="B19" s="47" t="s">
        <v>758</v>
      </c>
      <c r="C19" s="47"/>
      <c r="D19" s="47"/>
      <c r="E19" s="47"/>
    </row>
    <row r="20" spans="2:5" x14ac:dyDescent="0.2">
      <c r="B20" s="47" t="s">
        <v>759</v>
      </c>
      <c r="C20" s="47"/>
      <c r="D20" s="47"/>
      <c r="E20" s="47"/>
    </row>
  </sheetData>
  <sheetProtection algorithmName="SHA-512" hashValue="LxWtGco2CWqg5YHYdCqbo6vhExLfVtMbOEKQY0MNvurS4GEwy8P7bkBvSsDOthwkdl0Kg458e+ih5RmbTSevYA==" saltValue="aVk9yet3IEWJlbRV+Fgm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