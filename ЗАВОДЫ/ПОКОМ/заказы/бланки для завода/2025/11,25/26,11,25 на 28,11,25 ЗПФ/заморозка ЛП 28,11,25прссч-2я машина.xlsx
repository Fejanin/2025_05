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2A6E321-DEB8-4D47-8859-BE5C8F3FA7D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Y249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BP169" i="1" s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BP128" i="1" s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P122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Z114" i="1" s="1"/>
  <c r="Y113" i="1"/>
  <c r="Y114" i="1" s="1"/>
  <c r="P113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BP86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Y57" i="1"/>
  <c r="Y60" i="1" s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Z30" i="1" s="1"/>
  <c r="Y28" i="1"/>
  <c r="P28" i="1"/>
  <c r="X24" i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X276" i="1" l="1"/>
  <c r="Z82" i="1"/>
  <c r="Z92" i="1"/>
  <c r="BN86" i="1"/>
  <c r="BN88" i="1"/>
  <c r="BN90" i="1"/>
  <c r="Z98" i="1"/>
  <c r="Z110" i="1"/>
  <c r="BN102" i="1"/>
  <c r="BN104" i="1"/>
  <c r="BN106" i="1"/>
  <c r="BN108" i="1"/>
  <c r="Z124" i="1"/>
  <c r="Z130" i="1"/>
  <c r="BN128" i="1"/>
  <c r="Z136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BN174" i="1"/>
  <c r="BP174" i="1"/>
  <c r="Y175" i="1"/>
  <c r="BN180" i="1"/>
  <c r="BP180" i="1"/>
  <c r="Y181" i="1"/>
  <c r="Z188" i="1"/>
  <c r="BN184" i="1"/>
  <c r="BN185" i="1"/>
  <c r="BN187" i="1"/>
  <c r="Y196" i="1"/>
  <c r="Z196" i="1"/>
  <c r="Y197" i="1"/>
  <c r="X275" i="1"/>
  <c r="X277" i="1" s="1"/>
  <c r="X278" i="1"/>
  <c r="X274" i="1"/>
  <c r="Y31" i="1"/>
  <c r="BN29" i="1"/>
  <c r="Y38" i="1"/>
  <c r="Z45" i="1"/>
  <c r="BN41" i="1"/>
  <c r="BP41" i="1"/>
  <c r="BN43" i="1"/>
  <c r="Z59" i="1"/>
  <c r="Z65" i="1"/>
  <c r="BN62" i="1"/>
  <c r="BP62" i="1"/>
  <c r="BN64" i="1"/>
  <c r="Y71" i="1"/>
  <c r="Y83" i="1"/>
  <c r="BN81" i="1"/>
  <c r="Y92" i="1"/>
  <c r="Y99" i="1"/>
  <c r="BN97" i="1"/>
  <c r="Y110" i="1"/>
  <c r="Y125" i="1"/>
  <c r="BN123" i="1"/>
  <c r="Y130" i="1"/>
  <c r="BN135" i="1"/>
  <c r="Y163" i="1"/>
  <c r="Y164" i="1"/>
  <c r="Z171" i="1"/>
  <c r="BN169" i="1"/>
  <c r="Y189" i="1"/>
  <c r="BN192" i="1"/>
  <c r="BP192" i="1"/>
  <c r="BN194" i="1"/>
  <c r="Z212" i="1"/>
  <c r="BN210" i="1"/>
  <c r="Z218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P245" i="1"/>
  <c r="BN247" i="1"/>
  <c r="Y253" i="1"/>
  <c r="Y254" i="1"/>
  <c r="Z259" i="1"/>
  <c r="BN257" i="1"/>
  <c r="Z272" i="1"/>
  <c r="Z279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11" i="1"/>
  <c r="Y115" i="1"/>
  <c r="Y119" i="1"/>
  <c r="Y124" i="1"/>
  <c r="Y131" i="1"/>
  <c r="Y137" i="1"/>
  <c r="BP134" i="1"/>
  <c r="Y171" i="1"/>
  <c r="BP168" i="1"/>
  <c r="BN168" i="1"/>
  <c r="BP170" i="1"/>
  <c r="BN170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09" i="1"/>
  <c r="BN113" i="1"/>
  <c r="BP113" i="1"/>
  <c r="BN117" i="1"/>
  <c r="BP117" i="1"/>
  <c r="BN122" i="1"/>
  <c r="BP122" i="1"/>
  <c r="BN129" i="1"/>
  <c r="BN134" i="1"/>
  <c r="Y136" i="1"/>
  <c r="BP162" i="1"/>
  <c r="BN162" i="1"/>
  <c r="Y172" i="1"/>
  <c r="BP186" i="1"/>
  <c r="BN186" i="1"/>
  <c r="Y188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8" i="1" l="1"/>
  <c r="Y275" i="1"/>
  <c r="Y274" i="1"/>
  <c r="Y276" i="1"/>
  <c r="B287" i="1" l="1"/>
  <c r="Y277" i="1"/>
  <c r="C287" i="1"/>
  <c r="A287" i="1"/>
</calcChain>
</file>

<file path=xl/sharedStrings.xml><?xml version="1.0" encoding="utf-8"?>
<sst xmlns="http://schemas.openxmlformats.org/spreadsheetml/2006/main" count="1230" uniqueCount="398">
  <si>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</si>
  <si>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</si>
  <si>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</si>
  <si>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</si>
  <si>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</si>
  <si>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15.11.2025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</si>
  <si>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</si>
  <si>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</si>
  <si>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</si>
  <si>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</si>
  <si>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</si>
  <si>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</si>
  <si>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</si>
  <si>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</si>
  <si>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</si>
  <si>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</si>
  <si>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</si>
  <si>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</si>
  <si>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</si>
  <si>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</si>
  <si>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</si>
  <si>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</si>
  <si>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</si>
  <si>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</si>
  <si>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</si>
  <si>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</si>
  <si>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</si>
  <si>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</si>
  <si>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</si>
  <si>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</si>
  <si>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</si>
  <si>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</si>
  <si>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</si>
  <si>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</si>
  <si>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</si>
  <si>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</si>
  <si>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</si>
  <si>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</si>
  <si>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</si>
  <si>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</si>
  <si>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</si>
  <si>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</si>
  <si>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</si>
  <si>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</si>
  <si>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</si>
  <si>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</si>
  <si>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</si>
  <si>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</si>
  <si>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</si>
  <si>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</si>
  <si>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</si>
  <si>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</si>
  <si>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</si>
  <si>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</si>
  <si>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</si>
  <si>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</si>
  <si>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</si>
  <si>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</si>
  <si>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</si>
  <si>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</si>
  <si>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</si>
  <si>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</si>
  <si>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</si>
  <si>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</si>
  <si>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</si>
  <si>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</si>
  <si>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</si>
  <si>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</si>
  <si>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</si>
  <si>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</si>
  <si>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</si>
  <si>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</si>
  <si>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</si>
  <si>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</si>
  <si>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</si>
  <si>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</si>
  <si>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</si>
  <si>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</si>
  <si>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</si>
  <si>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</si>
  <si>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</si>
  <si>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</si>
  <si>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</si>
  <si>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</si>
  <si>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</si>
  <si>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</si>
  <si>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</si>
  <si>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Палетта, мин. 1</t>
  </si>
  <si>
    <t>Палетта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</si>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</sst>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51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30" t="s">
        <v>8</v>
      </c>
      <c r="B5" s="318"/>
      <c r="C5" s="319"/>
      <c r="D5" s="325"/>
      <c r="E5" s="326"/>
      <c r="F5" s="440" t="s">
        <v>9</v>
      </c>
      <c r="G5" s="319"/>
      <c r="H5" s="325" t="s">
        <v>397</v>
      </c>
      <c r="I5" s="376"/>
      <c r="J5" s="376"/>
      <c r="K5" s="376"/>
      <c r="L5" s="376"/>
      <c r="M5" s="326"/>
      <c r="N5" s="61"/>
      <c r="P5" s="24" t="s">
        <v>10</v>
      </c>
      <c r="Q5" s="445">
        <v>45989</v>
      </c>
      <c r="R5" s="349"/>
      <c r="T5" s="369" t="s">
        <v>11</v>
      </c>
      <c r="U5" s="370"/>
      <c r="V5" s="371" t="s">
        <v>12</v>
      </c>
      <c r="W5" s="349"/>
      <c r="AB5" s="51"/>
      <c r="AC5" s="51"/>
      <c r="AD5" s="51"/>
      <c r="AE5" s="51"/>
    </row>
    <row r="6" spans="1:32" s="265" customFormat="1" ht="24" customHeight="1" x14ac:dyDescent="0.2">
      <c r="A6" s="330" t="s">
        <v>13</v>
      </c>
      <c r="B6" s="318"/>
      <c r="C6" s="319"/>
      <c r="D6" s="407" t="s">
        <v>14</v>
      </c>
      <c r="E6" s="408"/>
      <c r="F6" s="408"/>
      <c r="G6" s="408"/>
      <c r="H6" s="408"/>
      <c r="I6" s="408"/>
      <c r="J6" s="408"/>
      <c r="K6" s="408"/>
      <c r="L6" s="408"/>
      <c r="M6" s="349"/>
      <c r="N6" s="62"/>
      <c r="P6" s="24" t="s">
        <v>15</v>
      </c>
      <c r="Q6" s="448" t="str">
        <f>IF(Q5=0," ",CHOOSE(WEEKDAY(Q5,2),"Понедельник","Вторник","Среда","Четверг","Пятница","Суббота","Воскресенье"))</f>
        <v>Пятница</v>
      </c>
      <c r="R6" s="285"/>
      <c r="T6" s="377" t="s">
        <v>16</v>
      </c>
      <c r="U6" s="370"/>
      <c r="V6" s="395" t="s">
        <v>17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0"/>
      <c r="U7" s="370"/>
      <c r="V7" s="396"/>
      <c r="W7" s="397"/>
      <c r="AB7" s="51"/>
      <c r="AC7" s="51"/>
      <c r="AD7" s="51"/>
      <c r="AE7" s="51"/>
    </row>
    <row r="8" spans="1:32" s="265" customFormat="1" ht="25.5" customHeight="1" x14ac:dyDescent="0.2">
      <c r="A8" s="452" t="s">
        <v>18</v>
      </c>
      <c r="B8" s="277"/>
      <c r="C8" s="278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3">
        <v>0.41666666666666669</v>
      </c>
      <c r="R8" s="307"/>
      <c r="T8" s="280"/>
      <c r="U8" s="370"/>
      <c r="V8" s="396"/>
      <c r="W8" s="397"/>
      <c r="AB8" s="51"/>
      <c r="AC8" s="51"/>
      <c r="AD8" s="51"/>
      <c r="AE8" s="51"/>
    </row>
    <row r="9" spans="1:32" s="265" customFormat="1" ht="39.950000000000003" customHeight="1" x14ac:dyDescent="0.2">
      <c r="A9" s="3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7"/>
      <c r="E9" s="275"/>
      <c r="F9" s="3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6"/>
      <c r="P9" s="26" t="s">
        <v>21</v>
      </c>
      <c r="Q9" s="328"/>
      <c r="R9" s="329"/>
      <c r="T9" s="280"/>
      <c r="U9" s="370"/>
      <c r="V9" s="398"/>
      <c r="W9" s="399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7"/>
      <c r="E10" s="275"/>
      <c r="F10" s="3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375" t="str">
        <f>IFERROR(VLOOKUP($D$10,Proxy,2,FALSE),"")</f>
        <v/>
      </c>
      <c r="I10" s="280"/>
      <c r="J10" s="280"/>
      <c r="K10" s="280"/>
      <c r="L10" s="280"/>
      <c r="M10" s="280"/>
      <c r="N10" s="264"/>
      <c r="P10" s="26" t="s">
        <v>22</v>
      </c>
      <c r="Q10" s="378"/>
      <c r="R10" s="379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21" t="s">
        <v>28</v>
      </c>
      <c r="W11" s="329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62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3"/>
      <c r="R12" s="307"/>
      <c r="S12" s="23"/>
      <c r="U12" s="24"/>
      <c r="V12" s="293"/>
      <c r="W12" s="280"/>
      <c r="AB12" s="51"/>
      <c r="AC12" s="51"/>
      <c r="AD12" s="51"/>
      <c r="AE12" s="51"/>
    </row>
    <row r="13" spans="1:32" s="265" customFormat="1" ht="23.25" customHeight="1" x14ac:dyDescent="0.2">
      <c r="A13" s="362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21"/>
      <c r="R13" s="3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62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0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6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6" t="s">
        <v>38</v>
      </c>
      <c r="D17" s="297" t="s">
        <v>39</v>
      </c>
      <c r="E17" s="338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7"/>
      <c r="R17" s="337"/>
      <c r="S17" s="337"/>
      <c r="T17" s="338"/>
      <c r="U17" s="451" t="s">
        <v>51</v>
      </c>
      <c r="V17" s="319"/>
      <c r="W17" s="297" t="s">
        <v>52</v>
      </c>
      <c r="X17" s="297" t="s">
        <v>53</v>
      </c>
      <c r="Y17" s="364" t="s">
        <v>54</v>
      </c>
      <c r="Z17" s="403" t="s">
        <v>55</v>
      </c>
      <c r="AA17" s="405" t="s">
        <v>56</v>
      </c>
      <c r="AB17" s="405" t="s">
        <v>57</v>
      </c>
      <c r="AC17" s="405" t="s">
        <v>58</v>
      </c>
      <c r="AD17" s="405" t="s">
        <v>59</v>
      </c>
      <c r="AE17" s="435"/>
      <c r="AF17" s="436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9"/>
      <c r="E18" s="341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9"/>
      <c r="Q18" s="340"/>
      <c r="R18" s="340"/>
      <c r="S18" s="340"/>
      <c r="T18" s="341"/>
      <c r="U18" s="70" t="s">
        <v>61</v>
      </c>
      <c r="V18" s="70" t="s">
        <v>62</v>
      </c>
      <c r="W18" s="298"/>
      <c r="X18" s="298"/>
      <c r="Y18" s="365"/>
      <c r="Z18" s="404"/>
      <c r="AA18" s="406"/>
      <c r="AB18" s="406"/>
      <c r="AC18" s="406"/>
      <c r="AD18" s="437"/>
      <c r="AE18" s="438"/>
      <c r="AF18" s="439"/>
      <c r="AG18" s="69"/>
      <c r="BD18" s="68"/>
    </row>
    <row r="19" spans="1:68" ht="27.75" hidden="1" customHeight="1" x14ac:dyDescent="0.2">
      <c r="A19" s="320" t="s">
        <v>63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79" t="s">
        <v>63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304" t="s">
        <v>64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1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7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7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75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79" t="s">
        <v>76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304" t="s">
        <v>77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2"/>
      <c r="AB27" s="262"/>
      <c r="AC27" s="262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70</v>
      </c>
      <c r="X28" s="268">
        <v>98</v>
      </c>
      <c r="Y28" s="269">
        <f>IFERROR(IF(X28="","",X28),"")</f>
        <v>98</v>
      </c>
      <c r="Z28" s="36">
        <f>IFERROR(IF(X28="","",X28*0.00941),"")</f>
        <v>0.92218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188.3364</v>
      </c>
      <c r="BN28" s="67">
        <f>IFERROR(Y28*I28,"0")</f>
        <v>188.3364</v>
      </c>
      <c r="BO28" s="67">
        <f>IFERROR(X28/J28,"0")</f>
        <v>0.7</v>
      </c>
      <c r="BP28" s="67">
        <f>IFERROR(Y28/J28,"0")</f>
        <v>0.7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87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70</v>
      </c>
      <c r="X29" s="268">
        <v>154</v>
      </c>
      <c r="Y29" s="269">
        <f>IFERROR(IF(X29="","",X29),"")</f>
        <v>154</v>
      </c>
      <c r="Z29" s="36">
        <f>IFERROR(IF(X29="","",X29*0.00941),"")</f>
        <v>1.4491400000000001</v>
      </c>
      <c r="AA29" s="56"/>
      <c r="AB29" s="57"/>
      <c r="AC29" s="76" t="s">
        <v>82</v>
      </c>
      <c r="AG29" s="67"/>
      <c r="AJ29" s="71" t="s">
        <v>88</v>
      </c>
      <c r="AK29" s="71">
        <v>140</v>
      </c>
      <c r="BB29" s="77" t="s">
        <v>84</v>
      </c>
      <c r="BM29" s="67">
        <f>IFERROR(X29*I29,"0")</f>
        <v>295.9572</v>
      </c>
      <c r="BN29" s="67">
        <f>IFERROR(Y29*I29,"0")</f>
        <v>295.9572</v>
      </c>
      <c r="BO29" s="67">
        <f>IFERROR(X29/J29,"0")</f>
        <v>1.1000000000000001</v>
      </c>
      <c r="BP29" s="67">
        <f>IFERROR(Y29/J29,"0")</f>
        <v>1.1000000000000001</v>
      </c>
    </row>
    <row r="30" spans="1:68" x14ac:dyDescent="0.2">
      <c r="A30" s="286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7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0">
        <f>IFERROR(SUM(X28:X29),"0")</f>
        <v>252</v>
      </c>
      <c r="Y30" s="270">
        <f>IFERROR(SUM(Y28:Y29),"0")</f>
        <v>252</v>
      </c>
      <c r="Z30" s="270">
        <f>IFERROR(IF(Z28="",0,Z28),"0")+IFERROR(IF(Z29="",0,Z29),"0")</f>
        <v>2.3713199999999999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7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0">
        <f>IFERROR(SUMPRODUCT(X28:X29*H28:H29),"0")</f>
        <v>378</v>
      </c>
      <c r="Y31" s="270">
        <f>IFERROR(SUMPRODUCT(Y28:Y29*H28:H29),"0")</f>
        <v>378</v>
      </c>
      <c r="Z31" s="37"/>
      <c r="AA31" s="271"/>
      <c r="AB31" s="271"/>
      <c r="AC31" s="271"/>
    </row>
    <row r="32" spans="1:68" ht="16.5" hidden="1" customHeight="1" x14ac:dyDescent="0.25">
      <c r="A32" s="279" t="s">
        <v>89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304" t="s">
        <v>64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2"/>
      <c r="AB33" s="262"/>
      <c r="AC33" s="262"/>
    </row>
    <row r="34" spans="1:68" ht="27" customHeight="1" x14ac:dyDescent="0.25">
      <c r="A34" s="54" t="s">
        <v>90</v>
      </c>
      <c r="B34" s="54" t="s">
        <v>91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87</v>
      </c>
      <c r="M34" s="33" t="s">
        <v>69</v>
      </c>
      <c r="N34" s="33"/>
      <c r="O34" s="32">
        <v>180</v>
      </c>
      <c r="P34" s="42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70</v>
      </c>
      <c r="X34" s="268">
        <v>156</v>
      </c>
      <c r="Y34" s="269">
        <f>IFERROR(IF(X34="","",X34),"")</f>
        <v>156</v>
      </c>
      <c r="Z34" s="36">
        <f>IFERROR(IF(X34="","",X34*0.0155),"")</f>
        <v>2.4180000000000001</v>
      </c>
      <c r="AA34" s="56"/>
      <c r="AB34" s="57"/>
      <c r="AC34" s="78" t="s">
        <v>92</v>
      </c>
      <c r="AG34" s="67"/>
      <c r="AJ34" s="71" t="s">
        <v>88</v>
      </c>
      <c r="AK34" s="71">
        <v>84</v>
      </c>
      <c r="BB34" s="79" t="s">
        <v>1</v>
      </c>
      <c r="BM34" s="67">
        <f>IFERROR(X34*I34,"0")</f>
        <v>915.72</v>
      </c>
      <c r="BN34" s="67">
        <f>IFERROR(Y34*I34,"0")</f>
        <v>915.72</v>
      </c>
      <c r="BO34" s="67">
        <f>IFERROR(X34/J34,"0")</f>
        <v>1.8571428571428572</v>
      </c>
      <c r="BP34" s="67">
        <f>IFERROR(Y34/J34,"0")</f>
        <v>1.8571428571428572</v>
      </c>
    </row>
    <row r="35" spans="1:68" ht="27" hidden="1" customHeight="1" x14ac:dyDescent="0.25">
      <c r="A35" s="54" t="s">
        <v>93</v>
      </c>
      <c r="B35" s="54" t="s">
        <v>94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68</v>
      </c>
      <c r="M35" s="33" t="s">
        <v>69</v>
      </c>
      <c r="N35" s="33"/>
      <c r="O35" s="32">
        <v>180</v>
      </c>
      <c r="P35" s="40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70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95</v>
      </c>
      <c r="AG35" s="67"/>
      <c r="AJ35" s="71" t="s">
        <v>72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96</v>
      </c>
      <c r="B36" s="54" t="s">
        <v>97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87</v>
      </c>
      <c r="M36" s="33" t="s">
        <v>69</v>
      </c>
      <c r="N36" s="33"/>
      <c r="O36" s="32">
        <v>180</v>
      </c>
      <c r="P36" s="42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70</v>
      </c>
      <c r="X36" s="268">
        <v>156</v>
      </c>
      <c r="Y36" s="269">
        <f>IFERROR(IF(X36="","",X36),"")</f>
        <v>156</v>
      </c>
      <c r="Z36" s="36">
        <f>IFERROR(IF(X36="","",X36*0.0155),"")</f>
        <v>2.4180000000000001</v>
      </c>
      <c r="AA36" s="56"/>
      <c r="AB36" s="57"/>
      <c r="AC36" s="82" t="s">
        <v>98</v>
      </c>
      <c r="AG36" s="67"/>
      <c r="AJ36" s="71" t="s">
        <v>88</v>
      </c>
      <c r="AK36" s="71">
        <v>84</v>
      </c>
      <c r="BB36" s="83" t="s">
        <v>1</v>
      </c>
      <c r="BM36" s="67">
        <f>IFERROR(X36*I36,"0")</f>
        <v>915.72</v>
      </c>
      <c r="BN36" s="67">
        <f>IFERROR(Y36*I36,"0")</f>
        <v>915.72</v>
      </c>
      <c r="BO36" s="67">
        <f>IFERROR(X36/J36,"0")</f>
        <v>1.8571428571428572</v>
      </c>
      <c r="BP36" s="67">
        <f>IFERROR(Y36/J36,"0")</f>
        <v>1.8571428571428572</v>
      </c>
    </row>
    <row r="37" spans="1:68" x14ac:dyDescent="0.2">
      <c r="A37" s="286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7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0">
        <f>IFERROR(SUM(X34:X36),"0")</f>
        <v>312</v>
      </c>
      <c r="Y37" s="270">
        <f>IFERROR(SUM(Y34:Y36),"0")</f>
        <v>312</v>
      </c>
      <c r="Z37" s="270">
        <f>IFERROR(IF(Z34="",0,Z34),"0")+IFERROR(IF(Z35="",0,Z35),"0")+IFERROR(IF(Z36="",0,Z36),"0")</f>
        <v>4.8360000000000003</v>
      </c>
      <c r="AA37" s="271"/>
      <c r="AB37" s="271"/>
      <c r="AC37" s="271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7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0">
        <f>IFERROR(SUMPRODUCT(X34:X36*H34:H36),"0")</f>
        <v>1747.1999999999998</v>
      </c>
      <c r="Y38" s="270">
        <f>IFERROR(SUMPRODUCT(Y34:Y36*H34:H36),"0")</f>
        <v>1747.1999999999998</v>
      </c>
      <c r="Z38" s="37"/>
      <c r="AA38" s="271"/>
      <c r="AB38" s="271"/>
      <c r="AC38" s="271"/>
    </row>
    <row r="39" spans="1:68" ht="16.5" hidden="1" customHeight="1" x14ac:dyDescent="0.25">
      <c r="A39" s="279" t="s">
        <v>99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304" t="s">
        <v>64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2"/>
      <c r="AB40" s="262"/>
      <c r="AC40" s="262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42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70</v>
      </c>
      <c r="X41" s="268">
        <v>108</v>
      </c>
      <c r="Y41" s="269">
        <f>IFERROR(IF(X41="","",X41),"")</f>
        <v>108</v>
      </c>
      <c r="Z41" s="36">
        <f>IFERROR(IF(X41="","",X41*0.0155),"")</f>
        <v>1.6739999999999999</v>
      </c>
      <c r="AA41" s="56"/>
      <c r="AB41" s="57"/>
      <c r="AC41" s="84" t="s">
        <v>102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788.4</v>
      </c>
      <c r="BN41" s="67">
        <f>IFERROR(Y41*I41,"0")</f>
        <v>788.4</v>
      </c>
      <c r="BO41" s="67">
        <f>IFERROR(X41/J41,"0")</f>
        <v>1.2857142857142858</v>
      </c>
      <c r="BP41" s="67">
        <f>IFERROR(Y41/J41,"0")</f>
        <v>1.2857142857142858</v>
      </c>
    </row>
    <row r="42" spans="1:68" ht="27" hidden="1" customHeight="1" x14ac:dyDescent="0.25">
      <c r="A42" s="54" t="s">
        <v>103</v>
      </c>
      <c r="B42" s="54" t="s">
        <v>104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105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81</v>
      </c>
      <c r="M43" s="33" t="s">
        <v>69</v>
      </c>
      <c r="N43" s="33"/>
      <c r="O43" s="32">
        <v>180</v>
      </c>
      <c r="P43" s="38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83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70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105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7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0">
        <f>IFERROR(SUM(X41:X44),"0")</f>
        <v>108</v>
      </c>
      <c r="Y45" s="270">
        <f>IFERROR(SUM(Y41:Y44),"0")</f>
        <v>108</v>
      </c>
      <c r="Z45" s="270">
        <f>IFERROR(IF(Z41="",0,Z41),"0")+IFERROR(IF(Z42="",0,Z42),"0")+IFERROR(IF(Z43="",0,Z43),"0")+IFERROR(IF(Z44="",0,Z44),"0")</f>
        <v>1.6739999999999999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7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0">
        <f>IFERROR(SUMPRODUCT(X41:X44*H41:H44),"0")</f>
        <v>756</v>
      </c>
      <c r="Y46" s="270">
        <f>IFERROR(SUMPRODUCT(Y41:Y44*H41:H44),"0")</f>
        <v>756</v>
      </c>
      <c r="Z46" s="37"/>
      <c r="AA46" s="271"/>
      <c r="AB46" s="271"/>
      <c r="AC46" s="271"/>
    </row>
    <row r="47" spans="1:68" ht="16.5" hidden="1" customHeight="1" x14ac:dyDescent="0.25">
      <c r="A47" s="279" t="s">
        <v>110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304" t="s">
        <v>64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2"/>
      <c r="AB48" s="262"/>
      <c r="AC48" s="262"/>
    </row>
    <row r="49" spans="1:68" ht="16.5" hidden="1" customHeight="1" x14ac:dyDescent="0.25">
      <c r="A49" s="54" t="s">
        <v>111</v>
      </c>
      <c r="B49" s="54" t="s">
        <v>112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1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7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7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77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2"/>
      <c r="AB52" s="262"/>
      <c r="AC52" s="262"/>
    </row>
    <row r="53" spans="1:68" ht="27" hidden="1" customHeight="1" x14ac:dyDescent="0.25">
      <c r="A53" s="54" t="s">
        <v>114</v>
      </c>
      <c r="B53" s="54" t="s">
        <v>115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5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7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7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117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2"/>
      <c r="AB56" s="262"/>
      <c r="AC56" s="262"/>
    </row>
    <row r="57" spans="1:68" ht="16.5" hidden="1" customHeight="1" x14ac:dyDescent="0.25">
      <c r="A57" s="54" t="s">
        <v>118</v>
      </c>
      <c r="B57" s="54" t="s">
        <v>119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121</v>
      </c>
      <c r="B58" s="54" t="s">
        <v>122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7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7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123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2"/>
      <c r="AB61" s="262"/>
      <c r="AC61" s="262"/>
    </row>
    <row r="62" spans="1:68" ht="27" hidden="1" customHeight="1" x14ac:dyDescent="0.25">
      <c r="A62" s="54" t="s">
        <v>124</v>
      </c>
      <c r="B62" s="54" t="s">
        <v>125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5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126</v>
      </c>
      <c r="B63" s="54" t="s">
        <v>127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4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128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129</v>
      </c>
      <c r="B64" s="54" t="s">
        <v>130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3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128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7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7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131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304" t="s">
        <v>64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2"/>
      <c r="AB68" s="262"/>
      <c r="AC68" s="262"/>
    </row>
    <row r="69" spans="1:68" ht="27" hidden="1" customHeight="1" x14ac:dyDescent="0.25">
      <c r="A69" s="54" t="s">
        <v>132</v>
      </c>
      <c r="B69" s="54" t="s">
        <v>133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81</v>
      </c>
      <c r="M69" s="33" t="s">
        <v>69</v>
      </c>
      <c r="N69" s="33"/>
      <c r="O69" s="32">
        <v>180</v>
      </c>
      <c r="P69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83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87</v>
      </c>
      <c r="M70" s="33" t="s">
        <v>69</v>
      </c>
      <c r="N70" s="33"/>
      <c r="O70" s="32">
        <v>180</v>
      </c>
      <c r="P70" s="44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70</v>
      </c>
      <c r="X70" s="268">
        <v>0</v>
      </c>
      <c r="Y70" s="269">
        <f>IFERROR(IF(X70="","",X70),"")</f>
        <v>0</v>
      </c>
      <c r="Z70" s="36">
        <f>IFERROR(IF(X70="","",X70*0.00866),"")</f>
        <v>0</v>
      </c>
      <c r="AA70" s="56"/>
      <c r="AB70" s="57"/>
      <c r="AC70" s="108" t="s">
        <v>135</v>
      </c>
      <c r="AG70" s="67"/>
      <c r="AJ70" s="71" t="s">
        <v>88</v>
      </c>
      <c r="AK70" s="71">
        <v>144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idden="1" x14ac:dyDescent="0.2">
      <c r="A71" s="286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7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0">
        <f>IFERROR(SUM(X69:X70),"0")</f>
        <v>0</v>
      </c>
      <c r="Y71" s="270">
        <f>IFERROR(SUM(Y69:Y70),"0")</f>
        <v>0</v>
      </c>
      <c r="Z71" s="270">
        <f>IFERROR(IF(Z69="",0,Z69),"0")+IFERROR(IF(Z70="",0,Z70),"0")</f>
        <v>0</v>
      </c>
      <c r="AA71" s="271"/>
      <c r="AB71" s="271"/>
      <c r="AC71" s="271"/>
    </row>
    <row r="72" spans="1:68" hidden="1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7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0">
        <f>IFERROR(SUMPRODUCT(X69:X70*H69:H70),"0")</f>
        <v>0</v>
      </c>
      <c r="Y72" s="270">
        <f>IFERROR(SUMPRODUCT(Y69:Y70*H69:H70),"0")</f>
        <v>0</v>
      </c>
      <c r="Z72" s="37"/>
      <c r="AA72" s="271"/>
      <c r="AB72" s="271"/>
      <c r="AC72" s="271"/>
    </row>
    <row r="73" spans="1:68" ht="16.5" hidden="1" customHeight="1" x14ac:dyDescent="0.25">
      <c r="A73" s="279" t="s">
        <v>138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304" t="s">
        <v>123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2"/>
      <c r="AB74" s="262"/>
      <c r="AC74" s="262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44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70</v>
      </c>
      <c r="X75" s="268">
        <v>56</v>
      </c>
      <c r="Y75" s="269">
        <f>IFERROR(IF(X75="","",X75),"")</f>
        <v>56</v>
      </c>
      <c r="Z75" s="36">
        <f>IFERROR(IF(X75="","",X75*0.01788),"")</f>
        <v>1.0012799999999999</v>
      </c>
      <c r="AA75" s="56"/>
      <c r="AB75" s="57"/>
      <c r="AC75" s="110" t="s">
        <v>141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241.00160000000002</v>
      </c>
      <c r="BN75" s="67">
        <f>IFERROR(Y75*I75,"0")</f>
        <v>241.00160000000002</v>
      </c>
      <c r="BO75" s="67">
        <f>IFERROR(X75/J75,"0")</f>
        <v>0.8</v>
      </c>
      <c r="BP75" s="67">
        <f>IFERROR(Y75/J75,"0")</f>
        <v>0.8</v>
      </c>
    </row>
    <row r="76" spans="1:68" x14ac:dyDescent="0.2">
      <c r="A76" s="286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7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0">
        <f>IFERROR(SUM(X75:X75),"0")</f>
        <v>56</v>
      </c>
      <c r="Y76" s="270">
        <f>IFERROR(SUM(Y75:Y75),"0")</f>
        <v>56</v>
      </c>
      <c r="Z76" s="270">
        <f>IFERROR(IF(Z75="",0,Z75),"0")</f>
        <v>1.0012799999999999</v>
      </c>
      <c r="AA76" s="271"/>
      <c r="AB76" s="271"/>
      <c r="AC76" s="271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7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0">
        <f>IFERROR(SUMPRODUCT(X75:X75*H75:H75),"0")</f>
        <v>201.6</v>
      </c>
      <c r="Y77" s="270">
        <f>IFERROR(SUMPRODUCT(Y75:Y75*H75:H75),"0")</f>
        <v>201.6</v>
      </c>
      <c r="Z77" s="37"/>
      <c r="AA77" s="271"/>
      <c r="AB77" s="271"/>
      <c r="AC77" s="271"/>
    </row>
    <row r="78" spans="1:68" ht="16.5" hidden="1" customHeight="1" x14ac:dyDescent="0.25">
      <c r="A78" s="279" t="s">
        <v>142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304" t="s">
        <v>143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2"/>
      <c r="AB79" s="262"/>
      <c r="AC79" s="262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42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70</v>
      </c>
      <c r="X80" s="268">
        <v>98</v>
      </c>
      <c r="Y80" s="269">
        <f>IFERROR(IF(X80="","",X80),"")</f>
        <v>98</v>
      </c>
      <c r="Z80" s="36">
        <f>IFERROR(IF(X80="","",X80*0.01788),"")</f>
        <v>1.75224</v>
      </c>
      <c r="AA80" s="56"/>
      <c r="AB80" s="57"/>
      <c r="AC80" s="112" t="s">
        <v>146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421.75280000000004</v>
      </c>
      <c r="BN80" s="67">
        <f>IFERROR(Y80*I80,"0")</f>
        <v>421.75280000000004</v>
      </c>
      <c r="BO80" s="67">
        <f>IFERROR(X80/J80,"0")</f>
        <v>1.4</v>
      </c>
      <c r="BP80" s="67">
        <f>IFERROR(Y80/J80,"0")</f>
        <v>1.4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70</v>
      </c>
      <c r="X81" s="268">
        <v>84</v>
      </c>
      <c r="Y81" s="269">
        <f>IFERROR(IF(X81="","",X81),"")</f>
        <v>84</v>
      </c>
      <c r="Z81" s="36">
        <f>IFERROR(IF(X81="","",X81*0.01788),"")</f>
        <v>1.5019199999999999</v>
      </c>
      <c r="AA81" s="56"/>
      <c r="AB81" s="57"/>
      <c r="AC81" s="114" t="s">
        <v>149</v>
      </c>
      <c r="AG81" s="67"/>
      <c r="AJ81" s="71" t="s">
        <v>88</v>
      </c>
      <c r="AK81" s="71">
        <v>70</v>
      </c>
      <c r="BB81" s="115" t="s">
        <v>84</v>
      </c>
      <c r="BM81" s="67">
        <f>IFERROR(X81*I81,"0")</f>
        <v>361.50240000000002</v>
      </c>
      <c r="BN81" s="67">
        <f>IFERROR(Y81*I81,"0")</f>
        <v>361.50240000000002</v>
      </c>
      <c r="BO81" s="67">
        <f>IFERROR(X81/J81,"0")</f>
        <v>1.2</v>
      </c>
      <c r="BP81" s="67">
        <f>IFERROR(Y81/J81,"0")</f>
        <v>1.2</v>
      </c>
    </row>
    <row r="82" spans="1:68" x14ac:dyDescent="0.2">
      <c r="A82" s="286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7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0">
        <f>IFERROR(SUM(X80:X81),"0")</f>
        <v>182</v>
      </c>
      <c r="Y82" s="270">
        <f>IFERROR(SUM(Y80:Y81),"0")</f>
        <v>182</v>
      </c>
      <c r="Z82" s="270">
        <f>IFERROR(IF(Z80="",0,Z80),"0")+IFERROR(IF(Z81="",0,Z81),"0")</f>
        <v>3.2541599999999997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7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0">
        <f>IFERROR(SUMPRODUCT(X80:X81*H80:H81),"0")</f>
        <v>655.20000000000005</v>
      </c>
      <c r="Y83" s="270">
        <f>IFERROR(SUMPRODUCT(Y80:Y81*H80:H81),"0")</f>
        <v>655.20000000000005</v>
      </c>
      <c r="Z83" s="37"/>
      <c r="AA83" s="271"/>
      <c r="AB83" s="271"/>
      <c r="AC83" s="271"/>
    </row>
    <row r="84" spans="1:68" ht="16.5" hidden="1" customHeight="1" x14ac:dyDescent="0.25">
      <c r="A84" s="279" t="s">
        <v>150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304" t="s">
        <v>123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2"/>
      <c r="AB85" s="262"/>
      <c r="AC85" s="262"/>
    </row>
    <row r="86" spans="1:68" ht="27" hidden="1" customHeight="1" x14ac:dyDescent="0.25">
      <c r="A86" s="54" t="s">
        <v>151</v>
      </c>
      <c r="B86" s="54" t="s">
        <v>152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68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70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141</v>
      </c>
      <c r="AG86" s="67"/>
      <c r="AJ86" s="71" t="s">
        <v>72</v>
      </c>
      <c r="AK86" s="71">
        <v>1</v>
      </c>
      <c r="BB86" s="117" t="s">
        <v>84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9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70</v>
      </c>
      <c r="X87" s="268">
        <v>98</v>
      </c>
      <c r="Y87" s="269">
        <f t="shared" si="0"/>
        <v>98</v>
      </c>
      <c r="Z87" s="36">
        <f t="shared" si="1"/>
        <v>1.75224</v>
      </c>
      <c r="AA87" s="56"/>
      <c r="AB87" s="57"/>
      <c r="AC87" s="118" t="s">
        <v>141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351.19280000000003</v>
      </c>
      <c r="BN87" s="67">
        <f t="shared" si="3"/>
        <v>351.19280000000003</v>
      </c>
      <c r="BO87" s="67">
        <f t="shared" si="4"/>
        <v>1.4</v>
      </c>
      <c r="BP87" s="67">
        <f t="shared" si="5"/>
        <v>1.4</v>
      </c>
    </row>
    <row r="88" spans="1:68" ht="27" hidden="1" customHeight="1" x14ac:dyDescent="0.25">
      <c r="A88" s="54" t="s">
        <v>155</v>
      </c>
      <c r="B88" s="54" t="s">
        <v>156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4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87</v>
      </c>
      <c r="M89" s="33" t="s">
        <v>69</v>
      </c>
      <c r="N89" s="33"/>
      <c r="O89" s="32">
        <v>180</v>
      </c>
      <c r="P89" s="39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70</v>
      </c>
      <c r="X89" s="268">
        <v>98</v>
      </c>
      <c r="Y89" s="269">
        <f t="shared" si="0"/>
        <v>98</v>
      </c>
      <c r="Z89" s="36">
        <f t="shared" si="1"/>
        <v>1.75224</v>
      </c>
      <c r="AA89" s="56"/>
      <c r="AB89" s="57"/>
      <c r="AC89" s="122" t="s">
        <v>141</v>
      </c>
      <c r="AG89" s="67"/>
      <c r="AJ89" s="71" t="s">
        <v>88</v>
      </c>
      <c r="AK89" s="71">
        <v>70</v>
      </c>
      <c r="BB89" s="123" t="s">
        <v>84</v>
      </c>
      <c r="BM89" s="67">
        <f t="shared" si="2"/>
        <v>351.19280000000003</v>
      </c>
      <c r="BN89" s="67">
        <f t="shared" si="3"/>
        <v>351.19280000000003</v>
      </c>
      <c r="BO89" s="67">
        <f t="shared" si="4"/>
        <v>1.4</v>
      </c>
      <c r="BP89" s="67">
        <f t="shared" si="5"/>
        <v>1.4</v>
      </c>
    </row>
    <row r="90" spans="1:68" ht="27" hidden="1" customHeight="1" x14ac:dyDescent="0.25">
      <c r="A90" s="54" t="s">
        <v>160</v>
      </c>
      <c r="B90" s="54" t="s">
        <v>161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41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81</v>
      </c>
      <c r="M91" s="33" t="s">
        <v>69</v>
      </c>
      <c r="N91" s="33"/>
      <c r="O91" s="32">
        <v>180</v>
      </c>
      <c r="P91" s="41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70</v>
      </c>
      <c r="X91" s="268">
        <v>84</v>
      </c>
      <c r="Y91" s="269">
        <f t="shared" si="0"/>
        <v>84</v>
      </c>
      <c r="Z91" s="36">
        <f t="shared" si="1"/>
        <v>1.5019199999999999</v>
      </c>
      <c r="AA91" s="56"/>
      <c r="AB91" s="57"/>
      <c r="AC91" s="126" t="s">
        <v>164</v>
      </c>
      <c r="AG91" s="67"/>
      <c r="AJ91" s="71" t="s">
        <v>83</v>
      </c>
      <c r="AK91" s="71">
        <v>14</v>
      </c>
      <c r="BB91" s="127" t="s">
        <v>84</v>
      </c>
      <c r="BM91" s="67">
        <f t="shared" si="2"/>
        <v>380.45280000000002</v>
      </c>
      <c r="BN91" s="67">
        <f t="shared" si="3"/>
        <v>380.45280000000002</v>
      </c>
      <c r="BO91" s="67">
        <f t="shared" si="4"/>
        <v>1.2</v>
      </c>
      <c r="BP91" s="67">
        <f t="shared" si="5"/>
        <v>1.2</v>
      </c>
    </row>
    <row r="92" spans="1:68" x14ac:dyDescent="0.2">
      <c r="A92" s="286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7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0">
        <f>IFERROR(SUM(X86:X91),"0")</f>
        <v>280</v>
      </c>
      <c r="Y92" s="270">
        <f>IFERROR(SUM(Y86:Y91),"0")</f>
        <v>280</v>
      </c>
      <c r="Z92" s="270">
        <f>IFERROR(IF(Z86="",0,Z86),"0")+IFERROR(IF(Z87="",0,Z87),"0")+IFERROR(IF(Z88="",0,Z88),"0")+IFERROR(IF(Z89="",0,Z89),"0")+IFERROR(IF(Z90="",0,Z90),"0")+IFERROR(IF(Z91="",0,Z91),"0")</f>
        <v>5.0064000000000002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7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0">
        <f>IFERROR(SUMPRODUCT(X86:X91*H86:H91),"0")</f>
        <v>917.28</v>
      </c>
      <c r="Y93" s="270">
        <f>IFERROR(SUMPRODUCT(Y86:Y91*H86:H91),"0")</f>
        <v>917.28</v>
      </c>
      <c r="Z93" s="37"/>
      <c r="AA93" s="271"/>
      <c r="AB93" s="271"/>
      <c r="AC93" s="271"/>
    </row>
    <row r="94" spans="1:68" ht="16.5" hidden="1" customHeight="1" x14ac:dyDescent="0.25">
      <c r="A94" s="279" t="s">
        <v>165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304" t="s">
        <v>117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2"/>
      <c r="AB95" s="262"/>
      <c r="AC95" s="262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41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70</v>
      </c>
      <c r="X96" s="268">
        <v>70</v>
      </c>
      <c r="Y96" s="269">
        <f>IFERROR(IF(X96="","",X96),"")</f>
        <v>70</v>
      </c>
      <c r="Z96" s="36">
        <f>IFERROR(IF(X96="","",X96*0.00936),"")</f>
        <v>0.6552</v>
      </c>
      <c r="AA96" s="56"/>
      <c r="AB96" s="57"/>
      <c r="AC96" s="128" t="s">
        <v>168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174.38400000000001</v>
      </c>
      <c r="BN96" s="67">
        <f>IFERROR(Y96*I96,"0")</f>
        <v>174.38400000000001</v>
      </c>
      <c r="BO96" s="67">
        <f>IFERROR(X96/J96,"0")</f>
        <v>0.55555555555555558</v>
      </c>
      <c r="BP96" s="67">
        <f>IFERROR(Y96/J96,"0")</f>
        <v>0.55555555555555558</v>
      </c>
    </row>
    <row r="97" spans="1:68" ht="27" hidden="1" customHeight="1" x14ac:dyDescent="0.25">
      <c r="A97" s="54" t="s">
        <v>169</v>
      </c>
      <c r="B97" s="54" t="s">
        <v>170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33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7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0">
        <f>IFERROR(SUM(X96:X97),"0")</f>
        <v>70</v>
      </c>
      <c r="Y98" s="270">
        <f>IFERROR(SUM(Y96:Y97),"0")</f>
        <v>70</v>
      </c>
      <c r="Z98" s="270">
        <f>IFERROR(IF(Z96="",0,Z96),"0")+IFERROR(IF(Z97="",0,Z97),"0")</f>
        <v>0.6552</v>
      </c>
      <c r="AA98" s="271"/>
      <c r="AB98" s="271"/>
      <c r="AC98" s="271"/>
    </row>
    <row r="99" spans="1:68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7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0">
        <f>IFERROR(SUMPRODUCT(X96:X97*H96:H97),"0")</f>
        <v>151.20000000000002</v>
      </c>
      <c r="Y99" s="270">
        <f>IFERROR(SUMPRODUCT(Y96:Y97*H96:H97),"0")</f>
        <v>151.20000000000002</v>
      </c>
      <c r="Z99" s="37"/>
      <c r="AA99" s="271"/>
      <c r="AB99" s="271"/>
      <c r="AC99" s="271"/>
    </row>
    <row r="100" spans="1:68" ht="16.5" hidden="1" customHeight="1" x14ac:dyDescent="0.25">
      <c r="A100" s="279" t="s">
        <v>171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304" t="s">
        <v>64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2"/>
      <c r="AB101" s="262"/>
      <c r="AC101" s="262"/>
    </row>
    <row r="102" spans="1:68" ht="27" hidden="1" customHeight="1" x14ac:dyDescent="0.25">
      <c r="A102" s="54" t="s">
        <v>172</v>
      </c>
      <c r="B102" s="54" t="s">
        <v>173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36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70</v>
      </c>
      <c r="X102" s="268">
        <v>0</v>
      </c>
      <c r="Y102" s="269">
        <f t="shared" ref="Y102:Y109" si="6">IFERROR(IF(X102="","",X102),"")</f>
        <v>0</v>
      </c>
      <c r="Z102" s="36">
        <f t="shared" ref="Z102:Z109" si="7">IFERROR(IF(X102="","",X102*0.0155),"")</f>
        <v>0</v>
      </c>
      <c r="AA102" s="56"/>
      <c r="AB102" s="57"/>
      <c r="AC102" s="132" t="s">
        <v>174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9" si="8">IFERROR(X102*I102,"0")</f>
        <v>0</v>
      </c>
      <c r="BN102" s="67">
        <f t="shared" ref="BN102:BN109" si="9">IFERROR(Y102*I102,"0")</f>
        <v>0</v>
      </c>
      <c r="BO102" s="67">
        <f t="shared" ref="BO102:BO109" si="10">IFERROR(X102/J102,"0")</f>
        <v>0</v>
      </c>
      <c r="BP102" s="67">
        <f t="shared" ref="BP102:BP109" si="11">IFERROR(Y102/J102,"0")</f>
        <v>0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70</v>
      </c>
      <c r="X103" s="268">
        <v>72</v>
      </c>
      <c r="Y103" s="269">
        <f t="shared" si="6"/>
        <v>72</v>
      </c>
      <c r="Z103" s="36">
        <f t="shared" si="7"/>
        <v>1.1160000000000001</v>
      </c>
      <c r="AA103" s="56"/>
      <c r="AB103" s="57"/>
      <c r="AC103" s="134" t="s">
        <v>135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483.81119999999999</v>
      </c>
      <c r="BN103" s="67">
        <f t="shared" si="9"/>
        <v>483.81119999999999</v>
      </c>
      <c r="BO103" s="67">
        <f t="shared" si="10"/>
        <v>0.8571428571428571</v>
      </c>
      <c r="BP103" s="67">
        <f t="shared" si="11"/>
        <v>0.8571428571428571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87</v>
      </c>
      <c r="M104" s="33" t="s">
        <v>69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70</v>
      </c>
      <c r="X104" s="268">
        <v>144</v>
      </c>
      <c r="Y104" s="269">
        <f t="shared" si="6"/>
        <v>144</v>
      </c>
      <c r="Z104" s="36">
        <f t="shared" si="7"/>
        <v>2.2320000000000002</v>
      </c>
      <c r="AA104" s="56"/>
      <c r="AB104" s="57"/>
      <c r="AC104" s="136" t="s">
        <v>135</v>
      </c>
      <c r="AG104" s="67"/>
      <c r="AJ104" s="71" t="s">
        <v>88</v>
      </c>
      <c r="AK104" s="71">
        <v>84</v>
      </c>
      <c r="BB104" s="137" t="s">
        <v>1</v>
      </c>
      <c r="BM104" s="67">
        <f t="shared" si="8"/>
        <v>1051.2</v>
      </c>
      <c r="BN104" s="67">
        <f t="shared" si="9"/>
        <v>1051.2</v>
      </c>
      <c r="BO104" s="67">
        <f t="shared" si="10"/>
        <v>1.7142857142857142</v>
      </c>
      <c r="BP104" s="67">
        <f t="shared" si="11"/>
        <v>1.7142857142857142</v>
      </c>
    </row>
    <row r="105" spans="1:68" ht="27" hidden="1" customHeight="1" x14ac:dyDescent="0.25">
      <c r="A105" s="54" t="s">
        <v>179</v>
      </c>
      <c r="B105" s="54" t="s">
        <v>180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42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70</v>
      </c>
      <c r="X106" s="268">
        <v>72</v>
      </c>
      <c r="Y106" s="269">
        <f t="shared" si="6"/>
        <v>72</v>
      </c>
      <c r="Z106" s="36">
        <f t="shared" si="7"/>
        <v>1.1160000000000001</v>
      </c>
      <c r="AA106" s="56"/>
      <c r="AB106" s="57"/>
      <c r="AC106" s="140" t="s">
        <v>135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483.81119999999999</v>
      </c>
      <c r="BN106" s="67">
        <f t="shared" si="9"/>
        <v>483.81119999999999</v>
      </c>
      <c r="BO106" s="67">
        <f t="shared" si="10"/>
        <v>0.8571428571428571</v>
      </c>
      <c r="BP106" s="67">
        <f t="shared" si="11"/>
        <v>0.8571428571428571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38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70</v>
      </c>
      <c r="X107" s="268">
        <v>120</v>
      </c>
      <c r="Y107" s="269">
        <f t="shared" si="6"/>
        <v>120</v>
      </c>
      <c r="Z107" s="36">
        <f t="shared" si="7"/>
        <v>1.8599999999999999</v>
      </c>
      <c r="AA107" s="56"/>
      <c r="AB107" s="57"/>
      <c r="AC107" s="142" t="s">
        <v>135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876</v>
      </c>
      <c r="BN107" s="67">
        <f t="shared" si="9"/>
        <v>876</v>
      </c>
      <c r="BO107" s="67">
        <f t="shared" si="10"/>
        <v>1.4285714285714286</v>
      </c>
      <c r="BP107" s="67">
        <f t="shared" si="11"/>
        <v>1.4285714285714286</v>
      </c>
    </row>
    <row r="108" spans="1:68" ht="27" hidden="1" customHeight="1" x14ac:dyDescent="0.25">
      <c r="A108" s="54" t="s">
        <v>186</v>
      </c>
      <c r="B108" s="54" t="s">
        <v>187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1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hidden="1" customHeight="1" x14ac:dyDescent="0.25">
      <c r="A109" s="54" t="s">
        <v>189</v>
      </c>
      <c r="B109" s="54" t="s">
        <v>190</v>
      </c>
      <c r="C109" s="31">
        <v>4301071075</v>
      </c>
      <c r="D109" s="284">
        <v>4620207491102</v>
      </c>
      <c r="E109" s="285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2"/>
      <c r="R109" s="282"/>
      <c r="S109" s="282"/>
      <c r="T109" s="283"/>
      <c r="U109" s="34"/>
      <c r="V109" s="34"/>
      <c r="W109" s="35" t="s">
        <v>70</v>
      </c>
      <c r="X109" s="268">
        <v>0</v>
      </c>
      <c r="Y109" s="269">
        <f t="shared" si="6"/>
        <v>0</v>
      </c>
      <c r="Z109" s="36">
        <f t="shared" si="7"/>
        <v>0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0</v>
      </c>
      <c r="BN109" s="67">
        <f t="shared" si="9"/>
        <v>0</v>
      </c>
      <c r="BO109" s="67">
        <f t="shared" si="10"/>
        <v>0</v>
      </c>
      <c r="BP109" s="67">
        <f t="shared" si="11"/>
        <v>0</v>
      </c>
    </row>
    <row r="110" spans="1:68" x14ac:dyDescent="0.2">
      <c r="A110" s="286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7"/>
      <c r="P110" s="276" t="s">
        <v>73</v>
      </c>
      <c r="Q110" s="277"/>
      <c r="R110" s="277"/>
      <c r="S110" s="277"/>
      <c r="T110" s="277"/>
      <c r="U110" s="277"/>
      <c r="V110" s="278"/>
      <c r="W110" s="37" t="s">
        <v>70</v>
      </c>
      <c r="X110" s="270">
        <f>IFERROR(SUM(X102:X109),"0")</f>
        <v>408</v>
      </c>
      <c r="Y110" s="270">
        <f>IFERROR(SUM(Y102:Y109),"0")</f>
        <v>408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6.3239999999999998</v>
      </c>
      <c r="AA110" s="271"/>
      <c r="AB110" s="271"/>
      <c r="AC110" s="271"/>
    </row>
    <row r="111" spans="1:68" x14ac:dyDescent="0.2">
      <c r="A111" s="280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7"/>
      <c r="P111" s="276" t="s">
        <v>73</v>
      </c>
      <c r="Q111" s="277"/>
      <c r="R111" s="277"/>
      <c r="S111" s="277"/>
      <c r="T111" s="277"/>
      <c r="U111" s="277"/>
      <c r="V111" s="278"/>
      <c r="W111" s="37" t="s">
        <v>74</v>
      </c>
      <c r="X111" s="270">
        <f>IFERROR(SUMPRODUCT(X102:X109*H102:H109),"0")</f>
        <v>2769.6</v>
      </c>
      <c r="Y111" s="270">
        <f>IFERROR(SUMPRODUCT(Y102:Y109*H102:H109),"0")</f>
        <v>2769.6</v>
      </c>
      <c r="Z111" s="37"/>
      <c r="AA111" s="271"/>
      <c r="AB111" s="271"/>
      <c r="AC111" s="271"/>
    </row>
    <row r="112" spans="1:68" ht="14.25" hidden="1" customHeight="1" x14ac:dyDescent="0.25">
      <c r="A112" s="304" t="s">
        <v>123</v>
      </c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62"/>
      <c r="AB112" s="262"/>
      <c r="AC112" s="262"/>
    </row>
    <row r="113" spans="1:68" ht="27" hidden="1" customHeight="1" x14ac:dyDescent="0.25">
      <c r="A113" s="54" t="s">
        <v>192</v>
      </c>
      <c r="B113" s="54" t="s">
        <v>193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8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70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6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7"/>
      <c r="P114" s="276" t="s">
        <v>73</v>
      </c>
      <c r="Q114" s="277"/>
      <c r="R114" s="277"/>
      <c r="S114" s="277"/>
      <c r="T114" s="277"/>
      <c r="U114" s="277"/>
      <c r="V114" s="278"/>
      <c r="W114" s="37" t="s">
        <v>70</v>
      </c>
      <c r="X114" s="270">
        <f>IFERROR(SUM(X113:X113),"0")</f>
        <v>0</v>
      </c>
      <c r="Y114" s="270">
        <f>IFERROR(SUM(Y113:Y113),"0")</f>
        <v>0</v>
      </c>
      <c r="Z114" s="270">
        <f>IFERROR(IF(Z113="",0,Z113),"0")</f>
        <v>0</v>
      </c>
      <c r="AA114" s="271"/>
      <c r="AB114" s="271"/>
      <c r="AC114" s="271"/>
    </row>
    <row r="115" spans="1:68" hidden="1" x14ac:dyDescent="0.2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7"/>
      <c r="P115" s="276" t="s">
        <v>73</v>
      </c>
      <c r="Q115" s="277"/>
      <c r="R115" s="277"/>
      <c r="S115" s="277"/>
      <c r="T115" s="277"/>
      <c r="U115" s="277"/>
      <c r="V115" s="278"/>
      <c r="W115" s="37" t="s">
        <v>74</v>
      </c>
      <c r="X115" s="270">
        <f>IFERROR(SUMPRODUCT(X113:X113*H113:H113),"0")</f>
        <v>0</v>
      </c>
      <c r="Y115" s="270">
        <f>IFERROR(SUMPRODUCT(Y113:Y113*H113:H113),"0")</f>
        <v>0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195</v>
      </c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62"/>
      <c r="AB116" s="262"/>
      <c r="AC116" s="262"/>
    </row>
    <row r="117" spans="1:68" ht="27" hidden="1" customHeight="1" x14ac:dyDescent="0.25">
      <c r="A117" s="54" t="s">
        <v>196</v>
      </c>
      <c r="B117" s="54" t="s">
        <v>197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70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7"/>
      <c r="P118" s="276" t="s">
        <v>73</v>
      </c>
      <c r="Q118" s="277"/>
      <c r="R118" s="277"/>
      <c r="S118" s="277"/>
      <c r="T118" s="277"/>
      <c r="U118" s="277"/>
      <c r="V118" s="278"/>
      <c r="W118" s="37" t="s">
        <v>70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7"/>
      <c r="P119" s="276" t="s">
        <v>73</v>
      </c>
      <c r="Q119" s="277"/>
      <c r="R119" s="277"/>
      <c r="S119" s="277"/>
      <c r="T119" s="277"/>
      <c r="U119" s="277"/>
      <c r="V119" s="278"/>
      <c r="W119" s="37" t="s">
        <v>74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79" t="s">
        <v>199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3"/>
      <c r="AB120" s="263"/>
      <c r="AC120" s="263"/>
    </row>
    <row r="121" spans="1:68" ht="14.25" hidden="1" customHeight="1" x14ac:dyDescent="0.25">
      <c r="A121" s="304" t="s">
        <v>123</v>
      </c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62"/>
      <c r="AB121" s="262"/>
      <c r="AC121" s="262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8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70</v>
      </c>
      <c r="X122" s="268">
        <v>140</v>
      </c>
      <c r="Y122" s="269">
        <f>IFERROR(IF(X122="","",X122),"")</f>
        <v>140</v>
      </c>
      <c r="Z122" s="36">
        <f>IFERROR(IF(X122="","",X122*0.01788),"")</f>
        <v>2.5032000000000001</v>
      </c>
      <c r="AA122" s="56"/>
      <c r="AB122" s="57"/>
      <c r="AC122" s="152" t="s">
        <v>202</v>
      </c>
      <c r="AG122" s="67"/>
      <c r="AJ122" s="71" t="s">
        <v>83</v>
      </c>
      <c r="AK122" s="71">
        <v>14</v>
      </c>
      <c r="BB122" s="153" t="s">
        <v>84</v>
      </c>
      <c r="BM122" s="67">
        <f>IFERROR(X122*I122,"0")</f>
        <v>518.50400000000002</v>
      </c>
      <c r="BN122" s="67">
        <f>IFERROR(Y122*I122,"0")</f>
        <v>518.50400000000002</v>
      </c>
      <c r="BO122" s="67">
        <f>IFERROR(X122/J122,"0")</f>
        <v>2</v>
      </c>
      <c r="BP122" s="67">
        <f>IFERROR(Y122/J122,"0")</f>
        <v>2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70</v>
      </c>
      <c r="X123" s="268">
        <v>140</v>
      </c>
      <c r="Y123" s="269">
        <f>IFERROR(IF(X123="","",X123),"")</f>
        <v>140</v>
      </c>
      <c r="Z123" s="36">
        <f>IFERROR(IF(X123="","",X123*0.01788),"")</f>
        <v>2.5032000000000001</v>
      </c>
      <c r="AA123" s="56"/>
      <c r="AB123" s="57"/>
      <c r="AC123" s="154" t="s">
        <v>141</v>
      </c>
      <c r="AG123" s="67"/>
      <c r="AJ123" s="71" t="s">
        <v>83</v>
      </c>
      <c r="AK123" s="71">
        <v>14</v>
      </c>
      <c r="BB123" s="155" t="s">
        <v>84</v>
      </c>
      <c r="BM123" s="67">
        <f>IFERROR(X123*I123,"0")</f>
        <v>518.50400000000002</v>
      </c>
      <c r="BN123" s="67">
        <f>IFERROR(Y123*I123,"0")</f>
        <v>518.50400000000002</v>
      </c>
      <c r="BO123" s="67">
        <f>IFERROR(X123/J123,"0")</f>
        <v>2</v>
      </c>
      <c r="BP123" s="67">
        <f>IFERROR(Y123/J123,"0")</f>
        <v>2</v>
      </c>
    </row>
    <row r="124" spans="1:68" x14ac:dyDescent="0.2">
      <c r="A124" s="286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7"/>
      <c r="P124" s="276" t="s">
        <v>73</v>
      </c>
      <c r="Q124" s="277"/>
      <c r="R124" s="277"/>
      <c r="S124" s="277"/>
      <c r="T124" s="277"/>
      <c r="U124" s="277"/>
      <c r="V124" s="278"/>
      <c r="W124" s="37" t="s">
        <v>70</v>
      </c>
      <c r="X124" s="270">
        <f>IFERROR(SUM(X122:X123),"0")</f>
        <v>280</v>
      </c>
      <c r="Y124" s="270">
        <f>IFERROR(SUM(Y122:Y123),"0")</f>
        <v>280</v>
      </c>
      <c r="Z124" s="270">
        <f>IFERROR(IF(Z122="",0,Z122),"0")+IFERROR(IF(Z123="",0,Z123),"0")</f>
        <v>5.0064000000000002</v>
      </c>
      <c r="AA124" s="271"/>
      <c r="AB124" s="271"/>
      <c r="AC124" s="271"/>
    </row>
    <row r="125" spans="1:68" x14ac:dyDescent="0.2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7"/>
      <c r="P125" s="276" t="s">
        <v>73</v>
      </c>
      <c r="Q125" s="277"/>
      <c r="R125" s="277"/>
      <c r="S125" s="277"/>
      <c r="T125" s="277"/>
      <c r="U125" s="277"/>
      <c r="V125" s="278"/>
      <c r="W125" s="37" t="s">
        <v>74</v>
      </c>
      <c r="X125" s="270">
        <f>IFERROR(SUMPRODUCT(X122:X123*H122:H123),"0")</f>
        <v>840</v>
      </c>
      <c r="Y125" s="270">
        <f>IFERROR(SUMPRODUCT(Y122:Y123*H122:H123),"0")</f>
        <v>840</v>
      </c>
      <c r="Z125" s="37"/>
      <c r="AA125" s="271"/>
      <c r="AB125" s="271"/>
      <c r="AC125" s="271"/>
    </row>
    <row r="126" spans="1:68" ht="16.5" hidden="1" customHeight="1" x14ac:dyDescent="0.25">
      <c r="A126" s="279" t="s">
        <v>205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3"/>
      <c r="AB126" s="263"/>
      <c r="AC126" s="263"/>
    </row>
    <row r="127" spans="1:68" ht="14.25" hidden="1" customHeight="1" x14ac:dyDescent="0.25">
      <c r="A127" s="304" t="s">
        <v>123</v>
      </c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62"/>
      <c r="AB127" s="262"/>
      <c r="AC127" s="262"/>
    </row>
    <row r="128" spans="1:68" ht="27" hidden="1" customHeight="1" x14ac:dyDescent="0.25">
      <c r="A128" s="54" t="s">
        <v>206</v>
      </c>
      <c r="B128" s="54" t="s">
        <v>207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70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87</v>
      </c>
      <c r="M129" s="33" t="s">
        <v>69</v>
      </c>
      <c r="N129" s="33"/>
      <c r="O129" s="32">
        <v>180</v>
      </c>
      <c r="P129" s="34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70</v>
      </c>
      <c r="X129" s="268">
        <v>126</v>
      </c>
      <c r="Y129" s="269">
        <f>IFERROR(IF(X129="","",X129),"")</f>
        <v>126</v>
      </c>
      <c r="Z129" s="36">
        <f>IFERROR(IF(X129="","",X129*0.01788),"")</f>
        <v>2.2528800000000002</v>
      </c>
      <c r="AA129" s="56"/>
      <c r="AB129" s="57"/>
      <c r="AC129" s="158" t="s">
        <v>211</v>
      </c>
      <c r="AG129" s="67"/>
      <c r="AJ129" s="71" t="s">
        <v>88</v>
      </c>
      <c r="AK129" s="71">
        <v>70</v>
      </c>
      <c r="BB129" s="159" t="s">
        <v>84</v>
      </c>
      <c r="BM129" s="67">
        <f>IFERROR(X129*I129,"0")</f>
        <v>466.65359999999998</v>
      </c>
      <c r="BN129" s="67">
        <f>IFERROR(Y129*I129,"0")</f>
        <v>466.65359999999998</v>
      </c>
      <c r="BO129" s="67">
        <f>IFERROR(X129/J129,"0")</f>
        <v>1.8</v>
      </c>
      <c r="BP129" s="67">
        <f>IFERROR(Y129/J129,"0")</f>
        <v>1.8</v>
      </c>
    </row>
    <row r="130" spans="1:68" x14ac:dyDescent="0.2">
      <c r="A130" s="286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7"/>
      <c r="P130" s="276" t="s">
        <v>73</v>
      </c>
      <c r="Q130" s="277"/>
      <c r="R130" s="277"/>
      <c r="S130" s="277"/>
      <c r="T130" s="277"/>
      <c r="U130" s="277"/>
      <c r="V130" s="278"/>
      <c r="W130" s="37" t="s">
        <v>70</v>
      </c>
      <c r="X130" s="270">
        <f>IFERROR(SUM(X128:X129),"0")</f>
        <v>126</v>
      </c>
      <c r="Y130" s="270">
        <f>IFERROR(SUM(Y128:Y129),"0")</f>
        <v>126</v>
      </c>
      <c r="Z130" s="270">
        <f>IFERROR(IF(Z128="",0,Z128),"0")+IFERROR(IF(Z129="",0,Z129),"0")</f>
        <v>2.2528800000000002</v>
      </c>
      <c r="AA130" s="271"/>
      <c r="AB130" s="271"/>
      <c r="AC130" s="271"/>
    </row>
    <row r="131" spans="1:68" x14ac:dyDescent="0.2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7"/>
      <c r="P131" s="276" t="s">
        <v>73</v>
      </c>
      <c r="Q131" s="277"/>
      <c r="R131" s="277"/>
      <c r="S131" s="277"/>
      <c r="T131" s="277"/>
      <c r="U131" s="277"/>
      <c r="V131" s="278"/>
      <c r="W131" s="37" t="s">
        <v>74</v>
      </c>
      <c r="X131" s="270">
        <f>IFERROR(SUMPRODUCT(X128:X129*H128:H129),"0")</f>
        <v>378</v>
      </c>
      <c r="Y131" s="270">
        <f>IFERROR(SUMPRODUCT(Y128:Y129*H128:H129),"0")</f>
        <v>378</v>
      </c>
      <c r="Z131" s="37"/>
      <c r="AA131" s="271"/>
      <c r="AB131" s="271"/>
      <c r="AC131" s="271"/>
    </row>
    <row r="132" spans="1:68" ht="16.5" hidden="1" customHeight="1" x14ac:dyDescent="0.25">
      <c r="A132" s="279" t="s">
        <v>212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3"/>
      <c r="AB132" s="263"/>
      <c r="AC132" s="263"/>
    </row>
    <row r="133" spans="1:68" ht="14.25" hidden="1" customHeight="1" x14ac:dyDescent="0.25">
      <c r="A133" s="304" t="s">
        <v>123</v>
      </c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62"/>
      <c r="AB133" s="262"/>
      <c r="AC133" s="262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81</v>
      </c>
      <c r="M134" s="33" t="s">
        <v>69</v>
      </c>
      <c r="N134" s="33"/>
      <c r="O134" s="32">
        <v>180</v>
      </c>
      <c r="P134" s="45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70</v>
      </c>
      <c r="X134" s="268">
        <v>84</v>
      </c>
      <c r="Y134" s="269">
        <f>IFERROR(IF(X134="","",X134),"")</f>
        <v>84</v>
      </c>
      <c r="Z134" s="36">
        <f>IFERROR(IF(X134="","",X134*0.01788),"")</f>
        <v>1.5019199999999999</v>
      </c>
      <c r="AA134" s="56"/>
      <c r="AB134" s="57"/>
      <c r="AC134" s="160" t="s">
        <v>202</v>
      </c>
      <c r="AG134" s="67"/>
      <c r="AJ134" s="71" t="s">
        <v>83</v>
      </c>
      <c r="AK134" s="71">
        <v>14</v>
      </c>
      <c r="BB134" s="161" t="s">
        <v>84</v>
      </c>
      <c r="BM134" s="67">
        <f>IFERROR(X134*I134,"0")</f>
        <v>225.12</v>
      </c>
      <c r="BN134" s="67">
        <f>IFERROR(Y134*I134,"0")</f>
        <v>225.12</v>
      </c>
      <c r="BO134" s="67">
        <f>IFERROR(X134/J134,"0")</f>
        <v>1.2</v>
      </c>
      <c r="BP134" s="67">
        <f>IFERROR(Y134/J134,"0")</f>
        <v>1.2</v>
      </c>
    </row>
    <row r="135" spans="1:68" ht="27" hidden="1" customHeight="1" x14ac:dyDescent="0.25">
      <c r="A135" s="54" t="s">
        <v>215</v>
      </c>
      <c r="B135" s="54" t="s">
        <v>216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81</v>
      </c>
      <c r="M135" s="33" t="s">
        <v>69</v>
      </c>
      <c r="N135" s="33"/>
      <c r="O135" s="32">
        <v>180</v>
      </c>
      <c r="P135" s="43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70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202</v>
      </c>
      <c r="AG135" s="67"/>
      <c r="AJ135" s="71" t="s">
        <v>83</v>
      </c>
      <c r="AK135" s="71">
        <v>14</v>
      </c>
      <c r="BB135" s="163" t="s">
        <v>84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6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7"/>
      <c r="P136" s="276" t="s">
        <v>73</v>
      </c>
      <c r="Q136" s="277"/>
      <c r="R136" s="277"/>
      <c r="S136" s="277"/>
      <c r="T136" s="277"/>
      <c r="U136" s="277"/>
      <c r="V136" s="278"/>
      <c r="W136" s="37" t="s">
        <v>70</v>
      </c>
      <c r="X136" s="270">
        <f>IFERROR(SUM(X134:X135),"0")</f>
        <v>84</v>
      </c>
      <c r="Y136" s="270">
        <f>IFERROR(SUM(Y134:Y135),"0")</f>
        <v>84</v>
      </c>
      <c r="Z136" s="270">
        <f>IFERROR(IF(Z134="",0,Z134),"0")+IFERROR(IF(Z135="",0,Z135),"0")</f>
        <v>1.5019199999999999</v>
      </c>
      <c r="AA136" s="271"/>
      <c r="AB136" s="271"/>
      <c r="AC136" s="271"/>
    </row>
    <row r="137" spans="1:68" x14ac:dyDescent="0.2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7"/>
      <c r="P137" s="276" t="s">
        <v>73</v>
      </c>
      <c r="Q137" s="277"/>
      <c r="R137" s="277"/>
      <c r="S137" s="277"/>
      <c r="T137" s="277"/>
      <c r="U137" s="277"/>
      <c r="V137" s="278"/>
      <c r="W137" s="37" t="s">
        <v>74</v>
      </c>
      <c r="X137" s="270">
        <f>IFERROR(SUMPRODUCT(X134:X135*H134:H135),"0")</f>
        <v>201.6</v>
      </c>
      <c r="Y137" s="270">
        <f>IFERROR(SUMPRODUCT(Y134:Y135*H134:H135),"0")</f>
        <v>201.6</v>
      </c>
      <c r="Z137" s="37"/>
      <c r="AA137" s="271"/>
      <c r="AB137" s="271"/>
      <c r="AC137" s="271"/>
    </row>
    <row r="138" spans="1:68" ht="16.5" hidden="1" customHeight="1" x14ac:dyDescent="0.25">
      <c r="A138" s="279" t="s">
        <v>217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3"/>
      <c r="AB138" s="263"/>
      <c r="AC138" s="263"/>
    </row>
    <row r="139" spans="1:68" ht="14.25" hidden="1" customHeight="1" x14ac:dyDescent="0.25">
      <c r="A139" s="304" t="s">
        <v>123</v>
      </c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62"/>
      <c r="AB139" s="262"/>
      <c r="AC139" s="262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81</v>
      </c>
      <c r="M140" s="33" t="s">
        <v>69</v>
      </c>
      <c r="N140" s="33"/>
      <c r="O140" s="32">
        <v>180</v>
      </c>
      <c r="P140" s="37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70</v>
      </c>
      <c r="X140" s="268">
        <v>84</v>
      </c>
      <c r="Y140" s="269">
        <f>IFERROR(IF(X140="","",X140),"")</f>
        <v>84</v>
      </c>
      <c r="Z140" s="36">
        <f>IFERROR(IF(X140="","",X140*0.01788),"")</f>
        <v>1.5019199999999999</v>
      </c>
      <c r="AA140" s="56"/>
      <c r="AB140" s="57"/>
      <c r="AC140" s="164" t="s">
        <v>220</v>
      </c>
      <c r="AG140" s="67"/>
      <c r="AJ140" s="71" t="s">
        <v>83</v>
      </c>
      <c r="AK140" s="71">
        <v>14</v>
      </c>
      <c r="BB140" s="165" t="s">
        <v>84</v>
      </c>
      <c r="BM140" s="67">
        <f>IFERROR(X140*I140,"0")</f>
        <v>311.10239999999999</v>
      </c>
      <c r="BN140" s="67">
        <f>IFERROR(Y140*I140,"0")</f>
        <v>311.10239999999999</v>
      </c>
      <c r="BO140" s="67">
        <f>IFERROR(X140/J140,"0")</f>
        <v>1.2</v>
      </c>
      <c r="BP140" s="67">
        <f>IFERROR(Y140/J140,"0")</f>
        <v>1.2</v>
      </c>
    </row>
    <row r="141" spans="1:68" x14ac:dyDescent="0.2">
      <c r="A141" s="286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7"/>
      <c r="P141" s="276" t="s">
        <v>73</v>
      </c>
      <c r="Q141" s="277"/>
      <c r="R141" s="277"/>
      <c r="S141" s="277"/>
      <c r="T141" s="277"/>
      <c r="U141" s="277"/>
      <c r="V141" s="278"/>
      <c r="W141" s="37" t="s">
        <v>70</v>
      </c>
      <c r="X141" s="270">
        <f>IFERROR(SUM(X140:X140),"0")</f>
        <v>84</v>
      </c>
      <c r="Y141" s="270">
        <f>IFERROR(SUM(Y140:Y140),"0")</f>
        <v>84</v>
      </c>
      <c r="Z141" s="270">
        <f>IFERROR(IF(Z140="",0,Z140),"0")</f>
        <v>1.5019199999999999</v>
      </c>
      <c r="AA141" s="271"/>
      <c r="AB141" s="271"/>
      <c r="AC141" s="271"/>
    </row>
    <row r="142" spans="1:68" x14ac:dyDescent="0.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7"/>
      <c r="P142" s="276" t="s">
        <v>73</v>
      </c>
      <c r="Q142" s="277"/>
      <c r="R142" s="277"/>
      <c r="S142" s="277"/>
      <c r="T142" s="277"/>
      <c r="U142" s="277"/>
      <c r="V142" s="278"/>
      <c r="W142" s="37" t="s">
        <v>74</v>
      </c>
      <c r="X142" s="270">
        <f>IFERROR(SUMPRODUCT(X140:X140*H140:H140),"0")</f>
        <v>252</v>
      </c>
      <c r="Y142" s="270">
        <f>IFERROR(SUMPRODUCT(Y140:Y140*H140:H140),"0")</f>
        <v>252</v>
      </c>
      <c r="Z142" s="37"/>
      <c r="AA142" s="271"/>
      <c r="AB142" s="271"/>
      <c r="AC142" s="271"/>
    </row>
    <row r="143" spans="1:68" ht="16.5" hidden="1" customHeight="1" x14ac:dyDescent="0.25">
      <c r="A143" s="279" t="s">
        <v>221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3"/>
      <c r="AB143" s="263"/>
      <c r="AC143" s="263"/>
    </row>
    <row r="144" spans="1:68" ht="14.25" hidden="1" customHeight="1" x14ac:dyDescent="0.25">
      <c r="A144" s="304" t="s">
        <v>123</v>
      </c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62"/>
      <c r="AB144" s="262"/>
      <c r="AC144" s="262"/>
    </row>
    <row r="145" spans="1:68" ht="16.5" hidden="1" customHeight="1" x14ac:dyDescent="0.25">
      <c r="A145" s="54" t="s">
        <v>222</v>
      </c>
      <c r="B145" s="54" t="s">
        <v>223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81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70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83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7"/>
      <c r="P146" s="276" t="s">
        <v>73</v>
      </c>
      <c r="Q146" s="277"/>
      <c r="R146" s="277"/>
      <c r="S146" s="277"/>
      <c r="T146" s="277"/>
      <c r="U146" s="277"/>
      <c r="V146" s="278"/>
      <c r="W146" s="37" t="s">
        <v>70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7"/>
      <c r="P147" s="276" t="s">
        <v>73</v>
      </c>
      <c r="Q147" s="277"/>
      <c r="R147" s="277"/>
      <c r="S147" s="277"/>
      <c r="T147" s="277"/>
      <c r="U147" s="277"/>
      <c r="V147" s="278"/>
      <c r="W147" s="37" t="s">
        <v>74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79" t="s">
        <v>224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3"/>
      <c r="AB148" s="263"/>
      <c r="AC148" s="263"/>
    </row>
    <row r="149" spans="1:68" ht="14.25" hidden="1" customHeight="1" x14ac:dyDescent="0.25">
      <c r="A149" s="304" t="s">
        <v>195</v>
      </c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62"/>
      <c r="AB149" s="262"/>
      <c r="AC149" s="262"/>
    </row>
    <row r="150" spans="1:68" ht="27" hidden="1" customHeight="1" x14ac:dyDescent="0.25">
      <c r="A150" s="54" t="s">
        <v>225</v>
      </c>
      <c r="B150" s="54" t="s">
        <v>226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81</v>
      </c>
      <c r="M150" s="33" t="s">
        <v>69</v>
      </c>
      <c r="N150" s="33"/>
      <c r="O150" s="32">
        <v>180</v>
      </c>
      <c r="P150" s="2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83</v>
      </c>
      <c r="AK150" s="71">
        <v>6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6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7"/>
      <c r="P151" s="276" t="s">
        <v>73</v>
      </c>
      <c r="Q151" s="277"/>
      <c r="R151" s="277"/>
      <c r="S151" s="277"/>
      <c r="T151" s="277"/>
      <c r="U151" s="277"/>
      <c r="V151" s="278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hidden="1" x14ac:dyDescent="0.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7"/>
      <c r="P152" s="276" t="s">
        <v>73</v>
      </c>
      <c r="Q152" s="277"/>
      <c r="R152" s="277"/>
      <c r="S152" s="277"/>
      <c r="T152" s="277"/>
      <c r="U152" s="277"/>
      <c r="V152" s="278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hidden="1" customHeight="1" x14ac:dyDescent="0.25">
      <c r="A153" s="279" t="s">
        <v>229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3"/>
      <c r="AB153" s="263"/>
      <c r="AC153" s="263"/>
    </row>
    <row r="154" spans="1:68" ht="14.25" hidden="1" customHeight="1" x14ac:dyDescent="0.25">
      <c r="A154" s="304" t="s">
        <v>123</v>
      </c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62"/>
      <c r="AB154" s="262"/>
      <c r="AC154" s="262"/>
    </row>
    <row r="155" spans="1:68" ht="27" hidden="1" customHeight="1" x14ac:dyDescent="0.25">
      <c r="A155" s="54" t="s">
        <v>230</v>
      </c>
      <c r="B155" s="54" t="s">
        <v>231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6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7"/>
      <c r="P156" s="276" t="s">
        <v>73</v>
      </c>
      <c r="Q156" s="277"/>
      <c r="R156" s="277"/>
      <c r="S156" s="277"/>
      <c r="T156" s="277"/>
      <c r="U156" s="277"/>
      <c r="V156" s="278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hidden="1" x14ac:dyDescent="0.2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7"/>
      <c r="P157" s="276" t="s">
        <v>73</v>
      </c>
      <c r="Q157" s="277"/>
      <c r="R157" s="277"/>
      <c r="S157" s="277"/>
      <c r="T157" s="277"/>
      <c r="U157" s="277"/>
      <c r="V157" s="278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hidden="1" customHeight="1" x14ac:dyDescent="0.2">
      <c r="A158" s="320" t="s">
        <v>233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79" t="s">
        <v>234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3"/>
      <c r="AB159" s="263"/>
      <c r="AC159" s="263"/>
    </row>
    <row r="160" spans="1:68" ht="14.25" hidden="1" customHeight="1" x14ac:dyDescent="0.25">
      <c r="A160" s="304" t="s">
        <v>64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62"/>
      <c r="AB160" s="262"/>
      <c r="AC160" s="262"/>
    </row>
    <row r="161" spans="1:68" ht="16.5" hidden="1" customHeight="1" x14ac:dyDescent="0.25">
      <c r="A161" s="54" t="s">
        <v>235</v>
      </c>
      <c r="B161" s="54" t="s">
        <v>236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68</v>
      </c>
      <c r="M161" s="33" t="s">
        <v>69</v>
      </c>
      <c r="N161" s="33"/>
      <c r="O161" s="32">
        <v>180</v>
      </c>
      <c r="P161" s="41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72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hidden="1" customHeight="1" x14ac:dyDescent="0.25">
      <c r="A162" s="54" t="s">
        <v>238</v>
      </c>
      <c r="B162" s="54" t="s">
        <v>239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81</v>
      </c>
      <c r="M162" s="33" t="s">
        <v>69</v>
      </c>
      <c r="N162" s="33"/>
      <c r="O162" s="32">
        <v>180</v>
      </c>
      <c r="P162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240</v>
      </c>
      <c r="AG162" s="67"/>
      <c r="AJ162" s="71" t="s">
        <v>83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6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7"/>
      <c r="P163" s="276" t="s">
        <v>73</v>
      </c>
      <c r="Q163" s="277"/>
      <c r="R163" s="277"/>
      <c r="S163" s="277"/>
      <c r="T163" s="277"/>
      <c r="U163" s="277"/>
      <c r="V163" s="278"/>
      <c r="W163" s="37" t="s">
        <v>70</v>
      </c>
      <c r="X163" s="270">
        <f>IFERROR(SUM(X161:X162),"0")</f>
        <v>0</v>
      </c>
      <c r="Y163" s="270">
        <f>IFERROR(SUM(Y161:Y162),"0")</f>
        <v>0</v>
      </c>
      <c r="Z163" s="270">
        <f>IFERROR(IF(Z161="",0,Z161),"0")+IFERROR(IF(Z162="",0,Z162),"0")</f>
        <v>0</v>
      </c>
      <c r="AA163" s="271"/>
      <c r="AB163" s="271"/>
      <c r="AC163" s="271"/>
    </row>
    <row r="164" spans="1:68" hidden="1" x14ac:dyDescent="0.2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7"/>
      <c r="P164" s="276" t="s">
        <v>73</v>
      </c>
      <c r="Q164" s="277"/>
      <c r="R164" s="277"/>
      <c r="S164" s="277"/>
      <c r="T164" s="277"/>
      <c r="U164" s="277"/>
      <c r="V164" s="278"/>
      <c r="W164" s="37" t="s">
        <v>74</v>
      </c>
      <c r="X164" s="270">
        <f>IFERROR(SUMPRODUCT(X161:X162*H161:H162),"0")</f>
        <v>0</v>
      </c>
      <c r="Y164" s="270">
        <f>IFERROR(SUMPRODUCT(Y161:Y162*H161:H162),"0")</f>
        <v>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241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79" t="s">
        <v>242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3"/>
      <c r="AB166" s="263"/>
      <c r="AC166" s="263"/>
    </row>
    <row r="167" spans="1:68" ht="14.25" hidden="1" customHeight="1" x14ac:dyDescent="0.25">
      <c r="A167" s="304" t="s">
        <v>77</v>
      </c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62"/>
      <c r="AB167" s="262"/>
      <c r="AC167" s="262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87</v>
      </c>
      <c r="M168" s="33" t="s">
        <v>69</v>
      </c>
      <c r="N168" s="33"/>
      <c r="O168" s="32">
        <v>365</v>
      </c>
      <c r="P168" s="3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70</v>
      </c>
      <c r="X168" s="268">
        <v>224</v>
      </c>
      <c r="Y168" s="269">
        <f>IFERROR(IF(X168="","",X168),"")</f>
        <v>224</v>
      </c>
      <c r="Z168" s="36">
        <f>IFERROR(IF(X168="","",X168*0.01788),"")</f>
        <v>4.0051199999999998</v>
      </c>
      <c r="AA168" s="56"/>
      <c r="AB168" s="57"/>
      <c r="AC168" s="176" t="s">
        <v>245</v>
      </c>
      <c r="AG168" s="67"/>
      <c r="AJ168" s="71" t="s">
        <v>88</v>
      </c>
      <c r="AK168" s="71">
        <v>70</v>
      </c>
      <c r="BB168" s="177" t="s">
        <v>84</v>
      </c>
      <c r="BM168" s="67">
        <f>IFERROR(X168*I168,"0")</f>
        <v>758.91200000000003</v>
      </c>
      <c r="BN168" s="67">
        <f>IFERROR(Y168*I168,"0")</f>
        <v>758.91200000000003</v>
      </c>
      <c r="BO168" s="67">
        <f>IFERROR(X168/J168,"0")</f>
        <v>3.2</v>
      </c>
      <c r="BP168" s="67">
        <f>IFERROR(Y168/J168,"0")</f>
        <v>3.2</v>
      </c>
    </row>
    <row r="169" spans="1:68" ht="27" hidden="1" customHeight="1" x14ac:dyDescent="0.25">
      <c r="A169" s="54" t="s">
        <v>246</v>
      </c>
      <c r="B169" s="54" t="s">
        <v>247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70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t="27" hidden="1" customHeight="1" x14ac:dyDescent="0.25">
      <c r="A170" s="54" t="s">
        <v>249</v>
      </c>
      <c r="B170" s="54" t="s">
        <v>250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70</v>
      </c>
      <c r="X170" s="268">
        <v>0</v>
      </c>
      <c r="Y170" s="269">
        <f>IFERROR(IF(X170="","",X170),"")</f>
        <v>0</v>
      </c>
      <c r="Z170" s="36">
        <f>IFERROR(IF(X170="","",X170*0.01788),"")</f>
        <v>0</v>
      </c>
      <c r="AA170" s="56"/>
      <c r="AB170" s="57"/>
      <c r="AC170" s="180" t="s">
        <v>251</v>
      </c>
      <c r="AG170" s="67"/>
      <c r="AJ170" s="71" t="s">
        <v>83</v>
      </c>
      <c r="AK170" s="71">
        <v>14</v>
      </c>
      <c r="BB170" s="181" t="s">
        <v>84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86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7"/>
      <c r="P171" s="276" t="s">
        <v>73</v>
      </c>
      <c r="Q171" s="277"/>
      <c r="R171" s="277"/>
      <c r="S171" s="277"/>
      <c r="T171" s="277"/>
      <c r="U171" s="277"/>
      <c r="V171" s="278"/>
      <c r="W171" s="37" t="s">
        <v>70</v>
      </c>
      <c r="X171" s="270">
        <f>IFERROR(SUM(X168:X170),"0")</f>
        <v>224</v>
      </c>
      <c r="Y171" s="270">
        <f>IFERROR(SUM(Y168:Y170),"0")</f>
        <v>224</v>
      </c>
      <c r="Z171" s="270">
        <f>IFERROR(IF(Z168="",0,Z168),"0")+IFERROR(IF(Z169="",0,Z169),"0")+IFERROR(IF(Z170="",0,Z170),"0")</f>
        <v>4.0051199999999998</v>
      </c>
      <c r="AA171" s="271"/>
      <c r="AB171" s="271"/>
      <c r="AC171" s="271"/>
    </row>
    <row r="172" spans="1:68" x14ac:dyDescent="0.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7"/>
      <c r="P172" s="276" t="s">
        <v>73</v>
      </c>
      <c r="Q172" s="277"/>
      <c r="R172" s="277"/>
      <c r="S172" s="277"/>
      <c r="T172" s="277"/>
      <c r="U172" s="277"/>
      <c r="V172" s="278"/>
      <c r="W172" s="37" t="s">
        <v>74</v>
      </c>
      <c r="X172" s="270">
        <f>IFERROR(SUMPRODUCT(X168:X170*H168:H170),"0")</f>
        <v>672</v>
      </c>
      <c r="Y172" s="270">
        <f>IFERROR(SUMPRODUCT(Y168:Y170*H168:H170),"0")</f>
        <v>672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252</v>
      </c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62"/>
      <c r="AB173" s="262"/>
      <c r="AC173" s="262"/>
    </row>
    <row r="174" spans="1:68" ht="27" hidden="1" customHeight="1" x14ac:dyDescent="0.25">
      <c r="A174" s="54" t="s">
        <v>253</v>
      </c>
      <c r="B174" s="54" t="s">
        <v>254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4" t="s">
        <v>257</v>
      </c>
      <c r="Q174" s="282"/>
      <c r="R174" s="282"/>
      <c r="S174" s="282"/>
      <c r="T174" s="283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7"/>
      <c r="P175" s="276" t="s">
        <v>73</v>
      </c>
      <c r="Q175" s="277"/>
      <c r="R175" s="277"/>
      <c r="S175" s="277"/>
      <c r="T175" s="277"/>
      <c r="U175" s="277"/>
      <c r="V175" s="278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7"/>
      <c r="P176" s="276" t="s">
        <v>73</v>
      </c>
      <c r="Q176" s="277"/>
      <c r="R176" s="277"/>
      <c r="S176" s="277"/>
      <c r="T176" s="277"/>
      <c r="U176" s="277"/>
      <c r="V176" s="278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260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79" t="s">
        <v>261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3"/>
      <c r="AB178" s="263"/>
      <c r="AC178" s="263"/>
    </row>
    <row r="179" spans="1:68" ht="14.25" hidden="1" customHeight="1" x14ac:dyDescent="0.25">
      <c r="A179" s="304" t="s">
        <v>77</v>
      </c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62"/>
      <c r="AB179" s="262"/>
      <c r="AC179" s="262"/>
    </row>
    <row r="180" spans="1:68" ht="27" hidden="1" customHeight="1" x14ac:dyDescent="0.25">
      <c r="A180" s="54" t="s">
        <v>262</v>
      </c>
      <c r="B180" s="54" t="s">
        <v>263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81</v>
      </c>
      <c r="M180" s="33" t="s">
        <v>69</v>
      </c>
      <c r="N180" s="33"/>
      <c r="O180" s="32">
        <v>180</v>
      </c>
      <c r="P180" s="3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70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83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6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7"/>
      <c r="P181" s="276" t="s">
        <v>73</v>
      </c>
      <c r="Q181" s="277"/>
      <c r="R181" s="277"/>
      <c r="S181" s="277"/>
      <c r="T181" s="277"/>
      <c r="U181" s="277"/>
      <c r="V181" s="278"/>
      <c r="W181" s="37" t="s">
        <v>70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hidden="1" x14ac:dyDescent="0.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7"/>
      <c r="P182" s="276" t="s">
        <v>73</v>
      </c>
      <c r="Q182" s="277"/>
      <c r="R182" s="277"/>
      <c r="S182" s="277"/>
      <c r="T182" s="277"/>
      <c r="U182" s="277"/>
      <c r="V182" s="278"/>
      <c r="W182" s="37" t="s">
        <v>74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123</v>
      </c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62"/>
      <c r="AB183" s="262"/>
      <c r="AC183" s="262"/>
    </row>
    <row r="184" spans="1:68" ht="27" hidden="1" customHeight="1" x14ac:dyDescent="0.25">
      <c r="A184" s="54" t="s">
        <v>265</v>
      </c>
      <c r="B184" s="54" t="s">
        <v>266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86" t="s">
        <v>270</v>
      </c>
      <c r="Q185" s="282"/>
      <c r="R185" s="282"/>
      <c r="S185" s="282"/>
      <c r="T185" s="283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272</v>
      </c>
      <c r="B186" s="54" t="s">
        <v>273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44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274</v>
      </c>
      <c r="B187" s="54" t="s">
        <v>275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7"/>
      <c r="P188" s="276" t="s">
        <v>73</v>
      </c>
      <c r="Q188" s="277"/>
      <c r="R188" s="277"/>
      <c r="S188" s="277"/>
      <c r="T188" s="277"/>
      <c r="U188" s="277"/>
      <c r="V188" s="278"/>
      <c r="W188" s="37" t="s">
        <v>70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hidden="1" x14ac:dyDescent="0.2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7"/>
      <c r="P189" s="276" t="s">
        <v>73</v>
      </c>
      <c r="Q189" s="277"/>
      <c r="R189" s="277"/>
      <c r="S189" s="277"/>
      <c r="T189" s="277"/>
      <c r="U189" s="277"/>
      <c r="V189" s="278"/>
      <c r="W189" s="37" t="s">
        <v>74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hidden="1" customHeight="1" x14ac:dyDescent="0.25">
      <c r="A190" s="279" t="s">
        <v>277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3"/>
      <c r="AB190" s="263"/>
      <c r="AC190" s="263"/>
    </row>
    <row r="191" spans="1:68" ht="14.25" hidden="1" customHeight="1" x14ac:dyDescent="0.25">
      <c r="A191" s="304" t="s">
        <v>64</v>
      </c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62"/>
      <c r="AB191" s="262"/>
      <c r="AC191" s="262"/>
    </row>
    <row r="192" spans="1:68" ht="27" hidden="1" customHeight="1" x14ac:dyDescent="0.25">
      <c r="A192" s="54" t="s">
        <v>278</v>
      </c>
      <c r="B192" s="54" t="s">
        <v>279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281</v>
      </c>
      <c r="B193" s="54" t="s">
        <v>282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2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283</v>
      </c>
      <c r="B194" s="54" t="s">
        <v>284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4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285</v>
      </c>
      <c r="B195" s="54" t="s">
        <v>286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8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6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7"/>
      <c r="P196" s="276" t="s">
        <v>73</v>
      </c>
      <c r="Q196" s="277"/>
      <c r="R196" s="277"/>
      <c r="S196" s="277"/>
      <c r="T196" s="277"/>
      <c r="U196" s="277"/>
      <c r="V196" s="278"/>
      <c r="W196" s="37" t="s">
        <v>70</v>
      </c>
      <c r="X196" s="270">
        <f>IFERROR(SUM(X192:X195),"0")</f>
        <v>0</v>
      </c>
      <c r="Y196" s="270">
        <f>IFERROR(SUM(Y192:Y195),"0")</f>
        <v>0</v>
      </c>
      <c r="Z196" s="270">
        <f>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7"/>
      <c r="P197" s="276" t="s">
        <v>73</v>
      </c>
      <c r="Q197" s="277"/>
      <c r="R197" s="277"/>
      <c r="S197" s="277"/>
      <c r="T197" s="277"/>
      <c r="U197" s="277"/>
      <c r="V197" s="278"/>
      <c r="W197" s="37" t="s">
        <v>74</v>
      </c>
      <c r="X197" s="270">
        <f>IFERROR(SUMPRODUCT(X192:X195*H192:H195),"0")</f>
        <v>0</v>
      </c>
      <c r="Y197" s="270">
        <f>IFERROR(SUMPRODUCT(Y192:Y195*H192:H195),"0")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79" t="s">
        <v>287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304" t="s">
        <v>64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2"/>
      <c r="AB199" s="262"/>
      <c r="AC199" s="262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87</v>
      </c>
      <c r="M200" s="33" t="s">
        <v>69</v>
      </c>
      <c r="N200" s="33"/>
      <c r="O200" s="32">
        <v>180</v>
      </c>
      <c r="P200" s="44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70</v>
      </c>
      <c r="X200" s="268">
        <v>192</v>
      </c>
      <c r="Y200" s="269">
        <f>IFERROR(IF(X200="","",X200),"")</f>
        <v>192</v>
      </c>
      <c r="Z200" s="36">
        <f>IFERROR(IF(X200="","",X200*0.0155),"")</f>
        <v>2.976</v>
      </c>
      <c r="AA200" s="56"/>
      <c r="AB200" s="57"/>
      <c r="AC200" s="202" t="s">
        <v>290</v>
      </c>
      <c r="AG200" s="67"/>
      <c r="AJ200" s="71" t="s">
        <v>88</v>
      </c>
      <c r="AK200" s="71">
        <v>84</v>
      </c>
      <c r="BB200" s="203" t="s">
        <v>1</v>
      </c>
      <c r="BM200" s="67">
        <f>IFERROR(X200*I200,"0")</f>
        <v>1004.1600000000001</v>
      </c>
      <c r="BN200" s="67">
        <f>IFERROR(Y200*I200,"0")</f>
        <v>1004.1600000000001</v>
      </c>
      <c r="BO200" s="67">
        <f>IFERROR(X200/J200,"0")</f>
        <v>2.2857142857142856</v>
      </c>
      <c r="BP200" s="67">
        <f>IFERROR(Y200/J200,"0")</f>
        <v>2.2857142857142856</v>
      </c>
    </row>
    <row r="201" spans="1:68" x14ac:dyDescent="0.2">
      <c r="A201" s="286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7"/>
      <c r="P201" s="276" t="s">
        <v>73</v>
      </c>
      <c r="Q201" s="277"/>
      <c r="R201" s="277"/>
      <c r="S201" s="277"/>
      <c r="T201" s="277"/>
      <c r="U201" s="277"/>
      <c r="V201" s="278"/>
      <c r="W201" s="37" t="s">
        <v>70</v>
      </c>
      <c r="X201" s="270">
        <f>IFERROR(SUM(X200:X200),"0")</f>
        <v>192</v>
      </c>
      <c r="Y201" s="270">
        <f>IFERROR(SUM(Y200:Y200),"0")</f>
        <v>192</v>
      </c>
      <c r="Z201" s="270">
        <f>IFERROR(IF(Z200="",0,Z200),"0")</f>
        <v>2.976</v>
      </c>
      <c r="AA201" s="271"/>
      <c r="AB201" s="271"/>
      <c r="AC201" s="271"/>
    </row>
    <row r="202" spans="1:68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7"/>
      <c r="P202" s="276" t="s">
        <v>73</v>
      </c>
      <c r="Q202" s="277"/>
      <c r="R202" s="277"/>
      <c r="S202" s="277"/>
      <c r="T202" s="277"/>
      <c r="U202" s="277"/>
      <c r="V202" s="278"/>
      <c r="W202" s="37" t="s">
        <v>74</v>
      </c>
      <c r="X202" s="270">
        <f>IFERROR(SUMPRODUCT(X200:X200*H200:H200),"0")</f>
        <v>960</v>
      </c>
      <c r="Y202" s="270">
        <f>IFERROR(SUMPRODUCT(Y200:Y200*H200:H200),"0")</f>
        <v>960</v>
      </c>
      <c r="Z202" s="37"/>
      <c r="AA202" s="271"/>
      <c r="AB202" s="271"/>
      <c r="AC202" s="271"/>
    </row>
    <row r="203" spans="1:68" ht="16.5" hidden="1" customHeight="1" x14ac:dyDescent="0.25">
      <c r="A203" s="279" t="s">
        <v>291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304" t="s">
        <v>64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2"/>
      <c r="AB204" s="262"/>
      <c r="AC204" s="262"/>
    </row>
    <row r="205" spans="1:68" ht="27" hidden="1" customHeight="1" x14ac:dyDescent="0.25">
      <c r="A205" s="54" t="s">
        <v>292</v>
      </c>
      <c r="B205" s="54" t="s">
        <v>293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7"/>
      <c r="P206" s="276" t="s">
        <v>73</v>
      </c>
      <c r="Q206" s="277"/>
      <c r="R206" s="277"/>
      <c r="S206" s="277"/>
      <c r="T206" s="277"/>
      <c r="U206" s="277"/>
      <c r="V206" s="278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7"/>
      <c r="P207" s="276" t="s">
        <v>73</v>
      </c>
      <c r="Q207" s="277"/>
      <c r="R207" s="277"/>
      <c r="S207" s="277"/>
      <c r="T207" s="277"/>
      <c r="U207" s="277"/>
      <c r="V207" s="278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123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2"/>
      <c r="AB208" s="262"/>
      <c r="AC208" s="262"/>
    </row>
    <row r="209" spans="1:68" ht="27" hidden="1" customHeight="1" x14ac:dyDescent="0.25">
      <c r="A209" s="54" t="s">
        <v>295</v>
      </c>
      <c r="B209" s="54" t="s">
        <v>296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36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298</v>
      </c>
      <c r="B210" s="54" t="s">
        <v>299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8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6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7"/>
      <c r="P212" s="276" t="s">
        <v>73</v>
      </c>
      <c r="Q212" s="277"/>
      <c r="R212" s="277"/>
      <c r="S212" s="277"/>
      <c r="T212" s="277"/>
      <c r="U212" s="277"/>
      <c r="V212" s="278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7"/>
      <c r="P213" s="276" t="s">
        <v>73</v>
      </c>
      <c r="Q213" s="277"/>
      <c r="R213" s="277"/>
      <c r="S213" s="277"/>
      <c r="T213" s="277"/>
      <c r="U213" s="277"/>
      <c r="V213" s="278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9" t="s">
        <v>302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304" t="s">
        <v>64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2"/>
      <c r="AB215" s="262"/>
      <c r="AC215" s="262"/>
    </row>
    <row r="216" spans="1:68" ht="16.5" customHeight="1" x14ac:dyDescent="0.25">
      <c r="A216" s="54" t="s">
        <v>303</v>
      </c>
      <c r="B216" s="54" t="s">
        <v>304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9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70</v>
      </c>
      <c r="X216" s="268">
        <v>60</v>
      </c>
      <c r="Y216" s="269">
        <f>IFERROR(IF(X216="","",X216),"")</f>
        <v>60</v>
      </c>
      <c r="Z216" s="36">
        <f>IFERROR(IF(X216="","",X216*0.0155),"")</f>
        <v>0.92999999999999994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432.36</v>
      </c>
      <c r="BN216" s="67">
        <f>IFERROR(Y216*I216,"0")</f>
        <v>432.36</v>
      </c>
      <c r="BO216" s="67">
        <f>IFERROR(X216/J216,"0")</f>
        <v>0.7142857142857143</v>
      </c>
      <c r="BP216" s="67">
        <f>IFERROR(Y216/J216,"0")</f>
        <v>0.7142857142857143</v>
      </c>
    </row>
    <row r="217" spans="1:68" ht="16.5" customHeight="1" x14ac:dyDescent="0.25">
      <c r="A217" s="54" t="s">
        <v>306</v>
      </c>
      <c r="B217" s="54" t="s">
        <v>307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14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70</v>
      </c>
      <c r="X217" s="268">
        <v>120</v>
      </c>
      <c r="Y217" s="269">
        <f>IFERROR(IF(X217="","",X217),"")</f>
        <v>120</v>
      </c>
      <c r="Z217" s="36">
        <f>IFERROR(IF(X217="","",X217*0.0155),"")</f>
        <v>1.8599999999999999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800.4</v>
      </c>
      <c r="BN217" s="67">
        <f>IFERROR(Y217*I217,"0")</f>
        <v>800.4</v>
      </c>
      <c r="BO217" s="67">
        <f>IFERROR(X217/J217,"0")</f>
        <v>1.4285714285714286</v>
      </c>
      <c r="BP217" s="67">
        <f>IFERROR(Y217/J217,"0")</f>
        <v>1.4285714285714286</v>
      </c>
    </row>
    <row r="218" spans="1:68" x14ac:dyDescent="0.2">
      <c r="A218" s="286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7"/>
      <c r="P218" s="276" t="s">
        <v>73</v>
      </c>
      <c r="Q218" s="277"/>
      <c r="R218" s="277"/>
      <c r="S218" s="277"/>
      <c r="T218" s="277"/>
      <c r="U218" s="277"/>
      <c r="V218" s="278"/>
      <c r="W218" s="37" t="s">
        <v>70</v>
      </c>
      <c r="X218" s="270">
        <f>IFERROR(SUM(X216:X217),"0")</f>
        <v>180</v>
      </c>
      <c r="Y218" s="270">
        <f>IFERROR(SUM(Y216:Y217),"0")</f>
        <v>180</v>
      </c>
      <c r="Z218" s="270">
        <f>IFERROR(IF(Z216="",0,Z216),"0")+IFERROR(IF(Z217="",0,Z217),"0")</f>
        <v>2.79</v>
      </c>
      <c r="AA218" s="271"/>
      <c r="AB218" s="271"/>
      <c r="AC218" s="271"/>
    </row>
    <row r="219" spans="1:68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7"/>
      <c r="P219" s="276" t="s">
        <v>73</v>
      </c>
      <c r="Q219" s="277"/>
      <c r="R219" s="277"/>
      <c r="S219" s="277"/>
      <c r="T219" s="277"/>
      <c r="U219" s="277"/>
      <c r="V219" s="278"/>
      <c r="W219" s="37" t="s">
        <v>74</v>
      </c>
      <c r="X219" s="270">
        <f>IFERROR(SUMPRODUCT(X216:X217*H216:H217),"0")</f>
        <v>1180.8</v>
      </c>
      <c r="Y219" s="270">
        <f>IFERROR(SUMPRODUCT(Y216:Y217*H216:H217),"0")</f>
        <v>1180.8</v>
      </c>
      <c r="Z219" s="37"/>
      <c r="AA219" s="271"/>
      <c r="AB219" s="271"/>
      <c r="AC219" s="271"/>
    </row>
    <row r="220" spans="1:68" ht="27.75" hidden="1" customHeight="1" x14ac:dyDescent="0.2">
      <c r="A220" s="320" t="s">
        <v>308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79" t="s">
        <v>309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304" t="s">
        <v>64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2"/>
      <c r="AB222" s="262"/>
      <c r="AC222" s="262"/>
    </row>
    <row r="223" spans="1:68" ht="27" hidden="1" customHeight="1" x14ac:dyDescent="0.25">
      <c r="A223" s="54" t="s">
        <v>310</v>
      </c>
      <c r="B223" s="54" t="s">
        <v>311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7"/>
      <c r="P224" s="276" t="s">
        <v>73</v>
      </c>
      <c r="Q224" s="277"/>
      <c r="R224" s="277"/>
      <c r="S224" s="277"/>
      <c r="T224" s="277"/>
      <c r="U224" s="277"/>
      <c r="V224" s="278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7"/>
      <c r="P225" s="276" t="s">
        <v>73</v>
      </c>
      <c r="Q225" s="277"/>
      <c r="R225" s="277"/>
      <c r="S225" s="277"/>
      <c r="T225" s="277"/>
      <c r="U225" s="277"/>
      <c r="V225" s="278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313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79" t="s">
        <v>314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304" t="s">
        <v>64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2"/>
      <c r="AB228" s="262"/>
      <c r="AC228" s="262"/>
    </row>
    <row r="229" spans="1:68" ht="27" hidden="1" customHeight="1" x14ac:dyDescent="0.25">
      <c r="A229" s="54" t="s">
        <v>315</v>
      </c>
      <c r="B229" s="54" t="s">
        <v>316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70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240</v>
      </c>
      <c r="AG229" s="67"/>
      <c r="AJ229" s="71" t="s">
        <v>83</v>
      </c>
      <c r="AK229" s="71">
        <v>12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6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7"/>
      <c r="P230" s="276" t="s">
        <v>73</v>
      </c>
      <c r="Q230" s="277"/>
      <c r="R230" s="277"/>
      <c r="S230" s="277"/>
      <c r="T230" s="277"/>
      <c r="U230" s="277"/>
      <c r="V230" s="278"/>
      <c r="W230" s="37" t="s">
        <v>70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7"/>
      <c r="P231" s="276" t="s">
        <v>73</v>
      </c>
      <c r="Q231" s="277"/>
      <c r="R231" s="277"/>
      <c r="S231" s="277"/>
      <c r="T231" s="277"/>
      <c r="U231" s="277"/>
      <c r="V231" s="278"/>
      <c r="W231" s="37" t="s">
        <v>74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317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79" t="s">
        <v>318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304" t="s">
        <v>319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2"/>
      <c r="AB234" s="262"/>
      <c r="AC234" s="262"/>
    </row>
    <row r="235" spans="1:68" ht="27" hidden="1" customHeight="1" x14ac:dyDescent="0.25">
      <c r="A235" s="54" t="s">
        <v>320</v>
      </c>
      <c r="B235" s="54" t="s">
        <v>321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7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7"/>
      <c r="P236" s="276" t="s">
        <v>73</v>
      </c>
      <c r="Q236" s="277"/>
      <c r="R236" s="277"/>
      <c r="S236" s="277"/>
      <c r="T236" s="277"/>
      <c r="U236" s="277"/>
      <c r="V236" s="278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7"/>
      <c r="P237" s="276" t="s">
        <v>73</v>
      </c>
      <c r="Q237" s="277"/>
      <c r="R237" s="277"/>
      <c r="S237" s="277"/>
      <c r="T237" s="277"/>
      <c r="U237" s="277"/>
      <c r="V237" s="278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123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2"/>
      <c r="AB238" s="262"/>
      <c r="AC238" s="262"/>
    </row>
    <row r="239" spans="1:68" ht="37.5" hidden="1" customHeight="1" x14ac:dyDescent="0.25">
      <c r="A239" s="54" t="s">
        <v>323</v>
      </c>
      <c r="B239" s="54" t="s">
        <v>324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7"/>
      <c r="P240" s="276" t="s">
        <v>73</v>
      </c>
      <c r="Q240" s="277"/>
      <c r="R240" s="277"/>
      <c r="S240" s="277"/>
      <c r="T240" s="277"/>
      <c r="U240" s="277"/>
      <c r="V240" s="278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7"/>
      <c r="P241" s="276" t="s">
        <v>73</v>
      </c>
      <c r="Q241" s="277"/>
      <c r="R241" s="277"/>
      <c r="S241" s="277"/>
      <c r="T241" s="277"/>
      <c r="U241" s="277"/>
      <c r="V241" s="278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325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79" t="s">
        <v>325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304" t="s">
        <v>64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2"/>
      <c r="AB244" s="262"/>
      <c r="AC244" s="262"/>
    </row>
    <row r="245" spans="1:68" ht="27" hidden="1" customHeight="1" x14ac:dyDescent="0.25">
      <c r="A245" s="54" t="s">
        <v>326</v>
      </c>
      <c r="B245" s="54" t="s">
        <v>327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9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329</v>
      </c>
      <c r="B246" s="54" t="s">
        <v>330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331</v>
      </c>
      <c r="B247" s="54" t="s">
        <v>332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2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6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7"/>
      <c r="P248" s="276" t="s">
        <v>73</v>
      </c>
      <c r="Q248" s="277"/>
      <c r="R248" s="277"/>
      <c r="S248" s="277"/>
      <c r="T248" s="277"/>
      <c r="U248" s="277"/>
      <c r="V248" s="278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7"/>
      <c r="P249" s="276" t="s">
        <v>73</v>
      </c>
      <c r="Q249" s="277"/>
      <c r="R249" s="277"/>
      <c r="S249" s="277"/>
      <c r="T249" s="277"/>
      <c r="U249" s="277"/>
      <c r="V249" s="278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304" t="s">
        <v>77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2"/>
      <c r="AB250" s="262"/>
      <c r="AC250" s="262"/>
    </row>
    <row r="251" spans="1:68" ht="27" hidden="1" customHeight="1" x14ac:dyDescent="0.25">
      <c r="A251" s="54" t="s">
        <v>334</v>
      </c>
      <c r="B251" s="54" t="s">
        <v>335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41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70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336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hidden="1" customHeight="1" x14ac:dyDescent="0.25">
      <c r="A252" s="54" t="s">
        <v>337</v>
      </c>
      <c r="B252" s="54" t="s">
        <v>338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68</v>
      </c>
      <c r="M252" s="33" t="s">
        <v>69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286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7"/>
      <c r="P253" s="276" t="s">
        <v>73</v>
      </c>
      <c r="Q253" s="277"/>
      <c r="R253" s="277"/>
      <c r="S253" s="277"/>
      <c r="T253" s="277"/>
      <c r="U253" s="277"/>
      <c r="V253" s="278"/>
      <c r="W253" s="37" t="s">
        <v>70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hidden="1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7"/>
      <c r="P254" s="276" t="s">
        <v>73</v>
      </c>
      <c r="Q254" s="277"/>
      <c r="R254" s="277"/>
      <c r="S254" s="277"/>
      <c r="T254" s="277"/>
      <c r="U254" s="277"/>
      <c r="V254" s="278"/>
      <c r="W254" s="37" t="s">
        <v>74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117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2"/>
      <c r="AB255" s="262"/>
      <c r="AC255" s="262"/>
    </row>
    <row r="256" spans="1:68" ht="27" hidden="1" customHeight="1" x14ac:dyDescent="0.25">
      <c r="A256" s="54" t="s">
        <v>339</v>
      </c>
      <c r="B256" s="54" t="s">
        <v>340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4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341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342</v>
      </c>
      <c r="B257" s="54" t="s">
        <v>343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70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341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344</v>
      </c>
      <c r="B258" s="54" t="s">
        <v>345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81</v>
      </c>
      <c r="M258" s="33" t="s">
        <v>69</v>
      </c>
      <c r="N258" s="33"/>
      <c r="O258" s="32">
        <v>180</v>
      </c>
      <c r="P258" s="3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70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341</v>
      </c>
      <c r="AG258" s="67"/>
      <c r="AJ258" s="71" t="s">
        <v>83</v>
      </c>
      <c r="AK258" s="71">
        <v>14</v>
      </c>
      <c r="BB258" s="239" t="s">
        <v>84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86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7"/>
      <c r="P259" s="276" t="s">
        <v>73</v>
      </c>
      <c r="Q259" s="277"/>
      <c r="R259" s="277"/>
      <c r="S259" s="277"/>
      <c r="T259" s="277"/>
      <c r="U259" s="277"/>
      <c r="V259" s="278"/>
      <c r="W259" s="37" t="s">
        <v>70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hidden="1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7"/>
      <c r="P260" s="276" t="s">
        <v>73</v>
      </c>
      <c r="Q260" s="277"/>
      <c r="R260" s="277"/>
      <c r="S260" s="277"/>
      <c r="T260" s="277"/>
      <c r="U260" s="277"/>
      <c r="V260" s="278"/>
      <c r="W260" s="37" t="s">
        <v>74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123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2"/>
      <c r="AB261" s="262"/>
      <c r="AC261" s="262"/>
    </row>
    <row r="262" spans="1:68" ht="37.5" hidden="1" customHeight="1" x14ac:dyDescent="0.25">
      <c r="A262" s="54" t="s">
        <v>346</v>
      </c>
      <c r="B262" s="54" t="s">
        <v>347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3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hidden="1" customHeight="1" x14ac:dyDescent="0.25">
      <c r="A263" s="54" t="s">
        <v>349</v>
      </c>
      <c r="B263" s="54" t="s">
        <v>350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44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70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351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hidden="1" customHeight="1" x14ac:dyDescent="0.25">
      <c r="A264" s="54" t="s">
        <v>352</v>
      </c>
      <c r="B264" s="54" t="s">
        <v>353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3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348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hidden="1" customHeight="1" x14ac:dyDescent="0.25">
      <c r="A265" s="54" t="s">
        <v>354</v>
      </c>
      <c r="B265" s="54" t="s">
        <v>355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81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70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351</v>
      </c>
      <c r="AG265" s="67"/>
      <c r="AJ265" s="71" t="s">
        <v>83</v>
      </c>
      <c r="AK265" s="71">
        <v>14</v>
      </c>
      <c r="BB265" s="247" t="s">
        <v>84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hidden="1" customHeight="1" x14ac:dyDescent="0.25">
      <c r="A266" s="54" t="s">
        <v>356</v>
      </c>
      <c r="B266" s="54" t="s">
        <v>357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81</v>
      </c>
      <c r="M266" s="33" t="s">
        <v>69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70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348</v>
      </c>
      <c r="AG266" s="67"/>
      <c r="AJ266" s="71" t="s">
        <v>83</v>
      </c>
      <c r="AK266" s="71">
        <v>14</v>
      </c>
      <c r="BB266" s="249" t="s">
        <v>84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358</v>
      </c>
      <c r="B267" s="54" t="s">
        <v>359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81</v>
      </c>
      <c r="M267" s="33" t="s">
        <v>69</v>
      </c>
      <c r="N267" s="33"/>
      <c r="O267" s="32">
        <v>180</v>
      </c>
      <c r="P267" s="38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83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360</v>
      </c>
      <c r="B268" s="54" t="s">
        <v>361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87</v>
      </c>
      <c r="M268" s="33" t="s">
        <v>69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348</v>
      </c>
      <c r="AG268" s="67"/>
      <c r="AJ268" s="71" t="s">
        <v>88</v>
      </c>
      <c r="AK268" s="71">
        <v>126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362</v>
      </c>
      <c r="B269" s="54" t="s">
        <v>363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364</v>
      </c>
      <c r="B270" s="54" t="s">
        <v>365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1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idden="1" x14ac:dyDescent="0.2">
      <c r="A272" s="286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7"/>
      <c r="P272" s="276" t="s">
        <v>73</v>
      </c>
      <c r="Q272" s="277"/>
      <c r="R272" s="277"/>
      <c r="S272" s="277"/>
      <c r="T272" s="277"/>
      <c r="U272" s="277"/>
      <c r="V272" s="278"/>
      <c r="W272" s="37" t="s">
        <v>70</v>
      </c>
      <c r="X272" s="270">
        <f>IFERROR(SUM(X262:X271),"0")</f>
        <v>0</v>
      </c>
      <c r="Y272" s="270">
        <f>IFERROR(SUM(Y262:Y271),"0")</f>
        <v>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1"/>
      <c r="AB272" s="271"/>
      <c r="AC272" s="271"/>
    </row>
    <row r="273" spans="1:32" hidden="1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7"/>
      <c r="P273" s="276" t="s">
        <v>73</v>
      </c>
      <c r="Q273" s="277"/>
      <c r="R273" s="277"/>
      <c r="S273" s="277"/>
      <c r="T273" s="277"/>
      <c r="U273" s="277"/>
      <c r="V273" s="278"/>
      <c r="W273" s="37" t="s">
        <v>74</v>
      </c>
      <c r="X273" s="270">
        <f>IFERROR(SUMPRODUCT(X262:X271*H262:H271),"0")</f>
        <v>0</v>
      </c>
      <c r="Y273" s="270">
        <f>IFERROR(SUMPRODUCT(Y262:Y271*H262:H271),"0")</f>
        <v>0</v>
      </c>
      <c r="Z273" s="37"/>
      <c r="AA273" s="271"/>
      <c r="AB273" s="271"/>
      <c r="AC273" s="271"/>
    </row>
    <row r="274" spans="1:32" ht="15" customHeight="1" x14ac:dyDescent="0.2">
      <c r="A274" s="434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70"/>
      <c r="P274" s="317" t="s">
        <v>368</v>
      </c>
      <c r="Q274" s="318"/>
      <c r="R274" s="318"/>
      <c r="S274" s="318"/>
      <c r="T274" s="318"/>
      <c r="U274" s="318"/>
      <c r="V274" s="319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12060.48</v>
      </c>
      <c r="Y274" s="270">
        <f>IFERROR(Y24+Y31+Y38+Y46+Y51+Y55+Y60+Y66+Y72+Y77+Y83+Y93+Y99+Y111+Y115+Y119+Y125+Y131+Y137+Y142+Y147+Y152+Y157+Y164+Y172+Y176+Y182+Y189+Y197+Y202+Y207+Y213+Y219+Y225+Y231+Y237+Y241+Y249+Y254+Y260+Y273,"0")</f>
        <v>12060.48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70"/>
      <c r="P275" s="317" t="s">
        <v>369</v>
      </c>
      <c r="Q275" s="318"/>
      <c r="R275" s="318"/>
      <c r="S275" s="318"/>
      <c r="T275" s="318"/>
      <c r="U275" s="318"/>
      <c r="V275" s="319"/>
      <c r="W275" s="37" t="s">
        <v>74</v>
      </c>
      <c r="X275" s="270">
        <f>IFERROR(SUM(BM22:BM271),"0")</f>
        <v>13316.151200000002</v>
      </c>
      <c r="Y275" s="270">
        <f>IFERROR(SUM(BN22:BN271),"0")</f>
        <v>13316.151200000002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70"/>
      <c r="P276" s="317" t="s">
        <v>370</v>
      </c>
      <c r="Q276" s="318"/>
      <c r="R276" s="318"/>
      <c r="S276" s="318"/>
      <c r="T276" s="318"/>
      <c r="U276" s="318"/>
      <c r="V276" s="319"/>
      <c r="W276" s="37" t="s">
        <v>371</v>
      </c>
      <c r="X276" s="38">
        <f>ROUNDUP(SUM(BO22:BO271),0)</f>
        <v>36</v>
      </c>
      <c r="Y276" s="38">
        <f>ROUNDUP(SUM(BP22:BP271),0)</f>
        <v>36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70"/>
      <c r="P277" s="317" t="s">
        <v>372</v>
      </c>
      <c r="Q277" s="318"/>
      <c r="R277" s="318"/>
      <c r="S277" s="318"/>
      <c r="T277" s="318"/>
      <c r="U277" s="318"/>
      <c r="V277" s="319"/>
      <c r="W277" s="37" t="s">
        <v>74</v>
      </c>
      <c r="X277" s="270">
        <f>GrossWeightTotal+PalletQtyTotal*25</f>
        <v>14216.151200000002</v>
      </c>
      <c r="Y277" s="270">
        <f>GrossWeightTotalR+PalletQtyTotalR*25</f>
        <v>14216.151200000002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70"/>
      <c r="P278" s="317" t="s">
        <v>373</v>
      </c>
      <c r="Q278" s="318"/>
      <c r="R278" s="318"/>
      <c r="S278" s="318"/>
      <c r="T278" s="318"/>
      <c r="U278" s="318"/>
      <c r="V278" s="319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2838</v>
      </c>
      <c r="Y278" s="270">
        <f>IFERROR(Y23+Y30+Y37+Y45+Y50+Y54+Y59+Y65+Y71+Y76+Y82+Y92+Y98+Y110+Y114+Y118+Y124+Y130+Y136+Y141+Y146+Y151+Y156+Y163+Y171+Y175+Y181+Y188+Y196+Y201+Y206+Y212+Y218+Y224+Y230+Y236+Y240+Y248+Y253+Y259+Y272,"0")</f>
        <v>2838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70"/>
      <c r="P279" s="317" t="s">
        <v>374</v>
      </c>
      <c r="Q279" s="318"/>
      <c r="R279" s="318"/>
      <c r="S279" s="318"/>
      <c r="T279" s="318"/>
      <c r="U279" s="318"/>
      <c r="V279" s="319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45.15659999999999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0" t="s">
        <v>63</v>
      </c>
      <c r="C281" s="272" t="s">
        <v>75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0" t="s">
        <v>233</v>
      </c>
      <c r="V281" s="260" t="s">
        <v>241</v>
      </c>
      <c r="W281" s="272" t="s">
        <v>260</v>
      </c>
      <c r="X281" s="308"/>
      <c r="Y281" s="308"/>
      <c r="Z281" s="308"/>
      <c r="AA281" s="309"/>
      <c r="AB281" s="260" t="s">
        <v>308</v>
      </c>
      <c r="AC281" s="260" t="s">
        <v>313</v>
      </c>
      <c r="AD281" s="260" t="s">
        <v>317</v>
      </c>
      <c r="AE281" s="260" t="s">
        <v>325</v>
      </c>
      <c r="AF281" s="261"/>
    </row>
    <row r="282" spans="1:32" ht="14.25" customHeight="1" thickTop="1" x14ac:dyDescent="0.2">
      <c r="A282" s="290" t="s">
        <v>377</v>
      </c>
      <c r="B282" s="272" t="s">
        <v>63</v>
      </c>
      <c r="C282" s="272" t="s">
        <v>76</v>
      </c>
      <c r="D282" s="272" t="s">
        <v>89</v>
      </c>
      <c r="E282" s="272" t="s">
        <v>99</v>
      </c>
      <c r="F282" s="272" t="s">
        <v>110</v>
      </c>
      <c r="G282" s="272" t="s">
        <v>131</v>
      </c>
      <c r="H282" s="272" t="s">
        <v>138</v>
      </c>
      <c r="I282" s="272" t="s">
        <v>142</v>
      </c>
      <c r="J282" s="272" t="s">
        <v>150</v>
      </c>
      <c r="K282" s="272" t="s">
        <v>165</v>
      </c>
      <c r="L282" s="272" t="s">
        <v>171</v>
      </c>
      <c r="M282" s="272" t="s">
        <v>199</v>
      </c>
      <c r="N282" s="261"/>
      <c r="O282" s="272" t="s">
        <v>205</v>
      </c>
      <c r="P282" s="272" t="s">
        <v>212</v>
      </c>
      <c r="Q282" s="272" t="s">
        <v>217</v>
      </c>
      <c r="R282" s="272" t="s">
        <v>221</v>
      </c>
      <c r="S282" s="272" t="s">
        <v>224</v>
      </c>
      <c r="T282" s="272" t="s">
        <v>229</v>
      </c>
      <c r="U282" s="272" t="s">
        <v>234</v>
      </c>
      <c r="V282" s="272" t="s">
        <v>242</v>
      </c>
      <c r="W282" s="272" t="s">
        <v>261</v>
      </c>
      <c r="X282" s="272" t="s">
        <v>277</v>
      </c>
      <c r="Y282" s="272" t="s">
        <v>287</v>
      </c>
      <c r="Z282" s="272" t="s">
        <v>291</v>
      </c>
      <c r="AA282" s="272" t="s">
        <v>302</v>
      </c>
      <c r="AB282" s="272" t="s">
        <v>309</v>
      </c>
      <c r="AC282" s="272" t="s">
        <v>314</v>
      </c>
      <c r="AD282" s="272" t="s">
        <v>318</v>
      </c>
      <c r="AE282" s="272" t="s">
        <v>325</v>
      </c>
      <c r="AF282" s="261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1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1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378</v>
      </c>
      <c r="D284" s="46">
        <f>IFERROR(X34*H34,"0")+IFERROR(X35*H35,"0")+IFERROR(X36*H36,"0")</f>
        <v>1747.1999999999998</v>
      </c>
      <c r="E284" s="46">
        <f>IFERROR(X41*H41,"0")+IFERROR(X42*H42,"0")+IFERROR(X43*H43,"0")+IFERROR(X44*H44,"0")</f>
        <v>756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0</v>
      </c>
      <c r="H284" s="46">
        <f>IFERROR(X75*H75,"0")</f>
        <v>201.6</v>
      </c>
      <c r="I284" s="46">
        <f>IFERROR(X80*H80,"0")+IFERROR(X81*H81,"0")</f>
        <v>655.20000000000005</v>
      </c>
      <c r="J284" s="46">
        <f>IFERROR(X86*H86,"0")+IFERROR(X87*H87,"0")+IFERROR(X88*H88,"0")+IFERROR(X89*H89,"0")+IFERROR(X90*H90,"0")+IFERROR(X91*H91,"0")</f>
        <v>917.28</v>
      </c>
      <c r="K284" s="46">
        <f>IFERROR(X96*H96,"0")+IFERROR(X97*H97,"0")</f>
        <v>151.20000000000002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2769.6</v>
      </c>
      <c r="M284" s="46">
        <f>IFERROR(X122*H122,"0")+IFERROR(X123*H123,"0")</f>
        <v>840</v>
      </c>
      <c r="N284" s="261"/>
      <c r="O284" s="46">
        <f>IFERROR(X128*H128,"0")+IFERROR(X129*H129,"0")</f>
        <v>378</v>
      </c>
      <c r="P284" s="46">
        <f>IFERROR(X134*H134,"0")+IFERROR(X135*H135,"0")</f>
        <v>201.6</v>
      </c>
      <c r="Q284" s="46">
        <f>IFERROR(X140*H140,"0")</f>
        <v>252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0</v>
      </c>
      <c r="V284" s="46">
        <f>IFERROR(X168*H168,"0")+IFERROR(X169*H169,"0")+IFERROR(X170*H170,"0")+IFERROR(X174*H174,"0")</f>
        <v>672</v>
      </c>
      <c r="W284" s="46">
        <f>IFERROR(X180*H180,"0")+IFERROR(X184*H184,"0")+IFERROR(X185*H185,"0")+IFERROR(X186*H186,"0")+IFERROR(X187*H187,"0")</f>
        <v>0</v>
      </c>
      <c r="X284" s="46">
        <f>IFERROR(X192*H192,"0")+IFERROR(X193*H193,"0")+IFERROR(X194*H194,"0")+IFERROR(X195*H195,"0")</f>
        <v>0</v>
      </c>
      <c r="Y284" s="46">
        <f>IFERROR(X200*H200,"0")</f>
        <v>960</v>
      </c>
      <c r="Z284" s="46">
        <f>IFERROR(X205*H205,"0")+IFERROR(X209*H209,"0")+IFERROR(X210*H210,"0")+IFERROR(X211*H211,"0")</f>
        <v>0</v>
      </c>
      <c r="AA284" s="46">
        <f>IFERROR(X216*H216,"0")+IFERROR(X217*H217,"0")</f>
        <v>1180.8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7413.6</v>
      </c>
      <c r="B287" s="60">
        <f>SUMPRODUCT(--(BB:BB="ПГП"),--(W:W="кор"),H:H,Y:Y)+SUMPRODUCT(--(BB:BB="ПГП"),--(W:W="кг"),Y:Y)</f>
        <v>4646.88</v>
      </c>
      <c r="C287" s="60">
        <f>SUMPRODUCT(--(BB:BB="КИЗ"),--(W:W="кор"),H:H,Y:Y)+SUMPRODUCT(--(BB:BB="КИЗ"),--(W:W="кг"),Y:Y)</f>
        <v>0</v>
      </c>
    </row>
  </sheetData>
  <sheetProtection algorithmName="SHA-512" hashValue="m86c45fNuSzsyMaTlQal1H/x/QwAKKqvjTvTZurpN6TVy0ESfj4CTZdVkCRRVpnoC7VGBk4fkGVPTTfFOKwVJA==" saltValue="YNnFFB9DvbEQvVyGe7i3Bg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0,80"/>
        <filter val="1 747,20"/>
        <filter val="108,00"/>
        <filter val="12 060,48"/>
        <filter val="120,00"/>
        <filter val="126,00"/>
        <filter val="13 316,15"/>
        <filter val="14 216,15"/>
        <filter val="140,00"/>
        <filter val="144,00"/>
        <filter val="151,20"/>
        <filter val="154,00"/>
        <filter val="156,00"/>
        <filter val="180,00"/>
        <filter val="182,00"/>
        <filter val="192,00"/>
        <filter val="2 769,60"/>
        <filter val="2 838,00"/>
        <filter val="201,60"/>
        <filter val="224,00"/>
        <filter val="252,00"/>
        <filter val="280,00"/>
        <filter val="312,00"/>
        <filter val="36"/>
        <filter val="378,00"/>
        <filter val="408,00"/>
        <filter val="56,00"/>
        <filter val="60,00"/>
        <filter val="655,20"/>
        <filter val="672,00"/>
        <filter val="70,00"/>
        <filter val="72,00"/>
        <filter val="756,00"/>
        <filter val="84,00"/>
        <filter val="840,00"/>
        <filter val="917,28"/>
        <filter val="960,00"/>
        <filter val="98,00"/>
      </filters>
    </filterColumn>
    <filterColumn colId="29" showButton="0"/>
    <filterColumn colId="30" showButton="0"/>
  </autoFilter>
  <mergeCells count="495">
    <mergeCell ref="Q282:Q283"/>
    <mergeCell ref="A33:Z33"/>
    <mergeCell ref="A204:Z204"/>
    <mergeCell ref="P219:V219"/>
    <mergeCell ref="P272:V272"/>
    <mergeCell ref="D271:E271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A118:O119"/>
    <mergeCell ref="D102:E102"/>
    <mergeCell ref="D57:E57"/>
    <mergeCell ref="P163:V163"/>
    <mergeCell ref="A153:Z153"/>
    <mergeCell ref="D97:E97"/>
    <mergeCell ref="D268:E268"/>
    <mergeCell ref="P76:V76"/>
    <mergeCell ref="A255:Z255"/>
    <mergeCell ref="V282:V283"/>
    <mergeCell ref="A236:O237"/>
    <mergeCell ref="P273:V273"/>
    <mergeCell ref="A116:Z116"/>
    <mergeCell ref="E282:E283"/>
    <mergeCell ref="G282:G283"/>
    <mergeCell ref="F282:F283"/>
    <mergeCell ref="P282:P283"/>
    <mergeCell ref="P257:T257"/>
    <mergeCell ref="D256:E256"/>
    <mergeCell ref="P269:T269"/>
    <mergeCell ref="J282:J283"/>
    <mergeCell ref="L282:L283"/>
    <mergeCell ref="D192:E192"/>
    <mergeCell ref="M282:M283"/>
    <mergeCell ref="W282:W283"/>
    <mergeCell ref="O282:O283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P62:T62"/>
    <mergeCell ref="A114:O115"/>
    <mergeCell ref="A227:Z227"/>
    <mergeCell ref="D200:E200"/>
    <mergeCell ref="A9:C9"/>
    <mergeCell ref="D58:E58"/>
    <mergeCell ref="A71:O72"/>
    <mergeCell ref="A179:Z179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A112:Z112"/>
    <mergeCell ref="P66:V66"/>
    <mergeCell ref="P137:V137"/>
    <mergeCell ref="P2:W3"/>
    <mergeCell ref="X282:X283"/>
    <mergeCell ref="P218:V218"/>
    <mergeCell ref="D35:E35"/>
    <mergeCell ref="D10:E10"/>
    <mergeCell ref="A23:O24"/>
    <mergeCell ref="P64:T64"/>
    <mergeCell ref="F10:G10"/>
    <mergeCell ref="P135:T135"/>
    <mergeCell ref="D34:E34"/>
    <mergeCell ref="A181:O182"/>
    <mergeCell ref="D270:E270"/>
    <mergeCell ref="P128:T128"/>
    <mergeCell ref="P197:V197"/>
    <mergeCell ref="A127:Z127"/>
    <mergeCell ref="D247:E247"/>
    <mergeCell ref="A191:Z191"/>
    <mergeCell ref="P262:T262"/>
    <mergeCell ref="D105:E105"/>
    <mergeCell ref="A178:Z178"/>
    <mergeCell ref="D170:E170"/>
    <mergeCell ref="A274:O279"/>
    <mergeCell ref="H282:H283"/>
    <mergeCell ref="P240:V240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D86:E86"/>
    <mergeCell ref="P236:V236"/>
    <mergeCell ref="A61:Z61"/>
    <mergeCell ref="P92:V92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P106:T106"/>
    <mergeCell ref="A143:Z143"/>
    <mergeCell ref="D80:E80"/>
    <mergeCell ref="Y282:Y283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D267:E267"/>
    <mergeCell ref="D269:E269"/>
    <mergeCell ref="P275:V275"/>
    <mergeCell ref="P241:V241"/>
    <mergeCell ref="A158:Z158"/>
    <mergeCell ref="P99:V99"/>
    <mergeCell ref="A160:Z160"/>
    <mergeCell ref="P256:T256"/>
    <mergeCell ref="D257:E257"/>
    <mergeCell ref="P270:T270"/>
    <mergeCell ref="P36:T36"/>
    <mergeCell ref="D282:D283"/>
    <mergeCell ref="D262:E262"/>
    <mergeCell ref="A39:Z39"/>
    <mergeCell ref="V6:W9"/>
    <mergeCell ref="D128:E128"/>
    <mergeCell ref="P109:T109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P49:T49"/>
    <mergeCell ref="A110:O111"/>
    <mergeCell ref="P96:T96"/>
    <mergeCell ref="H17:H18"/>
    <mergeCell ref="P90:T90"/>
    <mergeCell ref="P161:T161"/>
    <mergeCell ref="P217:T217"/>
    <mergeCell ref="D75:E75"/>
    <mergeCell ref="A50:O51"/>
    <mergeCell ref="P91:T91"/>
    <mergeCell ref="P50:V50"/>
    <mergeCell ref="A233:Z233"/>
    <mergeCell ref="M17:M18"/>
    <mergeCell ref="Z282:Z283"/>
    <mergeCell ref="D185:E185"/>
    <mergeCell ref="D41:E4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171:V171"/>
    <mergeCell ref="A167:Z167"/>
    <mergeCell ref="P88:T88"/>
    <mergeCell ref="A156:O157"/>
    <mergeCell ref="A261:Z261"/>
    <mergeCell ref="P71:V71"/>
    <mergeCell ref="P267:T267"/>
    <mergeCell ref="D104:E104"/>
    <mergeCell ref="P83:V83"/>
    <mergeCell ref="A79:Z79"/>
    <mergeCell ref="A82:O83"/>
    <mergeCell ref="D264:E264"/>
    <mergeCell ref="A126:Z126"/>
    <mergeCell ref="D251:E251"/>
    <mergeCell ref="P185:T185"/>
    <mergeCell ref="A146:O147"/>
    <mergeCell ref="P195:T195"/>
    <mergeCell ref="P113:T113"/>
    <mergeCell ref="A173:Z173"/>
    <mergeCell ref="D145:E145"/>
    <mergeCell ref="D210:E210"/>
    <mergeCell ref="D87:E87"/>
    <mergeCell ref="D209:E209"/>
    <mergeCell ref="P188:V188"/>
    <mergeCell ref="D245:E245"/>
    <mergeCell ref="P107:T107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P72:V72"/>
    <mergeCell ref="P122:T122"/>
    <mergeCell ref="P43:T43"/>
    <mergeCell ref="P65:V65"/>
    <mergeCell ref="P136:V136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30:V30"/>
    <mergeCell ref="P152:V152"/>
    <mergeCell ref="D140:E140"/>
    <mergeCell ref="H10:M10"/>
    <mergeCell ref="H5:M5"/>
    <mergeCell ref="A12:M12"/>
    <mergeCell ref="A19:Z19"/>
    <mergeCell ref="A68:Z68"/>
    <mergeCell ref="A190:Z190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D106:E106"/>
    <mergeCell ref="C17:C18"/>
    <mergeCell ref="D103:E103"/>
    <mergeCell ref="A238:Z238"/>
    <mergeCell ref="D168:E16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R282:R283"/>
    <mergeCell ref="A32:Z32"/>
    <mergeCell ref="P278:V278"/>
    <mergeCell ref="A37:O38"/>
    <mergeCell ref="A159:Z159"/>
    <mergeCell ref="Q11:R11"/>
    <mergeCell ref="P205:T205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P51:V51"/>
    <mergeCell ref="A17:A18"/>
    <mergeCell ref="K17:K18"/>
    <mergeCell ref="P277:V277"/>
    <mergeCell ref="P17:T18"/>
    <mergeCell ref="P129:T129"/>
    <mergeCell ref="P63:T63"/>
    <mergeCell ref="A148:Z148"/>
    <mergeCell ref="S282:S283"/>
    <mergeCell ref="U282:U283"/>
    <mergeCell ref="P194:T194"/>
    <mergeCell ref="A166:Z166"/>
    <mergeCell ref="D229:E229"/>
    <mergeCell ref="D108:E108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B282:B283"/>
    <mergeCell ref="P93:V93"/>
    <mergeCell ref="P164:V164"/>
    <mergeCell ref="P97:T97"/>
    <mergeCell ref="P130:V130"/>
    <mergeCell ref="P168:T168"/>
    <mergeCell ref="D211:E211"/>
    <mergeCell ref="A242:Z242"/>
    <mergeCell ref="P268:T268"/>
    <mergeCell ref="P111:V111"/>
    <mergeCell ref="A234:Z234"/>
    <mergeCell ref="A244:Z244"/>
    <mergeCell ref="A100:Z100"/>
    <mergeCell ref="A165:Z165"/>
    <mergeCell ref="P125:V125"/>
    <mergeCell ref="P192:T192"/>
    <mergeCell ref="P209:T209"/>
    <mergeCell ref="D174:E174"/>
    <mergeCell ref="P225:V225"/>
    <mergeCell ref="D150:E150"/>
    <mergeCell ref="A232:Z232"/>
    <mergeCell ref="D239:E239"/>
    <mergeCell ref="P174:T174"/>
    <mergeCell ref="D266:E266"/>
    <mergeCell ref="H1:Q1"/>
    <mergeCell ref="P38:V38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D1:F1"/>
    <mergeCell ref="P46:V46"/>
    <mergeCell ref="J17:J18"/>
    <mergeCell ref="L17:L18"/>
    <mergeCell ref="A95:Z95"/>
    <mergeCell ref="Q9:R9"/>
    <mergeCell ref="A5:C5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D122:E122"/>
    <mergeCell ref="P103:T103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  <mergeCell ref="W17:W18"/>
    <mergeCell ref="A144:Z1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35 X49 X53 X57:X58 X62:X64 X86 X88 X105 X108:X109 X113 X117 X128 X155 X161 X174 X184:X187 X192:X195 X205 X209:X211 X216:X217 X223 X235 X239 X245:X247 X252 X262 X269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1:X44 X69 X75 X80 X87 X90:X91 X96:X97 X102:X103 X106:X107 X122:X123 X134:X135 X140 X145 X150 X162 X169:X170 X180 X229 X251 X256:X258 X263: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9 X34 X36 X70 X81 X89 X104 X129 X168 X200 X268" xr:uid="{00000000-0002-0000-0000-000013000000}">
      <formula1>IF(AK29&gt;0,OR(X29=0,AND(IF(X29-AK29&gt;=0,TRUE,FALSE),X29&gt;0,IF(X29/J29=ROUND(X29/J29,0),TRUE,FALSE))),FALSE)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wDbxGII9ZeYkj00sm4Z4o30Gp2xl1wOkhaiTcOGtQVyyC5cnf10HBqNCiQprw+EU1KtatUGt0Vu/jp4zg3Gicg==" saltValue="2W3sVosidZjy8YR1PtgG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2025-11-26T10:47:38Z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