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D2E994B-9644-453C-B0BA-75DEEFC05B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BP195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Y32" i="1"/>
  <c r="Z34" i="1"/>
  <c r="Z35" i="1" s="1"/>
  <c r="BN34" i="1"/>
  <c r="BP34" i="1"/>
  <c r="Y35" i="1"/>
  <c r="Z40" i="1"/>
  <c r="BN40" i="1"/>
  <c r="Z55" i="1"/>
  <c r="BN55" i="1"/>
  <c r="Z74" i="1"/>
  <c r="BN74" i="1"/>
  <c r="Z93" i="1"/>
  <c r="BN93" i="1"/>
  <c r="Z108" i="1"/>
  <c r="BN108" i="1"/>
  <c r="Y116" i="1"/>
  <c r="Z129" i="1"/>
  <c r="BN129" i="1"/>
  <c r="Z174" i="1"/>
  <c r="Z177" i="1" s="1"/>
  <c r="BN174" i="1"/>
  <c r="Z197" i="1"/>
  <c r="BN197" i="1"/>
  <c r="Z210" i="1"/>
  <c r="BN210" i="1"/>
  <c r="Z225" i="1"/>
  <c r="BN225" i="1"/>
  <c r="Z233" i="1"/>
  <c r="BN233" i="1"/>
  <c r="Y251" i="1"/>
  <c r="Z254" i="1"/>
  <c r="BN254" i="1"/>
  <c r="Z265" i="1"/>
  <c r="BN265" i="1"/>
  <c r="Z293" i="1"/>
  <c r="BN293" i="1"/>
  <c r="Z309" i="1"/>
  <c r="BN309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70" i="1"/>
  <c r="Z68" i="1"/>
  <c r="BN68" i="1"/>
  <c r="Y69" i="1"/>
  <c r="Z72" i="1"/>
  <c r="BN72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Y172" i="1"/>
  <c r="Z163" i="1"/>
  <c r="BN163" i="1"/>
  <c r="Z166" i="1"/>
  <c r="BN166" i="1"/>
  <c r="Z170" i="1"/>
  <c r="BN170" i="1"/>
  <c r="Z176" i="1"/>
  <c r="BN176" i="1"/>
  <c r="Z191" i="1"/>
  <c r="BN191" i="1"/>
  <c r="Z195" i="1"/>
  <c r="BN195" i="1"/>
  <c r="Z199" i="1"/>
  <c r="BN199" i="1"/>
  <c r="Z207" i="1"/>
  <c r="BN207" i="1"/>
  <c r="Z212" i="1"/>
  <c r="BN212" i="1"/>
  <c r="Z218" i="1"/>
  <c r="BN21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9" i="1"/>
  <c r="BN249" i="1"/>
  <c r="Y260" i="1"/>
  <c r="Z256" i="1"/>
  <c r="BN256" i="1"/>
  <c r="Z263" i="1"/>
  <c r="BN263" i="1"/>
  <c r="Z272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18" i="1"/>
  <c r="Y380" i="1"/>
  <c r="Y454" i="1"/>
  <c r="Y453" i="1"/>
  <c r="Y31" i="1"/>
  <c r="Y43" i="1"/>
  <c r="Y58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375" i="1"/>
  <c r="Z312" i="1"/>
  <c r="Z267" i="1"/>
  <c r="Z259" i="1"/>
  <c r="Z250" i="1"/>
  <c r="Z220" i="1"/>
  <c r="Z126" i="1"/>
  <c r="Z171" i="1"/>
  <c r="Y490" i="1"/>
  <c r="Z295" i="1"/>
  <c r="Z203" i="1"/>
  <c r="Z76" i="1"/>
  <c r="Y493" i="1"/>
  <c r="Z325" i="1"/>
  <c r="Y491" i="1"/>
  <c r="Z57" i="1"/>
  <c r="Z31" i="1"/>
  <c r="X492" i="1"/>
  <c r="Z394" i="1"/>
  <c r="Z338" i="1"/>
  <c r="Z234" i="1"/>
  <c r="Z305" i="1"/>
  <c r="Z274" i="1"/>
  <c r="Z148" i="1"/>
  <c r="Z438" i="1"/>
  <c r="Z447" i="1"/>
  <c r="Z432" i="1"/>
  <c r="Z350" i="1"/>
  <c r="Z215" i="1"/>
  <c r="Y489" i="1"/>
  <c r="Z103" i="1"/>
  <c r="Z494" i="1" s="1"/>
  <c r="Y492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<sst xmlns="http://schemas.openxmlformats.org/spreadsheetml/2006/main" count="2338" uniqueCount="764">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</sst>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3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62" sqref="AA6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794" t="s">
        <v>0</v>
      </c>
      <c r="E1" s="628"/>
      <c r="F1" s="628"/>
      <c r="G1" s="12" t="s">
        <v>1</v>
      </c>
      <c r="H1" s="794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854" t="s">
        <v>3</v>
      </c>
      <c r="S1" s="628"/>
      <c r="T1" s="62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4" t="s">
        <v>8</v>
      </c>
      <c r="B5" s="585"/>
      <c r="C5" s="586"/>
      <c r="D5" s="661"/>
      <c r="E5" s="663"/>
      <c r="F5" s="609" t="s">
        <v>9</v>
      </c>
      <c r="G5" s="586"/>
      <c r="H5" s="661" t="s">
        <v>763</v>
      </c>
      <c r="I5" s="662"/>
      <c r="J5" s="662"/>
      <c r="K5" s="662"/>
      <c r="L5" s="662"/>
      <c r="M5" s="663"/>
      <c r="N5" s="58"/>
      <c r="P5" s="24" t="s">
        <v>10</v>
      </c>
      <c r="Q5" s="590">
        <v>45987</v>
      </c>
      <c r="R5" s="591"/>
      <c r="T5" s="728" t="s">
        <v>11</v>
      </c>
      <c r="U5" s="564"/>
      <c r="V5" s="730" t="s">
        <v>12</v>
      </c>
      <c r="W5" s="591"/>
      <c r="AB5" s="51"/>
      <c r="AC5" s="51"/>
      <c r="AD5" s="51"/>
      <c r="AE5" s="51"/>
    </row>
    <row r="6" spans="1:32" s="535" customFormat="1" ht="24" customHeight="1" x14ac:dyDescent="0.2">
      <c r="A6" s="764" t="s">
        <v>13</v>
      </c>
      <c r="B6" s="585"/>
      <c r="C6" s="586"/>
      <c r="D6" s="666" t="s">
        <v>14</v>
      </c>
      <c r="E6" s="667"/>
      <c r="F6" s="667"/>
      <c r="G6" s="667"/>
      <c r="H6" s="667"/>
      <c r="I6" s="667"/>
      <c r="J6" s="667"/>
      <c r="K6" s="667"/>
      <c r="L6" s="667"/>
      <c r="M6" s="591"/>
      <c r="N6" s="59"/>
      <c r="P6" s="24" t="s">
        <v>15</v>
      </c>
      <c r="Q6" s="597" t="str">
        <f>IF(Q5=0," ",CHOOSE(WEEKDAY(Q5,2),"Понедельник","Вторник","Среда","Четверг","Пятница","Суббота","Воскресенье"))</f>
        <v>Среда</v>
      </c>
      <c r="R6" s="552"/>
      <c r="T6" s="735" t="s">
        <v>16</v>
      </c>
      <c r="U6" s="564"/>
      <c r="V6" s="713" t="s">
        <v>17</v>
      </c>
      <c r="W6" s="714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09" t="str">
        <f>IFERROR(VLOOKUP(DeliveryAddress,Table,3,0),1)</f>
        <v>1</v>
      </c>
      <c r="E7" s="810"/>
      <c r="F7" s="810"/>
      <c r="G7" s="810"/>
      <c r="H7" s="810"/>
      <c r="I7" s="810"/>
      <c r="J7" s="810"/>
      <c r="K7" s="810"/>
      <c r="L7" s="810"/>
      <c r="M7" s="732"/>
      <c r="N7" s="60"/>
      <c r="P7" s="24"/>
      <c r="Q7" s="42"/>
      <c r="R7" s="42"/>
      <c r="T7" s="554"/>
      <c r="U7" s="564"/>
      <c r="V7" s="715"/>
      <c r="W7" s="716"/>
      <c r="AB7" s="51"/>
      <c r="AC7" s="51"/>
      <c r="AD7" s="51"/>
      <c r="AE7" s="51"/>
    </row>
    <row r="8" spans="1:32" s="535" customFormat="1" ht="25.5" customHeight="1" x14ac:dyDescent="0.2">
      <c r="A8" s="545" t="s">
        <v>18</v>
      </c>
      <c r="B8" s="546"/>
      <c r="C8" s="547"/>
      <c r="D8" s="817" t="s">
        <v>19</v>
      </c>
      <c r="E8" s="818"/>
      <c r="F8" s="818"/>
      <c r="G8" s="818"/>
      <c r="H8" s="818"/>
      <c r="I8" s="818"/>
      <c r="J8" s="818"/>
      <c r="K8" s="818"/>
      <c r="L8" s="818"/>
      <c r="M8" s="819"/>
      <c r="N8" s="61"/>
      <c r="P8" s="24" t="s">
        <v>20</v>
      </c>
      <c r="Q8" s="731">
        <v>0.5</v>
      </c>
      <c r="R8" s="732"/>
      <c r="T8" s="554"/>
      <c r="U8" s="564"/>
      <c r="V8" s="715"/>
      <c r="W8" s="716"/>
      <c r="AB8" s="51"/>
      <c r="AC8" s="51"/>
      <c r="AD8" s="51"/>
      <c r="AE8" s="51"/>
    </row>
    <row r="9" spans="1:32" s="535" customFormat="1" ht="39.950000000000003" customHeight="1" x14ac:dyDescent="0.2">
      <c r="A9" s="5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20"/>
      <c r="E9" s="621"/>
      <c r="F9" s="5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1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1"/>
      <c r="L9" s="621"/>
      <c r="M9" s="621"/>
      <c r="N9" s="533"/>
      <c r="P9" s="26" t="s">
        <v>21</v>
      </c>
      <c r="Q9" s="781"/>
      <c r="R9" s="613"/>
      <c r="T9" s="554"/>
      <c r="U9" s="564"/>
      <c r="V9" s="717"/>
      <c r="W9" s="718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20"/>
      <c r="E10" s="621"/>
      <c r="F10" s="5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680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36"/>
      <c r="R10" s="737"/>
      <c r="U10" s="24" t="s">
        <v>23</v>
      </c>
      <c r="V10" s="830" t="s">
        <v>24</v>
      </c>
      <c r="W10" s="714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2"/>
      <c r="R11" s="591"/>
      <c r="U11" s="24" t="s">
        <v>27</v>
      </c>
      <c r="V11" s="612" t="s">
        <v>28</v>
      </c>
      <c r="W11" s="61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39" t="s">
        <v>29</v>
      </c>
      <c r="B12" s="585"/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6"/>
      <c r="N12" s="62"/>
      <c r="P12" s="24" t="s">
        <v>30</v>
      </c>
      <c r="Q12" s="731"/>
      <c r="R12" s="732"/>
      <c r="S12" s="23"/>
      <c r="U12" s="24"/>
      <c r="V12" s="628"/>
      <c r="W12" s="554"/>
      <c r="AB12" s="51"/>
      <c r="AC12" s="51"/>
      <c r="AD12" s="51"/>
      <c r="AE12" s="51"/>
    </row>
    <row r="13" spans="1:32" s="535" customFormat="1" ht="23.25" customHeight="1" x14ac:dyDescent="0.2">
      <c r="A13" s="739" t="s">
        <v>31</v>
      </c>
      <c r="B13" s="585"/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6"/>
      <c r="N13" s="62"/>
      <c r="O13" s="26"/>
      <c r="P13" s="26" t="s">
        <v>32</v>
      </c>
      <c r="Q13" s="612"/>
      <c r="R13" s="6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39" t="s">
        <v>33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49" t="s">
        <v>34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6"/>
      <c r="N15" s="63"/>
      <c r="P15" s="754" t="s">
        <v>35</v>
      </c>
      <c r="Q15" s="628"/>
      <c r="R15" s="628"/>
      <c r="S15" s="628"/>
      <c r="T15" s="62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5"/>
      <c r="Q16" s="755"/>
      <c r="R16" s="755"/>
      <c r="S16" s="755"/>
      <c r="T16" s="75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68" t="s">
        <v>38</v>
      </c>
      <c r="D17" s="579" t="s">
        <v>39</v>
      </c>
      <c r="E17" s="625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801"/>
      <c r="R17" s="801"/>
      <c r="S17" s="801"/>
      <c r="T17" s="625"/>
      <c r="U17" s="629" t="s">
        <v>51</v>
      </c>
      <c r="V17" s="586"/>
      <c r="W17" s="579" t="s">
        <v>52</v>
      </c>
      <c r="X17" s="579" t="s">
        <v>53</v>
      </c>
      <c r="Y17" s="630" t="s">
        <v>54</v>
      </c>
      <c r="Z17" s="689" t="s">
        <v>55</v>
      </c>
      <c r="AA17" s="603" t="s">
        <v>56</v>
      </c>
      <c r="AB17" s="603" t="s">
        <v>57</v>
      </c>
      <c r="AC17" s="603" t="s">
        <v>58</v>
      </c>
      <c r="AD17" s="603" t="s">
        <v>59</v>
      </c>
      <c r="AE17" s="604"/>
      <c r="AF17" s="605"/>
      <c r="AG17" s="66"/>
      <c r="BD17" s="65" t="s">
        <v>60</v>
      </c>
    </row>
    <row r="18" spans="1:68" ht="14.25" customHeight="1" x14ac:dyDescent="0.2">
      <c r="A18" s="580"/>
      <c r="B18" s="580"/>
      <c r="C18" s="580"/>
      <c r="D18" s="626"/>
      <c r="E18" s="627"/>
      <c r="F18" s="580"/>
      <c r="G18" s="580"/>
      <c r="H18" s="580"/>
      <c r="I18" s="580"/>
      <c r="J18" s="580"/>
      <c r="K18" s="580"/>
      <c r="L18" s="580"/>
      <c r="M18" s="580"/>
      <c r="N18" s="580"/>
      <c r="O18" s="580"/>
      <c r="P18" s="626"/>
      <c r="Q18" s="802"/>
      <c r="R18" s="802"/>
      <c r="S18" s="802"/>
      <c r="T18" s="627"/>
      <c r="U18" s="67" t="s">
        <v>61</v>
      </c>
      <c r="V18" s="67" t="s">
        <v>62</v>
      </c>
      <c r="W18" s="580"/>
      <c r="X18" s="580"/>
      <c r="Y18" s="631"/>
      <c r="Z18" s="690"/>
      <c r="AA18" s="660"/>
      <c r="AB18" s="660"/>
      <c r="AC18" s="660"/>
      <c r="AD18" s="606"/>
      <c r="AE18" s="607"/>
      <c r="AF18" s="608"/>
      <c r="AG18" s="66"/>
      <c r="BD18" s="65"/>
    </row>
    <row r="19" spans="1:68" ht="27.75" hidden="1" customHeight="1" x14ac:dyDescent="0.2">
      <c r="A19" s="648" t="s">
        <v>63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1">
        <v>4680115886643</v>
      </c>
      <c r="E22" s="552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1">
        <v>4680115885912</v>
      </c>
      <c r="E26" s="552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1">
        <v>4607091388237</v>
      </c>
      <c r="E27" s="552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1">
        <v>4680115887350</v>
      </c>
      <c r="E28" s="552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1">
        <v>4680115885905</v>
      </c>
      <c r="E29" s="552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1">
        <v>4607091388244</v>
      </c>
      <c r="E30" s="552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1">
        <v>4607091388503</v>
      </c>
      <c r="E34" s="552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8" t="s">
        <v>99</v>
      </c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49"/>
      <c r="P37" s="649"/>
      <c r="Q37" s="649"/>
      <c r="R37" s="649"/>
      <c r="S37" s="649"/>
      <c r="T37" s="649"/>
      <c r="U37" s="649"/>
      <c r="V37" s="649"/>
      <c r="W37" s="649"/>
      <c r="X37" s="649"/>
      <c r="Y37" s="649"/>
      <c r="Z37" s="649"/>
      <c r="AA37" s="48"/>
      <c r="AB37" s="48"/>
      <c r="AC37" s="48"/>
    </row>
    <row r="38" spans="1:68" ht="16.5" hidden="1" customHeight="1" x14ac:dyDescent="0.25">
      <c r="A38" s="560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1">
        <v>4607091385670</v>
      </c>
      <c r="E40" s="552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1">
        <v>4607091385687</v>
      </c>
      <c r="E41" s="552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1">
        <v>4680115882539</v>
      </c>
      <c r="E42" s="552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1">
        <v>4680115884915</v>
      </c>
      <c r="E46" s="552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1">
        <v>4680115885882</v>
      </c>
      <c r="E51" s="552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1">
        <v>4680115881426</v>
      </c>
      <c r="E52" s="552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1">
        <v>4680115880283</v>
      </c>
      <c r="E53" s="552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1">
        <v>4680115881525</v>
      </c>
      <c r="E54" s="552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1">
        <v>4680115885899</v>
      </c>
      <c r="E55" s="552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1">
        <v>4680115881419</v>
      </c>
      <c r="E56" s="552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1">
        <v>4680115881440</v>
      </c>
      <c r="E60" s="552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1">
        <v>4680115885950</v>
      </c>
      <c r="E61" s="552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1">
        <v>4680115881433</v>
      </c>
      <c r="E62" s="552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41">
        <v>13.5</v>
      </c>
      <c r="Y62" s="542">
        <f>IFERROR(IF(X62="",0,CEILING((X62/$H62),1)*$H62),"")</f>
        <v>13.5</v>
      </c>
      <c r="Z62" s="36">
        <f>IFERROR(IF(Y62=0,"",ROUNDUP(Y62/H62,0)*0.00651),"")</f>
        <v>3.2550000000000003E-2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14.399999999999997</v>
      </c>
      <c r="BN62" s="64">
        <f>IFERROR(Y62*I62/H62,"0")</f>
        <v>14.399999999999997</v>
      </c>
      <c r="BO62" s="64">
        <f>IFERROR(1/J62*(X62/H62),"0")</f>
        <v>2.7472527472527476E-2</v>
      </c>
      <c r="BP62" s="64">
        <f>IFERROR(1/J62*(Y62/H62),"0")</f>
        <v>2.7472527472527476E-2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3">
        <f>IFERROR(X60/H60,"0")+IFERROR(X61/H61,"0")+IFERROR(X62/H62,"0")</f>
        <v>5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3.2550000000000003E-2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3">
        <f>IFERROR(SUM(X60:X62),"0")</f>
        <v>13.5</v>
      </c>
      <c r="Y64" s="543">
        <f>IFERROR(SUM(Y60:Y62),"0")</f>
        <v>13.5</v>
      </c>
      <c r="Z64" s="37"/>
      <c r="AA64" s="544"/>
      <c r="AB64" s="544"/>
      <c r="AC64" s="544"/>
    </row>
    <row r="65" spans="1:68" ht="14.25" hidden="1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1">
        <v>4680115885073</v>
      </c>
      <c r="E66" s="552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1">
        <v>4680115885059</v>
      </c>
      <c r="E67" s="552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1">
        <v>4680115885097</v>
      </c>
      <c r="E68" s="552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4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1">
        <v>4680115885769</v>
      </c>
      <c r="E72" s="552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1">
        <v>4680115884311</v>
      </c>
      <c r="E73" s="552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1">
        <v>4680115885929</v>
      </c>
      <c r="E74" s="552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1">
        <v>4680115884403</v>
      </c>
      <c r="E75" s="552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8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1">
        <v>4680115881532</v>
      </c>
      <c r="E79" s="552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1">
        <v>4680115881464</v>
      </c>
      <c r="E80" s="552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58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1">
        <v>4680115881327</v>
      </c>
      <c r="E85" s="552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5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1">
        <v>4680115881518</v>
      </c>
      <c r="E86" s="552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1">
        <v>4680115881303</v>
      </c>
      <c r="E87" s="552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41">
        <v>13.5</v>
      </c>
      <c r="Y87" s="542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14.07</v>
      </c>
      <c r="BN87" s="64">
        <f>IFERROR(Y87*I87/H87,"0")</f>
        <v>14.07</v>
      </c>
      <c r="BO87" s="64">
        <f>IFERROR(1/J87*(X87/H87),"0")</f>
        <v>2.2727272727272728E-2</v>
      </c>
      <c r="BP87" s="64">
        <f>IFERROR(1/J87*(Y87/H87),"0")</f>
        <v>2.2727272727272728E-2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3">
        <f>IFERROR(X85/H85,"0")+IFERROR(X86/H86,"0")+IFERROR(X87/H87,"0")</f>
        <v>3</v>
      </c>
      <c r="Y88" s="543">
        <f>IFERROR(Y85/H85,"0")+IFERROR(Y86/H86,"0")+IFERROR(Y87/H87,"0")</f>
        <v>3</v>
      </c>
      <c r="Z88" s="543">
        <f>IFERROR(IF(Z85="",0,Z85),"0")+IFERROR(IF(Z86="",0,Z86),"0")+IFERROR(IF(Z87="",0,Z87),"0")</f>
        <v>2.7060000000000001E-2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3">
        <f>IFERROR(SUM(X85:X87),"0")</f>
        <v>13.5</v>
      </c>
      <c r="Y89" s="543">
        <f>IFERROR(SUM(Y85:Y87),"0")</f>
        <v>13.5</v>
      </c>
      <c r="Z89" s="37"/>
      <c r="AA89" s="544"/>
      <c r="AB89" s="544"/>
      <c r="AC89" s="544"/>
    </row>
    <row r="90" spans="1:68" ht="14.25" hidden="1" customHeight="1" x14ac:dyDescent="0.25">
      <c r="A90" s="558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1">
        <v>4607091386967</v>
      </c>
      <c r="E91" s="552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1">
        <v>4680115884953</v>
      </c>
      <c r="E92" s="552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1">
        <v>4607091385731</v>
      </c>
      <c r="E93" s="552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1">
        <v>4680115880894</v>
      </c>
      <c r="E94" s="552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58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1">
        <v>4680115882133</v>
      </c>
      <c r="E99" s="552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1">
        <v>4680115880269</v>
      </c>
      <c r="E100" s="552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1">
        <v>4680115880429</v>
      </c>
      <c r="E101" s="552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1">
        <v>4680115881457</v>
      </c>
      <c r="E102" s="552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75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8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1">
        <v>4680115881488</v>
      </c>
      <c r="E106" s="552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1">
        <v>4680115882775</v>
      </c>
      <c r="E107" s="552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1">
        <v>4680115880658</v>
      </c>
      <c r="E108" s="552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8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1">
        <v>4607091385168</v>
      </c>
      <c r="E112" s="552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41">
        <v>20</v>
      </c>
      <c r="Y112" s="542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21.204938271604938</v>
      </c>
      <c r="BN112" s="64">
        <f>IFERROR(Y112*I112/H112,"0")</f>
        <v>25.763999999999996</v>
      </c>
      <c r="BO112" s="64">
        <f>IFERROR(1/J112*(X112/H112),"0")</f>
        <v>3.8580246913580252E-2</v>
      </c>
      <c r="BP112" s="64">
        <f>IFERROR(1/J112*(Y112/H112),"0")</f>
        <v>4.6875E-2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1">
        <v>4607091383256</v>
      </c>
      <c r="E113" s="552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8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1">
        <v>4607091385748</v>
      </c>
      <c r="E114" s="552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41">
        <v>5.4</v>
      </c>
      <c r="Y114" s="542">
        <f>IFERROR(IF(X114="",0,CEILING((X114/$H114),1)*$H114),"")</f>
        <v>5.4</v>
      </c>
      <c r="Z114" s="36">
        <f>IFERROR(IF(Y114=0,"",ROUNDUP(Y114/H114,0)*0.00651),"")</f>
        <v>1.302E-2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5.9039999999999999</v>
      </c>
      <c r="BN114" s="64">
        <f>IFERROR(Y114*I114/H114,"0")</f>
        <v>5.9039999999999999</v>
      </c>
      <c r="BO114" s="64">
        <f>IFERROR(1/J114*(X114/H114),"0")</f>
        <v>1.098901098901099E-2</v>
      </c>
      <c r="BP114" s="64">
        <f>IFERROR(1/J114*(Y114/H114),"0")</f>
        <v>1.098901098901099E-2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1">
        <v>4680115884533</v>
      </c>
      <c r="E115" s="552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3">
        <f>IFERROR(X112/H112,"0")+IFERROR(X113/H113,"0")+IFERROR(X114/H114,"0")+IFERROR(X115/H115,"0")</f>
        <v>4.4691358024691361</v>
      </c>
      <c r="Y116" s="543">
        <f>IFERROR(Y112/H112,"0")+IFERROR(Y113/H113,"0")+IFERROR(Y114/H114,"0")+IFERROR(Y115/H115,"0")</f>
        <v>5</v>
      </c>
      <c r="Z116" s="543">
        <f>IFERROR(IF(Z112="",0,Z112),"0")+IFERROR(IF(Z113="",0,Z113),"0")+IFERROR(IF(Z114="",0,Z114),"0")+IFERROR(IF(Z115="",0,Z115),"0")</f>
        <v>6.9960000000000008E-2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3">
        <f>IFERROR(SUM(X112:X115),"0")</f>
        <v>25.4</v>
      </c>
      <c r="Y117" s="543">
        <f>IFERROR(SUM(Y112:Y115),"0")</f>
        <v>29.699999999999996</v>
      </c>
      <c r="Z117" s="37"/>
      <c r="AA117" s="544"/>
      <c r="AB117" s="544"/>
      <c r="AC117" s="544"/>
    </row>
    <row r="118" spans="1:68" ht="14.25" hidden="1" customHeight="1" x14ac:dyDescent="0.25">
      <c r="A118" s="558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1">
        <v>4680115880238</v>
      </c>
      <c r="E119" s="552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7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58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1">
        <v>4680115882577</v>
      </c>
      <c r="E124" s="552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41">
        <v>6.4</v>
      </c>
      <c r="Y124" s="542">
        <f>IFERROR(IF(X124="",0,CEILING((X124/$H124),1)*$H124),"")</f>
        <v>6.4</v>
      </c>
      <c r="Z124" s="36">
        <f>IFERROR(IF(Y124=0,"",ROUNDUP(Y124/H124,0)*0.00651),"")</f>
        <v>1.302E-2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6.76</v>
      </c>
      <c r="BN124" s="64">
        <f>IFERROR(Y124*I124/H124,"0")</f>
        <v>6.76</v>
      </c>
      <c r="BO124" s="64">
        <f>IFERROR(1/J124*(X124/H124),"0")</f>
        <v>1.098901098901099E-2</v>
      </c>
      <c r="BP124" s="64">
        <f>IFERROR(1/J124*(Y124/H124),"0")</f>
        <v>1.098901098901099E-2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1">
        <v>4680115882577</v>
      </c>
      <c r="E125" s="552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3">
        <f>IFERROR(X124/H124,"0")+IFERROR(X125/H125,"0")</f>
        <v>2</v>
      </c>
      <c r="Y126" s="543">
        <f>IFERROR(Y124/H124,"0")+IFERROR(Y125/H125,"0")</f>
        <v>2</v>
      </c>
      <c r="Z126" s="543">
        <f>IFERROR(IF(Z124="",0,Z124),"0")+IFERROR(IF(Z125="",0,Z125),"0")</f>
        <v>1.302E-2</v>
      </c>
      <c r="AA126" s="544"/>
      <c r="AB126" s="544"/>
      <c r="AC126" s="544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3">
        <f>IFERROR(SUM(X124:X125),"0")</f>
        <v>6.4</v>
      </c>
      <c r="Y127" s="543">
        <f>IFERROR(SUM(Y124:Y125),"0")</f>
        <v>6.4</v>
      </c>
      <c r="Z127" s="37"/>
      <c r="AA127" s="544"/>
      <c r="AB127" s="544"/>
      <c r="AC127" s="544"/>
    </row>
    <row r="128" spans="1:68" ht="14.25" hidden="1" customHeight="1" x14ac:dyDescent="0.25">
      <c r="A128" s="558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1">
        <v>4680115883444</v>
      </c>
      <c r="E129" s="552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1">
        <v>4680115883444</v>
      </c>
      <c r="E130" s="552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8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1">
        <v>4680115882584</v>
      </c>
      <c r="E134" s="552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5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1">
        <v>4680115882584</v>
      </c>
      <c r="E135" s="552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58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1">
        <v>4680115887374</v>
      </c>
      <c r="E140" s="552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1">
        <v>4607091384604</v>
      </c>
      <c r="E141" s="552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8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1">
        <v>4607091387667</v>
      </c>
      <c r="E145" s="552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41">
        <v>8</v>
      </c>
      <c r="Y145" s="542">
        <f>IFERROR(IF(X145="",0,CEILING((X145/$H145),1)*$H145),"")</f>
        <v>9</v>
      </c>
      <c r="Z145" s="36">
        <f>IFERROR(IF(Y145=0,"",ROUNDUP(Y145/H145,0)*0.01898),"")</f>
        <v>1.898E-2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8.4977777777777774</v>
      </c>
      <c r="BN145" s="64">
        <f>IFERROR(Y145*I145/H145,"0")</f>
        <v>9.56</v>
      </c>
      <c r="BO145" s="64">
        <f>IFERROR(1/J145*(X145/H145),"0")</f>
        <v>1.3888888888888888E-2</v>
      </c>
      <c r="BP145" s="64">
        <f>IFERROR(1/J145*(Y145/H145),"0")</f>
        <v>1.5625E-2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1">
        <v>4607091387636</v>
      </c>
      <c r="E146" s="552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1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1">
        <v>4607091382426</v>
      </c>
      <c r="E147" s="552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8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41">
        <v>8</v>
      </c>
      <c r="Y147" s="542">
        <f>IFERROR(IF(X147="",0,CEILING((X147/$H147),1)*$H147),"")</f>
        <v>9</v>
      </c>
      <c r="Z147" s="36">
        <f>IFERROR(IF(Y147=0,"",ROUNDUP(Y147/H147,0)*0.01898),"")</f>
        <v>1.898E-2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8.4977777777777774</v>
      </c>
      <c r="BN147" s="64">
        <f>IFERROR(Y147*I147/H147,"0")</f>
        <v>9.56</v>
      </c>
      <c r="BO147" s="64">
        <f>IFERROR(1/J147*(X147/H147),"0")</f>
        <v>1.3888888888888888E-2</v>
      </c>
      <c r="BP147" s="64">
        <f>IFERROR(1/J147*(Y147/H147),"0")</f>
        <v>1.5625E-2</v>
      </c>
    </row>
    <row r="148" spans="1:68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3">
        <f>IFERROR(X145/H145,"0")+IFERROR(X146/H146,"0")+IFERROR(X147/H147,"0")</f>
        <v>1.7777777777777777</v>
      </c>
      <c r="Y148" s="543">
        <f>IFERROR(Y145/H145,"0")+IFERROR(Y146/H146,"0")+IFERROR(Y147/H147,"0")</f>
        <v>2</v>
      </c>
      <c r="Z148" s="543">
        <f>IFERROR(IF(Z145="",0,Z145),"0")+IFERROR(IF(Z146="",0,Z146),"0")+IFERROR(IF(Z147="",0,Z147),"0")</f>
        <v>3.7960000000000001E-2</v>
      </c>
      <c r="AA148" s="544"/>
      <c r="AB148" s="544"/>
      <c r="AC148" s="544"/>
    </row>
    <row r="149" spans="1:68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3">
        <f>IFERROR(SUM(X145:X147),"0")</f>
        <v>16</v>
      </c>
      <c r="Y149" s="543">
        <f>IFERROR(SUM(Y145:Y147),"0")</f>
        <v>18</v>
      </c>
      <c r="Z149" s="37"/>
      <c r="AA149" s="544"/>
      <c r="AB149" s="544"/>
      <c r="AC149" s="544"/>
    </row>
    <row r="150" spans="1:68" ht="14.25" hidden="1" customHeight="1" x14ac:dyDescent="0.25">
      <c r="A150" s="558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1">
        <v>4680115887459</v>
      </c>
      <c r="E151" s="552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56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48" t="s">
        <v>251</v>
      </c>
      <c r="B154" s="649"/>
      <c r="C154" s="649"/>
      <c r="D154" s="649"/>
      <c r="E154" s="649"/>
      <c r="F154" s="649"/>
      <c r="G154" s="649"/>
      <c r="H154" s="649"/>
      <c r="I154" s="649"/>
      <c r="J154" s="649"/>
      <c r="K154" s="649"/>
      <c r="L154" s="649"/>
      <c r="M154" s="649"/>
      <c r="N154" s="649"/>
      <c r="O154" s="649"/>
      <c r="P154" s="649"/>
      <c r="Q154" s="649"/>
      <c r="R154" s="649"/>
      <c r="S154" s="649"/>
      <c r="T154" s="649"/>
      <c r="U154" s="649"/>
      <c r="V154" s="649"/>
      <c r="W154" s="649"/>
      <c r="X154" s="649"/>
      <c r="Y154" s="649"/>
      <c r="Z154" s="649"/>
      <c r="AA154" s="48"/>
      <c r="AB154" s="48"/>
      <c r="AC154" s="48"/>
    </row>
    <row r="155" spans="1:68" ht="16.5" hidden="1" customHeight="1" x14ac:dyDescent="0.25">
      <c r="A155" s="560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58" t="s">
        <v>136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1">
        <v>4680115886223</v>
      </c>
      <c r="E157" s="552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8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1">
        <v>4680115880993</v>
      </c>
      <c r="E161" s="552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1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1">
        <v>4680115881761</v>
      </c>
      <c r="E162" s="552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6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1">
        <v>4680115881563</v>
      </c>
      <c r="E163" s="552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1">
        <v>4680115880986</v>
      </c>
      <c r="E164" s="552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1">
        <v>4680115887213</v>
      </c>
      <c r="E165" s="552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8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1">
        <v>4680115881785</v>
      </c>
      <c r="E166" s="552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1">
        <v>4680115886537</v>
      </c>
      <c r="E167" s="552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1">
        <v>4680115881679</v>
      </c>
      <c r="E168" s="552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8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1">
        <v>4680115880191</v>
      </c>
      <c r="E169" s="552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1">
        <v>4680115883963</v>
      </c>
      <c r="E170" s="552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8" t="s">
        <v>93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1">
        <v>4680115886780</v>
      </c>
      <c r="E174" s="552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6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1">
        <v>4680115886742</v>
      </c>
      <c r="E175" s="552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1">
        <v>4680115886766</v>
      </c>
      <c r="E176" s="552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8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1">
        <v>4680115886797</v>
      </c>
      <c r="E180" s="552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58" t="s">
        <v>101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1">
        <v>4680115881402</v>
      </c>
      <c r="E185" s="552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1">
        <v>4680115881396</v>
      </c>
      <c r="E186" s="552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8" t="s">
        <v>136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1">
        <v>4680115882935</v>
      </c>
      <c r="E190" s="552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1">
        <v>4680115880764</v>
      </c>
      <c r="E191" s="552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8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1">
        <v>4680115882683</v>
      </c>
      <c r="E195" s="552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1">
        <v>4680115882690</v>
      </c>
      <c r="E196" s="552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5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1">
        <v>4680115882669</v>
      </c>
      <c r="E197" s="552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1">
        <v>4680115882676</v>
      </c>
      <c r="E198" s="552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1">
        <v>4680115884014</v>
      </c>
      <c r="E199" s="552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5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1">
        <v>4680115884007</v>
      </c>
      <c r="E200" s="552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5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1">
        <v>4680115884038</v>
      </c>
      <c r="E201" s="552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1">
        <v>4680115884021</v>
      </c>
      <c r="E202" s="552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5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8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1">
        <v>4680115881594</v>
      </c>
      <c r="E206" s="552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1">
        <v>4680115881617</v>
      </c>
      <c r="E207" s="552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1">
        <v>4680115880573</v>
      </c>
      <c r="E208" s="552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84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1">
        <v>4680115882195</v>
      </c>
      <c r="E209" s="552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2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1">
        <v>4680115882607</v>
      </c>
      <c r="E210" s="552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1">
        <v>4680115880092</v>
      </c>
      <c r="E211" s="552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41">
        <v>5.4</v>
      </c>
      <c r="Y211" s="542">
        <f t="shared" si="15"/>
        <v>7.1999999999999993</v>
      </c>
      <c r="Z211" s="36">
        <f t="shared" si="20"/>
        <v>1.9529999999999999E-2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5.9670000000000014</v>
      </c>
      <c r="BN211" s="64">
        <f t="shared" si="17"/>
        <v>7.9560000000000004</v>
      </c>
      <c r="BO211" s="64">
        <f t="shared" si="18"/>
        <v>1.2362637362637366E-2</v>
      </c>
      <c r="BP211" s="64">
        <f t="shared" si="19"/>
        <v>1.6483516483516484E-2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1">
        <v>4680115880221</v>
      </c>
      <c r="E212" s="552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1">
        <v>4680115880504</v>
      </c>
      <c r="E213" s="552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1">
        <v>4680115882164</v>
      </c>
      <c r="E214" s="552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2.2500000000000004</v>
      </c>
      <c r="Y215" s="543">
        <f>IFERROR(Y206/H206,"0")+IFERROR(Y207/H207,"0")+IFERROR(Y208/H208,"0")+IFERROR(Y209/H209,"0")+IFERROR(Y210/H210,"0")+IFERROR(Y211/H211,"0")+IFERROR(Y212/H212,"0")+IFERROR(Y213/H213,"0")+IFERROR(Y214/H214,"0")</f>
        <v>3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1.9529999999999999E-2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3">
        <f>IFERROR(SUM(X206:X214),"0")</f>
        <v>5.4</v>
      </c>
      <c r="Y216" s="543">
        <f>IFERROR(SUM(Y206:Y214),"0")</f>
        <v>7.1999999999999993</v>
      </c>
      <c r="Z216" s="37"/>
      <c r="AA216" s="544"/>
      <c r="AB216" s="544"/>
      <c r="AC216" s="544"/>
    </row>
    <row r="217" spans="1:68" ht="14.25" hidden="1" customHeight="1" x14ac:dyDescent="0.25">
      <c r="A217" s="558" t="s">
        <v>164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1">
        <v>4680115880818</v>
      </c>
      <c r="E218" s="552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1">
        <v>4680115880801</v>
      </c>
      <c r="E219" s="552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58" t="s">
        <v>101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1">
        <v>4680115884137</v>
      </c>
      <c r="E224" s="552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1">
        <v>4680115884236</v>
      </c>
      <c r="E225" s="552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1">
        <v>4680115884175</v>
      </c>
      <c r="E226" s="552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1">
        <v>4680115884144</v>
      </c>
      <c r="E227" s="552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1">
        <v>4680115884144</v>
      </c>
      <c r="E228" s="552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1">
        <v>4680115886551</v>
      </c>
      <c r="E229" s="552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1">
        <v>4680115884182</v>
      </c>
      <c r="E230" s="552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0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1">
        <v>4680115887282</v>
      </c>
      <c r="E231" s="552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1">
        <v>4680115884205</v>
      </c>
      <c r="E232" s="552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0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1">
        <v>4680115884205</v>
      </c>
      <c r="E233" s="552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8" t="s">
        <v>136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1">
        <v>4680115885981</v>
      </c>
      <c r="E237" s="552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8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1">
        <v>4680115886803</v>
      </c>
      <c r="E241" s="552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8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1">
        <v>4680115886704</v>
      </c>
      <c r="E245" s="552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1">
        <v>4680115886681</v>
      </c>
      <c r="E246" s="552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1">
        <v>4680115886735</v>
      </c>
      <c r="E247" s="552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1">
        <v>4680115886728</v>
      </c>
      <c r="E248" s="552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6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1">
        <v>4680115886711</v>
      </c>
      <c r="E249" s="552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58" t="s">
        <v>101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1">
        <v>4680115885837</v>
      </c>
      <c r="E254" s="552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1">
        <v>4680115885851</v>
      </c>
      <c r="E255" s="552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79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51">
        <v>4680115885806</v>
      </c>
      <c r="E256" s="552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41">
        <v>30</v>
      </c>
      <c r="Y256" s="542">
        <f>IFERROR(IF(X256="",0,CEILING((X256/$H256),1)*$H256),"")</f>
        <v>32.400000000000006</v>
      </c>
      <c r="Z256" s="36">
        <f>IFERROR(IF(Y256=0,"",ROUNDUP(Y256/H256,0)*0.01898),"")</f>
        <v>5.6940000000000004E-2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31.138888888888889</v>
      </c>
      <c r="BN256" s="64">
        <f>IFERROR(Y256*I256/H256,"0")</f>
        <v>33.630000000000003</v>
      </c>
      <c r="BO256" s="64">
        <f>IFERROR(1/J256*(X256/H256),"0")</f>
        <v>4.3402777777777776E-2</v>
      </c>
      <c r="BP256" s="64">
        <f>IFERROR(1/J256*(Y256/H256),"0")</f>
        <v>4.6875000000000007E-2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1">
        <v>4680115885844</v>
      </c>
      <c r="E257" s="552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1">
        <v>4680115885820</v>
      </c>
      <c r="E258" s="552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3">
        <f>IFERROR(X254/H254,"0")+IFERROR(X255/H255,"0")+IFERROR(X256/H256,"0")+IFERROR(X257/H257,"0")+IFERROR(X258/H258,"0")</f>
        <v>2.7777777777777777</v>
      </c>
      <c r="Y259" s="543">
        <f>IFERROR(Y254/H254,"0")+IFERROR(Y255/H255,"0")+IFERROR(Y256/H256,"0")+IFERROR(Y257/H257,"0")+IFERROR(Y258/H258,"0")</f>
        <v>3.0000000000000004</v>
      </c>
      <c r="Z259" s="543">
        <f>IFERROR(IF(Z254="",0,Z254),"0")+IFERROR(IF(Z255="",0,Z255),"0")+IFERROR(IF(Z256="",0,Z256),"0")+IFERROR(IF(Z257="",0,Z257),"0")+IFERROR(IF(Z258="",0,Z258),"0")</f>
        <v>5.6940000000000004E-2</v>
      </c>
      <c r="AA259" s="544"/>
      <c r="AB259" s="544"/>
      <c r="AC259" s="544"/>
    </row>
    <row r="260" spans="1:68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3">
        <f>IFERROR(SUM(X254:X258),"0")</f>
        <v>30</v>
      </c>
      <c r="Y260" s="543">
        <f>IFERROR(SUM(Y254:Y258),"0")</f>
        <v>32.400000000000006</v>
      </c>
      <c r="Z260" s="37"/>
      <c r="AA260" s="544"/>
      <c r="AB260" s="544"/>
      <c r="AC260" s="544"/>
    </row>
    <row r="261" spans="1:68" ht="16.5" hidden="1" customHeight="1" x14ac:dyDescent="0.25">
      <c r="A261" s="560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58" t="s">
        <v>101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1">
        <v>4607091383423</v>
      </c>
      <c r="E263" s="552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1">
        <v>4680115886957</v>
      </c>
      <c r="E264" s="552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9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1">
        <v>4680115885660</v>
      </c>
      <c r="E265" s="552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1">
        <v>4680115886773</v>
      </c>
      <c r="E266" s="552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2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58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1">
        <v>4680115886186</v>
      </c>
      <c r="E271" s="552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1">
        <v>4680115881228</v>
      </c>
      <c r="E272" s="552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1">
        <v>4680115881211</v>
      </c>
      <c r="E273" s="552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58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1">
        <v>4680115880344</v>
      </c>
      <c r="E278" s="552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1">
        <v>4680115886919</v>
      </c>
      <c r="E279" s="552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8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1">
        <v>4680115884618</v>
      </c>
      <c r="E283" s="552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8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1">
        <v>4680115887114</v>
      </c>
      <c r="E284" s="552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799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1">
        <v>4607091386004</v>
      </c>
      <c r="E289" s="552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51">
        <v>4680115885615</v>
      </c>
      <c r="E290" s="552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41">
        <v>30</v>
      </c>
      <c r="Y290" s="542">
        <f t="shared" si="26"/>
        <v>32.400000000000006</v>
      </c>
      <c r="Z290" s="36">
        <f>IFERROR(IF(Y290=0,"",ROUNDUP(Y290/H290,0)*0.01898),"")</f>
        <v>5.6940000000000004E-2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31.138888888888889</v>
      </c>
      <c r="BN290" s="64">
        <f t="shared" si="28"/>
        <v>33.630000000000003</v>
      </c>
      <c r="BO290" s="64">
        <f t="shared" si="29"/>
        <v>4.3402777777777776E-2</v>
      </c>
      <c r="BP290" s="64">
        <f t="shared" si="30"/>
        <v>4.6875000000000007E-2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51">
        <v>4680115885646</v>
      </c>
      <c r="E291" s="552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9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41">
        <v>30</v>
      </c>
      <c r="Y291" s="542">
        <f t="shared" si="26"/>
        <v>32.400000000000006</v>
      </c>
      <c r="Z291" s="36">
        <f>IFERROR(IF(Y291=0,"",ROUNDUP(Y291/H291,0)*0.01898),"")</f>
        <v>5.6940000000000004E-2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31.138888888888889</v>
      </c>
      <c r="BN291" s="64">
        <f t="shared" si="28"/>
        <v>33.630000000000003</v>
      </c>
      <c r="BO291" s="64">
        <f t="shared" si="29"/>
        <v>4.3402777777777776E-2</v>
      </c>
      <c r="BP291" s="64">
        <f t="shared" si="30"/>
        <v>4.6875000000000007E-2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1">
        <v>4680115885554</v>
      </c>
      <c r="E292" s="552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1">
        <v>4680115885622</v>
      </c>
      <c r="E293" s="552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1">
        <v>4680115885608</v>
      </c>
      <c r="E294" s="552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7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9"/>
      <c r="R294" s="549"/>
      <c r="S294" s="549"/>
      <c r="T294" s="550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46"/>
      <c r="R295" s="546"/>
      <c r="S295" s="546"/>
      <c r="T295" s="546"/>
      <c r="U295" s="546"/>
      <c r="V295" s="547"/>
      <c r="W295" s="37" t="s">
        <v>72</v>
      </c>
      <c r="X295" s="543">
        <f>IFERROR(X289/H289,"0")+IFERROR(X290/H290,"0")+IFERROR(X291/H291,"0")+IFERROR(X292/H292,"0")+IFERROR(X293/H293,"0")+IFERROR(X294/H294,"0")</f>
        <v>5.5555555555555554</v>
      </c>
      <c r="Y295" s="543">
        <f>IFERROR(Y289/H289,"0")+IFERROR(Y290/H290,"0")+IFERROR(Y291/H291,"0")+IFERROR(Y292/H292,"0")+IFERROR(Y293/H293,"0")+IFERROR(Y294/H294,"0")</f>
        <v>6.0000000000000009</v>
      </c>
      <c r="Z295" s="543">
        <f>IFERROR(IF(Z289="",0,Z289),"0")+IFERROR(IF(Z290="",0,Z290),"0")+IFERROR(IF(Z291="",0,Z291),"0")+IFERROR(IF(Z292="",0,Z292),"0")+IFERROR(IF(Z293="",0,Z293),"0")+IFERROR(IF(Z294="",0,Z294),"0")</f>
        <v>0.11388000000000001</v>
      </c>
      <c r="AA295" s="544"/>
      <c r="AB295" s="544"/>
      <c r="AC295" s="544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57" t="s">
        <v>71</v>
      </c>
      <c r="Q296" s="546"/>
      <c r="R296" s="546"/>
      <c r="S296" s="546"/>
      <c r="T296" s="546"/>
      <c r="U296" s="546"/>
      <c r="V296" s="547"/>
      <c r="W296" s="37" t="s">
        <v>69</v>
      </c>
      <c r="X296" s="543">
        <f>IFERROR(SUM(X289:X294),"0")</f>
        <v>60</v>
      </c>
      <c r="Y296" s="543">
        <f>IFERROR(SUM(Y289:Y294),"0")</f>
        <v>64.800000000000011</v>
      </c>
      <c r="Z296" s="37"/>
      <c r="AA296" s="544"/>
      <c r="AB296" s="544"/>
      <c r="AC296" s="544"/>
    </row>
    <row r="297" spans="1:68" ht="14.25" hidden="1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1">
        <v>4607091387193</v>
      </c>
      <c r="E298" s="552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1">
        <v>4607091387230</v>
      </c>
      <c r="E299" s="552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41">
        <v>60</v>
      </c>
      <c r="Y299" s="542">
        <f t="shared" si="31"/>
        <v>63</v>
      </c>
      <c r="Z299" s="36">
        <f>IFERROR(IF(Y299=0,"",ROUNDUP(Y299/H299,0)*0.00902),"")</f>
        <v>0.1353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63.571428571428569</v>
      </c>
      <c r="BN299" s="64">
        <f t="shared" si="33"/>
        <v>66.75</v>
      </c>
      <c r="BO299" s="64">
        <f t="shared" si="34"/>
        <v>0.10822510822510822</v>
      </c>
      <c r="BP299" s="64">
        <f t="shared" si="35"/>
        <v>0.11363636363636365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1">
        <v>4607091387292</v>
      </c>
      <c r="E300" s="552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51">
        <v>4607091387285</v>
      </c>
      <c r="E301" s="552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6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41">
        <v>10.5</v>
      </c>
      <c r="Y301" s="542">
        <f t="shared" si="31"/>
        <v>10.5</v>
      </c>
      <c r="Z301" s="36">
        <f>IFERROR(IF(Y301=0,"",ROUNDUP(Y301/H301,0)*0.00502),"")</f>
        <v>2.5100000000000001E-2</v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11.149999999999999</v>
      </c>
      <c r="BN301" s="64">
        <f t="shared" si="33"/>
        <v>11.149999999999999</v>
      </c>
      <c r="BO301" s="64">
        <f t="shared" si="34"/>
        <v>2.1367521367521368E-2</v>
      </c>
      <c r="BP301" s="64">
        <f t="shared" si="35"/>
        <v>2.1367521367521368E-2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1">
        <v>4607091389845</v>
      </c>
      <c r="E302" s="552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8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9"/>
      <c r="R302" s="549"/>
      <c r="S302" s="549"/>
      <c r="T302" s="550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1">
        <v>4680115882881</v>
      </c>
      <c r="E303" s="552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84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9"/>
      <c r="R303" s="549"/>
      <c r="S303" s="549"/>
      <c r="T303" s="550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1">
        <v>4607091383836</v>
      </c>
      <c r="E304" s="552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9"/>
      <c r="R304" s="549"/>
      <c r="S304" s="549"/>
      <c r="T304" s="550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46"/>
      <c r="R305" s="546"/>
      <c r="S305" s="546"/>
      <c r="T305" s="546"/>
      <c r="U305" s="546"/>
      <c r="V305" s="547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19.285714285714285</v>
      </c>
      <c r="Y305" s="543">
        <f>IFERROR(Y298/H298,"0")+IFERROR(Y299/H299,"0")+IFERROR(Y300/H300,"0")+IFERROR(Y301/H301,"0")+IFERROR(Y302/H302,"0")+IFERROR(Y303/H303,"0")+IFERROR(Y304/H304,"0")</f>
        <v>20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0.16040000000000001</v>
      </c>
      <c r="AA305" s="544"/>
      <c r="AB305" s="544"/>
      <c r="AC305" s="544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57" t="s">
        <v>71</v>
      </c>
      <c r="Q306" s="546"/>
      <c r="R306" s="546"/>
      <c r="S306" s="546"/>
      <c r="T306" s="546"/>
      <c r="U306" s="546"/>
      <c r="V306" s="547"/>
      <c r="W306" s="37" t="s">
        <v>69</v>
      </c>
      <c r="X306" s="543">
        <f>IFERROR(SUM(X298:X304),"0")</f>
        <v>70.5</v>
      </c>
      <c r="Y306" s="543">
        <f>IFERROR(SUM(Y298:Y304),"0")</f>
        <v>73.5</v>
      </c>
      <c r="Z306" s="37"/>
      <c r="AA306" s="544"/>
      <c r="AB306" s="544"/>
      <c r="AC306" s="544"/>
    </row>
    <row r="307" spans="1:68" ht="14.25" hidden="1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1">
        <v>4607091387766</v>
      </c>
      <c r="E308" s="552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8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9"/>
      <c r="R308" s="549"/>
      <c r="S308" s="549"/>
      <c r="T308" s="550"/>
      <c r="U308" s="34"/>
      <c r="V308" s="34"/>
      <c r="W308" s="35" t="s">
        <v>69</v>
      </c>
      <c r="X308" s="541">
        <v>600</v>
      </c>
      <c r="Y308" s="542">
        <f>IFERROR(IF(X308="",0,CEILING((X308/$H308),1)*$H308),"")</f>
        <v>600.6</v>
      </c>
      <c r="Z308" s="36">
        <f>IFERROR(IF(Y308=0,"",ROUNDUP(Y308/H308,0)*0.01898),"")</f>
        <v>1.46146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637.53846153846155</v>
      </c>
      <c r="BN308" s="64">
        <f>IFERROR(Y308*I308/H308,"0")</f>
        <v>638.17600000000004</v>
      </c>
      <c r="BO308" s="64">
        <f>IFERROR(1/J308*(X308/H308),"0")</f>
        <v>1.2019230769230769</v>
      </c>
      <c r="BP308" s="64">
        <f>IFERROR(1/J308*(Y308/H308),"0")</f>
        <v>1.203125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1">
        <v>4607091387957</v>
      </c>
      <c r="E309" s="552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1">
        <v>4607091387964</v>
      </c>
      <c r="E310" s="552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9"/>
      <c r="R310" s="549"/>
      <c r="S310" s="549"/>
      <c r="T310" s="550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1">
        <v>4680115884588</v>
      </c>
      <c r="E311" s="552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9"/>
      <c r="R311" s="549"/>
      <c r="S311" s="549"/>
      <c r="T311" s="550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46"/>
      <c r="R312" s="546"/>
      <c r="S312" s="546"/>
      <c r="T312" s="546"/>
      <c r="U312" s="546"/>
      <c r="V312" s="547"/>
      <c r="W312" s="37" t="s">
        <v>72</v>
      </c>
      <c r="X312" s="543">
        <f>IFERROR(X308/H308,"0")+IFERROR(X309/H309,"0")+IFERROR(X310/H310,"0")+IFERROR(X311/H311,"0")</f>
        <v>76.92307692307692</v>
      </c>
      <c r="Y312" s="543">
        <f>IFERROR(Y308/H308,"0")+IFERROR(Y309/H309,"0")+IFERROR(Y310/H310,"0")+IFERROR(Y311/H311,"0")</f>
        <v>77</v>
      </c>
      <c r="Z312" s="543">
        <f>IFERROR(IF(Z308="",0,Z308),"0")+IFERROR(IF(Z309="",0,Z309),"0")+IFERROR(IF(Z310="",0,Z310),"0")+IFERROR(IF(Z311="",0,Z311),"0")</f>
        <v>1.46146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57" t="s">
        <v>71</v>
      </c>
      <c r="Q313" s="546"/>
      <c r="R313" s="546"/>
      <c r="S313" s="546"/>
      <c r="T313" s="546"/>
      <c r="U313" s="546"/>
      <c r="V313" s="547"/>
      <c r="W313" s="37" t="s">
        <v>69</v>
      </c>
      <c r="X313" s="543">
        <f>IFERROR(SUM(X308:X311),"0")</f>
        <v>600</v>
      </c>
      <c r="Y313" s="543">
        <f>IFERROR(SUM(Y308:Y311),"0")</f>
        <v>600.6</v>
      </c>
      <c r="Z313" s="37"/>
      <c r="AA313" s="544"/>
      <c r="AB313" s="544"/>
      <c r="AC313" s="544"/>
    </row>
    <row r="314" spans="1:68" ht="14.25" hidden="1" customHeight="1" x14ac:dyDescent="0.25">
      <c r="A314" s="558" t="s">
        <v>164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1">
        <v>4607091380880</v>
      </c>
      <c r="E315" s="552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51">
        <v>4607091384482</v>
      </c>
      <c r="E316" s="552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1">
        <v>4607091380897</v>
      </c>
      <c r="E317" s="552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9"/>
      <c r="R317" s="549"/>
      <c r="S317" s="549"/>
      <c r="T317" s="550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46"/>
      <c r="R318" s="546"/>
      <c r="S318" s="546"/>
      <c r="T318" s="546"/>
      <c r="U318" s="546"/>
      <c r="V318" s="547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57" t="s">
        <v>71</v>
      </c>
      <c r="Q319" s="546"/>
      <c r="R319" s="546"/>
      <c r="S319" s="546"/>
      <c r="T319" s="546"/>
      <c r="U319" s="546"/>
      <c r="V319" s="547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8" t="s">
        <v>93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1">
        <v>4607091388381</v>
      </c>
      <c r="E321" s="552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1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1">
        <v>4607091388374</v>
      </c>
      <c r="E322" s="552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1">
        <v>4607091383102</v>
      </c>
      <c r="E323" s="552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1">
        <v>4607091388404</v>
      </c>
      <c r="E324" s="552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9"/>
      <c r="R324" s="549"/>
      <c r="S324" s="549"/>
      <c r="T324" s="550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46"/>
      <c r="R325" s="546"/>
      <c r="S325" s="546"/>
      <c r="T325" s="546"/>
      <c r="U325" s="546"/>
      <c r="V325" s="547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57" t="s">
        <v>71</v>
      </c>
      <c r="Q326" s="546"/>
      <c r="R326" s="546"/>
      <c r="S326" s="546"/>
      <c r="T326" s="546"/>
      <c r="U326" s="546"/>
      <c r="V326" s="547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8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1">
        <v>4680115881808</v>
      </c>
      <c r="E328" s="552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85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1">
        <v>4680115881822</v>
      </c>
      <c r="E329" s="552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9"/>
      <c r="R329" s="549"/>
      <c r="S329" s="549"/>
      <c r="T329" s="550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1">
        <v>4680115880016</v>
      </c>
      <c r="E330" s="552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9"/>
      <c r="R330" s="549"/>
      <c r="S330" s="549"/>
      <c r="T330" s="550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46"/>
      <c r="R331" s="546"/>
      <c r="S331" s="546"/>
      <c r="T331" s="546"/>
      <c r="U331" s="546"/>
      <c r="V331" s="54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57" t="s">
        <v>71</v>
      </c>
      <c r="Q332" s="546"/>
      <c r="R332" s="546"/>
      <c r="S332" s="546"/>
      <c r="T332" s="546"/>
      <c r="U332" s="546"/>
      <c r="V332" s="54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0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58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51">
        <v>4607091387919</v>
      </c>
      <c r="E335" s="552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9"/>
      <c r="R335" s="549"/>
      <c r="S335" s="549"/>
      <c r="T335" s="550"/>
      <c r="U335" s="34"/>
      <c r="V335" s="34"/>
      <c r="W335" s="35" t="s">
        <v>69</v>
      </c>
      <c r="X335" s="541">
        <v>20</v>
      </c>
      <c r="Y335" s="542">
        <f>IFERROR(IF(X335="",0,CEILING((X335/$H335),1)*$H335),"")</f>
        <v>24.299999999999997</v>
      </c>
      <c r="Z335" s="36">
        <f>IFERROR(IF(Y335=0,"",ROUNDUP(Y335/H335,0)*0.01898),"")</f>
        <v>5.6940000000000004E-2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21.219753086419754</v>
      </c>
      <c r="BN335" s="64">
        <f>IFERROR(Y335*I335/H335,"0")</f>
        <v>25.781999999999996</v>
      </c>
      <c r="BO335" s="64">
        <f>IFERROR(1/J335*(X335/H335),"0")</f>
        <v>3.8580246913580252E-2</v>
      </c>
      <c r="BP335" s="64">
        <f>IFERROR(1/J335*(Y335/H335),"0")</f>
        <v>4.6875E-2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51">
        <v>4680115883604</v>
      </c>
      <c r="E336" s="552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51">
        <v>4680115883567</v>
      </c>
      <c r="E337" s="552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9"/>
      <c r="R337" s="549"/>
      <c r="S337" s="549"/>
      <c r="T337" s="550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46"/>
      <c r="R338" s="546"/>
      <c r="S338" s="546"/>
      <c r="T338" s="546"/>
      <c r="U338" s="546"/>
      <c r="V338" s="547"/>
      <c r="W338" s="37" t="s">
        <v>72</v>
      </c>
      <c r="X338" s="543">
        <f>IFERROR(X335/H335,"0")+IFERROR(X336/H336,"0")+IFERROR(X337/H337,"0")</f>
        <v>2.4691358024691361</v>
      </c>
      <c r="Y338" s="543">
        <f>IFERROR(Y335/H335,"0")+IFERROR(Y336/H336,"0")+IFERROR(Y337/H337,"0")</f>
        <v>3</v>
      </c>
      <c r="Z338" s="543">
        <f>IFERROR(IF(Z335="",0,Z335),"0")+IFERROR(IF(Z336="",0,Z336),"0")+IFERROR(IF(Z337="",0,Z337),"0")</f>
        <v>5.6940000000000004E-2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57" t="s">
        <v>71</v>
      </c>
      <c r="Q339" s="546"/>
      <c r="R339" s="546"/>
      <c r="S339" s="546"/>
      <c r="T339" s="546"/>
      <c r="U339" s="546"/>
      <c r="V339" s="547"/>
      <c r="W339" s="37" t="s">
        <v>69</v>
      </c>
      <c r="X339" s="543">
        <f>IFERROR(SUM(X335:X337),"0")</f>
        <v>20</v>
      </c>
      <c r="Y339" s="543">
        <f>IFERROR(SUM(Y335:Y337),"0")</f>
        <v>24.299999999999997</v>
      </c>
      <c r="Z339" s="37"/>
      <c r="AA339" s="544"/>
      <c r="AB339" s="544"/>
      <c r="AC339" s="544"/>
    </row>
    <row r="340" spans="1:68" ht="27.75" hidden="1" customHeight="1" x14ac:dyDescent="0.2">
      <c r="A340" s="648" t="s">
        <v>535</v>
      </c>
      <c r="B340" s="649"/>
      <c r="C340" s="649"/>
      <c r="D340" s="649"/>
      <c r="E340" s="649"/>
      <c r="F340" s="649"/>
      <c r="G340" s="649"/>
      <c r="H340" s="649"/>
      <c r="I340" s="649"/>
      <c r="J340" s="649"/>
      <c r="K340" s="649"/>
      <c r="L340" s="649"/>
      <c r="M340" s="649"/>
      <c r="N340" s="649"/>
      <c r="O340" s="649"/>
      <c r="P340" s="649"/>
      <c r="Q340" s="649"/>
      <c r="R340" s="649"/>
      <c r="S340" s="649"/>
      <c r="T340" s="649"/>
      <c r="U340" s="649"/>
      <c r="V340" s="649"/>
      <c r="W340" s="649"/>
      <c r="X340" s="649"/>
      <c r="Y340" s="649"/>
      <c r="Z340" s="649"/>
      <c r="AA340" s="48"/>
      <c r="AB340" s="48"/>
      <c r="AC340" s="48"/>
    </row>
    <row r="341" spans="1:68" ht="16.5" hidden="1" customHeight="1" x14ac:dyDescent="0.25">
      <c r="A341" s="560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58" t="s">
        <v>101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1">
        <v>4680115884847</v>
      </c>
      <c r="E343" s="552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9"/>
      <c r="R343" s="549"/>
      <c r="S343" s="549"/>
      <c r="T343" s="550"/>
      <c r="U343" s="34"/>
      <c r="V343" s="34"/>
      <c r="W343" s="35" t="s">
        <v>69</v>
      </c>
      <c r="X343" s="541">
        <v>30</v>
      </c>
      <c r="Y343" s="542">
        <f t="shared" ref="Y343:Y349" si="36">IFERROR(IF(X343="",0,CEILING((X343/$H343),1)*$H343),"")</f>
        <v>30</v>
      </c>
      <c r="Z343" s="36">
        <f>IFERROR(IF(Y343=0,"",ROUNDUP(Y343/H343,0)*0.02175),"")</f>
        <v>4.3499999999999997E-2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30.94</v>
      </c>
      <c r="BN343" s="64">
        <f t="shared" ref="BN343:BN349" si="38">IFERROR(Y343*I343/H343,"0")</f>
        <v>30.94</v>
      </c>
      <c r="BO343" s="64">
        <f t="shared" ref="BO343:BO349" si="39">IFERROR(1/J343*(X343/H343),"0")</f>
        <v>4.1666666666666664E-2</v>
      </c>
      <c r="BP343" s="64">
        <f t="shared" ref="BP343:BP349" si="40">IFERROR(1/J343*(Y343/H343),"0")</f>
        <v>4.1666666666666664E-2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1">
        <v>4680115884854</v>
      </c>
      <c r="E344" s="552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1">
        <v>4680115884830</v>
      </c>
      <c r="E345" s="552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9"/>
      <c r="R345" s="549"/>
      <c r="S345" s="549"/>
      <c r="T345" s="550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1">
        <v>4680115887046</v>
      </c>
      <c r="E346" s="552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41">
        <v>200</v>
      </c>
      <c r="Y346" s="542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1">
        <v>4680115882638</v>
      </c>
      <c r="E347" s="552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1">
        <v>4680115884922</v>
      </c>
      <c r="E348" s="552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1">
        <v>4680115884861</v>
      </c>
      <c r="E349" s="552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9"/>
      <c r="R349" s="549"/>
      <c r="S349" s="549"/>
      <c r="T349" s="550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46"/>
      <c r="R350" s="546"/>
      <c r="S350" s="546"/>
      <c r="T350" s="546"/>
      <c r="U350" s="546"/>
      <c r="V350" s="54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22</v>
      </c>
      <c r="Y350" s="543">
        <f>IFERROR(Y343/H343,"0")+IFERROR(Y344/H344,"0")+IFERROR(Y345/H345,"0")+IFERROR(Y346/H346,"0")+IFERROR(Y347/H347,"0")+IFERROR(Y348/H348,"0")+IFERROR(Y349/H349,"0")</f>
        <v>23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0.50024999999999997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57" t="s">
        <v>71</v>
      </c>
      <c r="Q351" s="546"/>
      <c r="R351" s="546"/>
      <c r="S351" s="546"/>
      <c r="T351" s="546"/>
      <c r="U351" s="546"/>
      <c r="V351" s="547"/>
      <c r="W351" s="37" t="s">
        <v>69</v>
      </c>
      <c r="X351" s="543">
        <f>IFERROR(SUM(X343:X349),"0")</f>
        <v>330</v>
      </c>
      <c r="Y351" s="543">
        <f>IFERROR(SUM(Y343:Y349),"0")</f>
        <v>345</v>
      </c>
      <c r="Z351" s="37"/>
      <c r="AA351" s="544"/>
      <c r="AB351" s="544"/>
      <c r="AC351" s="544"/>
    </row>
    <row r="352" spans="1:68" ht="14.25" hidden="1" customHeight="1" x14ac:dyDescent="0.25">
      <c r="A352" s="558" t="s">
        <v>136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51">
        <v>4607091383980</v>
      </c>
      <c r="E353" s="552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9"/>
      <c r="R353" s="549"/>
      <c r="S353" s="549"/>
      <c r="T353" s="550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1">
        <v>4607091384178</v>
      </c>
      <c r="E354" s="552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5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9"/>
      <c r="R354" s="549"/>
      <c r="S354" s="549"/>
      <c r="T354" s="550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46"/>
      <c r="R355" s="546"/>
      <c r="S355" s="546"/>
      <c r="T355" s="546"/>
      <c r="U355" s="546"/>
      <c r="V355" s="547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hidden="1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57" t="s">
        <v>71</v>
      </c>
      <c r="Q356" s="546"/>
      <c r="R356" s="546"/>
      <c r="S356" s="546"/>
      <c r="T356" s="546"/>
      <c r="U356" s="546"/>
      <c r="V356" s="547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hidden="1" customHeight="1" x14ac:dyDescent="0.25">
      <c r="A357" s="558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1">
        <v>4607091383928</v>
      </c>
      <c r="E358" s="552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1">
        <v>4607091384260</v>
      </c>
      <c r="E359" s="552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9"/>
      <c r="R359" s="549"/>
      <c r="S359" s="549"/>
      <c r="T359" s="550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46"/>
      <c r="R360" s="546"/>
      <c r="S360" s="546"/>
      <c r="T360" s="546"/>
      <c r="U360" s="546"/>
      <c r="V360" s="54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57" t="s">
        <v>71</v>
      </c>
      <c r="Q361" s="546"/>
      <c r="R361" s="546"/>
      <c r="S361" s="546"/>
      <c r="T361" s="546"/>
      <c r="U361" s="546"/>
      <c r="V361" s="54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8" t="s">
        <v>164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1">
        <v>4607091384673</v>
      </c>
      <c r="E363" s="552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9"/>
      <c r="R363" s="549"/>
      <c r="S363" s="549"/>
      <c r="T363" s="550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46"/>
      <c r="R364" s="546"/>
      <c r="S364" s="546"/>
      <c r="T364" s="546"/>
      <c r="U364" s="546"/>
      <c r="V364" s="54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57" t="s">
        <v>71</v>
      </c>
      <c r="Q365" s="546"/>
      <c r="R365" s="546"/>
      <c r="S365" s="546"/>
      <c r="T365" s="546"/>
      <c r="U365" s="546"/>
      <c r="V365" s="54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0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58" t="s">
        <v>101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1">
        <v>4680115884885</v>
      </c>
      <c r="E368" s="552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6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1">
        <v>4680115884908</v>
      </c>
      <c r="E369" s="552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9"/>
      <c r="R369" s="549"/>
      <c r="S369" s="549"/>
      <c r="T369" s="550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46"/>
      <c r="R370" s="546"/>
      <c r="S370" s="546"/>
      <c r="T370" s="546"/>
      <c r="U370" s="546"/>
      <c r="V370" s="54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57" t="s">
        <v>71</v>
      </c>
      <c r="Q371" s="546"/>
      <c r="R371" s="546"/>
      <c r="S371" s="546"/>
      <c r="T371" s="546"/>
      <c r="U371" s="546"/>
      <c r="V371" s="54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8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1">
        <v>4607091384802</v>
      </c>
      <c r="E373" s="552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7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9"/>
      <c r="R373" s="549"/>
      <c r="S373" s="549"/>
      <c r="T373" s="550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1">
        <v>4607091384802</v>
      </c>
      <c r="E374" s="552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9"/>
      <c r="R374" s="549"/>
      <c r="S374" s="549"/>
      <c r="T374" s="550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46"/>
      <c r="R375" s="546"/>
      <c r="S375" s="546"/>
      <c r="T375" s="546"/>
      <c r="U375" s="546"/>
      <c r="V375" s="54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57" t="s">
        <v>71</v>
      </c>
      <c r="Q376" s="546"/>
      <c r="R376" s="546"/>
      <c r="S376" s="546"/>
      <c r="T376" s="546"/>
      <c r="U376" s="546"/>
      <c r="V376" s="54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8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1">
        <v>4607091384246</v>
      </c>
      <c r="E378" s="552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1">
        <v>4607091384253</v>
      </c>
      <c r="E379" s="552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9"/>
      <c r="R379" s="549"/>
      <c r="S379" s="549"/>
      <c r="T379" s="550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46"/>
      <c r="R380" s="546"/>
      <c r="S380" s="546"/>
      <c r="T380" s="546"/>
      <c r="U380" s="546"/>
      <c r="V380" s="547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46"/>
      <c r="R381" s="546"/>
      <c r="S381" s="546"/>
      <c r="T381" s="546"/>
      <c r="U381" s="546"/>
      <c r="V381" s="547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8" t="s">
        <v>586</v>
      </c>
      <c r="B382" s="649"/>
      <c r="C382" s="649"/>
      <c r="D382" s="649"/>
      <c r="E382" s="649"/>
      <c r="F382" s="649"/>
      <c r="G382" s="649"/>
      <c r="H382" s="649"/>
      <c r="I382" s="649"/>
      <c r="J382" s="649"/>
      <c r="K382" s="649"/>
      <c r="L382" s="649"/>
      <c r="M382" s="649"/>
      <c r="N382" s="649"/>
      <c r="O382" s="649"/>
      <c r="P382" s="649"/>
      <c r="Q382" s="649"/>
      <c r="R382" s="649"/>
      <c r="S382" s="649"/>
      <c r="T382" s="649"/>
      <c r="U382" s="649"/>
      <c r="V382" s="649"/>
      <c r="W382" s="649"/>
      <c r="X382" s="649"/>
      <c r="Y382" s="649"/>
      <c r="Z382" s="649"/>
      <c r="AA382" s="48"/>
      <c r="AB382" s="48"/>
      <c r="AC382" s="48"/>
    </row>
    <row r="383" spans="1:68" ht="16.5" hidden="1" customHeight="1" x14ac:dyDescent="0.25">
      <c r="A383" s="560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58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1">
        <v>4680115886100</v>
      </c>
      <c r="E385" s="552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1">
        <v>4680115886117</v>
      </c>
      <c r="E386" s="552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1">
        <v>4680115886124</v>
      </c>
      <c r="E387" s="552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1">
        <v>4680115883147</v>
      </c>
      <c r="E388" s="552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9"/>
      <c r="R388" s="549"/>
      <c r="S388" s="549"/>
      <c r="T388" s="550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1">
        <v>4607091384338</v>
      </c>
      <c r="E389" s="552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1">
        <v>4607091389524</v>
      </c>
      <c r="E390" s="552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9"/>
      <c r="R390" s="549"/>
      <c r="S390" s="549"/>
      <c r="T390" s="550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1">
        <v>4680115883161</v>
      </c>
      <c r="E391" s="552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9"/>
      <c r="R391" s="549"/>
      <c r="S391" s="549"/>
      <c r="T391" s="550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1">
        <v>4607091389531</v>
      </c>
      <c r="E392" s="552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1">
        <v>4607091384345</v>
      </c>
      <c r="E393" s="552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9"/>
      <c r="R393" s="549"/>
      <c r="S393" s="549"/>
      <c r="T393" s="550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46"/>
      <c r="R394" s="546"/>
      <c r="S394" s="546"/>
      <c r="T394" s="546"/>
      <c r="U394" s="546"/>
      <c r="V394" s="54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46"/>
      <c r="R395" s="546"/>
      <c r="S395" s="546"/>
      <c r="T395" s="546"/>
      <c r="U395" s="546"/>
      <c r="V395" s="547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8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1">
        <v>4607091384352</v>
      </c>
      <c r="E397" s="552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1">
        <v>4607091389654</v>
      </c>
      <c r="E398" s="552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9"/>
      <c r="R398" s="549"/>
      <c r="S398" s="549"/>
      <c r="T398" s="550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46"/>
      <c r="R399" s="546"/>
      <c r="S399" s="546"/>
      <c r="T399" s="546"/>
      <c r="U399" s="546"/>
      <c r="V399" s="54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46"/>
      <c r="R400" s="546"/>
      <c r="S400" s="546"/>
      <c r="T400" s="546"/>
      <c r="U400" s="546"/>
      <c r="V400" s="54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58" t="s">
        <v>136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1">
        <v>4680115885240</v>
      </c>
      <c r="E403" s="552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9"/>
      <c r="R403" s="549"/>
      <c r="S403" s="549"/>
      <c r="T403" s="550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46"/>
      <c r="R404" s="546"/>
      <c r="S404" s="546"/>
      <c r="T404" s="546"/>
      <c r="U404" s="546"/>
      <c r="V404" s="54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46"/>
      <c r="R405" s="546"/>
      <c r="S405" s="546"/>
      <c r="T405" s="546"/>
      <c r="U405" s="546"/>
      <c r="V405" s="54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8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1">
        <v>4680115886094</v>
      </c>
      <c r="E407" s="552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1">
        <v>4607091389425</v>
      </c>
      <c r="E408" s="552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3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9"/>
      <c r="R408" s="549"/>
      <c r="S408" s="549"/>
      <c r="T408" s="550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1">
        <v>4680115880771</v>
      </c>
      <c r="E409" s="552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1">
        <v>4607091389500</v>
      </c>
      <c r="E410" s="552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9"/>
      <c r="R410" s="549"/>
      <c r="S410" s="549"/>
      <c r="T410" s="550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46"/>
      <c r="R411" s="546"/>
      <c r="S411" s="546"/>
      <c r="T411" s="546"/>
      <c r="U411" s="546"/>
      <c r="V411" s="54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46"/>
      <c r="R412" s="546"/>
      <c r="S412" s="546"/>
      <c r="T412" s="546"/>
      <c r="U412" s="546"/>
      <c r="V412" s="54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58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1">
        <v>4680115885110</v>
      </c>
      <c r="E415" s="552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9"/>
      <c r="R415" s="549"/>
      <c r="S415" s="549"/>
      <c r="T415" s="550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46"/>
      <c r="R416" s="546"/>
      <c r="S416" s="546"/>
      <c r="T416" s="546"/>
      <c r="U416" s="546"/>
      <c r="V416" s="54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46"/>
      <c r="R417" s="546"/>
      <c r="S417" s="546"/>
      <c r="T417" s="546"/>
      <c r="U417" s="546"/>
      <c r="V417" s="54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8" t="s">
        <v>637</v>
      </c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49"/>
      <c r="P418" s="649"/>
      <c r="Q418" s="649"/>
      <c r="R418" s="649"/>
      <c r="S418" s="649"/>
      <c r="T418" s="649"/>
      <c r="U418" s="649"/>
      <c r="V418" s="649"/>
      <c r="W418" s="649"/>
      <c r="X418" s="649"/>
      <c r="Y418" s="649"/>
      <c r="Z418" s="649"/>
      <c r="AA418" s="48"/>
      <c r="AB418" s="48"/>
      <c r="AC418" s="48"/>
    </row>
    <row r="419" spans="1:68" ht="16.5" hidden="1" customHeight="1" x14ac:dyDescent="0.25">
      <c r="A419" s="560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58" t="s">
        <v>101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51">
        <v>4607091389067</v>
      </c>
      <c r="E421" s="552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9"/>
      <c r="R421" s="549"/>
      <c r="S421" s="549"/>
      <c r="T421" s="550"/>
      <c r="U421" s="34"/>
      <c r="V421" s="34"/>
      <c r="W421" s="35" t="s">
        <v>69</v>
      </c>
      <c r="X421" s="541">
        <v>5</v>
      </c>
      <c r="Y421" s="542">
        <f t="shared" ref="Y421:Y431" si="47">IFERROR(IF(X421="",0,CEILING((X421/$H421),1)*$H421),"")</f>
        <v>5.28</v>
      </c>
      <c r="Z421" s="36">
        <f t="shared" ref="Z421:Z426" si="48">IFERROR(IF(Y421=0,"",ROUNDUP(Y421/H421,0)*0.01196),"")</f>
        <v>1.196E-2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5.3314393939393936</v>
      </c>
      <c r="BN421" s="64">
        <f t="shared" ref="BN421:BN431" si="50">IFERROR(Y421*I421/H421,"0")</f>
        <v>5.63</v>
      </c>
      <c r="BO421" s="64">
        <f t="shared" ref="BO421:BO431" si="51">IFERROR(1/J421*(X421/H421),"0")</f>
        <v>9.1054778554778559E-3</v>
      </c>
      <c r="BP421" s="64">
        <f t="shared" ref="BP421:BP431" si="52">IFERROR(1/J421*(Y421/H421),"0")</f>
        <v>9.6153846153846159E-3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1">
        <v>4607091383522</v>
      </c>
      <c r="E422" s="552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78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9"/>
      <c r="R422" s="549"/>
      <c r="S422" s="549"/>
      <c r="T422" s="550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1">
        <v>4680115885271</v>
      </c>
      <c r="E423" s="552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1">
        <v>4680115885226</v>
      </c>
      <c r="E424" s="552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1">
        <v>4680115884502</v>
      </c>
      <c r="E425" s="552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1">
        <v>4607091389104</v>
      </c>
      <c r="E426" s="552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7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9"/>
      <c r="R426" s="549"/>
      <c r="S426" s="549"/>
      <c r="T426" s="550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1">
        <v>4680115886391</v>
      </c>
      <c r="E427" s="552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9"/>
      <c r="R427" s="549"/>
      <c r="S427" s="549"/>
      <c r="T427" s="550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1">
        <v>4680115880603</v>
      </c>
      <c r="E428" s="552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1">
        <v>4680115882782</v>
      </c>
      <c r="E429" s="552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1">
        <v>4680115885479</v>
      </c>
      <c r="E430" s="552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58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1">
        <v>4607091389982</v>
      </c>
      <c r="E431" s="552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9"/>
      <c r="R431" s="549"/>
      <c r="S431" s="549"/>
      <c r="T431" s="550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46"/>
      <c r="R432" s="546"/>
      <c r="S432" s="546"/>
      <c r="T432" s="546"/>
      <c r="U432" s="546"/>
      <c r="V432" s="54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0.94696969696969691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1.196E-2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46"/>
      <c r="R433" s="546"/>
      <c r="S433" s="546"/>
      <c r="T433" s="546"/>
      <c r="U433" s="546"/>
      <c r="V433" s="547"/>
      <c r="W433" s="37" t="s">
        <v>69</v>
      </c>
      <c r="X433" s="543">
        <f>IFERROR(SUM(X421:X431),"0")</f>
        <v>5</v>
      </c>
      <c r="Y433" s="543">
        <f>IFERROR(SUM(Y421:Y431),"0")</f>
        <v>5.28</v>
      </c>
      <c r="Z433" s="37"/>
      <c r="AA433" s="544"/>
      <c r="AB433" s="544"/>
      <c r="AC433" s="544"/>
    </row>
    <row r="434" spans="1:68" ht="14.25" hidden="1" customHeight="1" x14ac:dyDescent="0.25">
      <c r="A434" s="558" t="s">
        <v>136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1">
        <v>4607091388930</v>
      </c>
      <c r="E435" s="552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9"/>
      <c r="R435" s="549"/>
      <c r="S435" s="549"/>
      <c r="T435" s="550"/>
      <c r="U435" s="34"/>
      <c r="V435" s="34"/>
      <c r="W435" s="35" t="s">
        <v>69</v>
      </c>
      <c r="X435" s="541">
        <v>5</v>
      </c>
      <c r="Y435" s="542">
        <f>IFERROR(IF(X435="",0,CEILING((X435/$H435),1)*$H435),"")</f>
        <v>5.28</v>
      </c>
      <c r="Z435" s="36">
        <f>IFERROR(IF(Y435=0,"",ROUNDUP(Y435/H435,0)*0.01196),"")</f>
        <v>1.196E-2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5.3314393939393936</v>
      </c>
      <c r="BN435" s="64">
        <f>IFERROR(Y435*I435/H435,"0")</f>
        <v>5.63</v>
      </c>
      <c r="BO435" s="64">
        <f>IFERROR(1/J435*(X435/H435),"0")</f>
        <v>9.1054778554778559E-3</v>
      </c>
      <c r="BP435" s="64">
        <f>IFERROR(1/J435*(Y435/H435),"0")</f>
        <v>9.6153846153846159E-3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1">
        <v>4680115886407</v>
      </c>
      <c r="E436" s="552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9"/>
      <c r="R436" s="549"/>
      <c r="S436" s="549"/>
      <c r="T436" s="550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1">
        <v>4680115880054</v>
      </c>
      <c r="E437" s="552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9"/>
      <c r="R437" s="549"/>
      <c r="S437" s="549"/>
      <c r="T437" s="550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46"/>
      <c r="R438" s="546"/>
      <c r="S438" s="546"/>
      <c r="T438" s="546"/>
      <c r="U438" s="546"/>
      <c r="V438" s="547"/>
      <c r="W438" s="37" t="s">
        <v>72</v>
      </c>
      <c r="X438" s="543">
        <f>IFERROR(X435/H435,"0")+IFERROR(X436/H436,"0")+IFERROR(X437/H437,"0")</f>
        <v>0.94696969696969691</v>
      </c>
      <c r="Y438" s="543">
        <f>IFERROR(Y435/H435,"0")+IFERROR(Y436/H436,"0")+IFERROR(Y437/H437,"0")</f>
        <v>1</v>
      </c>
      <c r="Z438" s="543">
        <f>IFERROR(IF(Z435="",0,Z435),"0")+IFERROR(IF(Z436="",0,Z436),"0")+IFERROR(IF(Z437="",0,Z437),"0")</f>
        <v>1.196E-2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46"/>
      <c r="R439" s="546"/>
      <c r="S439" s="546"/>
      <c r="T439" s="546"/>
      <c r="U439" s="546"/>
      <c r="V439" s="547"/>
      <c r="W439" s="37" t="s">
        <v>69</v>
      </c>
      <c r="X439" s="543">
        <f>IFERROR(SUM(X435:X437),"0")</f>
        <v>5</v>
      </c>
      <c r="Y439" s="543">
        <f>IFERROR(SUM(Y435:Y437),"0")</f>
        <v>5.28</v>
      </c>
      <c r="Z439" s="37"/>
      <c r="AA439" s="544"/>
      <c r="AB439" s="544"/>
      <c r="AC439" s="544"/>
    </row>
    <row r="440" spans="1:68" ht="14.25" hidden="1" customHeight="1" x14ac:dyDescent="0.25">
      <c r="A440" s="558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51">
        <v>4680115883116</v>
      </c>
      <c r="E441" s="552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4301031350</v>
      </c>
      <c r="D442" s="551">
        <v>4680115883093</v>
      </c>
      <c r="E442" s="552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51">
        <v>4680115883109</v>
      </c>
      <c r="E443" s="552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1">
        <v>4680115882072</v>
      </c>
      <c r="E444" s="552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9"/>
      <c r="R444" s="549"/>
      <c r="S444" s="549"/>
      <c r="T444" s="550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1">
        <v>4680115882102</v>
      </c>
      <c r="E445" s="552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2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1">
        <v>4680115882096</v>
      </c>
      <c r="E446" s="552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9"/>
      <c r="R446" s="549"/>
      <c r="S446" s="549"/>
      <c r="T446" s="550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46"/>
      <c r="R447" s="546"/>
      <c r="S447" s="546"/>
      <c r="T447" s="546"/>
      <c r="U447" s="546"/>
      <c r="V447" s="547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46"/>
      <c r="R448" s="546"/>
      <c r="S448" s="546"/>
      <c r="T448" s="546"/>
      <c r="U448" s="546"/>
      <c r="V448" s="547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58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1">
        <v>4607091383409</v>
      </c>
      <c r="E450" s="552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1">
        <v>4607091383416</v>
      </c>
      <c r="E451" s="552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1">
        <v>4680115883536</v>
      </c>
      <c r="E452" s="552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9"/>
      <c r="R452" s="549"/>
      <c r="S452" s="549"/>
      <c r="T452" s="550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46"/>
      <c r="R453" s="546"/>
      <c r="S453" s="546"/>
      <c r="T453" s="546"/>
      <c r="U453" s="546"/>
      <c r="V453" s="54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46"/>
      <c r="R454" s="546"/>
      <c r="S454" s="546"/>
      <c r="T454" s="546"/>
      <c r="U454" s="546"/>
      <c r="V454" s="54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8" t="s">
        <v>697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48"/>
      <c r="AB455" s="48"/>
      <c r="AC455" s="48"/>
    </row>
    <row r="456" spans="1:68" ht="16.5" hidden="1" customHeight="1" x14ac:dyDescent="0.25">
      <c r="A456" s="560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58" t="s">
        <v>101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1">
        <v>4640242181011</v>
      </c>
      <c r="E458" s="552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1">
        <v>4640242180441</v>
      </c>
      <c r="E459" s="552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6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51">
        <v>4640242180564</v>
      </c>
      <c r="E460" s="552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41">
        <v>100</v>
      </c>
      <c r="Y460" s="542">
        <f>IFERROR(IF(X460="",0,CEILING((X460/$H460),1)*$H460),"")</f>
        <v>108</v>
      </c>
      <c r="Z460" s="36">
        <f>IFERROR(IF(Y460=0,"",ROUNDUP(Y460/H460,0)*0.01898),"")</f>
        <v>0.17082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103.41666666666667</v>
      </c>
      <c r="BN460" s="64">
        <f>IFERROR(Y460*I460/H460,"0")</f>
        <v>111.69</v>
      </c>
      <c r="BO460" s="64">
        <f>IFERROR(1/J460*(X460/H460),"0")</f>
        <v>0.13020833333333334</v>
      </c>
      <c r="BP460" s="64">
        <f>IFERROR(1/J460*(Y460/H460),"0")</f>
        <v>0.140625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1">
        <v>4640242181189</v>
      </c>
      <c r="E461" s="552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9"/>
      <c r="R461" s="549"/>
      <c r="S461" s="549"/>
      <c r="T461" s="550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46"/>
      <c r="R462" s="546"/>
      <c r="S462" s="546"/>
      <c r="T462" s="546"/>
      <c r="U462" s="546"/>
      <c r="V462" s="547"/>
      <c r="W462" s="37" t="s">
        <v>72</v>
      </c>
      <c r="X462" s="543">
        <f>IFERROR(X458/H458,"0")+IFERROR(X459/H459,"0")+IFERROR(X460/H460,"0")+IFERROR(X461/H461,"0")</f>
        <v>8.3333333333333339</v>
      </c>
      <c r="Y462" s="543">
        <f>IFERROR(Y458/H458,"0")+IFERROR(Y459/H459,"0")+IFERROR(Y460/H460,"0")+IFERROR(Y461/H461,"0")</f>
        <v>9</v>
      </c>
      <c r="Z462" s="543">
        <f>IFERROR(IF(Z458="",0,Z458),"0")+IFERROR(IF(Z459="",0,Z459),"0")+IFERROR(IF(Z460="",0,Z460),"0")+IFERROR(IF(Z461="",0,Z461),"0")</f>
        <v>0.17082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46"/>
      <c r="R463" s="546"/>
      <c r="S463" s="546"/>
      <c r="T463" s="546"/>
      <c r="U463" s="546"/>
      <c r="V463" s="547"/>
      <c r="W463" s="37" t="s">
        <v>69</v>
      </c>
      <c r="X463" s="543">
        <f>IFERROR(SUM(X458:X461),"0")</f>
        <v>100</v>
      </c>
      <c r="Y463" s="543">
        <f>IFERROR(SUM(Y458:Y461),"0")</f>
        <v>108</v>
      </c>
      <c r="Z463" s="37"/>
      <c r="AA463" s="544"/>
      <c r="AB463" s="544"/>
      <c r="AC463" s="544"/>
    </row>
    <row r="464" spans="1:68" ht="14.25" hidden="1" customHeight="1" x14ac:dyDescent="0.25">
      <c r="A464" s="558" t="s">
        <v>136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1">
        <v>4640242180519</v>
      </c>
      <c r="E465" s="552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6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9"/>
      <c r="R465" s="549"/>
      <c r="S465" s="549"/>
      <c r="T465" s="550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1">
        <v>4640242180526</v>
      </c>
      <c r="E466" s="552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9"/>
      <c r="R466" s="549"/>
      <c r="S466" s="549"/>
      <c r="T466" s="550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1">
        <v>4640242181363</v>
      </c>
      <c r="E467" s="552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7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9"/>
      <c r="R467" s="549"/>
      <c r="S467" s="549"/>
      <c r="T467" s="550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46"/>
      <c r="R468" s="546"/>
      <c r="S468" s="546"/>
      <c r="T468" s="546"/>
      <c r="U468" s="546"/>
      <c r="V468" s="54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46"/>
      <c r="R469" s="546"/>
      <c r="S469" s="546"/>
      <c r="T469" s="546"/>
      <c r="U469" s="546"/>
      <c r="V469" s="54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8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51">
        <v>4640242180816</v>
      </c>
      <c r="E471" s="552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2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51">
        <v>4640242180595</v>
      </c>
      <c r="E472" s="552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8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9"/>
      <c r="R472" s="549"/>
      <c r="S472" s="549"/>
      <c r="T472" s="550"/>
      <c r="U472" s="34"/>
      <c r="V472" s="34"/>
      <c r="W472" s="35" t="s">
        <v>69</v>
      </c>
      <c r="X472" s="541">
        <v>30</v>
      </c>
      <c r="Y472" s="542">
        <f>IFERROR(IF(X472="",0,CEILING((X472/$H472),1)*$H472),"")</f>
        <v>33.6</v>
      </c>
      <c r="Z472" s="36">
        <f>IFERROR(IF(Y472=0,"",ROUNDUP(Y472/H472,0)*0.00902),"")</f>
        <v>7.2160000000000002E-2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31.785714285714285</v>
      </c>
      <c r="BN472" s="64">
        <f>IFERROR(Y472*I472/H472,"0")</f>
        <v>35.6</v>
      </c>
      <c r="BO472" s="64">
        <f>IFERROR(1/J472*(X472/H472),"0")</f>
        <v>5.4112554112554112E-2</v>
      </c>
      <c r="BP472" s="64">
        <f>IFERROR(1/J472*(Y472/H472),"0")</f>
        <v>6.0606060606060608E-2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46"/>
      <c r="R473" s="546"/>
      <c r="S473" s="546"/>
      <c r="T473" s="546"/>
      <c r="U473" s="546"/>
      <c r="V473" s="547"/>
      <c r="W473" s="37" t="s">
        <v>72</v>
      </c>
      <c r="X473" s="543">
        <f>IFERROR(X471/H471,"0")+IFERROR(X472/H472,"0")</f>
        <v>14.285714285714285</v>
      </c>
      <c r="Y473" s="543">
        <f>IFERROR(Y471/H471,"0")+IFERROR(Y472/H472,"0")</f>
        <v>16</v>
      </c>
      <c r="Z473" s="543">
        <f>IFERROR(IF(Z471="",0,Z471),"0")+IFERROR(IF(Z472="",0,Z472),"0")</f>
        <v>0.14432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46"/>
      <c r="R474" s="546"/>
      <c r="S474" s="546"/>
      <c r="T474" s="546"/>
      <c r="U474" s="546"/>
      <c r="V474" s="547"/>
      <c r="W474" s="37" t="s">
        <v>69</v>
      </c>
      <c r="X474" s="543">
        <f>IFERROR(SUM(X471:X472),"0")</f>
        <v>60</v>
      </c>
      <c r="Y474" s="543">
        <f>IFERROR(SUM(Y471:Y472),"0")</f>
        <v>67.2</v>
      </c>
      <c r="Z474" s="37"/>
      <c r="AA474" s="544"/>
      <c r="AB474" s="544"/>
      <c r="AC474" s="544"/>
    </row>
    <row r="475" spans="1:68" ht="14.25" hidden="1" customHeight="1" x14ac:dyDescent="0.25">
      <c r="A475" s="558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1">
        <v>4640242180533</v>
      </c>
      <c r="E476" s="552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2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9"/>
      <c r="R476" s="549"/>
      <c r="S476" s="549"/>
      <c r="T476" s="550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46"/>
      <c r="R477" s="546"/>
      <c r="S477" s="546"/>
      <c r="T477" s="546"/>
      <c r="U477" s="546"/>
      <c r="V477" s="547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46"/>
      <c r="R478" s="546"/>
      <c r="S478" s="546"/>
      <c r="T478" s="546"/>
      <c r="U478" s="546"/>
      <c r="V478" s="547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8" t="s">
        <v>164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1">
        <v>4640242180120</v>
      </c>
      <c r="E480" s="552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7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1">
        <v>4640242180137</v>
      </c>
      <c r="E481" s="552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9"/>
      <c r="R481" s="549"/>
      <c r="S481" s="549"/>
      <c r="T481" s="550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46"/>
      <c r="R482" s="546"/>
      <c r="S482" s="546"/>
      <c r="T482" s="546"/>
      <c r="U482" s="546"/>
      <c r="V482" s="54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46"/>
      <c r="R483" s="546"/>
      <c r="S483" s="546"/>
      <c r="T483" s="546"/>
      <c r="U483" s="546"/>
      <c r="V483" s="54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58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1">
        <v>4640242180090</v>
      </c>
      <c r="E486" s="552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9"/>
      <c r="R486" s="549"/>
      <c r="S486" s="549"/>
      <c r="T486" s="550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46"/>
      <c r="R487" s="546"/>
      <c r="S487" s="546"/>
      <c r="T487" s="546"/>
      <c r="U487" s="546"/>
      <c r="V487" s="54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46"/>
      <c r="R488" s="546"/>
      <c r="S488" s="546"/>
      <c r="T488" s="546"/>
      <c r="U488" s="546"/>
      <c r="V488" s="54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64"/>
      <c r="P489" s="584" t="s">
        <v>737</v>
      </c>
      <c r="Q489" s="585"/>
      <c r="R489" s="585"/>
      <c r="S489" s="585"/>
      <c r="T489" s="585"/>
      <c r="U489" s="585"/>
      <c r="V489" s="586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1360.7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1414.66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64"/>
      <c r="P490" s="584" t="s">
        <v>738</v>
      </c>
      <c r="Q490" s="585"/>
      <c r="R490" s="585"/>
      <c r="S490" s="585"/>
      <c r="T490" s="585"/>
      <c r="U490" s="585"/>
      <c r="V490" s="586"/>
      <c r="W490" s="37" t="s">
        <v>69</v>
      </c>
      <c r="X490" s="543">
        <f>IFERROR(SUM(BM22:BM486),"0")</f>
        <v>1430.1887777161112</v>
      </c>
      <c r="Y490" s="543">
        <f>IFERROR(SUM(BN22:BN486),"0")</f>
        <v>1486.6820000000002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64"/>
      <c r="P491" s="584" t="s">
        <v>739</v>
      </c>
      <c r="Q491" s="585"/>
      <c r="R491" s="585"/>
      <c r="S491" s="585"/>
      <c r="T491" s="585"/>
      <c r="U491" s="585"/>
      <c r="V491" s="586"/>
      <c r="W491" s="37" t="s">
        <v>740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64"/>
      <c r="P492" s="584" t="s">
        <v>741</v>
      </c>
      <c r="Q492" s="585"/>
      <c r="R492" s="585"/>
      <c r="S492" s="585"/>
      <c r="T492" s="585"/>
      <c r="U492" s="585"/>
      <c r="V492" s="586"/>
      <c r="W492" s="37" t="s">
        <v>69</v>
      </c>
      <c r="X492" s="543">
        <f>GrossWeightTotal+PalletQtyTotal*25</f>
        <v>1505.1887777161112</v>
      </c>
      <c r="Y492" s="543">
        <f>GrossWeightTotalR+PalletQtyTotalR*25</f>
        <v>1561.6820000000002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64"/>
      <c r="P493" s="584" t="s">
        <v>742</v>
      </c>
      <c r="Q493" s="585"/>
      <c r="R493" s="585"/>
      <c r="S493" s="585"/>
      <c r="T493" s="585"/>
      <c r="U493" s="585"/>
      <c r="V493" s="586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172.0211609378276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179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64"/>
      <c r="P494" s="584" t="s">
        <v>743</v>
      </c>
      <c r="Q494" s="585"/>
      <c r="R494" s="585"/>
      <c r="S494" s="585"/>
      <c r="T494" s="585"/>
      <c r="U494" s="585"/>
      <c r="V494" s="586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2.8890100000000003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70" t="s">
        <v>99</v>
      </c>
      <c r="D496" s="582"/>
      <c r="E496" s="582"/>
      <c r="F496" s="582"/>
      <c r="G496" s="582"/>
      <c r="H496" s="583"/>
      <c r="I496" s="570" t="s">
        <v>251</v>
      </c>
      <c r="J496" s="582"/>
      <c r="K496" s="582"/>
      <c r="L496" s="582"/>
      <c r="M496" s="582"/>
      <c r="N496" s="582"/>
      <c r="O496" s="582"/>
      <c r="P496" s="582"/>
      <c r="Q496" s="582"/>
      <c r="R496" s="583"/>
      <c r="S496" s="570" t="s">
        <v>535</v>
      </c>
      <c r="T496" s="583"/>
      <c r="U496" s="570" t="s">
        <v>586</v>
      </c>
      <c r="V496" s="582"/>
      <c r="W496" s="583"/>
      <c r="X496" s="538" t="s">
        <v>637</v>
      </c>
      <c r="Y496" s="570" t="s">
        <v>697</v>
      </c>
      <c r="Z496" s="583"/>
      <c r="AB496" s="52"/>
      <c r="AC496" s="52"/>
      <c r="AF496" s="539"/>
    </row>
    <row r="497" spans="1:32" ht="14.25" customHeight="1" thickTop="1" x14ac:dyDescent="0.2">
      <c r="A497" s="576" t="s">
        <v>746</v>
      </c>
      <c r="B497" s="570" t="s">
        <v>63</v>
      </c>
      <c r="C497" s="570" t="s">
        <v>100</v>
      </c>
      <c r="D497" s="570" t="s">
        <v>117</v>
      </c>
      <c r="E497" s="570" t="s">
        <v>171</v>
      </c>
      <c r="F497" s="570" t="s">
        <v>190</v>
      </c>
      <c r="G497" s="570" t="s">
        <v>220</v>
      </c>
      <c r="H497" s="570" t="s">
        <v>99</v>
      </c>
      <c r="I497" s="570" t="s">
        <v>252</v>
      </c>
      <c r="J497" s="570" t="s">
        <v>297</v>
      </c>
      <c r="K497" s="570" t="s">
        <v>356</v>
      </c>
      <c r="L497" s="570" t="s">
        <v>398</v>
      </c>
      <c r="M497" s="570" t="s">
        <v>414</v>
      </c>
      <c r="N497" s="539"/>
      <c r="O497" s="570" t="s">
        <v>425</v>
      </c>
      <c r="P497" s="570" t="s">
        <v>434</v>
      </c>
      <c r="Q497" s="570" t="s">
        <v>448</v>
      </c>
      <c r="R497" s="570" t="s">
        <v>525</v>
      </c>
      <c r="S497" s="570" t="s">
        <v>536</v>
      </c>
      <c r="T497" s="570" t="s">
        <v>570</v>
      </c>
      <c r="U497" s="570" t="s">
        <v>587</v>
      </c>
      <c r="V497" s="570" t="s">
        <v>618</v>
      </c>
      <c r="W497" s="570" t="s">
        <v>633</v>
      </c>
      <c r="X497" s="570" t="s">
        <v>637</v>
      </c>
      <c r="Y497" s="570" t="s">
        <v>697</v>
      </c>
      <c r="Z497" s="570" t="s">
        <v>733</v>
      </c>
      <c r="AB497" s="52"/>
      <c r="AC497" s="52"/>
      <c r="AF497" s="539"/>
    </row>
    <row r="498" spans="1:32" ht="13.5" customHeight="1" thickBot="1" x14ac:dyDescent="0.25">
      <c r="A498" s="577"/>
      <c r="B498" s="571"/>
      <c r="C498" s="571"/>
      <c r="D498" s="571"/>
      <c r="E498" s="571"/>
      <c r="F498" s="571"/>
      <c r="G498" s="571"/>
      <c r="H498" s="571"/>
      <c r="I498" s="571"/>
      <c r="J498" s="571"/>
      <c r="K498" s="571"/>
      <c r="L498" s="571"/>
      <c r="M498" s="571"/>
      <c r="N498" s="539"/>
      <c r="O498" s="571"/>
      <c r="P498" s="571"/>
      <c r="Q498" s="571"/>
      <c r="R498" s="571"/>
      <c r="S498" s="571"/>
      <c r="T498" s="571"/>
      <c r="U498" s="571"/>
      <c r="V498" s="571"/>
      <c r="W498" s="571"/>
      <c r="X498" s="571"/>
      <c r="Y498" s="571"/>
      <c r="Z498" s="57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13.5</v>
      </c>
      <c r="E499" s="46">
        <f>IFERROR(Y85*1,"0")+IFERROR(Y86*1,"0")+IFERROR(Y87*1,"0")+IFERROR(Y91*1,"0")+IFERROR(Y92*1,"0")+IFERROR(Y93*1,"0")+IFERROR(Y94*1,"0")</f>
        <v>13.5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29.699999999999996</v>
      </c>
      <c r="G499" s="46">
        <f>IFERROR(Y124*1,"0")+IFERROR(Y125*1,"0")+IFERROR(Y129*1,"0")+IFERROR(Y130*1,"0")+IFERROR(Y134*1,"0")+IFERROR(Y135*1,"0")</f>
        <v>6.4</v>
      </c>
      <c r="H499" s="46">
        <f>IFERROR(Y140*1,"0")+IFERROR(Y141*1,"0")+IFERROR(Y145*1,"0")+IFERROR(Y146*1,"0")+IFERROR(Y147*1,"0")+IFERROR(Y151*1,"0")</f>
        <v>18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7.1999999999999993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32.400000000000006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738.90000000000009</v>
      </c>
      <c r="R499" s="46">
        <f>IFERROR(Y335*1,"0")+IFERROR(Y336*1,"0")+IFERROR(Y337*1,"0")</f>
        <v>24.299999999999997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345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10.56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175.2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 360,70"/>
        <filter val="1 430,19"/>
        <filter val="1 505,19"/>
        <filter val="1,78"/>
        <filter val="10,50"/>
        <filter val="100,00"/>
        <filter val="13,50"/>
        <filter val="14,29"/>
        <filter val="16,00"/>
        <filter val="172,02"/>
        <filter val="19,29"/>
        <filter val="2,00"/>
        <filter val="2,25"/>
        <filter val="2,47"/>
        <filter val="2,78"/>
        <filter val="20,00"/>
        <filter val="200,00"/>
        <filter val="22,00"/>
        <filter val="25,40"/>
        <filter val="3"/>
        <filter val="3,00"/>
        <filter val="30,00"/>
        <filter val="330,00"/>
        <filter val="4,47"/>
        <filter val="5,00"/>
        <filter val="5,40"/>
        <filter val="5,56"/>
        <filter val="6,40"/>
        <filter val="60,00"/>
        <filter val="600,00"/>
        <filter val="70,50"/>
        <filter val="76,92"/>
        <filter val="8,00"/>
        <filter val="8,33"/>
      </filters>
    </filterColumn>
    <filterColumn colId="29" showButton="0"/>
    <filterColumn colId="30" showButton="0"/>
  </autoFilter>
  <mergeCells count="874"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P451:T451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A455:Z455"/>
    <mergeCell ref="A222:Z222"/>
    <mergeCell ref="D385:E385"/>
    <mergeCell ref="P301:T301"/>
    <mergeCell ref="D257:E257"/>
    <mergeCell ref="P214:T214"/>
    <mergeCell ref="D213:E213"/>
    <mergeCell ref="P192:V192"/>
    <mergeCell ref="D151:E151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A318:O319"/>
    <mergeCell ref="P47:V47"/>
    <mergeCell ref="P176:T176"/>
    <mergeCell ref="P247:T247"/>
    <mergeCell ref="P114:T114"/>
    <mergeCell ref="P241:T241"/>
    <mergeCell ref="P41:T41"/>
    <mergeCell ref="D86:E86"/>
    <mergeCell ref="D321:E321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D389:E389"/>
    <mergeCell ref="A457:Z457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P493:V493"/>
    <mergeCell ref="D452:E452"/>
    <mergeCell ref="P465:T465"/>
    <mergeCell ref="D430:E430"/>
    <mergeCell ref="P469:V469"/>
    <mergeCell ref="P486:T486"/>
    <mergeCell ref="D450:E450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71:E471"/>
    <mergeCell ref="A497:A498"/>
    <mergeCell ref="D170:E170"/>
    <mergeCell ref="P132:V132"/>
    <mergeCell ref="P199:T199"/>
    <mergeCell ref="L497:L49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D54:E54"/>
    <mergeCell ref="D42:E42"/>
    <mergeCell ref="P72:T72"/>
    <mergeCell ref="A401:Z401"/>
    <mergeCell ref="A152:O153"/>
    <mergeCell ref="P459:T459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33:Z33"/>
    <mergeCell ref="A31:O32"/>
    <mergeCell ref="N17:N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2025-11-24T10:44:24Z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