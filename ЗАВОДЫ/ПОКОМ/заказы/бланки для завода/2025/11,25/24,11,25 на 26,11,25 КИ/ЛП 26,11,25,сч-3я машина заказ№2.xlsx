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920B411-FB61-425A-BE64-DF82C27F5BE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BP472" i="1" s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BP450" i="1" s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BP378" i="1" s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BP346" i="1" s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BP323" i="1" s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BP309" i="1" s="1"/>
  <c r="P309" i="1"/>
  <c r="BO308" i="1"/>
  <c r="BM308" i="1"/>
  <c r="Y308" i="1"/>
  <c r="P308" i="1"/>
  <c r="X306" i="1"/>
  <c r="X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BP293" i="1" s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Y284" i="1"/>
  <c r="BP283" i="1"/>
  <c r="BO283" i="1"/>
  <c r="BN283" i="1"/>
  <c r="BM283" i="1"/>
  <c r="Z283" i="1"/>
  <c r="Z285" i="1" s="1"/>
  <c r="Y283" i="1"/>
  <c r="Y286" i="1" s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BP263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BP254" i="1" s="1"/>
  <c r="P254" i="1"/>
  <c r="X251" i="1"/>
  <c r="X250" i="1"/>
  <c r="BO249" i="1"/>
  <c r="BM249" i="1"/>
  <c r="Y249" i="1"/>
  <c r="BP249" i="1" s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Y243" i="1" s="1"/>
  <c r="P241" i="1"/>
  <c r="X239" i="1"/>
  <c r="X238" i="1"/>
  <c r="BO237" i="1"/>
  <c r="BM237" i="1"/>
  <c r="Y237" i="1"/>
  <c r="Y239" i="1" s="1"/>
  <c r="P237" i="1"/>
  <c r="X235" i="1"/>
  <c r="X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BP218" i="1" s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O199" i="1"/>
  <c r="BM199" i="1"/>
  <c r="Y199" i="1"/>
  <c r="BP199" i="1" s="1"/>
  <c r="P199" i="1"/>
  <c r="BO198" i="1"/>
  <c r="BM198" i="1"/>
  <c r="Y198" i="1"/>
  <c r="P198" i="1"/>
  <c r="BO197" i="1"/>
  <c r="BM197" i="1"/>
  <c r="Y197" i="1"/>
  <c r="BP197" i="1" s="1"/>
  <c r="P197" i="1"/>
  <c r="BO196" i="1"/>
  <c r="BM196" i="1"/>
  <c r="Y196" i="1"/>
  <c r="P196" i="1"/>
  <c r="BO195" i="1"/>
  <c r="BM195" i="1"/>
  <c r="Y195" i="1"/>
  <c r="BP195" i="1" s="1"/>
  <c r="P195" i="1"/>
  <c r="X193" i="1"/>
  <c r="X192" i="1"/>
  <c r="BO191" i="1"/>
  <c r="BM191" i="1"/>
  <c r="Y191" i="1"/>
  <c r="BP191" i="1" s="1"/>
  <c r="P191" i="1"/>
  <c r="BO190" i="1"/>
  <c r="BM190" i="1"/>
  <c r="Y190" i="1"/>
  <c r="Y192" i="1" s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P174" i="1" s="1"/>
  <c r="P174" i="1"/>
  <c r="X172" i="1"/>
  <c r="X171" i="1"/>
  <c r="BO170" i="1"/>
  <c r="BM170" i="1"/>
  <c r="Y170" i="1"/>
  <c r="BP170" i="1" s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BO164" i="1"/>
  <c r="BM164" i="1"/>
  <c r="Y164" i="1"/>
  <c r="P164" i="1"/>
  <c r="BO163" i="1"/>
  <c r="BM163" i="1"/>
  <c r="Y163" i="1"/>
  <c r="BP163" i="1" s="1"/>
  <c r="P163" i="1"/>
  <c r="BO162" i="1"/>
  <c r="BM162" i="1"/>
  <c r="Y162" i="1"/>
  <c r="P162" i="1"/>
  <c r="BP161" i="1"/>
  <c r="BO161" i="1"/>
  <c r="BN161" i="1"/>
  <c r="BM161" i="1"/>
  <c r="Z161" i="1"/>
  <c r="Y161" i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X149" i="1"/>
  <c r="X148" i="1"/>
  <c r="BO147" i="1"/>
  <c r="BM147" i="1"/>
  <c r="Y147" i="1"/>
  <c r="P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O140" i="1"/>
  <c r="BM140" i="1"/>
  <c r="Y140" i="1"/>
  <c r="BP140" i="1" s="1"/>
  <c r="P140" i="1"/>
  <c r="X137" i="1"/>
  <c r="X136" i="1"/>
  <c r="BO135" i="1"/>
  <c r="BM135" i="1"/>
  <c r="Y135" i="1"/>
  <c r="BP135" i="1" s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BP129" i="1" s="1"/>
  <c r="P129" i="1"/>
  <c r="X127" i="1"/>
  <c r="X126" i="1"/>
  <c r="BO125" i="1"/>
  <c r="BM125" i="1"/>
  <c r="Y125" i="1"/>
  <c r="BP125" i="1" s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BP106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BO91" i="1"/>
  <c r="BM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BP72" i="1" s="1"/>
  <c r="P72" i="1"/>
  <c r="X70" i="1"/>
  <c r="X69" i="1"/>
  <c r="BO68" i="1"/>
  <c r="BM68" i="1"/>
  <c r="Y68" i="1"/>
  <c r="BP68" i="1" s="1"/>
  <c r="P68" i="1"/>
  <c r="BO67" i="1"/>
  <c r="BM67" i="1"/>
  <c r="Y67" i="1"/>
  <c r="P67" i="1"/>
  <c r="BP66" i="1"/>
  <c r="BO66" i="1"/>
  <c r="BN66" i="1"/>
  <c r="BM66" i="1"/>
  <c r="Z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4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Y23" i="1" s="1"/>
  <c r="P22" i="1"/>
  <c r="H10" i="1"/>
  <c r="A9" i="1"/>
  <c r="A10" i="1" s="1"/>
  <c r="D7" i="1"/>
  <c r="Q6" i="1"/>
  <c r="P2" i="1"/>
  <c r="X489" i="1" l="1"/>
  <c r="Y32" i="1"/>
  <c r="Z34" i="1"/>
  <c r="Z35" i="1" s="1"/>
  <c r="BN34" i="1"/>
  <c r="BP34" i="1"/>
  <c r="Y35" i="1"/>
  <c r="Z40" i="1"/>
  <c r="BN40" i="1"/>
  <c r="Z55" i="1"/>
  <c r="BN55" i="1"/>
  <c r="Z74" i="1"/>
  <c r="BN74" i="1"/>
  <c r="Z93" i="1"/>
  <c r="BN93" i="1"/>
  <c r="Z108" i="1"/>
  <c r="BN108" i="1"/>
  <c r="Y116" i="1"/>
  <c r="Z129" i="1"/>
  <c r="BN129" i="1"/>
  <c r="Z174" i="1"/>
  <c r="BN174" i="1"/>
  <c r="Z197" i="1"/>
  <c r="BN197" i="1"/>
  <c r="Z210" i="1"/>
  <c r="BN210" i="1"/>
  <c r="Z225" i="1"/>
  <c r="BN225" i="1"/>
  <c r="Z233" i="1"/>
  <c r="BN233" i="1"/>
  <c r="Y251" i="1"/>
  <c r="Z254" i="1"/>
  <c r="BN254" i="1"/>
  <c r="Z265" i="1"/>
  <c r="BN265" i="1"/>
  <c r="Z293" i="1"/>
  <c r="BN293" i="1"/>
  <c r="Z309" i="1"/>
  <c r="BN309" i="1"/>
  <c r="Z323" i="1"/>
  <c r="BN323" i="1"/>
  <c r="Z346" i="1"/>
  <c r="BN346" i="1"/>
  <c r="Z378" i="1"/>
  <c r="BN378" i="1"/>
  <c r="Z392" i="1"/>
  <c r="BN392" i="1"/>
  <c r="Z424" i="1"/>
  <c r="BN424" i="1"/>
  <c r="Z436" i="1"/>
  <c r="BN436" i="1"/>
  <c r="Z450" i="1"/>
  <c r="BN450" i="1"/>
  <c r="Z472" i="1"/>
  <c r="BN472" i="1"/>
  <c r="J9" i="1"/>
  <c r="BP272" i="1"/>
  <c r="BN272" i="1"/>
  <c r="BP291" i="1"/>
  <c r="BN291" i="1"/>
  <c r="Z291" i="1"/>
  <c r="BP303" i="1"/>
  <c r="BN303" i="1"/>
  <c r="Z303" i="1"/>
  <c r="BP317" i="1"/>
  <c r="BN317" i="1"/>
  <c r="Z317" i="1"/>
  <c r="BP321" i="1"/>
  <c r="BN321" i="1"/>
  <c r="Z321" i="1"/>
  <c r="BP344" i="1"/>
  <c r="BN344" i="1"/>
  <c r="Z344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F9" i="1"/>
  <c r="F10" i="1"/>
  <c r="Z22" i="1"/>
  <c r="Z23" i="1" s="1"/>
  <c r="BN22" i="1"/>
  <c r="BP22" i="1"/>
  <c r="Z26" i="1"/>
  <c r="BN26" i="1"/>
  <c r="BP26" i="1"/>
  <c r="Z30" i="1"/>
  <c r="BN30" i="1"/>
  <c r="Z42" i="1"/>
  <c r="BN42" i="1"/>
  <c r="Y57" i="1"/>
  <c r="Z53" i="1"/>
  <c r="BN53" i="1"/>
  <c r="Z61" i="1"/>
  <c r="BN61" i="1"/>
  <c r="Y70" i="1"/>
  <c r="Z68" i="1"/>
  <c r="BN68" i="1"/>
  <c r="Y69" i="1"/>
  <c r="Z72" i="1"/>
  <c r="BN72" i="1"/>
  <c r="Z80" i="1"/>
  <c r="BN80" i="1"/>
  <c r="Z85" i="1"/>
  <c r="BN85" i="1"/>
  <c r="Z91" i="1"/>
  <c r="BN91" i="1"/>
  <c r="BP91" i="1"/>
  <c r="Z100" i="1"/>
  <c r="BN100" i="1"/>
  <c r="Z106" i="1"/>
  <c r="BN106" i="1"/>
  <c r="Z112" i="1"/>
  <c r="BN112" i="1"/>
  <c r="BP112" i="1"/>
  <c r="Z125" i="1"/>
  <c r="BN125" i="1"/>
  <c r="Y131" i="1"/>
  <c r="Z135" i="1"/>
  <c r="BN135" i="1"/>
  <c r="Z140" i="1"/>
  <c r="BN140" i="1"/>
  <c r="Y172" i="1"/>
  <c r="Z163" i="1"/>
  <c r="BN163" i="1"/>
  <c r="Z166" i="1"/>
  <c r="BN166" i="1"/>
  <c r="Z170" i="1"/>
  <c r="BN170" i="1"/>
  <c r="Z176" i="1"/>
  <c r="BN176" i="1"/>
  <c r="Z191" i="1"/>
  <c r="BN191" i="1"/>
  <c r="Z195" i="1"/>
  <c r="BN195" i="1"/>
  <c r="Z199" i="1"/>
  <c r="BN199" i="1"/>
  <c r="Z207" i="1"/>
  <c r="BN207" i="1"/>
  <c r="Z212" i="1"/>
  <c r="BN212" i="1"/>
  <c r="Z218" i="1"/>
  <c r="BN218" i="1"/>
  <c r="Z227" i="1"/>
  <c r="BN227" i="1"/>
  <c r="Z231" i="1"/>
  <c r="BN231" i="1"/>
  <c r="Z237" i="1"/>
  <c r="Z238" i="1" s="1"/>
  <c r="BN237" i="1"/>
  <c r="BP237" i="1"/>
  <c r="Y238" i="1"/>
  <c r="Z241" i="1"/>
  <c r="Z242" i="1" s="1"/>
  <c r="BN241" i="1"/>
  <c r="BP241" i="1"/>
  <c r="Y242" i="1"/>
  <c r="Z245" i="1"/>
  <c r="BN245" i="1"/>
  <c r="BP245" i="1"/>
  <c r="Z249" i="1"/>
  <c r="BN249" i="1"/>
  <c r="Y260" i="1"/>
  <c r="Z256" i="1"/>
  <c r="BN256" i="1"/>
  <c r="Z263" i="1"/>
  <c r="BN263" i="1"/>
  <c r="Z272" i="1"/>
  <c r="BP299" i="1"/>
  <c r="BN299" i="1"/>
  <c r="Z299" i="1"/>
  <c r="BP311" i="1"/>
  <c r="BN311" i="1"/>
  <c r="Z311" i="1"/>
  <c r="BP329" i="1"/>
  <c r="BN329" i="1"/>
  <c r="Z329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319" i="1"/>
  <c r="Y318" i="1"/>
  <c r="Y380" i="1"/>
  <c r="Y454" i="1"/>
  <c r="Y453" i="1"/>
  <c r="Z142" i="1"/>
  <c r="Y31" i="1"/>
  <c r="Y43" i="1"/>
  <c r="Y58" i="1"/>
  <c r="BP73" i="1"/>
  <c r="BN73" i="1"/>
  <c r="Z73" i="1"/>
  <c r="BP86" i="1"/>
  <c r="BN86" i="1"/>
  <c r="Z86" i="1"/>
  <c r="BP94" i="1"/>
  <c r="BN94" i="1"/>
  <c r="Z94" i="1"/>
  <c r="Y96" i="1"/>
  <c r="F499" i="1"/>
  <c r="Y104" i="1"/>
  <c r="BP99" i="1"/>
  <c r="BN99" i="1"/>
  <c r="Z99" i="1"/>
  <c r="Y103" i="1"/>
  <c r="BP107" i="1"/>
  <c r="BN107" i="1"/>
  <c r="Z107" i="1"/>
  <c r="Z109" i="1" s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BP141" i="1"/>
  <c r="BN141" i="1"/>
  <c r="Z141" i="1"/>
  <c r="Y143" i="1"/>
  <c r="Y148" i="1"/>
  <c r="BP145" i="1"/>
  <c r="BN145" i="1"/>
  <c r="Z145" i="1"/>
  <c r="BP164" i="1"/>
  <c r="BN164" i="1"/>
  <c r="Z164" i="1"/>
  <c r="BP167" i="1"/>
  <c r="BN167" i="1"/>
  <c r="Z167" i="1"/>
  <c r="Y171" i="1"/>
  <c r="Z177" i="1"/>
  <c r="BP175" i="1"/>
  <c r="BN175" i="1"/>
  <c r="Z175" i="1"/>
  <c r="BP196" i="1"/>
  <c r="BN196" i="1"/>
  <c r="Z196" i="1"/>
  <c r="BP200" i="1"/>
  <c r="BN200" i="1"/>
  <c r="Z200" i="1"/>
  <c r="BP208" i="1"/>
  <c r="BN208" i="1"/>
  <c r="Z208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Y306" i="1"/>
  <c r="BP302" i="1"/>
  <c r="BN302" i="1"/>
  <c r="Z302" i="1"/>
  <c r="BP310" i="1"/>
  <c r="BN310" i="1"/>
  <c r="Z310" i="1"/>
  <c r="D499" i="1"/>
  <c r="H9" i="1"/>
  <c r="B499" i="1"/>
  <c r="X490" i="1"/>
  <c r="X491" i="1"/>
  <c r="X493" i="1"/>
  <c r="Y24" i="1"/>
  <c r="Z27" i="1"/>
  <c r="BN27" i="1"/>
  <c r="Z29" i="1"/>
  <c r="BN29" i="1"/>
  <c r="C499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Y63" i="1"/>
  <c r="BP67" i="1"/>
  <c r="BN67" i="1"/>
  <c r="Z67" i="1"/>
  <c r="Z69" i="1" s="1"/>
  <c r="Y76" i="1"/>
  <c r="BP75" i="1"/>
  <c r="BN75" i="1"/>
  <c r="Z75" i="1"/>
  <c r="Y77" i="1"/>
  <c r="Y82" i="1"/>
  <c r="BP79" i="1"/>
  <c r="BN79" i="1"/>
  <c r="Z79" i="1"/>
  <c r="Y88" i="1"/>
  <c r="BP92" i="1"/>
  <c r="BN92" i="1"/>
  <c r="Z92" i="1"/>
  <c r="BP101" i="1"/>
  <c r="BN101" i="1"/>
  <c r="Z101" i="1"/>
  <c r="Y110" i="1"/>
  <c r="Y109" i="1"/>
  <c r="BP113" i="1"/>
  <c r="BN113" i="1"/>
  <c r="Z113" i="1"/>
  <c r="Z116" i="1" s="1"/>
  <c r="Y126" i="1"/>
  <c r="BP130" i="1"/>
  <c r="BN130" i="1"/>
  <c r="Z130" i="1"/>
  <c r="Y132" i="1"/>
  <c r="Y137" i="1"/>
  <c r="BP134" i="1"/>
  <c r="BN134" i="1"/>
  <c r="Z134" i="1"/>
  <c r="Z136" i="1" s="1"/>
  <c r="BP147" i="1"/>
  <c r="BN147" i="1"/>
  <c r="Z147" i="1"/>
  <c r="Y149" i="1"/>
  <c r="BP162" i="1"/>
  <c r="BN162" i="1"/>
  <c r="Z162" i="1"/>
  <c r="BP165" i="1"/>
  <c r="BN165" i="1"/>
  <c r="Z165" i="1"/>
  <c r="BP169" i="1"/>
  <c r="BN169" i="1"/>
  <c r="Z169" i="1"/>
  <c r="Y178" i="1"/>
  <c r="Y177" i="1"/>
  <c r="BP186" i="1"/>
  <c r="BN186" i="1"/>
  <c r="Z186" i="1"/>
  <c r="Z187" i="1" s="1"/>
  <c r="Y188" i="1"/>
  <c r="Y193" i="1"/>
  <c r="BP190" i="1"/>
  <c r="BN190" i="1"/>
  <c r="Z190" i="1"/>
  <c r="Y203" i="1"/>
  <c r="BP198" i="1"/>
  <c r="BN198" i="1"/>
  <c r="Z198" i="1"/>
  <c r="BP202" i="1"/>
  <c r="BN202" i="1"/>
  <c r="Z202" i="1"/>
  <c r="Y204" i="1"/>
  <c r="Y216" i="1"/>
  <c r="BP206" i="1"/>
  <c r="BN206" i="1"/>
  <c r="Z206" i="1"/>
  <c r="BP211" i="1"/>
  <c r="BN211" i="1"/>
  <c r="Z211" i="1"/>
  <c r="Y215" i="1"/>
  <c r="BP219" i="1"/>
  <c r="BN219" i="1"/>
  <c r="Z219" i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2" i="1"/>
  <c r="BN322" i="1"/>
  <c r="Z322" i="1"/>
  <c r="Y326" i="1"/>
  <c r="BP330" i="1"/>
  <c r="BN330" i="1"/>
  <c r="Z330" i="1"/>
  <c r="Y332" i="1"/>
  <c r="R499" i="1"/>
  <c r="Y338" i="1"/>
  <c r="BP335" i="1"/>
  <c r="BN335" i="1"/>
  <c r="Z335" i="1"/>
  <c r="Y339" i="1"/>
  <c r="BP345" i="1"/>
  <c r="BN345" i="1"/>
  <c r="Z345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2" i="1"/>
  <c r="I499" i="1"/>
  <c r="Y159" i="1"/>
  <c r="J499" i="1"/>
  <c r="Y187" i="1"/>
  <c r="BP209" i="1"/>
  <c r="BN209" i="1"/>
  <c r="Z209" i="1"/>
  <c r="BP213" i="1"/>
  <c r="BN213" i="1"/>
  <c r="Z213" i="1"/>
  <c r="Y220" i="1"/>
  <c r="BP226" i="1"/>
  <c r="BN226" i="1"/>
  <c r="Z226" i="1"/>
  <c r="BP230" i="1"/>
  <c r="BN230" i="1"/>
  <c r="Z230" i="1"/>
  <c r="Z250" i="1"/>
  <c r="BP246" i="1"/>
  <c r="BN246" i="1"/>
  <c r="Z246" i="1"/>
  <c r="Y250" i="1"/>
  <c r="BP255" i="1"/>
  <c r="BN255" i="1"/>
  <c r="Z255" i="1"/>
  <c r="Y259" i="1"/>
  <c r="BP264" i="1"/>
  <c r="BN264" i="1"/>
  <c r="Z264" i="1"/>
  <c r="BP273" i="1"/>
  <c r="BN273" i="1"/>
  <c r="Z273" i="1"/>
  <c r="P499" i="1"/>
  <c r="Y281" i="1"/>
  <c r="BP278" i="1"/>
  <c r="BN278" i="1"/>
  <c r="Z278" i="1"/>
  <c r="Z280" i="1" s="1"/>
  <c r="Q499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Y312" i="1"/>
  <c r="BP316" i="1"/>
  <c r="BN316" i="1"/>
  <c r="Z316" i="1"/>
  <c r="Y325" i="1"/>
  <c r="BP324" i="1"/>
  <c r="BN324" i="1"/>
  <c r="Z324" i="1"/>
  <c r="Y331" i="1"/>
  <c r="BP328" i="1"/>
  <c r="BN328" i="1"/>
  <c r="Z328" i="1"/>
  <c r="BP337" i="1"/>
  <c r="BN337" i="1"/>
  <c r="Z337" i="1"/>
  <c r="S499" i="1"/>
  <c r="Y350" i="1"/>
  <c r="BP343" i="1"/>
  <c r="BN343" i="1"/>
  <c r="Z343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L499" i="1"/>
  <c r="M499" i="1"/>
  <c r="Y267" i="1"/>
  <c r="Y295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Z411" i="1" s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Y483" i="1"/>
  <c r="Z499" i="1"/>
  <c r="Y487" i="1"/>
  <c r="BP486" i="1"/>
  <c r="BN486" i="1"/>
  <c r="Z486" i="1"/>
  <c r="Z487" i="1" s="1"/>
  <c r="Y488" i="1"/>
  <c r="Z76" i="1" l="1"/>
  <c r="Z318" i="1"/>
  <c r="Z192" i="1"/>
  <c r="Z131" i="1"/>
  <c r="Z95" i="1"/>
  <c r="Z81" i="1"/>
  <c r="Z63" i="1"/>
  <c r="X492" i="1"/>
  <c r="Z325" i="1"/>
  <c r="Y491" i="1"/>
  <c r="Z57" i="1"/>
  <c r="Z31" i="1"/>
  <c r="Z274" i="1"/>
  <c r="Z203" i="1"/>
  <c r="Y493" i="1"/>
  <c r="Z482" i="1"/>
  <c r="Z312" i="1"/>
  <c r="Z267" i="1"/>
  <c r="Z259" i="1"/>
  <c r="Z220" i="1"/>
  <c r="Z171" i="1"/>
  <c r="Y490" i="1"/>
  <c r="Z88" i="1"/>
  <c r="Y492" i="1"/>
  <c r="Z394" i="1"/>
  <c r="Z338" i="1"/>
  <c r="Z234" i="1"/>
  <c r="Z305" i="1"/>
  <c r="Z148" i="1"/>
  <c r="Z438" i="1"/>
  <c r="Z447" i="1"/>
  <c r="Z432" i="1"/>
  <c r="Z350" i="1"/>
  <c r="Z331" i="1"/>
  <c r="Z215" i="1"/>
  <c r="Y489" i="1"/>
  <c r="Z103" i="1"/>
  <c r="Z494" i="1" l="1"/>
</calcChain>
</file>

<file path=xl/sharedStrings.xml><?xml version="1.0" encoding="utf-8"?>
<sst xmlns="http://schemas.openxmlformats.org/spreadsheetml/2006/main" count="2338" uniqueCount="764">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</sst>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23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35" fillId="0" borderId="0" xfId="0" applyFont="1" applyProtection="1"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1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4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794" t="s">
        <v>0</v>
      </c>
      <c r="E1" s="628"/>
      <c r="F1" s="628"/>
      <c r="G1" s="12" t="s">
        <v>1</v>
      </c>
      <c r="H1" s="794" t="s">
        <v>2</v>
      </c>
      <c r="I1" s="628"/>
      <c r="J1" s="628"/>
      <c r="K1" s="628"/>
      <c r="L1" s="628"/>
      <c r="M1" s="628"/>
      <c r="N1" s="628"/>
      <c r="O1" s="628"/>
      <c r="P1" s="628"/>
      <c r="Q1" s="628"/>
      <c r="R1" s="854" t="s">
        <v>3</v>
      </c>
      <c r="S1" s="628"/>
      <c r="T1" s="62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3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764" t="s">
        <v>8</v>
      </c>
      <c r="B5" s="585"/>
      <c r="C5" s="586"/>
      <c r="D5" s="661"/>
      <c r="E5" s="663"/>
      <c r="F5" s="609" t="s">
        <v>9</v>
      </c>
      <c r="G5" s="586"/>
      <c r="H5" s="661" t="s">
        <v>763</v>
      </c>
      <c r="I5" s="662"/>
      <c r="J5" s="662"/>
      <c r="K5" s="662"/>
      <c r="L5" s="662"/>
      <c r="M5" s="663"/>
      <c r="N5" s="58"/>
      <c r="P5" s="24" t="s">
        <v>10</v>
      </c>
      <c r="Q5" s="590">
        <v>45987</v>
      </c>
      <c r="R5" s="591"/>
      <c r="T5" s="728" t="s">
        <v>11</v>
      </c>
      <c r="U5" s="564"/>
      <c r="V5" s="730" t="s">
        <v>12</v>
      </c>
      <c r="W5" s="591"/>
      <c r="AB5" s="51"/>
      <c r="AC5" s="51"/>
      <c r="AD5" s="51"/>
      <c r="AE5" s="51"/>
    </row>
    <row r="6" spans="1:32" s="535" customFormat="1" ht="24" customHeight="1" x14ac:dyDescent="0.2">
      <c r="A6" s="764" t="s">
        <v>13</v>
      </c>
      <c r="B6" s="585"/>
      <c r="C6" s="586"/>
      <c r="D6" s="666" t="s">
        <v>14</v>
      </c>
      <c r="E6" s="667"/>
      <c r="F6" s="667"/>
      <c r="G6" s="667"/>
      <c r="H6" s="667"/>
      <c r="I6" s="667"/>
      <c r="J6" s="667"/>
      <c r="K6" s="667"/>
      <c r="L6" s="667"/>
      <c r="M6" s="591"/>
      <c r="N6" s="59"/>
      <c r="P6" s="24" t="s">
        <v>15</v>
      </c>
      <c r="Q6" s="597" t="str">
        <f>IF(Q5=0," ",CHOOSE(WEEKDAY(Q5,2),"Понедельник","Вторник","Среда","Четверг","Пятница","Суббота","Воскресенье"))</f>
        <v>Среда</v>
      </c>
      <c r="R6" s="552"/>
      <c r="T6" s="735" t="s">
        <v>16</v>
      </c>
      <c r="U6" s="564"/>
      <c r="V6" s="713" t="s">
        <v>17</v>
      </c>
      <c r="W6" s="714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809" t="str">
        <f>IFERROR(VLOOKUP(DeliveryAddress,Table,3,0),1)</f>
        <v>1</v>
      </c>
      <c r="E7" s="810"/>
      <c r="F7" s="810"/>
      <c r="G7" s="810"/>
      <c r="H7" s="810"/>
      <c r="I7" s="810"/>
      <c r="J7" s="810"/>
      <c r="K7" s="810"/>
      <c r="L7" s="810"/>
      <c r="M7" s="732"/>
      <c r="N7" s="60"/>
      <c r="P7" s="24"/>
      <c r="Q7" s="42"/>
      <c r="R7" s="42"/>
      <c r="T7" s="554"/>
      <c r="U7" s="564"/>
      <c r="V7" s="715"/>
      <c r="W7" s="716"/>
      <c r="AB7" s="51"/>
      <c r="AC7" s="51"/>
      <c r="AD7" s="51"/>
      <c r="AE7" s="51"/>
    </row>
    <row r="8" spans="1:32" s="535" customFormat="1" ht="25.5" customHeight="1" x14ac:dyDescent="0.2">
      <c r="A8" s="545" t="s">
        <v>18</v>
      </c>
      <c r="B8" s="546"/>
      <c r="C8" s="547"/>
      <c r="D8" s="817" t="s">
        <v>19</v>
      </c>
      <c r="E8" s="818"/>
      <c r="F8" s="818"/>
      <c r="G8" s="818"/>
      <c r="H8" s="818"/>
      <c r="I8" s="818"/>
      <c r="J8" s="818"/>
      <c r="K8" s="818"/>
      <c r="L8" s="818"/>
      <c r="M8" s="819"/>
      <c r="N8" s="61"/>
      <c r="P8" s="24" t="s">
        <v>20</v>
      </c>
      <c r="Q8" s="731">
        <v>0.5</v>
      </c>
      <c r="R8" s="732"/>
      <c r="T8" s="554"/>
      <c r="U8" s="564"/>
      <c r="V8" s="715"/>
      <c r="W8" s="716"/>
      <c r="AB8" s="51"/>
      <c r="AC8" s="51"/>
      <c r="AD8" s="51"/>
      <c r="AE8" s="51"/>
    </row>
    <row r="9" spans="1:32" s="535" customFormat="1" ht="39.950000000000003" customHeight="1" x14ac:dyDescent="0.2">
      <c r="A9" s="5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20"/>
      <c r="E9" s="621"/>
      <c r="F9" s="5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706" t="str">
        <f>IF(AND($A$9="Тип доверенности/получателя при получении в адресе перегруза:",$D$9="Разовая доверенность"),"Введите ФИО","")</f>
        <v/>
      </c>
      <c r="I9" s="621"/>
      <c r="J9" s="70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1"/>
      <c r="L9" s="621"/>
      <c r="M9" s="621"/>
      <c r="N9" s="533"/>
      <c r="P9" s="26" t="s">
        <v>21</v>
      </c>
      <c r="Q9" s="781"/>
      <c r="R9" s="613"/>
      <c r="T9" s="554"/>
      <c r="U9" s="564"/>
      <c r="V9" s="717"/>
      <c r="W9" s="718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5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20"/>
      <c r="E10" s="621"/>
      <c r="F10" s="5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680" t="str">
        <f>IFERROR(VLOOKUP($D$10,Proxy,2,FALSE),"")</f>
        <v/>
      </c>
      <c r="I10" s="554"/>
      <c r="J10" s="554"/>
      <c r="K10" s="554"/>
      <c r="L10" s="554"/>
      <c r="M10" s="554"/>
      <c r="N10" s="534"/>
      <c r="P10" s="26" t="s">
        <v>22</v>
      </c>
      <c r="Q10" s="736"/>
      <c r="R10" s="737"/>
      <c r="U10" s="24" t="s">
        <v>23</v>
      </c>
      <c r="V10" s="830" t="s">
        <v>24</v>
      </c>
      <c r="W10" s="714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2"/>
      <c r="R11" s="591"/>
      <c r="U11" s="24" t="s">
        <v>27</v>
      </c>
      <c r="V11" s="612" t="s">
        <v>28</v>
      </c>
      <c r="W11" s="61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739" t="s">
        <v>29</v>
      </c>
      <c r="B12" s="585"/>
      <c r="C12" s="585"/>
      <c r="D12" s="585"/>
      <c r="E12" s="585"/>
      <c r="F12" s="585"/>
      <c r="G12" s="585"/>
      <c r="H12" s="585"/>
      <c r="I12" s="585"/>
      <c r="J12" s="585"/>
      <c r="K12" s="585"/>
      <c r="L12" s="585"/>
      <c r="M12" s="586"/>
      <c r="N12" s="62"/>
      <c r="P12" s="24" t="s">
        <v>30</v>
      </c>
      <c r="Q12" s="731"/>
      <c r="R12" s="732"/>
      <c r="S12" s="23"/>
      <c r="U12" s="24"/>
      <c r="V12" s="628"/>
      <c r="W12" s="554"/>
      <c r="AB12" s="51"/>
      <c r="AC12" s="51"/>
      <c r="AD12" s="51"/>
      <c r="AE12" s="51"/>
    </row>
    <row r="13" spans="1:32" s="535" customFormat="1" ht="23.25" customHeight="1" x14ac:dyDescent="0.2">
      <c r="A13" s="739" t="s">
        <v>31</v>
      </c>
      <c r="B13" s="585"/>
      <c r="C13" s="585"/>
      <c r="D13" s="585"/>
      <c r="E13" s="585"/>
      <c r="F13" s="585"/>
      <c r="G13" s="585"/>
      <c r="H13" s="585"/>
      <c r="I13" s="585"/>
      <c r="J13" s="585"/>
      <c r="K13" s="585"/>
      <c r="L13" s="585"/>
      <c r="M13" s="586"/>
      <c r="N13" s="62"/>
      <c r="O13" s="26"/>
      <c r="P13" s="26" t="s">
        <v>32</v>
      </c>
      <c r="Q13" s="612"/>
      <c r="R13" s="61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739" t="s">
        <v>33</v>
      </c>
      <c r="B14" s="585"/>
      <c r="C14" s="585"/>
      <c r="D14" s="585"/>
      <c r="E14" s="585"/>
      <c r="F14" s="585"/>
      <c r="G14" s="585"/>
      <c r="H14" s="585"/>
      <c r="I14" s="585"/>
      <c r="J14" s="585"/>
      <c r="K14" s="585"/>
      <c r="L14" s="585"/>
      <c r="M14" s="58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49" t="s">
        <v>34</v>
      </c>
      <c r="B15" s="585"/>
      <c r="C15" s="585"/>
      <c r="D15" s="585"/>
      <c r="E15" s="585"/>
      <c r="F15" s="585"/>
      <c r="G15" s="585"/>
      <c r="H15" s="585"/>
      <c r="I15" s="585"/>
      <c r="J15" s="585"/>
      <c r="K15" s="585"/>
      <c r="L15" s="585"/>
      <c r="M15" s="586"/>
      <c r="N15" s="63"/>
      <c r="P15" s="754" t="s">
        <v>35</v>
      </c>
      <c r="Q15" s="628"/>
      <c r="R15" s="628"/>
      <c r="S15" s="628"/>
      <c r="T15" s="62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5"/>
      <c r="Q16" s="755"/>
      <c r="R16" s="755"/>
      <c r="S16" s="755"/>
      <c r="T16" s="75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9" t="s">
        <v>36</v>
      </c>
      <c r="B17" s="579" t="s">
        <v>37</v>
      </c>
      <c r="C17" s="768" t="s">
        <v>38</v>
      </c>
      <c r="D17" s="579" t="s">
        <v>39</v>
      </c>
      <c r="E17" s="625"/>
      <c r="F17" s="579" t="s">
        <v>40</v>
      </c>
      <c r="G17" s="579" t="s">
        <v>41</v>
      </c>
      <c r="H17" s="579" t="s">
        <v>42</v>
      </c>
      <c r="I17" s="579" t="s">
        <v>43</v>
      </c>
      <c r="J17" s="579" t="s">
        <v>44</v>
      </c>
      <c r="K17" s="579" t="s">
        <v>45</v>
      </c>
      <c r="L17" s="579" t="s">
        <v>46</v>
      </c>
      <c r="M17" s="579" t="s">
        <v>47</v>
      </c>
      <c r="N17" s="579" t="s">
        <v>48</v>
      </c>
      <c r="O17" s="579" t="s">
        <v>49</v>
      </c>
      <c r="P17" s="579" t="s">
        <v>50</v>
      </c>
      <c r="Q17" s="801"/>
      <c r="R17" s="801"/>
      <c r="S17" s="801"/>
      <c r="T17" s="625"/>
      <c r="U17" s="629" t="s">
        <v>51</v>
      </c>
      <c r="V17" s="586"/>
      <c r="W17" s="579" t="s">
        <v>52</v>
      </c>
      <c r="X17" s="579" t="s">
        <v>53</v>
      </c>
      <c r="Y17" s="630" t="s">
        <v>54</v>
      </c>
      <c r="Z17" s="689" t="s">
        <v>55</v>
      </c>
      <c r="AA17" s="603" t="s">
        <v>56</v>
      </c>
      <c r="AB17" s="603" t="s">
        <v>57</v>
      </c>
      <c r="AC17" s="603" t="s">
        <v>58</v>
      </c>
      <c r="AD17" s="603" t="s">
        <v>59</v>
      </c>
      <c r="AE17" s="604"/>
      <c r="AF17" s="605"/>
      <c r="AG17" s="66"/>
      <c r="BD17" s="65" t="s">
        <v>60</v>
      </c>
    </row>
    <row r="18" spans="1:68" ht="14.25" customHeight="1" x14ac:dyDescent="0.2">
      <c r="A18" s="580"/>
      <c r="B18" s="580"/>
      <c r="C18" s="580"/>
      <c r="D18" s="626"/>
      <c r="E18" s="627"/>
      <c r="F18" s="580"/>
      <c r="G18" s="580"/>
      <c r="H18" s="580"/>
      <c r="I18" s="580"/>
      <c r="J18" s="580"/>
      <c r="K18" s="580"/>
      <c r="L18" s="580"/>
      <c r="M18" s="580"/>
      <c r="N18" s="580"/>
      <c r="O18" s="580"/>
      <c r="P18" s="626"/>
      <c r="Q18" s="802"/>
      <c r="R18" s="802"/>
      <c r="S18" s="802"/>
      <c r="T18" s="627"/>
      <c r="U18" s="67" t="s">
        <v>61</v>
      </c>
      <c r="V18" s="67" t="s">
        <v>62</v>
      </c>
      <c r="W18" s="580"/>
      <c r="X18" s="580"/>
      <c r="Y18" s="631"/>
      <c r="Z18" s="690"/>
      <c r="AA18" s="660"/>
      <c r="AB18" s="660"/>
      <c r="AC18" s="660"/>
      <c r="AD18" s="606"/>
      <c r="AE18" s="607"/>
      <c r="AF18" s="608"/>
      <c r="AG18" s="66"/>
      <c r="BD18" s="65"/>
    </row>
    <row r="19" spans="1:68" ht="27.75" hidden="1" customHeight="1" x14ac:dyDescent="0.2">
      <c r="A19" s="648" t="s">
        <v>63</v>
      </c>
      <c r="B19" s="649"/>
      <c r="C19" s="649"/>
      <c r="D19" s="649"/>
      <c r="E19" s="649"/>
      <c r="F19" s="649"/>
      <c r="G19" s="649"/>
      <c r="H19" s="649"/>
      <c r="I19" s="649"/>
      <c r="J19" s="649"/>
      <c r="K19" s="649"/>
      <c r="L19" s="649"/>
      <c r="M19" s="649"/>
      <c r="N19" s="649"/>
      <c r="O19" s="649"/>
      <c r="P19" s="649"/>
      <c r="Q19" s="649"/>
      <c r="R19" s="649"/>
      <c r="S19" s="649"/>
      <c r="T19" s="649"/>
      <c r="U19" s="649"/>
      <c r="V19" s="649"/>
      <c r="W19" s="649"/>
      <c r="X19" s="649"/>
      <c r="Y19" s="649"/>
      <c r="Z19" s="649"/>
      <c r="AA19" s="48"/>
      <c r="AB19" s="48"/>
      <c r="AC19" s="48"/>
    </row>
    <row r="20" spans="1:68" ht="16.5" hidden="1" customHeight="1" x14ac:dyDescent="0.25">
      <c r="A20" s="560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hidden="1" customHeight="1" x14ac:dyDescent="0.25">
      <c r="A21" s="558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51">
        <v>4680115886643</v>
      </c>
      <c r="E22" s="552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6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9"/>
      <c r="R22" s="549"/>
      <c r="S22" s="549"/>
      <c r="T22" s="550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57" t="s">
        <v>71</v>
      </c>
      <c r="Q23" s="546"/>
      <c r="R23" s="546"/>
      <c r="S23" s="546"/>
      <c r="T23" s="546"/>
      <c r="U23" s="546"/>
      <c r="V23" s="547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57" t="s">
        <v>71</v>
      </c>
      <c r="Q24" s="546"/>
      <c r="R24" s="546"/>
      <c r="S24" s="546"/>
      <c r="T24" s="546"/>
      <c r="U24" s="546"/>
      <c r="V24" s="547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58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51">
        <v>4680115885912</v>
      </c>
      <c r="E26" s="552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4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9"/>
      <c r="R26" s="549"/>
      <c r="S26" s="549"/>
      <c r="T26" s="550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51">
        <v>4607091388237</v>
      </c>
      <c r="E27" s="552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69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9"/>
      <c r="R27" s="549"/>
      <c r="S27" s="549"/>
      <c r="T27" s="550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51">
        <v>4680115887350</v>
      </c>
      <c r="E28" s="552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8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9"/>
      <c r="R28" s="549"/>
      <c r="S28" s="549"/>
      <c r="T28" s="550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51">
        <v>4680115885905</v>
      </c>
      <c r="E29" s="552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81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9"/>
      <c r="R29" s="549"/>
      <c r="S29" s="549"/>
      <c r="T29" s="550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51">
        <v>4607091388244</v>
      </c>
      <c r="E30" s="552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85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9"/>
      <c r="R30" s="549"/>
      <c r="S30" s="549"/>
      <c r="T30" s="550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57" t="s">
        <v>71</v>
      </c>
      <c r="Q31" s="546"/>
      <c r="R31" s="546"/>
      <c r="S31" s="546"/>
      <c r="T31" s="546"/>
      <c r="U31" s="546"/>
      <c r="V31" s="547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57" t="s">
        <v>71</v>
      </c>
      <c r="Q32" s="546"/>
      <c r="R32" s="546"/>
      <c r="S32" s="546"/>
      <c r="T32" s="546"/>
      <c r="U32" s="546"/>
      <c r="V32" s="547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58" t="s">
        <v>93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1">
        <v>4607091388503</v>
      </c>
      <c r="E34" s="552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5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9"/>
      <c r="R34" s="549"/>
      <c r="S34" s="549"/>
      <c r="T34" s="550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57" t="s">
        <v>71</v>
      </c>
      <c r="Q35" s="546"/>
      <c r="R35" s="546"/>
      <c r="S35" s="546"/>
      <c r="T35" s="546"/>
      <c r="U35" s="546"/>
      <c r="V35" s="547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57" t="s">
        <v>71</v>
      </c>
      <c r="Q36" s="546"/>
      <c r="R36" s="546"/>
      <c r="S36" s="546"/>
      <c r="T36" s="546"/>
      <c r="U36" s="546"/>
      <c r="V36" s="547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48" t="s">
        <v>99</v>
      </c>
      <c r="B37" s="649"/>
      <c r="C37" s="649"/>
      <c r="D37" s="649"/>
      <c r="E37" s="649"/>
      <c r="F37" s="649"/>
      <c r="G37" s="649"/>
      <c r="H37" s="649"/>
      <c r="I37" s="649"/>
      <c r="J37" s="649"/>
      <c r="K37" s="649"/>
      <c r="L37" s="649"/>
      <c r="M37" s="649"/>
      <c r="N37" s="649"/>
      <c r="O37" s="649"/>
      <c r="P37" s="649"/>
      <c r="Q37" s="649"/>
      <c r="R37" s="649"/>
      <c r="S37" s="649"/>
      <c r="T37" s="649"/>
      <c r="U37" s="649"/>
      <c r="V37" s="649"/>
      <c r="W37" s="649"/>
      <c r="X37" s="649"/>
      <c r="Y37" s="649"/>
      <c r="Z37" s="649"/>
      <c r="AA37" s="48"/>
      <c r="AB37" s="48"/>
      <c r="AC37" s="48"/>
    </row>
    <row r="38" spans="1:68" ht="16.5" hidden="1" customHeight="1" x14ac:dyDescent="0.25">
      <c r="A38" s="560" t="s">
        <v>100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hidden="1" customHeight="1" x14ac:dyDescent="0.25">
      <c r="A39" s="558" t="s">
        <v>101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1">
        <v>4607091385670</v>
      </c>
      <c r="E40" s="552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69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9"/>
      <c r="R40" s="549"/>
      <c r="S40" s="549"/>
      <c r="T40" s="550"/>
      <c r="U40" s="34"/>
      <c r="V40" s="34"/>
      <c r="W40" s="35" t="s">
        <v>69</v>
      </c>
      <c r="X40" s="541">
        <v>60</v>
      </c>
      <c r="Y40" s="542">
        <f>IFERROR(IF(X40="",0,CEILING((X40/$H40),1)*$H40),"")</f>
        <v>64.800000000000011</v>
      </c>
      <c r="Z40" s="36">
        <f>IFERROR(IF(Y40=0,"",ROUNDUP(Y40/H40,0)*0.01898),"")</f>
        <v>0.11388000000000001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62.277777777777779</v>
      </c>
      <c r="BN40" s="64">
        <f>IFERROR(Y40*I40/H40,"0")</f>
        <v>67.260000000000005</v>
      </c>
      <c r="BO40" s="64">
        <f>IFERROR(1/J40*(X40/H40),"0")</f>
        <v>8.6805555555555552E-2</v>
      </c>
      <c r="BP40" s="64">
        <f>IFERROR(1/J40*(Y40/H40),"0")</f>
        <v>9.3750000000000014E-2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1">
        <v>4607091385687</v>
      </c>
      <c r="E41" s="552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6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9"/>
      <c r="R41" s="549"/>
      <c r="S41" s="549"/>
      <c r="T41" s="550"/>
      <c r="U41" s="34"/>
      <c r="V41" s="34"/>
      <c r="W41" s="35" t="s">
        <v>69</v>
      </c>
      <c r="X41" s="541">
        <v>16</v>
      </c>
      <c r="Y41" s="542">
        <f>IFERROR(IF(X41="",0,CEILING((X41/$H41),1)*$H41),"")</f>
        <v>16</v>
      </c>
      <c r="Z41" s="36">
        <f>IFERROR(IF(Y41=0,"",ROUNDUP(Y41/H41,0)*0.00902),"")</f>
        <v>3.6080000000000001E-2</v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16.760000000000002</v>
      </c>
      <c r="BN41" s="64">
        <f>IFERROR(Y41*I41/H41,"0")</f>
        <v>16.760000000000002</v>
      </c>
      <c r="BO41" s="64">
        <f>IFERROR(1/J41*(X41/H41),"0")</f>
        <v>3.0303030303030304E-2</v>
      </c>
      <c r="BP41" s="64">
        <f>IFERROR(1/J41*(Y41/H41),"0")</f>
        <v>3.0303030303030304E-2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51">
        <v>4680115882539</v>
      </c>
      <c r="E42" s="552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80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9"/>
      <c r="R42" s="549"/>
      <c r="S42" s="549"/>
      <c r="T42" s="550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57" t="s">
        <v>71</v>
      </c>
      <c r="Q43" s="546"/>
      <c r="R43" s="546"/>
      <c r="S43" s="546"/>
      <c r="T43" s="546"/>
      <c r="U43" s="546"/>
      <c r="V43" s="547"/>
      <c r="W43" s="37" t="s">
        <v>72</v>
      </c>
      <c r="X43" s="543">
        <f>IFERROR(X40/H40,"0")+IFERROR(X41/H41,"0")+IFERROR(X42/H42,"0")</f>
        <v>9.5555555555555554</v>
      </c>
      <c r="Y43" s="543">
        <f>IFERROR(Y40/H40,"0")+IFERROR(Y41/H41,"0")+IFERROR(Y42/H42,"0")</f>
        <v>10</v>
      </c>
      <c r="Z43" s="543">
        <f>IFERROR(IF(Z40="",0,Z40),"0")+IFERROR(IF(Z41="",0,Z41),"0")+IFERROR(IF(Z42="",0,Z42),"0")</f>
        <v>0.14996000000000001</v>
      </c>
      <c r="AA43" s="544"/>
      <c r="AB43" s="544"/>
      <c r="AC43" s="544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57" t="s">
        <v>71</v>
      </c>
      <c r="Q44" s="546"/>
      <c r="R44" s="546"/>
      <c r="S44" s="546"/>
      <c r="T44" s="546"/>
      <c r="U44" s="546"/>
      <c r="V44" s="547"/>
      <c r="W44" s="37" t="s">
        <v>69</v>
      </c>
      <c r="X44" s="543">
        <f>IFERROR(SUM(X40:X42),"0")</f>
        <v>76</v>
      </c>
      <c r="Y44" s="543">
        <f>IFERROR(SUM(Y40:Y42),"0")</f>
        <v>80.800000000000011</v>
      </c>
      <c r="Z44" s="37"/>
      <c r="AA44" s="544"/>
      <c r="AB44" s="544"/>
      <c r="AC44" s="544"/>
    </row>
    <row r="45" spans="1:68" ht="14.25" hidden="1" customHeight="1" x14ac:dyDescent="0.25">
      <c r="A45" s="558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51">
        <v>4680115884915</v>
      </c>
      <c r="E46" s="552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69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9"/>
      <c r="R46" s="549"/>
      <c r="S46" s="549"/>
      <c r="T46" s="550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57" t="s">
        <v>71</v>
      </c>
      <c r="Q47" s="546"/>
      <c r="R47" s="546"/>
      <c r="S47" s="546"/>
      <c r="T47" s="546"/>
      <c r="U47" s="546"/>
      <c r="V47" s="547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57" t="s">
        <v>71</v>
      </c>
      <c r="Q48" s="546"/>
      <c r="R48" s="546"/>
      <c r="S48" s="546"/>
      <c r="T48" s="546"/>
      <c r="U48" s="546"/>
      <c r="V48" s="547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0" t="s">
        <v>117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hidden="1" customHeight="1" x14ac:dyDescent="0.25">
      <c r="A50" s="558" t="s">
        <v>101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1">
        <v>4680115885882</v>
      </c>
      <c r="E51" s="552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4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9"/>
      <c r="R51" s="549"/>
      <c r="S51" s="549"/>
      <c r="T51" s="550"/>
      <c r="U51" s="34"/>
      <c r="V51" s="34"/>
      <c r="W51" s="35" t="s">
        <v>69</v>
      </c>
      <c r="X51" s="541">
        <v>10</v>
      </c>
      <c r="Y51" s="542">
        <f t="shared" ref="Y51:Y56" si="0">IFERROR(IF(X51="",0,CEILING((X51/$H51),1)*$H51),"")</f>
        <v>11.2</v>
      </c>
      <c r="Z51" s="36">
        <f>IFERROR(IF(Y51=0,"",ROUNDUP(Y51/H51,0)*0.01898),"")</f>
        <v>1.898E-2</v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10.366071428571429</v>
      </c>
      <c r="BN51" s="64">
        <f t="shared" ref="BN51:BN56" si="2">IFERROR(Y51*I51/H51,"0")</f>
        <v>11.61</v>
      </c>
      <c r="BO51" s="64">
        <f t="shared" ref="BO51:BO56" si="3">IFERROR(1/J51*(X51/H51),"0")</f>
        <v>1.3950892857142858E-2</v>
      </c>
      <c r="BP51" s="64">
        <f t="shared" ref="BP51:BP56" si="4">IFERROR(1/J51*(Y51/H51),"0")</f>
        <v>1.5625E-2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1">
        <v>4680115881426</v>
      </c>
      <c r="E52" s="552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84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9"/>
      <c r="R52" s="549"/>
      <c r="S52" s="549"/>
      <c r="T52" s="550"/>
      <c r="U52" s="34"/>
      <c r="V52" s="34"/>
      <c r="W52" s="35" t="s">
        <v>69</v>
      </c>
      <c r="X52" s="541">
        <v>650</v>
      </c>
      <c r="Y52" s="542">
        <f t="shared" si="0"/>
        <v>658.80000000000007</v>
      </c>
      <c r="Z52" s="36">
        <f>IFERROR(IF(Y52=0,"",ROUNDUP(Y52/H52,0)*0.01898),"")</f>
        <v>1.15778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674.67592592592598</v>
      </c>
      <c r="BN52" s="64">
        <f t="shared" si="2"/>
        <v>683.81000000000006</v>
      </c>
      <c r="BO52" s="64">
        <f t="shared" si="3"/>
        <v>0.94039351851851849</v>
      </c>
      <c r="BP52" s="64">
        <f t="shared" si="4"/>
        <v>0.953125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1">
        <v>4680115880283</v>
      </c>
      <c r="E53" s="552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78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9"/>
      <c r="R53" s="549"/>
      <c r="S53" s="549"/>
      <c r="T53" s="550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51">
        <v>4680115881525</v>
      </c>
      <c r="E54" s="552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63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9"/>
      <c r="R54" s="549"/>
      <c r="S54" s="549"/>
      <c r="T54" s="550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1">
        <v>4680115885899</v>
      </c>
      <c r="E55" s="552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77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9"/>
      <c r="R55" s="549"/>
      <c r="S55" s="549"/>
      <c r="T55" s="550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51">
        <v>4680115881419</v>
      </c>
      <c r="E56" s="552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83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9"/>
      <c r="R56" s="549"/>
      <c r="S56" s="549"/>
      <c r="T56" s="550"/>
      <c r="U56" s="34"/>
      <c r="V56" s="34"/>
      <c r="W56" s="35" t="s">
        <v>69</v>
      </c>
      <c r="X56" s="541">
        <v>220.5</v>
      </c>
      <c r="Y56" s="542">
        <f t="shared" si="0"/>
        <v>220.5</v>
      </c>
      <c r="Z56" s="36">
        <f>IFERROR(IF(Y56=0,"",ROUNDUP(Y56/H56,0)*0.00902),"")</f>
        <v>0.44198000000000004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229.81</v>
      </c>
      <c r="BN56" s="64">
        <f t="shared" si="2"/>
        <v>229.81</v>
      </c>
      <c r="BO56" s="64">
        <f t="shared" si="3"/>
        <v>0.37121212121212122</v>
      </c>
      <c r="BP56" s="64">
        <f t="shared" si="4"/>
        <v>0.37121212121212122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57" t="s">
        <v>71</v>
      </c>
      <c r="Q57" s="546"/>
      <c r="R57" s="546"/>
      <c r="S57" s="546"/>
      <c r="T57" s="546"/>
      <c r="U57" s="546"/>
      <c r="V57" s="547"/>
      <c r="W57" s="37" t="s">
        <v>72</v>
      </c>
      <c r="X57" s="543">
        <f>IFERROR(X51/H51,"0")+IFERROR(X52/H52,"0")+IFERROR(X53/H53,"0")+IFERROR(X54/H54,"0")+IFERROR(X55/H55,"0")+IFERROR(X56/H56,"0")</f>
        <v>110.07804232804233</v>
      </c>
      <c r="Y57" s="543">
        <f>IFERROR(Y51/H51,"0")+IFERROR(Y52/H52,"0")+IFERROR(Y53/H53,"0")+IFERROR(Y54/H54,"0")+IFERROR(Y55/H55,"0")+IFERROR(Y56/H56,"0")</f>
        <v>111</v>
      </c>
      <c r="Z57" s="543">
        <f>IFERROR(IF(Z51="",0,Z51),"0")+IFERROR(IF(Z52="",0,Z52),"0")+IFERROR(IF(Z53="",0,Z53),"0")+IFERROR(IF(Z54="",0,Z54),"0")+IFERROR(IF(Z55="",0,Z55),"0")+IFERROR(IF(Z56="",0,Z56),"0")</f>
        <v>1.6187400000000001</v>
      </c>
      <c r="AA57" s="544"/>
      <c r="AB57" s="544"/>
      <c r="AC57" s="544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57" t="s">
        <v>71</v>
      </c>
      <c r="Q58" s="546"/>
      <c r="R58" s="546"/>
      <c r="S58" s="546"/>
      <c r="T58" s="546"/>
      <c r="U58" s="546"/>
      <c r="V58" s="547"/>
      <c r="W58" s="37" t="s">
        <v>69</v>
      </c>
      <c r="X58" s="543">
        <f>IFERROR(SUM(X51:X56),"0")</f>
        <v>880.5</v>
      </c>
      <c r="Y58" s="543">
        <f>IFERROR(SUM(Y51:Y56),"0")</f>
        <v>890.50000000000011</v>
      </c>
      <c r="Z58" s="37"/>
      <c r="AA58" s="544"/>
      <c r="AB58" s="544"/>
      <c r="AC58" s="544"/>
    </row>
    <row r="59" spans="1:68" ht="14.25" hidden="1" customHeight="1" x14ac:dyDescent="0.25">
      <c r="A59" s="558" t="s">
        <v>136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1">
        <v>4680115881440</v>
      </c>
      <c r="E60" s="552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56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9"/>
      <c r="R60" s="549"/>
      <c r="S60" s="549"/>
      <c r="T60" s="550"/>
      <c r="U60" s="34"/>
      <c r="V60" s="34"/>
      <c r="W60" s="35" t="s">
        <v>69</v>
      </c>
      <c r="X60" s="541">
        <v>410</v>
      </c>
      <c r="Y60" s="542">
        <f>IFERROR(IF(X60="",0,CEILING((X60/$H60),1)*$H60),"")</f>
        <v>410.40000000000003</v>
      </c>
      <c r="Z60" s="36">
        <f>IFERROR(IF(Y60=0,"",ROUNDUP(Y60/H60,0)*0.01898),"")</f>
        <v>0.72123999999999999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425.56481481481484</v>
      </c>
      <c r="BN60" s="64">
        <f>IFERROR(Y60*I60/H60,"0")</f>
        <v>425.98</v>
      </c>
      <c r="BO60" s="64">
        <f>IFERROR(1/J60*(X60/H60),"0")</f>
        <v>0.59317129629629628</v>
      </c>
      <c r="BP60" s="64">
        <f>IFERROR(1/J60*(Y60/H60),"0")</f>
        <v>0.59375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51">
        <v>4680115885950</v>
      </c>
      <c r="E61" s="552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69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9"/>
      <c r="R61" s="549"/>
      <c r="S61" s="549"/>
      <c r="T61" s="550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1">
        <v>4680115881433</v>
      </c>
      <c r="E62" s="552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76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9"/>
      <c r="R62" s="549"/>
      <c r="S62" s="549"/>
      <c r="T62" s="550"/>
      <c r="U62" s="34"/>
      <c r="V62" s="34"/>
      <c r="W62" s="35" t="s">
        <v>69</v>
      </c>
      <c r="X62" s="541">
        <v>47.25</v>
      </c>
      <c r="Y62" s="542">
        <f>IFERROR(IF(X62="",0,CEILING((X62/$H62),1)*$H62),"")</f>
        <v>48.6</v>
      </c>
      <c r="Z62" s="36">
        <f>IFERROR(IF(Y62=0,"",ROUNDUP(Y62/H62,0)*0.00651),"")</f>
        <v>0.11718000000000001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50.399999999999991</v>
      </c>
      <c r="BN62" s="64">
        <f>IFERROR(Y62*I62/H62,"0")</f>
        <v>51.839999999999989</v>
      </c>
      <c r="BO62" s="64">
        <f>IFERROR(1/J62*(X62/H62),"0")</f>
        <v>9.6153846153846159E-2</v>
      </c>
      <c r="BP62" s="64">
        <f>IFERROR(1/J62*(Y62/H62),"0")</f>
        <v>9.8901098901098911E-2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57" t="s">
        <v>71</v>
      </c>
      <c r="Q63" s="546"/>
      <c r="R63" s="546"/>
      <c r="S63" s="546"/>
      <c r="T63" s="546"/>
      <c r="U63" s="546"/>
      <c r="V63" s="547"/>
      <c r="W63" s="37" t="s">
        <v>72</v>
      </c>
      <c r="X63" s="543">
        <f>IFERROR(X60/H60,"0")+IFERROR(X61/H61,"0")+IFERROR(X62/H62,"0")</f>
        <v>55.462962962962962</v>
      </c>
      <c r="Y63" s="543">
        <f>IFERROR(Y60/H60,"0")+IFERROR(Y61/H61,"0")+IFERROR(Y62/H62,"0")</f>
        <v>56</v>
      </c>
      <c r="Z63" s="543">
        <f>IFERROR(IF(Z60="",0,Z60),"0")+IFERROR(IF(Z61="",0,Z61),"0")+IFERROR(IF(Z62="",0,Z62),"0")</f>
        <v>0.83841999999999994</v>
      </c>
      <c r="AA63" s="544"/>
      <c r="AB63" s="544"/>
      <c r="AC63" s="544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57" t="s">
        <v>71</v>
      </c>
      <c r="Q64" s="546"/>
      <c r="R64" s="546"/>
      <c r="S64" s="546"/>
      <c r="T64" s="546"/>
      <c r="U64" s="546"/>
      <c r="V64" s="547"/>
      <c r="W64" s="37" t="s">
        <v>69</v>
      </c>
      <c r="X64" s="543">
        <f>IFERROR(SUM(X60:X62),"0")</f>
        <v>457.25</v>
      </c>
      <c r="Y64" s="543">
        <f>IFERROR(SUM(Y60:Y62),"0")</f>
        <v>459.00000000000006</v>
      </c>
      <c r="Z64" s="37"/>
      <c r="AA64" s="544"/>
      <c r="AB64" s="544"/>
      <c r="AC64" s="544"/>
    </row>
    <row r="65" spans="1:68" ht="14.25" hidden="1" customHeight="1" x14ac:dyDescent="0.25">
      <c r="A65" s="558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51">
        <v>4680115885073</v>
      </c>
      <c r="E66" s="552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77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9"/>
      <c r="R66" s="549"/>
      <c r="S66" s="549"/>
      <c r="T66" s="550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51">
        <v>4680115885059</v>
      </c>
      <c r="E67" s="552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61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9"/>
      <c r="R67" s="549"/>
      <c r="S67" s="549"/>
      <c r="T67" s="550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51">
        <v>4680115885097</v>
      </c>
      <c r="E68" s="552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4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9"/>
      <c r="R68" s="549"/>
      <c r="S68" s="549"/>
      <c r="T68" s="550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57" t="s">
        <v>71</v>
      </c>
      <c r="Q69" s="546"/>
      <c r="R69" s="546"/>
      <c r="S69" s="546"/>
      <c r="T69" s="546"/>
      <c r="U69" s="546"/>
      <c r="V69" s="547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57" t="s">
        <v>71</v>
      </c>
      <c r="Q70" s="546"/>
      <c r="R70" s="546"/>
      <c r="S70" s="546"/>
      <c r="T70" s="546"/>
      <c r="U70" s="546"/>
      <c r="V70" s="547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58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51">
        <v>4680115885769</v>
      </c>
      <c r="E72" s="552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5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9"/>
      <c r="R72" s="549"/>
      <c r="S72" s="549"/>
      <c r="T72" s="550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51">
        <v>4680115884311</v>
      </c>
      <c r="E73" s="552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86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9"/>
      <c r="R73" s="549"/>
      <c r="S73" s="549"/>
      <c r="T73" s="550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51">
        <v>4680115885929</v>
      </c>
      <c r="E74" s="552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4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9"/>
      <c r="R74" s="549"/>
      <c r="S74" s="549"/>
      <c r="T74" s="550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51">
        <v>4680115884403</v>
      </c>
      <c r="E75" s="552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61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9"/>
      <c r="R75" s="549"/>
      <c r="S75" s="549"/>
      <c r="T75" s="550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57" t="s">
        <v>71</v>
      </c>
      <c r="Q76" s="546"/>
      <c r="R76" s="546"/>
      <c r="S76" s="546"/>
      <c r="T76" s="546"/>
      <c r="U76" s="546"/>
      <c r="V76" s="547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57" t="s">
        <v>71</v>
      </c>
      <c r="Q77" s="546"/>
      <c r="R77" s="546"/>
      <c r="S77" s="546"/>
      <c r="T77" s="546"/>
      <c r="U77" s="546"/>
      <c r="V77" s="547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58" t="s">
        <v>164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7"/>
      <c r="AB78" s="537"/>
      <c r="AC78" s="537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51">
        <v>4680115881532</v>
      </c>
      <c r="E79" s="552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8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9"/>
      <c r="R79" s="549"/>
      <c r="S79" s="549"/>
      <c r="T79" s="550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51">
        <v>4680115881464</v>
      </c>
      <c r="E80" s="552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67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9"/>
      <c r="R80" s="549"/>
      <c r="S80" s="549"/>
      <c r="T80" s="550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57" t="s">
        <v>71</v>
      </c>
      <c r="Q81" s="546"/>
      <c r="R81" s="546"/>
      <c r="S81" s="546"/>
      <c r="T81" s="546"/>
      <c r="U81" s="546"/>
      <c r="V81" s="547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57" t="s">
        <v>71</v>
      </c>
      <c r="Q82" s="546"/>
      <c r="R82" s="546"/>
      <c r="S82" s="546"/>
      <c r="T82" s="546"/>
      <c r="U82" s="546"/>
      <c r="V82" s="547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60" t="s">
        <v>171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6"/>
      <c r="AB83" s="536"/>
      <c r="AC83" s="536"/>
    </row>
    <row r="84" spans="1:68" ht="14.25" hidden="1" customHeight="1" x14ac:dyDescent="0.25">
      <c r="A84" s="558" t="s">
        <v>101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7"/>
      <c r="AB84" s="537"/>
      <c r="AC84" s="53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51">
        <v>4680115881327</v>
      </c>
      <c r="E85" s="552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5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9"/>
      <c r="R85" s="549"/>
      <c r="S85" s="549"/>
      <c r="T85" s="550"/>
      <c r="U85" s="34"/>
      <c r="V85" s="34"/>
      <c r="W85" s="35" t="s">
        <v>69</v>
      </c>
      <c r="X85" s="541">
        <v>120</v>
      </c>
      <c r="Y85" s="542">
        <f>IFERROR(IF(X85="",0,CEILING((X85/$H85),1)*$H85),"")</f>
        <v>129.60000000000002</v>
      </c>
      <c r="Z85" s="36">
        <f>IFERROR(IF(Y85=0,"",ROUNDUP(Y85/H85,0)*0.01898),"")</f>
        <v>0.22776000000000002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124.55555555555556</v>
      </c>
      <c r="BN85" s="64">
        <f>IFERROR(Y85*I85/H85,"0")</f>
        <v>134.52000000000001</v>
      </c>
      <c r="BO85" s="64">
        <f>IFERROR(1/J85*(X85/H85),"0")</f>
        <v>0.1736111111111111</v>
      </c>
      <c r="BP85" s="64">
        <f>IFERROR(1/J85*(Y85/H85),"0")</f>
        <v>0.18750000000000003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1">
        <v>4680115881518</v>
      </c>
      <c r="E86" s="552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84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9"/>
      <c r="R86" s="549"/>
      <c r="S86" s="549"/>
      <c r="T86" s="550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1">
        <v>4680115881303</v>
      </c>
      <c r="E87" s="552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4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9"/>
      <c r="R87" s="549"/>
      <c r="S87" s="549"/>
      <c r="T87" s="550"/>
      <c r="U87" s="34"/>
      <c r="V87" s="34"/>
      <c r="W87" s="35" t="s">
        <v>69</v>
      </c>
      <c r="X87" s="541">
        <v>45</v>
      </c>
      <c r="Y87" s="542">
        <f>IFERROR(IF(X87="",0,CEILING((X87/$H87),1)*$H87),"")</f>
        <v>45</v>
      </c>
      <c r="Z87" s="36">
        <f>IFERROR(IF(Y87=0,"",ROUNDUP(Y87/H87,0)*0.00902),"")</f>
        <v>9.0200000000000002E-2</v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46.900000000000006</v>
      </c>
      <c r="BN87" s="64">
        <f>IFERROR(Y87*I87/H87,"0")</f>
        <v>46.900000000000006</v>
      </c>
      <c r="BO87" s="64">
        <f>IFERROR(1/J87*(X87/H87),"0")</f>
        <v>7.575757575757576E-2</v>
      </c>
      <c r="BP87" s="64">
        <f>IFERROR(1/J87*(Y87/H87),"0")</f>
        <v>7.575757575757576E-2</v>
      </c>
    </row>
    <row r="88" spans="1:68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57" t="s">
        <v>71</v>
      </c>
      <c r="Q88" s="546"/>
      <c r="R88" s="546"/>
      <c r="S88" s="546"/>
      <c r="T88" s="546"/>
      <c r="U88" s="546"/>
      <c r="V88" s="547"/>
      <c r="W88" s="37" t="s">
        <v>72</v>
      </c>
      <c r="X88" s="543">
        <f>IFERROR(X85/H85,"0")+IFERROR(X86/H86,"0")+IFERROR(X87/H87,"0")</f>
        <v>21.111111111111111</v>
      </c>
      <c r="Y88" s="543">
        <f>IFERROR(Y85/H85,"0")+IFERROR(Y86/H86,"0")+IFERROR(Y87/H87,"0")</f>
        <v>22</v>
      </c>
      <c r="Z88" s="543">
        <f>IFERROR(IF(Z85="",0,Z85),"0")+IFERROR(IF(Z86="",0,Z86),"0")+IFERROR(IF(Z87="",0,Z87),"0")</f>
        <v>0.31796000000000002</v>
      </c>
      <c r="AA88" s="544"/>
      <c r="AB88" s="544"/>
      <c r="AC88" s="544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57" t="s">
        <v>71</v>
      </c>
      <c r="Q89" s="546"/>
      <c r="R89" s="546"/>
      <c r="S89" s="546"/>
      <c r="T89" s="546"/>
      <c r="U89" s="546"/>
      <c r="V89" s="547"/>
      <c r="W89" s="37" t="s">
        <v>69</v>
      </c>
      <c r="X89" s="543">
        <f>IFERROR(SUM(X85:X87),"0")</f>
        <v>165</v>
      </c>
      <c r="Y89" s="543">
        <f>IFERROR(SUM(Y85:Y87),"0")</f>
        <v>174.60000000000002</v>
      </c>
      <c r="Z89" s="37"/>
      <c r="AA89" s="544"/>
      <c r="AB89" s="544"/>
      <c r="AC89" s="544"/>
    </row>
    <row r="90" spans="1:68" ht="14.25" hidden="1" customHeight="1" x14ac:dyDescent="0.25">
      <c r="A90" s="558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7"/>
      <c r="AB90" s="537"/>
      <c r="AC90" s="537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1">
        <v>4607091386967</v>
      </c>
      <c r="E91" s="552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65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9"/>
      <c r="R91" s="549"/>
      <c r="S91" s="549"/>
      <c r="T91" s="550"/>
      <c r="U91" s="34"/>
      <c r="V91" s="34"/>
      <c r="W91" s="35" t="s">
        <v>69</v>
      </c>
      <c r="X91" s="541">
        <v>111</v>
      </c>
      <c r="Y91" s="542">
        <f>IFERROR(IF(X91="",0,CEILING((X91/$H91),1)*$H91),"")</f>
        <v>113.39999999999999</v>
      </c>
      <c r="Z91" s="36">
        <f>IFERROR(IF(Y91=0,"",ROUNDUP(Y91/H91,0)*0.01898),"")</f>
        <v>0.26572000000000001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117.76962962962963</v>
      </c>
      <c r="BN91" s="64">
        <f>IFERROR(Y91*I91/H91,"0")</f>
        <v>120.31599999999999</v>
      </c>
      <c r="BO91" s="64">
        <f>IFERROR(1/J91*(X91/H91),"0")</f>
        <v>0.21412037037037038</v>
      </c>
      <c r="BP91" s="64">
        <f>IFERROR(1/J91*(Y91/H91),"0")</f>
        <v>0.21875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1">
        <v>4680115884953</v>
      </c>
      <c r="E92" s="552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9"/>
      <c r="R92" s="549"/>
      <c r="S92" s="549"/>
      <c r="T92" s="550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1">
        <v>4607091385731</v>
      </c>
      <c r="E93" s="552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67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9"/>
      <c r="R93" s="549"/>
      <c r="S93" s="549"/>
      <c r="T93" s="550"/>
      <c r="U93" s="34"/>
      <c r="V93" s="34"/>
      <c r="W93" s="35" t="s">
        <v>69</v>
      </c>
      <c r="X93" s="541">
        <v>24.3</v>
      </c>
      <c r="Y93" s="542">
        <f>IFERROR(IF(X93="",0,CEILING((X93/$H93),1)*$H93),"")</f>
        <v>24.3</v>
      </c>
      <c r="Z93" s="36">
        <f>IFERROR(IF(Y93=0,"",ROUNDUP(Y93/H93,0)*0.00651),"")</f>
        <v>5.8590000000000003E-2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26.567999999999998</v>
      </c>
      <c r="BN93" s="64">
        <f>IFERROR(Y93*I93/H93,"0")</f>
        <v>26.567999999999998</v>
      </c>
      <c r="BO93" s="64">
        <f>IFERROR(1/J93*(X93/H93),"0")</f>
        <v>4.9450549450549455E-2</v>
      </c>
      <c r="BP93" s="64">
        <f>IFERROR(1/J93*(Y93/H93),"0")</f>
        <v>4.9450549450549455E-2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1">
        <v>4680115880894</v>
      </c>
      <c r="E94" s="552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81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9"/>
      <c r="R94" s="549"/>
      <c r="S94" s="549"/>
      <c r="T94" s="550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57" t="s">
        <v>71</v>
      </c>
      <c r="Q95" s="546"/>
      <c r="R95" s="546"/>
      <c r="S95" s="546"/>
      <c r="T95" s="546"/>
      <c r="U95" s="546"/>
      <c r="V95" s="547"/>
      <c r="W95" s="37" t="s">
        <v>72</v>
      </c>
      <c r="X95" s="543">
        <f>IFERROR(X91/H91,"0")+IFERROR(X92/H92,"0")+IFERROR(X93/H93,"0")+IFERROR(X94/H94,"0")</f>
        <v>22.703703703703702</v>
      </c>
      <c r="Y95" s="543">
        <f>IFERROR(Y91/H91,"0")+IFERROR(Y92/H92,"0")+IFERROR(Y93/H93,"0")+IFERROR(Y94/H94,"0")</f>
        <v>23</v>
      </c>
      <c r="Z95" s="543">
        <f>IFERROR(IF(Z91="",0,Z91),"0")+IFERROR(IF(Z92="",0,Z92),"0")+IFERROR(IF(Z93="",0,Z93),"0")+IFERROR(IF(Z94="",0,Z94),"0")</f>
        <v>0.32430999999999999</v>
      </c>
      <c r="AA95" s="544"/>
      <c r="AB95" s="544"/>
      <c r="AC95" s="544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57" t="s">
        <v>71</v>
      </c>
      <c r="Q96" s="546"/>
      <c r="R96" s="546"/>
      <c r="S96" s="546"/>
      <c r="T96" s="546"/>
      <c r="U96" s="546"/>
      <c r="V96" s="547"/>
      <c r="W96" s="37" t="s">
        <v>69</v>
      </c>
      <c r="X96" s="543">
        <f>IFERROR(SUM(X91:X94),"0")</f>
        <v>135.30000000000001</v>
      </c>
      <c r="Y96" s="543">
        <f>IFERROR(SUM(Y91:Y94),"0")</f>
        <v>137.69999999999999</v>
      </c>
      <c r="Z96" s="37"/>
      <c r="AA96" s="544"/>
      <c r="AB96" s="544"/>
      <c r="AC96" s="544"/>
    </row>
    <row r="97" spans="1:68" ht="16.5" hidden="1" customHeight="1" x14ac:dyDescent="0.25">
      <c r="A97" s="560" t="s">
        <v>190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6"/>
      <c r="AB97" s="536"/>
      <c r="AC97" s="536"/>
    </row>
    <row r="98" spans="1:68" ht="14.25" hidden="1" customHeight="1" x14ac:dyDescent="0.25">
      <c r="A98" s="558" t="s">
        <v>101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1">
        <v>4680115882133</v>
      </c>
      <c r="E99" s="552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8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9"/>
      <c r="R99" s="549"/>
      <c r="S99" s="549"/>
      <c r="T99" s="550"/>
      <c r="U99" s="34"/>
      <c r="V99" s="34"/>
      <c r="W99" s="35" t="s">
        <v>69</v>
      </c>
      <c r="X99" s="541">
        <v>10</v>
      </c>
      <c r="Y99" s="542">
        <f>IFERROR(IF(X99="",0,CEILING((X99/$H99),1)*$H99),"")</f>
        <v>10.8</v>
      </c>
      <c r="Z99" s="36">
        <f>IFERROR(IF(Y99=0,"",ROUNDUP(Y99/H99,0)*0.01898),"")</f>
        <v>1.898E-2</v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10.37962962962963</v>
      </c>
      <c r="BN99" s="64">
        <f>IFERROR(Y99*I99/H99,"0")</f>
        <v>11.21</v>
      </c>
      <c r="BO99" s="64">
        <f>IFERROR(1/J99*(X99/H99),"0")</f>
        <v>1.4467592592592591E-2</v>
      </c>
      <c r="BP99" s="64">
        <f>IFERROR(1/J99*(Y99/H99),"0")</f>
        <v>1.5625E-2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51">
        <v>4680115880269</v>
      </c>
      <c r="E100" s="552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9"/>
      <c r="R100" s="549"/>
      <c r="S100" s="549"/>
      <c r="T100" s="550"/>
      <c r="U100" s="34"/>
      <c r="V100" s="34"/>
      <c r="W100" s="35" t="s">
        <v>69</v>
      </c>
      <c r="X100" s="541">
        <v>15</v>
      </c>
      <c r="Y100" s="542">
        <f>IFERROR(IF(X100="",0,CEILING((X100/$H100),1)*$H100),"")</f>
        <v>15</v>
      </c>
      <c r="Z100" s="36">
        <f>IFERROR(IF(Y100=0,"",ROUNDUP(Y100/H100,0)*0.00902),"")</f>
        <v>3.6080000000000001E-2</v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15.76</v>
      </c>
      <c r="BN100" s="64">
        <f>IFERROR(Y100*I100/H100,"0")</f>
        <v>15.76</v>
      </c>
      <c r="BO100" s="64">
        <f>IFERROR(1/J100*(X100/H100),"0")</f>
        <v>3.0303030303030304E-2</v>
      </c>
      <c r="BP100" s="64">
        <f>IFERROR(1/J100*(Y100/H100),"0")</f>
        <v>3.0303030303030304E-2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51">
        <v>4680115880429</v>
      </c>
      <c r="E101" s="552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9"/>
      <c r="R101" s="549"/>
      <c r="S101" s="549"/>
      <c r="T101" s="550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51">
        <v>4680115881457</v>
      </c>
      <c r="E102" s="552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75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9"/>
      <c r="R102" s="549"/>
      <c r="S102" s="549"/>
      <c r="T102" s="550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57" t="s">
        <v>71</v>
      </c>
      <c r="Q103" s="546"/>
      <c r="R103" s="546"/>
      <c r="S103" s="546"/>
      <c r="T103" s="546"/>
      <c r="U103" s="546"/>
      <c r="V103" s="547"/>
      <c r="W103" s="37" t="s">
        <v>72</v>
      </c>
      <c r="X103" s="543">
        <f>IFERROR(X99/H99,"0")+IFERROR(X100/H100,"0")+IFERROR(X101/H101,"0")+IFERROR(X102/H102,"0")</f>
        <v>4.9259259259259256</v>
      </c>
      <c r="Y103" s="543">
        <f>IFERROR(Y99/H99,"0")+IFERROR(Y100/H100,"0")+IFERROR(Y101/H101,"0")+IFERROR(Y102/H102,"0")</f>
        <v>5</v>
      </c>
      <c r="Z103" s="543">
        <f>IFERROR(IF(Z99="",0,Z99),"0")+IFERROR(IF(Z100="",0,Z100),"0")+IFERROR(IF(Z101="",0,Z101),"0")+IFERROR(IF(Z102="",0,Z102),"0")</f>
        <v>5.5059999999999998E-2</v>
      </c>
      <c r="AA103" s="544"/>
      <c r="AB103" s="544"/>
      <c r="AC103" s="544"/>
    </row>
    <row r="104" spans="1:68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57" t="s">
        <v>71</v>
      </c>
      <c r="Q104" s="546"/>
      <c r="R104" s="546"/>
      <c r="S104" s="546"/>
      <c r="T104" s="546"/>
      <c r="U104" s="546"/>
      <c r="V104" s="547"/>
      <c r="W104" s="37" t="s">
        <v>69</v>
      </c>
      <c r="X104" s="543">
        <f>IFERROR(SUM(X99:X102),"0")</f>
        <v>25</v>
      </c>
      <c r="Y104" s="543">
        <f>IFERROR(SUM(Y99:Y102),"0")</f>
        <v>25.8</v>
      </c>
      <c r="Z104" s="37"/>
      <c r="AA104" s="544"/>
      <c r="AB104" s="544"/>
      <c r="AC104" s="544"/>
    </row>
    <row r="105" spans="1:68" ht="14.25" hidden="1" customHeight="1" x14ac:dyDescent="0.25">
      <c r="A105" s="558" t="s">
        <v>136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7"/>
      <c r="AB105" s="537"/>
      <c r="AC105" s="537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51">
        <v>4680115881488</v>
      </c>
      <c r="E106" s="552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6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9"/>
      <c r="R106" s="549"/>
      <c r="S106" s="549"/>
      <c r="T106" s="550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51">
        <v>4680115882775</v>
      </c>
      <c r="E107" s="552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65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9"/>
      <c r="R107" s="549"/>
      <c r="S107" s="549"/>
      <c r="T107" s="550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51">
        <v>4680115880658</v>
      </c>
      <c r="E108" s="552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68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9"/>
      <c r="R108" s="549"/>
      <c r="S108" s="549"/>
      <c r="T108" s="550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57" t="s">
        <v>71</v>
      </c>
      <c r="Q109" s="546"/>
      <c r="R109" s="546"/>
      <c r="S109" s="546"/>
      <c r="T109" s="546"/>
      <c r="U109" s="546"/>
      <c r="V109" s="547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57" t="s">
        <v>71</v>
      </c>
      <c r="Q110" s="546"/>
      <c r="R110" s="546"/>
      <c r="S110" s="546"/>
      <c r="T110" s="546"/>
      <c r="U110" s="546"/>
      <c r="V110" s="547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58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51">
        <v>4607091385168</v>
      </c>
      <c r="E112" s="552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65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9"/>
      <c r="R112" s="549"/>
      <c r="S112" s="549"/>
      <c r="T112" s="550"/>
      <c r="U112" s="34"/>
      <c r="V112" s="34"/>
      <c r="W112" s="35" t="s">
        <v>69</v>
      </c>
      <c r="X112" s="541">
        <v>40</v>
      </c>
      <c r="Y112" s="542">
        <f>IFERROR(IF(X112="",0,CEILING((X112/$H112),1)*$H112),"")</f>
        <v>40.5</v>
      </c>
      <c r="Z112" s="36">
        <f>IFERROR(IF(Y112=0,"",ROUNDUP(Y112/H112,0)*0.01898),"")</f>
        <v>9.4899999999999998E-2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42.409876543209876</v>
      </c>
      <c r="BN112" s="64">
        <f>IFERROR(Y112*I112/H112,"0")</f>
        <v>42.94</v>
      </c>
      <c r="BO112" s="64">
        <f>IFERROR(1/J112*(X112/H112),"0")</f>
        <v>7.7160493827160503E-2</v>
      </c>
      <c r="BP112" s="64">
        <f>IFERROR(1/J112*(Y112/H112),"0")</f>
        <v>7.8125E-2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51">
        <v>4607091383256</v>
      </c>
      <c r="E113" s="552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80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9"/>
      <c r="R113" s="549"/>
      <c r="S113" s="549"/>
      <c r="T113" s="550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51">
        <v>4607091385748</v>
      </c>
      <c r="E114" s="552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9"/>
      <c r="R114" s="549"/>
      <c r="S114" s="549"/>
      <c r="T114" s="550"/>
      <c r="U114" s="34"/>
      <c r="V114" s="34"/>
      <c r="W114" s="35" t="s">
        <v>69</v>
      </c>
      <c r="X114" s="541">
        <v>28.8</v>
      </c>
      <c r="Y114" s="542">
        <f>IFERROR(IF(X114="",0,CEILING((X114/$H114),1)*$H114),"")</f>
        <v>29.700000000000003</v>
      </c>
      <c r="Z114" s="36">
        <f>IFERROR(IF(Y114=0,"",ROUNDUP(Y114/H114,0)*0.00651),"")</f>
        <v>7.1610000000000007E-2</v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31.488</v>
      </c>
      <c r="BN114" s="64">
        <f>IFERROR(Y114*I114/H114,"0")</f>
        <v>32.472000000000001</v>
      </c>
      <c r="BO114" s="64">
        <f>IFERROR(1/J114*(X114/H114),"0")</f>
        <v>5.8608058608058608E-2</v>
      </c>
      <c r="BP114" s="64">
        <f>IFERROR(1/J114*(Y114/H114),"0")</f>
        <v>6.0439560439560447E-2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51">
        <v>4680115884533</v>
      </c>
      <c r="E115" s="552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2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9"/>
      <c r="R115" s="549"/>
      <c r="S115" s="549"/>
      <c r="T115" s="550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57" t="s">
        <v>71</v>
      </c>
      <c r="Q116" s="546"/>
      <c r="R116" s="546"/>
      <c r="S116" s="546"/>
      <c r="T116" s="546"/>
      <c r="U116" s="546"/>
      <c r="V116" s="547"/>
      <c r="W116" s="37" t="s">
        <v>72</v>
      </c>
      <c r="X116" s="543">
        <f>IFERROR(X112/H112,"0")+IFERROR(X113/H113,"0")+IFERROR(X114/H114,"0")+IFERROR(X115/H115,"0")</f>
        <v>15.604938271604938</v>
      </c>
      <c r="Y116" s="543">
        <f>IFERROR(Y112/H112,"0")+IFERROR(Y113/H113,"0")+IFERROR(Y114/H114,"0")+IFERROR(Y115/H115,"0")</f>
        <v>16</v>
      </c>
      <c r="Z116" s="543">
        <f>IFERROR(IF(Z112="",0,Z112),"0")+IFERROR(IF(Z113="",0,Z113),"0")+IFERROR(IF(Z114="",0,Z114),"0")+IFERROR(IF(Z115="",0,Z115),"0")</f>
        <v>0.16650999999999999</v>
      </c>
      <c r="AA116" s="544"/>
      <c r="AB116" s="544"/>
      <c r="AC116" s="544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57" t="s">
        <v>71</v>
      </c>
      <c r="Q117" s="546"/>
      <c r="R117" s="546"/>
      <c r="S117" s="546"/>
      <c r="T117" s="546"/>
      <c r="U117" s="546"/>
      <c r="V117" s="547"/>
      <c r="W117" s="37" t="s">
        <v>69</v>
      </c>
      <c r="X117" s="543">
        <f>IFERROR(SUM(X112:X115),"0")</f>
        <v>68.8</v>
      </c>
      <c r="Y117" s="543">
        <f>IFERROR(SUM(Y112:Y115),"0")</f>
        <v>70.2</v>
      </c>
      <c r="Z117" s="37"/>
      <c r="AA117" s="544"/>
      <c r="AB117" s="544"/>
      <c r="AC117" s="544"/>
    </row>
    <row r="118" spans="1:68" ht="14.25" hidden="1" customHeight="1" x14ac:dyDescent="0.25">
      <c r="A118" s="558" t="s">
        <v>164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51">
        <v>4680115880238</v>
      </c>
      <c r="E119" s="552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78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9"/>
      <c r="R119" s="549"/>
      <c r="S119" s="549"/>
      <c r="T119" s="550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57" t="s">
        <v>71</v>
      </c>
      <c r="Q120" s="546"/>
      <c r="R120" s="546"/>
      <c r="S120" s="546"/>
      <c r="T120" s="546"/>
      <c r="U120" s="546"/>
      <c r="V120" s="547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57" t="s">
        <v>71</v>
      </c>
      <c r="Q121" s="546"/>
      <c r="R121" s="546"/>
      <c r="S121" s="546"/>
      <c r="T121" s="546"/>
      <c r="U121" s="546"/>
      <c r="V121" s="547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0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6"/>
      <c r="AB122" s="536"/>
      <c r="AC122" s="536"/>
    </row>
    <row r="123" spans="1:68" ht="14.25" hidden="1" customHeight="1" x14ac:dyDescent="0.25">
      <c r="A123" s="558" t="s">
        <v>101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51">
        <v>4680115882577</v>
      </c>
      <c r="E124" s="552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54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9"/>
      <c r="R124" s="549"/>
      <c r="S124" s="549"/>
      <c r="T124" s="550"/>
      <c r="U124" s="34"/>
      <c r="V124" s="34"/>
      <c r="W124" s="35" t="s">
        <v>69</v>
      </c>
      <c r="X124" s="541">
        <v>14.4</v>
      </c>
      <c r="Y124" s="542">
        <f>IFERROR(IF(X124="",0,CEILING((X124/$H124),1)*$H124),"")</f>
        <v>16</v>
      </c>
      <c r="Z124" s="36">
        <f>IFERROR(IF(Y124=0,"",ROUNDUP(Y124/H124,0)*0.00651),"")</f>
        <v>3.2550000000000003E-2</v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15.209999999999999</v>
      </c>
      <c r="BN124" s="64">
        <f>IFERROR(Y124*I124/H124,"0")</f>
        <v>16.899999999999999</v>
      </c>
      <c r="BO124" s="64">
        <f>IFERROR(1/J124*(X124/H124),"0")</f>
        <v>2.4725274725274728E-2</v>
      </c>
      <c r="BP124" s="64">
        <f>IFERROR(1/J124*(Y124/H124),"0")</f>
        <v>2.7472527472527476E-2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51">
        <v>4680115882577</v>
      </c>
      <c r="E125" s="552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9"/>
      <c r="R125" s="549"/>
      <c r="S125" s="549"/>
      <c r="T125" s="550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57" t="s">
        <v>71</v>
      </c>
      <c r="Q126" s="546"/>
      <c r="R126" s="546"/>
      <c r="S126" s="546"/>
      <c r="T126" s="546"/>
      <c r="U126" s="546"/>
      <c r="V126" s="547"/>
      <c r="W126" s="37" t="s">
        <v>72</v>
      </c>
      <c r="X126" s="543">
        <f>IFERROR(X124/H124,"0")+IFERROR(X125/H125,"0")</f>
        <v>4.5</v>
      </c>
      <c r="Y126" s="543">
        <f>IFERROR(Y124/H124,"0")+IFERROR(Y125/H125,"0")</f>
        <v>5</v>
      </c>
      <c r="Z126" s="543">
        <f>IFERROR(IF(Z124="",0,Z124),"0")+IFERROR(IF(Z125="",0,Z125),"0")</f>
        <v>3.2550000000000003E-2</v>
      </c>
      <c r="AA126" s="544"/>
      <c r="AB126" s="544"/>
      <c r="AC126" s="544"/>
    </row>
    <row r="127" spans="1:68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57" t="s">
        <v>71</v>
      </c>
      <c r="Q127" s="546"/>
      <c r="R127" s="546"/>
      <c r="S127" s="546"/>
      <c r="T127" s="546"/>
      <c r="U127" s="546"/>
      <c r="V127" s="547"/>
      <c r="W127" s="37" t="s">
        <v>69</v>
      </c>
      <c r="X127" s="543">
        <f>IFERROR(SUM(X124:X125),"0")</f>
        <v>14.4</v>
      </c>
      <c r="Y127" s="543">
        <f>IFERROR(SUM(Y124:Y125),"0")</f>
        <v>16</v>
      </c>
      <c r="Z127" s="37"/>
      <c r="AA127" s="544"/>
      <c r="AB127" s="544"/>
      <c r="AC127" s="544"/>
    </row>
    <row r="128" spans="1:68" ht="14.25" hidden="1" customHeight="1" x14ac:dyDescent="0.25">
      <c r="A128" s="558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51">
        <v>4680115883444</v>
      </c>
      <c r="E129" s="552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80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9"/>
      <c r="R129" s="549"/>
      <c r="S129" s="549"/>
      <c r="T129" s="550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51">
        <v>4680115883444</v>
      </c>
      <c r="E130" s="552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64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9"/>
      <c r="R130" s="549"/>
      <c r="S130" s="549"/>
      <c r="T130" s="550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57" t="s">
        <v>71</v>
      </c>
      <c r="Q131" s="546"/>
      <c r="R131" s="546"/>
      <c r="S131" s="546"/>
      <c r="T131" s="546"/>
      <c r="U131" s="546"/>
      <c r="V131" s="547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57" t="s">
        <v>71</v>
      </c>
      <c r="Q132" s="546"/>
      <c r="R132" s="546"/>
      <c r="S132" s="546"/>
      <c r="T132" s="546"/>
      <c r="U132" s="546"/>
      <c r="V132" s="547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58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51">
        <v>4680115882584</v>
      </c>
      <c r="E134" s="552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59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9"/>
      <c r="R134" s="549"/>
      <c r="S134" s="549"/>
      <c r="T134" s="550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51">
        <v>4680115882584</v>
      </c>
      <c r="E135" s="552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62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9"/>
      <c r="R135" s="549"/>
      <c r="S135" s="549"/>
      <c r="T135" s="550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57" t="s">
        <v>71</v>
      </c>
      <c r="Q136" s="546"/>
      <c r="R136" s="546"/>
      <c r="S136" s="546"/>
      <c r="T136" s="546"/>
      <c r="U136" s="546"/>
      <c r="V136" s="547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57" t="s">
        <v>71</v>
      </c>
      <c r="Q137" s="546"/>
      <c r="R137" s="546"/>
      <c r="S137" s="546"/>
      <c r="T137" s="546"/>
      <c r="U137" s="546"/>
      <c r="V137" s="547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0" t="s">
        <v>99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6"/>
      <c r="AB138" s="536"/>
      <c r="AC138" s="536"/>
    </row>
    <row r="139" spans="1:68" ht="14.25" hidden="1" customHeight="1" x14ac:dyDescent="0.25">
      <c r="A139" s="558" t="s">
        <v>101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51">
        <v>4680115887374</v>
      </c>
      <c r="E140" s="552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3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9"/>
      <c r="R140" s="549"/>
      <c r="S140" s="549"/>
      <c r="T140" s="550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51">
        <v>4607091384604</v>
      </c>
      <c r="E141" s="552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0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9"/>
      <c r="R141" s="549"/>
      <c r="S141" s="549"/>
      <c r="T141" s="550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3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55"/>
      <c r="P142" s="557" t="s">
        <v>71</v>
      </c>
      <c r="Q142" s="546"/>
      <c r="R142" s="546"/>
      <c r="S142" s="546"/>
      <c r="T142" s="546"/>
      <c r="U142" s="546"/>
      <c r="V142" s="547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57" t="s">
        <v>71</v>
      </c>
      <c r="Q143" s="546"/>
      <c r="R143" s="546"/>
      <c r="S143" s="546"/>
      <c r="T143" s="546"/>
      <c r="U143" s="546"/>
      <c r="V143" s="547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58" t="s">
        <v>64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51">
        <v>4607091387667</v>
      </c>
      <c r="E145" s="552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8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9"/>
      <c r="R145" s="549"/>
      <c r="S145" s="549"/>
      <c r="T145" s="550"/>
      <c r="U145" s="34"/>
      <c r="V145" s="34"/>
      <c r="W145" s="35" t="s">
        <v>69</v>
      </c>
      <c r="X145" s="541">
        <v>45</v>
      </c>
      <c r="Y145" s="542">
        <f>IFERROR(IF(X145="",0,CEILING((X145/$H145),1)*$H145),"")</f>
        <v>45</v>
      </c>
      <c r="Z145" s="36">
        <f>IFERROR(IF(Y145=0,"",ROUNDUP(Y145/H145,0)*0.01898),"")</f>
        <v>9.4899999999999998E-2</v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47.800000000000004</v>
      </c>
      <c r="BN145" s="64">
        <f>IFERROR(Y145*I145/H145,"0")</f>
        <v>47.800000000000004</v>
      </c>
      <c r="BO145" s="64">
        <f>IFERROR(1/J145*(X145/H145),"0")</f>
        <v>7.8125E-2</v>
      </c>
      <c r="BP145" s="64">
        <f>IFERROR(1/J145*(Y145/H145),"0")</f>
        <v>7.8125E-2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51">
        <v>4607091387636</v>
      </c>
      <c r="E146" s="552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61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9"/>
      <c r="R146" s="549"/>
      <c r="S146" s="549"/>
      <c r="T146" s="550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51">
        <v>4607091382426</v>
      </c>
      <c r="E147" s="552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82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9"/>
      <c r="R147" s="549"/>
      <c r="S147" s="549"/>
      <c r="T147" s="550"/>
      <c r="U147" s="34"/>
      <c r="V147" s="34"/>
      <c r="W147" s="35" t="s">
        <v>69</v>
      </c>
      <c r="X147" s="541">
        <v>20</v>
      </c>
      <c r="Y147" s="542">
        <f>IFERROR(IF(X147="",0,CEILING((X147/$H147),1)*$H147),"")</f>
        <v>27</v>
      </c>
      <c r="Z147" s="36">
        <f>IFERROR(IF(Y147=0,"",ROUNDUP(Y147/H147,0)*0.01898),"")</f>
        <v>5.6940000000000004E-2</v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21.244444444444447</v>
      </c>
      <c r="BN147" s="64">
        <f>IFERROR(Y147*I147/H147,"0")</f>
        <v>28.68</v>
      </c>
      <c r="BO147" s="64">
        <f>IFERROR(1/J147*(X147/H147),"0")</f>
        <v>3.4722222222222224E-2</v>
      </c>
      <c r="BP147" s="64">
        <f>IFERROR(1/J147*(Y147/H147),"0")</f>
        <v>4.6875E-2</v>
      </c>
    </row>
    <row r="148" spans="1:68" x14ac:dyDescent="0.2">
      <c r="A148" s="553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5"/>
      <c r="P148" s="557" t="s">
        <v>71</v>
      </c>
      <c r="Q148" s="546"/>
      <c r="R148" s="546"/>
      <c r="S148" s="546"/>
      <c r="T148" s="546"/>
      <c r="U148" s="546"/>
      <c r="V148" s="547"/>
      <c r="W148" s="37" t="s">
        <v>72</v>
      </c>
      <c r="X148" s="543">
        <f>IFERROR(X145/H145,"0")+IFERROR(X146/H146,"0")+IFERROR(X147/H147,"0")</f>
        <v>7.2222222222222223</v>
      </c>
      <c r="Y148" s="543">
        <f>IFERROR(Y145/H145,"0")+IFERROR(Y146/H146,"0")+IFERROR(Y147/H147,"0")</f>
        <v>8</v>
      </c>
      <c r="Z148" s="543">
        <f>IFERROR(IF(Z145="",0,Z145),"0")+IFERROR(IF(Z146="",0,Z146),"0")+IFERROR(IF(Z147="",0,Z147),"0")</f>
        <v>0.15184</v>
      </c>
      <c r="AA148" s="544"/>
      <c r="AB148" s="544"/>
      <c r="AC148" s="544"/>
    </row>
    <row r="149" spans="1:68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57" t="s">
        <v>71</v>
      </c>
      <c r="Q149" s="546"/>
      <c r="R149" s="546"/>
      <c r="S149" s="546"/>
      <c r="T149" s="546"/>
      <c r="U149" s="546"/>
      <c r="V149" s="547"/>
      <c r="W149" s="37" t="s">
        <v>69</v>
      </c>
      <c r="X149" s="543">
        <f>IFERROR(SUM(X145:X147),"0")</f>
        <v>65</v>
      </c>
      <c r="Y149" s="543">
        <f>IFERROR(SUM(Y145:Y147),"0")</f>
        <v>72</v>
      </c>
      <c r="Z149" s="37"/>
      <c r="AA149" s="544"/>
      <c r="AB149" s="544"/>
      <c r="AC149" s="544"/>
    </row>
    <row r="150" spans="1:68" ht="14.25" hidden="1" customHeight="1" x14ac:dyDescent="0.25">
      <c r="A150" s="558" t="s">
        <v>73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51">
        <v>4680115887459</v>
      </c>
      <c r="E151" s="552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556" t="s">
        <v>249</v>
      </c>
      <c r="Q151" s="549"/>
      <c r="R151" s="549"/>
      <c r="S151" s="549"/>
      <c r="T151" s="550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3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5"/>
      <c r="P152" s="557" t="s">
        <v>71</v>
      </c>
      <c r="Q152" s="546"/>
      <c r="R152" s="546"/>
      <c r="S152" s="546"/>
      <c r="T152" s="546"/>
      <c r="U152" s="546"/>
      <c r="V152" s="547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57" t="s">
        <v>71</v>
      </c>
      <c r="Q153" s="546"/>
      <c r="R153" s="546"/>
      <c r="S153" s="546"/>
      <c r="T153" s="546"/>
      <c r="U153" s="546"/>
      <c r="V153" s="547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48" t="s">
        <v>251</v>
      </c>
      <c r="B154" s="649"/>
      <c r="C154" s="649"/>
      <c r="D154" s="649"/>
      <c r="E154" s="649"/>
      <c r="F154" s="649"/>
      <c r="G154" s="649"/>
      <c r="H154" s="649"/>
      <c r="I154" s="649"/>
      <c r="J154" s="649"/>
      <c r="K154" s="649"/>
      <c r="L154" s="649"/>
      <c r="M154" s="649"/>
      <c r="N154" s="649"/>
      <c r="O154" s="649"/>
      <c r="P154" s="649"/>
      <c r="Q154" s="649"/>
      <c r="R154" s="649"/>
      <c r="S154" s="649"/>
      <c r="T154" s="649"/>
      <c r="U154" s="649"/>
      <c r="V154" s="649"/>
      <c r="W154" s="649"/>
      <c r="X154" s="649"/>
      <c r="Y154" s="649"/>
      <c r="Z154" s="649"/>
      <c r="AA154" s="48"/>
      <c r="AB154" s="48"/>
      <c r="AC154" s="48"/>
    </row>
    <row r="155" spans="1:68" ht="16.5" hidden="1" customHeight="1" x14ac:dyDescent="0.25">
      <c r="A155" s="560" t="s">
        <v>252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6"/>
      <c r="AB155" s="536"/>
      <c r="AC155" s="536"/>
    </row>
    <row r="156" spans="1:68" ht="14.25" hidden="1" customHeight="1" x14ac:dyDescent="0.25">
      <c r="A156" s="558" t="s">
        <v>136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7"/>
      <c r="AB156" s="537"/>
      <c r="AC156" s="537"/>
    </row>
    <row r="157" spans="1:68" ht="27" hidden="1" customHeight="1" x14ac:dyDescent="0.25">
      <c r="A157" s="54" t="s">
        <v>253</v>
      </c>
      <c r="B157" s="54" t="s">
        <v>254</v>
      </c>
      <c r="C157" s="31">
        <v>4301020323</v>
      </c>
      <c r="D157" s="551">
        <v>4680115886223</v>
      </c>
      <c r="E157" s="552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85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9"/>
      <c r="R157" s="549"/>
      <c r="S157" s="549"/>
      <c r="T157" s="550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3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5"/>
      <c r="P158" s="557" t="s">
        <v>71</v>
      </c>
      <c r="Q158" s="546"/>
      <c r="R158" s="546"/>
      <c r="S158" s="546"/>
      <c r="T158" s="546"/>
      <c r="U158" s="546"/>
      <c r="V158" s="547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57" t="s">
        <v>71</v>
      </c>
      <c r="Q159" s="546"/>
      <c r="R159" s="546"/>
      <c r="S159" s="546"/>
      <c r="T159" s="546"/>
      <c r="U159" s="546"/>
      <c r="V159" s="547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58" t="s">
        <v>64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7"/>
      <c r="AB160" s="537"/>
      <c r="AC160" s="537"/>
    </row>
    <row r="161" spans="1:68" ht="27" customHeight="1" x14ac:dyDescent="0.25">
      <c r="A161" s="54" t="s">
        <v>256</v>
      </c>
      <c r="B161" s="54" t="s">
        <v>257</v>
      </c>
      <c r="C161" s="31">
        <v>4301031191</v>
      </c>
      <c r="D161" s="551">
        <v>4680115880993</v>
      </c>
      <c r="E161" s="552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1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9"/>
      <c r="R161" s="549"/>
      <c r="S161" s="549"/>
      <c r="T161" s="550"/>
      <c r="U161" s="34"/>
      <c r="V161" s="34"/>
      <c r="W161" s="35" t="s">
        <v>69</v>
      </c>
      <c r="X161" s="541">
        <v>20</v>
      </c>
      <c r="Y161" s="542">
        <f t="shared" ref="Y161:Y170" si="5">IFERROR(IF(X161="",0,CEILING((X161/$H161),1)*$H161),"")</f>
        <v>21</v>
      </c>
      <c r="Z161" s="36">
        <f>IFERROR(IF(Y161=0,"",ROUNDUP(Y161/H161,0)*0.00902),"")</f>
        <v>4.5100000000000001E-2</v>
      </c>
      <c r="AA161" s="56"/>
      <c r="AB161" s="57"/>
      <c r="AC161" s="191" t="s">
        <v>258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21.19047619047619</v>
      </c>
      <c r="BN161" s="64">
        <f t="shared" ref="BN161:BN170" si="7">IFERROR(Y161*I161/H161,"0")</f>
        <v>22.25</v>
      </c>
      <c r="BO161" s="64">
        <f t="shared" ref="BO161:BO170" si="8">IFERROR(1/J161*(X161/H161),"0")</f>
        <v>3.6075036075036072E-2</v>
      </c>
      <c r="BP161" s="64">
        <f t="shared" ref="BP161:BP170" si="9">IFERROR(1/J161*(Y161/H161),"0")</f>
        <v>3.787878787878788E-2</v>
      </c>
    </row>
    <row r="162" spans="1:68" ht="27" hidden="1" customHeight="1" x14ac:dyDescent="0.25">
      <c r="A162" s="54" t="s">
        <v>259</v>
      </c>
      <c r="B162" s="54" t="s">
        <v>260</v>
      </c>
      <c r="C162" s="31">
        <v>4301031204</v>
      </c>
      <c r="D162" s="551">
        <v>4680115881761</v>
      </c>
      <c r="E162" s="552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66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9"/>
      <c r="R162" s="549"/>
      <c r="S162" s="549"/>
      <c r="T162" s="550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262</v>
      </c>
      <c r="B163" s="54" t="s">
        <v>263</v>
      </c>
      <c r="C163" s="31">
        <v>4301031201</v>
      </c>
      <c r="D163" s="551">
        <v>4680115881563</v>
      </c>
      <c r="E163" s="552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9"/>
      <c r="R163" s="549"/>
      <c r="S163" s="549"/>
      <c r="T163" s="550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4301031199</v>
      </c>
      <c r="D164" s="551">
        <v>4680115880986</v>
      </c>
      <c r="E164" s="552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6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9"/>
      <c r="R164" s="549"/>
      <c r="S164" s="549"/>
      <c r="T164" s="550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258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4301031443</v>
      </c>
      <c r="D165" s="551">
        <v>4680115887213</v>
      </c>
      <c r="E165" s="552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858" t="s">
        <v>270</v>
      </c>
      <c r="Q165" s="549"/>
      <c r="R165" s="549"/>
      <c r="S165" s="549"/>
      <c r="T165" s="550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272</v>
      </c>
      <c r="B166" s="54" t="s">
        <v>273</v>
      </c>
      <c r="C166" s="31">
        <v>4301031205</v>
      </c>
      <c r="D166" s="551">
        <v>4680115881785</v>
      </c>
      <c r="E166" s="552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80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9"/>
      <c r="R166" s="549"/>
      <c r="S166" s="549"/>
      <c r="T166" s="550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261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51">
        <v>4680115886537</v>
      </c>
      <c r="E167" s="552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7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9"/>
      <c r="R167" s="549"/>
      <c r="S167" s="549"/>
      <c r="T167" s="550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4301031202</v>
      </c>
      <c r="D168" s="551">
        <v>4680115881679</v>
      </c>
      <c r="E168" s="552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80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9"/>
      <c r="R168" s="549"/>
      <c r="S168" s="549"/>
      <c r="T168" s="550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264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51">
        <v>4680115880191</v>
      </c>
      <c r="E169" s="552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77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9"/>
      <c r="R169" s="549"/>
      <c r="S169" s="549"/>
      <c r="T169" s="550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51">
        <v>4680115883963</v>
      </c>
      <c r="E170" s="552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83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9"/>
      <c r="R170" s="549"/>
      <c r="S170" s="549"/>
      <c r="T170" s="550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3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55"/>
      <c r="P171" s="557" t="s">
        <v>71</v>
      </c>
      <c r="Q171" s="546"/>
      <c r="R171" s="546"/>
      <c r="S171" s="546"/>
      <c r="T171" s="546"/>
      <c r="U171" s="546"/>
      <c r="V171" s="547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4.7619047619047619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5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4.5100000000000001E-2</v>
      </c>
      <c r="AA171" s="544"/>
      <c r="AB171" s="544"/>
      <c r="AC171" s="544"/>
    </row>
    <row r="172" spans="1:68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57" t="s">
        <v>71</v>
      </c>
      <c r="Q172" s="546"/>
      <c r="R172" s="546"/>
      <c r="S172" s="546"/>
      <c r="T172" s="546"/>
      <c r="U172" s="546"/>
      <c r="V172" s="547"/>
      <c r="W172" s="37" t="s">
        <v>69</v>
      </c>
      <c r="X172" s="543">
        <f>IFERROR(SUM(X161:X170),"0")</f>
        <v>20</v>
      </c>
      <c r="Y172" s="543">
        <f>IFERROR(SUM(Y161:Y170),"0")</f>
        <v>21</v>
      </c>
      <c r="Z172" s="37"/>
      <c r="AA172" s="544"/>
      <c r="AB172" s="544"/>
      <c r="AC172" s="544"/>
    </row>
    <row r="173" spans="1:68" ht="14.25" hidden="1" customHeight="1" x14ac:dyDescent="0.25">
      <c r="A173" s="558" t="s">
        <v>93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7"/>
      <c r="AB173" s="537"/>
      <c r="AC173" s="537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51">
        <v>4680115886780</v>
      </c>
      <c r="E174" s="552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56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9"/>
      <c r="R174" s="549"/>
      <c r="S174" s="549"/>
      <c r="T174" s="550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289</v>
      </c>
      <c r="B175" s="54" t="s">
        <v>290</v>
      </c>
      <c r="C175" s="31">
        <v>4301032051</v>
      </c>
      <c r="D175" s="551">
        <v>4680115886742</v>
      </c>
      <c r="E175" s="552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66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9"/>
      <c r="R175" s="549"/>
      <c r="S175" s="549"/>
      <c r="T175" s="550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4301032052</v>
      </c>
      <c r="D176" s="551">
        <v>4680115886766</v>
      </c>
      <c r="E176" s="552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64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9"/>
      <c r="R176" s="549"/>
      <c r="S176" s="549"/>
      <c r="T176" s="550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3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55"/>
      <c r="P177" s="557" t="s">
        <v>71</v>
      </c>
      <c r="Q177" s="546"/>
      <c r="R177" s="546"/>
      <c r="S177" s="546"/>
      <c r="T177" s="546"/>
      <c r="U177" s="546"/>
      <c r="V177" s="547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57" t="s">
        <v>71</v>
      </c>
      <c r="Q178" s="546"/>
      <c r="R178" s="546"/>
      <c r="S178" s="546"/>
      <c r="T178" s="546"/>
      <c r="U178" s="546"/>
      <c r="V178" s="547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58" t="s">
        <v>294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7"/>
      <c r="AB179" s="537"/>
      <c r="AC179" s="537"/>
    </row>
    <row r="180" spans="1:68" ht="27" hidden="1" customHeight="1" x14ac:dyDescent="0.25">
      <c r="A180" s="54" t="s">
        <v>295</v>
      </c>
      <c r="B180" s="54" t="s">
        <v>296</v>
      </c>
      <c r="C180" s="31">
        <v>4301170013</v>
      </c>
      <c r="D180" s="551">
        <v>4680115886797</v>
      </c>
      <c r="E180" s="552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77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9"/>
      <c r="R180" s="549"/>
      <c r="S180" s="549"/>
      <c r="T180" s="550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3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55"/>
      <c r="P181" s="557" t="s">
        <v>71</v>
      </c>
      <c r="Q181" s="546"/>
      <c r="R181" s="546"/>
      <c r="S181" s="546"/>
      <c r="T181" s="546"/>
      <c r="U181" s="546"/>
      <c r="V181" s="547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57" t="s">
        <v>71</v>
      </c>
      <c r="Q182" s="546"/>
      <c r="R182" s="546"/>
      <c r="S182" s="546"/>
      <c r="T182" s="546"/>
      <c r="U182" s="546"/>
      <c r="V182" s="547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60" t="s">
        <v>297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6"/>
      <c r="AB183" s="536"/>
      <c r="AC183" s="536"/>
    </row>
    <row r="184" spans="1:68" ht="14.25" hidden="1" customHeight="1" x14ac:dyDescent="0.25">
      <c r="A184" s="558" t="s">
        <v>101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7"/>
      <c r="AB184" s="537"/>
      <c r="AC184" s="537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51">
        <v>4680115881402</v>
      </c>
      <c r="E185" s="552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8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9"/>
      <c r="R185" s="549"/>
      <c r="S185" s="549"/>
      <c r="T185" s="550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51">
        <v>4680115881396</v>
      </c>
      <c r="E186" s="552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61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9"/>
      <c r="R186" s="549"/>
      <c r="S186" s="549"/>
      <c r="T186" s="550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3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55"/>
      <c r="P187" s="557" t="s">
        <v>71</v>
      </c>
      <c r="Q187" s="546"/>
      <c r="R187" s="546"/>
      <c r="S187" s="546"/>
      <c r="T187" s="546"/>
      <c r="U187" s="546"/>
      <c r="V187" s="547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57" t="s">
        <v>71</v>
      </c>
      <c r="Q188" s="546"/>
      <c r="R188" s="546"/>
      <c r="S188" s="546"/>
      <c r="T188" s="546"/>
      <c r="U188" s="546"/>
      <c r="V188" s="547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58" t="s">
        <v>136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7"/>
      <c r="AB189" s="537"/>
      <c r="AC189" s="537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51">
        <v>4680115882935</v>
      </c>
      <c r="E190" s="552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64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9"/>
      <c r="R190" s="549"/>
      <c r="S190" s="549"/>
      <c r="T190" s="550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51">
        <v>4680115880764</v>
      </c>
      <c r="E191" s="552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6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9"/>
      <c r="R191" s="549"/>
      <c r="S191" s="549"/>
      <c r="T191" s="550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3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55"/>
      <c r="P192" s="557" t="s">
        <v>71</v>
      </c>
      <c r="Q192" s="546"/>
      <c r="R192" s="546"/>
      <c r="S192" s="546"/>
      <c r="T192" s="546"/>
      <c r="U192" s="546"/>
      <c r="V192" s="547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57" t="s">
        <v>71</v>
      </c>
      <c r="Q193" s="546"/>
      <c r="R193" s="546"/>
      <c r="S193" s="546"/>
      <c r="T193" s="546"/>
      <c r="U193" s="546"/>
      <c r="V193" s="547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58" t="s">
        <v>64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7"/>
      <c r="AB194" s="537"/>
      <c r="AC194" s="537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51">
        <v>4680115882683</v>
      </c>
      <c r="E195" s="552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7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9"/>
      <c r="R195" s="549"/>
      <c r="S195" s="549"/>
      <c r="T195" s="550"/>
      <c r="U195" s="34"/>
      <c r="V195" s="34"/>
      <c r="W195" s="35" t="s">
        <v>69</v>
      </c>
      <c r="X195" s="541">
        <v>65</v>
      </c>
      <c r="Y195" s="542">
        <f t="shared" ref="Y195:Y202" si="10">IFERROR(IF(X195="",0,CEILING((X195/$H195),1)*$H195),"")</f>
        <v>70.2</v>
      </c>
      <c r="Z195" s="36">
        <f>IFERROR(IF(Y195=0,"",ROUNDUP(Y195/H195,0)*0.00902),"")</f>
        <v>0.11726</v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67.287037037037024</v>
      </c>
      <c r="BN195" s="64">
        <f t="shared" ref="BN195:BN202" si="12">IFERROR(Y195*I195/H195,"0")</f>
        <v>72.67</v>
      </c>
      <c r="BO195" s="64">
        <f t="shared" ref="BO195:BO202" si="13">IFERROR(1/J195*(X195/H195),"0")</f>
        <v>9.1189674523007858E-2</v>
      </c>
      <c r="BP195" s="64">
        <f t="shared" ref="BP195:BP202" si="14">IFERROR(1/J195*(Y195/H195),"0")</f>
        <v>9.8484848484848481E-2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51">
        <v>4680115882690</v>
      </c>
      <c r="E196" s="552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58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9"/>
      <c r="R196" s="549"/>
      <c r="S196" s="549"/>
      <c r="T196" s="550"/>
      <c r="U196" s="34"/>
      <c r="V196" s="34"/>
      <c r="W196" s="35" t="s">
        <v>69</v>
      </c>
      <c r="X196" s="541">
        <v>40</v>
      </c>
      <c r="Y196" s="542">
        <f t="shared" si="10"/>
        <v>43.2</v>
      </c>
      <c r="Z196" s="36">
        <f>IFERROR(IF(Y196=0,"",ROUNDUP(Y196/H196,0)*0.00902),"")</f>
        <v>7.2160000000000002E-2</v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41.407407407407405</v>
      </c>
      <c r="BN196" s="64">
        <f t="shared" si="12"/>
        <v>44.72</v>
      </c>
      <c r="BO196" s="64">
        <f t="shared" si="13"/>
        <v>5.6116722783389444E-2</v>
      </c>
      <c r="BP196" s="64">
        <f t="shared" si="14"/>
        <v>6.0606060606060608E-2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51">
        <v>4680115882669</v>
      </c>
      <c r="E197" s="552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9"/>
      <c r="R197" s="549"/>
      <c r="S197" s="549"/>
      <c r="T197" s="550"/>
      <c r="U197" s="34"/>
      <c r="V197" s="34"/>
      <c r="W197" s="35" t="s">
        <v>69</v>
      </c>
      <c r="X197" s="541">
        <v>40</v>
      </c>
      <c r="Y197" s="542">
        <f t="shared" si="10"/>
        <v>43.2</v>
      </c>
      <c r="Z197" s="36">
        <f>IFERROR(IF(Y197=0,"",ROUNDUP(Y197/H197,0)*0.00902),"")</f>
        <v>7.2160000000000002E-2</v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41.407407407407405</v>
      </c>
      <c r="BN197" s="64">
        <f t="shared" si="12"/>
        <v>44.72</v>
      </c>
      <c r="BO197" s="64">
        <f t="shared" si="13"/>
        <v>5.6116722783389444E-2</v>
      </c>
      <c r="BP197" s="64">
        <f t="shared" si="14"/>
        <v>6.0606060606060608E-2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51">
        <v>4680115882676</v>
      </c>
      <c r="E198" s="552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6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9"/>
      <c r="R198" s="549"/>
      <c r="S198" s="549"/>
      <c r="T198" s="550"/>
      <c r="U198" s="34"/>
      <c r="V198" s="34"/>
      <c r="W198" s="35" t="s">
        <v>69</v>
      </c>
      <c r="X198" s="541">
        <v>40</v>
      </c>
      <c r="Y198" s="542">
        <f t="shared" si="10"/>
        <v>43.2</v>
      </c>
      <c r="Z198" s="36">
        <f>IFERROR(IF(Y198=0,"",ROUNDUP(Y198/H198,0)*0.00902),"")</f>
        <v>7.2160000000000002E-2</v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41.407407407407405</v>
      </c>
      <c r="BN198" s="64">
        <f t="shared" si="12"/>
        <v>44.72</v>
      </c>
      <c r="BO198" s="64">
        <f t="shared" si="13"/>
        <v>5.6116722783389444E-2</v>
      </c>
      <c r="BP198" s="64">
        <f t="shared" si="14"/>
        <v>6.0606060606060608E-2</v>
      </c>
    </row>
    <row r="199" spans="1:68" ht="27" hidden="1" customHeight="1" x14ac:dyDescent="0.25">
      <c r="A199" s="54" t="s">
        <v>320</v>
      </c>
      <c r="B199" s="54" t="s">
        <v>321</v>
      </c>
      <c r="C199" s="31">
        <v>4301031223</v>
      </c>
      <c r="D199" s="551">
        <v>4680115884014</v>
      </c>
      <c r="E199" s="552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58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9"/>
      <c r="R199" s="549"/>
      <c r="S199" s="549"/>
      <c r="T199" s="550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4301031222</v>
      </c>
      <c r="D200" s="551">
        <v>4680115884007</v>
      </c>
      <c r="E200" s="552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59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9"/>
      <c r="R200" s="549"/>
      <c r="S200" s="549"/>
      <c r="T200" s="550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51">
        <v>4680115884038</v>
      </c>
      <c r="E201" s="552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5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9"/>
      <c r="R201" s="549"/>
      <c r="S201" s="549"/>
      <c r="T201" s="550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4301031225</v>
      </c>
      <c r="D202" s="551">
        <v>4680115884021</v>
      </c>
      <c r="E202" s="552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57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9"/>
      <c r="R202" s="549"/>
      <c r="S202" s="549"/>
      <c r="T202" s="550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3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55"/>
      <c r="P203" s="557" t="s">
        <v>71</v>
      </c>
      <c r="Q203" s="546"/>
      <c r="R203" s="546"/>
      <c r="S203" s="546"/>
      <c r="T203" s="546"/>
      <c r="U203" s="546"/>
      <c r="V203" s="547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34.259259259259252</v>
      </c>
      <c r="Y203" s="543">
        <f>IFERROR(Y195/H195,"0")+IFERROR(Y196/H196,"0")+IFERROR(Y197/H197,"0")+IFERROR(Y198/H198,"0")+IFERROR(Y199/H199,"0")+IFERROR(Y200/H200,"0")+IFERROR(Y201/H201,"0")+IFERROR(Y202/H202,"0")</f>
        <v>37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0.33374000000000004</v>
      </c>
      <c r="AA203" s="544"/>
      <c r="AB203" s="544"/>
      <c r="AC203" s="544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57" t="s">
        <v>71</v>
      </c>
      <c r="Q204" s="546"/>
      <c r="R204" s="546"/>
      <c r="S204" s="546"/>
      <c r="T204" s="546"/>
      <c r="U204" s="546"/>
      <c r="V204" s="547"/>
      <c r="W204" s="37" t="s">
        <v>69</v>
      </c>
      <c r="X204" s="543">
        <f>IFERROR(SUM(X195:X202),"0")</f>
        <v>185</v>
      </c>
      <c r="Y204" s="543">
        <f>IFERROR(SUM(Y195:Y202),"0")</f>
        <v>199.8</v>
      </c>
      <c r="Z204" s="37"/>
      <c r="AA204" s="544"/>
      <c r="AB204" s="544"/>
      <c r="AC204" s="544"/>
    </row>
    <row r="205" spans="1:68" ht="14.25" hidden="1" customHeight="1" x14ac:dyDescent="0.25">
      <c r="A205" s="558" t="s">
        <v>73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7"/>
      <c r="AB205" s="537"/>
      <c r="AC205" s="537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51">
        <v>4680115881594</v>
      </c>
      <c r="E206" s="552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0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9"/>
      <c r="R206" s="549"/>
      <c r="S206" s="549"/>
      <c r="T206" s="550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51">
        <v>4680115881617</v>
      </c>
      <c r="E207" s="552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9"/>
      <c r="R207" s="549"/>
      <c r="S207" s="549"/>
      <c r="T207" s="550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334</v>
      </c>
      <c r="B208" s="54" t="s">
        <v>335</v>
      </c>
      <c r="C208" s="31">
        <v>4301051656</v>
      </c>
      <c r="D208" s="551">
        <v>4680115880573</v>
      </c>
      <c r="E208" s="552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84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9"/>
      <c r="R208" s="549"/>
      <c r="S208" s="549"/>
      <c r="T208" s="550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51">
        <v>4680115882195</v>
      </c>
      <c r="E209" s="552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82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9"/>
      <c r="R209" s="549"/>
      <c r="S209" s="549"/>
      <c r="T209" s="550"/>
      <c r="U209" s="34"/>
      <c r="V209" s="34"/>
      <c r="W209" s="35" t="s">
        <v>69</v>
      </c>
      <c r="X209" s="541">
        <v>8</v>
      </c>
      <c r="Y209" s="542">
        <f t="shared" si="15"/>
        <v>9.6</v>
      </c>
      <c r="Z209" s="36">
        <f t="shared" ref="Z209:Z214" si="20">IFERROR(IF(Y209=0,"",ROUNDUP(Y209/H209,0)*0.00651),"")</f>
        <v>2.6040000000000001E-2</v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8.9</v>
      </c>
      <c r="BN209" s="64">
        <f t="shared" si="17"/>
        <v>10.68</v>
      </c>
      <c r="BO209" s="64">
        <f t="shared" si="18"/>
        <v>1.8315018315018316E-2</v>
      </c>
      <c r="BP209" s="64">
        <f t="shared" si="19"/>
        <v>2.197802197802198E-2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51">
        <v>4680115882607</v>
      </c>
      <c r="E210" s="552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7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9"/>
      <c r="R210" s="549"/>
      <c r="S210" s="549"/>
      <c r="T210" s="550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51">
        <v>4680115880092</v>
      </c>
      <c r="E211" s="552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2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9"/>
      <c r="R211" s="549"/>
      <c r="S211" s="549"/>
      <c r="T211" s="550"/>
      <c r="U211" s="34"/>
      <c r="V211" s="34"/>
      <c r="W211" s="35" t="s">
        <v>69</v>
      </c>
      <c r="X211" s="541">
        <v>13.5</v>
      </c>
      <c r="Y211" s="542">
        <f t="shared" si="15"/>
        <v>14.399999999999999</v>
      </c>
      <c r="Z211" s="36">
        <f t="shared" si="20"/>
        <v>3.9059999999999997E-2</v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14.9175</v>
      </c>
      <c r="BN211" s="64">
        <f t="shared" si="17"/>
        <v>15.912000000000001</v>
      </c>
      <c r="BO211" s="64">
        <f t="shared" si="18"/>
        <v>3.0906593406593408E-2</v>
      </c>
      <c r="BP211" s="64">
        <f t="shared" si="19"/>
        <v>3.2967032967032968E-2</v>
      </c>
    </row>
    <row r="212" spans="1:68" ht="27" customHeight="1" x14ac:dyDescent="0.25">
      <c r="A212" s="54" t="s">
        <v>343</v>
      </c>
      <c r="B212" s="54" t="s">
        <v>344</v>
      </c>
      <c r="C212" s="31">
        <v>4301051668</v>
      </c>
      <c r="D212" s="551">
        <v>4680115880221</v>
      </c>
      <c r="E212" s="552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65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9"/>
      <c r="R212" s="549"/>
      <c r="S212" s="549"/>
      <c r="T212" s="550"/>
      <c r="U212" s="34"/>
      <c r="V212" s="34"/>
      <c r="W212" s="35" t="s">
        <v>69</v>
      </c>
      <c r="X212" s="541">
        <v>13.5</v>
      </c>
      <c r="Y212" s="542">
        <f t="shared" si="15"/>
        <v>14.399999999999999</v>
      </c>
      <c r="Z212" s="36">
        <f t="shared" si="20"/>
        <v>3.9059999999999997E-2</v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14.9175</v>
      </c>
      <c r="BN212" s="64">
        <f t="shared" si="17"/>
        <v>15.912000000000001</v>
      </c>
      <c r="BO212" s="64">
        <f t="shared" si="18"/>
        <v>3.0906593406593408E-2</v>
      </c>
      <c r="BP212" s="64">
        <f t="shared" si="19"/>
        <v>3.2967032967032968E-2</v>
      </c>
    </row>
    <row r="213" spans="1:68" ht="27" hidden="1" customHeight="1" x14ac:dyDescent="0.25">
      <c r="A213" s="54" t="s">
        <v>345</v>
      </c>
      <c r="B213" s="54" t="s">
        <v>346</v>
      </c>
      <c r="C213" s="31">
        <v>4301051945</v>
      </c>
      <c r="D213" s="551">
        <v>4680115880504</v>
      </c>
      <c r="E213" s="552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85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9"/>
      <c r="R213" s="549"/>
      <c r="S213" s="549"/>
      <c r="T213" s="550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347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348</v>
      </c>
      <c r="B214" s="54" t="s">
        <v>349</v>
      </c>
      <c r="C214" s="31">
        <v>4301051410</v>
      </c>
      <c r="D214" s="551">
        <v>4680115882164</v>
      </c>
      <c r="E214" s="552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65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9"/>
      <c r="R214" s="549"/>
      <c r="S214" s="549"/>
      <c r="T214" s="550"/>
      <c r="U214" s="34"/>
      <c r="V214" s="34"/>
      <c r="W214" s="35" t="s">
        <v>69</v>
      </c>
      <c r="X214" s="541">
        <v>10</v>
      </c>
      <c r="Y214" s="542">
        <f t="shared" si="15"/>
        <v>12</v>
      </c>
      <c r="Z214" s="36">
        <f t="shared" si="20"/>
        <v>3.2550000000000003E-2</v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11.074999999999999</v>
      </c>
      <c r="BN214" s="64">
        <f t="shared" si="17"/>
        <v>13.290000000000001</v>
      </c>
      <c r="BO214" s="64">
        <f t="shared" si="18"/>
        <v>2.2893772893772896E-2</v>
      </c>
      <c r="BP214" s="64">
        <f t="shared" si="19"/>
        <v>2.7472527472527476E-2</v>
      </c>
    </row>
    <row r="215" spans="1:68" x14ac:dyDescent="0.2">
      <c r="A215" s="553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55"/>
      <c r="P215" s="557" t="s">
        <v>71</v>
      </c>
      <c r="Q215" s="546"/>
      <c r="R215" s="546"/>
      <c r="S215" s="546"/>
      <c r="T215" s="546"/>
      <c r="U215" s="546"/>
      <c r="V215" s="547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18.75</v>
      </c>
      <c r="Y215" s="543">
        <f>IFERROR(Y206/H206,"0")+IFERROR(Y207/H207,"0")+IFERROR(Y208/H208,"0")+IFERROR(Y209/H209,"0")+IFERROR(Y210/H210,"0")+IFERROR(Y211/H211,"0")+IFERROR(Y212/H212,"0")+IFERROR(Y213/H213,"0")+IFERROR(Y214/H214,"0")</f>
        <v>21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0.13671</v>
      </c>
      <c r="AA215" s="544"/>
      <c r="AB215" s="544"/>
      <c r="AC215" s="544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57" t="s">
        <v>71</v>
      </c>
      <c r="Q216" s="546"/>
      <c r="R216" s="546"/>
      <c r="S216" s="546"/>
      <c r="T216" s="546"/>
      <c r="U216" s="546"/>
      <c r="V216" s="547"/>
      <c r="W216" s="37" t="s">
        <v>69</v>
      </c>
      <c r="X216" s="543">
        <f>IFERROR(SUM(X206:X214),"0")</f>
        <v>45</v>
      </c>
      <c r="Y216" s="543">
        <f>IFERROR(SUM(Y206:Y214),"0")</f>
        <v>50.4</v>
      </c>
      <c r="Z216" s="37"/>
      <c r="AA216" s="544"/>
      <c r="AB216" s="544"/>
      <c r="AC216" s="544"/>
    </row>
    <row r="217" spans="1:68" ht="14.25" hidden="1" customHeight="1" x14ac:dyDescent="0.25">
      <c r="A217" s="558" t="s">
        <v>164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7"/>
      <c r="AB217" s="537"/>
      <c r="AC217" s="537"/>
    </row>
    <row r="218" spans="1:68" ht="27" hidden="1" customHeight="1" x14ac:dyDescent="0.25">
      <c r="A218" s="54" t="s">
        <v>350</v>
      </c>
      <c r="B218" s="54" t="s">
        <v>351</v>
      </c>
      <c r="C218" s="31">
        <v>4301060463</v>
      </c>
      <c r="D218" s="551">
        <v>4680115880818</v>
      </c>
      <c r="E218" s="552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5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9"/>
      <c r="R218" s="549"/>
      <c r="S218" s="549"/>
      <c r="T218" s="550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352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353</v>
      </c>
      <c r="B219" s="54" t="s">
        <v>354</v>
      </c>
      <c r="C219" s="31">
        <v>4301060389</v>
      </c>
      <c r="D219" s="551">
        <v>4680115880801</v>
      </c>
      <c r="E219" s="552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7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9"/>
      <c r="R219" s="549"/>
      <c r="S219" s="549"/>
      <c r="T219" s="550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3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55"/>
      <c r="P220" s="557" t="s">
        <v>71</v>
      </c>
      <c r="Q220" s="546"/>
      <c r="R220" s="546"/>
      <c r="S220" s="546"/>
      <c r="T220" s="546"/>
      <c r="U220" s="546"/>
      <c r="V220" s="547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hidden="1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57" t="s">
        <v>71</v>
      </c>
      <c r="Q221" s="546"/>
      <c r="R221" s="546"/>
      <c r="S221" s="546"/>
      <c r="T221" s="546"/>
      <c r="U221" s="546"/>
      <c r="V221" s="547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hidden="1" customHeight="1" x14ac:dyDescent="0.25">
      <c r="A222" s="560" t="s">
        <v>356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6"/>
      <c r="AB222" s="536"/>
      <c r="AC222" s="536"/>
    </row>
    <row r="223" spans="1:68" ht="14.25" hidden="1" customHeight="1" x14ac:dyDescent="0.25">
      <c r="A223" s="558" t="s">
        <v>101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7"/>
      <c r="AB223" s="537"/>
      <c r="AC223" s="537"/>
    </row>
    <row r="224" spans="1:68" ht="27" hidden="1" customHeight="1" x14ac:dyDescent="0.25">
      <c r="A224" s="54" t="s">
        <v>357</v>
      </c>
      <c r="B224" s="54" t="s">
        <v>358</v>
      </c>
      <c r="C224" s="31">
        <v>4301011826</v>
      </c>
      <c r="D224" s="551">
        <v>4680115884137</v>
      </c>
      <c r="E224" s="552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2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9"/>
      <c r="R224" s="549"/>
      <c r="S224" s="549"/>
      <c r="T224" s="550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359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360</v>
      </c>
      <c r="B225" s="54" t="s">
        <v>361</v>
      </c>
      <c r="C225" s="31">
        <v>4301011724</v>
      </c>
      <c r="D225" s="551">
        <v>4680115884236</v>
      </c>
      <c r="E225" s="552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6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9"/>
      <c r="R225" s="549"/>
      <c r="S225" s="549"/>
      <c r="T225" s="550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363</v>
      </c>
      <c r="B226" s="54" t="s">
        <v>364</v>
      </c>
      <c r="C226" s="31">
        <v>4301011721</v>
      </c>
      <c r="D226" s="551">
        <v>4680115884175</v>
      </c>
      <c r="E226" s="552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6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9"/>
      <c r="R226" s="549"/>
      <c r="S226" s="549"/>
      <c r="T226" s="550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4301011824</v>
      </c>
      <c r="D227" s="551">
        <v>4680115884144</v>
      </c>
      <c r="E227" s="552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6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9"/>
      <c r="R227" s="549"/>
      <c r="S227" s="549"/>
      <c r="T227" s="550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359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366</v>
      </c>
      <c r="B228" s="54" t="s">
        <v>368</v>
      </c>
      <c r="C228" s="31">
        <v>4301012196</v>
      </c>
      <c r="D228" s="551">
        <v>4680115884144</v>
      </c>
      <c r="E228" s="552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59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9"/>
      <c r="R228" s="549"/>
      <c r="S228" s="549"/>
      <c r="T228" s="550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370</v>
      </c>
      <c r="C229" s="31">
        <v>4301012149</v>
      </c>
      <c r="D229" s="551">
        <v>4680115886551</v>
      </c>
      <c r="E229" s="552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5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9"/>
      <c r="R229" s="549"/>
      <c r="S229" s="549"/>
      <c r="T229" s="550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4301011726</v>
      </c>
      <c r="D230" s="551">
        <v>4680115884182</v>
      </c>
      <c r="E230" s="552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80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9"/>
      <c r="R230" s="549"/>
      <c r="S230" s="549"/>
      <c r="T230" s="550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4301012228</v>
      </c>
      <c r="D231" s="551">
        <v>4680115887282</v>
      </c>
      <c r="E231" s="552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86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9"/>
      <c r="R231" s="549"/>
      <c r="S231" s="549"/>
      <c r="T231" s="550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4301011722</v>
      </c>
      <c r="D232" s="551">
        <v>4680115884205</v>
      </c>
      <c r="E232" s="552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0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9"/>
      <c r="R232" s="549"/>
      <c r="S232" s="549"/>
      <c r="T232" s="550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365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376</v>
      </c>
      <c r="B233" s="54" t="s">
        <v>378</v>
      </c>
      <c r="C233" s="31">
        <v>4301012195</v>
      </c>
      <c r="D233" s="551">
        <v>4680115884205</v>
      </c>
      <c r="E233" s="552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0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9"/>
      <c r="R233" s="549"/>
      <c r="S233" s="549"/>
      <c r="T233" s="550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3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5"/>
      <c r="P234" s="557" t="s">
        <v>71</v>
      </c>
      <c r="Q234" s="546"/>
      <c r="R234" s="546"/>
      <c r="S234" s="546"/>
      <c r="T234" s="546"/>
      <c r="U234" s="546"/>
      <c r="V234" s="547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57" t="s">
        <v>71</v>
      </c>
      <c r="Q235" s="546"/>
      <c r="R235" s="546"/>
      <c r="S235" s="546"/>
      <c r="T235" s="546"/>
      <c r="U235" s="546"/>
      <c r="V235" s="547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58" t="s">
        <v>136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7"/>
      <c r="AB236" s="537"/>
      <c r="AC236" s="537"/>
    </row>
    <row r="237" spans="1:68" ht="27" hidden="1" customHeight="1" x14ac:dyDescent="0.25">
      <c r="A237" s="54" t="s">
        <v>379</v>
      </c>
      <c r="B237" s="54" t="s">
        <v>380</v>
      </c>
      <c r="C237" s="31">
        <v>4301020377</v>
      </c>
      <c r="D237" s="551">
        <v>4680115885981</v>
      </c>
      <c r="E237" s="552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8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9"/>
      <c r="R237" s="549"/>
      <c r="S237" s="549"/>
      <c r="T237" s="550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3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55"/>
      <c r="P238" s="557" t="s">
        <v>71</v>
      </c>
      <c r="Q238" s="546"/>
      <c r="R238" s="546"/>
      <c r="S238" s="546"/>
      <c r="T238" s="546"/>
      <c r="U238" s="546"/>
      <c r="V238" s="547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57" t="s">
        <v>71</v>
      </c>
      <c r="Q239" s="546"/>
      <c r="R239" s="546"/>
      <c r="S239" s="546"/>
      <c r="T239" s="546"/>
      <c r="U239" s="546"/>
      <c r="V239" s="547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58" t="s">
        <v>382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7"/>
      <c r="AB240" s="537"/>
      <c r="AC240" s="537"/>
    </row>
    <row r="241" spans="1:68" ht="27" hidden="1" customHeight="1" x14ac:dyDescent="0.25">
      <c r="A241" s="54" t="s">
        <v>383</v>
      </c>
      <c r="B241" s="54" t="s">
        <v>384</v>
      </c>
      <c r="C241" s="31">
        <v>4301040362</v>
      </c>
      <c r="D241" s="551">
        <v>4680115886803</v>
      </c>
      <c r="E241" s="552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6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9"/>
      <c r="R241" s="549"/>
      <c r="S241" s="549"/>
      <c r="T241" s="550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3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55"/>
      <c r="P242" s="557" t="s">
        <v>71</v>
      </c>
      <c r="Q242" s="546"/>
      <c r="R242" s="546"/>
      <c r="S242" s="546"/>
      <c r="T242" s="546"/>
      <c r="U242" s="546"/>
      <c r="V242" s="547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57" t="s">
        <v>71</v>
      </c>
      <c r="Q243" s="546"/>
      <c r="R243" s="546"/>
      <c r="S243" s="546"/>
      <c r="T243" s="546"/>
      <c r="U243" s="546"/>
      <c r="V243" s="547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58" t="s">
        <v>386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7"/>
      <c r="AB244" s="537"/>
      <c r="AC244" s="537"/>
    </row>
    <row r="245" spans="1:68" ht="27" hidden="1" customHeight="1" x14ac:dyDescent="0.25">
      <c r="A245" s="54" t="s">
        <v>387</v>
      </c>
      <c r="B245" s="54" t="s">
        <v>388</v>
      </c>
      <c r="C245" s="31">
        <v>4301041004</v>
      </c>
      <c r="D245" s="551">
        <v>4680115886704</v>
      </c>
      <c r="E245" s="552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2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9"/>
      <c r="R245" s="549"/>
      <c r="S245" s="549"/>
      <c r="T245" s="550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390</v>
      </c>
      <c r="B246" s="54" t="s">
        <v>391</v>
      </c>
      <c r="C246" s="31">
        <v>4301041008</v>
      </c>
      <c r="D246" s="551">
        <v>4680115886681</v>
      </c>
      <c r="E246" s="552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7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9"/>
      <c r="R246" s="549"/>
      <c r="S246" s="549"/>
      <c r="T246" s="550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4301041007</v>
      </c>
      <c r="D247" s="551">
        <v>4680115886735</v>
      </c>
      <c r="E247" s="552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6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9"/>
      <c r="R247" s="549"/>
      <c r="S247" s="549"/>
      <c r="T247" s="550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4301041006</v>
      </c>
      <c r="D248" s="551">
        <v>4680115886728</v>
      </c>
      <c r="E248" s="552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69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9"/>
      <c r="R248" s="549"/>
      <c r="S248" s="549"/>
      <c r="T248" s="550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4301041005</v>
      </c>
      <c r="D249" s="551">
        <v>4680115886711</v>
      </c>
      <c r="E249" s="552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85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9"/>
      <c r="R249" s="549"/>
      <c r="S249" s="549"/>
      <c r="T249" s="550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3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55"/>
      <c r="P250" s="557" t="s">
        <v>71</v>
      </c>
      <c r="Q250" s="546"/>
      <c r="R250" s="546"/>
      <c r="S250" s="546"/>
      <c r="T250" s="546"/>
      <c r="U250" s="546"/>
      <c r="V250" s="547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hidden="1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57" t="s">
        <v>71</v>
      </c>
      <c r="Q251" s="546"/>
      <c r="R251" s="546"/>
      <c r="S251" s="546"/>
      <c r="T251" s="546"/>
      <c r="U251" s="546"/>
      <c r="V251" s="547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hidden="1" customHeight="1" x14ac:dyDescent="0.25">
      <c r="A252" s="560" t="s">
        <v>398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6"/>
      <c r="AB252" s="536"/>
      <c r="AC252" s="536"/>
    </row>
    <row r="253" spans="1:68" ht="14.25" hidden="1" customHeight="1" x14ac:dyDescent="0.25">
      <c r="A253" s="558" t="s">
        <v>101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7"/>
      <c r="AB253" s="537"/>
      <c r="AC253" s="537"/>
    </row>
    <row r="254" spans="1:68" ht="27" customHeight="1" x14ac:dyDescent="0.25">
      <c r="A254" s="54" t="s">
        <v>399</v>
      </c>
      <c r="B254" s="54" t="s">
        <v>400</v>
      </c>
      <c r="C254" s="31">
        <v>4301011855</v>
      </c>
      <c r="D254" s="551">
        <v>4680115885837</v>
      </c>
      <c r="E254" s="552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68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9"/>
      <c r="R254" s="549"/>
      <c r="S254" s="549"/>
      <c r="T254" s="550"/>
      <c r="U254" s="34"/>
      <c r="V254" s="34"/>
      <c r="W254" s="35" t="s">
        <v>69</v>
      </c>
      <c r="X254" s="541">
        <v>70</v>
      </c>
      <c r="Y254" s="542">
        <f>IFERROR(IF(X254="",0,CEILING((X254/$H254),1)*$H254),"")</f>
        <v>75.600000000000009</v>
      </c>
      <c r="Z254" s="36">
        <f>IFERROR(IF(Y254=0,"",ROUNDUP(Y254/H254,0)*0.01898),"")</f>
        <v>0.13286000000000001</v>
      </c>
      <c r="AA254" s="56"/>
      <c r="AB254" s="57"/>
      <c r="AC254" s="299" t="s">
        <v>401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72.657407407407405</v>
      </c>
      <c r="BN254" s="64">
        <f>IFERROR(Y254*I254/H254,"0")</f>
        <v>78.47</v>
      </c>
      <c r="BO254" s="64">
        <f>IFERROR(1/J254*(X254/H254),"0")</f>
        <v>0.10127314814814814</v>
      </c>
      <c r="BP254" s="64">
        <f>IFERROR(1/J254*(Y254/H254),"0")</f>
        <v>0.109375</v>
      </c>
    </row>
    <row r="255" spans="1:68" ht="37.5" customHeight="1" x14ac:dyDescent="0.25">
      <c r="A255" s="54" t="s">
        <v>402</v>
      </c>
      <c r="B255" s="54" t="s">
        <v>403</v>
      </c>
      <c r="C255" s="31">
        <v>4301011853</v>
      </c>
      <c r="D255" s="551">
        <v>4680115885851</v>
      </c>
      <c r="E255" s="552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79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9"/>
      <c r="R255" s="549"/>
      <c r="S255" s="549"/>
      <c r="T255" s="550"/>
      <c r="U255" s="34"/>
      <c r="V255" s="34"/>
      <c r="W255" s="35" t="s">
        <v>69</v>
      </c>
      <c r="X255" s="541">
        <v>30</v>
      </c>
      <c r="Y255" s="542">
        <f>IFERROR(IF(X255="",0,CEILING((X255/$H255),1)*$H255),"")</f>
        <v>32.400000000000006</v>
      </c>
      <c r="Z255" s="36">
        <f>IFERROR(IF(Y255=0,"",ROUNDUP(Y255/H255,0)*0.01898),"")</f>
        <v>5.6940000000000004E-2</v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31.138888888888889</v>
      </c>
      <c r="BN255" s="64">
        <f>IFERROR(Y255*I255/H255,"0")</f>
        <v>33.630000000000003</v>
      </c>
      <c r="BO255" s="64">
        <f>IFERROR(1/J255*(X255/H255),"0")</f>
        <v>4.3402777777777776E-2</v>
      </c>
      <c r="BP255" s="64">
        <f>IFERROR(1/J255*(Y255/H255),"0")</f>
        <v>4.6875000000000007E-2</v>
      </c>
    </row>
    <row r="256" spans="1:68" ht="27" customHeight="1" x14ac:dyDescent="0.25">
      <c r="A256" s="54" t="s">
        <v>405</v>
      </c>
      <c r="B256" s="54" t="s">
        <v>406</v>
      </c>
      <c r="C256" s="31">
        <v>4301011850</v>
      </c>
      <c r="D256" s="551">
        <v>4680115885806</v>
      </c>
      <c r="E256" s="552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68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9"/>
      <c r="R256" s="549"/>
      <c r="S256" s="549"/>
      <c r="T256" s="550"/>
      <c r="U256" s="34"/>
      <c r="V256" s="34"/>
      <c r="W256" s="35" t="s">
        <v>69</v>
      </c>
      <c r="X256" s="541">
        <v>120</v>
      </c>
      <c r="Y256" s="542">
        <f>IFERROR(IF(X256="",0,CEILING((X256/$H256),1)*$H256),"")</f>
        <v>129.60000000000002</v>
      </c>
      <c r="Z256" s="36">
        <f>IFERROR(IF(Y256=0,"",ROUNDUP(Y256/H256,0)*0.01898),"")</f>
        <v>0.22776000000000002</v>
      </c>
      <c r="AA256" s="56"/>
      <c r="AB256" s="57"/>
      <c r="AC256" s="303" t="s">
        <v>407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124.55555555555556</v>
      </c>
      <c r="BN256" s="64">
        <f>IFERROR(Y256*I256/H256,"0")</f>
        <v>134.52000000000001</v>
      </c>
      <c r="BO256" s="64">
        <f>IFERROR(1/J256*(X256/H256),"0")</f>
        <v>0.1736111111111111</v>
      </c>
      <c r="BP256" s="64">
        <f>IFERROR(1/J256*(Y256/H256),"0")</f>
        <v>0.18750000000000003</v>
      </c>
    </row>
    <row r="257" spans="1:68" ht="27" customHeight="1" x14ac:dyDescent="0.25">
      <c r="A257" s="54" t="s">
        <v>408</v>
      </c>
      <c r="B257" s="54" t="s">
        <v>409</v>
      </c>
      <c r="C257" s="31">
        <v>4301011852</v>
      </c>
      <c r="D257" s="551">
        <v>4680115885844</v>
      </c>
      <c r="E257" s="552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6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9"/>
      <c r="R257" s="549"/>
      <c r="S257" s="549"/>
      <c r="T257" s="550"/>
      <c r="U257" s="34"/>
      <c r="V257" s="34"/>
      <c r="W257" s="35" t="s">
        <v>69</v>
      </c>
      <c r="X257" s="541">
        <v>5</v>
      </c>
      <c r="Y257" s="542">
        <f>IFERROR(IF(X257="",0,CEILING((X257/$H257),1)*$H257),"")</f>
        <v>8</v>
      </c>
      <c r="Z257" s="36">
        <f>IFERROR(IF(Y257=0,"",ROUNDUP(Y257/H257,0)*0.00902),"")</f>
        <v>1.804E-2</v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5.2375000000000007</v>
      </c>
      <c r="BN257" s="64">
        <f>IFERROR(Y257*I257/H257,"0")</f>
        <v>8.3800000000000008</v>
      </c>
      <c r="BO257" s="64">
        <f>IFERROR(1/J257*(X257/H257),"0")</f>
        <v>9.46969696969697E-3</v>
      </c>
      <c r="BP257" s="64">
        <f>IFERROR(1/J257*(Y257/H257),"0")</f>
        <v>1.5151515151515152E-2</v>
      </c>
    </row>
    <row r="258" spans="1:68" ht="37.5" customHeight="1" x14ac:dyDescent="0.25">
      <c r="A258" s="54" t="s">
        <v>411</v>
      </c>
      <c r="B258" s="54" t="s">
        <v>412</v>
      </c>
      <c r="C258" s="31">
        <v>4301011851</v>
      </c>
      <c r="D258" s="551">
        <v>4680115885820</v>
      </c>
      <c r="E258" s="552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78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9"/>
      <c r="R258" s="549"/>
      <c r="S258" s="549"/>
      <c r="T258" s="550"/>
      <c r="U258" s="34"/>
      <c r="V258" s="34"/>
      <c r="W258" s="35" t="s">
        <v>69</v>
      </c>
      <c r="X258" s="541">
        <v>12</v>
      </c>
      <c r="Y258" s="542">
        <f>IFERROR(IF(X258="",0,CEILING((X258/$H258),1)*$H258),"")</f>
        <v>12</v>
      </c>
      <c r="Z258" s="36">
        <f>IFERROR(IF(Y258=0,"",ROUNDUP(Y258/H258,0)*0.00902),"")</f>
        <v>2.7060000000000001E-2</v>
      </c>
      <c r="AA258" s="56"/>
      <c r="AB258" s="57"/>
      <c r="AC258" s="307" t="s">
        <v>413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12.57</v>
      </c>
      <c r="BN258" s="64">
        <f>IFERROR(Y258*I258/H258,"0")</f>
        <v>12.57</v>
      </c>
      <c r="BO258" s="64">
        <f>IFERROR(1/J258*(X258/H258),"0")</f>
        <v>2.2727272727272728E-2</v>
      </c>
      <c r="BP258" s="64">
        <f>IFERROR(1/J258*(Y258/H258),"0")</f>
        <v>2.2727272727272728E-2</v>
      </c>
    </row>
    <row r="259" spans="1:68" x14ac:dyDescent="0.2">
      <c r="A259" s="553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55"/>
      <c r="P259" s="557" t="s">
        <v>71</v>
      </c>
      <c r="Q259" s="546"/>
      <c r="R259" s="546"/>
      <c r="S259" s="546"/>
      <c r="T259" s="546"/>
      <c r="U259" s="546"/>
      <c r="V259" s="547"/>
      <c r="W259" s="37" t="s">
        <v>72</v>
      </c>
      <c r="X259" s="543">
        <f>IFERROR(X254/H254,"0")+IFERROR(X255/H255,"0")+IFERROR(X256/H256,"0")+IFERROR(X257/H257,"0")+IFERROR(X258/H258,"0")</f>
        <v>24.62037037037037</v>
      </c>
      <c r="Y259" s="543">
        <f>IFERROR(Y254/H254,"0")+IFERROR(Y255/H255,"0")+IFERROR(Y256/H256,"0")+IFERROR(Y257/H257,"0")+IFERROR(Y258/H258,"0")</f>
        <v>27</v>
      </c>
      <c r="Z259" s="543">
        <f>IFERROR(IF(Z254="",0,Z254),"0")+IFERROR(IF(Z255="",0,Z255),"0")+IFERROR(IF(Z256="",0,Z256),"0")+IFERROR(IF(Z257="",0,Z257),"0")+IFERROR(IF(Z258="",0,Z258),"0")</f>
        <v>0.46266000000000007</v>
      </c>
      <c r="AA259" s="544"/>
      <c r="AB259" s="544"/>
      <c r="AC259" s="544"/>
    </row>
    <row r="260" spans="1:68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57" t="s">
        <v>71</v>
      </c>
      <c r="Q260" s="546"/>
      <c r="R260" s="546"/>
      <c r="S260" s="546"/>
      <c r="T260" s="546"/>
      <c r="U260" s="546"/>
      <c r="V260" s="547"/>
      <c r="W260" s="37" t="s">
        <v>69</v>
      </c>
      <c r="X260" s="543">
        <f>IFERROR(SUM(X254:X258),"0")</f>
        <v>237</v>
      </c>
      <c r="Y260" s="543">
        <f>IFERROR(SUM(Y254:Y258),"0")</f>
        <v>257.60000000000002</v>
      </c>
      <c r="Z260" s="37"/>
      <c r="AA260" s="544"/>
      <c r="AB260" s="544"/>
      <c r="AC260" s="544"/>
    </row>
    <row r="261" spans="1:68" ht="16.5" hidden="1" customHeight="1" x14ac:dyDescent="0.25">
      <c r="A261" s="560" t="s">
        <v>414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6"/>
      <c r="AB261" s="536"/>
      <c r="AC261" s="536"/>
    </row>
    <row r="262" spans="1:68" ht="14.25" hidden="1" customHeight="1" x14ac:dyDescent="0.25">
      <c r="A262" s="558" t="s">
        <v>101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7"/>
      <c r="AB262" s="537"/>
      <c r="AC262" s="537"/>
    </row>
    <row r="263" spans="1:68" ht="27" hidden="1" customHeight="1" x14ac:dyDescent="0.25">
      <c r="A263" s="54" t="s">
        <v>415</v>
      </c>
      <c r="B263" s="54" t="s">
        <v>416</v>
      </c>
      <c r="C263" s="31">
        <v>4301011223</v>
      </c>
      <c r="D263" s="551">
        <v>4607091383423</v>
      </c>
      <c r="E263" s="552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59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9"/>
      <c r="R263" s="549"/>
      <c r="S263" s="549"/>
      <c r="T263" s="550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417</v>
      </c>
      <c r="B264" s="54" t="s">
        <v>418</v>
      </c>
      <c r="C264" s="31">
        <v>4301012199</v>
      </c>
      <c r="D264" s="551">
        <v>4680115886957</v>
      </c>
      <c r="E264" s="552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79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9"/>
      <c r="R264" s="549"/>
      <c r="S264" s="549"/>
      <c r="T264" s="550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4301012098</v>
      </c>
      <c r="D265" s="551">
        <v>4680115885660</v>
      </c>
      <c r="E265" s="552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81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9"/>
      <c r="R265" s="549"/>
      <c r="S265" s="549"/>
      <c r="T265" s="550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422</v>
      </c>
      <c r="B266" s="54" t="s">
        <v>423</v>
      </c>
      <c r="C266" s="31">
        <v>4301012176</v>
      </c>
      <c r="D266" s="551">
        <v>4680115886773</v>
      </c>
      <c r="E266" s="552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82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9"/>
      <c r="R266" s="549"/>
      <c r="S266" s="549"/>
      <c r="T266" s="550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3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55"/>
      <c r="P267" s="557" t="s">
        <v>71</v>
      </c>
      <c r="Q267" s="546"/>
      <c r="R267" s="546"/>
      <c r="S267" s="546"/>
      <c r="T267" s="546"/>
      <c r="U267" s="546"/>
      <c r="V267" s="547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57" t="s">
        <v>71</v>
      </c>
      <c r="Q268" s="546"/>
      <c r="R268" s="546"/>
      <c r="S268" s="546"/>
      <c r="T268" s="546"/>
      <c r="U268" s="546"/>
      <c r="V268" s="547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60" t="s">
        <v>425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6"/>
      <c r="AB269" s="536"/>
      <c r="AC269" s="536"/>
    </row>
    <row r="270" spans="1:68" ht="14.25" hidden="1" customHeight="1" x14ac:dyDescent="0.25">
      <c r="A270" s="558" t="s">
        <v>73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7"/>
      <c r="AB270" s="537"/>
      <c r="AC270" s="537"/>
    </row>
    <row r="271" spans="1:68" ht="27" hidden="1" customHeight="1" x14ac:dyDescent="0.25">
      <c r="A271" s="54" t="s">
        <v>426</v>
      </c>
      <c r="B271" s="54" t="s">
        <v>427</v>
      </c>
      <c r="C271" s="31">
        <v>4301051893</v>
      </c>
      <c r="D271" s="551">
        <v>4680115886186</v>
      </c>
      <c r="E271" s="552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81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9"/>
      <c r="R271" s="549"/>
      <c r="S271" s="549"/>
      <c r="T271" s="550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429</v>
      </c>
      <c r="B272" s="54" t="s">
        <v>430</v>
      </c>
      <c r="C272" s="31">
        <v>4301051795</v>
      </c>
      <c r="D272" s="551">
        <v>4680115881228</v>
      </c>
      <c r="E272" s="552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7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9"/>
      <c r="R272" s="549"/>
      <c r="S272" s="549"/>
      <c r="T272" s="550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432</v>
      </c>
      <c r="B273" s="54" t="s">
        <v>433</v>
      </c>
      <c r="C273" s="31">
        <v>4301051388</v>
      </c>
      <c r="D273" s="551">
        <v>4680115881211</v>
      </c>
      <c r="E273" s="552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83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9"/>
      <c r="R273" s="549"/>
      <c r="S273" s="549"/>
      <c r="T273" s="550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428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3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55"/>
      <c r="P274" s="557" t="s">
        <v>71</v>
      </c>
      <c r="Q274" s="546"/>
      <c r="R274" s="546"/>
      <c r="S274" s="546"/>
      <c r="T274" s="546"/>
      <c r="U274" s="546"/>
      <c r="V274" s="547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hidden="1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57" t="s">
        <v>71</v>
      </c>
      <c r="Q275" s="546"/>
      <c r="R275" s="546"/>
      <c r="S275" s="546"/>
      <c r="T275" s="546"/>
      <c r="U275" s="546"/>
      <c r="V275" s="547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hidden="1" customHeight="1" x14ac:dyDescent="0.25">
      <c r="A276" s="560" t="s">
        <v>434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6"/>
      <c r="AB276" s="536"/>
      <c r="AC276" s="536"/>
    </row>
    <row r="277" spans="1:68" ht="14.25" hidden="1" customHeight="1" x14ac:dyDescent="0.25">
      <c r="A277" s="558" t="s">
        <v>64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7"/>
      <c r="AB277" s="537"/>
      <c r="AC277" s="537"/>
    </row>
    <row r="278" spans="1:68" ht="27" hidden="1" customHeight="1" x14ac:dyDescent="0.25">
      <c r="A278" s="54" t="s">
        <v>435</v>
      </c>
      <c r="B278" s="54" t="s">
        <v>436</v>
      </c>
      <c r="C278" s="31">
        <v>4301031307</v>
      </c>
      <c r="D278" s="551">
        <v>4680115880344</v>
      </c>
      <c r="E278" s="552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65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9"/>
      <c r="R278" s="549"/>
      <c r="S278" s="549"/>
      <c r="T278" s="550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438</v>
      </c>
      <c r="B279" s="54" t="s">
        <v>439</v>
      </c>
      <c r="C279" s="31">
        <v>4301031429</v>
      </c>
      <c r="D279" s="551">
        <v>4680115886919</v>
      </c>
      <c r="E279" s="552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68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9"/>
      <c r="R279" s="549"/>
      <c r="S279" s="549"/>
      <c r="T279" s="550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3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55"/>
      <c r="P280" s="557" t="s">
        <v>71</v>
      </c>
      <c r="Q280" s="546"/>
      <c r="R280" s="546"/>
      <c r="S280" s="546"/>
      <c r="T280" s="546"/>
      <c r="U280" s="546"/>
      <c r="V280" s="547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57" t="s">
        <v>71</v>
      </c>
      <c r="Q281" s="546"/>
      <c r="R281" s="546"/>
      <c r="S281" s="546"/>
      <c r="T281" s="546"/>
      <c r="U281" s="546"/>
      <c r="V281" s="547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58" t="s">
        <v>73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7"/>
      <c r="AB282" s="537"/>
      <c r="AC282" s="537"/>
    </row>
    <row r="283" spans="1:68" ht="37.5" hidden="1" customHeight="1" x14ac:dyDescent="0.25">
      <c r="A283" s="54" t="s">
        <v>441</v>
      </c>
      <c r="B283" s="54" t="s">
        <v>442</v>
      </c>
      <c r="C283" s="31">
        <v>4301051782</v>
      </c>
      <c r="D283" s="551">
        <v>4680115884618</v>
      </c>
      <c r="E283" s="552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84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9"/>
      <c r="R283" s="549"/>
      <c r="S283" s="549"/>
      <c r="T283" s="550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444</v>
      </c>
      <c r="B284" s="54" t="s">
        <v>445</v>
      </c>
      <c r="C284" s="31">
        <v>4301052057</v>
      </c>
      <c r="D284" s="551">
        <v>4680115887114</v>
      </c>
      <c r="E284" s="552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799" t="s">
        <v>446</v>
      </c>
      <c r="Q284" s="549"/>
      <c r="R284" s="549"/>
      <c r="S284" s="549"/>
      <c r="T284" s="550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57" t="s">
        <v>71</v>
      </c>
      <c r="Q285" s="546"/>
      <c r="R285" s="546"/>
      <c r="S285" s="546"/>
      <c r="T285" s="546"/>
      <c r="U285" s="546"/>
      <c r="V285" s="547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57" t="s">
        <v>71</v>
      </c>
      <c r="Q286" s="546"/>
      <c r="R286" s="546"/>
      <c r="S286" s="546"/>
      <c r="T286" s="546"/>
      <c r="U286" s="546"/>
      <c r="V286" s="547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60" t="s">
        <v>448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hidden="1" customHeight="1" x14ac:dyDescent="0.25">
      <c r="A288" s="558" t="s">
        <v>101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hidden="1" customHeight="1" x14ac:dyDescent="0.25">
      <c r="A289" s="54" t="s">
        <v>449</v>
      </c>
      <c r="B289" s="54" t="s">
        <v>450</v>
      </c>
      <c r="C289" s="31">
        <v>4301012126</v>
      </c>
      <c r="D289" s="551">
        <v>4607091386004</v>
      </c>
      <c r="E289" s="552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78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49"/>
      <c r="R289" s="549"/>
      <c r="S289" s="549"/>
      <c r="T289" s="550"/>
      <c r="U289" s="34"/>
      <c r="V289" s="34"/>
      <c r="W289" s="35" t="s">
        <v>69</v>
      </c>
      <c r="X289" s="541">
        <v>0</v>
      </c>
      <c r="Y289" s="542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customHeight="1" x14ac:dyDescent="0.25">
      <c r="A290" s="54" t="s">
        <v>452</v>
      </c>
      <c r="B290" s="54" t="s">
        <v>453</v>
      </c>
      <c r="C290" s="31">
        <v>4301012024</v>
      </c>
      <c r="D290" s="551">
        <v>4680115885615</v>
      </c>
      <c r="E290" s="552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86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9"/>
      <c r="R290" s="549"/>
      <c r="S290" s="549"/>
      <c r="T290" s="550"/>
      <c r="U290" s="34"/>
      <c r="V290" s="34"/>
      <c r="W290" s="35" t="s">
        <v>69</v>
      </c>
      <c r="X290" s="541">
        <v>110</v>
      </c>
      <c r="Y290" s="542">
        <f t="shared" si="26"/>
        <v>118.80000000000001</v>
      </c>
      <c r="Z290" s="36">
        <f>IFERROR(IF(Y290=0,"",ROUNDUP(Y290/H290,0)*0.01898),"")</f>
        <v>0.20877999999999999</v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114.17592592592594</v>
      </c>
      <c r="BN290" s="64">
        <f t="shared" si="28"/>
        <v>123.31000000000002</v>
      </c>
      <c r="BO290" s="64">
        <f t="shared" si="29"/>
        <v>0.15914351851851852</v>
      </c>
      <c r="BP290" s="64">
        <f t="shared" si="30"/>
        <v>0.171875</v>
      </c>
    </row>
    <row r="291" spans="1:68" ht="37.5" customHeight="1" x14ac:dyDescent="0.25">
      <c r="A291" s="54" t="s">
        <v>455</v>
      </c>
      <c r="B291" s="54" t="s">
        <v>456</v>
      </c>
      <c r="C291" s="31">
        <v>4301011858</v>
      </c>
      <c r="D291" s="551">
        <v>4680115885646</v>
      </c>
      <c r="E291" s="552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59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9"/>
      <c r="R291" s="549"/>
      <c r="S291" s="549"/>
      <c r="T291" s="550"/>
      <c r="U291" s="34"/>
      <c r="V291" s="34"/>
      <c r="W291" s="35" t="s">
        <v>69</v>
      </c>
      <c r="X291" s="541">
        <v>170</v>
      </c>
      <c r="Y291" s="542">
        <f t="shared" si="26"/>
        <v>172.8</v>
      </c>
      <c r="Z291" s="36">
        <f>IFERROR(IF(Y291=0,"",ROUNDUP(Y291/H291,0)*0.01898),"")</f>
        <v>0.30368000000000001</v>
      </c>
      <c r="AA291" s="56"/>
      <c r="AB291" s="57"/>
      <c r="AC291" s="335" t="s">
        <v>457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176.4537037037037</v>
      </c>
      <c r="BN291" s="64">
        <f t="shared" si="28"/>
        <v>179.36</v>
      </c>
      <c r="BO291" s="64">
        <f t="shared" si="29"/>
        <v>0.24594907407407407</v>
      </c>
      <c r="BP291" s="64">
        <f t="shared" si="30"/>
        <v>0.25</v>
      </c>
    </row>
    <row r="292" spans="1:68" ht="27" customHeight="1" x14ac:dyDescent="0.25">
      <c r="A292" s="54" t="s">
        <v>458</v>
      </c>
      <c r="B292" s="54" t="s">
        <v>459</v>
      </c>
      <c r="C292" s="31">
        <v>4301012016</v>
      </c>
      <c r="D292" s="551">
        <v>4680115885554</v>
      </c>
      <c r="E292" s="552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7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9"/>
      <c r="R292" s="549"/>
      <c r="S292" s="549"/>
      <c r="T292" s="550"/>
      <c r="U292" s="34"/>
      <c r="V292" s="34"/>
      <c r="W292" s="35" t="s">
        <v>69</v>
      </c>
      <c r="X292" s="541">
        <v>900</v>
      </c>
      <c r="Y292" s="542">
        <f t="shared" si="26"/>
        <v>907.2</v>
      </c>
      <c r="Z292" s="36">
        <f>IFERROR(IF(Y292=0,"",ROUNDUP(Y292/H292,0)*0.01898),"")</f>
        <v>1.59432</v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 t="shared" si="27"/>
        <v>934.16666666666663</v>
      </c>
      <c r="BN292" s="64">
        <f t="shared" si="28"/>
        <v>941.6400000000001</v>
      </c>
      <c r="BO292" s="64">
        <f t="shared" si="29"/>
        <v>1.3020833333333333</v>
      </c>
      <c r="BP292" s="64">
        <f t="shared" si="30"/>
        <v>1.3125</v>
      </c>
    </row>
    <row r="293" spans="1:68" ht="27" customHeight="1" x14ac:dyDescent="0.25">
      <c r="A293" s="54" t="s">
        <v>461</v>
      </c>
      <c r="B293" s="54" t="s">
        <v>462</v>
      </c>
      <c r="C293" s="31">
        <v>4301011857</v>
      </c>
      <c r="D293" s="551">
        <v>4680115885622</v>
      </c>
      <c r="E293" s="552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59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9"/>
      <c r="R293" s="549"/>
      <c r="S293" s="549"/>
      <c r="T293" s="550"/>
      <c r="U293" s="34"/>
      <c r="V293" s="34"/>
      <c r="W293" s="35" t="s">
        <v>69</v>
      </c>
      <c r="X293" s="541">
        <v>28</v>
      </c>
      <c r="Y293" s="542">
        <f t="shared" si="26"/>
        <v>28</v>
      </c>
      <c r="Z293" s="36">
        <f>IFERROR(IF(Y293=0,"",ROUNDUP(Y293/H293,0)*0.00902),"")</f>
        <v>6.3140000000000002E-2</v>
      </c>
      <c r="AA293" s="56"/>
      <c r="AB293" s="57"/>
      <c r="AC293" s="339" t="s">
        <v>454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29.330000000000002</v>
      </c>
      <c r="BN293" s="64">
        <f t="shared" si="28"/>
        <v>29.330000000000002</v>
      </c>
      <c r="BO293" s="64">
        <f t="shared" si="29"/>
        <v>5.3030303030303032E-2</v>
      </c>
      <c r="BP293" s="64">
        <f t="shared" si="30"/>
        <v>5.3030303030303032E-2</v>
      </c>
    </row>
    <row r="294" spans="1:68" ht="27" customHeight="1" x14ac:dyDescent="0.25">
      <c r="A294" s="54" t="s">
        <v>463</v>
      </c>
      <c r="B294" s="54" t="s">
        <v>464</v>
      </c>
      <c r="C294" s="31">
        <v>4301011859</v>
      </c>
      <c r="D294" s="551">
        <v>4680115885608</v>
      </c>
      <c r="E294" s="552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57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9"/>
      <c r="R294" s="549"/>
      <c r="S294" s="549"/>
      <c r="T294" s="550"/>
      <c r="U294" s="34"/>
      <c r="V294" s="34"/>
      <c r="W294" s="35" t="s">
        <v>69</v>
      </c>
      <c r="X294" s="541">
        <v>112</v>
      </c>
      <c r="Y294" s="542">
        <f t="shared" si="26"/>
        <v>112</v>
      </c>
      <c r="Z294" s="36">
        <f>IFERROR(IF(Y294=0,"",ROUNDUP(Y294/H294,0)*0.00902),"")</f>
        <v>0.25256000000000001</v>
      </c>
      <c r="AA294" s="56"/>
      <c r="AB294" s="57"/>
      <c r="AC294" s="341" t="s">
        <v>465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117.32000000000001</v>
      </c>
      <c r="BN294" s="64">
        <f t="shared" si="28"/>
        <v>117.32000000000001</v>
      </c>
      <c r="BO294" s="64">
        <f t="shared" si="29"/>
        <v>0.21212121212121213</v>
      </c>
      <c r="BP294" s="64">
        <f t="shared" si="30"/>
        <v>0.21212121212121213</v>
      </c>
    </row>
    <row r="295" spans="1:68" x14ac:dyDescent="0.2">
      <c r="A295" s="553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57" t="s">
        <v>71</v>
      </c>
      <c r="Q295" s="546"/>
      <c r="R295" s="546"/>
      <c r="S295" s="546"/>
      <c r="T295" s="546"/>
      <c r="U295" s="546"/>
      <c r="V295" s="547"/>
      <c r="W295" s="37" t="s">
        <v>72</v>
      </c>
      <c r="X295" s="543">
        <f>IFERROR(X289/H289,"0")+IFERROR(X290/H290,"0")+IFERROR(X291/H291,"0")+IFERROR(X292/H292,"0")+IFERROR(X293/H293,"0")+IFERROR(X294/H294,"0")</f>
        <v>144.25925925925924</v>
      </c>
      <c r="Y295" s="543">
        <f>IFERROR(Y289/H289,"0")+IFERROR(Y290/H290,"0")+IFERROR(Y291/H291,"0")+IFERROR(Y292/H292,"0")+IFERROR(Y293/H293,"0")+IFERROR(Y294/H294,"0")</f>
        <v>146</v>
      </c>
      <c r="Z295" s="543">
        <f>IFERROR(IF(Z289="",0,Z289),"0")+IFERROR(IF(Z290="",0,Z290),"0")+IFERROR(IF(Z291="",0,Z291),"0")+IFERROR(IF(Z292="",0,Z292),"0")+IFERROR(IF(Z293="",0,Z293),"0")+IFERROR(IF(Z294="",0,Z294),"0")</f>
        <v>2.4224800000000002</v>
      </c>
      <c r="AA295" s="544"/>
      <c r="AB295" s="544"/>
      <c r="AC295" s="544"/>
    </row>
    <row r="296" spans="1:68" x14ac:dyDescent="0.2">
      <c r="A296" s="554"/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5"/>
      <c r="P296" s="557" t="s">
        <v>71</v>
      </c>
      <c r="Q296" s="546"/>
      <c r="R296" s="546"/>
      <c r="S296" s="546"/>
      <c r="T296" s="546"/>
      <c r="U296" s="546"/>
      <c r="V296" s="547"/>
      <c r="W296" s="37" t="s">
        <v>69</v>
      </c>
      <c r="X296" s="543">
        <f>IFERROR(SUM(X289:X294),"0")</f>
        <v>1320</v>
      </c>
      <c r="Y296" s="543">
        <f>IFERROR(SUM(Y289:Y294),"0")</f>
        <v>1338.8000000000002</v>
      </c>
      <c r="Z296" s="37"/>
      <c r="AA296" s="544"/>
      <c r="AB296" s="544"/>
      <c r="AC296" s="544"/>
    </row>
    <row r="297" spans="1:68" ht="14.25" hidden="1" customHeight="1" x14ac:dyDescent="0.25">
      <c r="A297" s="558" t="s">
        <v>64</v>
      </c>
      <c r="B297" s="554"/>
      <c r="C297" s="554"/>
      <c r="D297" s="554"/>
      <c r="E297" s="554"/>
      <c r="F297" s="554"/>
      <c r="G297" s="554"/>
      <c r="H297" s="554"/>
      <c r="I297" s="554"/>
      <c r="J297" s="554"/>
      <c r="K297" s="554"/>
      <c r="L297" s="554"/>
      <c r="M297" s="554"/>
      <c r="N297" s="554"/>
      <c r="O297" s="554"/>
      <c r="P297" s="554"/>
      <c r="Q297" s="554"/>
      <c r="R297" s="554"/>
      <c r="S297" s="554"/>
      <c r="T297" s="554"/>
      <c r="U297" s="554"/>
      <c r="V297" s="554"/>
      <c r="W297" s="554"/>
      <c r="X297" s="554"/>
      <c r="Y297" s="554"/>
      <c r="Z297" s="554"/>
      <c r="AA297" s="537"/>
      <c r="AB297" s="537"/>
      <c r="AC297" s="537"/>
    </row>
    <row r="298" spans="1:68" ht="27" customHeight="1" x14ac:dyDescent="0.25">
      <c r="A298" s="54" t="s">
        <v>466</v>
      </c>
      <c r="B298" s="54" t="s">
        <v>467</v>
      </c>
      <c r="C298" s="31">
        <v>4301030878</v>
      </c>
      <c r="D298" s="551">
        <v>4607091387193</v>
      </c>
      <c r="E298" s="552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6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9"/>
      <c r="R298" s="549"/>
      <c r="S298" s="549"/>
      <c r="T298" s="550"/>
      <c r="U298" s="34"/>
      <c r="V298" s="34"/>
      <c r="W298" s="35" t="s">
        <v>69</v>
      </c>
      <c r="X298" s="541">
        <v>164</v>
      </c>
      <c r="Y298" s="542">
        <f t="shared" ref="Y298:Y304" si="31">IFERROR(IF(X298="",0,CEILING((X298/$H298),1)*$H298),"")</f>
        <v>168</v>
      </c>
      <c r="Z298" s="36">
        <f>IFERROR(IF(Y298=0,"",ROUNDUP(Y298/H298,0)*0.00902),"")</f>
        <v>0.36080000000000001</v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173.76190476190476</v>
      </c>
      <c r="BN298" s="64">
        <f t="shared" ref="BN298:BN304" si="33">IFERROR(Y298*I298/H298,"0")</f>
        <v>178</v>
      </c>
      <c r="BO298" s="64">
        <f t="shared" ref="BO298:BO304" si="34">IFERROR(1/J298*(X298/H298),"0")</f>
        <v>0.29581529581529581</v>
      </c>
      <c r="BP298" s="64">
        <f t="shared" ref="BP298:BP304" si="35">IFERROR(1/J298*(Y298/H298),"0")</f>
        <v>0.30303030303030304</v>
      </c>
    </row>
    <row r="299" spans="1:68" ht="27" customHeight="1" x14ac:dyDescent="0.25">
      <c r="A299" s="54" t="s">
        <v>469</v>
      </c>
      <c r="B299" s="54" t="s">
        <v>470</v>
      </c>
      <c r="C299" s="31">
        <v>4301031153</v>
      </c>
      <c r="D299" s="551">
        <v>4607091387230</v>
      </c>
      <c r="E299" s="552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0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9"/>
      <c r="R299" s="549"/>
      <c r="S299" s="549"/>
      <c r="T299" s="550"/>
      <c r="U299" s="34"/>
      <c r="V299" s="34"/>
      <c r="W299" s="35" t="s">
        <v>69</v>
      </c>
      <c r="X299" s="541">
        <v>266</v>
      </c>
      <c r="Y299" s="542">
        <f t="shared" si="31"/>
        <v>268.8</v>
      </c>
      <c r="Z299" s="36">
        <f>IFERROR(IF(Y299=0,"",ROUNDUP(Y299/H299,0)*0.00902),"")</f>
        <v>0.57728000000000002</v>
      </c>
      <c r="AA299" s="56"/>
      <c r="AB299" s="57"/>
      <c r="AC299" s="345" t="s">
        <v>471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281.83333333333331</v>
      </c>
      <c r="BN299" s="64">
        <f t="shared" si="33"/>
        <v>284.8</v>
      </c>
      <c r="BO299" s="64">
        <f t="shared" si="34"/>
        <v>0.47979797979797978</v>
      </c>
      <c r="BP299" s="64">
        <f t="shared" si="35"/>
        <v>0.48484848484848486</v>
      </c>
    </row>
    <row r="300" spans="1:68" ht="27" hidden="1" customHeight="1" x14ac:dyDescent="0.25">
      <c r="A300" s="54" t="s">
        <v>472</v>
      </c>
      <c r="B300" s="54" t="s">
        <v>473</v>
      </c>
      <c r="C300" s="31">
        <v>4301031154</v>
      </c>
      <c r="D300" s="551">
        <v>4607091387292</v>
      </c>
      <c r="E300" s="552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76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9"/>
      <c r="R300" s="549"/>
      <c r="S300" s="549"/>
      <c r="T300" s="550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474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475</v>
      </c>
      <c r="B301" s="54" t="s">
        <v>476</v>
      </c>
      <c r="C301" s="31">
        <v>4301031152</v>
      </c>
      <c r="D301" s="551">
        <v>4607091387285</v>
      </c>
      <c r="E301" s="552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6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9"/>
      <c r="R301" s="549"/>
      <c r="S301" s="549"/>
      <c r="T301" s="550"/>
      <c r="U301" s="34"/>
      <c r="V301" s="34"/>
      <c r="W301" s="35" t="s">
        <v>69</v>
      </c>
      <c r="X301" s="541">
        <v>57.4</v>
      </c>
      <c r="Y301" s="542">
        <f t="shared" si="31"/>
        <v>58.800000000000004</v>
      </c>
      <c r="Z301" s="36">
        <f>IFERROR(IF(Y301=0,"",ROUNDUP(Y301/H301,0)*0.00502),"")</f>
        <v>0.14056000000000002</v>
      </c>
      <c r="AA301" s="56"/>
      <c r="AB301" s="57"/>
      <c r="AC301" s="349" t="s">
        <v>471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60.953333333333333</v>
      </c>
      <c r="BN301" s="64">
        <f t="shared" si="33"/>
        <v>62.44</v>
      </c>
      <c r="BO301" s="64">
        <f t="shared" si="34"/>
        <v>0.11680911680911682</v>
      </c>
      <c r="BP301" s="64">
        <f t="shared" si="35"/>
        <v>0.11965811965811968</v>
      </c>
    </row>
    <row r="302" spans="1:68" ht="27" customHeight="1" x14ac:dyDescent="0.25">
      <c r="A302" s="54" t="s">
        <v>477</v>
      </c>
      <c r="B302" s="54" t="s">
        <v>478</v>
      </c>
      <c r="C302" s="31">
        <v>4301031305</v>
      </c>
      <c r="D302" s="551">
        <v>4607091389845</v>
      </c>
      <c r="E302" s="552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267</v>
      </c>
      <c r="M302" s="33" t="s">
        <v>68</v>
      </c>
      <c r="N302" s="33"/>
      <c r="O302" s="32">
        <v>40</v>
      </c>
      <c r="P302" s="84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9"/>
      <c r="R302" s="549"/>
      <c r="S302" s="549"/>
      <c r="T302" s="550"/>
      <c r="U302" s="34"/>
      <c r="V302" s="34"/>
      <c r="W302" s="35" t="s">
        <v>69</v>
      </c>
      <c r="X302" s="541">
        <v>6.3</v>
      </c>
      <c r="Y302" s="542">
        <f t="shared" si="31"/>
        <v>6.3000000000000007</v>
      </c>
      <c r="Z302" s="36">
        <f>IFERROR(IF(Y302=0,"",ROUNDUP(Y302/H302,0)*0.00502),"")</f>
        <v>1.506E-2</v>
      </c>
      <c r="AA302" s="56"/>
      <c r="AB302" s="57"/>
      <c r="AC302" s="351" t="s">
        <v>479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6.6000000000000005</v>
      </c>
      <c r="BN302" s="64">
        <f t="shared" si="33"/>
        <v>6.6000000000000014</v>
      </c>
      <c r="BO302" s="64">
        <f t="shared" si="34"/>
        <v>1.2820512820512822E-2</v>
      </c>
      <c r="BP302" s="64">
        <f t="shared" si="35"/>
        <v>1.2820512820512822E-2</v>
      </c>
    </row>
    <row r="303" spans="1:68" ht="27" hidden="1" customHeight="1" x14ac:dyDescent="0.25">
      <c r="A303" s="54" t="s">
        <v>480</v>
      </c>
      <c r="B303" s="54" t="s">
        <v>481</v>
      </c>
      <c r="C303" s="31">
        <v>4301031306</v>
      </c>
      <c r="D303" s="551">
        <v>4680115882881</v>
      </c>
      <c r="E303" s="552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84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9"/>
      <c r="R303" s="549"/>
      <c r="S303" s="549"/>
      <c r="T303" s="550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482</v>
      </c>
      <c r="B304" s="54" t="s">
        <v>483</v>
      </c>
      <c r="C304" s="31">
        <v>4301031066</v>
      </c>
      <c r="D304" s="551">
        <v>4607091383836</v>
      </c>
      <c r="E304" s="552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1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9"/>
      <c r="R304" s="549"/>
      <c r="S304" s="549"/>
      <c r="T304" s="550"/>
      <c r="U304" s="34"/>
      <c r="V304" s="34"/>
      <c r="W304" s="35" t="s">
        <v>69</v>
      </c>
      <c r="X304" s="541">
        <v>0</v>
      </c>
      <c r="Y304" s="542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484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53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57" t="s">
        <v>71</v>
      </c>
      <c r="Q305" s="546"/>
      <c r="R305" s="546"/>
      <c r="S305" s="546"/>
      <c r="T305" s="546"/>
      <c r="U305" s="546"/>
      <c r="V305" s="547"/>
      <c r="W305" s="37" t="s">
        <v>72</v>
      </c>
      <c r="X305" s="543">
        <f>IFERROR(X298/H298,"0")+IFERROR(X299/H299,"0")+IFERROR(X300/H300,"0")+IFERROR(X301/H301,"0")+IFERROR(X302/H302,"0")+IFERROR(X303/H303,"0")+IFERROR(X304/H304,"0")</f>
        <v>132.71428571428572</v>
      </c>
      <c r="Y305" s="543">
        <f>IFERROR(Y298/H298,"0")+IFERROR(Y299/H299,"0")+IFERROR(Y300/H300,"0")+IFERROR(Y301/H301,"0")+IFERROR(Y302/H302,"0")+IFERROR(Y303/H303,"0")+IFERROR(Y304/H304,"0")</f>
        <v>135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1.0937000000000001</v>
      </c>
      <c r="AA305" s="544"/>
      <c r="AB305" s="544"/>
      <c r="AC305" s="544"/>
    </row>
    <row r="306" spans="1:68" x14ac:dyDescent="0.2">
      <c r="A306" s="554"/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5"/>
      <c r="P306" s="557" t="s">
        <v>71</v>
      </c>
      <c r="Q306" s="546"/>
      <c r="R306" s="546"/>
      <c r="S306" s="546"/>
      <c r="T306" s="546"/>
      <c r="U306" s="546"/>
      <c r="V306" s="547"/>
      <c r="W306" s="37" t="s">
        <v>69</v>
      </c>
      <c r="X306" s="543">
        <f>IFERROR(SUM(X298:X304),"0")</f>
        <v>493.7</v>
      </c>
      <c r="Y306" s="543">
        <f>IFERROR(SUM(Y298:Y304),"0")</f>
        <v>501.90000000000003</v>
      </c>
      <c r="Z306" s="37"/>
      <c r="AA306" s="544"/>
      <c r="AB306" s="544"/>
      <c r="AC306" s="544"/>
    </row>
    <row r="307" spans="1:68" ht="14.25" hidden="1" customHeight="1" x14ac:dyDescent="0.25">
      <c r="A307" s="558" t="s">
        <v>73</v>
      </c>
      <c r="B307" s="554"/>
      <c r="C307" s="554"/>
      <c r="D307" s="554"/>
      <c r="E307" s="554"/>
      <c r="F307" s="554"/>
      <c r="G307" s="554"/>
      <c r="H307" s="554"/>
      <c r="I307" s="554"/>
      <c r="J307" s="554"/>
      <c r="K307" s="554"/>
      <c r="L307" s="554"/>
      <c r="M307" s="554"/>
      <c r="N307" s="554"/>
      <c r="O307" s="554"/>
      <c r="P307" s="554"/>
      <c r="Q307" s="554"/>
      <c r="R307" s="554"/>
      <c r="S307" s="554"/>
      <c r="T307" s="554"/>
      <c r="U307" s="554"/>
      <c r="V307" s="554"/>
      <c r="W307" s="554"/>
      <c r="X307" s="554"/>
      <c r="Y307" s="554"/>
      <c r="Z307" s="554"/>
      <c r="AA307" s="537"/>
      <c r="AB307" s="537"/>
      <c r="AC307" s="537"/>
    </row>
    <row r="308" spans="1:68" ht="27" customHeight="1" x14ac:dyDescent="0.25">
      <c r="A308" s="54" t="s">
        <v>485</v>
      </c>
      <c r="B308" s="54" t="s">
        <v>486</v>
      </c>
      <c r="C308" s="31">
        <v>4301051100</v>
      </c>
      <c r="D308" s="551">
        <v>4607091387766</v>
      </c>
      <c r="E308" s="552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8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9"/>
      <c r="R308" s="549"/>
      <c r="S308" s="549"/>
      <c r="T308" s="550"/>
      <c r="U308" s="34"/>
      <c r="V308" s="34"/>
      <c r="W308" s="35" t="s">
        <v>69</v>
      </c>
      <c r="X308" s="541">
        <v>3960</v>
      </c>
      <c r="Y308" s="542">
        <f>IFERROR(IF(X308="",0,CEILING((X308/$H308),1)*$H308),"")</f>
        <v>3962.4</v>
      </c>
      <c r="Z308" s="36">
        <f>IFERROR(IF(Y308=0,"",ROUNDUP(Y308/H308,0)*0.01898),"")</f>
        <v>9.6418400000000002</v>
      </c>
      <c r="AA308" s="56"/>
      <c r="AB308" s="57"/>
      <c r="AC308" s="357" t="s">
        <v>487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4207.753846153847</v>
      </c>
      <c r="BN308" s="64">
        <f>IFERROR(Y308*I308/H308,"0")</f>
        <v>4210.3040000000001</v>
      </c>
      <c r="BO308" s="64">
        <f>IFERROR(1/J308*(X308/H308),"0")</f>
        <v>7.9326923076923075</v>
      </c>
      <c r="BP308" s="64">
        <f>IFERROR(1/J308*(Y308/H308),"0")</f>
        <v>7.9375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4301051818</v>
      </c>
      <c r="D309" s="551">
        <v>4607091387957</v>
      </c>
      <c r="E309" s="552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2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9"/>
      <c r="R309" s="549"/>
      <c r="S309" s="549"/>
      <c r="T309" s="550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4301051819</v>
      </c>
      <c r="D310" s="551">
        <v>4607091387964</v>
      </c>
      <c r="E310" s="552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4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9"/>
      <c r="R310" s="549"/>
      <c r="S310" s="549"/>
      <c r="T310" s="550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494</v>
      </c>
      <c r="B311" s="54" t="s">
        <v>495</v>
      </c>
      <c r="C311" s="31">
        <v>4301051734</v>
      </c>
      <c r="D311" s="551">
        <v>4680115884588</v>
      </c>
      <c r="E311" s="552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3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9"/>
      <c r="R311" s="549"/>
      <c r="S311" s="549"/>
      <c r="T311" s="550"/>
      <c r="U311" s="34"/>
      <c r="V311" s="34"/>
      <c r="W311" s="35" t="s">
        <v>69</v>
      </c>
      <c r="X311" s="541">
        <v>18</v>
      </c>
      <c r="Y311" s="542">
        <f>IFERROR(IF(X311="",0,CEILING((X311/$H311),1)*$H311),"")</f>
        <v>18</v>
      </c>
      <c r="Z311" s="36">
        <f>IFERROR(IF(Y311=0,"",ROUNDUP(Y311/H311,0)*0.00651),"")</f>
        <v>3.9059999999999997E-2</v>
      </c>
      <c r="AA311" s="56"/>
      <c r="AB311" s="57"/>
      <c r="AC311" s="363" t="s">
        <v>496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19.475999999999999</v>
      </c>
      <c r="BN311" s="64">
        <f>IFERROR(Y311*I311/H311,"0")</f>
        <v>19.475999999999999</v>
      </c>
      <c r="BO311" s="64">
        <f>IFERROR(1/J311*(X311/H311),"0")</f>
        <v>3.2967032967032968E-2</v>
      </c>
      <c r="BP311" s="64">
        <f>IFERROR(1/J311*(Y311/H311),"0")</f>
        <v>3.2967032967032968E-2</v>
      </c>
    </row>
    <row r="312" spans="1:68" x14ac:dyDescent="0.2">
      <c r="A312" s="553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57" t="s">
        <v>71</v>
      </c>
      <c r="Q312" s="546"/>
      <c r="R312" s="546"/>
      <c r="S312" s="546"/>
      <c r="T312" s="546"/>
      <c r="U312" s="546"/>
      <c r="V312" s="547"/>
      <c r="W312" s="37" t="s">
        <v>72</v>
      </c>
      <c r="X312" s="543">
        <f>IFERROR(X308/H308,"0")+IFERROR(X309/H309,"0")+IFERROR(X310/H310,"0")+IFERROR(X311/H311,"0")</f>
        <v>513.69230769230762</v>
      </c>
      <c r="Y312" s="543">
        <f>IFERROR(Y308/H308,"0")+IFERROR(Y309/H309,"0")+IFERROR(Y310/H310,"0")+IFERROR(Y311/H311,"0")</f>
        <v>514</v>
      </c>
      <c r="Z312" s="543">
        <f>IFERROR(IF(Z308="",0,Z308),"0")+IFERROR(IF(Z309="",0,Z309),"0")+IFERROR(IF(Z310="",0,Z310),"0")+IFERROR(IF(Z311="",0,Z311),"0")</f>
        <v>9.6808999999999994</v>
      </c>
      <c r="AA312" s="544"/>
      <c r="AB312" s="544"/>
      <c r="AC312" s="544"/>
    </row>
    <row r="313" spans="1:68" x14ac:dyDescent="0.2">
      <c r="A313" s="554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57" t="s">
        <v>71</v>
      </c>
      <c r="Q313" s="546"/>
      <c r="R313" s="546"/>
      <c r="S313" s="546"/>
      <c r="T313" s="546"/>
      <c r="U313" s="546"/>
      <c r="V313" s="547"/>
      <c r="W313" s="37" t="s">
        <v>69</v>
      </c>
      <c r="X313" s="543">
        <f>IFERROR(SUM(X308:X311),"0")</f>
        <v>3978</v>
      </c>
      <c r="Y313" s="543">
        <f>IFERROR(SUM(Y308:Y311),"0")</f>
        <v>3980.4</v>
      </c>
      <c r="Z313" s="37"/>
      <c r="AA313" s="544"/>
      <c r="AB313" s="544"/>
      <c r="AC313" s="544"/>
    </row>
    <row r="314" spans="1:68" ht="14.25" hidden="1" customHeight="1" x14ac:dyDescent="0.25">
      <c r="A314" s="558" t="s">
        <v>164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537"/>
      <c r="AB314" s="537"/>
      <c r="AC314" s="537"/>
    </row>
    <row r="315" spans="1:68" ht="27" hidden="1" customHeight="1" x14ac:dyDescent="0.25">
      <c r="A315" s="54" t="s">
        <v>497</v>
      </c>
      <c r="B315" s="54" t="s">
        <v>498</v>
      </c>
      <c r="C315" s="31">
        <v>4301060387</v>
      </c>
      <c r="D315" s="551">
        <v>4607091380880</v>
      </c>
      <c r="E315" s="552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86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9"/>
      <c r="R315" s="549"/>
      <c r="S315" s="549"/>
      <c r="T315" s="550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51">
        <v>4607091384482</v>
      </c>
      <c r="E316" s="552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8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9"/>
      <c r="R316" s="549"/>
      <c r="S316" s="549"/>
      <c r="T316" s="550"/>
      <c r="U316" s="34"/>
      <c r="V316" s="34"/>
      <c r="W316" s="35" t="s">
        <v>69</v>
      </c>
      <c r="X316" s="541">
        <v>295</v>
      </c>
      <c r="Y316" s="542">
        <f>IFERROR(IF(X316="",0,CEILING((X316/$H316),1)*$H316),"")</f>
        <v>296.39999999999998</v>
      </c>
      <c r="Z316" s="36">
        <f>IFERROR(IF(Y316=0,"",ROUNDUP(Y316/H316,0)*0.01898),"")</f>
        <v>0.72123999999999999</v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313.68333333333334</v>
      </c>
      <c r="BN316" s="64">
        <f>IFERROR(Y316*I316/H316,"0")</f>
        <v>315.17199999999997</v>
      </c>
      <c r="BO316" s="64">
        <f>IFERROR(1/J316*(X316/H316),"0")</f>
        <v>0.59094551282051289</v>
      </c>
      <c r="BP316" s="64">
        <f>IFERROR(1/J316*(Y316/H316),"0")</f>
        <v>0.59375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51">
        <v>4607091380897</v>
      </c>
      <c r="E317" s="552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61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9"/>
      <c r="R317" s="549"/>
      <c r="S317" s="549"/>
      <c r="T317" s="550"/>
      <c r="U317" s="34"/>
      <c r="V317" s="34"/>
      <c r="W317" s="35" t="s">
        <v>69</v>
      </c>
      <c r="X317" s="541">
        <v>84</v>
      </c>
      <c r="Y317" s="542">
        <f>IFERROR(IF(X317="",0,CEILING((X317/$H317),1)*$H317),"")</f>
        <v>84</v>
      </c>
      <c r="Z317" s="36">
        <f>IFERROR(IF(Y317=0,"",ROUNDUP(Y317/H317,0)*0.01898),"")</f>
        <v>0.1898</v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88.94</v>
      </c>
      <c r="BN317" s="64">
        <f>IFERROR(Y317*I317/H317,"0")</f>
        <v>88.94</v>
      </c>
      <c r="BO317" s="64">
        <f>IFERROR(1/J317*(X317/H317),"0")</f>
        <v>0.15625</v>
      </c>
      <c r="BP317" s="64">
        <f>IFERROR(1/J317*(Y317/H317),"0")</f>
        <v>0.15625</v>
      </c>
    </row>
    <row r="318" spans="1:68" x14ac:dyDescent="0.2">
      <c r="A318" s="553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57" t="s">
        <v>71</v>
      </c>
      <c r="Q318" s="546"/>
      <c r="R318" s="546"/>
      <c r="S318" s="546"/>
      <c r="T318" s="546"/>
      <c r="U318" s="546"/>
      <c r="V318" s="547"/>
      <c r="W318" s="37" t="s">
        <v>72</v>
      </c>
      <c r="X318" s="543">
        <f>IFERROR(X315/H315,"0")+IFERROR(X316/H316,"0")+IFERROR(X317/H317,"0")</f>
        <v>47.820512820512825</v>
      </c>
      <c r="Y318" s="543">
        <f>IFERROR(Y315/H315,"0")+IFERROR(Y316/H316,"0")+IFERROR(Y317/H317,"0")</f>
        <v>48</v>
      </c>
      <c r="Z318" s="543">
        <f>IFERROR(IF(Z315="",0,Z315),"0")+IFERROR(IF(Z316="",0,Z316),"0")+IFERROR(IF(Z317="",0,Z317),"0")</f>
        <v>0.91103999999999996</v>
      </c>
      <c r="AA318" s="544"/>
      <c r="AB318" s="544"/>
      <c r="AC318" s="544"/>
    </row>
    <row r="319" spans="1:68" x14ac:dyDescent="0.2">
      <c r="A319" s="554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57" t="s">
        <v>71</v>
      </c>
      <c r="Q319" s="546"/>
      <c r="R319" s="546"/>
      <c r="S319" s="546"/>
      <c r="T319" s="546"/>
      <c r="U319" s="546"/>
      <c r="V319" s="547"/>
      <c r="W319" s="37" t="s">
        <v>69</v>
      </c>
      <c r="X319" s="543">
        <f>IFERROR(SUM(X315:X317),"0")</f>
        <v>379</v>
      </c>
      <c r="Y319" s="543">
        <f>IFERROR(SUM(Y315:Y317),"0")</f>
        <v>380.4</v>
      </c>
      <c r="Z319" s="37"/>
      <c r="AA319" s="544"/>
      <c r="AB319" s="544"/>
      <c r="AC319" s="544"/>
    </row>
    <row r="320" spans="1:68" ht="14.25" hidden="1" customHeight="1" x14ac:dyDescent="0.25">
      <c r="A320" s="558" t="s">
        <v>93</v>
      </c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4"/>
      <c r="P320" s="554"/>
      <c r="Q320" s="554"/>
      <c r="R320" s="554"/>
      <c r="S320" s="554"/>
      <c r="T320" s="554"/>
      <c r="U320" s="554"/>
      <c r="V320" s="554"/>
      <c r="W320" s="554"/>
      <c r="X320" s="554"/>
      <c r="Y320" s="554"/>
      <c r="Z320" s="554"/>
      <c r="AA320" s="537"/>
      <c r="AB320" s="537"/>
      <c r="AC320" s="537"/>
    </row>
    <row r="321" spans="1:68" ht="27" hidden="1" customHeight="1" x14ac:dyDescent="0.25">
      <c r="A321" s="54" t="s">
        <v>506</v>
      </c>
      <c r="B321" s="54" t="s">
        <v>507</v>
      </c>
      <c r="C321" s="31">
        <v>4301030235</v>
      </c>
      <c r="D321" s="551">
        <v>4607091388381</v>
      </c>
      <c r="E321" s="552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1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9"/>
      <c r="R321" s="549"/>
      <c r="S321" s="549"/>
      <c r="T321" s="550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509</v>
      </c>
      <c r="B322" s="54" t="s">
        <v>510</v>
      </c>
      <c r="C322" s="31">
        <v>4301030232</v>
      </c>
      <c r="D322" s="551">
        <v>4607091388374</v>
      </c>
      <c r="E322" s="552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49"/>
      <c r="R322" s="549"/>
      <c r="S322" s="549"/>
      <c r="T322" s="550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511</v>
      </c>
      <c r="B323" s="54" t="s">
        <v>512</v>
      </c>
      <c r="C323" s="31">
        <v>4301032015</v>
      </c>
      <c r="D323" s="551">
        <v>4607091383102</v>
      </c>
      <c r="E323" s="552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6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9"/>
      <c r="R323" s="549"/>
      <c r="S323" s="549"/>
      <c r="T323" s="550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514</v>
      </c>
      <c r="B324" s="54" t="s">
        <v>515</v>
      </c>
      <c r="C324" s="31">
        <v>4301030233</v>
      </c>
      <c r="D324" s="551">
        <v>4607091388404</v>
      </c>
      <c r="E324" s="552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9"/>
      <c r="R324" s="549"/>
      <c r="S324" s="549"/>
      <c r="T324" s="550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3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57" t="s">
        <v>71</v>
      </c>
      <c r="Q325" s="546"/>
      <c r="R325" s="546"/>
      <c r="S325" s="546"/>
      <c r="T325" s="546"/>
      <c r="U325" s="546"/>
      <c r="V325" s="547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54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57" t="s">
        <v>71</v>
      </c>
      <c r="Q326" s="546"/>
      <c r="R326" s="546"/>
      <c r="S326" s="546"/>
      <c r="T326" s="546"/>
      <c r="U326" s="546"/>
      <c r="V326" s="547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58" t="s">
        <v>516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537"/>
      <c r="AB327" s="537"/>
      <c r="AC327" s="537"/>
    </row>
    <row r="328" spans="1:68" ht="16.5" hidden="1" customHeight="1" x14ac:dyDescent="0.25">
      <c r="A328" s="54" t="s">
        <v>517</v>
      </c>
      <c r="B328" s="54" t="s">
        <v>518</v>
      </c>
      <c r="C328" s="31">
        <v>4301180007</v>
      </c>
      <c r="D328" s="551">
        <v>4680115881808</v>
      </c>
      <c r="E328" s="552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85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9"/>
      <c r="R328" s="549"/>
      <c r="S328" s="549"/>
      <c r="T328" s="550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521</v>
      </c>
      <c r="B329" s="54" t="s">
        <v>522</v>
      </c>
      <c r="C329" s="31">
        <v>4301180006</v>
      </c>
      <c r="D329" s="551">
        <v>4680115881822</v>
      </c>
      <c r="E329" s="552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82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9"/>
      <c r="R329" s="549"/>
      <c r="S329" s="549"/>
      <c r="T329" s="550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523</v>
      </c>
      <c r="B330" s="54" t="s">
        <v>524</v>
      </c>
      <c r="C330" s="31">
        <v>4301180001</v>
      </c>
      <c r="D330" s="551">
        <v>4680115880016</v>
      </c>
      <c r="E330" s="552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0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9"/>
      <c r="R330" s="549"/>
      <c r="S330" s="549"/>
      <c r="T330" s="550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3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57" t="s">
        <v>71</v>
      </c>
      <c r="Q331" s="546"/>
      <c r="R331" s="546"/>
      <c r="S331" s="546"/>
      <c r="T331" s="546"/>
      <c r="U331" s="546"/>
      <c r="V331" s="547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4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57" t="s">
        <v>71</v>
      </c>
      <c r="Q332" s="546"/>
      <c r="R332" s="546"/>
      <c r="S332" s="546"/>
      <c r="T332" s="546"/>
      <c r="U332" s="546"/>
      <c r="V332" s="547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60" t="s">
        <v>525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6"/>
      <c r="AB333" s="536"/>
      <c r="AC333" s="536"/>
    </row>
    <row r="334" spans="1:68" ht="14.25" hidden="1" customHeight="1" x14ac:dyDescent="0.25">
      <c r="A334" s="558" t="s">
        <v>73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7"/>
      <c r="AB334" s="537"/>
      <c r="AC334" s="537"/>
    </row>
    <row r="335" spans="1:68" ht="27" customHeight="1" x14ac:dyDescent="0.25">
      <c r="A335" s="54" t="s">
        <v>526</v>
      </c>
      <c r="B335" s="54" t="s">
        <v>527</v>
      </c>
      <c r="C335" s="31">
        <v>4301051489</v>
      </c>
      <c r="D335" s="551">
        <v>4607091387919</v>
      </c>
      <c r="E335" s="552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6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9"/>
      <c r="R335" s="549"/>
      <c r="S335" s="549"/>
      <c r="T335" s="550"/>
      <c r="U335" s="34"/>
      <c r="V335" s="34"/>
      <c r="W335" s="35" t="s">
        <v>69</v>
      </c>
      <c r="X335" s="541">
        <v>16</v>
      </c>
      <c r="Y335" s="542">
        <f>IFERROR(IF(X335="",0,CEILING((X335/$H335),1)*$H335),"")</f>
        <v>16.2</v>
      </c>
      <c r="Z335" s="36">
        <f>IFERROR(IF(Y335=0,"",ROUNDUP(Y335/H335,0)*0.01898),"")</f>
        <v>3.7960000000000001E-2</v>
      </c>
      <c r="AA335" s="56"/>
      <c r="AB335" s="57"/>
      <c r="AC335" s="385" t="s">
        <v>528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16.975802469135804</v>
      </c>
      <c r="BN335" s="64">
        <f>IFERROR(Y335*I335/H335,"0")</f>
        <v>17.187999999999999</v>
      </c>
      <c r="BO335" s="64">
        <f>IFERROR(1/J335*(X335/H335),"0")</f>
        <v>3.0864197530864199E-2</v>
      </c>
      <c r="BP335" s="64">
        <f>IFERROR(1/J335*(Y335/H335),"0")</f>
        <v>3.125E-2</v>
      </c>
    </row>
    <row r="336" spans="1:68" ht="27" customHeight="1" x14ac:dyDescent="0.25">
      <c r="A336" s="54" t="s">
        <v>529</v>
      </c>
      <c r="B336" s="54" t="s">
        <v>530</v>
      </c>
      <c r="C336" s="31">
        <v>4301051461</v>
      </c>
      <c r="D336" s="551">
        <v>4680115883604</v>
      </c>
      <c r="E336" s="552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60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9"/>
      <c r="R336" s="549"/>
      <c r="S336" s="549"/>
      <c r="T336" s="550"/>
      <c r="U336" s="34"/>
      <c r="V336" s="34"/>
      <c r="W336" s="35" t="s">
        <v>69</v>
      </c>
      <c r="X336" s="541">
        <v>58.099999999999987</v>
      </c>
      <c r="Y336" s="542">
        <f>IFERROR(IF(X336="",0,CEILING((X336/$H336),1)*$H336),"")</f>
        <v>58.800000000000004</v>
      </c>
      <c r="Z336" s="36">
        <f>IFERROR(IF(Y336=0,"",ROUNDUP(Y336/H336,0)*0.00651),"")</f>
        <v>0.18228</v>
      </c>
      <c r="AA336" s="56"/>
      <c r="AB336" s="57"/>
      <c r="AC336" s="387" t="s">
        <v>531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65.071999999999974</v>
      </c>
      <c r="BN336" s="64">
        <f>IFERROR(Y336*I336/H336,"0")</f>
        <v>65.855999999999995</v>
      </c>
      <c r="BO336" s="64">
        <f>IFERROR(1/J336*(X336/H336),"0")</f>
        <v>0.152014652014652</v>
      </c>
      <c r="BP336" s="64">
        <f>IFERROR(1/J336*(Y336/H336),"0")</f>
        <v>0.15384615384615385</v>
      </c>
    </row>
    <row r="337" spans="1:68" ht="27" customHeight="1" x14ac:dyDescent="0.25">
      <c r="A337" s="54" t="s">
        <v>532</v>
      </c>
      <c r="B337" s="54" t="s">
        <v>533</v>
      </c>
      <c r="C337" s="31">
        <v>4301051864</v>
      </c>
      <c r="D337" s="551">
        <v>4680115883567</v>
      </c>
      <c r="E337" s="552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80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9"/>
      <c r="R337" s="549"/>
      <c r="S337" s="549"/>
      <c r="T337" s="550"/>
      <c r="U337" s="34"/>
      <c r="V337" s="34"/>
      <c r="W337" s="35" t="s">
        <v>69</v>
      </c>
      <c r="X337" s="541">
        <v>33.599999999999987</v>
      </c>
      <c r="Y337" s="542">
        <f>IFERROR(IF(X337="",0,CEILING((X337/$H337),1)*$H337),"")</f>
        <v>33.6</v>
      </c>
      <c r="Z337" s="36">
        <f>IFERROR(IF(Y337=0,"",ROUNDUP(Y337/H337,0)*0.00651),"")</f>
        <v>0.10416</v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37.439999999999984</v>
      </c>
      <c r="BN337" s="64">
        <f>IFERROR(Y337*I337/H337,"0")</f>
        <v>37.44</v>
      </c>
      <c r="BO337" s="64">
        <f>IFERROR(1/J337*(X337/H337),"0")</f>
        <v>8.7912087912087877E-2</v>
      </c>
      <c r="BP337" s="64">
        <f>IFERROR(1/J337*(Y337/H337),"0")</f>
        <v>8.7912087912087919E-2</v>
      </c>
    </row>
    <row r="338" spans="1:68" x14ac:dyDescent="0.2">
      <c r="A338" s="553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57" t="s">
        <v>71</v>
      </c>
      <c r="Q338" s="546"/>
      <c r="R338" s="546"/>
      <c r="S338" s="546"/>
      <c r="T338" s="546"/>
      <c r="U338" s="546"/>
      <c r="V338" s="547"/>
      <c r="W338" s="37" t="s">
        <v>72</v>
      </c>
      <c r="X338" s="543">
        <f>IFERROR(X335/H335,"0")+IFERROR(X336/H336,"0")+IFERROR(X337/H337,"0")</f>
        <v>45.64197530864196</v>
      </c>
      <c r="Y338" s="543">
        <f>IFERROR(Y335/H335,"0")+IFERROR(Y336/H336,"0")+IFERROR(Y337/H337,"0")</f>
        <v>46</v>
      </c>
      <c r="Z338" s="543">
        <f>IFERROR(IF(Z335="",0,Z335),"0")+IFERROR(IF(Z336="",0,Z336),"0")+IFERROR(IF(Z337="",0,Z337),"0")</f>
        <v>0.32440000000000002</v>
      </c>
      <c r="AA338" s="544"/>
      <c r="AB338" s="544"/>
      <c r="AC338" s="544"/>
    </row>
    <row r="339" spans="1:68" x14ac:dyDescent="0.2">
      <c r="A339" s="554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57" t="s">
        <v>71</v>
      </c>
      <c r="Q339" s="546"/>
      <c r="R339" s="546"/>
      <c r="S339" s="546"/>
      <c r="T339" s="546"/>
      <c r="U339" s="546"/>
      <c r="V339" s="547"/>
      <c r="W339" s="37" t="s">
        <v>69</v>
      </c>
      <c r="X339" s="543">
        <f>IFERROR(SUM(X335:X337),"0")</f>
        <v>107.69999999999999</v>
      </c>
      <c r="Y339" s="543">
        <f>IFERROR(SUM(Y335:Y337),"0")</f>
        <v>108.6</v>
      </c>
      <c r="Z339" s="37"/>
      <c r="AA339" s="544"/>
      <c r="AB339" s="544"/>
      <c r="AC339" s="544"/>
    </row>
    <row r="340" spans="1:68" ht="27.75" hidden="1" customHeight="1" x14ac:dyDescent="0.2">
      <c r="A340" s="648" t="s">
        <v>535</v>
      </c>
      <c r="B340" s="649"/>
      <c r="C340" s="649"/>
      <c r="D340" s="649"/>
      <c r="E340" s="649"/>
      <c r="F340" s="649"/>
      <c r="G340" s="649"/>
      <c r="H340" s="649"/>
      <c r="I340" s="649"/>
      <c r="J340" s="649"/>
      <c r="K340" s="649"/>
      <c r="L340" s="649"/>
      <c r="M340" s="649"/>
      <c r="N340" s="649"/>
      <c r="O340" s="649"/>
      <c r="P340" s="649"/>
      <c r="Q340" s="649"/>
      <c r="R340" s="649"/>
      <c r="S340" s="649"/>
      <c r="T340" s="649"/>
      <c r="U340" s="649"/>
      <c r="V340" s="649"/>
      <c r="W340" s="649"/>
      <c r="X340" s="649"/>
      <c r="Y340" s="649"/>
      <c r="Z340" s="649"/>
      <c r="AA340" s="48"/>
      <c r="AB340" s="48"/>
      <c r="AC340" s="48"/>
    </row>
    <row r="341" spans="1:68" ht="16.5" hidden="1" customHeight="1" x14ac:dyDescent="0.25">
      <c r="A341" s="560" t="s">
        <v>536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6"/>
      <c r="AB341" s="536"/>
      <c r="AC341" s="536"/>
    </row>
    <row r="342" spans="1:68" ht="14.25" hidden="1" customHeight="1" x14ac:dyDescent="0.25">
      <c r="A342" s="558" t="s">
        <v>101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7"/>
      <c r="AB342" s="537"/>
      <c r="AC342" s="537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51">
        <v>4680115884847</v>
      </c>
      <c r="E343" s="552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68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9"/>
      <c r="R343" s="549"/>
      <c r="S343" s="549"/>
      <c r="T343" s="550"/>
      <c r="U343" s="34"/>
      <c r="V343" s="34"/>
      <c r="W343" s="35" t="s">
        <v>69</v>
      </c>
      <c r="X343" s="541">
        <v>250</v>
      </c>
      <c r="Y343" s="542">
        <f t="shared" ref="Y343:Y349" si="36">IFERROR(IF(X343="",0,CEILING((X343/$H343),1)*$H343),"")</f>
        <v>255</v>
      </c>
      <c r="Z343" s="36">
        <f>IFERROR(IF(Y343=0,"",ROUNDUP(Y343/H343,0)*0.02175),"")</f>
        <v>0.36974999999999997</v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257.83333333333331</v>
      </c>
      <c r="BN343" s="64">
        <f t="shared" ref="BN343:BN349" si="38">IFERROR(Y343*I343/H343,"0")</f>
        <v>262.99</v>
      </c>
      <c r="BO343" s="64">
        <f t="shared" ref="BO343:BO349" si="39">IFERROR(1/J343*(X343/H343),"0")</f>
        <v>0.34722222222222221</v>
      </c>
      <c r="BP343" s="64">
        <f t="shared" ref="BP343:BP349" si="40">IFERROR(1/J343*(Y343/H343),"0")</f>
        <v>0.35416666666666663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51">
        <v>4680115884854</v>
      </c>
      <c r="E344" s="552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61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9"/>
      <c r="R344" s="549"/>
      <c r="S344" s="549"/>
      <c r="T344" s="550"/>
      <c r="U344" s="34"/>
      <c r="V344" s="34"/>
      <c r="W344" s="35" t="s">
        <v>69</v>
      </c>
      <c r="X344" s="541">
        <v>450</v>
      </c>
      <c r="Y344" s="542">
        <f t="shared" si="36"/>
        <v>450</v>
      </c>
      <c r="Z344" s="36">
        <f>IFERROR(IF(Y344=0,"",ROUNDUP(Y344/H344,0)*0.02175),"")</f>
        <v>0.65249999999999997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7"/>
        <v>464.1</v>
      </c>
      <c r="BN344" s="64">
        <f t="shared" si="38"/>
        <v>464.1</v>
      </c>
      <c r="BO344" s="64">
        <f t="shared" si="39"/>
        <v>0.625</v>
      </c>
      <c r="BP344" s="64">
        <f t="shared" si="40"/>
        <v>0.625</v>
      </c>
    </row>
    <row r="345" spans="1:68" ht="37.5" hidden="1" customHeight="1" x14ac:dyDescent="0.25">
      <c r="A345" s="54" t="s">
        <v>543</v>
      </c>
      <c r="B345" s="54" t="s">
        <v>544</v>
      </c>
      <c r="C345" s="31">
        <v>4301011867</v>
      </c>
      <c r="D345" s="551">
        <v>4680115884830</v>
      </c>
      <c r="E345" s="552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68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9"/>
      <c r="R345" s="549"/>
      <c r="S345" s="549"/>
      <c r="T345" s="550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546</v>
      </c>
      <c r="B346" s="54" t="s">
        <v>547</v>
      </c>
      <c r="C346" s="31">
        <v>4301012215</v>
      </c>
      <c r="D346" s="551">
        <v>4680115887046</v>
      </c>
      <c r="E346" s="552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69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49"/>
      <c r="R346" s="549"/>
      <c r="S346" s="549"/>
      <c r="T346" s="550"/>
      <c r="U346" s="34"/>
      <c r="V346" s="34"/>
      <c r="W346" s="35" t="s">
        <v>69</v>
      </c>
      <c r="X346" s="541">
        <v>1245</v>
      </c>
      <c r="Y346" s="542">
        <f t="shared" si="36"/>
        <v>1245</v>
      </c>
      <c r="Z346" s="36">
        <f>IFERROR(IF(Y346=0,"",ROUNDUP(Y346/H346,0)*0.02175),"")</f>
        <v>1.8052499999999998</v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7"/>
        <v>1284.01</v>
      </c>
      <c r="BN346" s="64">
        <f t="shared" si="38"/>
        <v>1284.01</v>
      </c>
      <c r="BO346" s="64">
        <f t="shared" si="39"/>
        <v>1.7291666666666665</v>
      </c>
      <c r="BP346" s="64">
        <f t="shared" si="40"/>
        <v>1.7291666666666665</v>
      </c>
    </row>
    <row r="347" spans="1:68" ht="27" hidden="1" customHeight="1" x14ac:dyDescent="0.25">
      <c r="A347" s="54" t="s">
        <v>549</v>
      </c>
      <c r="B347" s="54" t="s">
        <v>550</v>
      </c>
      <c r="C347" s="31">
        <v>4301011433</v>
      </c>
      <c r="D347" s="551">
        <v>4680115882638</v>
      </c>
      <c r="E347" s="552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6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9"/>
      <c r="R347" s="549"/>
      <c r="S347" s="549"/>
      <c r="T347" s="550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552</v>
      </c>
      <c r="B348" s="54" t="s">
        <v>553</v>
      </c>
      <c r="C348" s="31">
        <v>4301011952</v>
      </c>
      <c r="D348" s="551">
        <v>4680115884922</v>
      </c>
      <c r="E348" s="552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65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9"/>
      <c r="R348" s="549"/>
      <c r="S348" s="549"/>
      <c r="T348" s="550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554</v>
      </c>
      <c r="B349" s="54" t="s">
        <v>555</v>
      </c>
      <c r="C349" s="31">
        <v>4301011868</v>
      </c>
      <c r="D349" s="551">
        <v>4680115884861</v>
      </c>
      <c r="E349" s="552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62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9"/>
      <c r="R349" s="549"/>
      <c r="S349" s="549"/>
      <c r="T349" s="550"/>
      <c r="U349" s="34"/>
      <c r="V349" s="34"/>
      <c r="W349" s="35" t="s">
        <v>69</v>
      </c>
      <c r="X349" s="541">
        <v>5</v>
      </c>
      <c r="Y349" s="542">
        <f t="shared" si="36"/>
        <v>5</v>
      </c>
      <c r="Z349" s="36">
        <f>IFERROR(IF(Y349=0,"",ROUNDUP(Y349/H349,0)*0.00902),"")</f>
        <v>9.0200000000000002E-3</v>
      </c>
      <c r="AA349" s="56"/>
      <c r="AB349" s="57"/>
      <c r="AC349" s="403" t="s">
        <v>545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5.19</v>
      </c>
      <c r="BN349" s="64">
        <f t="shared" si="38"/>
        <v>5.19</v>
      </c>
      <c r="BO349" s="64">
        <f t="shared" si="39"/>
        <v>7.575757575757576E-3</v>
      </c>
      <c r="BP349" s="64">
        <f t="shared" si="40"/>
        <v>7.575757575757576E-3</v>
      </c>
    </row>
    <row r="350" spans="1:68" x14ac:dyDescent="0.2">
      <c r="A350" s="553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57" t="s">
        <v>71</v>
      </c>
      <c r="Q350" s="546"/>
      <c r="R350" s="546"/>
      <c r="S350" s="546"/>
      <c r="T350" s="546"/>
      <c r="U350" s="546"/>
      <c r="V350" s="547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130.66666666666669</v>
      </c>
      <c r="Y350" s="543">
        <f>IFERROR(Y343/H343,"0")+IFERROR(Y344/H344,"0")+IFERROR(Y345/H345,"0")+IFERROR(Y346/H346,"0")+IFERROR(Y347/H347,"0")+IFERROR(Y348/H348,"0")+IFERROR(Y349/H349,"0")</f>
        <v>131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2.8365199999999997</v>
      </c>
      <c r="AA350" s="544"/>
      <c r="AB350" s="544"/>
      <c r="AC350" s="544"/>
    </row>
    <row r="351" spans="1:68" x14ac:dyDescent="0.2">
      <c r="A351" s="554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57" t="s">
        <v>71</v>
      </c>
      <c r="Q351" s="546"/>
      <c r="R351" s="546"/>
      <c r="S351" s="546"/>
      <c r="T351" s="546"/>
      <c r="U351" s="546"/>
      <c r="V351" s="547"/>
      <c r="W351" s="37" t="s">
        <v>69</v>
      </c>
      <c r="X351" s="543">
        <f>IFERROR(SUM(X343:X349),"0")</f>
        <v>1950</v>
      </c>
      <c r="Y351" s="543">
        <f>IFERROR(SUM(Y343:Y349),"0")</f>
        <v>1955</v>
      </c>
      <c r="Z351" s="37"/>
      <c r="AA351" s="544"/>
      <c r="AB351" s="544"/>
      <c r="AC351" s="544"/>
    </row>
    <row r="352" spans="1:68" ht="14.25" hidden="1" customHeight="1" x14ac:dyDescent="0.25">
      <c r="A352" s="558" t="s">
        <v>136</v>
      </c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4"/>
      <c r="P352" s="554"/>
      <c r="Q352" s="554"/>
      <c r="R352" s="554"/>
      <c r="S352" s="554"/>
      <c r="T352" s="554"/>
      <c r="U352" s="554"/>
      <c r="V352" s="554"/>
      <c r="W352" s="554"/>
      <c r="X352" s="554"/>
      <c r="Y352" s="554"/>
      <c r="Z352" s="554"/>
      <c r="AA352" s="537"/>
      <c r="AB352" s="537"/>
      <c r="AC352" s="537"/>
    </row>
    <row r="353" spans="1:68" ht="27" customHeight="1" x14ac:dyDescent="0.25">
      <c r="A353" s="54" t="s">
        <v>556</v>
      </c>
      <c r="B353" s="54" t="s">
        <v>557</v>
      </c>
      <c r="C353" s="31">
        <v>4301020178</v>
      </c>
      <c r="D353" s="551">
        <v>4607091383980</v>
      </c>
      <c r="E353" s="552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79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9"/>
      <c r="R353" s="549"/>
      <c r="S353" s="549"/>
      <c r="T353" s="550"/>
      <c r="U353" s="34"/>
      <c r="V353" s="34"/>
      <c r="W353" s="35" t="s">
        <v>69</v>
      </c>
      <c r="X353" s="541">
        <v>1215</v>
      </c>
      <c r="Y353" s="542">
        <f>IFERROR(IF(X353="",0,CEILING((X353/$H353),1)*$H353),"")</f>
        <v>1215</v>
      </c>
      <c r="Z353" s="36">
        <f>IFERROR(IF(Y353=0,"",ROUNDUP(Y353/H353,0)*0.02175),"")</f>
        <v>1.7617499999999999</v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1253.07</v>
      </c>
      <c r="BN353" s="64">
        <f>IFERROR(Y353*I353/H353,"0")</f>
        <v>1253.07</v>
      </c>
      <c r="BO353" s="64">
        <f>IFERROR(1/J353*(X353/H353),"0")</f>
        <v>1.6875</v>
      </c>
      <c r="BP353" s="64">
        <f>IFERROR(1/J353*(Y353/H353),"0")</f>
        <v>1.6875</v>
      </c>
    </row>
    <row r="354" spans="1:68" ht="16.5" hidden="1" customHeight="1" x14ac:dyDescent="0.25">
      <c r="A354" s="54" t="s">
        <v>559</v>
      </c>
      <c r="B354" s="54" t="s">
        <v>560</v>
      </c>
      <c r="C354" s="31">
        <v>4301020179</v>
      </c>
      <c r="D354" s="551">
        <v>4607091384178</v>
      </c>
      <c r="E354" s="552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5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9"/>
      <c r="R354" s="549"/>
      <c r="S354" s="549"/>
      <c r="T354" s="550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3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57" t="s">
        <v>71</v>
      </c>
      <c r="Q355" s="546"/>
      <c r="R355" s="546"/>
      <c r="S355" s="546"/>
      <c r="T355" s="546"/>
      <c r="U355" s="546"/>
      <c r="V355" s="547"/>
      <c r="W355" s="37" t="s">
        <v>72</v>
      </c>
      <c r="X355" s="543">
        <f>IFERROR(X353/H353,"0")+IFERROR(X354/H354,"0")</f>
        <v>81</v>
      </c>
      <c r="Y355" s="543">
        <f>IFERROR(Y353/H353,"0")+IFERROR(Y354/H354,"0")</f>
        <v>81</v>
      </c>
      <c r="Z355" s="543">
        <f>IFERROR(IF(Z353="",0,Z353),"0")+IFERROR(IF(Z354="",0,Z354),"0")</f>
        <v>1.7617499999999999</v>
      </c>
      <c r="AA355" s="544"/>
      <c r="AB355" s="544"/>
      <c r="AC355" s="544"/>
    </row>
    <row r="356" spans="1:68" x14ac:dyDescent="0.2">
      <c r="A356" s="554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57" t="s">
        <v>71</v>
      </c>
      <c r="Q356" s="546"/>
      <c r="R356" s="546"/>
      <c r="S356" s="546"/>
      <c r="T356" s="546"/>
      <c r="U356" s="546"/>
      <c r="V356" s="547"/>
      <c r="W356" s="37" t="s">
        <v>69</v>
      </c>
      <c r="X356" s="543">
        <f>IFERROR(SUM(X353:X354),"0")</f>
        <v>1215</v>
      </c>
      <c r="Y356" s="543">
        <f>IFERROR(SUM(Y353:Y354),"0")</f>
        <v>1215</v>
      </c>
      <c r="Z356" s="37"/>
      <c r="AA356" s="544"/>
      <c r="AB356" s="544"/>
      <c r="AC356" s="544"/>
    </row>
    <row r="357" spans="1:68" ht="14.25" hidden="1" customHeight="1" x14ac:dyDescent="0.25">
      <c r="A357" s="558" t="s">
        <v>73</v>
      </c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4"/>
      <c r="P357" s="554"/>
      <c r="Q357" s="554"/>
      <c r="R357" s="554"/>
      <c r="S357" s="554"/>
      <c r="T357" s="554"/>
      <c r="U357" s="554"/>
      <c r="V357" s="554"/>
      <c r="W357" s="554"/>
      <c r="X357" s="554"/>
      <c r="Y357" s="554"/>
      <c r="Z357" s="554"/>
      <c r="AA357" s="537"/>
      <c r="AB357" s="537"/>
      <c r="AC357" s="537"/>
    </row>
    <row r="358" spans="1:68" ht="27" hidden="1" customHeight="1" x14ac:dyDescent="0.25">
      <c r="A358" s="54" t="s">
        <v>561</v>
      </c>
      <c r="B358" s="54" t="s">
        <v>562</v>
      </c>
      <c r="C358" s="31">
        <v>4301051903</v>
      </c>
      <c r="D358" s="551">
        <v>4607091383928</v>
      </c>
      <c r="E358" s="552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7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9"/>
      <c r="R358" s="549"/>
      <c r="S358" s="549"/>
      <c r="T358" s="550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564</v>
      </c>
      <c r="B359" s="54" t="s">
        <v>565</v>
      </c>
      <c r="C359" s="31">
        <v>4301051897</v>
      </c>
      <c r="D359" s="551">
        <v>4607091384260</v>
      </c>
      <c r="E359" s="552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69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9"/>
      <c r="R359" s="549"/>
      <c r="S359" s="549"/>
      <c r="T359" s="550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3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57" t="s">
        <v>71</v>
      </c>
      <c r="Q360" s="546"/>
      <c r="R360" s="546"/>
      <c r="S360" s="546"/>
      <c r="T360" s="546"/>
      <c r="U360" s="546"/>
      <c r="V360" s="547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54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57" t="s">
        <v>71</v>
      </c>
      <c r="Q361" s="546"/>
      <c r="R361" s="546"/>
      <c r="S361" s="546"/>
      <c r="T361" s="546"/>
      <c r="U361" s="546"/>
      <c r="V361" s="547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58" t="s">
        <v>164</v>
      </c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4"/>
      <c r="P362" s="554"/>
      <c r="Q362" s="554"/>
      <c r="R362" s="554"/>
      <c r="S362" s="554"/>
      <c r="T362" s="554"/>
      <c r="U362" s="554"/>
      <c r="V362" s="554"/>
      <c r="W362" s="554"/>
      <c r="X362" s="554"/>
      <c r="Y362" s="554"/>
      <c r="Z362" s="554"/>
      <c r="AA362" s="537"/>
      <c r="AB362" s="537"/>
      <c r="AC362" s="537"/>
    </row>
    <row r="363" spans="1:68" ht="16.5" hidden="1" customHeight="1" x14ac:dyDescent="0.25">
      <c r="A363" s="54" t="s">
        <v>567</v>
      </c>
      <c r="B363" s="54" t="s">
        <v>568</v>
      </c>
      <c r="C363" s="31">
        <v>4301060524</v>
      </c>
      <c r="D363" s="551">
        <v>4607091384673</v>
      </c>
      <c r="E363" s="552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56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9"/>
      <c r="R363" s="549"/>
      <c r="S363" s="549"/>
      <c r="T363" s="550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3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57" t="s">
        <v>71</v>
      </c>
      <c r="Q364" s="546"/>
      <c r="R364" s="546"/>
      <c r="S364" s="546"/>
      <c r="T364" s="546"/>
      <c r="U364" s="546"/>
      <c r="V364" s="547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54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57" t="s">
        <v>71</v>
      </c>
      <c r="Q365" s="546"/>
      <c r="R365" s="546"/>
      <c r="S365" s="546"/>
      <c r="T365" s="546"/>
      <c r="U365" s="546"/>
      <c r="V365" s="547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60" t="s">
        <v>570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6"/>
      <c r="AB366" s="536"/>
      <c r="AC366" s="536"/>
    </row>
    <row r="367" spans="1:68" ht="14.25" hidden="1" customHeight="1" x14ac:dyDescent="0.25">
      <c r="A367" s="558" t="s">
        <v>101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7"/>
      <c r="AB367" s="537"/>
      <c r="AC367" s="537"/>
    </row>
    <row r="368" spans="1:68" ht="37.5" hidden="1" customHeight="1" x14ac:dyDescent="0.25">
      <c r="A368" s="54" t="s">
        <v>571</v>
      </c>
      <c r="B368" s="54" t="s">
        <v>572</v>
      </c>
      <c r="C368" s="31">
        <v>4301011875</v>
      </c>
      <c r="D368" s="551">
        <v>4680115884885</v>
      </c>
      <c r="E368" s="552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6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9"/>
      <c r="R368" s="549"/>
      <c r="S368" s="549"/>
      <c r="T368" s="550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51">
        <v>4680115884908</v>
      </c>
      <c r="E369" s="552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63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9"/>
      <c r="R369" s="549"/>
      <c r="S369" s="549"/>
      <c r="T369" s="550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3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57" t="s">
        <v>71</v>
      </c>
      <c r="Q370" s="546"/>
      <c r="R370" s="546"/>
      <c r="S370" s="546"/>
      <c r="T370" s="546"/>
      <c r="U370" s="546"/>
      <c r="V370" s="547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4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57" t="s">
        <v>71</v>
      </c>
      <c r="Q371" s="546"/>
      <c r="R371" s="546"/>
      <c r="S371" s="546"/>
      <c r="T371" s="546"/>
      <c r="U371" s="546"/>
      <c r="V371" s="547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58" t="s">
        <v>64</v>
      </c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4"/>
      <c r="P372" s="554"/>
      <c r="Q372" s="554"/>
      <c r="R372" s="554"/>
      <c r="S372" s="554"/>
      <c r="T372" s="554"/>
      <c r="U372" s="554"/>
      <c r="V372" s="554"/>
      <c r="W372" s="554"/>
      <c r="X372" s="554"/>
      <c r="Y372" s="554"/>
      <c r="Z372" s="554"/>
      <c r="AA372" s="537"/>
      <c r="AB372" s="537"/>
      <c r="AC372" s="537"/>
    </row>
    <row r="373" spans="1:68" ht="27" hidden="1" customHeight="1" x14ac:dyDescent="0.25">
      <c r="A373" s="54" t="s">
        <v>576</v>
      </c>
      <c r="B373" s="54" t="s">
        <v>577</v>
      </c>
      <c r="C373" s="31">
        <v>4301031303</v>
      </c>
      <c r="D373" s="551">
        <v>4607091384802</v>
      </c>
      <c r="E373" s="552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57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9"/>
      <c r="R373" s="549"/>
      <c r="S373" s="549"/>
      <c r="T373" s="550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51">
        <v>4607091384802</v>
      </c>
      <c r="E374" s="552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2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9"/>
      <c r="R374" s="549"/>
      <c r="S374" s="549"/>
      <c r="T374" s="550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3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57" t="s">
        <v>71</v>
      </c>
      <c r="Q375" s="546"/>
      <c r="R375" s="546"/>
      <c r="S375" s="546"/>
      <c r="T375" s="546"/>
      <c r="U375" s="546"/>
      <c r="V375" s="547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4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57" t="s">
        <v>71</v>
      </c>
      <c r="Q376" s="546"/>
      <c r="R376" s="546"/>
      <c r="S376" s="546"/>
      <c r="T376" s="546"/>
      <c r="U376" s="546"/>
      <c r="V376" s="547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58" t="s">
        <v>73</v>
      </c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4"/>
      <c r="P377" s="554"/>
      <c r="Q377" s="554"/>
      <c r="R377" s="554"/>
      <c r="S377" s="554"/>
      <c r="T377" s="554"/>
      <c r="U377" s="554"/>
      <c r="V377" s="554"/>
      <c r="W377" s="554"/>
      <c r="X377" s="554"/>
      <c r="Y377" s="554"/>
      <c r="Z377" s="554"/>
      <c r="AA377" s="537"/>
      <c r="AB377" s="537"/>
      <c r="AC377" s="537"/>
    </row>
    <row r="378" spans="1:68" ht="27" hidden="1" customHeight="1" x14ac:dyDescent="0.25">
      <c r="A378" s="54" t="s">
        <v>581</v>
      </c>
      <c r="B378" s="54" t="s">
        <v>582</v>
      </c>
      <c r="C378" s="31">
        <v>4301051899</v>
      </c>
      <c r="D378" s="551">
        <v>4607091384246</v>
      </c>
      <c r="E378" s="552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7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9"/>
      <c r="R378" s="549"/>
      <c r="S378" s="549"/>
      <c r="T378" s="550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584</v>
      </c>
      <c r="B379" s="54" t="s">
        <v>585</v>
      </c>
      <c r="C379" s="31">
        <v>4301051660</v>
      </c>
      <c r="D379" s="551">
        <v>4607091384253</v>
      </c>
      <c r="E379" s="552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83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9"/>
      <c r="R379" s="549"/>
      <c r="S379" s="549"/>
      <c r="T379" s="550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57" t="s">
        <v>71</v>
      </c>
      <c r="Q380" s="546"/>
      <c r="R380" s="546"/>
      <c r="S380" s="546"/>
      <c r="T380" s="546"/>
      <c r="U380" s="546"/>
      <c r="V380" s="547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hidden="1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57" t="s">
        <v>71</v>
      </c>
      <c r="Q381" s="546"/>
      <c r="R381" s="546"/>
      <c r="S381" s="546"/>
      <c r="T381" s="546"/>
      <c r="U381" s="546"/>
      <c r="V381" s="547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hidden="1" customHeight="1" x14ac:dyDescent="0.2">
      <c r="A382" s="648" t="s">
        <v>586</v>
      </c>
      <c r="B382" s="649"/>
      <c r="C382" s="649"/>
      <c r="D382" s="649"/>
      <c r="E382" s="649"/>
      <c r="F382" s="649"/>
      <c r="G382" s="649"/>
      <c r="H382" s="649"/>
      <c r="I382" s="649"/>
      <c r="J382" s="649"/>
      <c r="K382" s="649"/>
      <c r="L382" s="649"/>
      <c r="M382" s="649"/>
      <c r="N382" s="649"/>
      <c r="O382" s="649"/>
      <c r="P382" s="649"/>
      <c r="Q382" s="649"/>
      <c r="R382" s="649"/>
      <c r="S382" s="649"/>
      <c r="T382" s="649"/>
      <c r="U382" s="649"/>
      <c r="V382" s="649"/>
      <c r="W382" s="649"/>
      <c r="X382" s="649"/>
      <c r="Y382" s="649"/>
      <c r="Z382" s="649"/>
      <c r="AA382" s="48"/>
      <c r="AB382" s="48"/>
      <c r="AC382" s="48"/>
    </row>
    <row r="383" spans="1:68" ht="16.5" hidden="1" customHeight="1" x14ac:dyDescent="0.25">
      <c r="A383" s="560" t="s">
        <v>587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hidden="1" customHeight="1" x14ac:dyDescent="0.25">
      <c r="A384" s="558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hidden="1" customHeight="1" x14ac:dyDescent="0.25">
      <c r="A385" s="54" t="s">
        <v>588</v>
      </c>
      <c r="B385" s="54" t="s">
        <v>589</v>
      </c>
      <c r="C385" s="31">
        <v>4301031405</v>
      </c>
      <c r="D385" s="551">
        <v>4680115886100</v>
      </c>
      <c r="E385" s="552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56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9"/>
      <c r="R385" s="549"/>
      <c r="S385" s="549"/>
      <c r="T385" s="550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hidden="1" customHeight="1" x14ac:dyDescent="0.25">
      <c r="A386" s="54" t="s">
        <v>591</v>
      </c>
      <c r="B386" s="54" t="s">
        <v>592</v>
      </c>
      <c r="C386" s="31">
        <v>4301031406</v>
      </c>
      <c r="D386" s="551">
        <v>4680115886117</v>
      </c>
      <c r="E386" s="552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85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9"/>
      <c r="R386" s="549"/>
      <c r="S386" s="549"/>
      <c r="T386" s="550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hidden="1" customHeight="1" x14ac:dyDescent="0.25">
      <c r="A387" s="54" t="s">
        <v>594</v>
      </c>
      <c r="B387" s="54" t="s">
        <v>595</v>
      </c>
      <c r="C387" s="31">
        <v>4301031402</v>
      </c>
      <c r="D387" s="551">
        <v>4680115886124</v>
      </c>
      <c r="E387" s="552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4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9"/>
      <c r="R387" s="549"/>
      <c r="S387" s="549"/>
      <c r="T387" s="550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597</v>
      </c>
      <c r="B388" s="54" t="s">
        <v>598</v>
      </c>
      <c r="C388" s="31">
        <v>4301031366</v>
      </c>
      <c r="D388" s="551">
        <v>4680115883147</v>
      </c>
      <c r="E388" s="552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1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9"/>
      <c r="R388" s="549"/>
      <c r="S388" s="549"/>
      <c r="T388" s="550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4301031362</v>
      </c>
      <c r="D389" s="551">
        <v>4607091384338</v>
      </c>
      <c r="E389" s="552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86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9"/>
      <c r="R389" s="549"/>
      <c r="S389" s="549"/>
      <c r="T389" s="550"/>
      <c r="U389" s="34"/>
      <c r="V389" s="34"/>
      <c r="W389" s="35" t="s">
        <v>69</v>
      </c>
      <c r="X389" s="541">
        <v>4.1999999999999993</v>
      </c>
      <c r="Y389" s="542">
        <f t="shared" si="41"/>
        <v>4.2</v>
      </c>
      <c r="Z389" s="36">
        <f t="shared" si="46"/>
        <v>1.004E-2</v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42"/>
        <v>4.4599999999999991</v>
      </c>
      <c r="BN389" s="64">
        <f t="shared" si="43"/>
        <v>4.46</v>
      </c>
      <c r="BO389" s="64">
        <f t="shared" si="44"/>
        <v>8.5470085470085461E-3</v>
      </c>
      <c r="BP389" s="64">
        <f t="shared" si="45"/>
        <v>8.5470085470085479E-3</v>
      </c>
    </row>
    <row r="390" spans="1:68" ht="37.5" customHeight="1" x14ac:dyDescent="0.25">
      <c r="A390" s="54" t="s">
        <v>601</v>
      </c>
      <c r="B390" s="54" t="s">
        <v>602</v>
      </c>
      <c r="C390" s="31">
        <v>4301031361</v>
      </c>
      <c r="D390" s="551">
        <v>4607091389524</v>
      </c>
      <c r="E390" s="552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69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9"/>
      <c r="R390" s="549"/>
      <c r="S390" s="549"/>
      <c r="T390" s="550"/>
      <c r="U390" s="34"/>
      <c r="V390" s="34"/>
      <c r="W390" s="35" t="s">
        <v>69</v>
      </c>
      <c r="X390" s="541">
        <v>8.3999999999999986</v>
      </c>
      <c r="Y390" s="542">
        <f t="shared" si="41"/>
        <v>8.4</v>
      </c>
      <c r="Z390" s="36">
        <f t="shared" si="46"/>
        <v>2.0080000000000001E-2</v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42"/>
        <v>8.9199999999999982</v>
      </c>
      <c r="BN390" s="64">
        <f t="shared" si="43"/>
        <v>8.92</v>
      </c>
      <c r="BO390" s="64">
        <f t="shared" si="44"/>
        <v>1.7094017094017092E-2</v>
      </c>
      <c r="BP390" s="64">
        <f t="shared" si="45"/>
        <v>1.7094017094017096E-2</v>
      </c>
    </row>
    <row r="391" spans="1:68" ht="27" hidden="1" customHeight="1" x14ac:dyDescent="0.25">
      <c r="A391" s="54" t="s">
        <v>604</v>
      </c>
      <c r="B391" s="54" t="s">
        <v>605</v>
      </c>
      <c r="C391" s="31">
        <v>4301031364</v>
      </c>
      <c r="D391" s="551">
        <v>4680115883161</v>
      </c>
      <c r="E391" s="552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86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9"/>
      <c r="R391" s="549"/>
      <c r="S391" s="549"/>
      <c r="T391" s="550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607</v>
      </c>
      <c r="B392" s="54" t="s">
        <v>608</v>
      </c>
      <c r="C392" s="31">
        <v>4301031358</v>
      </c>
      <c r="D392" s="551">
        <v>4607091389531</v>
      </c>
      <c r="E392" s="552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85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9"/>
      <c r="R392" s="549"/>
      <c r="S392" s="549"/>
      <c r="T392" s="550"/>
      <c r="U392" s="34"/>
      <c r="V392" s="34"/>
      <c r="W392" s="35" t="s">
        <v>69</v>
      </c>
      <c r="X392" s="541">
        <v>4.1999999999999993</v>
      </c>
      <c r="Y392" s="542">
        <f t="shared" si="41"/>
        <v>4.2</v>
      </c>
      <c r="Z392" s="36">
        <f t="shared" si="46"/>
        <v>1.004E-2</v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4.4599999999999991</v>
      </c>
      <c r="BN392" s="64">
        <f t="shared" si="43"/>
        <v>4.46</v>
      </c>
      <c r="BO392" s="64">
        <f t="shared" si="44"/>
        <v>8.5470085470085461E-3</v>
      </c>
      <c r="BP392" s="64">
        <f t="shared" si="45"/>
        <v>8.5470085470085479E-3</v>
      </c>
    </row>
    <row r="393" spans="1:68" ht="37.5" hidden="1" customHeight="1" x14ac:dyDescent="0.25">
      <c r="A393" s="54" t="s">
        <v>610</v>
      </c>
      <c r="B393" s="54" t="s">
        <v>611</v>
      </c>
      <c r="C393" s="31">
        <v>4301031360</v>
      </c>
      <c r="D393" s="551">
        <v>4607091384345</v>
      </c>
      <c r="E393" s="552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0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9"/>
      <c r="R393" s="549"/>
      <c r="S393" s="549"/>
      <c r="T393" s="550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57" t="s">
        <v>71</v>
      </c>
      <c r="Q394" s="546"/>
      <c r="R394" s="546"/>
      <c r="S394" s="546"/>
      <c r="T394" s="546"/>
      <c r="U394" s="546"/>
      <c r="V394" s="547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7.9999999999999982</v>
      </c>
      <c r="Y394" s="543">
        <f>IFERROR(Y385/H385,"0")+IFERROR(Y386/H386,"0")+IFERROR(Y387/H387,"0")+IFERROR(Y388/H388,"0")+IFERROR(Y389/H389,"0")+IFERROR(Y390/H390,"0")+IFERROR(Y391/H391,"0")+IFERROR(Y392/H392,"0")+IFERROR(Y393/H393,"0")</f>
        <v>8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4.0160000000000001E-2</v>
      </c>
      <c r="AA394" s="544"/>
      <c r="AB394" s="544"/>
      <c r="AC394" s="544"/>
    </row>
    <row r="395" spans="1:68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57" t="s">
        <v>71</v>
      </c>
      <c r="Q395" s="546"/>
      <c r="R395" s="546"/>
      <c r="S395" s="546"/>
      <c r="T395" s="546"/>
      <c r="U395" s="546"/>
      <c r="V395" s="547"/>
      <c r="W395" s="37" t="s">
        <v>69</v>
      </c>
      <c r="X395" s="543">
        <f>IFERROR(SUM(X385:X393),"0")</f>
        <v>16.799999999999997</v>
      </c>
      <c r="Y395" s="543">
        <f>IFERROR(SUM(Y385:Y393),"0")</f>
        <v>16.8</v>
      </c>
      <c r="Z395" s="37"/>
      <c r="AA395" s="544"/>
      <c r="AB395" s="544"/>
      <c r="AC395" s="544"/>
    </row>
    <row r="396" spans="1:68" ht="14.25" hidden="1" customHeight="1" x14ac:dyDescent="0.25">
      <c r="A396" s="558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hidden="1" customHeight="1" x14ac:dyDescent="0.25">
      <c r="A397" s="54" t="s">
        <v>612</v>
      </c>
      <c r="B397" s="54" t="s">
        <v>613</v>
      </c>
      <c r="C397" s="31">
        <v>4301051284</v>
      </c>
      <c r="D397" s="551">
        <v>4607091384352</v>
      </c>
      <c r="E397" s="552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74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9"/>
      <c r="R397" s="549"/>
      <c r="S397" s="549"/>
      <c r="T397" s="550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615</v>
      </c>
      <c r="B398" s="54" t="s">
        <v>616</v>
      </c>
      <c r="C398" s="31">
        <v>4301051431</v>
      </c>
      <c r="D398" s="551">
        <v>4607091389654</v>
      </c>
      <c r="E398" s="552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67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9"/>
      <c r="R398" s="549"/>
      <c r="S398" s="549"/>
      <c r="T398" s="550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57" t="s">
        <v>71</v>
      </c>
      <c r="Q399" s="546"/>
      <c r="R399" s="546"/>
      <c r="S399" s="546"/>
      <c r="T399" s="546"/>
      <c r="U399" s="546"/>
      <c r="V399" s="547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57" t="s">
        <v>71</v>
      </c>
      <c r="Q400" s="546"/>
      <c r="R400" s="546"/>
      <c r="S400" s="546"/>
      <c r="T400" s="546"/>
      <c r="U400" s="546"/>
      <c r="V400" s="547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0" t="s">
        <v>618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hidden="1" customHeight="1" x14ac:dyDescent="0.25">
      <c r="A402" s="558" t="s">
        <v>136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hidden="1" customHeight="1" x14ac:dyDescent="0.25">
      <c r="A403" s="54" t="s">
        <v>619</v>
      </c>
      <c r="B403" s="54" t="s">
        <v>620</v>
      </c>
      <c r="C403" s="31">
        <v>4301020319</v>
      </c>
      <c r="D403" s="551">
        <v>4680115885240</v>
      </c>
      <c r="E403" s="552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77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9"/>
      <c r="R403" s="549"/>
      <c r="S403" s="549"/>
      <c r="T403" s="550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57" t="s">
        <v>71</v>
      </c>
      <c r="Q404" s="546"/>
      <c r="R404" s="546"/>
      <c r="S404" s="546"/>
      <c r="T404" s="546"/>
      <c r="U404" s="546"/>
      <c r="V404" s="547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57" t="s">
        <v>71</v>
      </c>
      <c r="Q405" s="546"/>
      <c r="R405" s="546"/>
      <c r="S405" s="546"/>
      <c r="T405" s="546"/>
      <c r="U405" s="546"/>
      <c r="V405" s="547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58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hidden="1" customHeight="1" x14ac:dyDescent="0.25">
      <c r="A407" s="54" t="s">
        <v>622</v>
      </c>
      <c r="B407" s="54" t="s">
        <v>623</v>
      </c>
      <c r="C407" s="31">
        <v>4301031403</v>
      </c>
      <c r="D407" s="551">
        <v>4680115886094</v>
      </c>
      <c r="E407" s="552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8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9"/>
      <c r="R407" s="549"/>
      <c r="S407" s="549"/>
      <c r="T407" s="550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624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625</v>
      </c>
      <c r="B408" s="54" t="s">
        <v>626</v>
      </c>
      <c r="C408" s="31">
        <v>4301031363</v>
      </c>
      <c r="D408" s="551">
        <v>4607091389425</v>
      </c>
      <c r="E408" s="552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63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9"/>
      <c r="R408" s="549"/>
      <c r="S408" s="549"/>
      <c r="T408" s="550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628</v>
      </c>
      <c r="B409" s="54" t="s">
        <v>629</v>
      </c>
      <c r="C409" s="31">
        <v>4301031373</v>
      </c>
      <c r="D409" s="551">
        <v>4680115880771</v>
      </c>
      <c r="E409" s="552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64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9"/>
      <c r="R409" s="549"/>
      <c r="S409" s="549"/>
      <c r="T409" s="550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631</v>
      </c>
      <c r="B410" s="54" t="s">
        <v>632</v>
      </c>
      <c r="C410" s="31">
        <v>4301031359</v>
      </c>
      <c r="D410" s="551">
        <v>4607091389500</v>
      </c>
      <c r="E410" s="552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56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9"/>
      <c r="R410" s="549"/>
      <c r="S410" s="549"/>
      <c r="T410" s="550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57" t="s">
        <v>71</v>
      </c>
      <c r="Q411" s="546"/>
      <c r="R411" s="546"/>
      <c r="S411" s="546"/>
      <c r="T411" s="546"/>
      <c r="U411" s="546"/>
      <c r="V411" s="547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57" t="s">
        <v>71</v>
      </c>
      <c r="Q412" s="546"/>
      <c r="R412" s="546"/>
      <c r="S412" s="546"/>
      <c r="T412" s="546"/>
      <c r="U412" s="546"/>
      <c r="V412" s="547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60" t="s">
        <v>633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hidden="1" customHeight="1" x14ac:dyDescent="0.25">
      <c r="A414" s="558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hidden="1" customHeight="1" x14ac:dyDescent="0.25">
      <c r="A415" s="54" t="s">
        <v>634</v>
      </c>
      <c r="B415" s="54" t="s">
        <v>635</v>
      </c>
      <c r="C415" s="31">
        <v>4301031347</v>
      </c>
      <c r="D415" s="551">
        <v>4680115885110</v>
      </c>
      <c r="E415" s="552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60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9"/>
      <c r="R415" s="549"/>
      <c r="S415" s="549"/>
      <c r="T415" s="550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57" t="s">
        <v>71</v>
      </c>
      <c r="Q416" s="546"/>
      <c r="R416" s="546"/>
      <c r="S416" s="546"/>
      <c r="T416" s="546"/>
      <c r="U416" s="546"/>
      <c r="V416" s="547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57" t="s">
        <v>71</v>
      </c>
      <c r="Q417" s="546"/>
      <c r="R417" s="546"/>
      <c r="S417" s="546"/>
      <c r="T417" s="546"/>
      <c r="U417" s="546"/>
      <c r="V417" s="547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48" t="s">
        <v>637</v>
      </c>
      <c r="B418" s="649"/>
      <c r="C418" s="649"/>
      <c r="D418" s="649"/>
      <c r="E418" s="649"/>
      <c r="F418" s="649"/>
      <c r="G418" s="649"/>
      <c r="H418" s="649"/>
      <c r="I418" s="649"/>
      <c r="J418" s="649"/>
      <c r="K418" s="649"/>
      <c r="L418" s="649"/>
      <c r="M418" s="649"/>
      <c r="N418" s="649"/>
      <c r="O418" s="649"/>
      <c r="P418" s="649"/>
      <c r="Q418" s="649"/>
      <c r="R418" s="649"/>
      <c r="S418" s="649"/>
      <c r="T418" s="649"/>
      <c r="U418" s="649"/>
      <c r="V418" s="649"/>
      <c r="W418" s="649"/>
      <c r="X418" s="649"/>
      <c r="Y418" s="649"/>
      <c r="Z418" s="649"/>
      <c r="AA418" s="48"/>
      <c r="AB418" s="48"/>
      <c r="AC418" s="48"/>
    </row>
    <row r="419" spans="1:68" ht="16.5" hidden="1" customHeight="1" x14ac:dyDescent="0.25">
      <c r="A419" s="560" t="s">
        <v>637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hidden="1" customHeight="1" x14ac:dyDescent="0.25">
      <c r="A420" s="558" t="s">
        <v>101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customHeight="1" x14ac:dyDescent="0.25">
      <c r="A421" s="54" t="s">
        <v>638</v>
      </c>
      <c r="B421" s="54" t="s">
        <v>639</v>
      </c>
      <c r="C421" s="31">
        <v>4301011795</v>
      </c>
      <c r="D421" s="551">
        <v>4607091389067</v>
      </c>
      <c r="E421" s="552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63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9"/>
      <c r="R421" s="549"/>
      <c r="S421" s="549"/>
      <c r="T421" s="550"/>
      <c r="U421" s="34"/>
      <c r="V421" s="34"/>
      <c r="W421" s="35" t="s">
        <v>69</v>
      </c>
      <c r="X421" s="541">
        <v>90</v>
      </c>
      <c r="Y421" s="542">
        <f t="shared" ref="Y421:Y431" si="47">IFERROR(IF(X421="",0,CEILING((X421/$H421),1)*$H421),"")</f>
        <v>95.04</v>
      </c>
      <c r="Z421" s="36">
        <f t="shared" ref="Z421:Z426" si="48">IFERROR(IF(Y421=0,"",ROUNDUP(Y421/H421,0)*0.01196),"")</f>
        <v>0.21528</v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95.965909090909079</v>
      </c>
      <c r="BN421" s="64">
        <f t="shared" ref="BN421:BN431" si="50">IFERROR(Y421*I421/H421,"0")</f>
        <v>101.33999999999999</v>
      </c>
      <c r="BO421" s="64">
        <f t="shared" ref="BO421:BO431" si="51">IFERROR(1/J421*(X421/H421),"0")</f>
        <v>0.16389860139860138</v>
      </c>
      <c r="BP421" s="64">
        <f t="shared" ref="BP421:BP431" si="52">IFERROR(1/J421*(Y421/H421),"0")</f>
        <v>0.17307692307692307</v>
      </c>
    </row>
    <row r="422" spans="1:68" ht="27" hidden="1" customHeight="1" x14ac:dyDescent="0.25">
      <c r="A422" s="54" t="s">
        <v>640</v>
      </c>
      <c r="B422" s="54" t="s">
        <v>641</v>
      </c>
      <c r="C422" s="31">
        <v>4301012145</v>
      </c>
      <c r="D422" s="551">
        <v>4607091383522</v>
      </c>
      <c r="E422" s="552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/>
      <c r="M422" s="33" t="s">
        <v>106</v>
      </c>
      <c r="N422" s="33"/>
      <c r="O422" s="32">
        <v>60</v>
      </c>
      <c r="P422" s="78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9"/>
      <c r="R422" s="549"/>
      <c r="S422" s="549"/>
      <c r="T422" s="550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4301011961</v>
      </c>
      <c r="D423" s="551">
        <v>4680115885271</v>
      </c>
      <c r="E423" s="552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7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9"/>
      <c r="R423" s="549"/>
      <c r="S423" s="549"/>
      <c r="T423" s="550"/>
      <c r="U423" s="34"/>
      <c r="V423" s="34"/>
      <c r="W423" s="35" t="s">
        <v>69</v>
      </c>
      <c r="X423" s="541">
        <v>5</v>
      </c>
      <c r="Y423" s="542">
        <f t="shared" si="47"/>
        <v>5.28</v>
      </c>
      <c r="Z423" s="36">
        <f t="shared" si="48"/>
        <v>1.196E-2</v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5.3314393939393936</v>
      </c>
      <c r="BN423" s="64">
        <f t="shared" si="50"/>
        <v>5.63</v>
      </c>
      <c r="BO423" s="64">
        <f t="shared" si="51"/>
        <v>9.1054778554778559E-3</v>
      </c>
      <c r="BP423" s="64">
        <f t="shared" si="52"/>
        <v>9.6153846153846159E-3</v>
      </c>
    </row>
    <row r="424" spans="1:68" ht="27" hidden="1" customHeight="1" x14ac:dyDescent="0.25">
      <c r="A424" s="54" t="s">
        <v>646</v>
      </c>
      <c r="B424" s="54" t="s">
        <v>647</v>
      </c>
      <c r="C424" s="31">
        <v>4301011376</v>
      </c>
      <c r="D424" s="551">
        <v>4680115885226</v>
      </c>
      <c r="E424" s="552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4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9"/>
      <c r="R424" s="549"/>
      <c r="S424" s="549"/>
      <c r="T424" s="550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hidden="1" customHeight="1" x14ac:dyDescent="0.25">
      <c r="A425" s="54" t="s">
        <v>649</v>
      </c>
      <c r="B425" s="54" t="s">
        <v>650</v>
      </c>
      <c r="C425" s="31">
        <v>4301011774</v>
      </c>
      <c r="D425" s="551">
        <v>4680115884502</v>
      </c>
      <c r="E425" s="552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4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9"/>
      <c r="R425" s="549"/>
      <c r="S425" s="549"/>
      <c r="T425" s="550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652</v>
      </c>
      <c r="B426" s="54" t="s">
        <v>653</v>
      </c>
      <c r="C426" s="31">
        <v>4301011771</v>
      </c>
      <c r="D426" s="551">
        <v>4607091389104</v>
      </c>
      <c r="E426" s="552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7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9"/>
      <c r="R426" s="549"/>
      <c r="S426" s="549"/>
      <c r="T426" s="550"/>
      <c r="U426" s="34"/>
      <c r="V426" s="34"/>
      <c r="W426" s="35" t="s">
        <v>69</v>
      </c>
      <c r="X426" s="541">
        <v>15</v>
      </c>
      <c r="Y426" s="542">
        <f t="shared" si="47"/>
        <v>15.84</v>
      </c>
      <c r="Z426" s="36">
        <f t="shared" si="48"/>
        <v>3.5880000000000002E-2</v>
      </c>
      <c r="AA426" s="56"/>
      <c r="AB426" s="57"/>
      <c r="AC426" s="471" t="s">
        <v>654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15.994318181818182</v>
      </c>
      <c r="BN426" s="64">
        <f t="shared" si="50"/>
        <v>16.889999999999997</v>
      </c>
      <c r="BO426" s="64">
        <f t="shared" si="51"/>
        <v>2.7316433566433568E-2</v>
      </c>
      <c r="BP426" s="64">
        <f t="shared" si="52"/>
        <v>2.8846153846153848E-2</v>
      </c>
    </row>
    <row r="427" spans="1:68" ht="27" hidden="1" customHeight="1" x14ac:dyDescent="0.25">
      <c r="A427" s="54" t="s">
        <v>655</v>
      </c>
      <c r="B427" s="54" t="s">
        <v>656</v>
      </c>
      <c r="C427" s="31">
        <v>4301012125</v>
      </c>
      <c r="D427" s="551">
        <v>4680115886391</v>
      </c>
      <c r="E427" s="552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8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9"/>
      <c r="R427" s="549"/>
      <c r="S427" s="549"/>
      <c r="T427" s="550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657</v>
      </c>
      <c r="B428" s="54" t="s">
        <v>658</v>
      </c>
      <c r="C428" s="31">
        <v>4301012035</v>
      </c>
      <c r="D428" s="551">
        <v>4680115880603</v>
      </c>
      <c r="E428" s="552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7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9"/>
      <c r="R428" s="549"/>
      <c r="S428" s="549"/>
      <c r="T428" s="550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4301012036</v>
      </c>
      <c r="D429" s="551">
        <v>4680115882782</v>
      </c>
      <c r="E429" s="552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78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9"/>
      <c r="R429" s="549"/>
      <c r="S429" s="549"/>
      <c r="T429" s="550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645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4301012050</v>
      </c>
      <c r="D430" s="551">
        <v>4680115885479</v>
      </c>
      <c r="E430" s="552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58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9"/>
      <c r="R430" s="549"/>
      <c r="S430" s="549"/>
      <c r="T430" s="550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664</v>
      </c>
      <c r="B431" s="54" t="s">
        <v>665</v>
      </c>
      <c r="C431" s="31">
        <v>4301012034</v>
      </c>
      <c r="D431" s="551">
        <v>4607091389982</v>
      </c>
      <c r="E431" s="552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76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9"/>
      <c r="R431" s="549"/>
      <c r="S431" s="549"/>
      <c r="T431" s="550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57" t="s">
        <v>71</v>
      </c>
      <c r="Q432" s="546"/>
      <c r="R432" s="546"/>
      <c r="S432" s="546"/>
      <c r="T432" s="546"/>
      <c r="U432" s="546"/>
      <c r="V432" s="547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20.833333333333329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22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0.26312000000000002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57" t="s">
        <v>71</v>
      </c>
      <c r="Q433" s="546"/>
      <c r="R433" s="546"/>
      <c r="S433" s="546"/>
      <c r="T433" s="546"/>
      <c r="U433" s="546"/>
      <c r="V433" s="547"/>
      <c r="W433" s="37" t="s">
        <v>69</v>
      </c>
      <c r="X433" s="543">
        <f>IFERROR(SUM(X421:X431),"0")</f>
        <v>110</v>
      </c>
      <c r="Y433" s="543">
        <f>IFERROR(SUM(Y421:Y431),"0")</f>
        <v>116.16000000000001</v>
      </c>
      <c r="Z433" s="37"/>
      <c r="AA433" s="544"/>
      <c r="AB433" s="544"/>
      <c r="AC433" s="544"/>
    </row>
    <row r="434" spans="1:68" ht="14.25" hidden="1" customHeight="1" x14ac:dyDescent="0.25">
      <c r="A434" s="558" t="s">
        <v>136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51">
        <v>4607091388930</v>
      </c>
      <c r="E435" s="552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5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9"/>
      <c r="R435" s="549"/>
      <c r="S435" s="549"/>
      <c r="T435" s="550"/>
      <c r="U435" s="34"/>
      <c r="V435" s="34"/>
      <c r="W435" s="35" t="s">
        <v>69</v>
      </c>
      <c r="X435" s="541">
        <v>145</v>
      </c>
      <c r="Y435" s="542">
        <f>IFERROR(IF(X435="",0,CEILING((X435/$H435),1)*$H435),"")</f>
        <v>147.84</v>
      </c>
      <c r="Z435" s="36">
        <f>IFERROR(IF(Y435=0,"",ROUNDUP(Y435/H435,0)*0.01196),"")</f>
        <v>0.33488000000000001</v>
      </c>
      <c r="AA435" s="56"/>
      <c r="AB435" s="57"/>
      <c r="AC435" s="483" t="s">
        <v>668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154.61174242424241</v>
      </c>
      <c r="BN435" s="64">
        <f>IFERROR(Y435*I435/H435,"0")</f>
        <v>157.63999999999999</v>
      </c>
      <c r="BO435" s="64">
        <f>IFERROR(1/J435*(X435/H435),"0")</f>
        <v>0.26405885780885779</v>
      </c>
      <c r="BP435" s="64">
        <f>IFERROR(1/J435*(Y435/H435),"0")</f>
        <v>0.26923076923076927</v>
      </c>
    </row>
    <row r="436" spans="1:68" ht="16.5" hidden="1" customHeight="1" x14ac:dyDescent="0.25">
      <c r="A436" s="54" t="s">
        <v>669</v>
      </c>
      <c r="B436" s="54" t="s">
        <v>670</v>
      </c>
      <c r="C436" s="31">
        <v>4301020384</v>
      </c>
      <c r="D436" s="551">
        <v>4680115886407</v>
      </c>
      <c r="E436" s="552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6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9"/>
      <c r="R436" s="549"/>
      <c r="S436" s="549"/>
      <c r="T436" s="550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671</v>
      </c>
      <c r="B437" s="54" t="s">
        <v>672</v>
      </c>
      <c r="C437" s="31">
        <v>4301020385</v>
      </c>
      <c r="D437" s="551">
        <v>4680115880054</v>
      </c>
      <c r="E437" s="552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86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9"/>
      <c r="R437" s="549"/>
      <c r="S437" s="549"/>
      <c r="T437" s="550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57" t="s">
        <v>71</v>
      </c>
      <c r="Q438" s="546"/>
      <c r="R438" s="546"/>
      <c r="S438" s="546"/>
      <c r="T438" s="546"/>
      <c r="U438" s="546"/>
      <c r="V438" s="547"/>
      <c r="W438" s="37" t="s">
        <v>72</v>
      </c>
      <c r="X438" s="543">
        <f>IFERROR(X435/H435,"0")+IFERROR(X436/H436,"0")+IFERROR(X437/H437,"0")</f>
        <v>27.462121212121211</v>
      </c>
      <c r="Y438" s="543">
        <f>IFERROR(Y435/H435,"0")+IFERROR(Y436/H436,"0")+IFERROR(Y437/H437,"0")</f>
        <v>28</v>
      </c>
      <c r="Z438" s="543">
        <f>IFERROR(IF(Z435="",0,Z435),"0")+IFERROR(IF(Z436="",0,Z436),"0")+IFERROR(IF(Z437="",0,Z437),"0")</f>
        <v>0.33488000000000001</v>
      </c>
      <c r="AA438" s="544"/>
      <c r="AB438" s="544"/>
      <c r="AC438" s="544"/>
    </row>
    <row r="439" spans="1:68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57" t="s">
        <v>71</v>
      </c>
      <c r="Q439" s="546"/>
      <c r="R439" s="546"/>
      <c r="S439" s="546"/>
      <c r="T439" s="546"/>
      <c r="U439" s="546"/>
      <c r="V439" s="547"/>
      <c r="W439" s="37" t="s">
        <v>69</v>
      </c>
      <c r="X439" s="543">
        <f>IFERROR(SUM(X435:X437),"0")</f>
        <v>145</v>
      </c>
      <c r="Y439" s="543">
        <f>IFERROR(SUM(Y435:Y437),"0")</f>
        <v>147.84</v>
      </c>
      <c r="Z439" s="37"/>
      <c r="AA439" s="544"/>
      <c r="AB439" s="544"/>
      <c r="AC439" s="544"/>
    </row>
    <row r="440" spans="1:68" ht="14.25" hidden="1" customHeight="1" x14ac:dyDescent="0.25">
      <c r="A440" s="558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customHeight="1" x14ac:dyDescent="0.25">
      <c r="A441" s="54" t="s">
        <v>673</v>
      </c>
      <c r="B441" s="54" t="s">
        <v>674</v>
      </c>
      <c r="C441" s="31">
        <v>4301031349</v>
      </c>
      <c r="D441" s="551">
        <v>4680115883116</v>
      </c>
      <c r="E441" s="552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0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9"/>
      <c r="R441" s="549"/>
      <c r="S441" s="549"/>
      <c r="T441" s="550"/>
      <c r="U441" s="34"/>
      <c r="V441" s="34"/>
      <c r="W441" s="35" t="s">
        <v>69</v>
      </c>
      <c r="X441" s="541">
        <v>10</v>
      </c>
      <c r="Y441" s="542">
        <f t="shared" ref="Y441:Y446" si="53">IFERROR(IF(X441="",0,CEILING((X441/$H441),1)*$H441),"")</f>
        <v>10.56</v>
      </c>
      <c r="Z441" s="36">
        <f>IFERROR(IF(Y441=0,"",ROUNDUP(Y441/H441,0)*0.01196),"")</f>
        <v>2.392E-2</v>
      </c>
      <c r="AA441" s="56"/>
      <c r="AB441" s="57"/>
      <c r="AC441" s="489" t="s">
        <v>675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10.662878787878787</v>
      </c>
      <c r="BN441" s="64">
        <f t="shared" ref="BN441:BN446" si="55">IFERROR(Y441*I441/H441,"0")</f>
        <v>11.26</v>
      </c>
      <c r="BO441" s="64">
        <f t="shared" ref="BO441:BO446" si="56">IFERROR(1/J441*(X441/H441),"0")</f>
        <v>1.8210955710955712E-2</v>
      </c>
      <c r="BP441" s="64">
        <f t="shared" ref="BP441:BP446" si="57">IFERROR(1/J441*(Y441/H441),"0")</f>
        <v>1.9230769230769232E-2</v>
      </c>
    </row>
    <row r="442" spans="1:68" ht="27" customHeight="1" x14ac:dyDescent="0.25">
      <c r="A442" s="54" t="s">
        <v>676</v>
      </c>
      <c r="B442" s="54" t="s">
        <v>677</v>
      </c>
      <c r="C442" s="31">
        <v>4301031350</v>
      </c>
      <c r="D442" s="551">
        <v>4680115883093</v>
      </c>
      <c r="E442" s="552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7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9"/>
      <c r="R442" s="549"/>
      <c r="S442" s="549"/>
      <c r="T442" s="550"/>
      <c r="U442" s="34"/>
      <c r="V442" s="34"/>
      <c r="W442" s="35" t="s">
        <v>69</v>
      </c>
      <c r="X442" s="541">
        <v>35</v>
      </c>
      <c r="Y442" s="542">
        <f t="shared" si="53"/>
        <v>36.96</v>
      </c>
      <c r="Z442" s="36">
        <f>IFERROR(IF(Y442=0,"",ROUNDUP(Y442/H442,0)*0.01196),"")</f>
        <v>8.3720000000000003E-2</v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37.320075757575751</v>
      </c>
      <c r="BN442" s="64">
        <f t="shared" si="55"/>
        <v>39.409999999999997</v>
      </c>
      <c r="BO442" s="64">
        <f t="shared" si="56"/>
        <v>6.3738344988344992E-2</v>
      </c>
      <c r="BP442" s="64">
        <f t="shared" si="57"/>
        <v>6.7307692307692318E-2</v>
      </c>
    </row>
    <row r="443" spans="1:68" ht="27" customHeight="1" x14ac:dyDescent="0.25">
      <c r="A443" s="54" t="s">
        <v>679</v>
      </c>
      <c r="B443" s="54" t="s">
        <v>680</v>
      </c>
      <c r="C443" s="31">
        <v>4301031353</v>
      </c>
      <c r="D443" s="551">
        <v>4680115883109</v>
      </c>
      <c r="E443" s="552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83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9"/>
      <c r="R443" s="549"/>
      <c r="S443" s="549"/>
      <c r="T443" s="550"/>
      <c r="U443" s="34"/>
      <c r="V443" s="34"/>
      <c r="W443" s="35" t="s">
        <v>69</v>
      </c>
      <c r="X443" s="541">
        <v>55</v>
      </c>
      <c r="Y443" s="542">
        <f t="shared" si="53"/>
        <v>58.080000000000005</v>
      </c>
      <c r="Z443" s="36">
        <f>IFERROR(IF(Y443=0,"",ROUNDUP(Y443/H443,0)*0.01196),"")</f>
        <v>0.13156000000000001</v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58.645833333333329</v>
      </c>
      <c r="BN443" s="64">
        <f t="shared" si="55"/>
        <v>61.93</v>
      </c>
      <c r="BO443" s="64">
        <f t="shared" si="56"/>
        <v>0.10016025641025642</v>
      </c>
      <c r="BP443" s="64">
        <f t="shared" si="57"/>
        <v>0.10576923076923078</v>
      </c>
    </row>
    <row r="444" spans="1:68" ht="27" hidden="1" customHeight="1" x14ac:dyDescent="0.25">
      <c r="A444" s="54" t="s">
        <v>682</v>
      </c>
      <c r="B444" s="54" t="s">
        <v>683</v>
      </c>
      <c r="C444" s="31">
        <v>4301031419</v>
      </c>
      <c r="D444" s="551">
        <v>4680115882072</v>
      </c>
      <c r="E444" s="552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57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9"/>
      <c r="R444" s="549"/>
      <c r="S444" s="549"/>
      <c r="T444" s="550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684</v>
      </c>
      <c r="B445" s="54" t="s">
        <v>685</v>
      </c>
      <c r="C445" s="31">
        <v>4301031418</v>
      </c>
      <c r="D445" s="551">
        <v>4680115882102</v>
      </c>
      <c r="E445" s="552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82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9"/>
      <c r="R445" s="549"/>
      <c r="S445" s="549"/>
      <c r="T445" s="550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4301031417</v>
      </c>
      <c r="D446" s="551">
        <v>4680115882096</v>
      </c>
      <c r="E446" s="552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83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9"/>
      <c r="R446" s="549"/>
      <c r="S446" s="549"/>
      <c r="T446" s="550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57" t="s">
        <v>71</v>
      </c>
      <c r="Q447" s="546"/>
      <c r="R447" s="546"/>
      <c r="S447" s="546"/>
      <c r="T447" s="546"/>
      <c r="U447" s="546"/>
      <c r="V447" s="547"/>
      <c r="W447" s="37" t="s">
        <v>72</v>
      </c>
      <c r="X447" s="543">
        <f>IFERROR(X441/H441,"0")+IFERROR(X442/H442,"0")+IFERROR(X443/H443,"0")+IFERROR(X444/H444,"0")+IFERROR(X445/H445,"0")+IFERROR(X446/H446,"0")</f>
        <v>18.939393939393938</v>
      </c>
      <c r="Y447" s="543">
        <f>IFERROR(Y441/H441,"0")+IFERROR(Y442/H442,"0")+IFERROR(Y443/H443,"0")+IFERROR(Y444/H444,"0")+IFERROR(Y445/H445,"0")+IFERROR(Y446/H446,"0")</f>
        <v>20</v>
      </c>
      <c r="Z447" s="543">
        <f>IFERROR(IF(Z441="",0,Z441),"0")+IFERROR(IF(Z442="",0,Z442),"0")+IFERROR(IF(Z443="",0,Z443),"0")+IFERROR(IF(Z444="",0,Z444),"0")+IFERROR(IF(Z445="",0,Z445),"0")+IFERROR(IF(Z446="",0,Z446),"0")</f>
        <v>0.23920000000000002</v>
      </c>
      <c r="AA447" s="544"/>
      <c r="AB447" s="544"/>
      <c r="AC447" s="544"/>
    </row>
    <row r="448" spans="1:68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57" t="s">
        <v>71</v>
      </c>
      <c r="Q448" s="546"/>
      <c r="R448" s="546"/>
      <c r="S448" s="546"/>
      <c r="T448" s="546"/>
      <c r="U448" s="546"/>
      <c r="V448" s="547"/>
      <c r="W448" s="37" t="s">
        <v>69</v>
      </c>
      <c r="X448" s="543">
        <f>IFERROR(SUM(X441:X446),"0")</f>
        <v>100</v>
      </c>
      <c r="Y448" s="543">
        <f>IFERROR(SUM(Y441:Y446),"0")</f>
        <v>105.60000000000001</v>
      </c>
      <c r="Z448" s="37"/>
      <c r="AA448" s="544"/>
      <c r="AB448" s="544"/>
      <c r="AC448" s="544"/>
    </row>
    <row r="449" spans="1:68" ht="14.25" hidden="1" customHeight="1" x14ac:dyDescent="0.25">
      <c r="A449" s="558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hidden="1" customHeight="1" x14ac:dyDescent="0.25">
      <c r="A450" s="54" t="s">
        <v>688</v>
      </c>
      <c r="B450" s="54" t="s">
        <v>689</v>
      </c>
      <c r="C450" s="31">
        <v>4301051232</v>
      </c>
      <c r="D450" s="551">
        <v>4607091383409</v>
      </c>
      <c r="E450" s="552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75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9"/>
      <c r="R450" s="549"/>
      <c r="S450" s="549"/>
      <c r="T450" s="550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691</v>
      </c>
      <c r="B451" s="54" t="s">
        <v>692</v>
      </c>
      <c r="C451" s="31">
        <v>4301051233</v>
      </c>
      <c r="D451" s="551">
        <v>4607091383416</v>
      </c>
      <c r="E451" s="552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27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9"/>
      <c r="R451" s="549"/>
      <c r="S451" s="549"/>
      <c r="T451" s="550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694</v>
      </c>
      <c r="B452" s="54" t="s">
        <v>695</v>
      </c>
      <c r="C452" s="31">
        <v>4301051064</v>
      </c>
      <c r="D452" s="551">
        <v>4680115883536</v>
      </c>
      <c r="E452" s="552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86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9"/>
      <c r="R452" s="549"/>
      <c r="S452" s="549"/>
      <c r="T452" s="550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57" t="s">
        <v>71</v>
      </c>
      <c r="Q453" s="546"/>
      <c r="R453" s="546"/>
      <c r="S453" s="546"/>
      <c r="T453" s="546"/>
      <c r="U453" s="546"/>
      <c r="V453" s="547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57" t="s">
        <v>71</v>
      </c>
      <c r="Q454" s="546"/>
      <c r="R454" s="546"/>
      <c r="S454" s="546"/>
      <c r="T454" s="546"/>
      <c r="U454" s="546"/>
      <c r="V454" s="547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48" t="s">
        <v>697</v>
      </c>
      <c r="B455" s="649"/>
      <c r="C455" s="649"/>
      <c r="D455" s="649"/>
      <c r="E455" s="649"/>
      <c r="F455" s="649"/>
      <c r="G455" s="649"/>
      <c r="H455" s="649"/>
      <c r="I455" s="649"/>
      <c r="J455" s="649"/>
      <c r="K455" s="649"/>
      <c r="L455" s="649"/>
      <c r="M455" s="649"/>
      <c r="N455" s="649"/>
      <c r="O455" s="649"/>
      <c r="P455" s="649"/>
      <c r="Q455" s="649"/>
      <c r="R455" s="649"/>
      <c r="S455" s="649"/>
      <c r="T455" s="649"/>
      <c r="U455" s="649"/>
      <c r="V455" s="649"/>
      <c r="W455" s="649"/>
      <c r="X455" s="649"/>
      <c r="Y455" s="649"/>
      <c r="Z455" s="649"/>
      <c r="AA455" s="48"/>
      <c r="AB455" s="48"/>
      <c r="AC455" s="48"/>
    </row>
    <row r="456" spans="1:68" ht="16.5" hidden="1" customHeight="1" x14ac:dyDescent="0.25">
      <c r="A456" s="560" t="s">
        <v>697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hidden="1" customHeight="1" x14ac:dyDescent="0.25">
      <c r="A457" s="558" t="s">
        <v>101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hidden="1" customHeight="1" x14ac:dyDescent="0.25">
      <c r="A458" s="54" t="s">
        <v>698</v>
      </c>
      <c r="B458" s="54" t="s">
        <v>699</v>
      </c>
      <c r="C458" s="31">
        <v>4301011763</v>
      </c>
      <c r="D458" s="551">
        <v>4640242181011</v>
      </c>
      <c r="E458" s="552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9"/>
      <c r="R458" s="549"/>
      <c r="S458" s="549"/>
      <c r="T458" s="550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701</v>
      </c>
      <c r="B459" s="54" t="s">
        <v>702</v>
      </c>
      <c r="C459" s="31">
        <v>4301011585</v>
      </c>
      <c r="D459" s="551">
        <v>4640242180441</v>
      </c>
      <c r="E459" s="552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69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9"/>
      <c r="R459" s="549"/>
      <c r="S459" s="549"/>
      <c r="T459" s="550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4301011584</v>
      </c>
      <c r="D460" s="551">
        <v>4640242180564</v>
      </c>
      <c r="E460" s="552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67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9"/>
      <c r="R460" s="549"/>
      <c r="S460" s="549"/>
      <c r="T460" s="550"/>
      <c r="U460" s="34"/>
      <c r="V460" s="34"/>
      <c r="W460" s="35" t="s">
        <v>69</v>
      </c>
      <c r="X460" s="541">
        <v>40</v>
      </c>
      <c r="Y460" s="542">
        <f>IFERROR(IF(X460="",0,CEILING((X460/$H460),1)*$H460),"")</f>
        <v>48</v>
      </c>
      <c r="Z460" s="36">
        <f>IFERROR(IF(Y460=0,"",ROUNDUP(Y460/H460,0)*0.01898),"")</f>
        <v>7.5920000000000001E-2</v>
      </c>
      <c r="AA460" s="56"/>
      <c r="AB460" s="57"/>
      <c r="AC460" s="511" t="s">
        <v>706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41.366666666666667</v>
      </c>
      <c r="BN460" s="64">
        <f>IFERROR(Y460*I460/H460,"0")</f>
        <v>49.640000000000008</v>
      </c>
      <c r="BO460" s="64">
        <f>IFERROR(1/J460*(X460/H460),"0")</f>
        <v>5.2083333333333336E-2</v>
      </c>
      <c r="BP460" s="64">
        <f>IFERROR(1/J460*(Y460/H460),"0")</f>
        <v>6.25E-2</v>
      </c>
    </row>
    <row r="461" spans="1:68" ht="27" hidden="1" customHeight="1" x14ac:dyDescent="0.25">
      <c r="A461" s="54" t="s">
        <v>707</v>
      </c>
      <c r="B461" s="54" t="s">
        <v>708</v>
      </c>
      <c r="C461" s="31">
        <v>4301011764</v>
      </c>
      <c r="D461" s="551">
        <v>4640242181189</v>
      </c>
      <c r="E461" s="552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66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9"/>
      <c r="R461" s="549"/>
      <c r="S461" s="549"/>
      <c r="T461" s="550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57" t="s">
        <v>71</v>
      </c>
      <c r="Q462" s="546"/>
      <c r="R462" s="546"/>
      <c r="S462" s="546"/>
      <c r="T462" s="546"/>
      <c r="U462" s="546"/>
      <c r="V462" s="547"/>
      <c r="W462" s="37" t="s">
        <v>72</v>
      </c>
      <c r="X462" s="543">
        <f>IFERROR(X458/H458,"0")+IFERROR(X459/H459,"0")+IFERROR(X460/H460,"0")+IFERROR(X461/H461,"0")</f>
        <v>3.3333333333333335</v>
      </c>
      <c r="Y462" s="543">
        <f>IFERROR(Y458/H458,"0")+IFERROR(Y459/H459,"0")+IFERROR(Y460/H460,"0")+IFERROR(Y461/H461,"0")</f>
        <v>4</v>
      </c>
      <c r="Z462" s="543">
        <f>IFERROR(IF(Z458="",0,Z458),"0")+IFERROR(IF(Z459="",0,Z459),"0")+IFERROR(IF(Z460="",0,Z460),"0")+IFERROR(IF(Z461="",0,Z461),"0")</f>
        <v>7.5920000000000001E-2</v>
      </c>
      <c r="AA462" s="544"/>
      <c r="AB462" s="544"/>
      <c r="AC462" s="544"/>
    </row>
    <row r="463" spans="1:68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57" t="s">
        <v>71</v>
      </c>
      <c r="Q463" s="546"/>
      <c r="R463" s="546"/>
      <c r="S463" s="546"/>
      <c r="T463" s="546"/>
      <c r="U463" s="546"/>
      <c r="V463" s="547"/>
      <c r="W463" s="37" t="s">
        <v>69</v>
      </c>
      <c r="X463" s="543">
        <f>IFERROR(SUM(X458:X461),"0")</f>
        <v>40</v>
      </c>
      <c r="Y463" s="543">
        <f>IFERROR(SUM(Y458:Y461),"0")</f>
        <v>48</v>
      </c>
      <c r="Z463" s="37"/>
      <c r="AA463" s="544"/>
      <c r="AB463" s="544"/>
      <c r="AC463" s="544"/>
    </row>
    <row r="464" spans="1:68" ht="14.25" hidden="1" customHeight="1" x14ac:dyDescent="0.25">
      <c r="A464" s="558" t="s">
        <v>136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hidden="1" customHeight="1" x14ac:dyDescent="0.25">
      <c r="A465" s="54" t="s">
        <v>709</v>
      </c>
      <c r="B465" s="54" t="s">
        <v>710</v>
      </c>
      <c r="C465" s="31">
        <v>4301020400</v>
      </c>
      <c r="D465" s="551">
        <v>4640242180519</v>
      </c>
      <c r="E465" s="552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60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9"/>
      <c r="R465" s="549"/>
      <c r="S465" s="549"/>
      <c r="T465" s="550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712</v>
      </c>
      <c r="B466" s="54" t="s">
        <v>713</v>
      </c>
      <c r="C466" s="31">
        <v>4301020260</v>
      </c>
      <c r="D466" s="551">
        <v>4640242180526</v>
      </c>
      <c r="E466" s="552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79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9"/>
      <c r="R466" s="549"/>
      <c r="S466" s="549"/>
      <c r="T466" s="550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715</v>
      </c>
      <c r="B467" s="54" t="s">
        <v>716</v>
      </c>
      <c r="C467" s="31">
        <v>4301020295</v>
      </c>
      <c r="D467" s="551">
        <v>4640242181363</v>
      </c>
      <c r="E467" s="552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77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9"/>
      <c r="R467" s="549"/>
      <c r="S467" s="549"/>
      <c r="T467" s="550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57" t="s">
        <v>71</v>
      </c>
      <c r="Q468" s="546"/>
      <c r="R468" s="546"/>
      <c r="S468" s="546"/>
      <c r="T468" s="546"/>
      <c r="U468" s="546"/>
      <c r="V468" s="547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57" t="s">
        <v>71</v>
      </c>
      <c r="Q469" s="546"/>
      <c r="R469" s="546"/>
      <c r="S469" s="546"/>
      <c r="T469" s="546"/>
      <c r="U469" s="546"/>
      <c r="V469" s="547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58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customHeight="1" x14ac:dyDescent="0.25">
      <c r="A471" s="54" t="s">
        <v>718</v>
      </c>
      <c r="B471" s="54" t="s">
        <v>719</v>
      </c>
      <c r="C471" s="31">
        <v>4301031280</v>
      </c>
      <c r="D471" s="551">
        <v>4640242180816</v>
      </c>
      <c r="E471" s="552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82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9"/>
      <c r="R471" s="549"/>
      <c r="S471" s="549"/>
      <c r="T471" s="550"/>
      <c r="U471" s="34"/>
      <c r="V471" s="34"/>
      <c r="W471" s="35" t="s">
        <v>69</v>
      </c>
      <c r="X471" s="541">
        <v>52</v>
      </c>
      <c r="Y471" s="542">
        <f>IFERROR(IF(X471="",0,CEILING((X471/$H471),1)*$H471),"")</f>
        <v>54.6</v>
      </c>
      <c r="Z471" s="36">
        <f>IFERROR(IF(Y471=0,"",ROUNDUP(Y471/H471,0)*0.00902),"")</f>
        <v>0.11726</v>
      </c>
      <c r="AA471" s="56"/>
      <c r="AB471" s="57"/>
      <c r="AC471" s="521" t="s">
        <v>720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55.095238095238095</v>
      </c>
      <c r="BN471" s="64">
        <f>IFERROR(Y471*I471/H471,"0")</f>
        <v>57.85</v>
      </c>
      <c r="BO471" s="64">
        <f>IFERROR(1/J471*(X471/H471),"0")</f>
        <v>9.3795093795093792E-2</v>
      </c>
      <c r="BP471" s="64">
        <f>IFERROR(1/J471*(Y471/H471),"0")</f>
        <v>9.8484848484848481E-2</v>
      </c>
    </row>
    <row r="472" spans="1:68" ht="27" customHeight="1" x14ac:dyDescent="0.25">
      <c r="A472" s="54" t="s">
        <v>721</v>
      </c>
      <c r="B472" s="54" t="s">
        <v>722</v>
      </c>
      <c r="C472" s="31">
        <v>4301031244</v>
      </c>
      <c r="D472" s="551">
        <v>4640242180595</v>
      </c>
      <c r="E472" s="552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68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9"/>
      <c r="R472" s="549"/>
      <c r="S472" s="549"/>
      <c r="T472" s="550"/>
      <c r="U472" s="34"/>
      <c r="V472" s="34"/>
      <c r="W472" s="35" t="s">
        <v>69</v>
      </c>
      <c r="X472" s="541">
        <v>98</v>
      </c>
      <c r="Y472" s="542">
        <f>IFERROR(IF(X472="",0,CEILING((X472/$H472),1)*$H472),"")</f>
        <v>100.80000000000001</v>
      </c>
      <c r="Z472" s="36">
        <f>IFERROR(IF(Y472=0,"",ROUNDUP(Y472/H472,0)*0.00902),"")</f>
        <v>0.21648000000000001</v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103.83333333333333</v>
      </c>
      <c r="BN472" s="64">
        <f>IFERROR(Y472*I472/H472,"0")</f>
        <v>106.80000000000001</v>
      </c>
      <c r="BO472" s="64">
        <f>IFERROR(1/J472*(X472/H472),"0")</f>
        <v>0.17676767676767677</v>
      </c>
      <c r="BP472" s="64">
        <f>IFERROR(1/J472*(Y472/H472),"0")</f>
        <v>0.18181818181818182</v>
      </c>
    </row>
    <row r="473" spans="1:68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57" t="s">
        <v>71</v>
      </c>
      <c r="Q473" s="546"/>
      <c r="R473" s="546"/>
      <c r="S473" s="546"/>
      <c r="T473" s="546"/>
      <c r="U473" s="546"/>
      <c r="V473" s="547"/>
      <c r="W473" s="37" t="s">
        <v>72</v>
      </c>
      <c r="X473" s="543">
        <f>IFERROR(X471/H471,"0")+IFERROR(X472/H472,"0")</f>
        <v>35.714285714285708</v>
      </c>
      <c r="Y473" s="543">
        <f>IFERROR(Y471/H471,"0")+IFERROR(Y472/H472,"0")</f>
        <v>37</v>
      </c>
      <c r="Z473" s="543">
        <f>IFERROR(IF(Z471="",0,Z471),"0")+IFERROR(IF(Z472="",0,Z472),"0")</f>
        <v>0.33374000000000004</v>
      </c>
      <c r="AA473" s="544"/>
      <c r="AB473" s="544"/>
      <c r="AC473" s="544"/>
    </row>
    <row r="474" spans="1:68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57" t="s">
        <v>71</v>
      </c>
      <c r="Q474" s="546"/>
      <c r="R474" s="546"/>
      <c r="S474" s="546"/>
      <c r="T474" s="546"/>
      <c r="U474" s="546"/>
      <c r="V474" s="547"/>
      <c r="W474" s="37" t="s">
        <v>69</v>
      </c>
      <c r="X474" s="543">
        <f>IFERROR(SUM(X471:X472),"0")</f>
        <v>150</v>
      </c>
      <c r="Y474" s="543">
        <f>IFERROR(SUM(Y471:Y472),"0")</f>
        <v>155.4</v>
      </c>
      <c r="Z474" s="37"/>
      <c r="AA474" s="544"/>
      <c r="AB474" s="544"/>
      <c r="AC474" s="544"/>
    </row>
    <row r="475" spans="1:68" ht="14.25" hidden="1" customHeight="1" x14ac:dyDescent="0.25">
      <c r="A475" s="558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customHeight="1" x14ac:dyDescent="0.25">
      <c r="A476" s="54" t="s">
        <v>724</v>
      </c>
      <c r="B476" s="54" t="s">
        <v>725</v>
      </c>
      <c r="C476" s="31">
        <v>4301052046</v>
      </c>
      <c r="D476" s="551">
        <v>4640242180533</v>
      </c>
      <c r="E476" s="552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82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9"/>
      <c r="R476" s="549"/>
      <c r="S476" s="549"/>
      <c r="T476" s="550"/>
      <c r="U476" s="34"/>
      <c r="V476" s="34"/>
      <c r="W476" s="35" t="s">
        <v>69</v>
      </c>
      <c r="X476" s="541">
        <v>15</v>
      </c>
      <c r="Y476" s="542">
        <f>IFERROR(IF(X476="",0,CEILING((X476/$H476),1)*$H476),"")</f>
        <v>18</v>
      </c>
      <c r="Z476" s="36">
        <f>IFERROR(IF(Y476=0,"",ROUNDUP(Y476/H476,0)*0.01898),"")</f>
        <v>3.7960000000000001E-2</v>
      </c>
      <c r="AA476" s="56"/>
      <c r="AB476" s="57"/>
      <c r="AC476" s="525" t="s">
        <v>726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15.823333333333332</v>
      </c>
      <c r="BN476" s="64">
        <f>IFERROR(Y476*I476/H476,"0")</f>
        <v>18.988</v>
      </c>
      <c r="BO476" s="64">
        <f>IFERROR(1/J476*(X476/H476),"0")</f>
        <v>2.6041666666666668E-2</v>
      </c>
      <c r="BP476" s="64">
        <f>IFERROR(1/J476*(Y476/H476),"0")</f>
        <v>3.125E-2</v>
      </c>
    </row>
    <row r="477" spans="1:68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57" t="s">
        <v>71</v>
      </c>
      <c r="Q477" s="546"/>
      <c r="R477" s="546"/>
      <c r="S477" s="546"/>
      <c r="T477" s="546"/>
      <c r="U477" s="546"/>
      <c r="V477" s="547"/>
      <c r="W477" s="37" t="s">
        <v>72</v>
      </c>
      <c r="X477" s="543">
        <f>IFERROR(X476/H476,"0")</f>
        <v>1.6666666666666667</v>
      </c>
      <c r="Y477" s="543">
        <f>IFERROR(Y476/H476,"0")</f>
        <v>2</v>
      </c>
      <c r="Z477" s="543">
        <f>IFERROR(IF(Z476="",0,Z476),"0")</f>
        <v>3.7960000000000001E-2</v>
      </c>
      <c r="AA477" s="544"/>
      <c r="AB477" s="544"/>
      <c r="AC477" s="544"/>
    </row>
    <row r="478" spans="1:68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57" t="s">
        <v>71</v>
      </c>
      <c r="Q478" s="546"/>
      <c r="R478" s="546"/>
      <c r="S478" s="546"/>
      <c r="T478" s="546"/>
      <c r="U478" s="546"/>
      <c r="V478" s="547"/>
      <c r="W478" s="37" t="s">
        <v>69</v>
      </c>
      <c r="X478" s="543">
        <f>IFERROR(SUM(X476:X476),"0")</f>
        <v>15</v>
      </c>
      <c r="Y478" s="543">
        <f>IFERROR(SUM(Y476:Y476),"0")</f>
        <v>18</v>
      </c>
      <c r="Z478" s="37"/>
      <c r="AA478" s="544"/>
      <c r="AB478" s="544"/>
      <c r="AC478" s="544"/>
    </row>
    <row r="479" spans="1:68" ht="14.25" hidden="1" customHeight="1" x14ac:dyDescent="0.25">
      <c r="A479" s="558" t="s">
        <v>164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hidden="1" customHeight="1" x14ac:dyDescent="0.25">
      <c r="A480" s="54" t="s">
        <v>727</v>
      </c>
      <c r="B480" s="54" t="s">
        <v>728</v>
      </c>
      <c r="C480" s="31">
        <v>4301060491</v>
      </c>
      <c r="D480" s="551">
        <v>4640242180120</v>
      </c>
      <c r="E480" s="552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77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9"/>
      <c r="R480" s="549"/>
      <c r="S480" s="549"/>
      <c r="T480" s="550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730</v>
      </c>
      <c r="B481" s="54" t="s">
        <v>731</v>
      </c>
      <c r="C481" s="31">
        <v>4301060493</v>
      </c>
      <c r="D481" s="551">
        <v>4640242180137</v>
      </c>
      <c r="E481" s="552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79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9"/>
      <c r="R481" s="549"/>
      <c r="S481" s="549"/>
      <c r="T481" s="550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57" t="s">
        <v>71</v>
      </c>
      <c r="Q482" s="546"/>
      <c r="R482" s="546"/>
      <c r="S482" s="546"/>
      <c r="T482" s="546"/>
      <c r="U482" s="546"/>
      <c r="V482" s="547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57" t="s">
        <v>71</v>
      </c>
      <c r="Q483" s="546"/>
      <c r="R483" s="546"/>
      <c r="S483" s="546"/>
      <c r="T483" s="546"/>
      <c r="U483" s="546"/>
      <c r="V483" s="547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0" t="s">
        <v>733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hidden="1" customHeight="1" x14ac:dyDescent="0.25">
      <c r="A485" s="558" t="s">
        <v>136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hidden="1" customHeight="1" x14ac:dyDescent="0.25">
      <c r="A486" s="54" t="s">
        <v>734</v>
      </c>
      <c r="B486" s="54" t="s">
        <v>735</v>
      </c>
      <c r="C486" s="31">
        <v>4301020314</v>
      </c>
      <c r="D486" s="551">
        <v>4640242180090</v>
      </c>
      <c r="E486" s="552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61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9"/>
      <c r="R486" s="549"/>
      <c r="S486" s="549"/>
      <c r="T486" s="550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57" t="s">
        <v>71</v>
      </c>
      <c r="Q487" s="546"/>
      <c r="R487" s="546"/>
      <c r="S487" s="546"/>
      <c r="T487" s="546"/>
      <c r="U487" s="546"/>
      <c r="V487" s="547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57" t="s">
        <v>71</v>
      </c>
      <c r="Q488" s="546"/>
      <c r="R488" s="546"/>
      <c r="S488" s="546"/>
      <c r="T488" s="546"/>
      <c r="U488" s="546"/>
      <c r="V488" s="547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563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564"/>
      <c r="P489" s="584" t="s">
        <v>737</v>
      </c>
      <c r="Q489" s="585"/>
      <c r="R489" s="585"/>
      <c r="S489" s="585"/>
      <c r="T489" s="585"/>
      <c r="U489" s="585"/>
      <c r="V489" s="586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296+X306+X313+X319+X326+X332+X339+X351+X356+X361+X365+X371+X376+X381+X395+X400+X405+X412+X417+X433+X439+X448+X454+X463+X469+X474+X478+X483+X488,"0")</f>
        <v>12394.45</v>
      </c>
      <c r="Y489" s="543">
        <f>IFERROR(Y24+Y32+Y36+Y44+Y48+Y58+Y64+Y70+Y77+Y82+Y89+Y96+Y104+Y110+Y117+Y121+Y127+Y132+Y137+Y143+Y149+Y153+Y159+Y172+Y178+Y182+Y188+Y193+Y204+Y216+Y221+Y235+Y239+Y243+Y251+Y260+Y268+Y275+Y281+Y286+Y296+Y306+Y313+Y319+Y326+Y332+Y339+Y351+Y356+Y361+Y365+Y371+Y376+Y381+Y395+Y400+Y405+Y412+Y417+Y433+Y439+Y448+Y454+Y463+Y469+Y474+Y478+Y483+Y488,"0")</f>
        <v>12543.3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564"/>
      <c r="P490" s="584" t="s">
        <v>738</v>
      </c>
      <c r="Q490" s="585"/>
      <c r="R490" s="585"/>
      <c r="S490" s="585"/>
      <c r="T490" s="585"/>
      <c r="U490" s="585"/>
      <c r="V490" s="586"/>
      <c r="W490" s="37" t="s">
        <v>69</v>
      </c>
      <c r="X490" s="543">
        <f>IFERROR(SUM(BM22:BM486),"0")</f>
        <v>12999.238764463937</v>
      </c>
      <c r="Y490" s="543">
        <f>IFERROR(SUM(BN22:BN486),"0")</f>
        <v>13155.333999999997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564"/>
      <c r="P491" s="584" t="s">
        <v>739</v>
      </c>
      <c r="Q491" s="585"/>
      <c r="R491" s="585"/>
      <c r="S491" s="585"/>
      <c r="T491" s="585"/>
      <c r="U491" s="585"/>
      <c r="V491" s="586"/>
      <c r="W491" s="37" t="s">
        <v>740</v>
      </c>
      <c r="X491" s="38">
        <f>ROUNDUP(SUM(BO22:BO486),0)</f>
        <v>21</v>
      </c>
      <c r="Y491" s="38">
        <f>ROUNDUP(SUM(BP22:BP486),0)</f>
        <v>22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564"/>
      <c r="P492" s="584" t="s">
        <v>741</v>
      </c>
      <c r="Q492" s="585"/>
      <c r="R492" s="585"/>
      <c r="S492" s="585"/>
      <c r="T492" s="585"/>
      <c r="U492" s="585"/>
      <c r="V492" s="586"/>
      <c r="W492" s="37" t="s">
        <v>69</v>
      </c>
      <c r="X492" s="543">
        <f>GrossWeightTotal+PalletQtyTotal*25</f>
        <v>13524.238764463937</v>
      </c>
      <c r="Y492" s="543">
        <f>GrossWeightTotalR+PalletQtyTotalR*25</f>
        <v>13705.333999999997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564"/>
      <c r="P493" s="584" t="s">
        <v>742</v>
      </c>
      <c r="Q493" s="585"/>
      <c r="R493" s="585"/>
      <c r="S493" s="585"/>
      <c r="T493" s="585"/>
      <c r="U493" s="585"/>
      <c r="V493" s="586"/>
      <c r="W493" s="37" t="s">
        <v>740</v>
      </c>
      <c r="X493" s="543">
        <f>IFERROR(X23+X31+X35+X43+X47+X57+X63+X69+X76+X81+X88+X95+X103+X109+X116+X120+X126+X131+X136+X142+X148+X152+X158+X171+X177+X181+X187+X192+X203+X215+X220+X234+X238+X242+X250+X259+X267+X274+X280+X285+X295+X305+X312+X318+X325+X331+X338+X350+X355+X360+X364+X370+X375+X380+X394+X399+X404+X411+X416+X432+X438+X447+X453+X462+X468+X473+X477+X482+X487,"0")</f>
        <v>1545.3001381334716</v>
      </c>
      <c r="Y493" s="543">
        <f>IFERROR(Y23+Y31+Y35+Y43+Y47+Y57+Y63+Y69+Y76+Y81+Y88+Y95+Y103+Y109+Y116+Y120+Y126+Y131+Y136+Y142+Y148+Y152+Y158+Y171+Y177+Y181+Y187+Y192+Y203+Y215+Y220+Y234+Y238+Y242+Y250+Y259+Y267+Y274+Y280+Y285+Y295+Y305+Y312+Y318+Y325+Y331+Y338+Y350+Y355+Y360+Y364+Y370+Y375+Y380+Y394+Y399+Y404+Y411+Y416+Y432+Y438+Y447+Y453+Y462+Y468+Y473+Y477+Y482+Y487,"0")</f>
        <v>1568</v>
      </c>
      <c r="Z493" s="37"/>
      <c r="AA493" s="544"/>
      <c r="AB493" s="544"/>
      <c r="AC493" s="544"/>
    </row>
    <row r="494" spans="1:68" ht="14.25" hidden="1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564"/>
      <c r="P494" s="584" t="s">
        <v>743</v>
      </c>
      <c r="Q494" s="585"/>
      <c r="R494" s="585"/>
      <c r="S494" s="585"/>
      <c r="T494" s="585"/>
      <c r="U494" s="585"/>
      <c r="V494" s="586"/>
      <c r="W494" s="39" t="s">
        <v>744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380+Z394+Z399+Z404+Z411+Z416+Z432+Z438+Z447+Z453+Z462+Z468+Z473+Z477+Z482+Z487,"0")</f>
        <v>24.989330000000002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70" t="s">
        <v>99</v>
      </c>
      <c r="D496" s="582"/>
      <c r="E496" s="582"/>
      <c r="F496" s="582"/>
      <c r="G496" s="582"/>
      <c r="H496" s="583"/>
      <c r="I496" s="570" t="s">
        <v>251</v>
      </c>
      <c r="J496" s="582"/>
      <c r="K496" s="582"/>
      <c r="L496" s="582"/>
      <c r="M496" s="582"/>
      <c r="N496" s="582"/>
      <c r="O496" s="582"/>
      <c r="P496" s="582"/>
      <c r="Q496" s="582"/>
      <c r="R496" s="583"/>
      <c r="S496" s="570" t="s">
        <v>535</v>
      </c>
      <c r="T496" s="583"/>
      <c r="U496" s="570" t="s">
        <v>586</v>
      </c>
      <c r="V496" s="582"/>
      <c r="W496" s="583"/>
      <c r="X496" s="538" t="s">
        <v>637</v>
      </c>
      <c r="Y496" s="570" t="s">
        <v>697</v>
      </c>
      <c r="Z496" s="583"/>
      <c r="AB496" s="52"/>
      <c r="AC496" s="52"/>
      <c r="AF496" s="539"/>
    </row>
    <row r="497" spans="1:32" ht="14.25" customHeight="1" thickTop="1" x14ac:dyDescent="0.2">
      <c r="A497" s="576" t="s">
        <v>746</v>
      </c>
      <c r="B497" s="570" t="s">
        <v>63</v>
      </c>
      <c r="C497" s="570" t="s">
        <v>100</v>
      </c>
      <c r="D497" s="570" t="s">
        <v>117</v>
      </c>
      <c r="E497" s="570" t="s">
        <v>171</v>
      </c>
      <c r="F497" s="570" t="s">
        <v>190</v>
      </c>
      <c r="G497" s="570" t="s">
        <v>220</v>
      </c>
      <c r="H497" s="570" t="s">
        <v>99</v>
      </c>
      <c r="I497" s="570" t="s">
        <v>252</v>
      </c>
      <c r="J497" s="570" t="s">
        <v>297</v>
      </c>
      <c r="K497" s="570" t="s">
        <v>356</v>
      </c>
      <c r="L497" s="570" t="s">
        <v>398</v>
      </c>
      <c r="M497" s="570" t="s">
        <v>414</v>
      </c>
      <c r="N497" s="539"/>
      <c r="O497" s="570" t="s">
        <v>425</v>
      </c>
      <c r="P497" s="570" t="s">
        <v>434</v>
      </c>
      <c r="Q497" s="570" t="s">
        <v>448</v>
      </c>
      <c r="R497" s="570" t="s">
        <v>525</v>
      </c>
      <c r="S497" s="570" t="s">
        <v>536</v>
      </c>
      <c r="T497" s="570" t="s">
        <v>570</v>
      </c>
      <c r="U497" s="570" t="s">
        <v>587</v>
      </c>
      <c r="V497" s="570" t="s">
        <v>618</v>
      </c>
      <c r="W497" s="570" t="s">
        <v>633</v>
      </c>
      <c r="X497" s="570" t="s">
        <v>637</v>
      </c>
      <c r="Y497" s="570" t="s">
        <v>697</v>
      </c>
      <c r="Z497" s="570" t="s">
        <v>733</v>
      </c>
      <c r="AB497" s="52"/>
      <c r="AC497" s="52"/>
      <c r="AF497" s="539"/>
    </row>
    <row r="498" spans="1:32" ht="13.5" customHeight="1" thickBot="1" x14ac:dyDescent="0.25">
      <c r="A498" s="577"/>
      <c r="B498" s="571"/>
      <c r="C498" s="571"/>
      <c r="D498" s="571"/>
      <c r="E498" s="571"/>
      <c r="F498" s="571"/>
      <c r="G498" s="571"/>
      <c r="H498" s="571"/>
      <c r="I498" s="571"/>
      <c r="J498" s="571"/>
      <c r="K498" s="571"/>
      <c r="L498" s="571"/>
      <c r="M498" s="571"/>
      <c r="N498" s="539"/>
      <c r="O498" s="571"/>
      <c r="P498" s="571"/>
      <c r="Q498" s="571"/>
      <c r="R498" s="571"/>
      <c r="S498" s="571"/>
      <c r="T498" s="571"/>
      <c r="U498" s="571"/>
      <c r="V498" s="571"/>
      <c r="W498" s="571"/>
      <c r="X498" s="571"/>
      <c r="Y498" s="571"/>
      <c r="Z498" s="571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80.800000000000011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1349.5</v>
      </c>
      <c r="E499" s="46">
        <f>IFERROR(Y85*1,"0")+IFERROR(Y86*1,"0")+IFERROR(Y87*1,"0")+IFERROR(Y91*1,"0")+IFERROR(Y92*1,"0")+IFERROR(Y93*1,"0")+IFERROR(Y94*1,"0")</f>
        <v>312.3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96</v>
      </c>
      <c r="G499" s="46">
        <f>IFERROR(Y124*1,"0")+IFERROR(Y125*1,"0")+IFERROR(Y129*1,"0")+IFERROR(Y130*1,"0")+IFERROR(Y134*1,"0")+IFERROR(Y135*1,"0")</f>
        <v>16</v>
      </c>
      <c r="H499" s="46">
        <f>IFERROR(Y140*1,"0")+IFERROR(Y141*1,"0")+IFERROR(Y145*1,"0")+IFERROR(Y146*1,"0")+IFERROR(Y147*1,"0")+IFERROR(Y151*1,"0")</f>
        <v>72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21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250.20000000000002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257.60000000000002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6201.5</v>
      </c>
      <c r="R499" s="46">
        <f>IFERROR(Y335*1,"0")+IFERROR(Y336*1,"0")+IFERROR(Y337*1,"0")</f>
        <v>108.6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3170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16.8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369.59999999999997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221.4</v>
      </c>
      <c r="Z499" s="46">
        <f>IFERROR(Y486*1,"0")</f>
        <v>0</v>
      </c>
      <c r="AB499" s="52"/>
      <c r="AC499" s="52"/>
      <c r="AF499" s="539"/>
    </row>
  </sheetData>
  <sheetProtection algorithmName="SHA-512" hashValue="NjhFMacLMi0AVFjGZRa+SZP76Rb5C31Y081Tyz5obz3cCvz/gvKe/ledQpFZd3mH3Bl2MfOkdInM9gcE4LVQ2w==" saltValue="zfU5jkX3/jVTN/5R86Nu5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15,00"/>
        <filter val="1 245,00"/>
        <filter val="1 320,00"/>
        <filter val="1 545,30"/>
        <filter val="1 950,00"/>
        <filter val="1,67"/>
        <filter val="10,00"/>
        <filter val="100,00"/>
        <filter val="107,70"/>
        <filter val="110,00"/>
        <filter val="110,08"/>
        <filter val="111,00"/>
        <filter val="112,00"/>
        <filter val="12 394,45"/>
        <filter val="12 999,24"/>
        <filter val="12,00"/>
        <filter val="120,00"/>
        <filter val="13 524,24"/>
        <filter val="13,50"/>
        <filter val="130,67"/>
        <filter val="132,71"/>
        <filter val="135,30"/>
        <filter val="14,40"/>
        <filter val="144,26"/>
        <filter val="145,00"/>
        <filter val="15,00"/>
        <filter val="15,60"/>
        <filter val="150,00"/>
        <filter val="16,00"/>
        <filter val="16,80"/>
        <filter val="164,00"/>
        <filter val="165,00"/>
        <filter val="170,00"/>
        <filter val="18,00"/>
        <filter val="18,75"/>
        <filter val="18,94"/>
        <filter val="185,00"/>
        <filter val="20,00"/>
        <filter val="20,83"/>
        <filter val="21"/>
        <filter val="21,11"/>
        <filter val="22,70"/>
        <filter val="220,50"/>
        <filter val="237,00"/>
        <filter val="24,30"/>
        <filter val="24,62"/>
        <filter val="25,00"/>
        <filter val="250,00"/>
        <filter val="266,00"/>
        <filter val="27,46"/>
        <filter val="28,00"/>
        <filter val="28,80"/>
        <filter val="295,00"/>
        <filter val="3 960,00"/>
        <filter val="3 978,00"/>
        <filter val="3,33"/>
        <filter val="30,00"/>
        <filter val="33,60"/>
        <filter val="34,26"/>
        <filter val="35,00"/>
        <filter val="35,71"/>
        <filter val="379,00"/>
        <filter val="4,20"/>
        <filter val="4,50"/>
        <filter val="4,76"/>
        <filter val="4,93"/>
        <filter val="40,00"/>
        <filter val="410,00"/>
        <filter val="45,00"/>
        <filter val="45,64"/>
        <filter val="450,00"/>
        <filter val="457,25"/>
        <filter val="47,25"/>
        <filter val="47,82"/>
        <filter val="493,70"/>
        <filter val="5,00"/>
        <filter val="513,69"/>
        <filter val="52,00"/>
        <filter val="55,00"/>
        <filter val="55,46"/>
        <filter val="57,40"/>
        <filter val="58,10"/>
        <filter val="6,30"/>
        <filter val="60,00"/>
        <filter val="65,00"/>
        <filter val="650,00"/>
        <filter val="68,80"/>
        <filter val="7,22"/>
        <filter val="70,00"/>
        <filter val="76,00"/>
        <filter val="8,00"/>
        <filter val="8,40"/>
        <filter val="81,00"/>
        <filter val="84,00"/>
        <filter val="880,50"/>
        <filter val="9,56"/>
        <filter val="90,00"/>
        <filter val="900,00"/>
        <filter val="98,00"/>
      </filters>
    </filterColumn>
    <filterColumn colId="29" showButton="0"/>
    <filterColumn colId="30" showButton="0"/>
  </autoFilter>
  <mergeCells count="874"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P391:T391"/>
    <mergeCell ref="D263:E263"/>
    <mergeCell ref="A65:Z65"/>
    <mergeCell ref="P79:T79"/>
    <mergeCell ref="D60:E60"/>
    <mergeCell ref="P73:T73"/>
    <mergeCell ref="P437:T437"/>
    <mergeCell ref="P315:T315"/>
    <mergeCell ref="P231:T231"/>
    <mergeCell ref="D486:E486"/>
    <mergeCell ref="P86:T86"/>
    <mergeCell ref="P328:T328"/>
    <mergeCell ref="P213:T213"/>
    <mergeCell ref="P157:T157"/>
    <mergeCell ref="D134:E134"/>
    <mergeCell ref="P249:T249"/>
    <mergeCell ref="D363:E363"/>
    <mergeCell ref="R1:T1"/>
    <mergeCell ref="A158:O159"/>
    <mergeCell ref="P28:T28"/>
    <mergeCell ref="P392:T392"/>
    <mergeCell ref="P386:T386"/>
    <mergeCell ref="P165:T165"/>
    <mergeCell ref="P400:V400"/>
    <mergeCell ref="D73:E73"/>
    <mergeCell ref="P77:V77"/>
    <mergeCell ref="P30:T30"/>
    <mergeCell ref="A76:O77"/>
    <mergeCell ref="P375:V375"/>
    <mergeCell ref="P290:T290"/>
    <mergeCell ref="P452:T452"/>
    <mergeCell ref="P448:V448"/>
    <mergeCell ref="A234:O235"/>
    <mergeCell ref="P52:T52"/>
    <mergeCell ref="I17:I18"/>
    <mergeCell ref="D72:E72"/>
    <mergeCell ref="P68:T68"/>
    <mergeCell ref="P204:V204"/>
    <mergeCell ref="P82:V82"/>
    <mergeCell ref="P303:T303"/>
    <mergeCell ref="A357:Z357"/>
    <mergeCell ref="D330:E330"/>
    <mergeCell ref="P181:V181"/>
    <mergeCell ref="A98:Z98"/>
    <mergeCell ref="A352:Z352"/>
    <mergeCell ref="A276:Z276"/>
    <mergeCell ref="A83:Z83"/>
    <mergeCell ref="A270:Z270"/>
    <mergeCell ref="P302:T302"/>
    <mergeCell ref="D174:E174"/>
    <mergeCell ref="A63:O64"/>
    <mergeCell ref="P306:V306"/>
    <mergeCell ref="D258:E258"/>
    <mergeCell ref="P235:V235"/>
    <mergeCell ref="D52:E52"/>
    <mergeCell ref="D27:E27"/>
    <mergeCell ref="P283:T283"/>
    <mergeCell ref="P477:V477"/>
    <mergeCell ref="D124:E124"/>
    <mergeCell ref="P56:T56"/>
    <mergeCell ref="D195:E195"/>
    <mergeCell ref="P379:T379"/>
    <mergeCell ref="P462:V462"/>
    <mergeCell ref="A105:Z105"/>
    <mergeCell ref="A396:Z396"/>
    <mergeCell ref="D472:E472"/>
    <mergeCell ref="D410:E410"/>
    <mergeCell ref="A432:O433"/>
    <mergeCell ref="D423:E423"/>
    <mergeCell ref="D426:E426"/>
    <mergeCell ref="P446:T446"/>
    <mergeCell ref="P110:V110"/>
    <mergeCell ref="A338:O339"/>
    <mergeCell ref="P208:T208"/>
    <mergeCell ref="D460:E460"/>
    <mergeCell ref="P308:T308"/>
    <mergeCell ref="A267:O268"/>
    <mergeCell ref="A69:O70"/>
    <mergeCell ref="P185:T185"/>
    <mergeCell ref="D106:E106"/>
    <mergeCell ref="P427:T427"/>
    <mergeCell ref="V10:W10"/>
    <mergeCell ref="D431:E431"/>
    <mergeCell ref="P99:T99"/>
    <mergeCell ref="P170:T170"/>
    <mergeCell ref="P316:T316"/>
    <mergeCell ref="P145:T145"/>
    <mergeCell ref="D66:E66"/>
    <mergeCell ref="P443:T443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D316:E316"/>
    <mergeCell ref="P273:T273"/>
    <mergeCell ref="H497:H498"/>
    <mergeCell ref="A473:O474"/>
    <mergeCell ref="D289:E289"/>
    <mergeCell ref="J497:J498"/>
    <mergeCell ref="P159:V159"/>
    <mergeCell ref="P395:V395"/>
    <mergeCell ref="P209:T209"/>
    <mergeCell ref="P147:T147"/>
    <mergeCell ref="P445:T445"/>
    <mergeCell ref="A434:Z434"/>
    <mergeCell ref="P332:V332"/>
    <mergeCell ref="A384:Z384"/>
    <mergeCell ref="A331:O332"/>
    <mergeCell ref="A449:Z449"/>
    <mergeCell ref="P325:V325"/>
    <mergeCell ref="A150:Z150"/>
    <mergeCell ref="D378:E378"/>
    <mergeCell ref="P458:T458"/>
    <mergeCell ref="P487:V487"/>
    <mergeCell ref="P476:T476"/>
    <mergeCell ref="P407:T407"/>
    <mergeCell ref="P471:T471"/>
    <mergeCell ref="X497:X498"/>
    <mergeCell ref="A475:Z47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P182:V182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354:E354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P337:T337"/>
    <mergeCell ref="D209:E209"/>
    <mergeCell ref="A282:Z282"/>
    <mergeCell ref="P188:V188"/>
    <mergeCell ref="A187:O188"/>
    <mergeCell ref="D445:E445"/>
    <mergeCell ref="D245:E245"/>
    <mergeCell ref="D301:E301"/>
    <mergeCell ref="P166:T166"/>
    <mergeCell ref="D147:E147"/>
    <mergeCell ref="D224:E224"/>
    <mergeCell ref="P230:T230"/>
    <mergeCell ref="D211:E211"/>
    <mergeCell ref="P168:T168"/>
    <mergeCell ref="P490:V490"/>
    <mergeCell ref="D329:E329"/>
    <mergeCell ref="D1:F1"/>
    <mergeCell ref="P466:T466"/>
    <mergeCell ref="A71:Z71"/>
    <mergeCell ref="P488:V488"/>
    <mergeCell ref="A307:Z307"/>
    <mergeCell ref="J17:J18"/>
    <mergeCell ref="L17:L18"/>
    <mergeCell ref="A184:Z184"/>
    <mergeCell ref="A244:Z244"/>
    <mergeCell ref="P426:T426"/>
    <mergeCell ref="P255:T255"/>
    <mergeCell ref="A342:Z342"/>
    <mergeCell ref="P48:V48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A482:O483"/>
    <mergeCell ref="A416:O417"/>
    <mergeCell ref="P497:P498"/>
    <mergeCell ref="A402:Z402"/>
    <mergeCell ref="D229:E229"/>
    <mergeCell ref="R497:R498"/>
    <mergeCell ref="D108:E108"/>
    <mergeCell ref="P429:T429"/>
    <mergeCell ref="P258:T258"/>
    <mergeCell ref="D369:E369"/>
    <mergeCell ref="P423:T423"/>
    <mergeCell ref="P481:T481"/>
    <mergeCell ref="D141:E141"/>
    <mergeCell ref="D135:E135"/>
    <mergeCell ref="P203:V203"/>
    <mergeCell ref="P295:V295"/>
    <mergeCell ref="P178:V178"/>
    <mergeCell ref="A177:O178"/>
    <mergeCell ref="P463:V463"/>
    <mergeCell ref="P267:V267"/>
    <mergeCell ref="D161:E161"/>
    <mergeCell ref="P238:V238"/>
    <mergeCell ref="P264:T264"/>
    <mergeCell ref="A312:O313"/>
    <mergeCell ref="P353:T353"/>
    <mergeCell ref="D169:E169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246:T246"/>
    <mergeCell ref="A43:O44"/>
    <mergeCell ref="D390:E390"/>
    <mergeCell ref="A123:Z123"/>
    <mergeCell ref="P491:V491"/>
    <mergeCell ref="P127:V127"/>
    <mergeCell ref="F9:G9"/>
    <mergeCell ref="P53:T53"/>
    <mergeCell ref="D167:E167"/>
    <mergeCell ref="P422:T422"/>
    <mergeCell ref="P289:T289"/>
    <mergeCell ref="D403:E403"/>
    <mergeCell ref="D232:E232"/>
    <mergeCell ref="Z497:Z498"/>
    <mergeCell ref="A6:C6"/>
    <mergeCell ref="D309:E309"/>
    <mergeCell ref="U496:W496"/>
    <mergeCell ref="D113:E113"/>
    <mergeCell ref="P180:T180"/>
    <mergeCell ref="P167:T167"/>
    <mergeCell ref="D26:E26"/>
    <mergeCell ref="P403:T403"/>
    <mergeCell ref="P378:T378"/>
    <mergeCell ref="D324:E324"/>
    <mergeCell ref="A259:O260"/>
    <mergeCell ref="D311:E311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A5:C5"/>
    <mergeCell ref="P412:V412"/>
    <mergeCell ref="P64:V64"/>
    <mergeCell ref="A485:Z485"/>
    <mergeCell ref="D337:E337"/>
    <mergeCell ref="D166:E166"/>
    <mergeCell ref="P195:T195"/>
    <mergeCell ref="P364:V364"/>
    <mergeCell ref="P300:T300"/>
    <mergeCell ref="A189:Z189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P15:T16"/>
    <mergeCell ref="P450:T450"/>
    <mergeCell ref="A325:O326"/>
    <mergeCell ref="P219:T219"/>
    <mergeCell ref="D91:E91"/>
    <mergeCell ref="D162:E162"/>
    <mergeCell ref="P272:T272"/>
    <mergeCell ref="O17:O18"/>
    <mergeCell ref="P102:T102"/>
    <mergeCell ref="P62:T62"/>
    <mergeCell ref="P436:T436"/>
    <mergeCell ref="P292:T292"/>
    <mergeCell ref="A360:O361"/>
    <mergeCell ref="D102:E102"/>
    <mergeCell ref="P23:V23"/>
    <mergeCell ref="B17:B18"/>
    <mergeCell ref="P143:V143"/>
    <mergeCell ref="A171:O172"/>
    <mergeCell ref="M17:M18"/>
    <mergeCell ref="P210:T210"/>
    <mergeCell ref="P439:V439"/>
    <mergeCell ref="D398:E398"/>
    <mergeCell ref="A438:O439"/>
    <mergeCell ref="P433:V433"/>
    <mergeCell ref="D93:E93"/>
    <mergeCell ref="D391:E391"/>
    <mergeCell ref="P370:V370"/>
    <mergeCell ref="A394:O395"/>
    <mergeCell ref="D328:E328"/>
    <mergeCell ref="D157:E157"/>
    <mergeCell ref="P136:V136"/>
    <mergeCell ref="A253:Z253"/>
    <mergeCell ref="P149:V149"/>
    <mergeCell ref="P125:T125"/>
    <mergeCell ref="D335:E335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P51:T51"/>
    <mergeCell ref="P26:T26"/>
    <mergeCell ref="P58:V58"/>
    <mergeCell ref="A13:M13"/>
    <mergeCell ref="D61:E61"/>
    <mergeCell ref="A15:M15"/>
    <mergeCell ref="P229:T229"/>
    <mergeCell ref="A133:Z133"/>
    <mergeCell ref="D125:E125"/>
    <mergeCell ref="P201:T201"/>
    <mergeCell ref="A35:O36"/>
    <mergeCell ref="D22:E22"/>
    <mergeCell ref="P34:T34"/>
    <mergeCell ref="D264:E264"/>
    <mergeCell ref="A139:Z139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Y497:Y498"/>
    <mergeCell ref="P447:V447"/>
    <mergeCell ref="P387:T387"/>
    <mergeCell ref="A406:Z406"/>
    <mergeCell ref="D422:E422"/>
    <mergeCell ref="P360:V360"/>
    <mergeCell ref="D74:E74"/>
    <mergeCell ref="D130:E130"/>
    <mergeCell ref="P87:T87"/>
    <mergeCell ref="A419:Z419"/>
    <mergeCell ref="D346:E346"/>
    <mergeCell ref="T5:U5"/>
    <mergeCell ref="D119:E119"/>
    <mergeCell ref="D190:E190"/>
    <mergeCell ref="P374:T374"/>
    <mergeCell ref="D246:E246"/>
    <mergeCell ref="D46:E46"/>
    <mergeCell ref="V5:W5"/>
    <mergeCell ref="D40:E40"/>
    <mergeCell ref="A295:O296"/>
    <mergeCell ref="D233:E233"/>
    <mergeCell ref="Q8:R8"/>
    <mergeCell ref="P311:T311"/>
    <mergeCell ref="P140:T140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63:V63"/>
    <mergeCell ref="A470:Z470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A285:O286"/>
    <mergeCell ref="P211:T211"/>
    <mergeCell ref="P309:T309"/>
    <mergeCell ref="P324:T324"/>
    <mergeCell ref="A261:Z261"/>
    <mergeCell ref="P338:V338"/>
    <mergeCell ref="P313:V313"/>
    <mergeCell ref="A138:Z138"/>
    <mergeCell ref="D87:E87"/>
    <mergeCell ref="A367:Z367"/>
    <mergeCell ref="P115:T115"/>
    <mergeCell ref="D254:E254"/>
    <mergeCell ref="A183:Z183"/>
    <mergeCell ref="A88:O89"/>
    <mergeCell ref="D140:E140"/>
    <mergeCell ref="J9:M9"/>
    <mergeCell ref="A418:Z418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D347:E347"/>
    <mergeCell ref="P304:T304"/>
    <mergeCell ref="A38:Z38"/>
    <mergeCell ref="A340:Z340"/>
    <mergeCell ref="D425:E425"/>
    <mergeCell ref="D359:E359"/>
    <mergeCell ref="H17:H18"/>
    <mergeCell ref="A220:O221"/>
    <mergeCell ref="P161:T161"/>
    <mergeCell ref="P388:T388"/>
    <mergeCell ref="V6:W9"/>
    <mergeCell ref="G17:G18"/>
    <mergeCell ref="P321:T321"/>
    <mergeCell ref="C497:C498"/>
    <mergeCell ref="D176:E176"/>
    <mergeCell ref="D114:E114"/>
    <mergeCell ref="E497:E498"/>
    <mergeCell ref="P220:V220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P330:T330"/>
    <mergeCell ref="D461:E461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57:V57"/>
    <mergeCell ref="A81:O82"/>
    <mergeCell ref="D80:E80"/>
    <mergeCell ref="P46:T46"/>
    <mergeCell ref="P61:T61"/>
    <mergeCell ref="D200:E200"/>
    <mergeCell ref="P359:T359"/>
    <mergeCell ref="D436:E436"/>
    <mergeCell ref="A305:O306"/>
    <mergeCell ref="P346:T346"/>
    <mergeCell ref="D292:E292"/>
    <mergeCell ref="D227:E227"/>
    <mergeCell ref="P40:T40"/>
    <mergeCell ref="P451:T451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Z17:Z18"/>
    <mergeCell ref="K497:K498"/>
    <mergeCell ref="M497:M498"/>
    <mergeCell ref="D415:E415"/>
    <mergeCell ref="P394:V394"/>
    <mergeCell ref="P257:T257"/>
    <mergeCell ref="P80:T80"/>
    <mergeCell ref="D441:E441"/>
    <mergeCell ref="P398:T398"/>
    <mergeCell ref="P227:T227"/>
    <mergeCell ref="D368:E368"/>
    <mergeCell ref="P106:T106"/>
    <mergeCell ref="D481:E481"/>
    <mergeCell ref="P226:T226"/>
    <mergeCell ref="P335:T335"/>
    <mergeCell ref="D256:E256"/>
    <mergeCell ref="D207:E207"/>
    <mergeCell ref="P164:T164"/>
    <mergeCell ref="P120:V120"/>
    <mergeCell ref="P93:T93"/>
    <mergeCell ref="D85:E85"/>
    <mergeCell ref="D299:E299"/>
    <mergeCell ref="P483:V483"/>
    <mergeCell ref="D298:E298"/>
    <mergeCell ref="U497:U498"/>
    <mergeCell ref="AB17:AB18"/>
    <mergeCell ref="A90:Z90"/>
    <mergeCell ref="D446:E446"/>
    <mergeCell ref="A277:Z277"/>
    <mergeCell ref="P44:V44"/>
    <mergeCell ref="H5:M5"/>
    <mergeCell ref="P31:V31"/>
    <mergeCell ref="P473:V473"/>
    <mergeCell ref="P158:V158"/>
    <mergeCell ref="A154:Z154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P460:T460"/>
    <mergeCell ref="A9:C9"/>
    <mergeCell ref="D373:E373"/>
    <mergeCell ref="D202:E202"/>
    <mergeCell ref="A242:O243"/>
    <mergeCell ref="A179:Z179"/>
    <mergeCell ref="C496:H496"/>
    <mergeCell ref="P112:T112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S497:S498"/>
    <mergeCell ref="P468:V468"/>
    <mergeCell ref="A464:Z464"/>
    <mergeCell ref="P171:V171"/>
    <mergeCell ref="P242:V242"/>
    <mergeCell ref="P121:V121"/>
    <mergeCell ref="D459:E459"/>
    <mergeCell ref="P148:V148"/>
    <mergeCell ref="P130:T130"/>
    <mergeCell ref="P190:T190"/>
    <mergeCell ref="P482:V482"/>
    <mergeCell ref="D225:E225"/>
    <mergeCell ref="P409:T409"/>
    <mergeCell ref="A399:O400"/>
    <mergeCell ref="W497:W498"/>
    <mergeCell ref="A455:Z455"/>
    <mergeCell ref="A222:Z222"/>
    <mergeCell ref="D385:E385"/>
    <mergeCell ref="P301:T301"/>
    <mergeCell ref="D257:E257"/>
    <mergeCell ref="P214:T214"/>
    <mergeCell ref="D213:E213"/>
    <mergeCell ref="P192:V192"/>
    <mergeCell ref="D151:E151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P312:V312"/>
    <mergeCell ref="P371:V371"/>
    <mergeCell ref="P421:T421"/>
    <mergeCell ref="A411:O412"/>
    <mergeCell ref="P408:T408"/>
    <mergeCell ref="D218:E21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A20:Z20"/>
    <mergeCell ref="D17:E18"/>
    <mergeCell ref="V12:W12"/>
    <mergeCell ref="U17:V17"/>
    <mergeCell ref="Y17:Y18"/>
    <mergeCell ref="X17:X18"/>
    <mergeCell ref="A318:O319"/>
    <mergeCell ref="P47:V47"/>
    <mergeCell ref="P176:T176"/>
    <mergeCell ref="P247:T247"/>
    <mergeCell ref="P114:T114"/>
    <mergeCell ref="P241:T241"/>
    <mergeCell ref="P41:T41"/>
    <mergeCell ref="D86:E86"/>
    <mergeCell ref="D321:E321"/>
    <mergeCell ref="D29:E29"/>
    <mergeCell ref="P344:T344"/>
    <mergeCell ref="D265:E265"/>
    <mergeCell ref="A192:O193"/>
    <mergeCell ref="D279:E279"/>
    <mergeCell ref="A136:O137"/>
    <mergeCell ref="D421:E421"/>
    <mergeCell ref="A479:Z479"/>
    <mergeCell ref="D191:E191"/>
    <mergeCell ref="D458:E458"/>
    <mergeCell ref="P368:T368"/>
    <mergeCell ref="A362:Z362"/>
    <mergeCell ref="D389:E389"/>
    <mergeCell ref="A457:Z457"/>
    <mergeCell ref="P278:T278"/>
    <mergeCell ref="P107:T107"/>
    <mergeCell ref="P101:T101"/>
    <mergeCell ref="D428:E428"/>
    <mergeCell ref="P91:T91"/>
    <mergeCell ref="P404:V404"/>
    <mergeCell ref="D273:E273"/>
    <mergeCell ref="A160:Z160"/>
    <mergeCell ref="P212:T212"/>
    <mergeCell ref="P405:V405"/>
    <mergeCell ref="AD17:AF18"/>
    <mergeCell ref="P142:V142"/>
    <mergeCell ref="D101:E101"/>
    <mergeCell ref="P117:V117"/>
    <mergeCell ref="F5:G5"/>
    <mergeCell ref="P365:V36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P146:T146"/>
    <mergeCell ref="D397:E397"/>
    <mergeCell ref="P376:V376"/>
    <mergeCell ref="D310:E310"/>
    <mergeCell ref="Q5:R5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36:E336"/>
    <mergeCell ref="P293:T293"/>
    <mergeCell ref="D407:E407"/>
    <mergeCell ref="Q6:R6"/>
    <mergeCell ref="P200:T200"/>
    <mergeCell ref="P134:T134"/>
    <mergeCell ref="D386:E386"/>
    <mergeCell ref="P250:V250"/>
    <mergeCell ref="A364:O365"/>
    <mergeCell ref="A103:O104"/>
    <mergeCell ref="P415:T415"/>
    <mergeCell ref="P286:V286"/>
    <mergeCell ref="P336:T336"/>
    <mergeCell ref="P131:V131"/>
    <mergeCell ref="P187:V187"/>
    <mergeCell ref="F17:F18"/>
    <mergeCell ref="A447:O448"/>
    <mergeCell ref="I496:R496"/>
    <mergeCell ref="B497:B498"/>
    <mergeCell ref="P492:V492"/>
    <mergeCell ref="S496:T496"/>
    <mergeCell ref="A453:O454"/>
    <mergeCell ref="P494:V494"/>
    <mergeCell ref="P430:T430"/>
    <mergeCell ref="P350:V350"/>
    <mergeCell ref="A297:Z297"/>
    <mergeCell ref="P196:T196"/>
    <mergeCell ref="P281:V281"/>
    <mergeCell ref="P354:T354"/>
    <mergeCell ref="D226:E226"/>
    <mergeCell ref="D164:E164"/>
    <mergeCell ref="A484:Z484"/>
    <mergeCell ref="P493:V493"/>
    <mergeCell ref="D452:E452"/>
    <mergeCell ref="P465:T465"/>
    <mergeCell ref="D430:E430"/>
    <mergeCell ref="P469:V469"/>
    <mergeCell ref="P486:T486"/>
    <mergeCell ref="D450:E450"/>
    <mergeCell ref="T497:T498"/>
    <mergeCell ref="D196:E196"/>
    <mergeCell ref="V497:V498"/>
    <mergeCell ref="A440:Z440"/>
    <mergeCell ref="A269:Z269"/>
    <mergeCell ref="A126:O127"/>
    <mergeCell ref="P294:T294"/>
    <mergeCell ref="P381:V381"/>
    <mergeCell ref="A262:Z262"/>
    <mergeCell ref="A333:Z333"/>
    <mergeCell ref="D271:E271"/>
    <mergeCell ref="Q497:Q498"/>
    <mergeCell ref="G497:G498"/>
    <mergeCell ref="I497:I498"/>
    <mergeCell ref="P373:T373"/>
    <mergeCell ref="P202:T202"/>
    <mergeCell ref="P444:T444"/>
    <mergeCell ref="D344:E344"/>
    <mergeCell ref="D471:E471"/>
    <mergeCell ref="A497:A498"/>
    <mergeCell ref="D170:E170"/>
    <mergeCell ref="P132:V132"/>
    <mergeCell ref="P199:T199"/>
    <mergeCell ref="L497:L49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D291:E291"/>
    <mergeCell ref="D266:E266"/>
    <mergeCell ref="P174:T174"/>
    <mergeCell ref="P410:T410"/>
    <mergeCell ref="P385:T385"/>
    <mergeCell ref="D408:E408"/>
    <mergeCell ref="P216:V216"/>
    <mergeCell ref="A487:O488"/>
    <mergeCell ref="P81:V81"/>
    <mergeCell ref="D54:E54"/>
    <mergeCell ref="D42:E42"/>
    <mergeCell ref="P72:T72"/>
    <mergeCell ref="A401:Z401"/>
    <mergeCell ref="A152:O153"/>
    <mergeCell ref="P459:T459"/>
    <mergeCell ref="A8:C8"/>
    <mergeCell ref="P124:T124"/>
    <mergeCell ref="D293:E293"/>
    <mergeCell ref="A477:O478"/>
    <mergeCell ref="P151:T151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296:V296"/>
    <mergeCell ref="P356:V356"/>
    <mergeCell ref="A468:O469"/>
    <mergeCell ref="P363:T363"/>
    <mergeCell ref="A33:Z33"/>
    <mergeCell ref="A31:O32"/>
    <mergeCell ref="N17:N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5 X387 X397:X398 X407 X421 X423:X424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NvGA1ffhtuTHDBr1gTaPeBNals08gBHrJnT+1rugpBzaNS7JgQ5aJK5LofGyOWT3UTo00B4doQxzch74YseIEw==" saltValue="IqqHN+MglwBB/YjfUeR2v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2025-11-24T10:45:09Z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