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1E1059-B989-4367-9621-DBF2EAD395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Y482" i="1" s="1"/>
  <c r="P480" i="1"/>
  <c r="X478" i="1"/>
  <c r="X477" i="1"/>
  <c r="BO476" i="1"/>
  <c r="BM476" i="1"/>
  <c r="Y476" i="1"/>
  <c r="Y478" i="1" s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BP458" i="1" s="1"/>
  <c r="P458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BP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Z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Z30" i="1" l="1"/>
  <c r="BN30" i="1"/>
  <c r="Z53" i="1"/>
  <c r="BN53" i="1"/>
  <c r="Z73" i="1"/>
  <c r="BN73" i="1"/>
  <c r="Z93" i="1"/>
  <c r="BN93" i="1"/>
  <c r="Z108" i="1"/>
  <c r="BN108" i="1"/>
  <c r="Y116" i="1"/>
  <c r="Z129" i="1"/>
  <c r="BN129" i="1"/>
  <c r="Z148" i="1"/>
  <c r="BN148" i="1"/>
  <c r="Z165" i="1"/>
  <c r="BN165" i="1"/>
  <c r="Z186" i="1"/>
  <c r="BN186" i="1"/>
  <c r="Z190" i="1"/>
  <c r="BN190" i="1"/>
  <c r="Z202" i="1"/>
  <c r="BN202" i="1"/>
  <c r="Z211" i="1"/>
  <c r="BN211" i="1"/>
  <c r="Z226" i="1"/>
  <c r="BN226" i="1"/>
  <c r="Z246" i="1"/>
  <c r="BN246" i="1"/>
  <c r="Z264" i="1"/>
  <c r="BN264" i="1"/>
  <c r="Y274" i="1"/>
  <c r="Z289" i="1"/>
  <c r="BN289" i="1"/>
  <c r="Z301" i="1"/>
  <c r="BN301" i="1"/>
  <c r="Z311" i="1"/>
  <c r="BN311" i="1"/>
  <c r="Z328" i="1"/>
  <c r="BN32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Y149" i="1"/>
  <c r="BP303" i="1"/>
  <c r="BN303" i="1"/>
  <c r="Z303" i="1"/>
  <c r="BP315" i="1"/>
  <c r="BN315" i="1"/>
  <c r="Z315" i="1"/>
  <c r="BP322" i="1"/>
  <c r="BN322" i="1"/>
  <c r="Z322" i="1"/>
  <c r="Z325" i="1" s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6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3" i="1"/>
  <c r="BN163" i="1"/>
  <c r="Z167" i="1"/>
  <c r="BN167" i="1"/>
  <c r="Z175" i="1"/>
  <c r="BN175" i="1"/>
  <c r="Z196" i="1"/>
  <c r="BN196" i="1"/>
  <c r="Z200" i="1"/>
  <c r="BN200" i="1"/>
  <c r="Z206" i="1"/>
  <c r="BN206" i="1"/>
  <c r="Z213" i="1"/>
  <c r="BN213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78" i="1"/>
  <c r="BN278" i="1"/>
  <c r="Z291" i="1"/>
  <c r="BN291" i="1"/>
  <c r="Z297" i="1"/>
  <c r="BN297" i="1"/>
  <c r="BP297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Y380" i="1"/>
  <c r="Z442" i="1"/>
  <c r="BN442" i="1"/>
  <c r="Z446" i="1"/>
  <c r="BN446" i="1"/>
  <c r="Y454" i="1"/>
  <c r="Z452" i="1"/>
  <c r="BN452" i="1"/>
  <c r="Y453" i="1"/>
  <c r="Z458" i="1"/>
  <c r="BN458" i="1"/>
  <c r="Z466" i="1"/>
  <c r="BN466" i="1"/>
  <c r="Z476" i="1"/>
  <c r="Z477" i="1" s="1"/>
  <c r="BN476" i="1"/>
  <c r="BP476" i="1"/>
  <c r="Y477" i="1"/>
  <c r="Z480" i="1"/>
  <c r="BN480" i="1"/>
  <c r="BP480" i="1"/>
  <c r="Y31" i="1"/>
  <c r="Y43" i="1"/>
  <c r="Y58" i="1"/>
  <c r="Y64" i="1"/>
  <c r="Y70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12" i="1" l="1"/>
  <c r="Z304" i="1"/>
  <c r="Z259" i="1"/>
  <c r="Z250" i="1"/>
  <c r="Z131" i="1"/>
  <c r="Z116" i="1"/>
  <c r="Z95" i="1"/>
  <c r="Z76" i="1"/>
  <c r="Z63" i="1"/>
  <c r="X492" i="1"/>
  <c r="Z143" i="1"/>
  <c r="Y491" i="1"/>
  <c r="Z57" i="1"/>
  <c r="Z31" i="1"/>
  <c r="Z267" i="1"/>
  <c r="Z234" i="1"/>
  <c r="Z350" i="1"/>
  <c r="Y490" i="1"/>
  <c r="Y492" i="1" s="1"/>
  <c r="Z215" i="1"/>
  <c r="Y493" i="1"/>
  <c r="Z394" i="1"/>
  <c r="Z294" i="1"/>
  <c r="Z171" i="1"/>
  <c r="Z103" i="1"/>
  <c r="Z438" i="1"/>
  <c r="Z447" i="1"/>
  <c r="Z432" i="1"/>
  <c r="Z69" i="1"/>
  <c r="Y489" i="1"/>
  <c r="Z203" i="1"/>
  <c r="Z177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<sst xmlns="http://schemas.openxmlformats.org/spreadsheetml/2006/main" count="2347" uniqueCount="766">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</sst>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4" t="s">
        <v>0</v>
      </c>
      <c r="E1" s="570"/>
      <c r="F1" s="570"/>
      <c r="G1" s="12" t="s">
        <v>1</v>
      </c>
      <c r="H1" s="62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6" t="s">
        <v>8</v>
      </c>
      <c r="B5" s="635"/>
      <c r="C5" s="636"/>
      <c r="D5" s="619"/>
      <c r="E5" s="620"/>
      <c r="F5" s="832" t="s">
        <v>9</v>
      </c>
      <c r="G5" s="636"/>
      <c r="H5" s="619" t="s">
        <v>765</v>
      </c>
      <c r="I5" s="774"/>
      <c r="J5" s="774"/>
      <c r="K5" s="774"/>
      <c r="L5" s="774"/>
      <c r="M5" s="620"/>
      <c r="N5" s="58"/>
      <c r="P5" s="24" t="s">
        <v>10</v>
      </c>
      <c r="Q5" s="838">
        <v>45974</v>
      </c>
      <c r="R5" s="631"/>
      <c r="T5" s="706" t="s">
        <v>11</v>
      </c>
      <c r="U5" s="707"/>
      <c r="V5" s="708" t="s">
        <v>12</v>
      </c>
      <c r="W5" s="631"/>
      <c r="AB5" s="51"/>
      <c r="AC5" s="51"/>
      <c r="AD5" s="51"/>
      <c r="AE5" s="51"/>
    </row>
    <row r="6" spans="1:32" s="538" customFormat="1" ht="24" customHeight="1" x14ac:dyDescent="0.2">
      <c r="A6" s="656" t="s">
        <v>13</v>
      </c>
      <c r="B6" s="635"/>
      <c r="C6" s="636"/>
      <c r="D6" s="776" t="s">
        <v>14</v>
      </c>
      <c r="E6" s="777"/>
      <c r="F6" s="777"/>
      <c r="G6" s="777"/>
      <c r="H6" s="777"/>
      <c r="I6" s="777"/>
      <c r="J6" s="777"/>
      <c r="K6" s="777"/>
      <c r="L6" s="777"/>
      <c r="M6" s="631"/>
      <c r="N6" s="59"/>
      <c r="P6" s="24" t="s">
        <v>15</v>
      </c>
      <c r="Q6" s="821" t="str">
        <f>IF(Q5=0," ",CHOOSE(WEEKDAY(Q5,2),"Понедельник","Вторник","Среда","Четверг","Пятница","Суббота","Воскресенье"))</f>
        <v>Четверг</v>
      </c>
      <c r="R6" s="546"/>
      <c r="T6" s="712" t="s">
        <v>16</v>
      </c>
      <c r="U6" s="707"/>
      <c r="V6" s="756" t="s">
        <v>17</v>
      </c>
      <c r="W6" s="581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1"/>
      <c r="U7" s="707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53" t="s">
        <v>18</v>
      </c>
      <c r="B8" s="556"/>
      <c r="C8" s="557"/>
      <c r="D8" s="616" t="s">
        <v>19</v>
      </c>
      <c r="E8" s="617"/>
      <c r="F8" s="617"/>
      <c r="G8" s="617"/>
      <c r="H8" s="617"/>
      <c r="I8" s="617"/>
      <c r="J8" s="617"/>
      <c r="K8" s="617"/>
      <c r="L8" s="617"/>
      <c r="M8" s="618"/>
      <c r="N8" s="61"/>
      <c r="P8" s="24" t="s">
        <v>20</v>
      </c>
      <c r="Q8" s="665">
        <v>0.5</v>
      </c>
      <c r="R8" s="614"/>
      <c r="T8" s="551"/>
      <c r="U8" s="707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73"/>
      <c r="E9" s="560"/>
      <c r="F9" s="6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9"/>
      <c r="P9" s="26" t="s">
        <v>21</v>
      </c>
      <c r="Q9" s="628"/>
      <c r="R9" s="629"/>
      <c r="T9" s="551"/>
      <c r="U9" s="707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73"/>
      <c r="E10" s="560"/>
      <c r="F10" s="6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33" t="str">
        <f>IFERROR(VLOOKUP($D$10,Proxy,2,FALSE),"")</f>
        <v/>
      </c>
      <c r="I10" s="551"/>
      <c r="J10" s="551"/>
      <c r="K10" s="551"/>
      <c r="L10" s="551"/>
      <c r="M10" s="551"/>
      <c r="N10" s="537"/>
      <c r="P10" s="26" t="s">
        <v>22</v>
      </c>
      <c r="Q10" s="713"/>
      <c r="R10" s="714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30"/>
      <c r="R11" s="631"/>
      <c r="U11" s="24" t="s">
        <v>27</v>
      </c>
      <c r="V11" s="787" t="s">
        <v>28</v>
      </c>
      <c r="W11" s="62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1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30</v>
      </c>
      <c r="Q12" s="665"/>
      <c r="R12" s="614"/>
      <c r="S12" s="23"/>
      <c r="U12" s="24"/>
      <c r="V12" s="570"/>
      <c r="W12" s="551"/>
      <c r="AB12" s="51"/>
      <c r="AC12" s="51"/>
      <c r="AD12" s="51"/>
      <c r="AE12" s="51"/>
    </row>
    <row r="13" spans="1:32" s="538" customFormat="1" ht="23.25" customHeight="1" x14ac:dyDescent="0.2">
      <c r="A13" s="691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32</v>
      </c>
      <c r="Q13" s="787"/>
      <c r="R13" s="6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1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699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0"/>
      <c r="Q16" s="700"/>
      <c r="R16" s="700"/>
      <c r="S16" s="700"/>
      <c r="T16" s="7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667" t="s">
        <v>38</v>
      </c>
      <c r="D17" s="563" t="s">
        <v>39</v>
      </c>
      <c r="E17" s="642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641"/>
      <c r="R17" s="641"/>
      <c r="S17" s="641"/>
      <c r="T17" s="642"/>
      <c r="U17" s="858" t="s">
        <v>51</v>
      </c>
      <c r="V17" s="636"/>
      <c r="W17" s="563" t="s">
        <v>52</v>
      </c>
      <c r="X17" s="563" t="s">
        <v>53</v>
      </c>
      <c r="Y17" s="859" t="s">
        <v>54</v>
      </c>
      <c r="Z17" s="770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64"/>
      <c r="B18" s="564"/>
      <c r="C18" s="564"/>
      <c r="D18" s="643"/>
      <c r="E18" s="645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64"/>
      <c r="X18" s="564"/>
      <c r="Y18" s="860"/>
      <c r="Z18" s="771"/>
      <c r="AA18" s="735"/>
      <c r="AB18" s="735"/>
      <c r="AC18" s="735"/>
      <c r="AD18" s="829"/>
      <c r="AE18" s="830"/>
      <c r="AF18" s="831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4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3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55" t="s">
        <v>71</v>
      </c>
      <c r="Q23" s="556"/>
      <c r="R23" s="556"/>
      <c r="S23" s="556"/>
      <c r="T23" s="556"/>
      <c r="U23" s="556"/>
      <c r="V23" s="55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55" t="s">
        <v>71</v>
      </c>
      <c r="Q24" s="556"/>
      <c r="R24" s="556"/>
      <c r="S24" s="556"/>
      <c r="T24" s="556"/>
      <c r="U24" s="556"/>
      <c r="V24" s="55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5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55" t="s">
        <v>71</v>
      </c>
      <c r="Q31" s="556"/>
      <c r="R31" s="556"/>
      <c r="S31" s="556"/>
      <c r="T31" s="556"/>
      <c r="U31" s="556"/>
      <c r="V31" s="55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55" t="s">
        <v>71</v>
      </c>
      <c r="Q32" s="556"/>
      <c r="R32" s="556"/>
      <c r="S32" s="556"/>
      <c r="T32" s="556"/>
      <c r="U32" s="556"/>
      <c r="V32" s="55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55" t="s">
        <v>71</v>
      </c>
      <c r="Q35" s="556"/>
      <c r="R35" s="556"/>
      <c r="S35" s="556"/>
      <c r="T35" s="556"/>
      <c r="U35" s="556"/>
      <c r="V35" s="55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55" t="s">
        <v>71</v>
      </c>
      <c r="Q36" s="556"/>
      <c r="R36" s="556"/>
      <c r="S36" s="556"/>
      <c r="T36" s="556"/>
      <c r="U36" s="556"/>
      <c r="V36" s="55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4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3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55" t="s">
        <v>71</v>
      </c>
      <c r="Q43" s="556"/>
      <c r="R43" s="556"/>
      <c r="S43" s="556"/>
      <c r="T43" s="556"/>
      <c r="U43" s="556"/>
      <c r="V43" s="557"/>
      <c r="W43" s="37" t="s">
        <v>72</v>
      </c>
      <c r="X43" s="543">
        <f>IFERROR(X40/H40,"0")+IFERROR(X41/H41,"0")+IFERROR(X42/H42,"0")</f>
        <v>4.6296296296296298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9.4899999999999998E-2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55" t="s">
        <v>71</v>
      </c>
      <c r="Q44" s="556"/>
      <c r="R44" s="556"/>
      <c r="S44" s="556"/>
      <c r="T44" s="556"/>
      <c r="U44" s="556"/>
      <c r="V44" s="557"/>
      <c r="W44" s="37" t="s">
        <v>69</v>
      </c>
      <c r="X44" s="543">
        <f>IFERROR(SUM(X40:X42),"0")</f>
        <v>50</v>
      </c>
      <c r="Y44" s="543">
        <f>IFERROR(SUM(Y40:Y42),"0")</f>
        <v>54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55" t="s">
        <v>71</v>
      </c>
      <c r="Q47" s="556"/>
      <c r="R47" s="556"/>
      <c r="S47" s="556"/>
      <c r="T47" s="556"/>
      <c r="U47" s="556"/>
      <c r="V47" s="55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55" t="s">
        <v>71</v>
      </c>
      <c r="Q48" s="556"/>
      <c r="R48" s="556"/>
      <c r="S48" s="556"/>
      <c r="T48" s="556"/>
      <c r="U48" s="556"/>
      <c r="V48" s="55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4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3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50</v>
      </c>
      <c r="Y52" s="54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55" t="s">
        <v>71</v>
      </c>
      <c r="Q57" s="556"/>
      <c r="R57" s="556"/>
      <c r="S57" s="556"/>
      <c r="T57" s="556"/>
      <c r="U57" s="556"/>
      <c r="V57" s="557"/>
      <c r="W57" s="37" t="s">
        <v>72</v>
      </c>
      <c r="X57" s="543">
        <f>IFERROR(X51/H51,"0")+IFERROR(X52/H52,"0")+IFERROR(X53/H53,"0")+IFERROR(X54/H54,"0")+IFERROR(X55/H55,"0")+IFERROR(X56/H56,"0")</f>
        <v>4.6296296296296298</v>
      </c>
      <c r="Y57" s="543">
        <f>IFERROR(Y51/H51,"0")+IFERROR(Y52/H52,"0")+IFERROR(Y53/H53,"0")+IFERROR(Y54/H54,"0")+IFERROR(Y55/H55,"0")+IFERROR(Y56/H56,"0")</f>
        <v>5</v>
      </c>
      <c r="Z57" s="543">
        <f>IFERROR(IF(Z51="",0,Z51),"0")+IFERROR(IF(Z52="",0,Z52),"0")+IFERROR(IF(Z53="",0,Z53),"0")+IFERROR(IF(Z54="",0,Z54),"0")+IFERROR(IF(Z55="",0,Z55),"0")+IFERROR(IF(Z56="",0,Z56),"0")</f>
        <v>9.4899999999999998E-2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55" t="s">
        <v>71</v>
      </c>
      <c r="Q58" s="556"/>
      <c r="R58" s="556"/>
      <c r="S58" s="556"/>
      <c r="T58" s="556"/>
      <c r="U58" s="556"/>
      <c r="V58" s="557"/>
      <c r="W58" s="37" t="s">
        <v>69</v>
      </c>
      <c r="X58" s="543">
        <f>IFERROR(SUM(X51:X56),"0")</f>
        <v>50</v>
      </c>
      <c r="Y58" s="543">
        <f>IFERROR(SUM(Y51:Y56),"0")</f>
        <v>54</v>
      </c>
      <c r="Z58" s="37"/>
      <c r="AA58" s="544"/>
      <c r="AB58" s="544"/>
      <c r="AC58" s="544"/>
    </row>
    <row r="59" spans="1:68" ht="14.25" hidden="1" customHeight="1" x14ac:dyDescent="0.25">
      <c r="A59" s="553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120</v>
      </c>
      <c r="Y60" s="542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55" t="s">
        <v>71</v>
      </c>
      <c r="Q63" s="556"/>
      <c r="R63" s="556"/>
      <c r="S63" s="556"/>
      <c r="T63" s="556"/>
      <c r="U63" s="556"/>
      <c r="V63" s="557"/>
      <c r="W63" s="37" t="s">
        <v>72</v>
      </c>
      <c r="X63" s="543">
        <f>IFERROR(X60/H60,"0")+IFERROR(X61/H61,"0")+IFERROR(X62/H62,"0")</f>
        <v>11.111111111111111</v>
      </c>
      <c r="Y63" s="543">
        <f>IFERROR(Y60/H60,"0")+IFERROR(Y61/H61,"0")+IFERROR(Y62/H62,"0")</f>
        <v>12.000000000000002</v>
      </c>
      <c r="Z63" s="543">
        <f>IFERROR(IF(Z60="",0,Z60),"0")+IFERROR(IF(Z61="",0,Z61),"0")+IFERROR(IF(Z62="",0,Z62),"0")</f>
        <v>0.22776000000000002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55" t="s">
        <v>71</v>
      </c>
      <c r="Q64" s="556"/>
      <c r="R64" s="556"/>
      <c r="S64" s="556"/>
      <c r="T64" s="556"/>
      <c r="U64" s="556"/>
      <c r="V64" s="557"/>
      <c r="W64" s="37" t="s">
        <v>69</v>
      </c>
      <c r="X64" s="543">
        <f>IFERROR(SUM(X60:X62),"0")</f>
        <v>120</v>
      </c>
      <c r="Y64" s="543">
        <f>IFERROR(SUM(Y60:Y62),"0")</f>
        <v>129.60000000000002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55" t="s">
        <v>71</v>
      </c>
      <c r="Q69" s="556"/>
      <c r="R69" s="556"/>
      <c r="S69" s="556"/>
      <c r="T69" s="556"/>
      <c r="U69" s="556"/>
      <c r="V69" s="55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55" t="s">
        <v>71</v>
      </c>
      <c r="Q70" s="556"/>
      <c r="R70" s="556"/>
      <c r="S70" s="556"/>
      <c r="T70" s="556"/>
      <c r="U70" s="556"/>
      <c r="V70" s="55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0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55" t="s">
        <v>71</v>
      </c>
      <c r="Q76" s="556"/>
      <c r="R76" s="556"/>
      <c r="S76" s="556"/>
      <c r="T76" s="556"/>
      <c r="U76" s="556"/>
      <c r="V76" s="55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55" t="s">
        <v>71</v>
      </c>
      <c r="Q77" s="556"/>
      <c r="R77" s="556"/>
      <c r="S77" s="556"/>
      <c r="T77" s="556"/>
      <c r="U77" s="556"/>
      <c r="V77" s="55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55" t="s">
        <v>71</v>
      </c>
      <c r="Q81" s="556"/>
      <c r="R81" s="556"/>
      <c r="S81" s="556"/>
      <c r="T81" s="556"/>
      <c r="U81" s="556"/>
      <c r="V81" s="55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55" t="s">
        <v>71</v>
      </c>
      <c r="Q82" s="556"/>
      <c r="R82" s="556"/>
      <c r="S82" s="556"/>
      <c r="T82" s="556"/>
      <c r="U82" s="556"/>
      <c r="V82" s="55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4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3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70</v>
      </c>
      <c r="Y85" s="542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72.657407407407405</v>
      </c>
      <c r="BN85" s="64">
        <f>IFERROR(Y85*I85/H85,"0")</f>
        <v>78.47</v>
      </c>
      <c r="BO85" s="64">
        <f>IFERROR(1/J85*(X85/H85),"0")</f>
        <v>0.10127314814814814</v>
      </c>
      <c r="BP85" s="64">
        <f>IFERROR(1/J85*(Y85/H85),"0")</f>
        <v>0.109375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55" t="s">
        <v>71</v>
      </c>
      <c r="Q88" s="556"/>
      <c r="R88" s="556"/>
      <c r="S88" s="556"/>
      <c r="T88" s="556"/>
      <c r="U88" s="556"/>
      <c r="V88" s="557"/>
      <c r="W88" s="37" t="s">
        <v>72</v>
      </c>
      <c r="X88" s="543">
        <f>IFERROR(X85/H85,"0")+IFERROR(X86/H86,"0")+IFERROR(X87/H87,"0")</f>
        <v>6.481481481481481</v>
      </c>
      <c r="Y88" s="543">
        <f>IFERROR(Y85/H85,"0")+IFERROR(Y86/H86,"0")+IFERROR(Y87/H87,"0")</f>
        <v>7</v>
      </c>
      <c r="Z88" s="543">
        <f>IFERROR(IF(Z85="",0,Z85),"0")+IFERROR(IF(Z86="",0,Z86),"0")+IFERROR(IF(Z87="",0,Z87),"0")</f>
        <v>0.13286000000000001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55" t="s">
        <v>71</v>
      </c>
      <c r="Q89" s="556"/>
      <c r="R89" s="556"/>
      <c r="S89" s="556"/>
      <c r="T89" s="556"/>
      <c r="U89" s="556"/>
      <c r="V89" s="557"/>
      <c r="W89" s="37" t="s">
        <v>69</v>
      </c>
      <c r="X89" s="543">
        <f>IFERROR(SUM(X85:X87),"0")</f>
        <v>70</v>
      </c>
      <c r="Y89" s="543">
        <f>IFERROR(SUM(Y85:Y87),"0")</f>
        <v>75.600000000000009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5"/>
      <c r="AB90" s="535"/>
      <c r="AC90" s="535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55" t="s">
        <v>71</v>
      </c>
      <c r="Q95" s="556"/>
      <c r="R95" s="556"/>
      <c r="S95" s="556"/>
      <c r="T95" s="556"/>
      <c r="U95" s="556"/>
      <c r="V95" s="557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55" t="s">
        <v>71</v>
      </c>
      <c r="Q96" s="556"/>
      <c r="R96" s="556"/>
      <c r="S96" s="556"/>
      <c r="T96" s="556"/>
      <c r="U96" s="556"/>
      <c r="V96" s="557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4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3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5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55" t="s">
        <v>71</v>
      </c>
      <c r="Q103" s="556"/>
      <c r="R103" s="556"/>
      <c r="S103" s="556"/>
      <c r="T103" s="556"/>
      <c r="U103" s="556"/>
      <c r="V103" s="557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55" t="s">
        <v>71</v>
      </c>
      <c r="Q104" s="556"/>
      <c r="R104" s="556"/>
      <c r="S104" s="556"/>
      <c r="T104" s="556"/>
      <c r="U104" s="556"/>
      <c r="V104" s="557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55" t="s">
        <v>71</v>
      </c>
      <c r="Q109" s="556"/>
      <c r="R109" s="556"/>
      <c r="S109" s="556"/>
      <c r="T109" s="556"/>
      <c r="U109" s="556"/>
      <c r="V109" s="55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55" t="s">
        <v>71</v>
      </c>
      <c r="Q110" s="556"/>
      <c r="R110" s="556"/>
      <c r="S110" s="556"/>
      <c r="T110" s="556"/>
      <c r="U110" s="556"/>
      <c r="V110" s="55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40</v>
      </c>
      <c r="Y112" s="542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42.409876543209876</v>
      </c>
      <c r="BN112" s="64">
        <f>IFERROR(Y112*I112/H112,"0")</f>
        <v>42.94</v>
      </c>
      <c r="BO112" s="64">
        <f>IFERROR(1/J112*(X112/H112),"0")</f>
        <v>7.7160493827160503E-2</v>
      </c>
      <c r="BP112" s="64">
        <f>IFERROR(1/J112*(Y112/H112),"0")</f>
        <v>7.8125E-2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55" t="s">
        <v>71</v>
      </c>
      <c r="Q116" s="556"/>
      <c r="R116" s="556"/>
      <c r="S116" s="556"/>
      <c r="T116" s="556"/>
      <c r="U116" s="556"/>
      <c r="V116" s="557"/>
      <c r="W116" s="37" t="s">
        <v>72</v>
      </c>
      <c r="X116" s="543">
        <f>IFERROR(X112/H112,"0")+IFERROR(X113/H113,"0")+IFERROR(X114/H114,"0")+IFERROR(X115/H115,"0")</f>
        <v>4.9382716049382722</v>
      </c>
      <c r="Y116" s="543">
        <f>IFERROR(Y112/H112,"0")+IFERROR(Y113/H113,"0")+IFERROR(Y114/H114,"0")+IFERROR(Y115/H115,"0")</f>
        <v>5</v>
      </c>
      <c r="Z116" s="543">
        <f>IFERROR(IF(Z112="",0,Z112),"0")+IFERROR(IF(Z113="",0,Z113),"0")+IFERROR(IF(Z114="",0,Z114),"0")+IFERROR(IF(Z115="",0,Z115),"0")</f>
        <v>9.4899999999999998E-2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55" t="s">
        <v>71</v>
      </c>
      <c r="Q117" s="556"/>
      <c r="R117" s="556"/>
      <c r="S117" s="556"/>
      <c r="T117" s="556"/>
      <c r="U117" s="556"/>
      <c r="V117" s="557"/>
      <c r="W117" s="37" t="s">
        <v>69</v>
      </c>
      <c r="X117" s="543">
        <f>IFERROR(SUM(X112:X115),"0")</f>
        <v>40</v>
      </c>
      <c r="Y117" s="543">
        <f>IFERROR(SUM(Y112:Y115),"0")</f>
        <v>40.5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55" t="s">
        <v>71</v>
      </c>
      <c r="Q120" s="556"/>
      <c r="R120" s="556"/>
      <c r="S120" s="556"/>
      <c r="T120" s="556"/>
      <c r="U120" s="556"/>
      <c r="V120" s="55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55" t="s">
        <v>71</v>
      </c>
      <c r="Q121" s="556"/>
      <c r="R121" s="556"/>
      <c r="S121" s="556"/>
      <c r="T121" s="556"/>
      <c r="U121" s="556"/>
      <c r="V121" s="55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4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3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55" t="s">
        <v>71</v>
      </c>
      <c r="Q126" s="556"/>
      <c r="R126" s="556"/>
      <c r="S126" s="556"/>
      <c r="T126" s="556"/>
      <c r="U126" s="556"/>
      <c r="V126" s="557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55" t="s">
        <v>71</v>
      </c>
      <c r="Q127" s="556"/>
      <c r="R127" s="556"/>
      <c r="S127" s="556"/>
      <c r="T127" s="556"/>
      <c r="U127" s="556"/>
      <c r="V127" s="557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55" t="s">
        <v>71</v>
      </c>
      <c r="Q131" s="556"/>
      <c r="R131" s="556"/>
      <c r="S131" s="556"/>
      <c r="T131" s="556"/>
      <c r="U131" s="556"/>
      <c r="V131" s="557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55" t="s">
        <v>71</v>
      </c>
      <c r="Q132" s="556"/>
      <c r="R132" s="556"/>
      <c r="S132" s="556"/>
      <c r="T132" s="556"/>
      <c r="U132" s="556"/>
      <c r="V132" s="557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55" t="s">
        <v>71</v>
      </c>
      <c r="Q136" s="556"/>
      <c r="R136" s="556"/>
      <c r="S136" s="556"/>
      <c r="T136" s="556"/>
      <c r="U136" s="556"/>
      <c r="V136" s="55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55" t="s">
        <v>71</v>
      </c>
      <c r="Q137" s="556"/>
      <c r="R137" s="556"/>
      <c r="S137" s="556"/>
      <c r="T137" s="556"/>
      <c r="U137" s="556"/>
      <c r="V137" s="55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4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3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55" t="s">
        <v>71</v>
      </c>
      <c r="Q143" s="556"/>
      <c r="R143" s="556"/>
      <c r="S143" s="556"/>
      <c r="T143" s="556"/>
      <c r="U143" s="556"/>
      <c r="V143" s="557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55" t="s">
        <v>71</v>
      </c>
      <c r="Q144" s="556"/>
      <c r="R144" s="556"/>
      <c r="S144" s="556"/>
      <c r="T144" s="556"/>
      <c r="U144" s="556"/>
      <c r="V144" s="557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3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55" t="s">
        <v>71</v>
      </c>
      <c r="Q149" s="556"/>
      <c r="R149" s="556"/>
      <c r="S149" s="556"/>
      <c r="T149" s="556"/>
      <c r="U149" s="556"/>
      <c r="V149" s="557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55" t="s">
        <v>71</v>
      </c>
      <c r="Q150" s="556"/>
      <c r="R150" s="556"/>
      <c r="S150" s="556"/>
      <c r="T150" s="556"/>
      <c r="U150" s="556"/>
      <c r="V150" s="557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53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6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55" t="s">
        <v>71</v>
      </c>
      <c r="Q153" s="556"/>
      <c r="R153" s="556"/>
      <c r="S153" s="556"/>
      <c r="T153" s="556"/>
      <c r="U153" s="556"/>
      <c r="V153" s="557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55" t="s">
        <v>71</v>
      </c>
      <c r="Q154" s="556"/>
      <c r="R154" s="556"/>
      <c r="S154" s="556"/>
      <c r="T154" s="556"/>
      <c r="U154" s="556"/>
      <c r="V154" s="557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7" t="s">
        <v>255</v>
      </c>
      <c r="B155" s="638"/>
      <c r="C155" s="638"/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48"/>
      <c r="AB155" s="48"/>
      <c r="AC155" s="48"/>
    </row>
    <row r="156" spans="1:68" ht="16.5" hidden="1" customHeight="1" x14ac:dyDescent="0.25">
      <c r="A156" s="554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hidden="1" customHeight="1" x14ac:dyDescent="0.25">
      <c r="A157" s="553" t="s">
        <v>136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55" t="s">
        <v>71</v>
      </c>
      <c r="Q159" s="556"/>
      <c r="R159" s="556"/>
      <c r="S159" s="556"/>
      <c r="T159" s="556"/>
      <c r="U159" s="556"/>
      <c r="V159" s="557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55" t="s">
        <v>71</v>
      </c>
      <c r="Q160" s="556"/>
      <c r="R160" s="556"/>
      <c r="S160" s="556"/>
      <c r="T160" s="556"/>
      <c r="U160" s="556"/>
      <c r="V160" s="557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3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2"/>
      <c r="P171" s="555" t="s">
        <v>71</v>
      </c>
      <c r="Q171" s="556"/>
      <c r="R171" s="556"/>
      <c r="S171" s="556"/>
      <c r="T171" s="556"/>
      <c r="U171" s="556"/>
      <c r="V171" s="557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55" t="s">
        <v>71</v>
      </c>
      <c r="Q172" s="556"/>
      <c r="R172" s="556"/>
      <c r="S172" s="556"/>
      <c r="T172" s="556"/>
      <c r="U172" s="556"/>
      <c r="V172" s="557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3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2"/>
      <c r="P177" s="555" t="s">
        <v>71</v>
      </c>
      <c r="Q177" s="556"/>
      <c r="R177" s="556"/>
      <c r="S177" s="556"/>
      <c r="T177" s="556"/>
      <c r="U177" s="556"/>
      <c r="V177" s="55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55" t="s">
        <v>71</v>
      </c>
      <c r="Q178" s="556"/>
      <c r="R178" s="556"/>
      <c r="S178" s="556"/>
      <c r="T178" s="556"/>
      <c r="U178" s="556"/>
      <c r="V178" s="55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2"/>
      <c r="P181" s="555" t="s">
        <v>71</v>
      </c>
      <c r="Q181" s="556"/>
      <c r="R181" s="556"/>
      <c r="S181" s="556"/>
      <c r="T181" s="556"/>
      <c r="U181" s="556"/>
      <c r="V181" s="55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55" t="s">
        <v>71</v>
      </c>
      <c r="Q182" s="556"/>
      <c r="R182" s="556"/>
      <c r="S182" s="556"/>
      <c r="T182" s="556"/>
      <c r="U182" s="556"/>
      <c r="V182" s="55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4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3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2"/>
      <c r="P187" s="555" t="s">
        <v>71</v>
      </c>
      <c r="Q187" s="556"/>
      <c r="R187" s="556"/>
      <c r="S187" s="556"/>
      <c r="T187" s="556"/>
      <c r="U187" s="556"/>
      <c r="V187" s="55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55" t="s">
        <v>71</v>
      </c>
      <c r="Q188" s="556"/>
      <c r="R188" s="556"/>
      <c r="S188" s="556"/>
      <c r="T188" s="556"/>
      <c r="U188" s="556"/>
      <c r="V188" s="55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2"/>
      <c r="P192" s="555" t="s">
        <v>71</v>
      </c>
      <c r="Q192" s="556"/>
      <c r="R192" s="556"/>
      <c r="S192" s="556"/>
      <c r="T192" s="556"/>
      <c r="U192" s="556"/>
      <c r="V192" s="55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55" t="s">
        <v>71</v>
      </c>
      <c r="Q193" s="556"/>
      <c r="R193" s="556"/>
      <c r="S193" s="556"/>
      <c r="T193" s="556"/>
      <c r="U193" s="556"/>
      <c r="V193" s="55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2"/>
      <c r="P203" s="555" t="s">
        <v>71</v>
      </c>
      <c r="Q203" s="556"/>
      <c r="R203" s="556"/>
      <c r="S203" s="556"/>
      <c r="T203" s="556"/>
      <c r="U203" s="556"/>
      <c r="V203" s="55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55" t="s">
        <v>71</v>
      </c>
      <c r="Q204" s="556"/>
      <c r="R204" s="556"/>
      <c r="S204" s="556"/>
      <c r="T204" s="556"/>
      <c r="U204" s="556"/>
      <c r="V204" s="557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2"/>
      <c r="P215" s="555" t="s">
        <v>71</v>
      </c>
      <c r="Q215" s="556"/>
      <c r="R215" s="556"/>
      <c r="S215" s="556"/>
      <c r="T215" s="556"/>
      <c r="U215" s="556"/>
      <c r="V215" s="55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55" t="s">
        <v>71</v>
      </c>
      <c r="Q216" s="556"/>
      <c r="R216" s="556"/>
      <c r="S216" s="556"/>
      <c r="T216" s="556"/>
      <c r="U216" s="556"/>
      <c r="V216" s="557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2"/>
      <c r="P220" s="555" t="s">
        <v>71</v>
      </c>
      <c r="Q220" s="556"/>
      <c r="R220" s="556"/>
      <c r="S220" s="556"/>
      <c r="T220" s="556"/>
      <c r="U220" s="556"/>
      <c r="V220" s="55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55" t="s">
        <v>71</v>
      </c>
      <c r="Q221" s="556"/>
      <c r="R221" s="556"/>
      <c r="S221" s="556"/>
      <c r="T221" s="556"/>
      <c r="U221" s="556"/>
      <c r="V221" s="55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4" t="s">
        <v>357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3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8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6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2"/>
      <c r="P234" s="555" t="s">
        <v>71</v>
      </c>
      <c r="Q234" s="556"/>
      <c r="R234" s="556"/>
      <c r="S234" s="556"/>
      <c r="T234" s="556"/>
      <c r="U234" s="556"/>
      <c r="V234" s="55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55" t="s">
        <v>71</v>
      </c>
      <c r="Q235" s="556"/>
      <c r="R235" s="556"/>
      <c r="S235" s="556"/>
      <c r="T235" s="556"/>
      <c r="U235" s="556"/>
      <c r="V235" s="55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2"/>
      <c r="P238" s="555" t="s">
        <v>71</v>
      </c>
      <c r="Q238" s="556"/>
      <c r="R238" s="556"/>
      <c r="S238" s="556"/>
      <c r="T238" s="556"/>
      <c r="U238" s="556"/>
      <c r="V238" s="55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55" t="s">
        <v>71</v>
      </c>
      <c r="Q239" s="556"/>
      <c r="R239" s="556"/>
      <c r="S239" s="556"/>
      <c r="T239" s="556"/>
      <c r="U239" s="556"/>
      <c r="V239" s="55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383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2"/>
      <c r="P242" s="555" t="s">
        <v>71</v>
      </c>
      <c r="Q242" s="556"/>
      <c r="R242" s="556"/>
      <c r="S242" s="556"/>
      <c r="T242" s="556"/>
      <c r="U242" s="556"/>
      <c r="V242" s="55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55" t="s">
        <v>71</v>
      </c>
      <c r="Q243" s="556"/>
      <c r="R243" s="556"/>
      <c r="S243" s="556"/>
      <c r="T243" s="556"/>
      <c r="U243" s="556"/>
      <c r="V243" s="55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387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2"/>
      <c r="P250" s="555" t="s">
        <v>71</v>
      </c>
      <c r="Q250" s="556"/>
      <c r="R250" s="556"/>
      <c r="S250" s="556"/>
      <c r="T250" s="556"/>
      <c r="U250" s="556"/>
      <c r="V250" s="55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55" t="s">
        <v>71</v>
      </c>
      <c r="Q251" s="556"/>
      <c r="R251" s="556"/>
      <c r="S251" s="556"/>
      <c r="T251" s="556"/>
      <c r="U251" s="556"/>
      <c r="V251" s="55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4" t="s">
        <v>399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3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2"/>
      <c r="P259" s="555" t="s">
        <v>71</v>
      </c>
      <c r="Q259" s="556"/>
      <c r="R259" s="556"/>
      <c r="S259" s="556"/>
      <c r="T259" s="556"/>
      <c r="U259" s="556"/>
      <c r="V259" s="557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55" t="s">
        <v>71</v>
      </c>
      <c r="Q260" s="556"/>
      <c r="R260" s="556"/>
      <c r="S260" s="556"/>
      <c r="T260" s="556"/>
      <c r="U260" s="556"/>
      <c r="V260" s="557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4" t="s">
        <v>415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3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5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2"/>
      <c r="P267" s="555" t="s">
        <v>71</v>
      </c>
      <c r="Q267" s="556"/>
      <c r="R267" s="556"/>
      <c r="S267" s="556"/>
      <c r="T267" s="556"/>
      <c r="U267" s="556"/>
      <c r="V267" s="55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55" t="s">
        <v>71</v>
      </c>
      <c r="Q268" s="556"/>
      <c r="R268" s="556"/>
      <c r="S268" s="556"/>
      <c r="T268" s="556"/>
      <c r="U268" s="556"/>
      <c r="V268" s="55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4" t="s">
        <v>426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3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5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2"/>
      <c r="P274" s="555" t="s">
        <v>71</v>
      </c>
      <c r="Q274" s="556"/>
      <c r="R274" s="556"/>
      <c r="S274" s="556"/>
      <c r="T274" s="556"/>
      <c r="U274" s="556"/>
      <c r="V274" s="55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55" t="s">
        <v>71</v>
      </c>
      <c r="Q275" s="556"/>
      <c r="R275" s="556"/>
      <c r="S275" s="556"/>
      <c r="T275" s="556"/>
      <c r="U275" s="556"/>
      <c r="V275" s="55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4" t="s">
        <v>435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3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2"/>
      <c r="P280" s="555" t="s">
        <v>71</v>
      </c>
      <c r="Q280" s="556"/>
      <c r="R280" s="556"/>
      <c r="S280" s="556"/>
      <c r="T280" s="556"/>
      <c r="U280" s="556"/>
      <c r="V280" s="55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55" t="s">
        <v>71</v>
      </c>
      <c r="Q281" s="556"/>
      <c r="R281" s="556"/>
      <c r="S281" s="556"/>
      <c r="T281" s="556"/>
      <c r="U281" s="556"/>
      <c r="V281" s="55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2"/>
      <c r="P284" s="555" t="s">
        <v>71</v>
      </c>
      <c r="Q284" s="556"/>
      <c r="R284" s="556"/>
      <c r="S284" s="556"/>
      <c r="T284" s="556"/>
      <c r="U284" s="556"/>
      <c r="V284" s="557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2"/>
      <c r="P285" s="555" t="s">
        <v>71</v>
      </c>
      <c r="Q285" s="556"/>
      <c r="R285" s="556"/>
      <c r="S285" s="556"/>
      <c r="T285" s="556"/>
      <c r="U285" s="556"/>
      <c r="V285" s="557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54" t="s">
        <v>445</v>
      </c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36"/>
      <c r="AB286" s="536"/>
      <c r="AC286" s="536"/>
    </row>
    <row r="287" spans="1:68" ht="14.25" hidden="1" customHeight="1" x14ac:dyDescent="0.25">
      <c r="A287" s="553" t="s">
        <v>101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250</v>
      </c>
      <c r="Y291" s="542">
        <f t="shared" si="26"/>
        <v>259.20000000000005</v>
      </c>
      <c r="Z291" s="36">
        <f>IFERROR(IF(Y291=0,"",ROUNDUP(Y291/H291,0)*0.01898),"")</f>
        <v>0.45552000000000004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259.4907407407407</v>
      </c>
      <c r="BN291" s="64">
        <f t="shared" si="28"/>
        <v>269.04000000000002</v>
      </c>
      <c r="BO291" s="64">
        <f t="shared" si="29"/>
        <v>0.36168981481481477</v>
      </c>
      <c r="BP291" s="64">
        <f t="shared" si="30"/>
        <v>0.37500000000000006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2"/>
      <c r="P294" s="555" t="s">
        <v>71</v>
      </c>
      <c r="Q294" s="556"/>
      <c r="R294" s="556"/>
      <c r="S294" s="556"/>
      <c r="T294" s="556"/>
      <c r="U294" s="556"/>
      <c r="V294" s="557"/>
      <c r="W294" s="37" t="s">
        <v>72</v>
      </c>
      <c r="X294" s="543">
        <f>IFERROR(X288/H288,"0")+IFERROR(X289/H289,"0")+IFERROR(X290/H290,"0")+IFERROR(X291/H291,"0")+IFERROR(X292/H292,"0")+IFERROR(X293/H293,"0")</f>
        <v>23.148148148148145</v>
      </c>
      <c r="Y294" s="543">
        <f>IFERROR(Y288/H288,"0")+IFERROR(Y289/H289,"0")+IFERROR(Y290/H290,"0")+IFERROR(Y291/H291,"0")+IFERROR(Y292/H292,"0")+IFERROR(Y293/H293,"0")</f>
        <v>24.000000000000004</v>
      </c>
      <c r="Z294" s="543">
        <f>IFERROR(IF(Z288="",0,Z288),"0")+IFERROR(IF(Z289="",0,Z289),"0")+IFERROR(IF(Z290="",0,Z290),"0")+IFERROR(IF(Z291="",0,Z291),"0")+IFERROR(IF(Z292="",0,Z292),"0")+IFERROR(IF(Z293="",0,Z293),"0")</f>
        <v>0.45552000000000004</v>
      </c>
      <c r="AA294" s="544"/>
      <c r="AB294" s="544"/>
      <c r="AC294" s="544"/>
    </row>
    <row r="295" spans="1:68" x14ac:dyDescent="0.2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55" t="s">
        <v>71</v>
      </c>
      <c r="Q295" s="556"/>
      <c r="R295" s="556"/>
      <c r="S295" s="556"/>
      <c r="T295" s="556"/>
      <c r="U295" s="556"/>
      <c r="V295" s="557"/>
      <c r="W295" s="37" t="s">
        <v>69</v>
      </c>
      <c r="X295" s="543">
        <f>IFERROR(SUM(X288:X293),"0")</f>
        <v>250</v>
      </c>
      <c r="Y295" s="543">
        <f>IFERROR(SUM(Y288:Y293),"0")</f>
        <v>259.20000000000005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180</v>
      </c>
      <c r="Y298" s="542">
        <f t="shared" si="31"/>
        <v>180.6</v>
      </c>
      <c r="Z298" s="36">
        <f>IFERROR(IF(Y298=0,"",ROUNDUP(Y298/H298,0)*0.00902),"")</f>
        <v>0.38785999999999998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190.71428571428569</v>
      </c>
      <c r="BN298" s="64">
        <f t="shared" si="33"/>
        <v>191.35</v>
      </c>
      <c r="BO298" s="64">
        <f t="shared" si="34"/>
        <v>0.32467532467532467</v>
      </c>
      <c r="BP298" s="64">
        <f t="shared" si="35"/>
        <v>0.32575757575757575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2"/>
      <c r="P304" s="555" t="s">
        <v>71</v>
      </c>
      <c r="Q304" s="556"/>
      <c r="R304" s="556"/>
      <c r="S304" s="556"/>
      <c r="T304" s="556"/>
      <c r="U304" s="556"/>
      <c r="V304" s="557"/>
      <c r="W304" s="37" t="s">
        <v>72</v>
      </c>
      <c r="X304" s="543">
        <f>IFERROR(X297/H297,"0")+IFERROR(X298/H298,"0")+IFERROR(X299/H299,"0")+IFERROR(X300/H300,"0")+IFERROR(X301/H301,"0")+IFERROR(X302/H302,"0")+IFERROR(X303/H303,"0")</f>
        <v>42.857142857142854</v>
      </c>
      <c r="Y304" s="543">
        <f>IFERROR(Y297/H297,"0")+IFERROR(Y298/H298,"0")+IFERROR(Y299/H299,"0")+IFERROR(Y300/H300,"0")+IFERROR(Y301/H301,"0")+IFERROR(Y302/H302,"0")+IFERROR(Y303/H303,"0")</f>
        <v>43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0.38785999999999998</v>
      </c>
      <c r="AA304" s="544"/>
      <c r="AB304" s="544"/>
      <c r="AC304" s="544"/>
    </row>
    <row r="305" spans="1:68" x14ac:dyDescent="0.2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55" t="s">
        <v>71</v>
      </c>
      <c r="Q305" s="556"/>
      <c r="R305" s="556"/>
      <c r="S305" s="556"/>
      <c r="T305" s="556"/>
      <c r="U305" s="556"/>
      <c r="V305" s="557"/>
      <c r="W305" s="37" t="s">
        <v>69</v>
      </c>
      <c r="X305" s="543">
        <f>IFERROR(SUM(X297:X303),"0")</f>
        <v>180</v>
      </c>
      <c r="Y305" s="543">
        <f>IFERROR(SUM(Y297:Y303),"0")</f>
        <v>180.6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900</v>
      </c>
      <c r="Y307" s="542">
        <f>IFERROR(IF(X307="",0,CEILING((X307/$H307),1)*$H307),"")</f>
        <v>904.8</v>
      </c>
      <c r="Z307" s="36">
        <f>IFERROR(IF(Y307=0,"",ROUNDUP(Y307/H307,0)*0.01898),"")</f>
        <v>2.2016800000000001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956.30769230769226</v>
      </c>
      <c r="BN307" s="64">
        <f>IFERROR(Y307*I307/H307,"0")</f>
        <v>961.40800000000002</v>
      </c>
      <c r="BO307" s="64">
        <f>IFERROR(1/J307*(X307/H307),"0")</f>
        <v>1.8028846153846154</v>
      </c>
      <c r="BP307" s="64">
        <f>IFERROR(1/J307*(Y307/H307),"0")</f>
        <v>1.8125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55" t="s">
        <v>71</v>
      </c>
      <c r="Q312" s="556"/>
      <c r="R312" s="556"/>
      <c r="S312" s="556"/>
      <c r="T312" s="556"/>
      <c r="U312" s="556"/>
      <c r="V312" s="557"/>
      <c r="W312" s="37" t="s">
        <v>72</v>
      </c>
      <c r="X312" s="543">
        <f>IFERROR(X307/H307,"0")+IFERROR(X308/H308,"0")+IFERROR(X309/H309,"0")+IFERROR(X310/H310,"0")+IFERROR(X311/H311,"0")</f>
        <v>115.38461538461539</v>
      </c>
      <c r="Y312" s="543">
        <f>IFERROR(Y307/H307,"0")+IFERROR(Y308/H308,"0")+IFERROR(Y309/H309,"0")+IFERROR(Y310/H310,"0")+IFERROR(Y311/H311,"0")</f>
        <v>116</v>
      </c>
      <c r="Z312" s="543">
        <f>IFERROR(IF(Z307="",0,Z307),"0")+IFERROR(IF(Z308="",0,Z308),"0")+IFERROR(IF(Z309="",0,Z309),"0")+IFERROR(IF(Z310="",0,Z310),"0")+IFERROR(IF(Z311="",0,Z311),"0")</f>
        <v>2.2016800000000001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55" t="s">
        <v>71</v>
      </c>
      <c r="Q313" s="556"/>
      <c r="R313" s="556"/>
      <c r="S313" s="556"/>
      <c r="T313" s="556"/>
      <c r="U313" s="556"/>
      <c r="V313" s="557"/>
      <c r="W313" s="37" t="s">
        <v>69</v>
      </c>
      <c r="X313" s="543">
        <f>IFERROR(SUM(X307:X311),"0")</f>
        <v>900</v>
      </c>
      <c r="Y313" s="543">
        <f>IFERROR(SUM(Y307:Y311),"0")</f>
        <v>904.8</v>
      </c>
      <c r="Z313" s="37"/>
      <c r="AA313" s="544"/>
      <c r="AB313" s="544"/>
      <c r="AC313" s="544"/>
    </row>
    <row r="314" spans="1:68" ht="14.25" hidden="1" customHeight="1" x14ac:dyDescent="0.25">
      <c r="A314" s="553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55" t="s">
        <v>71</v>
      </c>
      <c r="Q318" s="556"/>
      <c r="R318" s="556"/>
      <c r="S318" s="556"/>
      <c r="T318" s="556"/>
      <c r="U318" s="556"/>
      <c r="V318" s="557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55" t="s">
        <v>71</v>
      </c>
      <c r="Q319" s="556"/>
      <c r="R319" s="556"/>
      <c r="S319" s="556"/>
      <c r="T319" s="556"/>
      <c r="U319" s="556"/>
      <c r="V319" s="557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3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8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21</v>
      </c>
      <c r="Y322" s="542">
        <f>IFERROR(IF(X322="",0,CEILING((X322/$H322),1)*$H322),"")</f>
        <v>21.28</v>
      </c>
      <c r="Z322" s="36">
        <f>IFERROR(IF(Y322=0,"",ROUNDUP(Y322/H322,0)*0.00902),"")</f>
        <v>6.3140000000000002E-2</v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22.588815789473685</v>
      </c>
      <c r="BN322" s="64">
        <f>IFERROR(Y322*I322/H322,"0")</f>
        <v>22.89</v>
      </c>
      <c r="BO322" s="64">
        <f>IFERROR(1/J322*(X322/H322),"0")</f>
        <v>5.2332535885167467E-2</v>
      </c>
      <c r="BP322" s="64">
        <f>IFERROR(1/J322*(Y322/H322),"0")</f>
        <v>5.3030303030303032E-2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55" t="s">
        <v>71</v>
      </c>
      <c r="Q325" s="556"/>
      <c r="R325" s="556"/>
      <c r="S325" s="556"/>
      <c r="T325" s="556"/>
      <c r="U325" s="556"/>
      <c r="V325" s="557"/>
      <c r="W325" s="37" t="s">
        <v>72</v>
      </c>
      <c r="X325" s="543">
        <f>IFERROR(X321/H321,"0")+IFERROR(X322/H322,"0")+IFERROR(X323/H323,"0")+IFERROR(X324/H324,"0")</f>
        <v>6.9078947368421053</v>
      </c>
      <c r="Y325" s="543">
        <f>IFERROR(Y321/H321,"0")+IFERROR(Y322/H322,"0")+IFERROR(Y323/H323,"0")+IFERROR(Y324/H324,"0")</f>
        <v>7</v>
      </c>
      <c r="Z325" s="543">
        <f>IFERROR(IF(Z321="",0,Z321),"0")+IFERROR(IF(Z322="",0,Z322),"0")+IFERROR(IF(Z323="",0,Z323),"0")+IFERROR(IF(Z324="",0,Z324),"0")</f>
        <v>6.3140000000000002E-2</v>
      </c>
      <c r="AA325" s="544"/>
      <c r="AB325" s="544"/>
      <c r="AC325" s="544"/>
    </row>
    <row r="326" spans="1:68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55" t="s">
        <v>71</v>
      </c>
      <c r="Q326" s="556"/>
      <c r="R326" s="556"/>
      <c r="S326" s="556"/>
      <c r="T326" s="556"/>
      <c r="U326" s="556"/>
      <c r="V326" s="557"/>
      <c r="W326" s="37" t="s">
        <v>69</v>
      </c>
      <c r="X326" s="543">
        <f>IFERROR(SUM(X321:X324),"0")</f>
        <v>21</v>
      </c>
      <c r="Y326" s="543">
        <f>IFERROR(SUM(Y321:Y324),"0")</f>
        <v>21.28</v>
      </c>
      <c r="Z326" s="37"/>
      <c r="AA326" s="544"/>
      <c r="AB326" s="544"/>
      <c r="AC326" s="544"/>
    </row>
    <row r="327" spans="1:68" ht="14.25" hidden="1" customHeight="1" x14ac:dyDescent="0.25">
      <c r="A327" s="553" t="s">
        <v>517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55" t="s">
        <v>71</v>
      </c>
      <c r="Q331" s="556"/>
      <c r="R331" s="556"/>
      <c r="S331" s="556"/>
      <c r="T331" s="556"/>
      <c r="U331" s="556"/>
      <c r="V331" s="55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55" t="s">
        <v>71</v>
      </c>
      <c r="Q332" s="556"/>
      <c r="R332" s="556"/>
      <c r="S332" s="556"/>
      <c r="T332" s="556"/>
      <c r="U332" s="556"/>
      <c r="V332" s="55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4" t="s">
        <v>526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3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5"/>
      <c r="AB334" s="535"/>
      <c r="AC334" s="535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55" t="s">
        <v>71</v>
      </c>
      <c r="Q338" s="556"/>
      <c r="R338" s="556"/>
      <c r="S338" s="556"/>
      <c r="T338" s="556"/>
      <c r="U338" s="556"/>
      <c r="V338" s="557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55" t="s">
        <v>71</v>
      </c>
      <c r="Q339" s="556"/>
      <c r="R339" s="556"/>
      <c r="S339" s="556"/>
      <c r="T339" s="556"/>
      <c r="U339" s="556"/>
      <c r="V339" s="557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37" t="s">
        <v>536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4" t="s">
        <v>537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3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30</v>
      </c>
      <c r="Y343" s="542">
        <f t="shared" ref="Y343:Y349" si="36">IFERROR(IF(X343="",0,CEILING((X343/$H343),1)*$H343),"")</f>
        <v>30</v>
      </c>
      <c r="Z343" s="36">
        <f>IFERROR(IF(Y343=0,"",ROUNDUP(Y343/H343,0)*0.02175),"")</f>
        <v>4.3499999999999997E-2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30.94</v>
      </c>
      <c r="BN343" s="64">
        <f t="shared" ref="BN343:BN349" si="38">IFERROR(Y343*I343/H343,"0")</f>
        <v>30.94</v>
      </c>
      <c r="BO343" s="64">
        <f t="shared" ref="BO343:BO349" si="39">IFERROR(1/J343*(X343/H343),"0")</f>
        <v>4.1666666666666664E-2</v>
      </c>
      <c r="BP343" s="64">
        <f t="shared" ref="BP343:BP349" si="40">IFERROR(1/J343*(Y343/H343),"0")</f>
        <v>4.1666666666666664E-2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120</v>
      </c>
      <c r="Y344" s="542">
        <f t="shared" si="36"/>
        <v>120</v>
      </c>
      <c r="Z344" s="36">
        <f>IFERROR(IF(Y344=0,"",ROUNDUP(Y344/H344,0)*0.02175),"")</f>
        <v>0.17399999999999999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123.76</v>
      </c>
      <c r="BN344" s="64">
        <f t="shared" si="38"/>
        <v>123.76</v>
      </c>
      <c r="BO344" s="64">
        <f t="shared" si="39"/>
        <v>0.16666666666666666</v>
      </c>
      <c r="BP344" s="64">
        <f t="shared" si="40"/>
        <v>0.16666666666666666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4" t="s">
        <v>549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600</v>
      </c>
      <c r="Y346" s="542">
        <f t="shared" si="36"/>
        <v>600</v>
      </c>
      <c r="Z346" s="36">
        <f>IFERROR(IF(Y346=0,"",ROUNDUP(Y346/H346,0)*0.02175),"")</f>
        <v>0.86999999999999988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618.79999999999995</v>
      </c>
      <c r="BN346" s="64">
        <f t="shared" si="38"/>
        <v>618.79999999999995</v>
      </c>
      <c r="BO346" s="64">
        <f t="shared" si="39"/>
        <v>0.83333333333333326</v>
      </c>
      <c r="BP346" s="64">
        <f t="shared" si="40"/>
        <v>0.83333333333333326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55" t="s">
        <v>71</v>
      </c>
      <c r="Q350" s="556"/>
      <c r="R350" s="556"/>
      <c r="S350" s="556"/>
      <c r="T350" s="556"/>
      <c r="U350" s="556"/>
      <c r="V350" s="55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50</v>
      </c>
      <c r="Y350" s="543">
        <f>IFERROR(Y343/H343,"0")+IFERROR(Y344/H344,"0")+IFERROR(Y345/H345,"0")+IFERROR(Y346/H346,"0")+IFERROR(Y347/H347,"0")+IFERROR(Y348/H348,"0")+IFERROR(Y349/H349,"0")</f>
        <v>50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1.0874999999999999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55" t="s">
        <v>71</v>
      </c>
      <c r="Q351" s="556"/>
      <c r="R351" s="556"/>
      <c r="S351" s="556"/>
      <c r="T351" s="556"/>
      <c r="U351" s="556"/>
      <c r="V351" s="557"/>
      <c r="W351" s="37" t="s">
        <v>69</v>
      </c>
      <c r="X351" s="543">
        <f>IFERROR(SUM(X343:X349),"0")</f>
        <v>750</v>
      </c>
      <c r="Y351" s="543">
        <f>IFERROR(SUM(Y343:Y349),"0")</f>
        <v>750</v>
      </c>
      <c r="Z351" s="37"/>
      <c r="AA351" s="544"/>
      <c r="AB351" s="544"/>
      <c r="AC351" s="544"/>
    </row>
    <row r="352" spans="1:68" ht="14.25" hidden="1" customHeight="1" x14ac:dyDescent="0.25">
      <c r="A352" s="553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55" t="s">
        <v>71</v>
      </c>
      <c r="Q355" s="556"/>
      <c r="R355" s="556"/>
      <c r="S355" s="556"/>
      <c r="T355" s="556"/>
      <c r="U355" s="556"/>
      <c r="V355" s="557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55" t="s">
        <v>71</v>
      </c>
      <c r="Q356" s="556"/>
      <c r="R356" s="556"/>
      <c r="S356" s="556"/>
      <c r="T356" s="556"/>
      <c r="U356" s="556"/>
      <c r="V356" s="557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hidden="1" customHeight="1" x14ac:dyDescent="0.25">
      <c r="A357" s="553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55" t="s">
        <v>71</v>
      </c>
      <c r="Q360" s="556"/>
      <c r="R360" s="556"/>
      <c r="S360" s="556"/>
      <c r="T360" s="556"/>
      <c r="U360" s="556"/>
      <c r="V360" s="55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55" t="s">
        <v>71</v>
      </c>
      <c r="Q361" s="556"/>
      <c r="R361" s="556"/>
      <c r="S361" s="556"/>
      <c r="T361" s="556"/>
      <c r="U361" s="556"/>
      <c r="V361" s="55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3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55" t="s">
        <v>71</v>
      </c>
      <c r="Q364" s="556"/>
      <c r="R364" s="556"/>
      <c r="S364" s="556"/>
      <c r="T364" s="556"/>
      <c r="U364" s="556"/>
      <c r="V364" s="55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55" t="s">
        <v>71</v>
      </c>
      <c r="Q365" s="556"/>
      <c r="R365" s="556"/>
      <c r="S365" s="556"/>
      <c r="T365" s="556"/>
      <c r="U365" s="556"/>
      <c r="V365" s="55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4" t="s">
        <v>572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3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55" t="s">
        <v>71</v>
      </c>
      <c r="Q370" s="556"/>
      <c r="R370" s="556"/>
      <c r="S370" s="556"/>
      <c r="T370" s="556"/>
      <c r="U370" s="556"/>
      <c r="V370" s="55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55" t="s">
        <v>71</v>
      </c>
      <c r="Q371" s="556"/>
      <c r="R371" s="556"/>
      <c r="S371" s="556"/>
      <c r="T371" s="556"/>
      <c r="U371" s="556"/>
      <c r="V371" s="55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3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55" t="s">
        <v>71</v>
      </c>
      <c r="Q375" s="556"/>
      <c r="R375" s="556"/>
      <c r="S375" s="556"/>
      <c r="T375" s="556"/>
      <c r="U375" s="556"/>
      <c r="V375" s="55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55" t="s">
        <v>71</v>
      </c>
      <c r="Q376" s="556"/>
      <c r="R376" s="556"/>
      <c r="S376" s="556"/>
      <c r="T376" s="556"/>
      <c r="U376" s="556"/>
      <c r="V376" s="55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3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300</v>
      </c>
      <c r="Y378" s="542">
        <f>IFERROR(IF(X378="",0,CEILING((X378/$H378),1)*$H378),"")</f>
        <v>306</v>
      </c>
      <c r="Z378" s="36">
        <f>IFERROR(IF(Y378=0,"",ROUNDUP(Y378/H378,0)*0.01898),"")</f>
        <v>0.64532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316.46666666666664</v>
      </c>
      <c r="BN378" s="64">
        <f>IFERROR(Y378*I378/H378,"0")</f>
        <v>322.79599999999999</v>
      </c>
      <c r="BO378" s="64">
        <f>IFERROR(1/J378*(X378/H378),"0")</f>
        <v>0.52083333333333337</v>
      </c>
      <c r="BP378" s="64">
        <f>IFERROR(1/J378*(Y378/H378),"0")</f>
        <v>0.53125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55" t="s">
        <v>71</v>
      </c>
      <c r="Q380" s="556"/>
      <c r="R380" s="556"/>
      <c r="S380" s="556"/>
      <c r="T380" s="556"/>
      <c r="U380" s="556"/>
      <c r="V380" s="557"/>
      <c r="W380" s="37" t="s">
        <v>72</v>
      </c>
      <c r="X380" s="543">
        <f>IFERROR(X378/H378,"0")+IFERROR(X379/H379,"0")</f>
        <v>33.333333333333336</v>
      </c>
      <c r="Y380" s="543">
        <f>IFERROR(Y378/H378,"0")+IFERROR(Y379/H379,"0")</f>
        <v>34</v>
      </c>
      <c r="Z380" s="543">
        <f>IFERROR(IF(Z378="",0,Z378),"0")+IFERROR(IF(Z379="",0,Z379),"0")</f>
        <v>0.64532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55" t="s">
        <v>71</v>
      </c>
      <c r="Q381" s="556"/>
      <c r="R381" s="556"/>
      <c r="S381" s="556"/>
      <c r="T381" s="556"/>
      <c r="U381" s="556"/>
      <c r="V381" s="557"/>
      <c r="W381" s="37" t="s">
        <v>69</v>
      </c>
      <c r="X381" s="543">
        <f>IFERROR(SUM(X378:X379),"0")</f>
        <v>300</v>
      </c>
      <c r="Y381" s="543">
        <f>IFERROR(SUM(Y378:Y379),"0")</f>
        <v>306</v>
      </c>
      <c r="Z381" s="37"/>
      <c r="AA381" s="544"/>
      <c r="AB381" s="544"/>
      <c r="AC381" s="544"/>
    </row>
    <row r="382" spans="1:68" ht="27.75" hidden="1" customHeight="1" x14ac:dyDescent="0.2">
      <c r="A382" s="637" t="s">
        <v>588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4" t="s">
        <v>589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3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15</v>
      </c>
      <c r="Y386" s="542">
        <f t="shared" si="41"/>
        <v>16.200000000000003</v>
      </c>
      <c r="Z386" s="36">
        <f>IFERROR(IF(Y386=0,"",ROUNDUP(Y386/H386,0)*0.00902),"")</f>
        <v>2.7060000000000001E-2</v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15.527777777777775</v>
      </c>
      <c r="BN386" s="64">
        <f t="shared" si="43"/>
        <v>16.77</v>
      </c>
      <c r="BO386" s="64">
        <f t="shared" si="44"/>
        <v>2.1043771043771045E-2</v>
      </c>
      <c r="BP386" s="64">
        <f t="shared" si="45"/>
        <v>2.2727272727272731E-2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8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55" t="s">
        <v>71</v>
      </c>
      <c r="Q394" s="556"/>
      <c r="R394" s="556"/>
      <c r="S394" s="556"/>
      <c r="T394" s="556"/>
      <c r="U394" s="556"/>
      <c r="V394" s="55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2.7777777777777777</v>
      </c>
      <c r="Y394" s="543">
        <f>IFERROR(Y385/H385,"0")+IFERROR(Y386/H386,"0")+IFERROR(Y387/H387,"0")+IFERROR(Y388/H388,"0")+IFERROR(Y389/H389,"0")+IFERROR(Y390/H390,"0")+IFERROR(Y391/H391,"0")+IFERROR(Y392/H392,"0")+IFERROR(Y393/H393,"0")</f>
        <v>3.0000000000000004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2.7060000000000001E-2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55" t="s">
        <v>71</v>
      </c>
      <c r="Q395" s="556"/>
      <c r="R395" s="556"/>
      <c r="S395" s="556"/>
      <c r="T395" s="556"/>
      <c r="U395" s="556"/>
      <c r="V395" s="557"/>
      <c r="W395" s="37" t="s">
        <v>69</v>
      </c>
      <c r="X395" s="543">
        <f>IFERROR(SUM(X385:X393),"0")</f>
        <v>15</v>
      </c>
      <c r="Y395" s="543">
        <f>IFERROR(SUM(Y385:Y393),"0")</f>
        <v>16.200000000000003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55" t="s">
        <v>71</v>
      </c>
      <c r="Q399" s="556"/>
      <c r="R399" s="556"/>
      <c r="S399" s="556"/>
      <c r="T399" s="556"/>
      <c r="U399" s="556"/>
      <c r="V399" s="55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55" t="s">
        <v>71</v>
      </c>
      <c r="Q400" s="556"/>
      <c r="R400" s="556"/>
      <c r="S400" s="556"/>
      <c r="T400" s="556"/>
      <c r="U400" s="556"/>
      <c r="V400" s="55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4" t="s">
        <v>620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3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55" t="s">
        <v>71</v>
      </c>
      <c r="Q404" s="556"/>
      <c r="R404" s="556"/>
      <c r="S404" s="556"/>
      <c r="T404" s="556"/>
      <c r="U404" s="556"/>
      <c r="V404" s="55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55" t="s">
        <v>71</v>
      </c>
      <c r="Q405" s="556"/>
      <c r="R405" s="556"/>
      <c r="S405" s="556"/>
      <c r="T405" s="556"/>
      <c r="U405" s="556"/>
      <c r="V405" s="55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55" t="s">
        <v>71</v>
      </c>
      <c r="Q411" s="556"/>
      <c r="R411" s="556"/>
      <c r="S411" s="556"/>
      <c r="T411" s="556"/>
      <c r="U411" s="556"/>
      <c r="V411" s="55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55" t="s">
        <v>71</v>
      </c>
      <c r="Q412" s="556"/>
      <c r="R412" s="556"/>
      <c r="S412" s="556"/>
      <c r="T412" s="556"/>
      <c r="U412" s="556"/>
      <c r="V412" s="55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4" t="s">
        <v>635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3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55" t="s">
        <v>71</v>
      </c>
      <c r="Q416" s="556"/>
      <c r="R416" s="556"/>
      <c r="S416" s="556"/>
      <c r="T416" s="556"/>
      <c r="U416" s="556"/>
      <c r="V416" s="55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55" t="s">
        <v>71</v>
      </c>
      <c r="Q417" s="556"/>
      <c r="R417" s="556"/>
      <c r="S417" s="556"/>
      <c r="T417" s="556"/>
      <c r="U417" s="556"/>
      <c r="V417" s="55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639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4" t="s">
        <v>639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3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5"/>
      <c r="AB420" s="535"/>
      <c r="AC420" s="535"/>
    </row>
    <row r="421" spans="1:68" ht="27" hidden="1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60</v>
      </c>
      <c r="Y423" s="542">
        <f t="shared" si="47"/>
        <v>63.36</v>
      </c>
      <c r="Z423" s="36">
        <f t="shared" si="48"/>
        <v>0.14352000000000001</v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63.977272727272727</v>
      </c>
      <c r="BN423" s="64">
        <f t="shared" si="50"/>
        <v>67.559999999999988</v>
      </c>
      <c r="BO423" s="64">
        <f t="shared" si="51"/>
        <v>0.10926573426573427</v>
      </c>
      <c r="BP423" s="64">
        <f t="shared" si="52"/>
        <v>0.11538461538461539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40</v>
      </c>
      <c r="Y426" s="542">
        <f t="shared" si="47"/>
        <v>42.24</v>
      </c>
      <c r="Z426" s="36">
        <f t="shared" si="48"/>
        <v>9.5680000000000001E-2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42.651515151515149</v>
      </c>
      <c r="BN426" s="64">
        <f t="shared" si="50"/>
        <v>45.04</v>
      </c>
      <c r="BO426" s="64">
        <f t="shared" si="51"/>
        <v>7.2843822843822847E-2</v>
      </c>
      <c r="BP426" s="64">
        <f t="shared" si="52"/>
        <v>7.6923076923076927E-2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55" t="s">
        <v>71</v>
      </c>
      <c r="Q432" s="556"/>
      <c r="R432" s="556"/>
      <c r="S432" s="556"/>
      <c r="T432" s="556"/>
      <c r="U432" s="556"/>
      <c r="V432" s="55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18.939393939393938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0.23920000000000002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55" t="s">
        <v>71</v>
      </c>
      <c r="Q433" s="556"/>
      <c r="R433" s="556"/>
      <c r="S433" s="556"/>
      <c r="T433" s="556"/>
      <c r="U433" s="556"/>
      <c r="V433" s="557"/>
      <c r="W433" s="37" t="s">
        <v>69</v>
      </c>
      <c r="X433" s="543">
        <f>IFERROR(SUM(X421:X431),"0")</f>
        <v>100</v>
      </c>
      <c r="Y433" s="543">
        <f>IFERROR(SUM(Y421:Y431),"0")</f>
        <v>105.6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300</v>
      </c>
      <c r="Y435" s="542">
        <f>IFERROR(IF(X435="",0,CEILING((X435/$H435),1)*$H435),"")</f>
        <v>300.96000000000004</v>
      </c>
      <c r="Z435" s="36">
        <f>IFERROR(IF(Y435=0,"",ROUNDUP(Y435/H435,0)*0.01196),"")</f>
        <v>0.68171999999999999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319.88636363636363</v>
      </c>
      <c r="BN435" s="64">
        <f>IFERROR(Y435*I435/H435,"0")</f>
        <v>320.91000000000003</v>
      </c>
      <c r="BO435" s="64">
        <f>IFERROR(1/J435*(X435/H435),"0")</f>
        <v>0.54632867132867136</v>
      </c>
      <c r="BP435" s="64">
        <f>IFERROR(1/J435*(Y435/H435),"0")</f>
        <v>0.54807692307692313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55" t="s">
        <v>71</v>
      </c>
      <c r="Q438" s="556"/>
      <c r="R438" s="556"/>
      <c r="S438" s="556"/>
      <c r="T438" s="556"/>
      <c r="U438" s="556"/>
      <c r="V438" s="557"/>
      <c r="W438" s="37" t="s">
        <v>72</v>
      </c>
      <c r="X438" s="543">
        <f>IFERROR(X435/H435,"0")+IFERROR(X436/H436,"0")+IFERROR(X437/H437,"0")</f>
        <v>56.818181818181813</v>
      </c>
      <c r="Y438" s="543">
        <f>IFERROR(Y435/H435,"0")+IFERROR(Y436/H436,"0")+IFERROR(Y437/H437,"0")</f>
        <v>57.000000000000007</v>
      </c>
      <c r="Z438" s="543">
        <f>IFERROR(IF(Z435="",0,Z435),"0")+IFERROR(IF(Z436="",0,Z436),"0")+IFERROR(IF(Z437="",0,Z437),"0")</f>
        <v>0.68171999999999999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55" t="s">
        <v>71</v>
      </c>
      <c r="Q439" s="556"/>
      <c r="R439" s="556"/>
      <c r="S439" s="556"/>
      <c r="T439" s="556"/>
      <c r="U439" s="556"/>
      <c r="V439" s="557"/>
      <c r="W439" s="37" t="s">
        <v>69</v>
      </c>
      <c r="X439" s="543">
        <f>IFERROR(SUM(X435:X437),"0")</f>
        <v>300</v>
      </c>
      <c r="Y439" s="543">
        <f>IFERROR(SUM(Y435:Y437),"0")</f>
        <v>300.96000000000004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60</v>
      </c>
      <c r="Y441" s="542">
        <f t="shared" ref="Y441:Y446" si="53">IFERROR(IF(X441="",0,CEILING((X441/$H441),1)*$H441),"")</f>
        <v>63.36</v>
      </c>
      <c r="Z441" s="36">
        <f>IFERROR(IF(Y441=0,"",ROUNDUP(Y441/H441,0)*0.01196),"")</f>
        <v>0.14352000000000001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63.977272727272727</v>
      </c>
      <c r="BN441" s="64">
        <f t="shared" ref="BN441:BN446" si="55">IFERROR(Y441*I441/H441,"0")</f>
        <v>67.559999999999988</v>
      </c>
      <c r="BO441" s="64">
        <f t="shared" ref="BO441:BO446" si="56">IFERROR(1/J441*(X441/H441),"0")</f>
        <v>0.10926573426573427</v>
      </c>
      <c r="BP441" s="64">
        <f t="shared" ref="BP441:BP446" si="57">IFERROR(1/J441*(Y441/H441),"0")</f>
        <v>0.11538461538461539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120</v>
      </c>
      <c r="Y442" s="542">
        <f t="shared" si="53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127.95454545454545</v>
      </c>
      <c r="BN442" s="64">
        <f t="shared" si="55"/>
        <v>129.49</v>
      </c>
      <c r="BO442" s="64">
        <f t="shared" si="56"/>
        <v>0.21853146853146854</v>
      </c>
      <c r="BP442" s="64">
        <f t="shared" si="57"/>
        <v>0.22115384615384617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55" t="s">
        <v>71</v>
      </c>
      <c r="Q447" s="556"/>
      <c r="R447" s="556"/>
      <c r="S447" s="556"/>
      <c r="T447" s="556"/>
      <c r="U447" s="556"/>
      <c r="V447" s="557"/>
      <c r="W447" s="37" t="s">
        <v>72</v>
      </c>
      <c r="X447" s="543">
        <f>IFERROR(X441/H441,"0")+IFERROR(X442/H442,"0")+IFERROR(X443/H443,"0")+IFERROR(X444/H444,"0")+IFERROR(X445/H445,"0")+IFERROR(X446/H446,"0")</f>
        <v>34.090909090909093</v>
      </c>
      <c r="Y447" s="543">
        <f>IFERROR(Y441/H441,"0")+IFERROR(Y442/H442,"0")+IFERROR(Y443/H443,"0")+IFERROR(Y444/H444,"0")+IFERROR(Y445/H445,"0")+IFERROR(Y446/H446,"0")</f>
        <v>35</v>
      </c>
      <c r="Z447" s="543">
        <f>IFERROR(IF(Z441="",0,Z441),"0")+IFERROR(IF(Z442="",0,Z442),"0")+IFERROR(IF(Z443="",0,Z443),"0")+IFERROR(IF(Z444="",0,Z444),"0")+IFERROR(IF(Z445="",0,Z445),"0")+IFERROR(IF(Z446="",0,Z446),"0")</f>
        <v>0.41859999999999997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55" t="s">
        <v>71</v>
      </c>
      <c r="Q448" s="556"/>
      <c r="R448" s="556"/>
      <c r="S448" s="556"/>
      <c r="T448" s="556"/>
      <c r="U448" s="556"/>
      <c r="V448" s="557"/>
      <c r="W448" s="37" t="s">
        <v>69</v>
      </c>
      <c r="X448" s="543">
        <f>IFERROR(SUM(X441:X446),"0")</f>
        <v>180</v>
      </c>
      <c r="Y448" s="543">
        <f>IFERROR(SUM(Y441:Y446),"0")</f>
        <v>184.8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9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55" t="s">
        <v>71</v>
      </c>
      <c r="Q453" s="556"/>
      <c r="R453" s="556"/>
      <c r="S453" s="556"/>
      <c r="T453" s="556"/>
      <c r="U453" s="556"/>
      <c r="V453" s="55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55" t="s">
        <v>71</v>
      </c>
      <c r="Q454" s="556"/>
      <c r="R454" s="556"/>
      <c r="S454" s="556"/>
      <c r="T454" s="556"/>
      <c r="U454" s="556"/>
      <c r="V454" s="55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699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4" t="s">
        <v>699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3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120</v>
      </c>
      <c r="Y460" s="542">
        <f>IFERROR(IF(X460="",0,CEILING((X460/$H460),1)*$H460),"")</f>
        <v>120</v>
      </c>
      <c r="Z460" s="36">
        <f>IFERROR(IF(Y460=0,"",ROUNDUP(Y460/H460,0)*0.01898),"")</f>
        <v>0.1898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124.10000000000001</v>
      </c>
      <c r="BN460" s="64">
        <f>IFERROR(Y460*I460/H460,"0")</f>
        <v>124.10000000000001</v>
      </c>
      <c r="BO460" s="64">
        <f>IFERROR(1/J460*(X460/H460),"0")</f>
        <v>0.15625</v>
      </c>
      <c r="BP460" s="64">
        <f>IFERROR(1/J460*(Y460/H460),"0")</f>
        <v>0.15625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55" t="s">
        <v>71</v>
      </c>
      <c r="Q462" s="556"/>
      <c r="R462" s="556"/>
      <c r="S462" s="556"/>
      <c r="T462" s="556"/>
      <c r="U462" s="556"/>
      <c r="V462" s="557"/>
      <c r="W462" s="37" t="s">
        <v>72</v>
      </c>
      <c r="X462" s="543">
        <f>IFERROR(X458/H458,"0")+IFERROR(X459/H459,"0")+IFERROR(X460/H460,"0")+IFERROR(X461/H461,"0")</f>
        <v>10</v>
      </c>
      <c r="Y462" s="543">
        <f>IFERROR(Y458/H458,"0")+IFERROR(Y459/H459,"0")+IFERROR(Y460/H460,"0")+IFERROR(Y461/H461,"0")</f>
        <v>10</v>
      </c>
      <c r="Z462" s="543">
        <f>IFERROR(IF(Z458="",0,Z458),"0")+IFERROR(IF(Z459="",0,Z459),"0")+IFERROR(IF(Z460="",0,Z460),"0")+IFERROR(IF(Z461="",0,Z461),"0")</f>
        <v>0.1898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55" t="s">
        <v>71</v>
      </c>
      <c r="Q463" s="556"/>
      <c r="R463" s="556"/>
      <c r="S463" s="556"/>
      <c r="T463" s="556"/>
      <c r="U463" s="556"/>
      <c r="V463" s="557"/>
      <c r="W463" s="37" t="s">
        <v>69</v>
      </c>
      <c r="X463" s="543">
        <f>IFERROR(SUM(X458:X461),"0")</f>
        <v>120</v>
      </c>
      <c r="Y463" s="543">
        <f>IFERROR(SUM(Y458:Y461),"0")</f>
        <v>120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55" t="s">
        <v>71</v>
      </c>
      <c r="Q468" s="556"/>
      <c r="R468" s="556"/>
      <c r="S468" s="556"/>
      <c r="T468" s="556"/>
      <c r="U468" s="556"/>
      <c r="V468" s="55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55" t="s">
        <v>71</v>
      </c>
      <c r="Q469" s="556"/>
      <c r="R469" s="556"/>
      <c r="S469" s="556"/>
      <c r="T469" s="556"/>
      <c r="U469" s="556"/>
      <c r="V469" s="55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5"/>
      <c r="AB470" s="535"/>
      <c r="AC470" s="535"/>
    </row>
    <row r="471" spans="1:68" ht="27" hidden="1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8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55" t="s">
        <v>71</v>
      </c>
      <c r="Q473" s="556"/>
      <c r="R473" s="556"/>
      <c r="S473" s="556"/>
      <c r="T473" s="556"/>
      <c r="U473" s="556"/>
      <c r="V473" s="557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55" t="s">
        <v>71</v>
      </c>
      <c r="Q474" s="556"/>
      <c r="R474" s="556"/>
      <c r="S474" s="556"/>
      <c r="T474" s="556"/>
      <c r="U474" s="556"/>
      <c r="V474" s="557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8</v>
      </c>
      <c r="Y476" s="542">
        <f>IFERROR(IF(X476="",0,CEILING((X476/$H476),1)*$H476),"")</f>
        <v>9</v>
      </c>
      <c r="Z476" s="36">
        <f>IFERROR(IF(Y476=0,"",ROUNDUP(Y476/H476,0)*0.01898),"")</f>
        <v>1.898E-2</v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8.4391111111111101</v>
      </c>
      <c r="BN476" s="64">
        <f>IFERROR(Y476*I476/H476,"0")</f>
        <v>9.4939999999999998</v>
      </c>
      <c r="BO476" s="64">
        <f>IFERROR(1/J476*(X476/H476),"0")</f>
        <v>1.3888888888888888E-2</v>
      </c>
      <c r="BP476" s="64">
        <f>IFERROR(1/J476*(Y476/H476),"0")</f>
        <v>1.5625E-2</v>
      </c>
    </row>
    <row r="477" spans="1:68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55" t="s">
        <v>71</v>
      </c>
      <c r="Q477" s="556"/>
      <c r="R477" s="556"/>
      <c r="S477" s="556"/>
      <c r="T477" s="556"/>
      <c r="U477" s="556"/>
      <c r="V477" s="557"/>
      <c r="W477" s="37" t="s">
        <v>72</v>
      </c>
      <c r="X477" s="543">
        <f>IFERROR(X476/H476,"0")</f>
        <v>0.88888888888888884</v>
      </c>
      <c r="Y477" s="543">
        <f>IFERROR(Y476/H476,"0")</f>
        <v>1</v>
      </c>
      <c r="Z477" s="543">
        <f>IFERROR(IF(Z476="",0,Z476),"0")</f>
        <v>1.898E-2</v>
      </c>
      <c r="AA477" s="544"/>
      <c r="AB477" s="544"/>
      <c r="AC477" s="544"/>
    </row>
    <row r="478" spans="1:68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55" t="s">
        <v>71</v>
      </c>
      <c r="Q478" s="556"/>
      <c r="R478" s="556"/>
      <c r="S478" s="556"/>
      <c r="T478" s="556"/>
      <c r="U478" s="556"/>
      <c r="V478" s="557"/>
      <c r="W478" s="37" t="s">
        <v>69</v>
      </c>
      <c r="X478" s="543">
        <f>IFERROR(SUM(X476:X476),"0")</f>
        <v>8</v>
      </c>
      <c r="Y478" s="543">
        <f>IFERROR(SUM(Y476:Y476),"0")</f>
        <v>9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55" t="s">
        <v>71</v>
      </c>
      <c r="Q482" s="556"/>
      <c r="R482" s="556"/>
      <c r="S482" s="556"/>
      <c r="T482" s="556"/>
      <c r="U482" s="556"/>
      <c r="V482" s="55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55" t="s">
        <v>71</v>
      </c>
      <c r="Q483" s="556"/>
      <c r="R483" s="556"/>
      <c r="S483" s="556"/>
      <c r="T483" s="556"/>
      <c r="U483" s="556"/>
      <c r="V483" s="55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4" t="s">
        <v>735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3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55" t="s">
        <v>71</v>
      </c>
      <c r="Q487" s="556"/>
      <c r="R487" s="556"/>
      <c r="S487" s="556"/>
      <c r="T487" s="556"/>
      <c r="U487" s="556"/>
      <c r="V487" s="55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55" t="s">
        <v>71</v>
      </c>
      <c r="Q488" s="556"/>
      <c r="R488" s="556"/>
      <c r="S488" s="556"/>
      <c r="T488" s="556"/>
      <c r="U488" s="556"/>
      <c r="V488" s="55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8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07"/>
      <c r="P489" s="634" t="s">
        <v>739</v>
      </c>
      <c r="Q489" s="635"/>
      <c r="R489" s="635"/>
      <c r="S489" s="635"/>
      <c r="T489" s="635"/>
      <c r="U489" s="635"/>
      <c r="V489" s="636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4454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4517.1400000000003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07"/>
      <c r="P490" s="634" t="s">
        <v>740</v>
      </c>
      <c r="Q490" s="635"/>
      <c r="R490" s="635"/>
      <c r="S490" s="635"/>
      <c r="T490" s="635"/>
      <c r="U490" s="635"/>
      <c r="V490" s="636"/>
      <c r="W490" s="37" t="s">
        <v>69</v>
      </c>
      <c r="X490" s="543">
        <f>IFERROR(SUM(BM22:BM486),"0")</f>
        <v>4660.3345289405197</v>
      </c>
      <c r="Y490" s="543">
        <f>IFERROR(SUM(BN22:BN486),"0")</f>
        <v>4726.4279999999999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07"/>
      <c r="P491" s="634" t="s">
        <v>741</v>
      </c>
      <c r="Q491" s="635"/>
      <c r="R491" s="635"/>
      <c r="S491" s="635"/>
      <c r="T491" s="635"/>
      <c r="U491" s="635"/>
      <c r="V491" s="636"/>
      <c r="W491" s="37" t="s">
        <v>742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07"/>
      <c r="P492" s="634" t="s">
        <v>743</v>
      </c>
      <c r="Q492" s="635"/>
      <c r="R492" s="635"/>
      <c r="S492" s="635"/>
      <c r="T492" s="635"/>
      <c r="U492" s="635"/>
      <c r="V492" s="636"/>
      <c r="W492" s="37" t="s">
        <v>69</v>
      </c>
      <c r="X492" s="543">
        <f>GrossWeightTotal+PalletQtyTotal*25</f>
        <v>4860.3345289405197</v>
      </c>
      <c r="Y492" s="543">
        <f>GrossWeightTotalR+PalletQtyTotalR*25</f>
        <v>4926.4279999999999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07"/>
      <c r="P493" s="634" t="s">
        <v>744</v>
      </c>
      <c r="Q493" s="635"/>
      <c r="R493" s="635"/>
      <c r="S493" s="635"/>
      <c r="T493" s="635"/>
      <c r="U493" s="635"/>
      <c r="V493" s="636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493.60307609869017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501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07"/>
      <c r="P494" s="634" t="s">
        <v>745</v>
      </c>
      <c r="Q494" s="635"/>
      <c r="R494" s="635"/>
      <c r="S494" s="635"/>
      <c r="T494" s="635"/>
      <c r="U494" s="635"/>
      <c r="V494" s="636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8.518950000000002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0" t="s">
        <v>99</v>
      </c>
      <c r="D496" s="657"/>
      <c r="E496" s="657"/>
      <c r="F496" s="657"/>
      <c r="G496" s="657"/>
      <c r="H496" s="622"/>
      <c r="I496" s="590" t="s">
        <v>255</v>
      </c>
      <c r="J496" s="657"/>
      <c r="K496" s="657"/>
      <c r="L496" s="657"/>
      <c r="M496" s="657"/>
      <c r="N496" s="657"/>
      <c r="O496" s="657"/>
      <c r="P496" s="657"/>
      <c r="Q496" s="657"/>
      <c r="R496" s="622"/>
      <c r="S496" s="590" t="s">
        <v>536</v>
      </c>
      <c r="T496" s="622"/>
      <c r="U496" s="590" t="s">
        <v>588</v>
      </c>
      <c r="V496" s="657"/>
      <c r="W496" s="622"/>
      <c r="X496" s="533" t="s">
        <v>639</v>
      </c>
      <c r="Y496" s="590" t="s">
        <v>699</v>
      </c>
      <c r="Z496" s="622"/>
      <c r="AB496" s="52"/>
      <c r="AC496" s="52"/>
      <c r="AF496" s="534"/>
    </row>
    <row r="497" spans="1:32" ht="14.25" customHeight="1" thickTop="1" x14ac:dyDescent="0.2">
      <c r="A497" s="851" t="s">
        <v>748</v>
      </c>
      <c r="B497" s="590" t="s">
        <v>63</v>
      </c>
      <c r="C497" s="590" t="s">
        <v>100</v>
      </c>
      <c r="D497" s="590" t="s">
        <v>117</v>
      </c>
      <c r="E497" s="590" t="s">
        <v>171</v>
      </c>
      <c r="F497" s="590" t="s">
        <v>190</v>
      </c>
      <c r="G497" s="590" t="s">
        <v>220</v>
      </c>
      <c r="H497" s="590" t="s">
        <v>99</v>
      </c>
      <c r="I497" s="590" t="s">
        <v>256</v>
      </c>
      <c r="J497" s="590" t="s">
        <v>297</v>
      </c>
      <c r="K497" s="590" t="s">
        <v>357</v>
      </c>
      <c r="L497" s="590" t="s">
        <v>399</v>
      </c>
      <c r="M497" s="590" t="s">
        <v>415</v>
      </c>
      <c r="N497" s="534"/>
      <c r="O497" s="590" t="s">
        <v>426</v>
      </c>
      <c r="P497" s="590" t="s">
        <v>435</v>
      </c>
      <c r="Q497" s="590" t="s">
        <v>445</v>
      </c>
      <c r="R497" s="590" t="s">
        <v>526</v>
      </c>
      <c r="S497" s="590" t="s">
        <v>537</v>
      </c>
      <c r="T497" s="590" t="s">
        <v>572</v>
      </c>
      <c r="U497" s="590" t="s">
        <v>589</v>
      </c>
      <c r="V497" s="590" t="s">
        <v>620</v>
      </c>
      <c r="W497" s="590" t="s">
        <v>635</v>
      </c>
      <c r="X497" s="590" t="s">
        <v>639</v>
      </c>
      <c r="Y497" s="590" t="s">
        <v>699</v>
      </c>
      <c r="Z497" s="590" t="s">
        <v>735</v>
      </c>
      <c r="AB497" s="52"/>
      <c r="AC497" s="52"/>
      <c r="AF497" s="534"/>
    </row>
    <row r="498" spans="1:32" ht="13.5" customHeight="1" thickBot="1" x14ac:dyDescent="0.25">
      <c r="A498" s="852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4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183.60000000000002</v>
      </c>
      <c r="E499" s="46">
        <f>IFERROR(Y85*1,"0")+IFERROR(Y86*1,"0")+IFERROR(Y87*1,"0")+IFERROR(Y91*1,"0")+IFERROR(Y92*1,"0")+IFERROR(Y93*1,"0")+IFERROR(Y94*1,"0")</f>
        <v>75.600000000000009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40.5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1365.8799999999999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1755</v>
      </c>
      <c r="T499" s="46">
        <f>IFERROR(Y368*1,"0")+IFERROR(Y369*1,"0")+IFERROR(Y373*1,"0")+IFERROR(Y374*1,"0")+IFERROR(Y378*1,"0")+IFERROR(Y379*1,"0")</f>
        <v>306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16.200000000000003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591.36000000000013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129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9"/>
        <filter val="1 000,00"/>
        <filter val="10,00"/>
        <filter val="100,00"/>
        <filter val="11,11"/>
        <filter val="115,38"/>
        <filter val="120,00"/>
        <filter val="15,00"/>
        <filter val="18,94"/>
        <filter val="180,00"/>
        <filter val="2,78"/>
        <filter val="21,00"/>
        <filter val="23,15"/>
        <filter val="250,00"/>
        <filter val="30,00"/>
        <filter val="300,00"/>
        <filter val="33,33"/>
        <filter val="34,09"/>
        <filter val="4 454,00"/>
        <filter val="4 660,33"/>
        <filter val="4 860,33"/>
        <filter val="4,63"/>
        <filter val="4,94"/>
        <filter val="40,00"/>
        <filter val="42,86"/>
        <filter val="493,60"/>
        <filter val="50,00"/>
        <filter val="56,82"/>
        <filter val="6,48"/>
        <filter val="6,91"/>
        <filter val="60,00"/>
        <filter val="600,00"/>
        <filter val="66,67"/>
        <filter val="70,00"/>
        <filter val="750,00"/>
        <filter val="8"/>
        <filter val="8,00"/>
        <filter val="900,00"/>
      </filters>
    </filterColumn>
    <filterColumn colId="29" showButton="0"/>
    <filterColumn colId="30" showButton="0"/>
  </autoFilter>
  <mergeCells count="874"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G497:G498"/>
    <mergeCell ref="Q497:Q49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P492:V492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D202:E202"/>
    <mergeCell ref="A269:Z26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29:T129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D290:E290"/>
    <mergeCell ref="D94:E94"/>
    <mergeCell ref="P148:T148"/>
    <mergeCell ref="A109:O110"/>
    <mergeCell ref="D353:E3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