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701A4C-FC71-4F33-977F-AF94A5BAF2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BO257" i="1"/>
  <c r="BM257" i="1"/>
  <c r="Z257" i="1"/>
  <c r="Z260" i="1" s="1"/>
  <c r="Y257" i="1"/>
  <c r="P257" i="1"/>
  <c r="X255" i="1"/>
  <c r="X254" i="1"/>
  <c r="BO253" i="1"/>
  <c r="BM253" i="1"/>
  <c r="Z253" i="1"/>
  <c r="Y253" i="1"/>
  <c r="Y255" i="1" s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BO246" i="1"/>
  <c r="BM246" i="1"/>
  <c r="Z246" i="1"/>
  <c r="Y246" i="1"/>
  <c r="BP246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BO210" i="1"/>
  <c r="BM210" i="1"/>
  <c r="Z210" i="1"/>
  <c r="Z213" i="1" s="1"/>
  <c r="Y210" i="1"/>
  <c r="P210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Z202" i="1" s="1"/>
  <c r="Y201" i="1"/>
  <c r="Y203" i="1" s="1"/>
  <c r="X198" i="1"/>
  <c r="X197" i="1"/>
  <c r="BO196" i="1"/>
  <c r="BM196" i="1"/>
  <c r="Z196" i="1"/>
  <c r="Y196" i="1"/>
  <c r="BP196" i="1" s="1"/>
  <c r="P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BP162" i="1" s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P103" i="1"/>
  <c r="BO102" i="1"/>
  <c r="BM102" i="1"/>
  <c r="Z102" i="1"/>
  <c r="Y102" i="1"/>
  <c r="BP102" i="1" s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P87" i="1"/>
  <c r="BO86" i="1"/>
  <c r="BM86" i="1"/>
  <c r="Z86" i="1"/>
  <c r="Y86" i="1"/>
  <c r="BP86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O70" i="1"/>
  <c r="BM70" i="1"/>
  <c r="Z70" i="1"/>
  <c r="Y70" i="1"/>
  <c r="Y72" i="1" s="1"/>
  <c r="P70" i="1"/>
  <c r="BP69" i="1"/>
  <c r="BO69" i="1"/>
  <c r="BN69" i="1"/>
  <c r="BM69" i="1"/>
  <c r="Z69" i="1"/>
  <c r="Z71" i="1" s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P63" i="1"/>
  <c r="BO62" i="1"/>
  <c r="BM62" i="1"/>
  <c r="Z62" i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Y57" i="1"/>
  <c r="Y59" i="1" s="1"/>
  <c r="P57" i="1"/>
  <c r="X55" i="1"/>
  <c r="X54" i="1"/>
  <c r="BO53" i="1"/>
  <c r="BM53" i="1"/>
  <c r="Z53" i="1"/>
  <c r="Z54" i="1" s="1"/>
  <c r="Y53" i="1"/>
  <c r="Y55" i="1" s="1"/>
  <c r="P53" i="1"/>
  <c r="X51" i="1"/>
  <c r="X50" i="1"/>
  <c r="BO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P42" i="1"/>
  <c r="BO41" i="1"/>
  <c r="BM41" i="1"/>
  <c r="Z41" i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Y37" i="1" s="1"/>
  <c r="P35" i="1"/>
  <c r="BP34" i="1"/>
  <c r="BO34" i="1"/>
  <c r="BN34" i="1"/>
  <c r="BM34" i="1"/>
  <c r="Z34" i="1"/>
  <c r="Z37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Z30" i="1" s="1"/>
  <c r="Y28" i="1"/>
  <c r="P28" i="1"/>
  <c r="X24" i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7" i="1" l="1"/>
  <c r="Z82" i="1"/>
  <c r="Z92" i="1"/>
  <c r="BN86" i="1"/>
  <c r="Y93" i="1"/>
  <c r="BN88" i="1"/>
  <c r="BN90" i="1"/>
  <c r="Z98" i="1"/>
  <c r="Z110" i="1"/>
  <c r="BN102" i="1"/>
  <c r="Y111" i="1"/>
  <c r="BN104" i="1"/>
  <c r="BN106" i="1"/>
  <c r="BN108" i="1"/>
  <c r="Z124" i="1"/>
  <c r="Z130" i="1"/>
  <c r="BN128" i="1"/>
  <c r="Y131" i="1"/>
  <c r="Z136" i="1"/>
  <c r="BN140" i="1"/>
  <c r="BP140" i="1"/>
  <c r="Y141" i="1"/>
  <c r="BN145" i="1"/>
  <c r="BP145" i="1"/>
  <c r="Y146" i="1"/>
  <c r="Z163" i="1"/>
  <c r="Z171" i="1"/>
  <c r="BN168" i="1"/>
  <c r="BN170" i="1"/>
  <c r="BN185" i="1"/>
  <c r="BN187" i="1"/>
  <c r="Y198" i="1"/>
  <c r="Y214" i="1"/>
  <c r="Y261" i="1"/>
  <c r="X276" i="1"/>
  <c r="X279" i="1"/>
  <c r="Y30" i="1"/>
  <c r="BN29" i="1"/>
  <c r="X275" i="1"/>
  <c r="Y38" i="1"/>
  <c r="Z45" i="1"/>
  <c r="BN41" i="1"/>
  <c r="BP41" i="1"/>
  <c r="Y46" i="1"/>
  <c r="BN43" i="1"/>
  <c r="Z59" i="1"/>
  <c r="Z65" i="1"/>
  <c r="BN62" i="1"/>
  <c r="BP62" i="1"/>
  <c r="Y65" i="1"/>
  <c r="BN64" i="1"/>
  <c r="Y71" i="1"/>
  <c r="Y82" i="1"/>
  <c r="BN81" i="1"/>
  <c r="Y92" i="1"/>
  <c r="Y98" i="1"/>
  <c r="BN97" i="1"/>
  <c r="Y110" i="1"/>
  <c r="Y124" i="1"/>
  <c r="BN123" i="1"/>
  <c r="Y130" i="1"/>
  <c r="Y136" i="1"/>
  <c r="BN135" i="1"/>
  <c r="BN162" i="1"/>
  <c r="Y172" i="1"/>
  <c r="Z188" i="1"/>
  <c r="Z197" i="1"/>
  <c r="BN192" i="1"/>
  <c r="BP192" i="1"/>
  <c r="BN194" i="1"/>
  <c r="BN196" i="1"/>
  <c r="BN211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Z249" i="1"/>
  <c r="BN246" i="1"/>
  <c r="BN248" i="1"/>
  <c r="BN258" i="1"/>
  <c r="X278" i="1"/>
  <c r="F9" i="1"/>
  <c r="J9" i="1"/>
  <c r="F10" i="1"/>
  <c r="BN22" i="1"/>
  <c r="BP22" i="1"/>
  <c r="Y23" i="1"/>
  <c r="BN28" i="1"/>
  <c r="BP28" i="1"/>
  <c r="Y31" i="1"/>
  <c r="BN35" i="1"/>
  <c r="BP35" i="1"/>
  <c r="BN42" i="1"/>
  <c r="BP42" i="1"/>
  <c r="BN44" i="1"/>
  <c r="BN49" i="1"/>
  <c r="BP49" i="1"/>
  <c r="Y50" i="1"/>
  <c r="BN53" i="1"/>
  <c r="BP53" i="1"/>
  <c r="Y54" i="1"/>
  <c r="BN57" i="1"/>
  <c r="BP57" i="1"/>
  <c r="Y60" i="1"/>
  <c r="BN63" i="1"/>
  <c r="BP63" i="1"/>
  <c r="BN70" i="1"/>
  <c r="BP70" i="1"/>
  <c r="BN75" i="1"/>
  <c r="BP75" i="1"/>
  <c r="Y76" i="1"/>
  <c r="BN80" i="1"/>
  <c r="BP80" i="1"/>
  <c r="Y83" i="1"/>
  <c r="BN87" i="1"/>
  <c r="BP87" i="1"/>
  <c r="BN89" i="1"/>
  <c r="BN91" i="1"/>
  <c r="BN96" i="1"/>
  <c r="BP96" i="1"/>
  <c r="Y99" i="1"/>
  <c r="BN103" i="1"/>
  <c r="BP103" i="1"/>
  <c r="BN105" i="1"/>
  <c r="BN107" i="1"/>
  <c r="BN109" i="1"/>
  <c r="BN113" i="1"/>
  <c r="BP113" i="1"/>
  <c r="Y114" i="1"/>
  <c r="BN117" i="1"/>
  <c r="BP117" i="1"/>
  <c r="Y118" i="1"/>
  <c r="BN122" i="1"/>
  <c r="BP122" i="1"/>
  <c r="Y125" i="1"/>
  <c r="BN129" i="1"/>
  <c r="BP129" i="1"/>
  <c r="BN134" i="1"/>
  <c r="BP134" i="1"/>
  <c r="Y13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Z219" i="1"/>
  <c r="Y250" i="1"/>
  <c r="Y254" i="1"/>
  <c r="Y260" i="1"/>
  <c r="BP257" i="1"/>
  <c r="BN257" i="1"/>
  <c r="BP259" i="1"/>
  <c r="BN259" i="1"/>
  <c r="Z273" i="1"/>
  <c r="H9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Y275" i="1" l="1"/>
  <c r="Z280" i="1"/>
  <c r="Y279" i="1"/>
  <c r="Y276" i="1"/>
  <c r="Y277" i="1"/>
  <c r="Y278" i="1" l="1"/>
  <c r="A288" i="1" s="1"/>
  <c r="C288" i="1"/>
  <c r="B288" i="1"/>
</calcChain>
</file>

<file path=xl/sharedStrings.xml><?xml version="1.0" encoding="utf-8"?>
<sst xmlns="http://schemas.openxmlformats.org/spreadsheetml/2006/main" count="1238" uniqueCount="399">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</sst>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8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8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5" t="s">
        <v>0</v>
      </c>
      <c r="E1" s="297"/>
      <c r="F1" s="297"/>
      <c r="G1" s="12" t="s">
        <v>1</v>
      </c>
      <c r="H1" s="325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39" t="s">
        <v>8</v>
      </c>
      <c r="B5" s="294"/>
      <c r="C5" s="295"/>
      <c r="D5" s="342"/>
      <c r="E5" s="343"/>
      <c r="F5" s="446" t="s">
        <v>9</v>
      </c>
      <c r="G5" s="295"/>
      <c r="H5" s="342"/>
      <c r="I5" s="436"/>
      <c r="J5" s="436"/>
      <c r="K5" s="436"/>
      <c r="L5" s="436"/>
      <c r="M5" s="343"/>
      <c r="N5" s="61"/>
      <c r="P5" s="24" t="s">
        <v>10</v>
      </c>
      <c r="Q5" s="447">
        <v>45975</v>
      </c>
      <c r="R5" s="338"/>
      <c r="T5" s="372" t="s">
        <v>11</v>
      </c>
      <c r="U5" s="362"/>
      <c r="V5" s="373" t="s">
        <v>12</v>
      </c>
      <c r="W5" s="338"/>
      <c r="AB5" s="51"/>
      <c r="AC5" s="51"/>
      <c r="AD5" s="51"/>
      <c r="AE5" s="51"/>
    </row>
    <row r="6" spans="1:32" s="264" customFormat="1" ht="24" customHeight="1" x14ac:dyDescent="0.2">
      <c r="A6" s="339" t="s">
        <v>13</v>
      </c>
      <c r="B6" s="294"/>
      <c r="C6" s="295"/>
      <c r="D6" s="437" t="s">
        <v>14</v>
      </c>
      <c r="E6" s="438"/>
      <c r="F6" s="438"/>
      <c r="G6" s="438"/>
      <c r="H6" s="438"/>
      <c r="I6" s="438"/>
      <c r="J6" s="438"/>
      <c r="K6" s="438"/>
      <c r="L6" s="438"/>
      <c r="M6" s="338"/>
      <c r="N6" s="62"/>
      <c r="P6" s="24" t="s">
        <v>15</v>
      </c>
      <c r="Q6" s="450" t="str">
        <f>IF(Q5=0," ",CHOOSE(WEEKDAY(Q5,2),"Понедельник","Вторник","Среда","Четверг","Пятница","Суббота","Воскресенье"))</f>
        <v>Пятница</v>
      </c>
      <c r="R6" s="288"/>
      <c r="T6" s="377" t="s">
        <v>16</v>
      </c>
      <c r="U6" s="362"/>
      <c r="V6" s="424" t="s">
        <v>17</v>
      </c>
      <c r="W6" s="305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8" t="str">
        <f>IFERROR(VLOOKUP(DeliveryAddress,Table,3,0),1)</f>
        <v>1</v>
      </c>
      <c r="E7" s="309"/>
      <c r="F7" s="309"/>
      <c r="G7" s="309"/>
      <c r="H7" s="309"/>
      <c r="I7" s="309"/>
      <c r="J7" s="309"/>
      <c r="K7" s="309"/>
      <c r="L7" s="309"/>
      <c r="M7" s="310"/>
      <c r="N7" s="63"/>
      <c r="P7" s="24"/>
      <c r="Q7" s="42"/>
      <c r="R7" s="42"/>
      <c r="T7" s="285"/>
      <c r="U7" s="362"/>
      <c r="V7" s="425"/>
      <c r="W7" s="426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7"/>
      <c r="C8" s="278"/>
      <c r="D8" s="315" t="s">
        <v>19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20</v>
      </c>
      <c r="Q8" s="340">
        <v>0.375</v>
      </c>
      <c r="R8" s="310"/>
      <c r="T8" s="285"/>
      <c r="U8" s="362"/>
      <c r="V8" s="425"/>
      <c r="W8" s="426"/>
      <c r="AB8" s="51"/>
      <c r="AC8" s="51"/>
      <c r="AD8" s="51"/>
      <c r="AE8" s="51"/>
    </row>
    <row r="9" spans="1:32" s="264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6"/>
      <c r="E9" s="275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2"/>
      <c r="P9" s="26" t="s">
        <v>21</v>
      </c>
      <c r="Q9" s="335"/>
      <c r="R9" s="336"/>
      <c r="T9" s="285"/>
      <c r="U9" s="362"/>
      <c r="V9" s="427"/>
      <c r="W9" s="428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6"/>
      <c r="E10" s="275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432" t="str">
        <f>IFERROR(VLOOKUP($D$10,Proxy,2,FALSE),"")</f>
        <v/>
      </c>
      <c r="I10" s="285"/>
      <c r="J10" s="285"/>
      <c r="K10" s="285"/>
      <c r="L10" s="285"/>
      <c r="M10" s="285"/>
      <c r="N10" s="263"/>
      <c r="P10" s="26" t="s">
        <v>22</v>
      </c>
      <c r="Q10" s="378"/>
      <c r="R10" s="379"/>
      <c r="U10" s="24" t="s">
        <v>23</v>
      </c>
      <c r="V10" s="304" t="s">
        <v>24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7"/>
      <c r="R11" s="338"/>
      <c r="U11" s="24" t="s">
        <v>27</v>
      </c>
      <c r="V11" s="422" t="s">
        <v>28</v>
      </c>
      <c r="W11" s="336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433" t="s">
        <v>29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5"/>
      <c r="N12" s="65"/>
      <c r="P12" s="24" t="s">
        <v>30</v>
      </c>
      <c r="Q12" s="340"/>
      <c r="R12" s="310"/>
      <c r="S12" s="23"/>
      <c r="U12" s="24"/>
      <c r="V12" s="297"/>
      <c r="W12" s="285"/>
      <c r="AB12" s="51"/>
      <c r="AC12" s="51"/>
      <c r="AD12" s="51"/>
      <c r="AE12" s="51"/>
    </row>
    <row r="13" spans="1:32" s="264" customFormat="1" ht="23.25" customHeight="1" x14ac:dyDescent="0.2">
      <c r="A13" s="433" t="s">
        <v>31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5"/>
      <c r="N13" s="65"/>
      <c r="O13" s="26"/>
      <c r="P13" s="26" t="s">
        <v>32</v>
      </c>
      <c r="Q13" s="422"/>
      <c r="R13" s="3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433" t="s">
        <v>33</v>
      </c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67" t="s">
        <v>34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5"/>
      <c r="N15" s="66"/>
      <c r="P15" s="321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22"/>
      <c r="Q16" s="322"/>
      <c r="R16" s="322"/>
      <c r="S16" s="322"/>
      <c r="T16" s="32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355" t="s">
        <v>38</v>
      </c>
      <c r="D17" s="301" t="s">
        <v>39</v>
      </c>
      <c r="E17" s="328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27"/>
      <c r="R17" s="327"/>
      <c r="S17" s="327"/>
      <c r="T17" s="328"/>
      <c r="U17" s="454" t="s">
        <v>51</v>
      </c>
      <c r="V17" s="295"/>
      <c r="W17" s="301" t="s">
        <v>52</v>
      </c>
      <c r="X17" s="301" t="s">
        <v>53</v>
      </c>
      <c r="Y17" s="455" t="s">
        <v>54</v>
      </c>
      <c r="Z17" s="430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400"/>
      <c r="AF17" s="401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29"/>
      <c r="E18" s="331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2"/>
      <c r="X18" s="302"/>
      <c r="Y18" s="456"/>
      <c r="Z18" s="431"/>
      <c r="AA18" s="396"/>
      <c r="AB18" s="396"/>
      <c r="AC18" s="396"/>
      <c r="AD18" s="402"/>
      <c r="AE18" s="403"/>
      <c r="AF18" s="404"/>
      <c r="AG18" s="69"/>
      <c r="BD18" s="68"/>
    </row>
    <row r="19" spans="1:68" ht="27.75" hidden="1" customHeight="1" x14ac:dyDescent="0.2">
      <c r="A19" s="323" t="s">
        <v>63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hidden="1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5"/>
      <c r="AB20" s="265"/>
      <c r="AC20" s="265"/>
    </row>
    <row r="21" spans="1:68" ht="14.25" hidden="1" customHeight="1" x14ac:dyDescent="0.25">
      <c r="A21" s="286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6"/>
      <c r="AB21" s="266"/>
      <c r="AC21" s="26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7">
        <v>4607111035752</v>
      </c>
      <c r="E22" s="288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9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90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hidden="1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90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hidden="1" customHeight="1" x14ac:dyDescent="0.2">
      <c r="A25" s="323" t="s">
        <v>75</v>
      </c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48"/>
      <c r="AB25" s="48"/>
      <c r="AC25" s="48"/>
    </row>
    <row r="26" spans="1:68" ht="16.5" hidden="1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5"/>
      <c r="AB26" s="265"/>
      <c r="AC26" s="265"/>
    </row>
    <row r="27" spans="1:68" ht="14.25" hidden="1" customHeight="1" x14ac:dyDescent="0.25">
      <c r="A27" s="286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7">
        <v>4607111036537</v>
      </c>
      <c r="E28" s="288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70">
        <v>154</v>
      </c>
      <c r="Y28" s="271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7">
        <v>4607111036605</v>
      </c>
      <c r="E29" s="288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90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2">
        <f>IFERROR(SUM(X28:X29),"0")</f>
        <v>154</v>
      </c>
      <c r="Y30" s="272">
        <f>IFERROR(SUM(Y28:Y29),"0")</f>
        <v>154</v>
      </c>
      <c r="Z30" s="272">
        <f>IFERROR(IF(Z28="",0,Z28),"0")+IFERROR(IF(Z29="",0,Z29),"0")</f>
        <v>1.4491400000000001</v>
      </c>
      <c r="AA30" s="273"/>
      <c r="AB30" s="273"/>
      <c r="AC30" s="273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90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2">
        <f>IFERROR(SUMPRODUCT(X28:X29*H28:H29),"0")</f>
        <v>231</v>
      </c>
      <c r="Y31" s="272">
        <f>IFERROR(SUMPRODUCT(Y28:Y29*H28:H29),"0")</f>
        <v>231</v>
      </c>
      <c r="Z31" s="37"/>
      <c r="AA31" s="273"/>
      <c r="AB31" s="273"/>
      <c r="AC31" s="273"/>
    </row>
    <row r="32" spans="1:68" ht="16.5" hidden="1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5"/>
      <c r="AB32" s="265"/>
      <c r="AC32" s="265"/>
    </row>
    <row r="33" spans="1:68" ht="14.25" hidden="1" customHeight="1" x14ac:dyDescent="0.25">
      <c r="A33" s="286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6"/>
      <c r="AB33" s="266"/>
      <c r="AC33" s="266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7">
        <v>4620207490075</v>
      </c>
      <c r="E34" s="288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0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7">
        <v>4620207490174</v>
      </c>
      <c r="E35" s="288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4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70">
        <v>12</v>
      </c>
      <c r="Y35" s="27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7">
        <v>4620207490044</v>
      </c>
      <c r="E36" s="288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1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9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0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2">
        <f>IFERROR(SUM(X34:X36),"0")</f>
        <v>12</v>
      </c>
      <c r="Y37" s="272">
        <f>IFERROR(SUM(Y34:Y36),"0")</f>
        <v>12</v>
      </c>
      <c r="Z37" s="272">
        <f>IFERROR(IF(Z34="",0,Z34),"0")+IFERROR(IF(Z35="",0,Z35),"0")+IFERROR(IF(Z36="",0,Z36),"0")</f>
        <v>0.186</v>
      </c>
      <c r="AA37" s="273"/>
      <c r="AB37" s="273"/>
      <c r="AC37" s="273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90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2">
        <f>IFERROR(SUMPRODUCT(X34:X36*H34:H36),"0")</f>
        <v>67.199999999999989</v>
      </c>
      <c r="Y38" s="272">
        <f>IFERROR(SUMPRODUCT(Y34:Y36*H34:H36),"0")</f>
        <v>67.199999999999989</v>
      </c>
      <c r="Z38" s="37"/>
      <c r="AA38" s="273"/>
      <c r="AB38" s="273"/>
      <c r="AC38" s="273"/>
    </row>
    <row r="39" spans="1:68" ht="16.5" hidden="1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5"/>
      <c r="AB39" s="265"/>
      <c r="AC39" s="265"/>
    </row>
    <row r="40" spans="1:68" ht="14.25" hidden="1" customHeight="1" x14ac:dyDescent="0.25">
      <c r="A40" s="286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7">
        <v>4607111039385</v>
      </c>
      <c r="E41" s="288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70">
        <v>72</v>
      </c>
      <c r="Y41" s="271">
        <f>IFERROR(IF(X41="","",X41),"")</f>
        <v>72</v>
      </c>
      <c r="Z41" s="36">
        <f>IFERROR(IF(X41="","",X41*0.0155),"")</f>
        <v>1.1160000000000001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525.6</v>
      </c>
      <c r="BN41" s="67">
        <f>IFERROR(Y41*I41,"0")</f>
        <v>525.6</v>
      </c>
      <c r="BO41" s="67">
        <f>IFERROR(X41/J41,"0")</f>
        <v>0.8571428571428571</v>
      </c>
      <c r="BP41" s="67">
        <f>IFERROR(Y41/J41,"0")</f>
        <v>0.8571428571428571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7">
        <v>4607111038982</v>
      </c>
      <c r="E42" s="288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70">
        <v>84</v>
      </c>
      <c r="Y42" s="271">
        <f>IFERROR(IF(X42="","",X42),"")</f>
        <v>84</v>
      </c>
      <c r="Z42" s="36">
        <f>IFERROR(IF(X42="","",X42*0.0155),"")</f>
        <v>1.302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612.024</v>
      </c>
      <c r="BN42" s="67">
        <f>IFERROR(Y42*I42,"0")</f>
        <v>612.024</v>
      </c>
      <c r="BO42" s="67">
        <f>IFERROR(X42/J42,"0")</f>
        <v>1</v>
      </c>
      <c r="BP42" s="67">
        <f>IFERROR(Y42/J42,"0")</f>
        <v>1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7">
        <v>4607111039354</v>
      </c>
      <c r="E43" s="288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7">
        <v>4607111039330</v>
      </c>
      <c r="E44" s="288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70">
        <v>144</v>
      </c>
      <c r="Y44" s="271">
        <f>IFERROR(IF(X44="","",X44),"")</f>
        <v>144</v>
      </c>
      <c r="Z44" s="36">
        <f>IFERROR(IF(X44="","",X44*0.0155),"")</f>
        <v>2.2320000000000002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1051.2</v>
      </c>
      <c r="BN44" s="67">
        <f>IFERROR(Y44*I44,"0")</f>
        <v>1051.2</v>
      </c>
      <c r="BO44" s="67">
        <f>IFERROR(X44/J44,"0")</f>
        <v>1.7142857142857142</v>
      </c>
      <c r="BP44" s="67">
        <f>IFERROR(Y44/J44,"0")</f>
        <v>1.7142857142857142</v>
      </c>
    </row>
    <row r="45" spans="1:68" x14ac:dyDescent="0.2">
      <c r="A45" s="289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90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2">
        <f>IFERROR(SUM(X41:X44),"0")</f>
        <v>300</v>
      </c>
      <c r="Y45" s="272">
        <f>IFERROR(SUM(Y41:Y44),"0")</f>
        <v>300</v>
      </c>
      <c r="Z45" s="272">
        <f>IFERROR(IF(Z41="",0,Z41),"0")+IFERROR(IF(Z42="",0,Z42),"0")+IFERROR(IF(Z43="",0,Z43),"0")+IFERROR(IF(Z44="",0,Z44),"0")</f>
        <v>4.6500000000000004</v>
      </c>
      <c r="AA45" s="273"/>
      <c r="AB45" s="273"/>
      <c r="AC45" s="273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90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2">
        <f>IFERROR(SUMPRODUCT(X41:X44*H41:H44),"0")</f>
        <v>2100</v>
      </c>
      <c r="Y46" s="272">
        <f>IFERROR(SUMPRODUCT(Y41:Y44*H41:H44),"0")</f>
        <v>2100</v>
      </c>
      <c r="Z46" s="37"/>
      <c r="AA46" s="273"/>
      <c r="AB46" s="273"/>
      <c r="AC46" s="273"/>
    </row>
    <row r="47" spans="1:68" ht="16.5" hidden="1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5"/>
      <c r="AB47" s="265"/>
      <c r="AC47" s="265"/>
    </row>
    <row r="48" spans="1:68" ht="14.25" hidden="1" customHeight="1" x14ac:dyDescent="0.25">
      <c r="A48" s="286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6"/>
      <c r="AB48" s="266"/>
      <c r="AC48" s="266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7">
        <v>4620207490822</v>
      </c>
      <c r="E49" s="288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9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90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hidden="1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hidden="1" customHeight="1" x14ac:dyDescent="0.25">
      <c r="A52" s="286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6"/>
      <c r="AB52" s="266"/>
      <c r="AC52" s="266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7">
        <v>4607111039712</v>
      </c>
      <c r="E53" s="288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9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90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hidden="1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hidden="1" customHeight="1" x14ac:dyDescent="0.25">
      <c r="A56" s="286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6"/>
      <c r="AB56" s="266"/>
      <c r="AC56" s="266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7">
        <v>4607111037008</v>
      </c>
      <c r="E57" s="288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7">
        <v>4607111037398</v>
      </c>
      <c r="E58" s="288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9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hidden="1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90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hidden="1" customHeight="1" x14ac:dyDescent="0.25">
      <c r="A61" s="286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6"/>
      <c r="AB61" s="266"/>
      <c r="AC61" s="266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7">
        <v>4607111039705</v>
      </c>
      <c r="E62" s="288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39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7">
        <v>4607111039729</v>
      </c>
      <c r="E63" s="288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3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70">
        <v>14</v>
      </c>
      <c r="Y63" s="271">
        <f>IFERROR(IF(X63="","",X63),"")</f>
        <v>14</v>
      </c>
      <c r="Z63" s="36">
        <f>IFERROR(IF(X63="","",X63*0.00941),"")</f>
        <v>0.13174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21.84</v>
      </c>
      <c r="BN63" s="67">
        <f>IFERROR(Y63*I63,"0")</f>
        <v>21.84</v>
      </c>
      <c r="BO63" s="67">
        <f>IFERROR(X63/J63,"0")</f>
        <v>0.1</v>
      </c>
      <c r="BP63" s="67">
        <f>IFERROR(Y63/J63,"0")</f>
        <v>0.1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7">
        <v>4620207490228</v>
      </c>
      <c r="E64" s="288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4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70">
        <v>14</v>
      </c>
      <c r="Y64" s="271">
        <f>IFERROR(IF(X64="","",X64),"")</f>
        <v>14</v>
      </c>
      <c r="Z64" s="36">
        <f>IFERROR(IF(X64="","",X64*0.00941),"")</f>
        <v>0.13174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21.84</v>
      </c>
      <c r="BN64" s="67">
        <f>IFERROR(Y64*I64,"0")</f>
        <v>21.84</v>
      </c>
      <c r="BO64" s="67">
        <f>IFERROR(X64/J64,"0")</f>
        <v>0.1</v>
      </c>
      <c r="BP64" s="67">
        <f>IFERROR(Y64/J64,"0")</f>
        <v>0.1</v>
      </c>
    </row>
    <row r="65" spans="1:68" x14ac:dyDescent="0.2">
      <c r="A65" s="289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90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2">
        <f>IFERROR(SUM(X62:X64),"0")</f>
        <v>28</v>
      </c>
      <c r="Y65" s="272">
        <f>IFERROR(SUM(Y62:Y64),"0")</f>
        <v>28</v>
      </c>
      <c r="Z65" s="272">
        <f>IFERROR(IF(Z62="",0,Z62),"0")+IFERROR(IF(Z63="",0,Z63),"0")+IFERROR(IF(Z64="",0,Z64),"0")</f>
        <v>0.26347999999999999</v>
      </c>
      <c r="AA65" s="273"/>
      <c r="AB65" s="273"/>
      <c r="AC65" s="273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90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2">
        <f>IFERROR(SUMPRODUCT(X62:X64*H62:H64),"0")</f>
        <v>33.6</v>
      </c>
      <c r="Y66" s="272">
        <f>IFERROR(SUMPRODUCT(Y62:Y64*H62:H64),"0")</f>
        <v>33.6</v>
      </c>
      <c r="Z66" s="37"/>
      <c r="AA66" s="273"/>
      <c r="AB66" s="273"/>
      <c r="AC66" s="273"/>
    </row>
    <row r="67" spans="1:68" ht="16.5" hidden="1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5"/>
      <c r="AB67" s="265"/>
      <c r="AC67" s="265"/>
    </row>
    <row r="68" spans="1:68" ht="14.25" hidden="1" customHeight="1" x14ac:dyDescent="0.25">
      <c r="A68" s="286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6"/>
      <c r="AB68" s="266"/>
      <c r="AC68" s="266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7">
        <v>4607111037411</v>
      </c>
      <c r="E69" s="288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7">
        <v>4607111036728</v>
      </c>
      <c r="E70" s="288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70">
        <v>132</v>
      </c>
      <c r="Y70" s="271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9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90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2">
        <f>IFERROR(SUM(X69:X70),"0")</f>
        <v>132</v>
      </c>
      <c r="Y71" s="272">
        <f>IFERROR(SUM(Y69:Y70),"0")</f>
        <v>132</v>
      </c>
      <c r="Z71" s="272">
        <f>IFERROR(IF(Z69="",0,Z69),"0")+IFERROR(IF(Z70="",0,Z70),"0")</f>
        <v>1.1431199999999999</v>
      </c>
      <c r="AA71" s="273"/>
      <c r="AB71" s="273"/>
      <c r="AC71" s="273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0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2">
        <f>IFERROR(SUMPRODUCT(X69:X70*H69:H70),"0")</f>
        <v>660</v>
      </c>
      <c r="Y72" s="272">
        <f>IFERROR(SUMPRODUCT(Y69:Y70*H69:H70),"0")</f>
        <v>660</v>
      </c>
      <c r="Z72" s="37"/>
      <c r="AA72" s="273"/>
      <c r="AB72" s="273"/>
      <c r="AC72" s="273"/>
    </row>
    <row r="73" spans="1:68" ht="16.5" hidden="1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5"/>
      <c r="AB73" s="265"/>
      <c r="AC73" s="265"/>
    </row>
    <row r="74" spans="1:68" ht="14.25" hidden="1" customHeight="1" x14ac:dyDescent="0.25">
      <c r="A74" s="286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7">
        <v>4607111033659</v>
      </c>
      <c r="E75" s="288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90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90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hidden="1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5"/>
      <c r="AB78" s="265"/>
      <c r="AC78" s="265"/>
    </row>
    <row r="79" spans="1:68" ht="14.25" hidden="1" customHeight="1" x14ac:dyDescent="0.25">
      <c r="A79" s="286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6"/>
      <c r="AB79" s="266"/>
      <c r="AC79" s="266"/>
    </row>
    <row r="80" spans="1:68" ht="27" hidden="1" customHeight="1" x14ac:dyDescent="0.25">
      <c r="A80" s="54" t="s">
        <v>144</v>
      </c>
      <c r="B80" s="54" t="s">
        <v>145</v>
      </c>
      <c r="C80" s="31">
        <v>4301131047</v>
      </c>
      <c r="D80" s="287">
        <v>4607111034120</v>
      </c>
      <c r="E80" s="288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70">
        <v>0</v>
      </c>
      <c r="Y80" s="271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147</v>
      </c>
      <c r="B81" s="54" t="s">
        <v>148</v>
      </c>
      <c r="C81" s="31">
        <v>4301131046</v>
      </c>
      <c r="D81" s="287">
        <v>4607111034137</v>
      </c>
      <c r="E81" s="288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70">
        <v>0</v>
      </c>
      <c r="Y81" s="271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9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90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hidden="1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90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hidden="1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5"/>
      <c r="AB84" s="265"/>
      <c r="AC84" s="265"/>
    </row>
    <row r="85" spans="1:68" ht="14.25" hidden="1" customHeight="1" x14ac:dyDescent="0.25">
      <c r="A85" s="286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6"/>
      <c r="AB85" s="266"/>
      <c r="AC85" s="266"/>
    </row>
    <row r="86" spans="1:68" ht="27" hidden="1" customHeight="1" x14ac:dyDescent="0.25">
      <c r="A86" s="54" t="s">
        <v>151</v>
      </c>
      <c r="B86" s="54" t="s">
        <v>152</v>
      </c>
      <c r="C86" s="31">
        <v>4301135763</v>
      </c>
      <c r="D86" s="287">
        <v>4620207491027</v>
      </c>
      <c r="E86" s="288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70">
        <v>0</v>
      </c>
      <c r="Y86" s="271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7">
        <v>4620207491003</v>
      </c>
      <c r="E87" s="288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70">
        <v>98</v>
      </c>
      <c r="Y87" s="271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7">
        <v>4620207491034</v>
      </c>
      <c r="E88" s="288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7">
        <v>4620207491010</v>
      </c>
      <c r="E89" s="288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70">
        <v>140</v>
      </c>
      <c r="Y89" s="271">
        <f t="shared" si="0"/>
        <v>140</v>
      </c>
      <c r="Z89" s="36">
        <f t="shared" si="1"/>
        <v>2.5032000000000001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501.70400000000001</v>
      </c>
      <c r="BN89" s="67">
        <f t="shared" si="3"/>
        <v>501.70400000000001</v>
      </c>
      <c r="BO89" s="67">
        <f t="shared" si="4"/>
        <v>2</v>
      </c>
      <c r="BP89" s="67">
        <f t="shared" si="5"/>
        <v>2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7">
        <v>4607111035028</v>
      </c>
      <c r="E90" s="288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7">
        <v>4607111036407</v>
      </c>
      <c r="E91" s="288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42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70">
        <v>28</v>
      </c>
      <c r="Y91" s="271">
        <f t="shared" si="0"/>
        <v>28</v>
      </c>
      <c r="Z91" s="36">
        <f t="shared" si="1"/>
        <v>0.50063999999999997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126.81760000000001</v>
      </c>
      <c r="BN91" s="67">
        <f t="shared" si="3"/>
        <v>126.81760000000001</v>
      </c>
      <c r="BO91" s="67">
        <f t="shared" si="4"/>
        <v>0.4</v>
      </c>
      <c r="BP91" s="67">
        <f t="shared" si="5"/>
        <v>0.4</v>
      </c>
    </row>
    <row r="92" spans="1:68" x14ac:dyDescent="0.2">
      <c r="A92" s="289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90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2">
        <f>IFERROR(SUM(X86:X91),"0")</f>
        <v>266</v>
      </c>
      <c r="Y92" s="272">
        <f>IFERROR(SUM(Y86:Y91),"0")</f>
        <v>266</v>
      </c>
      <c r="Z92" s="272">
        <f>IFERROR(IF(Z86="",0,Z86),"0")+IFERROR(IF(Z87="",0,Z87),"0")+IFERROR(IF(Z88="",0,Z88),"0")+IFERROR(IF(Z89="",0,Z89),"0")+IFERROR(IF(Z90="",0,Z90),"0")+IFERROR(IF(Z91="",0,Z91),"0")</f>
        <v>4.7560799999999999</v>
      </c>
      <c r="AA92" s="273"/>
      <c r="AB92" s="273"/>
      <c r="AC92" s="273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90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2">
        <f>IFERROR(SUMPRODUCT(X86:X91*H86:H91),"0")</f>
        <v>803.04000000000008</v>
      </c>
      <c r="Y93" s="272">
        <f>IFERROR(SUMPRODUCT(Y86:Y91*H86:H91),"0")</f>
        <v>803.04000000000008</v>
      </c>
      <c r="Z93" s="37"/>
      <c r="AA93" s="273"/>
      <c r="AB93" s="273"/>
      <c r="AC93" s="273"/>
    </row>
    <row r="94" spans="1:68" ht="16.5" hidden="1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5"/>
      <c r="AB94" s="265"/>
      <c r="AC94" s="265"/>
    </row>
    <row r="95" spans="1:68" ht="14.25" hidden="1" customHeight="1" x14ac:dyDescent="0.25">
      <c r="A95" s="286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6"/>
      <c r="AB95" s="266"/>
      <c r="AC95" s="266"/>
    </row>
    <row r="96" spans="1:68" ht="27" hidden="1" customHeight="1" x14ac:dyDescent="0.25">
      <c r="A96" s="54" t="s">
        <v>166</v>
      </c>
      <c r="B96" s="54" t="s">
        <v>167</v>
      </c>
      <c r="C96" s="31">
        <v>4301136070</v>
      </c>
      <c r="D96" s="287">
        <v>4607025784012</v>
      </c>
      <c r="E96" s="288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70">
        <v>0</v>
      </c>
      <c r="Y96" s="271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7">
        <v>4607025784319</v>
      </c>
      <c r="E97" s="288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5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9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90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2">
        <f>IFERROR(SUM(X96:X97),"0")</f>
        <v>0</v>
      </c>
      <c r="Y98" s="272">
        <f>IFERROR(SUM(Y96:Y97),"0")</f>
        <v>0</v>
      </c>
      <c r="Z98" s="272">
        <f>IFERROR(IF(Z96="",0,Z96),"0")+IFERROR(IF(Z97="",0,Z97),"0")</f>
        <v>0</v>
      </c>
      <c r="AA98" s="273"/>
      <c r="AB98" s="273"/>
      <c r="AC98" s="273"/>
    </row>
    <row r="99" spans="1:68" hidden="1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90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2">
        <f>IFERROR(SUMPRODUCT(X96:X97*H96:H97),"0")</f>
        <v>0</v>
      </c>
      <c r="Y99" s="272">
        <f>IFERROR(SUMPRODUCT(Y96:Y97*H96:H97),"0")</f>
        <v>0</v>
      </c>
      <c r="Z99" s="37"/>
      <c r="AA99" s="273"/>
      <c r="AB99" s="273"/>
      <c r="AC99" s="273"/>
    </row>
    <row r="100" spans="1:68" ht="16.5" hidden="1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5"/>
      <c r="AB100" s="265"/>
      <c r="AC100" s="265"/>
    </row>
    <row r="101" spans="1:68" ht="14.25" hidden="1" customHeight="1" x14ac:dyDescent="0.25">
      <c r="A101" s="286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6"/>
      <c r="AB101" s="266"/>
      <c r="AC101" s="266"/>
    </row>
    <row r="102" spans="1:68" ht="27" hidden="1" customHeight="1" x14ac:dyDescent="0.25">
      <c r="A102" s="54" t="s">
        <v>172</v>
      </c>
      <c r="B102" s="54" t="s">
        <v>173</v>
      </c>
      <c r="C102" s="31">
        <v>4301071074</v>
      </c>
      <c r="D102" s="287">
        <v>4620207491157</v>
      </c>
      <c r="E102" s="288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70">
        <v>0</v>
      </c>
      <c r="Y102" s="271">
        <f t="shared" ref="Y102:Y109" si="6">IFERROR(IF(X102="","",X102),"")</f>
        <v>0</v>
      </c>
      <c r="Z102" s="36">
        <f t="shared" ref="Z102:Z109" si="7">IFERROR(IF(X102="","",X102*0.0155),"")</f>
        <v>0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0</v>
      </c>
      <c r="BN102" s="67">
        <f t="shared" ref="BN102:BN109" si="9">IFERROR(Y102*I102,"0")</f>
        <v>0</v>
      </c>
      <c r="BO102" s="67">
        <f t="shared" ref="BO102:BO109" si="10">IFERROR(X102/J102,"0")</f>
        <v>0</v>
      </c>
      <c r="BP102" s="67">
        <f t="shared" ref="BP102:BP109" si="11">IFERROR(Y102/J102,"0")</f>
        <v>0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7">
        <v>4607111039262</v>
      </c>
      <c r="E103" s="288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4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70">
        <v>24</v>
      </c>
      <c r="Y103" s="271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7">
        <v>4607111039248</v>
      </c>
      <c r="E104" s="288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3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70">
        <v>96</v>
      </c>
      <c r="Y104" s="271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7">
        <v>4607111037145</v>
      </c>
      <c r="E105" s="288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7">
        <v>4607111039293</v>
      </c>
      <c r="E106" s="288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4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7">
        <v>4607111039279</v>
      </c>
      <c r="E107" s="288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70">
        <v>276</v>
      </c>
      <c r="Y107" s="271">
        <f t="shared" si="6"/>
        <v>276</v>
      </c>
      <c r="Z107" s="36">
        <f t="shared" si="7"/>
        <v>4.2779999999999996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2014.8</v>
      </c>
      <c r="BN107" s="67">
        <f t="shared" si="9"/>
        <v>2014.8</v>
      </c>
      <c r="BO107" s="67">
        <f t="shared" si="10"/>
        <v>3.2857142857142856</v>
      </c>
      <c r="BP107" s="67">
        <f t="shared" si="11"/>
        <v>3.2857142857142856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7">
        <v>4607111037435</v>
      </c>
      <c r="E108" s="288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7">
        <v>4620207491102</v>
      </c>
      <c r="E109" s="288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2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70">
        <v>24</v>
      </c>
      <c r="Y109" s="271">
        <f t="shared" si="6"/>
        <v>24</v>
      </c>
      <c r="Z109" s="36">
        <f t="shared" si="7"/>
        <v>0.372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173.52</v>
      </c>
      <c r="BN109" s="67">
        <f t="shared" si="9"/>
        <v>173.52</v>
      </c>
      <c r="BO109" s="67">
        <f t="shared" si="10"/>
        <v>0.2857142857142857</v>
      </c>
      <c r="BP109" s="67">
        <f t="shared" si="11"/>
        <v>0.2857142857142857</v>
      </c>
    </row>
    <row r="110" spans="1:68" x14ac:dyDescent="0.2">
      <c r="A110" s="289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90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2">
        <f>IFERROR(SUM(X102:X109),"0")</f>
        <v>456</v>
      </c>
      <c r="Y110" s="272">
        <f>IFERROR(SUM(Y102:Y109),"0")</f>
        <v>456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7.0679999999999996</v>
      </c>
      <c r="AA110" s="273"/>
      <c r="AB110" s="273"/>
      <c r="AC110" s="273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90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2">
        <f>IFERROR(SUMPRODUCT(X102:X109*H102:H109),"0")</f>
        <v>3156</v>
      </c>
      <c r="Y111" s="272">
        <f>IFERROR(SUMPRODUCT(Y102:Y109*H102:H109),"0")</f>
        <v>3156</v>
      </c>
      <c r="Z111" s="37"/>
      <c r="AA111" s="273"/>
      <c r="AB111" s="273"/>
      <c r="AC111" s="273"/>
    </row>
    <row r="112" spans="1:68" ht="14.25" hidden="1" customHeight="1" x14ac:dyDescent="0.25">
      <c r="A112" s="286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6"/>
      <c r="AB112" s="266"/>
      <c r="AC112" s="266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7">
        <v>4620207490983</v>
      </c>
      <c r="E113" s="288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70">
        <v>0</v>
      </c>
      <c r="Y113" s="271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9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90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2">
        <f>IFERROR(SUM(X113:X113),"0")</f>
        <v>0</v>
      </c>
      <c r="Y114" s="272">
        <f>IFERROR(SUM(Y113:Y113),"0")</f>
        <v>0</v>
      </c>
      <c r="Z114" s="272">
        <f>IFERROR(IF(Z113="",0,Z113),"0")</f>
        <v>0</v>
      </c>
      <c r="AA114" s="273"/>
      <c r="AB114" s="273"/>
      <c r="AC114" s="273"/>
    </row>
    <row r="115" spans="1:68" hidden="1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90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2">
        <f>IFERROR(SUMPRODUCT(X113:X113*H113:H113),"0")</f>
        <v>0</v>
      </c>
      <c r="Y115" s="272">
        <f>IFERROR(SUMPRODUCT(Y113:Y113*H113:H113),"0")</f>
        <v>0</v>
      </c>
      <c r="Z115" s="37"/>
      <c r="AA115" s="273"/>
      <c r="AB115" s="273"/>
      <c r="AC115" s="273"/>
    </row>
    <row r="116" spans="1:68" ht="14.25" hidden="1" customHeight="1" x14ac:dyDescent="0.25">
      <c r="A116" s="286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6"/>
      <c r="AB116" s="266"/>
      <c r="AC116" s="266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87">
        <v>4620207491140</v>
      </c>
      <c r="E117" s="288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7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70">
        <v>12</v>
      </c>
      <c r="Y117" s="271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9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90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2">
        <f>IFERROR(SUM(X117:X117),"0")</f>
        <v>12</v>
      </c>
      <c r="Y118" s="272">
        <f>IFERROR(SUM(Y117:Y117),"0")</f>
        <v>12</v>
      </c>
      <c r="Z118" s="272">
        <f>IFERROR(IF(Z117="",0,Z117),"0")</f>
        <v>0.186</v>
      </c>
      <c r="AA118" s="273"/>
      <c r="AB118" s="273"/>
      <c r="AC118" s="273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90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2">
        <f>IFERROR(SUMPRODUCT(X117:X117*H117:H117),"0")</f>
        <v>72</v>
      </c>
      <c r="Y119" s="272">
        <f>IFERROR(SUMPRODUCT(Y117:Y117*H117:H117),"0")</f>
        <v>72</v>
      </c>
      <c r="Z119" s="37"/>
      <c r="AA119" s="273"/>
      <c r="AB119" s="273"/>
      <c r="AC119" s="273"/>
    </row>
    <row r="120" spans="1:68" ht="16.5" hidden="1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5"/>
      <c r="AB120" s="265"/>
      <c r="AC120" s="265"/>
    </row>
    <row r="121" spans="1:68" ht="14.25" hidden="1" customHeight="1" x14ac:dyDescent="0.25">
      <c r="A121" s="286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7">
        <v>4607111034014</v>
      </c>
      <c r="E122" s="288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9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70">
        <v>168</v>
      </c>
      <c r="Y122" s="271">
        <f>IFERROR(IF(X122="","",X122),"")</f>
        <v>168</v>
      </c>
      <c r="Z122" s="36">
        <f>IFERROR(IF(X122="","",X122*0.01788),"")</f>
        <v>3.0038399999999998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622.20479999999998</v>
      </c>
      <c r="BN122" s="67">
        <f>IFERROR(Y122*I122,"0")</f>
        <v>622.20479999999998</v>
      </c>
      <c r="BO122" s="67">
        <f>IFERROR(X122/J122,"0")</f>
        <v>2.4</v>
      </c>
      <c r="BP122" s="67">
        <f>IFERROR(Y122/J122,"0")</f>
        <v>2.4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7">
        <v>4607111033994</v>
      </c>
      <c r="E123" s="288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5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70">
        <v>322</v>
      </c>
      <c r="Y123" s="271">
        <f>IFERROR(IF(X123="","",X123),"")</f>
        <v>322</v>
      </c>
      <c r="Z123" s="36">
        <f>IFERROR(IF(X123="","",X123*0.01788),"")</f>
        <v>5.7573600000000003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1192.5591999999999</v>
      </c>
      <c r="BN123" s="67">
        <f>IFERROR(Y123*I123,"0")</f>
        <v>1192.5591999999999</v>
      </c>
      <c r="BO123" s="67">
        <f>IFERROR(X123/J123,"0")</f>
        <v>4.5999999999999996</v>
      </c>
      <c r="BP123" s="67">
        <f>IFERROR(Y123/J123,"0")</f>
        <v>4.5999999999999996</v>
      </c>
    </row>
    <row r="124" spans="1:68" x14ac:dyDescent="0.2">
      <c r="A124" s="289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90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2">
        <f>IFERROR(SUM(X122:X123),"0")</f>
        <v>490</v>
      </c>
      <c r="Y124" s="272">
        <f>IFERROR(SUM(Y122:Y123),"0")</f>
        <v>490</v>
      </c>
      <c r="Z124" s="272">
        <f>IFERROR(IF(Z122="",0,Z122),"0")+IFERROR(IF(Z123="",0,Z123),"0")</f>
        <v>8.7612000000000005</v>
      </c>
      <c r="AA124" s="273"/>
      <c r="AB124" s="273"/>
      <c r="AC124" s="273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90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2">
        <f>IFERROR(SUMPRODUCT(X122:X123*H122:H123),"0")</f>
        <v>1470</v>
      </c>
      <c r="Y125" s="272">
        <f>IFERROR(SUMPRODUCT(Y122:Y123*H122:H123),"0")</f>
        <v>1470</v>
      </c>
      <c r="Z125" s="37"/>
      <c r="AA125" s="273"/>
      <c r="AB125" s="273"/>
      <c r="AC125" s="273"/>
    </row>
    <row r="126" spans="1:68" ht="16.5" hidden="1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5"/>
      <c r="AB126" s="265"/>
      <c r="AC126" s="265"/>
    </row>
    <row r="127" spans="1:68" ht="14.25" hidden="1" customHeight="1" x14ac:dyDescent="0.25">
      <c r="A127" s="286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7">
        <v>4607111039095</v>
      </c>
      <c r="E128" s="288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7">
        <v>4607111034199</v>
      </c>
      <c r="E129" s="288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3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70">
        <v>98</v>
      </c>
      <c r="Y129" s="271">
        <f>IFERROR(IF(X129="","",X129),"")</f>
        <v>98</v>
      </c>
      <c r="Z129" s="36">
        <f>IFERROR(IF(X129="","",X129*0.01788),"")</f>
        <v>1.75224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362.95279999999997</v>
      </c>
      <c r="BN129" s="67">
        <f>IFERROR(Y129*I129,"0")</f>
        <v>362.95279999999997</v>
      </c>
      <c r="BO129" s="67">
        <f>IFERROR(X129/J129,"0")</f>
        <v>1.4</v>
      </c>
      <c r="BP129" s="67">
        <f>IFERROR(Y129/J129,"0")</f>
        <v>1.4</v>
      </c>
    </row>
    <row r="130" spans="1:68" x14ac:dyDescent="0.2">
      <c r="A130" s="289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90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2">
        <f>IFERROR(SUM(X128:X129),"0")</f>
        <v>112</v>
      </c>
      <c r="Y130" s="272">
        <f>IFERROR(SUM(Y128:Y129),"0")</f>
        <v>112</v>
      </c>
      <c r="Z130" s="272">
        <f>IFERROR(IF(Z128="",0,Z128),"0")+IFERROR(IF(Z129="",0,Z129),"0")</f>
        <v>2.0025599999999999</v>
      </c>
      <c r="AA130" s="273"/>
      <c r="AB130" s="273"/>
      <c r="AC130" s="273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90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2">
        <f>IFERROR(SUMPRODUCT(X128:X129*H128:H129),"0")</f>
        <v>336</v>
      </c>
      <c r="Y131" s="272">
        <f>IFERROR(SUMPRODUCT(Y128:Y129*H128:H129),"0")</f>
        <v>336</v>
      </c>
      <c r="Z131" s="37"/>
      <c r="AA131" s="273"/>
      <c r="AB131" s="273"/>
      <c r="AC131" s="273"/>
    </row>
    <row r="132" spans="1:68" ht="16.5" hidden="1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5"/>
      <c r="AB132" s="265"/>
      <c r="AC132" s="265"/>
    </row>
    <row r="133" spans="1:68" ht="14.25" hidden="1" customHeight="1" x14ac:dyDescent="0.25">
      <c r="A133" s="286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7">
        <v>4620207490914</v>
      </c>
      <c r="E134" s="288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70">
        <v>28</v>
      </c>
      <c r="Y134" s="271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7">
        <v>4620207490853</v>
      </c>
      <c r="E135" s="288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70">
        <v>42</v>
      </c>
      <c r="Y135" s="271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9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90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2">
        <f>IFERROR(SUM(X134:X135),"0")</f>
        <v>70</v>
      </c>
      <c r="Y136" s="272">
        <f>IFERROR(SUM(Y134:Y135),"0")</f>
        <v>70</v>
      </c>
      <c r="Z136" s="272">
        <f>IFERROR(IF(Z134="",0,Z134),"0")+IFERROR(IF(Z135="",0,Z135),"0")</f>
        <v>1.2515999999999998</v>
      </c>
      <c r="AA136" s="273"/>
      <c r="AB136" s="273"/>
      <c r="AC136" s="273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90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2">
        <f>IFERROR(SUMPRODUCT(X134:X135*H134:H135),"0")</f>
        <v>168</v>
      </c>
      <c r="Y137" s="272">
        <f>IFERROR(SUMPRODUCT(Y134:Y135*H134:H135),"0")</f>
        <v>168</v>
      </c>
      <c r="Z137" s="37"/>
      <c r="AA137" s="273"/>
      <c r="AB137" s="273"/>
      <c r="AC137" s="273"/>
    </row>
    <row r="138" spans="1:68" ht="16.5" hidden="1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5"/>
      <c r="AB138" s="265"/>
      <c r="AC138" s="265"/>
    </row>
    <row r="139" spans="1:68" ht="14.25" hidden="1" customHeight="1" x14ac:dyDescent="0.25">
      <c r="A139" s="286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7">
        <v>4607111035806</v>
      </c>
      <c r="E140" s="288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9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90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90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hidden="1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5"/>
      <c r="AB143" s="265"/>
      <c r="AC143" s="265"/>
    </row>
    <row r="144" spans="1:68" ht="14.25" hidden="1" customHeight="1" x14ac:dyDescent="0.25">
      <c r="A144" s="286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6"/>
      <c r="AB144" s="266"/>
      <c r="AC144" s="266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7">
        <v>4607111039613</v>
      </c>
      <c r="E145" s="288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70">
        <v>0</v>
      </c>
      <c r="Y145" s="271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90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2">
        <f>IFERROR(SUM(X145:X145),"0")</f>
        <v>0</v>
      </c>
      <c r="Y146" s="272">
        <f>IFERROR(SUM(Y145:Y145),"0")</f>
        <v>0</v>
      </c>
      <c r="Z146" s="272">
        <f>IFERROR(IF(Z145="",0,Z145),"0")</f>
        <v>0</v>
      </c>
      <c r="AA146" s="273"/>
      <c r="AB146" s="273"/>
      <c r="AC146" s="273"/>
    </row>
    <row r="147" spans="1:68" hidden="1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90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2">
        <f>IFERROR(SUMPRODUCT(X145:X145*H145:H145),"0")</f>
        <v>0</v>
      </c>
      <c r="Y147" s="272">
        <f>IFERROR(SUMPRODUCT(Y145:Y145*H145:H145),"0")</f>
        <v>0</v>
      </c>
      <c r="Z147" s="37"/>
      <c r="AA147" s="273"/>
      <c r="AB147" s="273"/>
      <c r="AC147" s="273"/>
    </row>
    <row r="148" spans="1:68" ht="16.5" hidden="1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5"/>
      <c r="AB148" s="265"/>
      <c r="AC148" s="265"/>
    </row>
    <row r="149" spans="1:68" ht="14.25" hidden="1" customHeight="1" x14ac:dyDescent="0.25">
      <c r="A149" s="286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6"/>
      <c r="AB149" s="266"/>
      <c r="AC149" s="266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7">
        <v>4607111035646</v>
      </c>
      <c r="E150" s="288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9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90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hidden="1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90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hidden="1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5"/>
      <c r="AB153" s="265"/>
      <c r="AC153" s="265"/>
    </row>
    <row r="154" spans="1:68" ht="14.25" hidden="1" customHeight="1" x14ac:dyDescent="0.25">
      <c r="A154" s="286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6"/>
      <c r="AB154" s="266"/>
      <c r="AC154" s="266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7">
        <v>4607111036568</v>
      </c>
      <c r="E155" s="288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9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90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hidden="1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90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hidden="1" customHeight="1" x14ac:dyDescent="0.2">
      <c r="A158" s="323" t="s">
        <v>233</v>
      </c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48"/>
      <c r="AB158" s="48"/>
      <c r="AC158" s="48"/>
    </row>
    <row r="159" spans="1:68" ht="16.5" hidden="1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5"/>
      <c r="AB159" s="265"/>
      <c r="AC159" s="265"/>
    </row>
    <row r="160" spans="1:68" ht="14.25" hidden="1" customHeight="1" x14ac:dyDescent="0.25">
      <c r="A160" s="286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6"/>
      <c r="AB160" s="266"/>
      <c r="AC160" s="266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7">
        <v>4607111036384</v>
      </c>
      <c r="E161" s="288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7">
        <v>4607111036216</v>
      </c>
      <c r="E162" s="288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70">
        <v>48</v>
      </c>
      <c r="Y162" s="271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9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90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2">
        <f>IFERROR(SUM(X161:X162),"0")</f>
        <v>48</v>
      </c>
      <c r="Y163" s="272">
        <f>IFERROR(SUM(Y161:Y162),"0")</f>
        <v>48</v>
      </c>
      <c r="Z163" s="272">
        <f>IFERROR(IF(Z161="",0,Z161),"0")+IFERROR(IF(Z162="",0,Z162),"0")</f>
        <v>0.41567999999999994</v>
      </c>
      <c r="AA163" s="273"/>
      <c r="AB163" s="273"/>
      <c r="AC163" s="273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90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2">
        <f>IFERROR(SUMPRODUCT(X161:X162*H161:H162),"0")</f>
        <v>240</v>
      </c>
      <c r="Y164" s="272">
        <f>IFERROR(SUMPRODUCT(Y161:Y162*H161:H162),"0")</f>
        <v>240</v>
      </c>
      <c r="Z164" s="37"/>
      <c r="AA164" s="273"/>
      <c r="AB164" s="273"/>
      <c r="AC164" s="273"/>
    </row>
    <row r="165" spans="1:68" ht="27.75" hidden="1" customHeight="1" x14ac:dyDescent="0.2">
      <c r="A165" s="323" t="s">
        <v>241</v>
      </c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48"/>
      <c r="AB165" s="48"/>
      <c r="AC165" s="48"/>
    </row>
    <row r="166" spans="1:68" ht="16.5" hidden="1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5"/>
      <c r="AB166" s="265"/>
      <c r="AC166" s="265"/>
    </row>
    <row r="167" spans="1:68" ht="14.25" hidden="1" customHeight="1" x14ac:dyDescent="0.25">
      <c r="A167" s="286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7">
        <v>4607111035691</v>
      </c>
      <c r="E168" s="288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70">
        <v>70</v>
      </c>
      <c r="Y168" s="271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7">
        <v>4607111035721</v>
      </c>
      <c r="E169" s="288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70">
        <v>84</v>
      </c>
      <c r="Y169" s="271">
        <f>IFERROR(IF(X169="","",X169),"")</f>
        <v>84</v>
      </c>
      <c r="Z169" s="36">
        <f>IFERROR(IF(X169="","",X169*0.01788),"")</f>
        <v>1.5019199999999999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284.59199999999998</v>
      </c>
      <c r="BN169" s="67">
        <f>IFERROR(Y169*I169,"0")</f>
        <v>284.59199999999998</v>
      </c>
      <c r="BO169" s="67">
        <f>IFERROR(X169/J169,"0")</f>
        <v>1.2</v>
      </c>
      <c r="BP169" s="67">
        <f>IFERROR(Y169/J169,"0")</f>
        <v>1.2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7">
        <v>4607111038487</v>
      </c>
      <c r="E170" s="288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70">
        <v>126</v>
      </c>
      <c r="Y170" s="271">
        <f>IFERROR(IF(X170="","",X170),"")</f>
        <v>126</v>
      </c>
      <c r="Z170" s="36">
        <f>IFERROR(IF(X170="","",X170*0.01788),"")</f>
        <v>2.2528800000000002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470.73600000000005</v>
      </c>
      <c r="BN170" s="67">
        <f>IFERROR(Y170*I170,"0")</f>
        <v>470.73600000000005</v>
      </c>
      <c r="BO170" s="67">
        <f>IFERROR(X170/J170,"0")</f>
        <v>1.8</v>
      </c>
      <c r="BP170" s="67">
        <f>IFERROR(Y170/J170,"0")</f>
        <v>1.8</v>
      </c>
    </row>
    <row r="171" spans="1:68" x14ac:dyDescent="0.2">
      <c r="A171" s="289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90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2">
        <f>IFERROR(SUM(X168:X170),"0")</f>
        <v>280</v>
      </c>
      <c r="Y171" s="272">
        <f>IFERROR(SUM(Y168:Y170),"0")</f>
        <v>280</v>
      </c>
      <c r="Z171" s="272">
        <f>IFERROR(IF(Z168="",0,Z168),"0")+IFERROR(IF(Z169="",0,Z169),"0")+IFERROR(IF(Z170="",0,Z170),"0")</f>
        <v>5.0064000000000002</v>
      </c>
      <c r="AA171" s="273"/>
      <c r="AB171" s="273"/>
      <c r="AC171" s="273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90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2">
        <f>IFERROR(SUMPRODUCT(X168:X170*H168:H170),"0")</f>
        <v>840</v>
      </c>
      <c r="Y172" s="272">
        <f>IFERROR(SUMPRODUCT(Y168:Y170*H168:H170),"0")</f>
        <v>840</v>
      </c>
      <c r="Z172" s="37"/>
      <c r="AA172" s="273"/>
      <c r="AB172" s="273"/>
      <c r="AC172" s="273"/>
    </row>
    <row r="173" spans="1:68" ht="14.25" hidden="1" customHeight="1" x14ac:dyDescent="0.25">
      <c r="A173" s="286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6"/>
      <c r="AB173" s="266"/>
      <c r="AC173" s="266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7">
        <v>4680115885875</v>
      </c>
      <c r="E174" s="288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3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9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90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hidden="1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0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323" t="s">
        <v>260</v>
      </c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48"/>
      <c r="AB177" s="48"/>
      <c r="AC177" s="48"/>
    </row>
    <row r="178" spans="1:68" ht="16.5" hidden="1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5"/>
      <c r="AB178" s="265"/>
      <c r="AC178" s="265"/>
    </row>
    <row r="179" spans="1:68" ht="14.25" hidden="1" customHeight="1" x14ac:dyDescent="0.25">
      <c r="A179" s="286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6"/>
      <c r="AB179" s="266"/>
      <c r="AC179" s="266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7">
        <v>4620207491133</v>
      </c>
      <c r="E180" s="288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7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9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90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hidden="1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90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hidden="1" customHeight="1" x14ac:dyDescent="0.25">
      <c r="A183" s="286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6"/>
      <c r="AB183" s="266"/>
      <c r="AC183" s="266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7">
        <v>4620207490198</v>
      </c>
      <c r="E184" s="288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4301135696</v>
      </c>
      <c r="D185" s="287">
        <v>4620207490235</v>
      </c>
      <c r="E185" s="288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0"/>
      <c r="R185" s="280"/>
      <c r="S185" s="280"/>
      <c r="T185" s="281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7">
        <v>4620207490259</v>
      </c>
      <c r="E186" s="288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7">
        <v>4620207490143</v>
      </c>
      <c r="E187" s="288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5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9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0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hidden="1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90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hidden="1" customHeight="1" x14ac:dyDescent="0.25">
      <c r="A190" s="284" t="s">
        <v>276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5"/>
      <c r="AB190" s="265"/>
      <c r="AC190" s="265"/>
    </row>
    <row r="191" spans="1:68" ht="14.25" hidden="1" customHeight="1" x14ac:dyDescent="0.25">
      <c r="A191" s="286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6"/>
      <c r="AB191" s="266"/>
      <c r="AC191" s="266"/>
    </row>
    <row r="192" spans="1:68" ht="27" hidden="1" customHeight="1" x14ac:dyDescent="0.25">
      <c r="A192" s="54" t="s">
        <v>277</v>
      </c>
      <c r="B192" s="54" t="s">
        <v>278</v>
      </c>
      <c r="C192" s="31">
        <v>4301071108</v>
      </c>
      <c r="D192" s="287">
        <v>4607111035912</v>
      </c>
      <c r="E192" s="288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5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4301071110</v>
      </c>
      <c r="D193" s="287">
        <v>4607111035103</v>
      </c>
      <c r="E193" s="288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4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4301071109</v>
      </c>
      <c r="D194" s="287">
        <v>4607111035929</v>
      </c>
      <c r="E194" s="288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3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70">
        <v>0</v>
      </c>
      <c r="Y194" s="271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4301071106</v>
      </c>
      <c r="D195" s="287">
        <v>4607111035882</v>
      </c>
      <c r="E195" s="288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286</v>
      </c>
      <c r="B196" s="54" t="s">
        <v>287</v>
      </c>
      <c r="C196" s="31">
        <v>4301071107</v>
      </c>
      <c r="D196" s="287">
        <v>4607111035905</v>
      </c>
      <c r="E196" s="288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398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0"/>
      <c r="R196" s="280"/>
      <c r="S196" s="280"/>
      <c r="T196" s="281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idden="1" x14ac:dyDescent="0.2">
      <c r="A197" s="289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90"/>
      <c r="P197" s="276" t="s">
        <v>73</v>
      </c>
      <c r="Q197" s="277"/>
      <c r="R197" s="277"/>
      <c r="S197" s="277"/>
      <c r="T197" s="277"/>
      <c r="U197" s="277"/>
      <c r="V197" s="278"/>
      <c r="W197" s="37" t="s">
        <v>70</v>
      </c>
      <c r="X197" s="272">
        <f>IFERROR(SUM(X192:X196),"0")</f>
        <v>0</v>
      </c>
      <c r="Y197" s="272">
        <f>IFERROR(SUM(Y192:Y196),"0")</f>
        <v>0</v>
      </c>
      <c r="Z197" s="272">
        <f>IFERROR(IF(Z192="",0,Z192),"0")+IFERROR(IF(Z193="",0,Z193),"0")+IFERROR(IF(Z194="",0,Z194),"0")+IFERROR(IF(Z195="",0,Z195),"0")+IFERROR(IF(Z196="",0,Z196),"0")</f>
        <v>0</v>
      </c>
      <c r="AA197" s="273"/>
      <c r="AB197" s="273"/>
      <c r="AC197" s="273"/>
    </row>
    <row r="198" spans="1:68" hidden="1" x14ac:dyDescent="0.2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90"/>
      <c r="P198" s="276" t="s">
        <v>73</v>
      </c>
      <c r="Q198" s="277"/>
      <c r="R198" s="277"/>
      <c r="S198" s="277"/>
      <c r="T198" s="277"/>
      <c r="U198" s="277"/>
      <c r="V198" s="278"/>
      <c r="W198" s="37" t="s">
        <v>74</v>
      </c>
      <c r="X198" s="272">
        <f>IFERROR(SUMPRODUCT(X192:X196*H192:H196),"0")</f>
        <v>0</v>
      </c>
      <c r="Y198" s="272">
        <f>IFERROR(SUMPRODUCT(Y192:Y196*H192:H196),"0")</f>
        <v>0</v>
      </c>
      <c r="Z198" s="37"/>
      <c r="AA198" s="273"/>
      <c r="AB198" s="273"/>
      <c r="AC198" s="273"/>
    </row>
    <row r="199" spans="1:68" ht="16.5" hidden="1" customHeight="1" x14ac:dyDescent="0.25">
      <c r="A199" s="284" t="s">
        <v>288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5"/>
      <c r="AB199" s="265"/>
      <c r="AC199" s="265"/>
    </row>
    <row r="200" spans="1:68" ht="14.25" hidden="1" customHeight="1" x14ac:dyDescent="0.25">
      <c r="A200" s="286" t="s">
        <v>64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87">
        <v>4620207491096</v>
      </c>
      <c r="E201" s="288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3" t="s">
        <v>291</v>
      </c>
      <c r="Q201" s="280"/>
      <c r="R201" s="280"/>
      <c r="S201" s="280"/>
      <c r="T201" s="281"/>
      <c r="U201" s="34"/>
      <c r="V201" s="34"/>
      <c r="W201" s="35" t="s">
        <v>70</v>
      </c>
      <c r="X201" s="270">
        <v>72</v>
      </c>
      <c r="Y201" s="271">
        <f>IFERROR(IF(X201="","",X201),"")</f>
        <v>72</v>
      </c>
      <c r="Z201" s="36">
        <f>IFERROR(IF(X201="","",X201*0.0155),"")</f>
        <v>1.1160000000000001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376.56000000000006</v>
      </c>
      <c r="BN201" s="67">
        <f>IFERROR(Y201*I201,"0")</f>
        <v>376.56000000000006</v>
      </c>
      <c r="BO201" s="67">
        <f>IFERROR(X201/J201,"0")</f>
        <v>0.8571428571428571</v>
      </c>
      <c r="BP201" s="67">
        <f>IFERROR(Y201/J201,"0")</f>
        <v>0.8571428571428571</v>
      </c>
    </row>
    <row r="202" spans="1:68" x14ac:dyDescent="0.2">
      <c r="A202" s="289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90"/>
      <c r="P202" s="276" t="s">
        <v>73</v>
      </c>
      <c r="Q202" s="277"/>
      <c r="R202" s="277"/>
      <c r="S202" s="277"/>
      <c r="T202" s="277"/>
      <c r="U202" s="277"/>
      <c r="V202" s="278"/>
      <c r="W202" s="37" t="s">
        <v>70</v>
      </c>
      <c r="X202" s="272">
        <f>IFERROR(SUM(X201:X201),"0")</f>
        <v>72</v>
      </c>
      <c r="Y202" s="272">
        <f>IFERROR(SUM(Y201:Y201),"0")</f>
        <v>72</v>
      </c>
      <c r="Z202" s="272">
        <f>IFERROR(IF(Z201="",0,Z201),"0")</f>
        <v>1.1160000000000001</v>
      </c>
      <c r="AA202" s="273"/>
      <c r="AB202" s="273"/>
      <c r="AC202" s="273"/>
    </row>
    <row r="203" spans="1:68" x14ac:dyDescent="0.2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90"/>
      <c r="P203" s="276" t="s">
        <v>73</v>
      </c>
      <c r="Q203" s="277"/>
      <c r="R203" s="277"/>
      <c r="S203" s="277"/>
      <c r="T203" s="277"/>
      <c r="U203" s="277"/>
      <c r="V203" s="278"/>
      <c r="W203" s="37" t="s">
        <v>74</v>
      </c>
      <c r="X203" s="272">
        <f>IFERROR(SUMPRODUCT(X201:X201*H201:H201),"0")</f>
        <v>360</v>
      </c>
      <c r="Y203" s="272">
        <f>IFERROR(SUMPRODUCT(Y201:Y201*H201:H201),"0")</f>
        <v>360</v>
      </c>
      <c r="Z203" s="37"/>
      <c r="AA203" s="273"/>
      <c r="AB203" s="273"/>
      <c r="AC203" s="273"/>
    </row>
    <row r="204" spans="1:68" ht="16.5" hidden="1" customHeight="1" x14ac:dyDescent="0.25">
      <c r="A204" s="284" t="s">
        <v>293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5"/>
      <c r="AB204" s="265"/>
      <c r="AC204" s="265"/>
    </row>
    <row r="205" spans="1:68" ht="14.25" hidden="1" customHeight="1" x14ac:dyDescent="0.25">
      <c r="A205" s="286" t="s">
        <v>64</v>
      </c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66"/>
      <c r="AB205" s="266"/>
      <c r="AC205" s="266"/>
    </row>
    <row r="206" spans="1:68" ht="27" hidden="1" customHeight="1" x14ac:dyDescent="0.25">
      <c r="A206" s="54" t="s">
        <v>294</v>
      </c>
      <c r="B206" s="54" t="s">
        <v>295</v>
      </c>
      <c r="C206" s="31">
        <v>4301071093</v>
      </c>
      <c r="D206" s="287">
        <v>4620207490709</v>
      </c>
      <c r="E206" s="288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4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0"/>
      <c r="R206" s="280"/>
      <c r="S206" s="280"/>
      <c r="T206" s="281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9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90"/>
      <c r="P207" s="276" t="s">
        <v>73</v>
      </c>
      <c r="Q207" s="277"/>
      <c r="R207" s="277"/>
      <c r="S207" s="277"/>
      <c r="T207" s="277"/>
      <c r="U207" s="277"/>
      <c r="V207" s="278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hidden="1" x14ac:dyDescent="0.2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90"/>
      <c r="P208" s="276" t="s">
        <v>73</v>
      </c>
      <c r="Q208" s="277"/>
      <c r="R208" s="277"/>
      <c r="S208" s="277"/>
      <c r="T208" s="277"/>
      <c r="U208" s="277"/>
      <c r="V208" s="278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hidden="1" customHeight="1" x14ac:dyDescent="0.25">
      <c r="A209" s="286" t="s">
        <v>123</v>
      </c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66"/>
      <c r="AB209" s="266"/>
      <c r="AC209" s="266"/>
    </row>
    <row r="210" spans="1:68" ht="27" hidden="1" customHeight="1" x14ac:dyDescent="0.25">
      <c r="A210" s="54" t="s">
        <v>297</v>
      </c>
      <c r="B210" s="54" t="s">
        <v>298</v>
      </c>
      <c r="C210" s="31">
        <v>4301135692</v>
      </c>
      <c r="D210" s="287">
        <v>4620207490570</v>
      </c>
      <c r="E210" s="288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70">
        <v>0</v>
      </c>
      <c r="Y210" s="271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4301135691</v>
      </c>
      <c r="D211" s="287">
        <v>4620207490549</v>
      </c>
      <c r="E211" s="288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302</v>
      </c>
      <c r="B212" s="54" t="s">
        <v>303</v>
      </c>
      <c r="C212" s="31">
        <v>4301135694</v>
      </c>
      <c r="D212" s="287">
        <v>4620207490501</v>
      </c>
      <c r="E212" s="288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0"/>
      <c r="R212" s="280"/>
      <c r="S212" s="280"/>
      <c r="T212" s="281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9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90"/>
      <c r="P213" s="276" t="s">
        <v>73</v>
      </c>
      <c r="Q213" s="277"/>
      <c r="R213" s="277"/>
      <c r="S213" s="277"/>
      <c r="T213" s="277"/>
      <c r="U213" s="277"/>
      <c r="V213" s="278"/>
      <c r="W213" s="37" t="s">
        <v>70</v>
      </c>
      <c r="X213" s="272">
        <f>IFERROR(SUM(X210:X212),"0")</f>
        <v>0</v>
      </c>
      <c r="Y213" s="272">
        <f>IFERROR(SUM(Y210:Y212),"0")</f>
        <v>0</v>
      </c>
      <c r="Z213" s="272">
        <f>IFERROR(IF(Z210="",0,Z210),"0")+IFERROR(IF(Z211="",0,Z211),"0")+IFERROR(IF(Z212="",0,Z212),"0")</f>
        <v>0</v>
      </c>
      <c r="AA213" s="273"/>
      <c r="AB213" s="273"/>
      <c r="AC213" s="273"/>
    </row>
    <row r="214" spans="1:68" hidden="1" x14ac:dyDescent="0.2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90"/>
      <c r="P214" s="276" t="s">
        <v>73</v>
      </c>
      <c r="Q214" s="277"/>
      <c r="R214" s="277"/>
      <c r="S214" s="277"/>
      <c r="T214" s="277"/>
      <c r="U214" s="277"/>
      <c r="V214" s="278"/>
      <c r="W214" s="37" t="s">
        <v>74</v>
      </c>
      <c r="X214" s="272">
        <f>IFERROR(SUMPRODUCT(X210:X212*H210:H212),"0")</f>
        <v>0</v>
      </c>
      <c r="Y214" s="272">
        <f>IFERROR(SUMPRODUCT(Y210:Y212*H210:H212),"0")</f>
        <v>0</v>
      </c>
      <c r="Z214" s="37"/>
      <c r="AA214" s="273"/>
      <c r="AB214" s="273"/>
      <c r="AC214" s="273"/>
    </row>
    <row r="215" spans="1:68" ht="16.5" hidden="1" customHeight="1" x14ac:dyDescent="0.25">
      <c r="A215" s="284" t="s">
        <v>304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5"/>
      <c r="AB215" s="265"/>
      <c r="AC215" s="265"/>
    </row>
    <row r="216" spans="1:68" ht="14.25" hidden="1" customHeight="1" x14ac:dyDescent="0.25">
      <c r="A216" s="286" t="s">
        <v>64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66"/>
      <c r="AB216" s="266"/>
      <c r="AC216" s="266"/>
    </row>
    <row r="217" spans="1:68" ht="16.5" hidden="1" customHeight="1" x14ac:dyDescent="0.25">
      <c r="A217" s="54" t="s">
        <v>305</v>
      </c>
      <c r="B217" s="54" t="s">
        <v>306</v>
      </c>
      <c r="C217" s="31">
        <v>4301071099</v>
      </c>
      <c r="D217" s="287">
        <v>4607111039019</v>
      </c>
      <c r="E217" s="288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hidden="1" customHeight="1" x14ac:dyDescent="0.25">
      <c r="A218" s="54" t="s">
        <v>308</v>
      </c>
      <c r="B218" s="54" t="s">
        <v>309</v>
      </c>
      <c r="C218" s="31">
        <v>4301071100</v>
      </c>
      <c r="D218" s="287">
        <v>4607111038708</v>
      </c>
      <c r="E218" s="288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0"/>
      <c r="R218" s="280"/>
      <c r="S218" s="280"/>
      <c r="T218" s="281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9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90"/>
      <c r="P219" s="276" t="s">
        <v>73</v>
      </c>
      <c r="Q219" s="277"/>
      <c r="R219" s="277"/>
      <c r="S219" s="277"/>
      <c r="T219" s="277"/>
      <c r="U219" s="277"/>
      <c r="V219" s="278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hidden="1" x14ac:dyDescent="0.2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90"/>
      <c r="P220" s="276" t="s">
        <v>73</v>
      </c>
      <c r="Q220" s="277"/>
      <c r="R220" s="277"/>
      <c r="S220" s="277"/>
      <c r="T220" s="277"/>
      <c r="U220" s="277"/>
      <c r="V220" s="278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hidden="1" customHeight="1" x14ac:dyDescent="0.2">
      <c r="A221" s="323" t="s">
        <v>310</v>
      </c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48"/>
      <c r="AB221" s="48"/>
      <c r="AC221" s="48"/>
    </row>
    <row r="222" spans="1:68" ht="16.5" hidden="1" customHeight="1" x14ac:dyDescent="0.25">
      <c r="A222" s="284" t="s">
        <v>311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5"/>
      <c r="AB222" s="265"/>
      <c r="AC222" s="265"/>
    </row>
    <row r="223" spans="1:68" ht="14.25" hidden="1" customHeight="1" x14ac:dyDescent="0.25">
      <c r="A223" s="286" t="s">
        <v>64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66"/>
      <c r="AB223" s="266"/>
      <c r="AC223" s="266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7">
        <v>4607111036162</v>
      </c>
      <c r="E224" s="288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0"/>
      <c r="R224" s="280"/>
      <c r="S224" s="280"/>
      <c r="T224" s="281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9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90"/>
      <c r="P225" s="276" t="s">
        <v>73</v>
      </c>
      <c r="Q225" s="277"/>
      <c r="R225" s="277"/>
      <c r="S225" s="277"/>
      <c r="T225" s="277"/>
      <c r="U225" s="277"/>
      <c r="V225" s="278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hidden="1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90"/>
      <c r="P226" s="276" t="s">
        <v>73</v>
      </c>
      <c r="Q226" s="277"/>
      <c r="R226" s="277"/>
      <c r="S226" s="277"/>
      <c r="T226" s="277"/>
      <c r="U226" s="277"/>
      <c r="V226" s="278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hidden="1" customHeight="1" x14ac:dyDescent="0.2">
      <c r="A227" s="323" t="s">
        <v>315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48"/>
      <c r="AB227" s="48"/>
      <c r="AC227" s="48"/>
    </row>
    <row r="228" spans="1:68" ht="16.5" hidden="1" customHeight="1" x14ac:dyDescent="0.25">
      <c r="A228" s="284" t="s">
        <v>316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5"/>
      <c r="AB228" s="265"/>
      <c r="AC228" s="265"/>
    </row>
    <row r="229" spans="1:68" ht="14.25" hidden="1" customHeight="1" x14ac:dyDescent="0.25">
      <c r="A229" s="286" t="s">
        <v>64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87">
        <v>4607111035899</v>
      </c>
      <c r="E230" s="288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4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0"/>
      <c r="R230" s="280"/>
      <c r="S230" s="280"/>
      <c r="T230" s="281"/>
      <c r="U230" s="34"/>
      <c r="V230" s="34"/>
      <c r="W230" s="35" t="s">
        <v>70</v>
      </c>
      <c r="X230" s="270">
        <v>60</v>
      </c>
      <c r="Y230" s="271">
        <f>IFERROR(IF(X230="","",X230),"")</f>
        <v>60</v>
      </c>
      <c r="Z230" s="36">
        <f>IFERROR(IF(X230="","",X230*0.0155),"")</f>
        <v>0.92999999999999994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315.71999999999997</v>
      </c>
      <c r="BN230" s="67">
        <f>IFERROR(Y230*I230,"0")</f>
        <v>315.71999999999997</v>
      </c>
      <c r="BO230" s="67">
        <f>IFERROR(X230/J230,"0")</f>
        <v>0.7142857142857143</v>
      </c>
      <c r="BP230" s="67">
        <f>IFERROR(Y230/J230,"0")</f>
        <v>0.7142857142857143</v>
      </c>
    </row>
    <row r="231" spans="1:68" x14ac:dyDescent="0.2">
      <c r="A231" s="289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0"/>
      <c r="P231" s="276" t="s">
        <v>73</v>
      </c>
      <c r="Q231" s="277"/>
      <c r="R231" s="277"/>
      <c r="S231" s="277"/>
      <c r="T231" s="277"/>
      <c r="U231" s="277"/>
      <c r="V231" s="278"/>
      <c r="W231" s="37" t="s">
        <v>70</v>
      </c>
      <c r="X231" s="272">
        <f>IFERROR(SUM(X230:X230),"0")</f>
        <v>60</v>
      </c>
      <c r="Y231" s="272">
        <f>IFERROR(SUM(Y230:Y230),"0")</f>
        <v>60</v>
      </c>
      <c r="Z231" s="272">
        <f>IFERROR(IF(Z230="",0,Z230),"0")</f>
        <v>0.92999999999999994</v>
      </c>
      <c r="AA231" s="273"/>
      <c r="AB231" s="273"/>
      <c r="AC231" s="273"/>
    </row>
    <row r="232" spans="1:68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90"/>
      <c r="P232" s="276" t="s">
        <v>73</v>
      </c>
      <c r="Q232" s="277"/>
      <c r="R232" s="277"/>
      <c r="S232" s="277"/>
      <c r="T232" s="277"/>
      <c r="U232" s="277"/>
      <c r="V232" s="278"/>
      <c r="W232" s="37" t="s">
        <v>74</v>
      </c>
      <c r="X232" s="272">
        <f>IFERROR(SUMPRODUCT(X230:X230*H230:H230),"0")</f>
        <v>300</v>
      </c>
      <c r="Y232" s="272">
        <f>IFERROR(SUMPRODUCT(Y230:Y230*H230:H230),"0")</f>
        <v>300</v>
      </c>
      <c r="Z232" s="37"/>
      <c r="AA232" s="273"/>
      <c r="AB232" s="273"/>
      <c r="AC232" s="273"/>
    </row>
    <row r="233" spans="1:68" ht="27.75" hidden="1" customHeight="1" x14ac:dyDescent="0.2">
      <c r="A233" s="323" t="s">
        <v>319</v>
      </c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48"/>
      <c r="AB233" s="48"/>
      <c r="AC233" s="48"/>
    </row>
    <row r="234" spans="1:68" ht="16.5" hidden="1" customHeight="1" x14ac:dyDescent="0.25">
      <c r="A234" s="284" t="s">
        <v>320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5"/>
      <c r="AB234" s="265"/>
      <c r="AC234" s="265"/>
    </row>
    <row r="235" spans="1:68" ht="14.25" hidden="1" customHeight="1" x14ac:dyDescent="0.25">
      <c r="A235" s="286" t="s">
        <v>321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6"/>
      <c r="AB235" s="266"/>
      <c r="AC235" s="266"/>
    </row>
    <row r="236" spans="1:68" ht="27" hidden="1" customHeight="1" x14ac:dyDescent="0.25">
      <c r="A236" s="54" t="s">
        <v>322</v>
      </c>
      <c r="B236" s="54" t="s">
        <v>323</v>
      </c>
      <c r="C236" s="31">
        <v>4301133004</v>
      </c>
      <c r="D236" s="287">
        <v>4607111039774</v>
      </c>
      <c r="E236" s="288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1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0"/>
      <c r="R236" s="280"/>
      <c r="S236" s="280"/>
      <c r="T236" s="281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9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90"/>
      <c r="P237" s="276" t="s">
        <v>73</v>
      </c>
      <c r="Q237" s="277"/>
      <c r="R237" s="277"/>
      <c r="S237" s="277"/>
      <c r="T237" s="277"/>
      <c r="U237" s="277"/>
      <c r="V237" s="278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90"/>
      <c r="P238" s="276" t="s">
        <v>73</v>
      </c>
      <c r="Q238" s="277"/>
      <c r="R238" s="277"/>
      <c r="S238" s="277"/>
      <c r="T238" s="277"/>
      <c r="U238" s="277"/>
      <c r="V238" s="278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hidden="1" customHeight="1" x14ac:dyDescent="0.25">
      <c r="A239" s="286" t="s">
        <v>123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66"/>
      <c r="AB239" s="266"/>
      <c r="AC239" s="266"/>
    </row>
    <row r="240" spans="1:68" ht="37.5" hidden="1" customHeight="1" x14ac:dyDescent="0.25">
      <c r="A240" s="54" t="s">
        <v>325</v>
      </c>
      <c r="B240" s="54" t="s">
        <v>326</v>
      </c>
      <c r="C240" s="31">
        <v>4301135400</v>
      </c>
      <c r="D240" s="287">
        <v>4607111039361</v>
      </c>
      <c r="E240" s="288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0"/>
      <c r="R240" s="280"/>
      <c r="S240" s="280"/>
      <c r="T240" s="281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9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90"/>
      <c r="P241" s="276" t="s">
        <v>73</v>
      </c>
      <c r="Q241" s="277"/>
      <c r="R241" s="277"/>
      <c r="S241" s="277"/>
      <c r="T241" s="277"/>
      <c r="U241" s="277"/>
      <c r="V241" s="278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90"/>
      <c r="P242" s="276" t="s">
        <v>73</v>
      </c>
      <c r="Q242" s="277"/>
      <c r="R242" s="277"/>
      <c r="S242" s="277"/>
      <c r="T242" s="277"/>
      <c r="U242" s="277"/>
      <c r="V242" s="278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hidden="1" customHeight="1" x14ac:dyDescent="0.2">
      <c r="A243" s="323" t="s">
        <v>327</v>
      </c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48"/>
      <c r="AB243" s="48"/>
      <c r="AC243" s="48"/>
    </row>
    <row r="244" spans="1:68" ht="16.5" hidden="1" customHeight="1" x14ac:dyDescent="0.25">
      <c r="A244" s="284" t="s">
        <v>327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5"/>
      <c r="AB244" s="265"/>
      <c r="AC244" s="265"/>
    </row>
    <row r="245" spans="1:68" ht="14.25" hidden="1" customHeight="1" x14ac:dyDescent="0.25">
      <c r="A245" s="286" t="s">
        <v>64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66"/>
      <c r="AB245" s="266"/>
      <c r="AC245" s="266"/>
    </row>
    <row r="246" spans="1:68" ht="27" hidden="1" customHeight="1" x14ac:dyDescent="0.25">
      <c r="A246" s="54" t="s">
        <v>328</v>
      </c>
      <c r="B246" s="54" t="s">
        <v>329</v>
      </c>
      <c r="C246" s="31">
        <v>4301071014</v>
      </c>
      <c r="D246" s="287">
        <v>4640242181264</v>
      </c>
      <c r="E246" s="288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4301071021</v>
      </c>
      <c r="D247" s="287">
        <v>4640242181325</v>
      </c>
      <c r="E247" s="288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333</v>
      </c>
      <c r="B248" s="54" t="s">
        <v>334</v>
      </c>
      <c r="C248" s="31">
        <v>4301070993</v>
      </c>
      <c r="D248" s="287">
        <v>4640242180670</v>
      </c>
      <c r="E248" s="288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0"/>
      <c r="R248" s="280"/>
      <c r="S248" s="280"/>
      <c r="T248" s="281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89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90"/>
      <c r="P249" s="276" t="s">
        <v>73</v>
      </c>
      <c r="Q249" s="277"/>
      <c r="R249" s="277"/>
      <c r="S249" s="277"/>
      <c r="T249" s="277"/>
      <c r="U249" s="277"/>
      <c r="V249" s="278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hidden="1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90"/>
      <c r="P250" s="276" t="s">
        <v>73</v>
      </c>
      <c r="Q250" s="277"/>
      <c r="R250" s="277"/>
      <c r="S250" s="277"/>
      <c r="T250" s="277"/>
      <c r="U250" s="277"/>
      <c r="V250" s="278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hidden="1" customHeight="1" x14ac:dyDescent="0.25">
      <c r="A251" s="286" t="s">
        <v>77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87">
        <v>4640242180397</v>
      </c>
      <c r="E252" s="288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0"/>
      <c r="R252" s="280"/>
      <c r="S252" s="280"/>
      <c r="T252" s="281"/>
      <c r="U252" s="34"/>
      <c r="V252" s="34"/>
      <c r="W252" s="35" t="s">
        <v>70</v>
      </c>
      <c r="X252" s="270">
        <v>24</v>
      </c>
      <c r="Y252" s="271">
        <f>IFERROR(IF(X252="","",X252),"")</f>
        <v>24</v>
      </c>
      <c r="Z252" s="36">
        <f>IFERROR(IF(X252="","",X252*0.0155),"")</f>
        <v>0.372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150.24</v>
      </c>
      <c r="BN252" s="67">
        <f>IFERROR(Y252*I252,"0")</f>
        <v>150.24</v>
      </c>
      <c r="BO252" s="67">
        <f>IFERROR(X252/J252,"0")</f>
        <v>0.2857142857142857</v>
      </c>
      <c r="BP252" s="67">
        <f>IFERROR(Y252/J252,"0")</f>
        <v>0.2857142857142857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4301132104</v>
      </c>
      <c r="D253" s="287">
        <v>4640242181219</v>
      </c>
      <c r="E253" s="288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3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0"/>
      <c r="R253" s="280"/>
      <c r="S253" s="280"/>
      <c r="T253" s="281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90"/>
      <c r="P254" s="276" t="s">
        <v>73</v>
      </c>
      <c r="Q254" s="277"/>
      <c r="R254" s="277"/>
      <c r="S254" s="277"/>
      <c r="T254" s="277"/>
      <c r="U254" s="277"/>
      <c r="V254" s="278"/>
      <c r="W254" s="37" t="s">
        <v>70</v>
      </c>
      <c r="X254" s="272">
        <f>IFERROR(SUM(X252:X253),"0")</f>
        <v>24</v>
      </c>
      <c r="Y254" s="272">
        <f>IFERROR(SUM(Y252:Y253),"0")</f>
        <v>24</v>
      </c>
      <c r="Z254" s="272">
        <f>IFERROR(IF(Z252="",0,Z252),"0")+IFERROR(IF(Z253="",0,Z253),"0")</f>
        <v>0.372</v>
      </c>
      <c r="AA254" s="273"/>
      <c r="AB254" s="273"/>
      <c r="AC254" s="273"/>
    </row>
    <row r="255" spans="1:68" x14ac:dyDescent="0.2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90"/>
      <c r="P255" s="276" t="s">
        <v>73</v>
      </c>
      <c r="Q255" s="277"/>
      <c r="R255" s="277"/>
      <c r="S255" s="277"/>
      <c r="T255" s="277"/>
      <c r="U255" s="277"/>
      <c r="V255" s="278"/>
      <c r="W255" s="37" t="s">
        <v>74</v>
      </c>
      <c r="X255" s="272">
        <f>IFERROR(SUMPRODUCT(X252:X253*H252:H253),"0")</f>
        <v>144</v>
      </c>
      <c r="Y255" s="272">
        <f>IFERROR(SUMPRODUCT(Y252:Y253*H252:H253),"0")</f>
        <v>144</v>
      </c>
      <c r="Z255" s="37"/>
      <c r="AA255" s="273"/>
      <c r="AB255" s="273"/>
      <c r="AC255" s="273"/>
    </row>
    <row r="256" spans="1:68" ht="14.25" hidden="1" customHeight="1" x14ac:dyDescent="0.25">
      <c r="A256" s="286" t="s">
        <v>117</v>
      </c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66"/>
      <c r="AB256" s="266"/>
      <c r="AC256" s="266"/>
    </row>
    <row r="257" spans="1:68" ht="27" hidden="1" customHeight="1" x14ac:dyDescent="0.25">
      <c r="A257" s="54" t="s">
        <v>341</v>
      </c>
      <c r="B257" s="54" t="s">
        <v>342</v>
      </c>
      <c r="C257" s="31">
        <v>4301136051</v>
      </c>
      <c r="D257" s="287">
        <v>4640242180304</v>
      </c>
      <c r="E257" s="288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0"/>
      <c r="R257" s="280"/>
      <c r="S257" s="280"/>
      <c r="T257" s="281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87">
        <v>4640242180236</v>
      </c>
      <c r="E258" s="288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6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0"/>
      <c r="R258" s="280"/>
      <c r="S258" s="280"/>
      <c r="T258" s="281"/>
      <c r="U258" s="34"/>
      <c r="V258" s="34"/>
      <c r="W258" s="35" t="s">
        <v>70</v>
      </c>
      <c r="X258" s="270">
        <v>96</v>
      </c>
      <c r="Y258" s="271">
        <f>IFERROR(IF(X258="","",X258),"")</f>
        <v>96</v>
      </c>
      <c r="Z258" s="36">
        <f>IFERROR(IF(X258="","",X258*0.0155),"")</f>
        <v>1.488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502.56000000000006</v>
      </c>
      <c r="BN258" s="67">
        <f>IFERROR(Y258*I258,"0")</f>
        <v>502.56000000000006</v>
      </c>
      <c r="BO258" s="67">
        <f>IFERROR(X258/J258,"0")</f>
        <v>1.1428571428571428</v>
      </c>
      <c r="BP258" s="67">
        <f>IFERROR(Y258/J258,"0")</f>
        <v>1.1428571428571428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87">
        <v>4640242180410</v>
      </c>
      <c r="E259" s="288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0"/>
      <c r="R259" s="280"/>
      <c r="S259" s="280"/>
      <c r="T259" s="281"/>
      <c r="U259" s="34"/>
      <c r="V259" s="34"/>
      <c r="W259" s="35" t="s">
        <v>70</v>
      </c>
      <c r="X259" s="270">
        <v>14</v>
      </c>
      <c r="Y259" s="271">
        <f>IFERROR(IF(X259="","",X259),"")</f>
        <v>14</v>
      </c>
      <c r="Z259" s="36">
        <f>IFERROR(IF(X259="","",X259*0.00936),"")</f>
        <v>0.13103999999999999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34.048000000000002</v>
      </c>
      <c r="BN259" s="67">
        <f>IFERROR(Y259*I259,"0")</f>
        <v>34.048000000000002</v>
      </c>
      <c r="BO259" s="67">
        <f>IFERROR(X259/J259,"0")</f>
        <v>0.1111111111111111</v>
      </c>
      <c r="BP259" s="67">
        <f>IFERROR(Y259/J259,"0")</f>
        <v>0.1111111111111111</v>
      </c>
    </row>
    <row r="260" spans="1:68" x14ac:dyDescent="0.2">
      <c r="A260" s="289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90"/>
      <c r="P260" s="276" t="s">
        <v>73</v>
      </c>
      <c r="Q260" s="277"/>
      <c r="R260" s="277"/>
      <c r="S260" s="277"/>
      <c r="T260" s="277"/>
      <c r="U260" s="277"/>
      <c r="V260" s="278"/>
      <c r="W260" s="37" t="s">
        <v>70</v>
      </c>
      <c r="X260" s="272">
        <f>IFERROR(SUM(X257:X259),"0")</f>
        <v>110</v>
      </c>
      <c r="Y260" s="272">
        <f>IFERROR(SUM(Y257:Y259),"0")</f>
        <v>110</v>
      </c>
      <c r="Z260" s="272">
        <f>IFERROR(IF(Z257="",0,Z257),"0")+IFERROR(IF(Z258="",0,Z258),"0")+IFERROR(IF(Z259="",0,Z259),"0")</f>
        <v>1.61904</v>
      </c>
      <c r="AA260" s="273"/>
      <c r="AB260" s="273"/>
      <c r="AC260" s="273"/>
    </row>
    <row r="261" spans="1:68" x14ac:dyDescent="0.2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90"/>
      <c r="P261" s="276" t="s">
        <v>73</v>
      </c>
      <c r="Q261" s="277"/>
      <c r="R261" s="277"/>
      <c r="S261" s="277"/>
      <c r="T261" s="277"/>
      <c r="U261" s="277"/>
      <c r="V261" s="278"/>
      <c r="W261" s="37" t="s">
        <v>74</v>
      </c>
      <c r="X261" s="272">
        <f>IFERROR(SUMPRODUCT(X257:X259*H257:H259),"0")</f>
        <v>511.36</v>
      </c>
      <c r="Y261" s="272">
        <f>IFERROR(SUMPRODUCT(Y257:Y259*H257:H259),"0")</f>
        <v>511.36</v>
      </c>
      <c r="Z261" s="37"/>
      <c r="AA261" s="273"/>
      <c r="AB261" s="273"/>
      <c r="AC261" s="273"/>
    </row>
    <row r="262" spans="1:68" ht="14.25" hidden="1" customHeight="1" x14ac:dyDescent="0.25">
      <c r="A262" s="286" t="s">
        <v>123</v>
      </c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66"/>
      <c r="AB262" s="266"/>
      <c r="AC262" s="266"/>
    </row>
    <row r="263" spans="1:68" ht="37.5" hidden="1" customHeight="1" x14ac:dyDescent="0.25">
      <c r="A263" s="54" t="s">
        <v>348</v>
      </c>
      <c r="B263" s="54" t="s">
        <v>349</v>
      </c>
      <c r="C263" s="31">
        <v>4301135504</v>
      </c>
      <c r="D263" s="287">
        <v>4640242181554</v>
      </c>
      <c r="E263" s="288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0"/>
      <c r="R263" s="280"/>
      <c r="S263" s="280"/>
      <c r="T263" s="281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4301135518</v>
      </c>
      <c r="D264" s="287">
        <v>4640242181561</v>
      </c>
      <c r="E264" s="288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70</v>
      </c>
      <c r="X264" s="270">
        <v>0</v>
      </c>
      <c r="Y264" s="271">
        <f t="shared" si="12"/>
        <v>0</v>
      </c>
      <c r="Z264" s="36">
        <f>IFERROR(IF(X264="","",X264*0.00936),"")</f>
        <v>0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4301135374</v>
      </c>
      <c r="D265" s="287">
        <v>4640242181424</v>
      </c>
      <c r="E265" s="288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0"/>
      <c r="R265" s="280"/>
      <c r="S265" s="280"/>
      <c r="T265" s="281"/>
      <c r="U265" s="34"/>
      <c r="V265" s="34"/>
      <c r="W265" s="35" t="s">
        <v>70</v>
      </c>
      <c r="X265" s="270">
        <v>12</v>
      </c>
      <c r="Y265" s="271">
        <f t="shared" si="12"/>
        <v>12</v>
      </c>
      <c r="Z265" s="36">
        <f>IFERROR(IF(X265="","",X265*0.0155),"")</f>
        <v>0.186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68.820000000000007</v>
      </c>
      <c r="BN265" s="67">
        <f t="shared" si="14"/>
        <v>68.820000000000007</v>
      </c>
      <c r="BO265" s="67">
        <f t="shared" si="15"/>
        <v>0.14285714285714285</v>
      </c>
      <c r="BP265" s="67">
        <f t="shared" si="16"/>
        <v>0.14285714285714285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87">
        <v>4640242181523</v>
      </c>
      <c r="E266" s="288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0"/>
      <c r="R266" s="280"/>
      <c r="S266" s="280"/>
      <c r="T266" s="281"/>
      <c r="U266" s="34"/>
      <c r="V266" s="34"/>
      <c r="W266" s="35" t="s">
        <v>70</v>
      </c>
      <c r="X266" s="270">
        <v>140</v>
      </c>
      <c r="Y266" s="271">
        <f t="shared" si="12"/>
        <v>140</v>
      </c>
      <c r="Z266" s="36">
        <f t="shared" ref="Z266:Z271" si="17">IFERROR(IF(X266="","",X266*0.00936),"")</f>
        <v>1.3104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446.88</v>
      </c>
      <c r="BN266" s="67">
        <f t="shared" si="14"/>
        <v>446.88</v>
      </c>
      <c r="BO266" s="67">
        <f t="shared" si="15"/>
        <v>1.1111111111111112</v>
      </c>
      <c r="BP266" s="67">
        <f t="shared" si="16"/>
        <v>1.1111111111111112</v>
      </c>
    </row>
    <row r="267" spans="1:68" ht="27" hidden="1" customHeight="1" x14ac:dyDescent="0.25">
      <c r="A267" s="54" t="s">
        <v>358</v>
      </c>
      <c r="B267" s="54" t="s">
        <v>359</v>
      </c>
      <c r="C267" s="31">
        <v>4301135375</v>
      </c>
      <c r="D267" s="287">
        <v>4640242181486</v>
      </c>
      <c r="E267" s="288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4301135402</v>
      </c>
      <c r="D268" s="287">
        <v>4640242181493</v>
      </c>
      <c r="E268" s="288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hidden="1" customHeight="1" x14ac:dyDescent="0.25">
      <c r="A269" s="54" t="s">
        <v>362</v>
      </c>
      <c r="B269" s="54" t="s">
        <v>363</v>
      </c>
      <c r="C269" s="31">
        <v>4301135403</v>
      </c>
      <c r="D269" s="287">
        <v>4640242181509</v>
      </c>
      <c r="E269" s="288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0"/>
      <c r="R269" s="280"/>
      <c r="S269" s="280"/>
      <c r="T269" s="281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4301135304</v>
      </c>
      <c r="D270" s="287">
        <v>4640242181240</v>
      </c>
      <c r="E270" s="288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4301135610</v>
      </c>
      <c r="D271" s="287">
        <v>4640242181318</v>
      </c>
      <c r="E271" s="288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4301135306</v>
      </c>
      <c r="D272" s="287">
        <v>4640242181387</v>
      </c>
      <c r="E272" s="288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0"/>
      <c r="R272" s="280"/>
      <c r="S272" s="280"/>
      <c r="T272" s="281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90"/>
      <c r="P273" s="276" t="s">
        <v>73</v>
      </c>
      <c r="Q273" s="277"/>
      <c r="R273" s="277"/>
      <c r="S273" s="277"/>
      <c r="T273" s="277"/>
      <c r="U273" s="277"/>
      <c r="V273" s="278"/>
      <c r="W273" s="37" t="s">
        <v>70</v>
      </c>
      <c r="X273" s="272">
        <f>IFERROR(SUM(X263:X272),"0")</f>
        <v>152</v>
      </c>
      <c r="Y273" s="272">
        <f>IFERROR(SUM(Y263:Y272),"0")</f>
        <v>152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1.4964</v>
      </c>
      <c r="AA273" s="273"/>
      <c r="AB273" s="273"/>
      <c r="AC273" s="273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90"/>
      <c r="P274" s="276" t="s">
        <v>73</v>
      </c>
      <c r="Q274" s="277"/>
      <c r="R274" s="277"/>
      <c r="S274" s="277"/>
      <c r="T274" s="277"/>
      <c r="U274" s="277"/>
      <c r="V274" s="278"/>
      <c r="W274" s="37" t="s">
        <v>74</v>
      </c>
      <c r="X274" s="272">
        <f>IFERROR(SUMPRODUCT(X263:X272*H263:H272),"0")</f>
        <v>486</v>
      </c>
      <c r="Y274" s="272">
        <f>IFERROR(SUMPRODUCT(Y263:Y272*H263:H272),"0")</f>
        <v>486</v>
      </c>
      <c r="Z274" s="37"/>
      <c r="AA274" s="273"/>
      <c r="AB274" s="273"/>
      <c r="AC274" s="273"/>
    </row>
    <row r="275" spans="1:32" ht="15" customHeight="1" x14ac:dyDescent="0.2">
      <c r="A275" s="361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62"/>
      <c r="P275" s="293" t="s">
        <v>370</v>
      </c>
      <c r="Q275" s="294"/>
      <c r="R275" s="294"/>
      <c r="S275" s="294"/>
      <c r="T275" s="294"/>
      <c r="U275" s="294"/>
      <c r="V275" s="295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12070.6</v>
      </c>
      <c r="Y275" s="272">
        <f>IFERROR(Y24+Y31+Y38+Y46+Y51+Y55+Y60+Y66+Y72+Y77+Y83+Y93+Y99+Y111+Y115+Y119+Y125+Y131+Y137+Y142+Y147+Y152+Y157+Y164+Y172+Y176+Y182+Y189+Y198+Y203+Y208+Y214+Y220+Y226+Y232+Y238+Y242+Y250+Y255+Y261+Y274,"0")</f>
        <v>12070.6</v>
      </c>
      <c r="Z275" s="37"/>
      <c r="AA275" s="273"/>
      <c r="AB275" s="273"/>
      <c r="AC275" s="273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62"/>
      <c r="P276" s="293" t="s">
        <v>371</v>
      </c>
      <c r="Q276" s="294"/>
      <c r="R276" s="294"/>
      <c r="S276" s="294"/>
      <c r="T276" s="294"/>
      <c r="U276" s="294"/>
      <c r="V276" s="295"/>
      <c r="W276" s="37" t="s">
        <v>74</v>
      </c>
      <c r="X276" s="272">
        <f>IFERROR(SUM(BM22:BM272),"0")</f>
        <v>13301.853199999998</v>
      </c>
      <c r="Y276" s="272">
        <f>IFERROR(SUM(BN22:BN272),"0")</f>
        <v>13301.853199999998</v>
      </c>
      <c r="Z276" s="37"/>
      <c r="AA276" s="273"/>
      <c r="AB276" s="273"/>
      <c r="AC276" s="273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62"/>
      <c r="P277" s="293" t="s">
        <v>372</v>
      </c>
      <c r="Q277" s="294"/>
      <c r="R277" s="294"/>
      <c r="S277" s="294"/>
      <c r="T277" s="294"/>
      <c r="U277" s="294"/>
      <c r="V277" s="295"/>
      <c r="W277" s="37" t="s">
        <v>373</v>
      </c>
      <c r="X277" s="38">
        <f>ROUNDUP(SUM(BO22:BO272),0)</f>
        <v>35</v>
      </c>
      <c r="Y277" s="38">
        <f>ROUNDUP(SUM(BP22:BP272),0)</f>
        <v>35</v>
      </c>
      <c r="Z277" s="37"/>
      <c r="AA277" s="273"/>
      <c r="AB277" s="273"/>
      <c r="AC277" s="273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62"/>
      <c r="P278" s="293" t="s">
        <v>374</v>
      </c>
      <c r="Q278" s="294"/>
      <c r="R278" s="294"/>
      <c r="S278" s="294"/>
      <c r="T278" s="294"/>
      <c r="U278" s="294"/>
      <c r="V278" s="295"/>
      <c r="W278" s="37" t="s">
        <v>74</v>
      </c>
      <c r="X278" s="272">
        <f>GrossWeightTotal+PalletQtyTotal*25</f>
        <v>14176.853199999998</v>
      </c>
      <c r="Y278" s="272">
        <f>GrossWeightTotalR+PalletQtyTotalR*25</f>
        <v>14176.853199999998</v>
      </c>
      <c r="Z278" s="37"/>
      <c r="AA278" s="273"/>
      <c r="AB278" s="273"/>
      <c r="AC278" s="273"/>
    </row>
    <row r="279" spans="1:32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62"/>
      <c r="P279" s="293" t="s">
        <v>375</v>
      </c>
      <c r="Q279" s="294"/>
      <c r="R279" s="294"/>
      <c r="S279" s="294"/>
      <c r="T279" s="294"/>
      <c r="U279" s="294"/>
      <c r="V279" s="295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2806</v>
      </c>
      <c r="Y279" s="272">
        <f>IFERROR(Y23+Y30+Y37+Y45+Y50+Y54+Y59+Y65+Y71+Y76+Y82+Y92+Y98+Y110+Y114+Y118+Y124+Y130+Y136+Y141+Y146+Y151+Y156+Y163+Y171+Y175+Y181+Y188+Y197+Y202+Y207+Y213+Y219+Y225+Y231+Y237+Y241+Y249+Y254+Y260+Y273,"0")</f>
        <v>2806</v>
      </c>
      <c r="Z279" s="37"/>
      <c r="AA279" s="273"/>
      <c r="AB279" s="273"/>
      <c r="AC279" s="273"/>
    </row>
    <row r="280" spans="1:32" ht="14.25" hidden="1" customHeight="1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62"/>
      <c r="P280" s="293" t="s">
        <v>376</v>
      </c>
      <c r="Q280" s="294"/>
      <c r="R280" s="294"/>
      <c r="S280" s="294"/>
      <c r="T280" s="294"/>
      <c r="U280" s="294"/>
      <c r="V280" s="295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43.173340000000003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2" t="s">
        <v>75</v>
      </c>
      <c r="D282" s="392"/>
      <c r="E282" s="392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  <c r="Q282" s="392"/>
      <c r="R282" s="392"/>
      <c r="S282" s="392"/>
      <c r="T282" s="393"/>
      <c r="U282" s="267" t="s">
        <v>233</v>
      </c>
      <c r="V282" s="267" t="s">
        <v>241</v>
      </c>
      <c r="W282" s="282" t="s">
        <v>260</v>
      </c>
      <c r="X282" s="392"/>
      <c r="Y282" s="392"/>
      <c r="Z282" s="392"/>
      <c r="AA282" s="393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64" t="s">
        <v>379</v>
      </c>
      <c r="B283" s="282" t="s">
        <v>63</v>
      </c>
      <c r="C283" s="282" t="s">
        <v>76</v>
      </c>
      <c r="D283" s="282" t="s">
        <v>87</v>
      </c>
      <c r="E283" s="282" t="s">
        <v>99</v>
      </c>
      <c r="F283" s="282" t="s">
        <v>110</v>
      </c>
      <c r="G283" s="282" t="s">
        <v>131</v>
      </c>
      <c r="H283" s="282" t="s">
        <v>138</v>
      </c>
      <c r="I283" s="282" t="s">
        <v>142</v>
      </c>
      <c r="J283" s="282" t="s">
        <v>150</v>
      </c>
      <c r="K283" s="282" t="s">
        <v>165</v>
      </c>
      <c r="L283" s="282" t="s">
        <v>171</v>
      </c>
      <c r="M283" s="282" t="s">
        <v>199</v>
      </c>
      <c r="N283" s="268"/>
      <c r="O283" s="282" t="s">
        <v>205</v>
      </c>
      <c r="P283" s="282" t="s">
        <v>212</v>
      </c>
      <c r="Q283" s="282" t="s">
        <v>217</v>
      </c>
      <c r="R283" s="282" t="s">
        <v>221</v>
      </c>
      <c r="S283" s="282" t="s">
        <v>224</v>
      </c>
      <c r="T283" s="282" t="s">
        <v>229</v>
      </c>
      <c r="U283" s="282" t="s">
        <v>234</v>
      </c>
      <c r="V283" s="282" t="s">
        <v>242</v>
      </c>
      <c r="W283" s="282" t="s">
        <v>261</v>
      </c>
      <c r="X283" s="282" t="s">
        <v>276</v>
      </c>
      <c r="Y283" s="282" t="s">
        <v>288</v>
      </c>
      <c r="Z283" s="282" t="s">
        <v>293</v>
      </c>
      <c r="AA283" s="282" t="s">
        <v>304</v>
      </c>
      <c r="AB283" s="282" t="s">
        <v>311</v>
      </c>
      <c r="AC283" s="282" t="s">
        <v>316</v>
      </c>
      <c r="AD283" s="282" t="s">
        <v>320</v>
      </c>
      <c r="AE283" s="282" t="s">
        <v>327</v>
      </c>
      <c r="AF283" s="268"/>
    </row>
    <row r="284" spans="1:32" ht="13.5" customHeight="1" thickBot="1" x14ac:dyDescent="0.25">
      <c r="A284" s="365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68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231</v>
      </c>
      <c r="D285" s="46">
        <f>IFERROR(X34*H34,"0")+IFERROR(X35*H35,"0")+IFERROR(X36*H36,"0")</f>
        <v>67.199999999999989</v>
      </c>
      <c r="E285" s="46">
        <f>IFERROR(X41*H41,"0")+IFERROR(X42*H42,"0")+IFERROR(X43*H43,"0")+IFERROR(X44*H44,"0")</f>
        <v>2100</v>
      </c>
      <c r="F285" s="46">
        <f>IFERROR(X49*H49,"0")+IFERROR(X53*H53,"0")+IFERROR(X57*H57,"0")+IFERROR(X58*H58,"0")+IFERROR(X62*H62,"0")+IFERROR(X63*H63,"0")+IFERROR(X64*H64,"0")</f>
        <v>33.6</v>
      </c>
      <c r="G285" s="46">
        <f>IFERROR(X69*H69,"0")+IFERROR(X70*H70,"0")</f>
        <v>660</v>
      </c>
      <c r="H285" s="46">
        <f>IFERROR(X75*H75,"0")</f>
        <v>50.4</v>
      </c>
      <c r="I285" s="46">
        <f>IFERROR(X80*H80,"0")+IFERROR(X81*H81,"0")</f>
        <v>0</v>
      </c>
      <c r="J285" s="46">
        <f>IFERROR(X86*H86,"0")+IFERROR(X87*H87,"0")+IFERROR(X88*H88,"0")+IFERROR(X89*H89,"0")+IFERROR(X90*H90,"0")+IFERROR(X91*H91,"0")</f>
        <v>803.04000000000008</v>
      </c>
      <c r="K285" s="46">
        <f>IFERROR(X96*H96,"0")+IFERROR(X97*H97,"0")</f>
        <v>0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3228</v>
      </c>
      <c r="M285" s="46">
        <f>IFERROR(X122*H122,"0")+IFERROR(X123*H123,"0")</f>
        <v>1470</v>
      </c>
      <c r="N285" s="268"/>
      <c r="O285" s="46">
        <f>IFERROR(X128*H128,"0")+IFERROR(X129*H129,"0")</f>
        <v>336</v>
      </c>
      <c r="P285" s="46">
        <f>IFERROR(X134*H134,"0")+IFERROR(X135*H135,"0")</f>
        <v>168</v>
      </c>
      <c r="Q285" s="46">
        <f>IFERROR(X140*H140,"0")</f>
        <v>42</v>
      </c>
      <c r="R285" s="46">
        <f>IFERROR(X145*H145,"0")</f>
        <v>0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240</v>
      </c>
      <c r="V285" s="46">
        <f>IFERROR(X168*H168,"0")+IFERROR(X169*H169,"0")+IFERROR(X170*H170,"0")+IFERROR(X174*H174,"0")</f>
        <v>840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0</v>
      </c>
      <c r="Y285" s="46">
        <f>IFERROR(X201*H201,"0")</f>
        <v>360</v>
      </c>
      <c r="Z285" s="46">
        <f>IFERROR(X206*H206,"0")+IFERROR(X210*H210,"0")+IFERROR(X211*H211,"0")+IFERROR(X212*H212,"0")</f>
        <v>0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300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1141.3600000000001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6883.2</v>
      </c>
      <c r="B288" s="60">
        <f>SUMPRODUCT(--(BB:BB="ПГП"),--(W:W="кор"),H:H,Y:Y)+SUMPRODUCT(--(BB:BB="ПГП"),--(W:W="кг"),Y:Y)</f>
        <v>5187.3999999999996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0,00"/>
        <filter val="110,00"/>
        <filter val="112,00"/>
        <filter val="12 070,60"/>
        <filter val="12,00"/>
        <filter val="126,00"/>
        <filter val="13 301,85"/>
        <filter val="132,00"/>
        <filter val="14 176,85"/>
        <filter val="14,00"/>
        <filter val="140,00"/>
        <filter val="144,00"/>
        <filter val="152,00"/>
        <filter val="154,00"/>
        <filter val="168,00"/>
        <filter val="2 100,00"/>
        <filter val="2 806,00"/>
        <filter val="231,00"/>
        <filter val="24,00"/>
        <filter val="240,00"/>
        <filter val="266,00"/>
        <filter val="276,00"/>
        <filter val="28,00"/>
        <filter val="280,00"/>
        <filter val="3 156,00"/>
        <filter val="300,00"/>
        <filter val="322,00"/>
        <filter val="33,60"/>
        <filter val="336,00"/>
        <filter val="35"/>
        <filter val="36,00"/>
        <filter val="360,00"/>
        <filter val="42,00"/>
        <filter val="456,00"/>
        <filter val="48,00"/>
        <filter val="486,00"/>
        <filter val="490,00"/>
        <filter val="50,40"/>
        <filter val="511,36"/>
        <filter val="60,00"/>
        <filter val="660,00"/>
        <filter val="67,20"/>
        <filter val="70,00"/>
        <filter val="72,00"/>
        <filter val="803,04"/>
        <filter val="84,00"/>
        <filter val="840,00"/>
        <filter val="96,00"/>
        <filter val="98,00"/>
      </filters>
    </filterColumn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P23:V23"/>
    <mergeCell ref="A262:Z262"/>
    <mergeCell ref="W283:W284"/>
    <mergeCell ref="D271:E271"/>
    <mergeCell ref="P75:T75"/>
    <mergeCell ref="A136:O137"/>
    <mergeCell ref="D29:E29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D265:E265"/>
    <mergeCell ref="A20:Z20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D252:E252"/>
    <mergeCell ref="P123:T123"/>
    <mergeCell ref="A112:Z112"/>
    <mergeCell ref="P66:V66"/>
    <mergeCell ref="D218:E218"/>
    <mergeCell ref="P137:V137"/>
    <mergeCell ref="P197:V197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Q5:R5"/>
    <mergeCell ref="F17:F18"/>
    <mergeCell ref="B283:B284"/>
    <mergeCell ref="D107:E107"/>
    <mergeCell ref="P70:T70"/>
    <mergeCell ref="P263:T263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127:Z127"/>
    <mergeCell ref="A191:Z191"/>
    <mergeCell ref="D105:E105"/>
    <mergeCell ref="A178:Z178"/>
    <mergeCell ref="D170:E170"/>
    <mergeCell ref="Q6:R6"/>
    <mergeCell ref="Q13:R13"/>
    <mergeCell ref="P201:T201"/>
    <mergeCell ref="V6:W9"/>
    <mergeCell ref="P109:T109"/>
    <mergeCell ref="D186:E186"/>
    <mergeCell ref="Z17:Z18"/>
    <mergeCell ref="H10:M10"/>
    <mergeCell ref="J9:M9"/>
    <mergeCell ref="P30:V30"/>
    <mergeCell ref="H17:H18"/>
    <mergeCell ref="A12:M12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25:Z25"/>
    <mergeCell ref="P119:V119"/>
    <mergeCell ref="P186:T186"/>
    <mergeCell ref="V11:W11"/>
    <mergeCell ref="P22:T22"/>
    <mergeCell ref="A61:Z61"/>
    <mergeCell ref="P92:V92"/>
    <mergeCell ref="P257:T257"/>
    <mergeCell ref="P54:V54"/>
    <mergeCell ref="P80:T80"/>
    <mergeCell ref="D194:E194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A158:Z158"/>
    <mergeCell ref="P91:T91"/>
    <mergeCell ref="P206:T206"/>
    <mergeCell ref="P220:V220"/>
    <mergeCell ref="A71:O72"/>
    <mergeCell ref="A179:Z179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D62:E62"/>
    <mergeCell ref="A65:O66"/>
    <mergeCell ref="D193:E193"/>
    <mergeCell ref="P172:V172"/>
    <mergeCell ref="A40:Z40"/>
    <mergeCell ref="A67:Z67"/>
    <mergeCell ref="P152:V152"/>
    <mergeCell ref="D140:E140"/>
    <mergeCell ref="D267:E267"/>
    <mergeCell ref="P96:T96"/>
    <mergeCell ref="P90:T90"/>
    <mergeCell ref="P161:T161"/>
    <mergeCell ref="P72:V72"/>
    <mergeCell ref="A251:Z251"/>
    <mergeCell ref="P122:T122"/>
    <mergeCell ref="P43:T43"/>
    <mergeCell ref="P65:V65"/>
    <mergeCell ref="P136:V136"/>
    <mergeCell ref="A126:Z126"/>
    <mergeCell ref="A190:Z190"/>
    <mergeCell ref="D217:E217"/>
    <mergeCell ref="P193:T193"/>
    <mergeCell ref="D58:E58"/>
    <mergeCell ref="A116:Z116"/>
    <mergeCell ref="P253:T253"/>
    <mergeCell ref="A223:Z223"/>
    <mergeCell ref="D247:E247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A95:Z95"/>
    <mergeCell ref="A32:Z32"/>
    <mergeCell ref="A37:O38"/>
    <mergeCell ref="D113:E113"/>
    <mergeCell ref="P180:T180"/>
    <mergeCell ref="D88:E88"/>
    <mergeCell ref="P117:T117"/>
    <mergeCell ref="D187:E187"/>
    <mergeCell ref="D174:E174"/>
    <mergeCell ref="D64:E64"/>
    <mergeCell ref="P248:T248"/>
    <mergeCell ref="P157:V157"/>
    <mergeCell ref="P213:V213"/>
    <mergeCell ref="A209:Z209"/>
    <mergeCell ref="D106:E106"/>
    <mergeCell ref="A146:O147"/>
    <mergeCell ref="D264:E264"/>
    <mergeCell ref="P275:V275"/>
    <mergeCell ref="A275:O280"/>
    <mergeCell ref="U283:U284"/>
    <mergeCell ref="P198:V198"/>
    <mergeCell ref="A254:O255"/>
    <mergeCell ref="P238:V238"/>
    <mergeCell ref="P264:T264"/>
    <mergeCell ref="A249:O250"/>
    <mergeCell ref="A283:A284"/>
    <mergeCell ref="P258:T258"/>
    <mergeCell ref="S283:S284"/>
    <mergeCell ref="P114:V114"/>
    <mergeCell ref="P203:V203"/>
    <mergeCell ref="A120:Z120"/>
    <mergeCell ref="P276:V276"/>
    <mergeCell ref="A239:Z239"/>
    <mergeCell ref="P214:V214"/>
    <mergeCell ref="P278:V278"/>
    <mergeCell ref="A159:Z159"/>
    <mergeCell ref="A273:O274"/>
    <mergeCell ref="P249:V249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A5:C5"/>
    <mergeCell ref="P51:V51"/>
    <mergeCell ref="P195:T195"/>
    <mergeCell ref="A17:A18"/>
    <mergeCell ref="K17:K18"/>
    <mergeCell ref="C17:C18"/>
    <mergeCell ref="D103:E103"/>
    <mergeCell ref="P268:T268"/>
    <mergeCell ref="P230:T230"/>
    <mergeCell ref="K283:K284"/>
    <mergeCell ref="D211:E211"/>
    <mergeCell ref="P168:T168"/>
    <mergeCell ref="P130:V130"/>
    <mergeCell ref="P97:T97"/>
    <mergeCell ref="P59:V59"/>
    <mergeCell ref="P46:V46"/>
    <mergeCell ref="D230:E230"/>
    <mergeCell ref="D168:E168"/>
    <mergeCell ref="D180:E180"/>
    <mergeCell ref="P53:T53"/>
    <mergeCell ref="A47:Z47"/>
    <mergeCell ref="D161:E161"/>
    <mergeCell ref="D169:E169"/>
    <mergeCell ref="P82:V82"/>
    <mergeCell ref="A121:Z121"/>
    <mergeCell ref="A166:Z166"/>
    <mergeCell ref="P187:T187"/>
    <mergeCell ref="D108:E108"/>
    <mergeCell ref="P176:V176"/>
    <mergeCell ref="D135:E135"/>
    <mergeCell ref="H283:H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D9:E9"/>
    <mergeCell ref="F9:G9"/>
    <mergeCell ref="I17:I18"/>
    <mergeCell ref="P185:T185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  <mergeCell ref="C283:C284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