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ABF0BD-0BEB-4CC6-ADCC-3187BBE3C8A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75" i="1" l="1"/>
  <c r="BN75" i="1"/>
  <c r="Z75" i="1"/>
  <c r="BP113" i="1"/>
  <c r="BN113" i="1"/>
  <c r="Z113" i="1"/>
  <c r="BP166" i="1"/>
  <c r="BN166" i="1"/>
  <c r="Z166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X489" i="1"/>
  <c r="X492" i="1"/>
  <c r="Z27" i="1"/>
  <c r="BN27" i="1"/>
  <c r="BP54" i="1"/>
  <c r="BN54" i="1"/>
  <c r="Z54" i="1"/>
  <c r="BP94" i="1"/>
  <c r="BN94" i="1"/>
  <c r="Z94" i="1"/>
  <c r="BP134" i="1"/>
  <c r="BN134" i="1"/>
  <c r="Z134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337" i="1"/>
  <c r="BP107" i="1"/>
  <c r="BN107" i="1"/>
  <c r="BP115" i="1"/>
  <c r="BN115" i="1"/>
  <c r="Z115" i="1"/>
  <c r="BP141" i="1"/>
  <c r="BN141" i="1"/>
  <c r="Z141" i="1"/>
  <c r="BP168" i="1"/>
  <c r="BN168" i="1"/>
  <c r="Z168" i="1"/>
  <c r="BP191" i="1"/>
  <c r="BN191" i="1"/>
  <c r="Z191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B498" i="1"/>
  <c r="X490" i="1"/>
  <c r="X491" i="1" s="1"/>
  <c r="X488" i="1"/>
  <c r="Y31" i="1"/>
  <c r="Z29" i="1"/>
  <c r="BN29" i="1"/>
  <c r="C498" i="1"/>
  <c r="Z52" i="1"/>
  <c r="BN52" i="1"/>
  <c r="Z56" i="1"/>
  <c r="BN56" i="1"/>
  <c r="Z61" i="1"/>
  <c r="BN61" i="1"/>
  <c r="Z73" i="1"/>
  <c r="BN73" i="1"/>
  <c r="Z79" i="1"/>
  <c r="BN79" i="1"/>
  <c r="BP79" i="1"/>
  <c r="Z92" i="1"/>
  <c r="BN92" i="1"/>
  <c r="Z99" i="1"/>
  <c r="BN99" i="1"/>
  <c r="Z107" i="1"/>
  <c r="BP130" i="1"/>
  <c r="BN130" i="1"/>
  <c r="Z130" i="1"/>
  <c r="BP164" i="1"/>
  <c r="BN164" i="1"/>
  <c r="Z164" i="1"/>
  <c r="Y178" i="1"/>
  <c r="BP174" i="1"/>
  <c r="BN174" i="1"/>
  <c r="Z174" i="1"/>
  <c r="BP197" i="1"/>
  <c r="BN197" i="1"/>
  <c r="Z197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Q498" i="1"/>
  <c r="BP288" i="1"/>
  <c r="BN288" i="1"/>
  <c r="Z288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36" i="1"/>
  <c r="Y172" i="1"/>
  <c r="Y216" i="1"/>
  <c r="Y304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79" i="1"/>
  <c r="Y453" i="1"/>
  <c r="Y452" i="1"/>
  <c r="H9" i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D498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Z274" i="1" s="1"/>
  <c r="BP289" i="1"/>
  <c r="BN289" i="1"/>
  <c r="Z289" i="1"/>
  <c r="Z293" i="1" s="1"/>
  <c r="Y293" i="1"/>
  <c r="BP297" i="1"/>
  <c r="BN297" i="1"/>
  <c r="Z297" i="1"/>
  <c r="BP301" i="1"/>
  <c r="BN301" i="1"/>
  <c r="Z301" i="1"/>
  <c r="Y312" i="1"/>
  <c r="BP309" i="1"/>
  <c r="BN309" i="1"/>
  <c r="Z309" i="1"/>
  <c r="Z311" i="1" s="1"/>
  <c r="Y318" i="1"/>
  <c r="BP322" i="1"/>
  <c r="BN322" i="1"/>
  <c r="Z322" i="1"/>
  <c r="Z324" i="1" s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BP480" i="1"/>
  <c r="BN480" i="1"/>
  <c r="Z480" i="1"/>
  <c r="Y482" i="1"/>
  <c r="Z498" i="1"/>
  <c r="Y486" i="1"/>
  <c r="BP485" i="1"/>
  <c r="BN485" i="1"/>
  <c r="Z485" i="1"/>
  <c r="Z486" i="1" s="1"/>
  <c r="Y487" i="1"/>
  <c r="Z481" i="1" l="1"/>
  <c r="Z374" i="1"/>
  <c r="Z303" i="1"/>
  <c r="Z250" i="1"/>
  <c r="Z215" i="1"/>
  <c r="Z410" i="1"/>
  <c r="Z136" i="1"/>
  <c r="Z259" i="1"/>
  <c r="Z95" i="1"/>
  <c r="Z467" i="1"/>
  <c r="Z203" i="1"/>
  <c r="Z349" i="1"/>
  <c r="Z317" i="1"/>
  <c r="Z267" i="1"/>
  <c r="Z143" i="1"/>
  <c r="Z81" i="1"/>
  <c r="Z76" i="1"/>
  <c r="Z63" i="1"/>
  <c r="Z43" i="1"/>
  <c r="Z31" i="1"/>
  <c r="Z131" i="1"/>
  <c r="Z393" i="1"/>
  <c r="Z234" i="1"/>
  <c r="Y490" i="1"/>
  <c r="Z116" i="1"/>
  <c r="Z437" i="1"/>
  <c r="Z446" i="1"/>
  <c r="Z431" i="1"/>
  <c r="Z57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<sst xmlns="http://schemas.openxmlformats.org/spreadsheetml/2006/main" count="2196" uniqueCount="763">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</sst>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45971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2</v>
      </c>
      <c r="Y42" s="540">
        <f>IFERROR(IF(X42="",0,CEILING((X42/$H42),1)*$H42),"")</f>
        <v>3.7</v>
      </c>
      <c r="Z42" s="36">
        <f>IFERROR(IF(Y42=0,"",ROUNDUP(Y42/H42,0)*0.00902),"")</f>
        <v>9.0200000000000002E-3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2.1027027027027025</v>
      </c>
      <c r="BN42" s="64">
        <f>IFERROR(Y42*I42/H42,"0")</f>
        <v>3.89</v>
      </c>
      <c r="BO42" s="64">
        <f>IFERROR(1/J42*(X42/H42),"0")</f>
        <v>4.0950040950040942E-3</v>
      </c>
      <c r="BP42" s="64">
        <f>IFERROR(1/J42*(Y42/H42),"0")</f>
        <v>7.575757575757576E-3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0.54054054054054046</v>
      </c>
      <c r="Y43" s="541">
        <f>IFERROR(Y40/H40,"0")+IFERROR(Y41/H41,"0")+IFERROR(Y42/H42,"0")</f>
        <v>1</v>
      </c>
      <c r="Z43" s="541">
        <f>IFERROR(IF(Z40="",0,Z40),"0")+IFERROR(IF(Z41="",0,Z41),"0")+IFERROR(IF(Z42="",0,Z42),"0")</f>
        <v>9.0200000000000002E-3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2</v>
      </c>
      <c r="Y44" s="541">
        <f>IFERROR(SUM(Y40:Y42),"0")</f>
        <v>3.7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115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4</v>
      </c>
      <c r="Y51" s="540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0.35714285714285715</v>
      </c>
      <c r="Y57" s="541">
        <f>IFERROR(Y51/H51,"0")+IFERROR(Y52/H52,"0")+IFERROR(Y53/H53,"0")+IFERROR(Y54/H54,"0")+IFERROR(Y55/H55,"0")+IFERROR(Y56/H56,"0")</f>
        <v>1</v>
      </c>
      <c r="Z57" s="541">
        <f>IFERROR(IF(Z51="",0,Z51),"0")+IFERROR(IF(Z52="",0,Z52),"0")+IFERROR(IF(Z53="",0,Z53),"0")+IFERROR(IF(Z54="",0,Z54),"0")+IFERROR(IF(Z55="",0,Z55),"0")+IFERROR(IF(Z56="",0,Z56),"0")</f>
        <v>1.898E-2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4</v>
      </c>
      <c r="Y58" s="541">
        <f>IFERROR(SUM(Y51:Y56),"0")</f>
        <v>11.2</v>
      </c>
      <c r="Z58" s="37"/>
      <c r="AA58" s="542"/>
      <c r="AB58" s="542"/>
      <c r="AC58" s="542"/>
    </row>
    <row r="59" spans="1:68" ht="14.25" hidden="1" customHeight="1" x14ac:dyDescent="0.25">
      <c r="A59" s="550" t="s">
        <v>134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162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169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9</v>
      </c>
      <c r="Y91" s="540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9.5488888888888876</v>
      </c>
      <c r="BN91" s="64">
        <f>IFERROR(Y91*I91/H91,"0")</f>
        <v>17.187999999999999</v>
      </c>
      <c r="BO91" s="64">
        <f>IFERROR(1/J91*(X91/H91),"0")</f>
        <v>1.7361111111111112E-2</v>
      </c>
      <c r="BP91" s="64">
        <f>IFERROR(1/J91*(Y91/H91),"0")</f>
        <v>3.125E-2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1.1111111111111112</v>
      </c>
      <c r="Y95" s="541">
        <f>IFERROR(Y91/H91,"0")+IFERROR(Y92/H92,"0")+IFERROR(Y93/H93,"0")+IFERROR(Y94/H94,"0")</f>
        <v>2</v>
      </c>
      <c r="Z95" s="541">
        <f>IFERROR(IF(Z91="",0,Z91),"0")+IFERROR(IF(Z92="",0,Z92),"0")+IFERROR(IF(Z93="",0,Z93),"0")+IFERROR(IF(Z94="",0,Z94),"0")</f>
        <v>3.7960000000000001E-2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9</v>
      </c>
      <c r="Y96" s="541">
        <f>IFERROR(SUM(Y91:Y94),"0")</f>
        <v>16.2</v>
      </c>
      <c r="Z96" s="37"/>
      <c r="AA96" s="542"/>
      <c r="AB96" s="542"/>
      <c r="AC96" s="542"/>
    </row>
    <row r="97" spans="1:68" ht="16.5" hidden="1" customHeight="1" x14ac:dyDescent="0.25">
      <c r="A97" s="548" t="s">
        <v>188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32</v>
      </c>
      <c r="Y99" s="540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33.214814814814815</v>
      </c>
      <c r="BN99" s="64">
        <f>IFERROR(Y99*I99/H99,"0")</f>
        <v>33.630000000000003</v>
      </c>
      <c r="BO99" s="64">
        <f>IFERROR(1/J99*(X99/H99),"0")</f>
        <v>4.6296296296296294E-2</v>
      </c>
      <c r="BP99" s="64">
        <f>IFERROR(1/J99*(Y99/H99),"0")</f>
        <v>4.6875000000000007E-2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23</v>
      </c>
      <c r="Y101" s="540">
        <f>IFERROR(IF(X101="",0,CEILING((X101/$H101),1)*$H101),"")</f>
        <v>27</v>
      </c>
      <c r="Z101" s="36">
        <f>IFERROR(IF(Y101=0,"",ROUNDUP(Y101/H101,0)*0.00902),"")</f>
        <v>5.4120000000000001E-2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23.971111111111114</v>
      </c>
      <c r="BN101" s="64">
        <f>IFERROR(Y101*I101/H101,"0")</f>
        <v>28.14</v>
      </c>
      <c r="BO101" s="64">
        <f>IFERROR(1/J101*(X101/H101),"0")</f>
        <v>3.8720538720538718E-2</v>
      </c>
      <c r="BP101" s="64">
        <f>IFERROR(1/J101*(Y101/H101),"0")</f>
        <v>4.5454545454545456E-2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8.0740740740740726</v>
      </c>
      <c r="Y103" s="541">
        <f>IFERROR(Y99/H99,"0")+IFERROR(Y100/H100,"0")+IFERROR(Y101/H101,"0")+IFERROR(Y102/H102,"0")</f>
        <v>9</v>
      </c>
      <c r="Z103" s="541">
        <f>IFERROR(IF(Z99="",0,Z99),"0")+IFERROR(IF(Z100="",0,Z100),"0")+IFERROR(IF(Z101="",0,Z101),"0")+IFERROR(IF(Z102="",0,Z102),"0")</f>
        <v>0.11106000000000001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55</v>
      </c>
      <c r="Y104" s="541">
        <f>IFERROR(SUM(Y99:Y102),"0")</f>
        <v>59.400000000000006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134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4</v>
      </c>
      <c r="Y108" s="540">
        <f>IFERROR(IF(X108="",0,CEILING((X108/$H108),1)*$H108),"")</f>
        <v>4.8</v>
      </c>
      <c r="Z108" s="36">
        <f>IFERROR(IF(Y108=0,"",ROUNDUP(Y108/H108,0)*0.00651),"")</f>
        <v>1.302E-2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4.3000000000000007</v>
      </c>
      <c r="BN108" s="64">
        <f>IFERROR(Y108*I108/H108,"0")</f>
        <v>5.16</v>
      </c>
      <c r="BO108" s="64">
        <f>IFERROR(1/J108*(X108/H108),"0")</f>
        <v>9.1575091575091579E-3</v>
      </c>
      <c r="BP108" s="64">
        <f>IFERROR(1/J108*(Y108/H108),"0")</f>
        <v>1.098901098901099E-2</v>
      </c>
    </row>
    <row r="109" spans="1:68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1.6666666666666667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1.302E-2</v>
      </c>
      <c r="AA109" s="542"/>
      <c r="AB109" s="542"/>
      <c r="AC109" s="542"/>
    </row>
    <row r="110" spans="1:68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4</v>
      </c>
      <c r="Y110" s="541">
        <f>IFERROR(SUM(Y106:Y108),"0")</f>
        <v>4.8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24</v>
      </c>
      <c r="Y112" s="540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25.445925925925923</v>
      </c>
      <c r="BN112" s="64">
        <f>IFERROR(Y112*I112/H112,"0")</f>
        <v>25.763999999999996</v>
      </c>
      <c r="BO112" s="64">
        <f>IFERROR(1/J112*(X112/H112),"0")</f>
        <v>4.6296296296296301E-2</v>
      </c>
      <c r="BP112" s="64">
        <f>IFERROR(1/J112*(Y112/H112),"0")</f>
        <v>4.6875E-2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2.9629629629629632</v>
      </c>
      <c r="Y116" s="541">
        <f>IFERROR(Y112/H112,"0")+IFERROR(Y113/H113,"0")+IFERROR(Y114/H114,"0")+IFERROR(Y115/H115,"0")</f>
        <v>3</v>
      </c>
      <c r="Z116" s="541">
        <f>IFERROR(IF(Z112="",0,Z112),"0")+IFERROR(IF(Z113="",0,Z113),"0")+IFERROR(IF(Z114="",0,Z114),"0")+IFERROR(IF(Z115="",0,Z115),"0")</f>
        <v>5.6940000000000004E-2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24</v>
      </c>
      <c r="Y117" s="541">
        <f>IFERROR(SUM(Y112:Y115),"0")</f>
        <v>24.299999999999997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162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134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196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206</v>
      </c>
      <c r="Y162" s="540">
        <f t="shared" ref="Y162:Y170" si="5">IFERROR(IF(X162="",0,CEILING((X162/$H162),1)*$H162),"")</f>
        <v>210</v>
      </c>
      <c r="Z162" s="36">
        <f>IFERROR(IF(Y162=0,"",ROUNDUP(Y162/H162,0)*0.00902),"")</f>
        <v>0.45100000000000001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218.26190476190476</v>
      </c>
      <c r="BN162" s="64">
        <f t="shared" ref="BN162:BN170" si="7">IFERROR(Y162*I162/H162,"0")</f>
        <v>222.5</v>
      </c>
      <c r="BO162" s="64">
        <f t="shared" ref="BO162:BO170" si="8">IFERROR(1/J162*(X162/H162),"0")</f>
        <v>0.37157287157287155</v>
      </c>
      <c r="BP162" s="64">
        <f t="shared" ref="BP162:BP170" si="9">IFERROR(1/J162*(Y162/H162),"0")</f>
        <v>0.37878787878787878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196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181</v>
      </c>
      <c r="Y164" s="540">
        <f t="shared" si="5"/>
        <v>184.8</v>
      </c>
      <c r="Z164" s="36">
        <f>IFERROR(IF(Y164=0,"",ROUNDUP(Y164/H164,0)*0.00902),"")</f>
        <v>0.39688000000000001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189.1880952380952</v>
      </c>
      <c r="BN164" s="64">
        <f t="shared" si="7"/>
        <v>193.15999999999997</v>
      </c>
      <c r="BO164" s="64">
        <f t="shared" si="8"/>
        <v>0.32647907647907648</v>
      </c>
      <c r="BP164" s="64">
        <f t="shared" si="9"/>
        <v>0.33333333333333337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33</v>
      </c>
      <c r="Y165" s="540">
        <f t="shared" si="5"/>
        <v>33.6</v>
      </c>
      <c r="Z165" s="36">
        <f>IFERROR(IF(Y165=0,"",ROUNDUP(Y165/H165,0)*0.00502),"")</f>
        <v>8.0320000000000003E-2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35.042857142857144</v>
      </c>
      <c r="BN165" s="64">
        <f t="shared" si="7"/>
        <v>35.68</v>
      </c>
      <c r="BO165" s="64">
        <f t="shared" si="8"/>
        <v>6.7155067155067152E-2</v>
      </c>
      <c r="BP165" s="64">
        <f t="shared" si="9"/>
        <v>6.8376068376068383E-2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43</v>
      </c>
      <c r="Y168" s="540">
        <f t="shared" si="5"/>
        <v>44.1</v>
      </c>
      <c r="Z168" s="36">
        <f>IFERROR(IF(Y168=0,"",ROUNDUP(Y168/H168,0)*0.00502),"")</f>
        <v>0.10542</v>
      </c>
      <c r="AA168" s="56"/>
      <c r="AB168" s="57"/>
      <c r="AC168" s="205" t="s">
        <v>268</v>
      </c>
      <c r="AG168" s="64"/>
      <c r="AJ168" s="68"/>
      <c r="AK168" s="68">
        <v>0</v>
      </c>
      <c r="BB168" s="206" t="s">
        <v>1</v>
      </c>
      <c r="BM168" s="64">
        <f t="shared" si="6"/>
        <v>45.047619047619051</v>
      </c>
      <c r="BN168" s="64">
        <f t="shared" si="7"/>
        <v>46.2</v>
      </c>
      <c r="BO168" s="64">
        <f t="shared" si="8"/>
        <v>8.7505087505087509E-2</v>
      </c>
      <c r="BP168" s="64">
        <f t="shared" si="9"/>
        <v>8.9743589743589758E-2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128.33333333333331</v>
      </c>
      <c r="Y171" s="541">
        <f>IFERROR(Y162/H162,"0")+IFERROR(Y163/H163,"0")+IFERROR(Y164/H164,"0")+IFERROR(Y165/H165,"0")+IFERROR(Y166/H166,"0")+IFERROR(Y167/H167,"0")+IFERROR(Y168/H168,"0")+IFERROR(Y169/H169,"0")+IFERROR(Y170/H170,"0")</f>
        <v>131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1.03362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463</v>
      </c>
      <c r="Y172" s="541">
        <f>IFERROR(SUM(Y162:Y170),"0")</f>
        <v>472.50000000000006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1</v>
      </c>
      <c r="Y176" s="540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0.79365079365079361</v>
      </c>
      <c r="Y177" s="541">
        <f>IFERROR(Y174/H174,"0")+IFERROR(Y175/H175,"0")+IFERROR(Y176/H176,"0")</f>
        <v>1</v>
      </c>
      <c r="Z177" s="541">
        <f>IFERROR(IF(Z174="",0,Z174),"0")+IFERROR(IF(Z175="",0,Z175),"0")+IFERROR(IF(Z176="",0,Z176),"0")</f>
        <v>5.8999999999999999E-3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1</v>
      </c>
      <c r="Y178" s="541">
        <f>IFERROR(SUM(Y174:Y176),"0")</f>
        <v>1.26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134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108</v>
      </c>
      <c r="Y195" s="540">
        <f t="shared" ref="Y195:Y202" si="10">IFERROR(IF(X195="",0,CEILING((X195/$H195),1)*$H195),"")</f>
        <v>108</v>
      </c>
      <c r="Z195" s="36">
        <f>IFERROR(IF(Y195=0,"",ROUNDUP(Y195/H195,0)*0.00902),"")</f>
        <v>0.1804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111.8</v>
      </c>
      <c r="BN195" s="64">
        <f t="shared" ref="BN195:BN202" si="12">IFERROR(Y195*I195/H195,"0")</f>
        <v>111.8</v>
      </c>
      <c r="BO195" s="64">
        <f t="shared" ref="BO195:BO202" si="13">IFERROR(1/J195*(X195/H195),"0")</f>
        <v>0.15151515151515152</v>
      </c>
      <c r="BP195" s="64">
        <f t="shared" ref="BP195:BP202" si="14">IFERROR(1/J195*(Y195/H195),"0")</f>
        <v>0.15151515151515152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161</v>
      </c>
      <c r="Y196" s="540">
        <f t="shared" si="10"/>
        <v>162</v>
      </c>
      <c r="Z196" s="36">
        <f>IFERROR(IF(Y196=0,"",ROUNDUP(Y196/H196,0)*0.00902),"")</f>
        <v>0.27060000000000001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166.6648148148148</v>
      </c>
      <c r="BN196" s="64">
        <f t="shared" si="12"/>
        <v>167.7</v>
      </c>
      <c r="BO196" s="64">
        <f t="shared" si="13"/>
        <v>0.22586980920314254</v>
      </c>
      <c r="BP196" s="64">
        <f t="shared" si="14"/>
        <v>0.22727272727272727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65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67.287037037037024</v>
      </c>
      <c r="BN198" s="64">
        <f t="shared" si="12"/>
        <v>72.67</v>
      </c>
      <c r="BO198" s="64">
        <f t="shared" si="13"/>
        <v>9.1189674523007858E-2</v>
      </c>
      <c r="BP198" s="64">
        <f t="shared" si="14"/>
        <v>9.8484848484848481E-2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61.851851851851848</v>
      </c>
      <c r="Y203" s="541">
        <f>IFERROR(Y195/H195,"0")+IFERROR(Y196/H196,"0")+IFERROR(Y197/H197,"0")+IFERROR(Y198/H198,"0")+IFERROR(Y199/H199,"0")+IFERROR(Y200/H200,"0")+IFERROR(Y201/H201,"0")+IFERROR(Y202/H202,"0")</f>
        <v>63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0.56825999999999999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334</v>
      </c>
      <c r="Y204" s="541">
        <f>IFERROR(SUM(Y195:Y202),"0")</f>
        <v>340.2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54</v>
      </c>
      <c r="Y208" s="540">
        <f t="shared" si="15"/>
        <v>60.899999999999991</v>
      </c>
      <c r="Z208" s="36">
        <f>IFERROR(IF(Y208=0,"",ROUNDUP(Y208/H208,0)*0.01898),"")</f>
        <v>0.13286000000000001</v>
      </c>
      <c r="AA208" s="56"/>
      <c r="AB208" s="57"/>
      <c r="AC208" s="247" t="s">
        <v>336</v>
      </c>
      <c r="AG208" s="64"/>
      <c r="AJ208" s="68"/>
      <c r="AK208" s="68">
        <v>0</v>
      </c>
      <c r="BB208" s="248" t="s">
        <v>1</v>
      </c>
      <c r="BM208" s="64">
        <f t="shared" si="16"/>
        <v>57.066206896551734</v>
      </c>
      <c r="BN208" s="64">
        <f t="shared" si="17"/>
        <v>64.358000000000004</v>
      </c>
      <c r="BO208" s="64">
        <f t="shared" si="18"/>
        <v>9.6982758620689669E-2</v>
      </c>
      <c r="BP208" s="64">
        <f t="shared" si="19"/>
        <v>0.109375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45</v>
      </c>
      <c r="Y209" s="540">
        <f t="shared" si="15"/>
        <v>45.6</v>
      </c>
      <c r="Z209" s="36">
        <f t="shared" ref="Z209:Z214" si="20">IFERROR(IF(Y209=0,"",ROUNDUP(Y209/H209,0)*0.00651),"")</f>
        <v>0.12369000000000001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50.0625</v>
      </c>
      <c r="BN209" s="64">
        <f t="shared" si="17"/>
        <v>50.73</v>
      </c>
      <c r="BO209" s="64">
        <f t="shared" si="18"/>
        <v>0.10302197802197803</v>
      </c>
      <c r="BP209" s="64">
        <f t="shared" si="19"/>
        <v>0.1043956043956044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55</v>
      </c>
      <c r="Y212" s="540">
        <f t="shared" si="15"/>
        <v>55.199999999999996</v>
      </c>
      <c r="Z212" s="36">
        <f t="shared" si="20"/>
        <v>0.14973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60.775000000000006</v>
      </c>
      <c r="BN212" s="64">
        <f t="shared" si="17"/>
        <v>60.996000000000002</v>
      </c>
      <c r="BO212" s="64">
        <f t="shared" si="18"/>
        <v>0.12591575091575094</v>
      </c>
      <c r="BP212" s="64">
        <f t="shared" si="19"/>
        <v>0.1263736263736264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8</v>
      </c>
      <c r="Y213" s="540">
        <f t="shared" si="15"/>
        <v>9.6</v>
      </c>
      <c r="Z213" s="36">
        <f t="shared" si="20"/>
        <v>2.6040000000000001E-2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8.8400000000000016</v>
      </c>
      <c r="BN213" s="64">
        <f t="shared" si="17"/>
        <v>10.608000000000001</v>
      </c>
      <c r="BO213" s="64">
        <f t="shared" si="18"/>
        <v>1.8315018315018316E-2</v>
      </c>
      <c r="BP213" s="64">
        <f t="shared" si="19"/>
        <v>2.197802197802198E-2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11</v>
      </c>
      <c r="Y214" s="540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12.182500000000001</v>
      </c>
      <c r="BN214" s="64">
        <f t="shared" si="17"/>
        <v>13.290000000000001</v>
      </c>
      <c r="BO214" s="64">
        <f t="shared" si="18"/>
        <v>2.5183150183150187E-2</v>
      </c>
      <c r="BP214" s="64">
        <f t="shared" si="19"/>
        <v>2.7472527472527476E-2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55.790229885057478</v>
      </c>
      <c r="Y215" s="541">
        <f>IFERROR(Y206/H206,"0")+IFERROR(Y207/H207,"0")+IFERROR(Y208/H208,"0")+IFERROR(Y209/H209,"0")+IFERROR(Y210/H210,"0")+IFERROR(Y211/H211,"0")+IFERROR(Y212/H212,"0")+IFERROR(Y213/H213,"0")+IFERROR(Y214/H214,"0")</f>
        <v>58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0.46487000000000001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173</v>
      </c>
      <c r="Y216" s="541">
        <f>IFERROR(SUM(Y206:Y214),"0")</f>
        <v>183.29999999999998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162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50</v>
      </c>
      <c r="Y218" s="540">
        <f>IFERROR(IF(X218="",0,CEILING((X218/$H218),1)*$H218),"")</f>
        <v>50.4</v>
      </c>
      <c r="Z218" s="36">
        <f>IFERROR(IF(Y218=0,"",ROUNDUP(Y218/H218,0)*0.00651),"")</f>
        <v>0.13671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55.25</v>
      </c>
      <c r="BN218" s="64">
        <f>IFERROR(Y218*I218/H218,"0")</f>
        <v>55.692</v>
      </c>
      <c r="BO218" s="64">
        <f>IFERROR(1/J218*(X218/H218),"0")</f>
        <v>0.11446886446886449</v>
      </c>
      <c r="BP218" s="64">
        <f>IFERROR(1/J218*(Y218/H218),"0")</f>
        <v>0.11538461538461539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20.833333333333336</v>
      </c>
      <c r="Y220" s="541">
        <f>IFERROR(Y218/H218,"0")+IFERROR(Y219/H219,"0")</f>
        <v>21</v>
      </c>
      <c r="Z220" s="541">
        <f>IFERROR(IF(Z218="",0,Z218),"0")+IFERROR(IF(Z219="",0,Z219),"0")</f>
        <v>0.13671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50</v>
      </c>
      <c r="Y221" s="541">
        <f>IFERROR(SUM(Y218:Y219),"0")</f>
        <v>50.4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134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2</v>
      </c>
      <c r="Y247" s="540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2</v>
      </c>
      <c r="Y248" s="540">
        <f>IFERROR(IF(X248="",0,CEILING((X248/$H248),1)*$H248),"")</f>
        <v>2.9699999999999998</v>
      </c>
      <c r="Z248" s="36">
        <f>IFERROR(IF(Y248=0,"",ROUNDUP(Y248/H248,0)*0.0059),"")</f>
        <v>1.77E-2</v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2.3838383838383836</v>
      </c>
      <c r="BN248" s="64">
        <f>IFERROR(Y248*I248/H248,"0")</f>
        <v>3.5399999999999996</v>
      </c>
      <c r="BO248" s="64">
        <f>IFERROR(1/J248*(X248/H248),"0")</f>
        <v>9.3527871305649091E-3</v>
      </c>
      <c r="BP248" s="64">
        <f>IFERROR(1/J248*(Y248/H248),"0")</f>
        <v>1.3888888888888886E-2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2</v>
      </c>
      <c r="Y249" s="540">
        <f>IFERROR(IF(X249="",0,CEILING((X249/$H249),1)*$H249),"")</f>
        <v>2.9699999999999998</v>
      </c>
      <c r="Z249" s="36">
        <f>IFERROR(IF(Y249=0,"",ROUNDUP(Y249/H249,0)*0.0059),"")</f>
        <v>1.77E-2</v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2.3838383838383836</v>
      </c>
      <c r="BN249" s="64">
        <f>IFERROR(Y249*I249/H249,"0")</f>
        <v>3.5399999999999996</v>
      </c>
      <c r="BO249" s="64">
        <f>IFERROR(1/J249*(X249/H249),"0")</f>
        <v>9.3527871305649091E-3</v>
      </c>
      <c r="BP249" s="64">
        <f>IFERROR(1/J249*(Y249/H249),"0")</f>
        <v>1.3888888888888886E-2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6.262626262626263</v>
      </c>
      <c r="Y250" s="541">
        <f>IFERROR(Y245/H245,"0")+IFERROR(Y246/H246,"0")+IFERROR(Y247/H247,"0")+IFERROR(Y248/H248,"0")+IFERROR(Y249/H249,"0")</f>
        <v>9</v>
      </c>
      <c r="Z250" s="541">
        <f>IFERROR(IF(Z245="",0,Z245),"0")+IFERROR(IF(Z246="",0,Z246),"0")+IFERROR(IF(Z247="",0,Z247),"0")+IFERROR(IF(Z248="",0,Z248),"0")+IFERROR(IF(Z249="",0,Z249),"0")</f>
        <v>5.3100000000000001E-2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6</v>
      </c>
      <c r="Y251" s="541">
        <f>IFERROR(SUM(Y245:Y249),"0")</f>
        <v>8.64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15</v>
      </c>
      <c r="Y272" s="540">
        <f>IFERROR(IF(X272="",0,CEILING((X272/$H272),1)*$H272),"")</f>
        <v>16.8</v>
      </c>
      <c r="Z272" s="36">
        <f>IFERROR(IF(Y272=0,"",ROUNDUP(Y272/H272,0)*0.00651),"")</f>
        <v>4.5569999999999999E-2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16.575000000000003</v>
      </c>
      <c r="BN272" s="64">
        <f>IFERROR(Y272*I272/H272,"0")</f>
        <v>18.564000000000004</v>
      </c>
      <c r="BO272" s="64">
        <f>IFERROR(1/J272*(X272/H272),"0")</f>
        <v>3.4340659340659344E-2</v>
      </c>
      <c r="BP272" s="64">
        <f>IFERROR(1/J272*(Y272/H272),"0")</f>
        <v>3.8461538461538471E-2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6.25</v>
      </c>
      <c r="Y274" s="541">
        <f>IFERROR(Y271/H271,"0")+IFERROR(Y272/H272,"0")+IFERROR(Y273/H273,"0")</f>
        <v>7.0000000000000009</v>
      </c>
      <c r="Z274" s="541">
        <f>IFERROR(IF(Z271="",0,Z271),"0")+IFERROR(IF(Z272="",0,Z272),"0")+IFERROR(IF(Z273="",0,Z273),"0")</f>
        <v>4.5569999999999999E-2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15</v>
      </c>
      <c r="Y275" s="541">
        <f>IFERROR(SUM(Y271:Y273),"0")</f>
        <v>16.8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162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5</v>
      </c>
      <c r="Y327" s="540">
        <f>IFERROR(IF(X327="",0,CEILING((X327/$H327),1)*$H327),"")</f>
        <v>6</v>
      </c>
      <c r="Z327" s="36">
        <f>IFERROR(IF(Y327=0,"",ROUNDUP(Y327/H327,0)*0.00474),"")</f>
        <v>1.422E-2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5.6000000000000005</v>
      </c>
      <c r="BN327" s="64">
        <f>IFERROR(Y327*I327/H327,"0")</f>
        <v>6.7200000000000006</v>
      </c>
      <c r="BO327" s="64">
        <f>IFERROR(1/J327*(X327/H327),"0")</f>
        <v>1.0504201680672268E-2</v>
      </c>
      <c r="BP327" s="64">
        <f>IFERROR(1/J327*(Y327/H327),"0")</f>
        <v>1.2605042016806723E-2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3</v>
      </c>
      <c r="Y328" s="540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3.3600000000000003</v>
      </c>
      <c r="BN328" s="64">
        <f>IFERROR(Y328*I328/H328,"0")</f>
        <v>4.4800000000000004</v>
      </c>
      <c r="BO328" s="64">
        <f>IFERROR(1/J328*(X328/H328),"0")</f>
        <v>6.3025210084033615E-3</v>
      </c>
      <c r="BP328" s="64">
        <f>IFERROR(1/J328*(Y328/H328),"0")</f>
        <v>8.4033613445378148E-3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5</v>
      </c>
      <c r="Y329" s="540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5.6000000000000005</v>
      </c>
      <c r="BN329" s="64">
        <f>IFERROR(Y329*I329/H329,"0")</f>
        <v>6.7200000000000006</v>
      </c>
      <c r="BO329" s="64">
        <f>IFERROR(1/J329*(X329/H329),"0")</f>
        <v>1.0504201680672268E-2</v>
      </c>
      <c r="BP329" s="64">
        <f>IFERROR(1/J329*(Y329/H329),"0")</f>
        <v>1.2605042016806723E-2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6.5</v>
      </c>
      <c r="Y330" s="541">
        <f>IFERROR(Y327/H327,"0")+IFERROR(Y328/H328,"0")+IFERROR(Y329/H329,"0")</f>
        <v>8</v>
      </c>
      <c r="Z330" s="541">
        <f>IFERROR(IF(Z327="",0,Z327),"0")+IFERROR(IF(Z328="",0,Z328),"0")+IFERROR(IF(Z329="",0,Z329),"0")</f>
        <v>3.7919999999999995E-2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13</v>
      </c>
      <c r="Y331" s="541">
        <f>IFERROR(SUM(Y327:Y329),"0")</f>
        <v>16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165</v>
      </c>
      <c r="Y342" s="540">
        <f t="shared" ref="Y342:Y348" si="31">IFERROR(IF(X342="",0,CEILING((X342/$H342),1)*$H342),"")</f>
        <v>165</v>
      </c>
      <c r="Z342" s="36">
        <f>IFERROR(IF(Y342=0,"",ROUNDUP(Y342/H342,0)*0.02175),"")</f>
        <v>0.23924999999999999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170.17000000000002</v>
      </c>
      <c r="BN342" s="64">
        <f t="shared" ref="BN342:BN348" si="33">IFERROR(Y342*I342/H342,"0")</f>
        <v>170.17000000000002</v>
      </c>
      <c r="BO342" s="64">
        <f t="shared" ref="BO342:BO348" si="34">IFERROR(1/J342*(X342/H342),"0")</f>
        <v>0.22916666666666666</v>
      </c>
      <c r="BP342" s="64">
        <f t="shared" ref="BP342:BP348" si="35">IFERROR(1/J342*(Y342/H342),"0")</f>
        <v>0.22916666666666666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93</v>
      </c>
      <c r="Y343" s="540">
        <f t="shared" si="31"/>
        <v>105</v>
      </c>
      <c r="Z343" s="36">
        <f>IFERROR(IF(Y343=0,"",ROUNDUP(Y343/H343,0)*0.02175),"")</f>
        <v>0.15225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95.914000000000001</v>
      </c>
      <c r="BN343" s="64">
        <f t="shared" si="33"/>
        <v>108.29</v>
      </c>
      <c r="BO343" s="64">
        <f t="shared" si="34"/>
        <v>0.12916666666666665</v>
      </c>
      <c r="BP343" s="64">
        <f t="shared" si="35"/>
        <v>0.14583333333333331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178</v>
      </c>
      <c r="Y344" s="540">
        <f t="shared" si="31"/>
        <v>180</v>
      </c>
      <c r="Z344" s="36">
        <f>IFERROR(IF(Y344=0,"",ROUNDUP(Y344/H344,0)*0.02175),"")</f>
        <v>0.26100000000000001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183.57733333333334</v>
      </c>
      <c r="BN344" s="64">
        <f t="shared" si="33"/>
        <v>185.64</v>
      </c>
      <c r="BO344" s="64">
        <f t="shared" si="34"/>
        <v>0.24722222222222223</v>
      </c>
      <c r="BP344" s="64">
        <f t="shared" si="35"/>
        <v>0.25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274</v>
      </c>
      <c r="Y345" s="540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282.58533333333332</v>
      </c>
      <c r="BN345" s="64">
        <f t="shared" si="33"/>
        <v>293.93</v>
      </c>
      <c r="BO345" s="64">
        <f t="shared" si="34"/>
        <v>0.38055555555555554</v>
      </c>
      <c r="BP345" s="64">
        <f t="shared" si="35"/>
        <v>0.39583333333333331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47.333333333333329</v>
      </c>
      <c r="Y349" s="541">
        <f>IFERROR(Y342/H342,"0")+IFERROR(Y343/H343,"0")+IFERROR(Y344/H344,"0")+IFERROR(Y345/H345,"0")+IFERROR(Y346/H346,"0")+IFERROR(Y347/H347,"0")+IFERROR(Y348/H348,"0")</f>
        <v>49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1.06575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710</v>
      </c>
      <c r="Y350" s="541">
        <f>IFERROR(SUM(Y342:Y348),"0")</f>
        <v>735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134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336</v>
      </c>
      <c r="Y352" s="540">
        <f>IFERROR(IF(X352="",0,CEILING((X352/$H352),1)*$H352),"")</f>
        <v>345</v>
      </c>
      <c r="Z352" s="36">
        <f>IFERROR(IF(Y352=0,"",ROUNDUP(Y352/H352,0)*0.02175),"")</f>
        <v>0.50024999999999997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346.52800000000002</v>
      </c>
      <c r="BN352" s="64">
        <f>IFERROR(Y352*I352/H352,"0")</f>
        <v>355.81000000000006</v>
      </c>
      <c r="BO352" s="64">
        <f>IFERROR(1/J352*(X352/H352),"0")</f>
        <v>0.46666666666666662</v>
      </c>
      <c r="BP352" s="64">
        <f>IFERROR(1/J352*(Y352/H352),"0")</f>
        <v>0.47916666666666663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22.4</v>
      </c>
      <c r="Y354" s="541">
        <f>IFERROR(Y352/H352,"0")+IFERROR(Y353/H353,"0")</f>
        <v>23</v>
      </c>
      <c r="Z354" s="541">
        <f>IFERROR(IF(Z352="",0,Z352),"0")+IFERROR(IF(Z353="",0,Z353),"0")</f>
        <v>0.50024999999999997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336</v>
      </c>
      <c r="Y355" s="541">
        <f>IFERROR(SUM(Y352:Y353),"0")</f>
        <v>345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162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109</v>
      </c>
      <c r="Y362" s="540">
        <f>IFERROR(IF(X362="",0,CEILING((X362/$H362),1)*$H362),"")</f>
        <v>117</v>
      </c>
      <c r="Z362" s="36">
        <f>IFERROR(IF(Y362=0,"",ROUNDUP(Y362/H362,0)*0.01898),"")</f>
        <v>0.24674000000000001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114.98288888888889</v>
      </c>
      <c r="BN362" s="64">
        <f>IFERROR(Y362*I362/H362,"0")</f>
        <v>123.422</v>
      </c>
      <c r="BO362" s="64">
        <f>IFERROR(1/J362*(X362/H362),"0")</f>
        <v>0.1892361111111111</v>
      </c>
      <c r="BP362" s="64">
        <f>IFERROR(1/J362*(Y362/H362),"0")</f>
        <v>0.203125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12.111111111111111</v>
      </c>
      <c r="Y363" s="541">
        <f>IFERROR(Y362/H362,"0")</f>
        <v>13</v>
      </c>
      <c r="Z363" s="541">
        <f>IFERROR(IF(Z362="",0,Z362),"0")</f>
        <v>0.24674000000000001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109</v>
      </c>
      <c r="Y364" s="541">
        <f>IFERROR(SUM(Y362:Y362),"0")</f>
        <v>117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17</v>
      </c>
      <c r="Y377" s="540">
        <f>IFERROR(IF(X377="",0,CEILING((X377/$H377),1)*$H377),"")</f>
        <v>18</v>
      </c>
      <c r="Z377" s="36">
        <f>IFERROR(IF(Y377=0,"",ROUNDUP(Y377/H377,0)*0.01898),"")</f>
        <v>3.7960000000000001E-2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17.93311111111111</v>
      </c>
      <c r="BN377" s="64">
        <f>IFERROR(Y377*I377/H377,"0")</f>
        <v>18.988</v>
      </c>
      <c r="BO377" s="64">
        <f>IFERROR(1/J377*(X377/H377),"0")</f>
        <v>2.9513888888888888E-2</v>
      </c>
      <c r="BP377" s="64">
        <f>IFERROR(1/J377*(Y377/H377),"0")</f>
        <v>3.125E-2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1.8888888888888888</v>
      </c>
      <c r="Y379" s="541">
        <f>IFERROR(Y377/H377,"0")+IFERROR(Y378/H378,"0")</f>
        <v>2</v>
      </c>
      <c r="Z379" s="541">
        <f>IFERROR(IF(Z377="",0,Z377),"0")+IFERROR(IF(Z378="",0,Z378),"0")</f>
        <v>3.7960000000000001E-2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17</v>
      </c>
      <c r="Y380" s="541">
        <f>IFERROR(SUM(Y377:Y378),"0")</f>
        <v>18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196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134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196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/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/>
      <c r="AK420" s="68">
        <v>0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7</v>
      </c>
      <c r="Y421" s="540">
        <f t="shared" si="42"/>
        <v>10.56</v>
      </c>
      <c r="Z421" s="36">
        <f t="shared" si="43"/>
        <v>2.392E-2</v>
      </c>
      <c r="AA421" s="56"/>
      <c r="AB421" s="57"/>
      <c r="AC421" s="461" t="s">
        <v>641</v>
      </c>
      <c r="AG421" s="64"/>
      <c r="AJ421" s="68"/>
      <c r="AK421" s="68">
        <v>0</v>
      </c>
      <c r="BB421" s="462" t="s">
        <v>1</v>
      </c>
      <c r="BM421" s="64">
        <f t="shared" si="44"/>
        <v>7.4640151515151505</v>
      </c>
      <c r="BN421" s="64">
        <f t="shared" si="45"/>
        <v>11.26</v>
      </c>
      <c r="BO421" s="64">
        <f t="shared" si="46"/>
        <v>1.2747668997668998E-2</v>
      </c>
      <c r="BP421" s="64">
        <f t="shared" si="47"/>
        <v>1.9230769230769232E-2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51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54.380681818181813</v>
      </c>
      <c r="BN422" s="64">
        <f t="shared" si="45"/>
        <v>56.3</v>
      </c>
      <c r="BO422" s="64">
        <f t="shared" si="46"/>
        <v>9.2875874125874128E-2</v>
      </c>
      <c r="BP422" s="64">
        <f t="shared" si="47"/>
        <v>9.6153846153846159E-2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112</v>
      </c>
      <c r="Y425" s="540">
        <f t="shared" si="42"/>
        <v>116.16000000000001</v>
      </c>
      <c r="Z425" s="36">
        <f t="shared" si="43"/>
        <v>0.26312000000000002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119.42424242424241</v>
      </c>
      <c r="BN425" s="64">
        <f t="shared" si="45"/>
        <v>123.86</v>
      </c>
      <c r="BO425" s="64">
        <f t="shared" si="46"/>
        <v>0.20396270396270397</v>
      </c>
      <c r="BP425" s="64">
        <f t="shared" si="47"/>
        <v>0.21153846153846156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32.196969696969695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0.40664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170</v>
      </c>
      <c r="Y432" s="541">
        <f>IFERROR(SUM(Y420:Y430),"0")</f>
        <v>179.52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134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19</v>
      </c>
      <c r="Y441" s="540">
        <f t="shared" si="48"/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20.259469696969695</v>
      </c>
      <c r="BN441" s="64">
        <f t="shared" si="50"/>
        <v>22.52</v>
      </c>
      <c r="BO441" s="64">
        <f t="shared" si="51"/>
        <v>3.4600815850815848E-2</v>
      </c>
      <c r="BP441" s="64">
        <f t="shared" si="52"/>
        <v>3.8461538461538464E-2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75</v>
      </c>
      <c r="Y442" s="540">
        <f t="shared" si="48"/>
        <v>79.2</v>
      </c>
      <c r="Z442" s="36">
        <f>IFERROR(IF(Y442=0,"",ROUNDUP(Y442/H442,0)*0.01196),"")</f>
        <v>0.1794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79.971590909090907</v>
      </c>
      <c r="BN442" s="64">
        <f t="shared" si="50"/>
        <v>84.45</v>
      </c>
      <c r="BO442" s="64">
        <f t="shared" si="51"/>
        <v>0.13658216783216784</v>
      </c>
      <c r="BP442" s="64">
        <f t="shared" si="52"/>
        <v>0.14423076923076925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17.803030303030301</v>
      </c>
      <c r="Y446" s="541">
        <f>IFERROR(Y440/H440,"0")+IFERROR(Y441/H441,"0")+IFERROR(Y442/H442,"0")+IFERROR(Y443/H443,"0")+IFERROR(Y444/H444,"0")+IFERROR(Y445/H445,"0")</f>
        <v>19</v>
      </c>
      <c r="Z446" s="541">
        <f>IFERROR(IF(Z440="",0,Z440),"0")+IFERROR(IF(Z441="",0,Z441),"0")+IFERROR(IF(Z442="",0,Z442),"0")+IFERROR(IF(Z443="",0,Z443),"0")+IFERROR(IF(Z444="",0,Z444),"0")+IFERROR(IF(Z445="",0,Z445),"0")</f>
        <v>0.22724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94</v>
      </c>
      <c r="Y447" s="541">
        <f>IFERROR(SUM(Y440:Y445),"0")</f>
        <v>100.32000000000001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134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162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134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2590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2704.8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2714.0155599119039</v>
      </c>
      <c r="Y489" s="541">
        <f>IFERROR(SUM(BN22:BN485),"0")</f>
        <v>2835.1400000000003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2839.0155599119039</v>
      </c>
      <c r="Y491" s="541">
        <f>GrossWeightTotalR+PalletQtyTotalR*25</f>
        <v>2960.1400000000003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435.85450779933529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457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5.0834100000000007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115</v>
      </c>
      <c r="E496" s="571" t="s">
        <v>169</v>
      </c>
      <c r="F496" s="571" t="s">
        <v>188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3.7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11.2</v>
      </c>
      <c r="E498" s="46">
        <f>IFERROR(Y85*1,"0")+IFERROR(Y86*1,"0")+IFERROR(Y87*1,"0")+IFERROR(Y91*1,"0")+IFERROR(Y92*1,"0")+IFERROR(Y93*1,"0")+IFERROR(Y94*1,"0")</f>
        <v>16.2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88.5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475.02000000000004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573.9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8.64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16.8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1197</v>
      </c>
      <c r="T498" s="46">
        <f>IFERROR(Y367*1,"0")+IFERROR(Y368*1,"0")+IFERROR(Y372*1,"0")+IFERROR(Y373*1,"0")+IFERROR(Y377*1,"0")+IFERROR(Y378*1,"0")</f>
        <v>18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279.84000000000003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EBwFBYjcp4rneCbUpXQs+8phKao44vunN6EMKMfpwFVT1JEn8zZGlPV0UZhHNhvdoADKZSWXHB6cD9/vaCGODQ==" saltValue="IcbKnE9H0wnfHo6SaO9WB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0,54"/>
        <filter val="0,79"/>
        <filter val="1,00"/>
        <filter val="1,11"/>
        <filter val="1,67"/>
        <filter val="1,89"/>
        <filter val="108,00"/>
        <filter val="109,00"/>
        <filter val="11,00"/>
        <filter val="112,00"/>
        <filter val="12,11"/>
        <filter val="128,33"/>
        <filter val="13,00"/>
        <filter val="15,00"/>
        <filter val="161,00"/>
        <filter val="165,00"/>
        <filter val="17,00"/>
        <filter val="17,80"/>
        <filter val="170,00"/>
        <filter val="173,00"/>
        <filter val="178,00"/>
        <filter val="181,00"/>
        <filter val="19,00"/>
        <filter val="2 590,00"/>
        <filter val="2 714,02"/>
        <filter val="2 839,02"/>
        <filter val="2,00"/>
        <filter val="2,96"/>
        <filter val="20,83"/>
        <filter val="206,00"/>
        <filter val="22,40"/>
        <filter val="23,00"/>
        <filter val="24,00"/>
        <filter val="274,00"/>
        <filter val="3,00"/>
        <filter val="32,00"/>
        <filter val="32,20"/>
        <filter val="33,00"/>
        <filter val="334,00"/>
        <filter val="336,00"/>
        <filter val="4,00"/>
        <filter val="43,00"/>
        <filter val="435,85"/>
        <filter val="45,00"/>
        <filter val="463,00"/>
        <filter val="47,33"/>
        <filter val="5"/>
        <filter val="5,00"/>
        <filter val="50,00"/>
        <filter val="51,00"/>
        <filter val="54,00"/>
        <filter val="55,00"/>
        <filter val="55,79"/>
        <filter val="6,00"/>
        <filter val="6,25"/>
        <filter val="6,26"/>
        <filter val="6,50"/>
        <filter val="61,85"/>
        <filter val="65,00"/>
        <filter val="7,00"/>
        <filter val="710,00"/>
        <filter val="75,00"/>
        <filter val="8,00"/>
        <filter val="8,07"/>
        <filter val="9,00"/>
        <filter val="93,00"/>
        <filter val="94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2 X164:X165 X195:X196 X198 X209 X211:X214 X272:X273 X315 X342:X344 X352 X377 X384 X406 X422 X425 X434 X440:X442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L6pMm1EaHfvFL94twIC9cuGr9eeFhP1EgB2yiLlXmWjVtc2olD3T8gbICCxtq2ojwOeeCvLERTMJmLo6b32VIA==" saltValue="18EDnv8cUKRvqnp7kx872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