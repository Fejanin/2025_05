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EE3E47F-2AAA-4EC5-9DA5-40A3A1E2562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Y474" i="1" s="1"/>
  <c r="P471" i="1"/>
  <c r="X469" i="1"/>
  <c r="X468" i="1"/>
  <c r="BO467" i="1"/>
  <c r="BM467" i="1"/>
  <c r="Y467" i="1"/>
  <c r="BP467" i="1" s="1"/>
  <c r="P467" i="1"/>
  <c r="BO466" i="1"/>
  <c r="BM466" i="1"/>
  <c r="Y466" i="1"/>
  <c r="P466" i="1"/>
  <c r="BO465" i="1"/>
  <c r="BM465" i="1"/>
  <c r="Y465" i="1"/>
  <c r="Y468" i="1" s="1"/>
  <c r="P465" i="1"/>
  <c r="X463" i="1"/>
  <c r="X462" i="1"/>
  <c r="BO461" i="1"/>
  <c r="BM461" i="1"/>
  <c r="Y461" i="1"/>
  <c r="BP461" i="1" s="1"/>
  <c r="P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O458" i="1"/>
  <c r="BM458" i="1"/>
  <c r="Y458" i="1"/>
  <c r="P458" i="1"/>
  <c r="X454" i="1"/>
  <c r="X453" i="1"/>
  <c r="BO452" i="1"/>
  <c r="BM452" i="1"/>
  <c r="Y452" i="1"/>
  <c r="BP452" i="1" s="1"/>
  <c r="P452" i="1"/>
  <c r="BO451" i="1"/>
  <c r="BM451" i="1"/>
  <c r="Y451" i="1"/>
  <c r="BP451" i="1" s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BP442" i="1" s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BP422" i="1" s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Y412" i="1" s="1"/>
  <c r="P407" i="1"/>
  <c r="X405" i="1"/>
  <c r="X404" i="1"/>
  <c r="BO403" i="1"/>
  <c r="BM403" i="1"/>
  <c r="Y403" i="1"/>
  <c r="V499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BP391" i="1" s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O385" i="1"/>
  <c r="BM385" i="1"/>
  <c r="Y385" i="1"/>
  <c r="P385" i="1"/>
  <c r="X381" i="1"/>
  <c r="X380" i="1"/>
  <c r="BO379" i="1"/>
  <c r="BM379" i="1"/>
  <c r="Y379" i="1"/>
  <c r="BP379" i="1" s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O358" i="1"/>
  <c r="BM358" i="1"/>
  <c r="Y358" i="1"/>
  <c r="P358" i="1"/>
  <c r="X356" i="1"/>
  <c r="X355" i="1"/>
  <c r="BO354" i="1"/>
  <c r="BM354" i="1"/>
  <c r="Y354" i="1"/>
  <c r="BP354" i="1" s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BP294" i="1" s="1"/>
  <c r="P294" i="1"/>
  <c r="BO293" i="1"/>
  <c r="BM293" i="1"/>
  <c r="Y293" i="1"/>
  <c r="Z293" i="1" s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Q499" i="1" s="1"/>
  <c r="P290" i="1"/>
  <c r="X287" i="1"/>
  <c r="X286" i="1"/>
  <c r="BO285" i="1"/>
  <c r="BM285" i="1"/>
  <c r="Y285" i="1"/>
  <c r="BP285" i="1" s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BP219" i="1" s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F10" i="1" s="1"/>
  <c r="D7" i="1"/>
  <c r="Q6" i="1"/>
  <c r="P2" i="1"/>
  <c r="Z41" i="1" l="1"/>
  <c r="BN41" i="1"/>
  <c r="D499" i="1"/>
  <c r="Z60" i="1"/>
  <c r="BN60" i="1"/>
  <c r="Z72" i="1"/>
  <c r="BN72" i="1"/>
  <c r="Z87" i="1"/>
  <c r="BN87" i="1"/>
  <c r="Z106" i="1"/>
  <c r="BN106" i="1"/>
  <c r="Z125" i="1"/>
  <c r="BN125" i="1"/>
  <c r="Z142" i="1"/>
  <c r="BN142" i="1"/>
  <c r="Z164" i="1"/>
  <c r="BN164" i="1"/>
  <c r="Z176" i="1"/>
  <c r="BN176" i="1"/>
  <c r="Z199" i="1"/>
  <c r="BN199" i="1"/>
  <c r="Z209" i="1"/>
  <c r="BN209" i="1"/>
  <c r="Z219" i="1"/>
  <c r="BN219" i="1"/>
  <c r="Y222" i="1"/>
  <c r="Z232" i="1"/>
  <c r="BN232" i="1"/>
  <c r="Z256" i="1"/>
  <c r="BN256" i="1"/>
  <c r="Z272" i="1"/>
  <c r="BN272" i="1"/>
  <c r="Z303" i="1"/>
  <c r="BN303" i="1"/>
  <c r="Z317" i="1"/>
  <c r="BN317" i="1"/>
  <c r="Z324" i="1"/>
  <c r="BN324" i="1"/>
  <c r="Z337" i="1"/>
  <c r="BN337" i="1"/>
  <c r="Z354" i="1"/>
  <c r="BN354" i="1"/>
  <c r="Z379" i="1"/>
  <c r="BN379" i="1"/>
  <c r="Z391" i="1"/>
  <c r="BN391" i="1"/>
  <c r="Z410" i="1"/>
  <c r="BN410" i="1"/>
  <c r="Z426" i="1"/>
  <c r="BN426" i="1"/>
  <c r="Z442" i="1"/>
  <c r="BN442" i="1"/>
  <c r="Z452" i="1"/>
  <c r="BN452" i="1"/>
  <c r="Z472" i="1"/>
  <c r="BN472" i="1"/>
  <c r="BP102" i="1"/>
  <c r="BN102" i="1"/>
  <c r="Z102" i="1"/>
  <c r="BP114" i="1"/>
  <c r="BN114" i="1"/>
  <c r="Z114" i="1"/>
  <c r="BP140" i="1"/>
  <c r="BN140" i="1"/>
  <c r="Z140" i="1"/>
  <c r="Y172" i="1"/>
  <c r="BP162" i="1"/>
  <c r="BN162" i="1"/>
  <c r="Z162" i="1"/>
  <c r="BP170" i="1"/>
  <c r="BN170" i="1"/>
  <c r="Z170" i="1"/>
  <c r="BP197" i="1"/>
  <c r="BN197" i="1"/>
  <c r="Z197" i="1"/>
  <c r="Y217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67" i="1"/>
  <c r="BN267" i="1"/>
  <c r="Z267" i="1"/>
  <c r="BP291" i="1"/>
  <c r="BN291" i="1"/>
  <c r="Z291" i="1"/>
  <c r="B499" i="1"/>
  <c r="X491" i="1"/>
  <c r="X492" i="1" s="1"/>
  <c r="X489" i="1"/>
  <c r="Y31" i="1"/>
  <c r="Z29" i="1"/>
  <c r="BN29" i="1"/>
  <c r="C499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Z91" i="1"/>
  <c r="BN91" i="1"/>
  <c r="BP91" i="1"/>
  <c r="BP93" i="1"/>
  <c r="BN93" i="1"/>
  <c r="Z93" i="1"/>
  <c r="BP108" i="1"/>
  <c r="BN108" i="1"/>
  <c r="Z108" i="1"/>
  <c r="Y131" i="1"/>
  <c r="BP129" i="1"/>
  <c r="BN129" i="1"/>
  <c r="Z129" i="1"/>
  <c r="Y150" i="1"/>
  <c r="BP146" i="1"/>
  <c r="BN146" i="1"/>
  <c r="Z146" i="1"/>
  <c r="BP166" i="1"/>
  <c r="BN166" i="1"/>
  <c r="Z166" i="1"/>
  <c r="BP187" i="1"/>
  <c r="BN187" i="1"/>
  <c r="Z187" i="1"/>
  <c r="BP201" i="1"/>
  <c r="BN201" i="1"/>
  <c r="Z201" i="1"/>
  <c r="BP211" i="1"/>
  <c r="BN211" i="1"/>
  <c r="Z211" i="1"/>
  <c r="K499" i="1"/>
  <c r="BP226" i="1"/>
  <c r="BN226" i="1"/>
  <c r="Z226" i="1"/>
  <c r="BP234" i="1"/>
  <c r="BN234" i="1"/>
  <c r="Z234" i="1"/>
  <c r="BP258" i="1"/>
  <c r="BN258" i="1"/>
  <c r="Z258" i="1"/>
  <c r="BP274" i="1"/>
  <c r="BN274" i="1"/>
  <c r="Z274" i="1"/>
  <c r="BP309" i="1"/>
  <c r="BN309" i="1"/>
  <c r="Z309" i="1"/>
  <c r="Y326" i="1"/>
  <c r="BP321" i="1"/>
  <c r="BN321" i="1"/>
  <c r="Z321" i="1"/>
  <c r="Y332" i="1"/>
  <c r="BP328" i="1"/>
  <c r="BN328" i="1"/>
  <c r="Z328" i="1"/>
  <c r="Y351" i="1"/>
  <c r="BP343" i="1"/>
  <c r="BN343" i="1"/>
  <c r="Z343" i="1"/>
  <c r="Y360" i="1"/>
  <c r="BP358" i="1"/>
  <c r="BN358" i="1"/>
  <c r="Z358" i="1"/>
  <c r="Y394" i="1"/>
  <c r="BP385" i="1"/>
  <c r="BN385" i="1"/>
  <c r="Z385" i="1"/>
  <c r="BP393" i="1"/>
  <c r="BN393" i="1"/>
  <c r="Z393" i="1"/>
  <c r="W499" i="1"/>
  <c r="Y416" i="1"/>
  <c r="BP415" i="1"/>
  <c r="BN415" i="1"/>
  <c r="Z415" i="1"/>
  <c r="Z416" i="1" s="1"/>
  <c r="Y433" i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F499" i="1"/>
  <c r="Y110" i="1"/>
  <c r="Y116" i="1"/>
  <c r="G499" i="1"/>
  <c r="I499" i="1"/>
  <c r="Y193" i="1"/>
  <c r="Y216" i="1"/>
  <c r="Y221" i="1"/>
  <c r="Y286" i="1"/>
  <c r="BP293" i="1"/>
  <c r="BN293" i="1"/>
  <c r="BP301" i="1"/>
  <c r="BN301" i="1"/>
  <c r="Z301" i="1"/>
  <c r="Y319" i="1"/>
  <c r="BP315" i="1"/>
  <c r="BN315" i="1"/>
  <c r="Z315" i="1"/>
  <c r="BP322" i="1"/>
  <c r="BN322" i="1"/>
  <c r="Z322" i="1"/>
  <c r="Y338" i="1"/>
  <c r="BP335" i="1"/>
  <c r="BN335" i="1"/>
  <c r="Z335" i="1"/>
  <c r="BP348" i="1"/>
  <c r="BN348" i="1"/>
  <c r="Z348" i="1"/>
  <c r="Y375" i="1"/>
  <c r="BP373" i="1"/>
  <c r="BN373" i="1"/>
  <c r="Z373" i="1"/>
  <c r="BP389" i="1"/>
  <c r="BN389" i="1"/>
  <c r="Z389" i="1"/>
  <c r="BP408" i="1"/>
  <c r="BN408" i="1"/>
  <c r="Z408" i="1"/>
  <c r="BP424" i="1"/>
  <c r="BN424" i="1"/>
  <c r="Z424" i="1"/>
  <c r="BP436" i="1"/>
  <c r="BN436" i="1"/>
  <c r="Z436" i="1"/>
  <c r="Y454" i="1"/>
  <c r="BP450" i="1"/>
  <c r="BN450" i="1"/>
  <c r="Z450" i="1"/>
  <c r="BP466" i="1"/>
  <c r="BN466" i="1"/>
  <c r="Z466" i="1"/>
  <c r="Y305" i="1"/>
  <c r="T499" i="1"/>
  <c r="Y399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8" i="1"/>
  <c r="BP175" i="1"/>
  <c r="BN175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BP198" i="1"/>
  <c r="BN198" i="1"/>
  <c r="Z198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9" i="1"/>
  <c r="Z86" i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BN130" i="1"/>
  <c r="Z134" i="1"/>
  <c r="Z136" i="1" s="1"/>
  <c r="BN134" i="1"/>
  <c r="BP134" i="1"/>
  <c r="H499" i="1"/>
  <c r="Z141" i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Z175" i="1"/>
  <c r="Z178" i="1" s="1"/>
  <c r="Y188" i="1"/>
  <c r="BP192" i="1"/>
  <c r="BN192" i="1"/>
  <c r="Z192" i="1"/>
  <c r="Z193" i="1" s="1"/>
  <c r="Y194" i="1"/>
  <c r="Y204" i="1"/>
  <c r="Y205" i="1"/>
  <c r="BP196" i="1"/>
  <c r="BN196" i="1"/>
  <c r="Z196" i="1"/>
  <c r="BP200" i="1"/>
  <c r="BN200" i="1"/>
  <c r="Z200" i="1"/>
  <c r="Z202" i="1"/>
  <c r="BN202" i="1"/>
  <c r="Z208" i="1"/>
  <c r="Z216" i="1" s="1"/>
  <c r="BN208" i="1"/>
  <c r="BP208" i="1"/>
  <c r="Z210" i="1"/>
  <c r="BN210" i="1"/>
  <c r="Z212" i="1"/>
  <c r="BN212" i="1"/>
  <c r="Z214" i="1"/>
  <c r="BN214" i="1"/>
  <c r="Z220" i="1"/>
  <c r="BN220" i="1"/>
  <c r="BP220" i="1"/>
  <c r="Z225" i="1"/>
  <c r="Z235" i="1" s="1"/>
  <c r="BN225" i="1"/>
  <c r="BP225" i="1"/>
  <c r="Z227" i="1"/>
  <c r="BN227" i="1"/>
  <c r="Z229" i="1"/>
  <c r="BN229" i="1"/>
  <c r="Z231" i="1"/>
  <c r="BN231" i="1"/>
  <c r="Z233" i="1"/>
  <c r="BN233" i="1"/>
  <c r="Y236" i="1"/>
  <c r="Y251" i="1"/>
  <c r="Z247" i="1"/>
  <c r="BN247" i="1"/>
  <c r="Z249" i="1"/>
  <c r="BN249" i="1"/>
  <c r="BP250" i="1"/>
  <c r="BN250" i="1"/>
  <c r="Z250" i="1"/>
  <c r="Y252" i="1"/>
  <c r="L499" i="1"/>
  <c r="Y260" i="1"/>
  <c r="BP255" i="1"/>
  <c r="BN255" i="1"/>
  <c r="Z255" i="1"/>
  <c r="BP259" i="1"/>
  <c r="BN259" i="1"/>
  <c r="Z259" i="1"/>
  <c r="Y261" i="1"/>
  <c r="M499" i="1"/>
  <c r="Y269" i="1"/>
  <c r="BP264" i="1"/>
  <c r="BN264" i="1"/>
  <c r="Z264" i="1"/>
  <c r="Y268" i="1"/>
  <c r="Y235" i="1"/>
  <c r="BP257" i="1"/>
  <c r="BN257" i="1"/>
  <c r="Z257" i="1"/>
  <c r="Z281" i="1"/>
  <c r="Y275" i="1"/>
  <c r="Y282" i="1"/>
  <c r="Y287" i="1"/>
  <c r="Y296" i="1"/>
  <c r="Y306" i="1"/>
  <c r="Y312" i="1"/>
  <c r="Y318" i="1"/>
  <c r="Y325" i="1"/>
  <c r="Y331" i="1"/>
  <c r="Y355" i="1"/>
  <c r="Y361" i="1"/>
  <c r="Y365" i="1"/>
  <c r="Y370" i="1"/>
  <c r="Y376" i="1"/>
  <c r="Y380" i="1"/>
  <c r="Y400" i="1"/>
  <c r="Y405" i="1"/>
  <c r="Y411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Z266" i="1"/>
  <c r="BN266" i="1"/>
  <c r="O499" i="1"/>
  <c r="Z273" i="1"/>
  <c r="BN273" i="1"/>
  <c r="Y276" i="1"/>
  <c r="P499" i="1"/>
  <c r="Z280" i="1"/>
  <c r="BN280" i="1"/>
  <c r="Y281" i="1"/>
  <c r="Z285" i="1"/>
  <c r="Z286" i="1" s="1"/>
  <c r="BN285" i="1"/>
  <c r="Z290" i="1"/>
  <c r="Z295" i="1" s="1"/>
  <c r="BN290" i="1"/>
  <c r="BP290" i="1"/>
  <c r="Z292" i="1"/>
  <c r="BN292" i="1"/>
  <c r="Z294" i="1"/>
  <c r="BN294" i="1"/>
  <c r="Y295" i="1"/>
  <c r="Z298" i="1"/>
  <c r="Z305" i="1" s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3" i="1"/>
  <c r="Z325" i="1" s="1"/>
  <c r="BN323" i="1"/>
  <c r="Z329" i="1"/>
  <c r="Z331" i="1" s="1"/>
  <c r="BN329" i="1"/>
  <c r="R499" i="1"/>
  <c r="Z336" i="1"/>
  <c r="BN336" i="1"/>
  <c r="Y339" i="1"/>
  <c r="S499" i="1"/>
  <c r="Z344" i="1"/>
  <c r="BN344" i="1"/>
  <c r="Z347" i="1"/>
  <c r="BN347" i="1"/>
  <c r="Z349" i="1"/>
  <c r="BN349" i="1"/>
  <c r="Y350" i="1"/>
  <c r="Z353" i="1"/>
  <c r="Z355" i="1" s="1"/>
  <c r="BN353" i="1"/>
  <c r="BP353" i="1"/>
  <c r="Z359" i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0" i="1" s="1"/>
  <c r="BN378" i="1"/>
  <c r="BP378" i="1"/>
  <c r="U499" i="1"/>
  <c r="Z386" i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BN407" i="1"/>
  <c r="BP407" i="1"/>
  <c r="Z409" i="1"/>
  <c r="BN409" i="1"/>
  <c r="Y417" i="1"/>
  <c r="X499" i="1"/>
  <c r="Y432" i="1"/>
  <c r="Z422" i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Y453" i="1"/>
  <c r="Y463" i="1"/>
  <c r="Y469" i="1"/>
  <c r="Y473" i="1"/>
  <c r="Y483" i="1"/>
  <c r="Y488" i="1"/>
  <c r="Y499" i="1"/>
  <c r="Z445" i="1"/>
  <c r="BN445" i="1"/>
  <c r="Z451" i="1"/>
  <c r="BN451" i="1"/>
  <c r="Z459" i="1"/>
  <c r="BN459" i="1"/>
  <c r="Z461" i="1"/>
  <c r="BN461" i="1"/>
  <c r="Z465" i="1"/>
  <c r="BN465" i="1"/>
  <c r="BP465" i="1"/>
  <c r="Z467" i="1"/>
  <c r="BN467" i="1"/>
  <c r="Z471" i="1"/>
  <c r="Z473" i="1" s="1"/>
  <c r="BN471" i="1"/>
  <c r="BP471" i="1"/>
  <c r="Z481" i="1"/>
  <c r="BN481" i="1"/>
  <c r="Z486" i="1"/>
  <c r="Z487" i="1" s="1"/>
  <c r="BN486" i="1"/>
  <c r="BP486" i="1"/>
  <c r="Y487" i="1"/>
  <c r="Z482" i="1" l="1"/>
  <c r="Z453" i="1"/>
  <c r="Z275" i="1"/>
  <c r="Z221" i="1"/>
  <c r="Z109" i="1"/>
  <c r="Z394" i="1"/>
  <c r="Z116" i="1"/>
  <c r="Z95" i="1"/>
  <c r="Z468" i="1"/>
  <c r="Z462" i="1"/>
  <c r="Z432" i="1"/>
  <c r="Z360" i="1"/>
  <c r="Z350" i="1"/>
  <c r="Z338" i="1"/>
  <c r="Z251" i="1"/>
  <c r="Z172" i="1"/>
  <c r="Z143" i="1"/>
  <c r="Z131" i="1"/>
  <c r="Z88" i="1"/>
  <c r="Z76" i="1"/>
  <c r="Z63" i="1"/>
  <c r="Z57" i="1"/>
  <c r="Z411" i="1"/>
  <c r="Z312" i="1"/>
  <c r="Z260" i="1"/>
  <c r="Z103" i="1"/>
  <c r="Z43" i="1"/>
  <c r="Z31" i="1"/>
  <c r="Y491" i="1"/>
  <c r="Z447" i="1"/>
  <c r="Z438" i="1"/>
  <c r="Z268" i="1"/>
  <c r="Z204" i="1"/>
  <c r="Y493" i="1"/>
  <c r="Y490" i="1"/>
  <c r="Y492" i="1" s="1"/>
  <c r="Y489" i="1"/>
  <c r="Z494" i="1" l="1"/>
</calcChain>
</file>

<file path=xl/sharedStrings.xml><?xml version="1.0" encoding="utf-8"?>
<sst xmlns="http://schemas.openxmlformats.org/spreadsheetml/2006/main" count="2283" uniqueCount="768">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</sst>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45983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0.45833333333333331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35</v>
      </c>
      <c r="Y40" s="542">
        <f>IFERROR(IF(X40="",0,CEILING((X40/$H40),1)*$H40),"")</f>
        <v>43.2</v>
      </c>
      <c r="Z40" s="36">
        <f>IFERROR(IF(Y40=0,"",ROUNDUP(Y40/H40,0)*0.01898),"")</f>
        <v>7.5920000000000001E-2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36.328703703703702</v>
      </c>
      <c r="BN40" s="64">
        <f>IFERROR(Y40*I40/H40,"0")</f>
        <v>44.84</v>
      </c>
      <c r="BO40" s="64">
        <f>IFERROR(1/J40*(X40/H40),"0")</f>
        <v>5.063657407407407E-2</v>
      </c>
      <c r="BP40" s="64">
        <f>IFERROR(1/J40*(Y40/H40),"0")</f>
        <v>6.25E-2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3.2407407407407405</v>
      </c>
      <c r="Y43" s="543">
        <f>IFERROR(Y40/H40,"0")+IFERROR(Y41/H41,"0")+IFERROR(Y42/H42,"0")</f>
        <v>4</v>
      </c>
      <c r="Z43" s="543">
        <f>IFERROR(IF(Z40="",0,Z40),"0")+IFERROR(IF(Z41="",0,Z41),"0")+IFERROR(IF(Z42="",0,Z42),"0")</f>
        <v>7.5920000000000001E-2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35</v>
      </c>
      <c r="Y44" s="543">
        <f>IFERROR(SUM(Y40:Y42),"0")</f>
        <v>43.2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254</v>
      </c>
      <c r="Y52" s="542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263.64259259259256</v>
      </c>
      <c r="BN52" s="64">
        <f t="shared" si="2"/>
        <v>269.04000000000002</v>
      </c>
      <c r="BO52" s="64">
        <f t="shared" si="3"/>
        <v>0.3674768518518518</v>
      </c>
      <c r="BP52" s="64">
        <f t="shared" si="4"/>
        <v>0.37500000000000006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60</v>
      </c>
      <c r="Y54" s="542">
        <f t="shared" si="0"/>
        <v>60</v>
      </c>
      <c r="Z54" s="36">
        <f>IFERROR(IF(Y54=0,"",ROUNDUP(Y54/H54,0)*0.00902),"")</f>
        <v>0.1353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62.850000000000009</v>
      </c>
      <c r="BN54" s="64">
        <f t="shared" si="2"/>
        <v>62.850000000000009</v>
      </c>
      <c r="BO54" s="64">
        <f t="shared" si="3"/>
        <v>0.11363636363636365</v>
      </c>
      <c r="BP54" s="64">
        <f t="shared" si="4"/>
        <v>0.11363636363636365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38.518518518518519</v>
      </c>
      <c r="Y57" s="543">
        <f>IFERROR(Y51/H51,"0")+IFERROR(Y52/H52,"0")+IFERROR(Y53/H53,"0")+IFERROR(Y54/H54,"0")+IFERROR(Y55/H55,"0")+IFERROR(Y56/H56,"0")</f>
        <v>39</v>
      </c>
      <c r="Z57" s="543">
        <f>IFERROR(IF(Z51="",0,Z51),"0")+IFERROR(IF(Z52="",0,Z52),"0")+IFERROR(IF(Z53="",0,Z53),"0")+IFERROR(IF(Z54="",0,Z54),"0")+IFERROR(IF(Z55="",0,Z55),"0")+IFERROR(IF(Z56="",0,Z56),"0")</f>
        <v>0.59082000000000001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314</v>
      </c>
      <c r="Y58" s="543">
        <f>IFERROR(SUM(Y51:Y56),"0")</f>
        <v>319.20000000000005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58</v>
      </c>
      <c r="Y60" s="542">
        <f>IFERROR(IF(X60="",0,CEILING((X60/$H60),1)*$H60),"")</f>
        <v>64.800000000000011</v>
      </c>
      <c r="Z60" s="36">
        <f>IFERROR(IF(Y60=0,"",ROUNDUP(Y60/H60,0)*0.01898),"")</f>
        <v>0.11388000000000001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60.201851851851856</v>
      </c>
      <c r="BN60" s="64">
        <f>IFERROR(Y60*I60/H60,"0")</f>
        <v>67.260000000000005</v>
      </c>
      <c r="BO60" s="64">
        <f>IFERROR(1/J60*(X60/H60),"0")</f>
        <v>8.3912037037037035E-2</v>
      </c>
      <c r="BP60" s="64">
        <f>IFERROR(1/J60*(Y60/H60),"0")</f>
        <v>9.3750000000000014E-2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5.3703703703703702</v>
      </c>
      <c r="Y63" s="543">
        <f>IFERROR(Y60/H60,"0")+IFERROR(Y61/H61,"0")+IFERROR(Y62/H62,"0")</f>
        <v>6.0000000000000009</v>
      </c>
      <c r="Z63" s="543">
        <f>IFERROR(IF(Z60="",0,Z60),"0")+IFERROR(IF(Z61="",0,Z61),"0")+IFERROR(IF(Z62="",0,Z62),"0")</f>
        <v>0.11388000000000001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58</v>
      </c>
      <c r="Y64" s="543">
        <f>IFERROR(SUM(Y60:Y62),"0")</f>
        <v>64.800000000000011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86</v>
      </c>
      <c r="Y85" s="542">
        <f>IFERROR(IF(X85="",0,CEILING((X85/$H85),1)*$H85),"")</f>
        <v>86.4</v>
      </c>
      <c r="Z85" s="36">
        <f>IFERROR(IF(Y85=0,"",ROUNDUP(Y85/H85,0)*0.01898),"")</f>
        <v>0.15184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89.264814814814812</v>
      </c>
      <c r="BN85" s="64">
        <f>IFERROR(Y85*I85/H85,"0")</f>
        <v>89.68</v>
      </c>
      <c r="BO85" s="64">
        <f>IFERROR(1/J85*(X85/H85),"0")</f>
        <v>0.12442129629629629</v>
      </c>
      <c r="BP85" s="64">
        <f>IFERROR(1/J85*(Y85/H85),"0")</f>
        <v>0.125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12</v>
      </c>
      <c r="Y87" s="542">
        <f>IFERROR(IF(X87="",0,CEILING((X87/$H87),1)*$H87),"")</f>
        <v>13.5</v>
      </c>
      <c r="Z87" s="36">
        <f>IFERROR(IF(Y87=0,"",ROUNDUP(Y87/H87,0)*0.00902),"")</f>
        <v>2.7060000000000001E-2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12.506666666666668</v>
      </c>
      <c r="BN87" s="64">
        <f>IFERROR(Y87*I87/H87,"0")</f>
        <v>14.07</v>
      </c>
      <c r="BO87" s="64">
        <f>IFERROR(1/J87*(X87/H87),"0")</f>
        <v>2.02020202020202E-2</v>
      </c>
      <c r="BP87" s="64">
        <f>IFERROR(1/J87*(Y87/H87),"0")</f>
        <v>2.2727272727272728E-2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10.62962962962963</v>
      </c>
      <c r="Y88" s="543">
        <f>IFERROR(Y85/H85,"0")+IFERROR(Y86/H86,"0")+IFERROR(Y87/H87,"0")</f>
        <v>11</v>
      </c>
      <c r="Z88" s="543">
        <f>IFERROR(IF(Z85="",0,Z85),"0")+IFERROR(IF(Z86="",0,Z86),"0")+IFERROR(IF(Z87="",0,Z87),"0")</f>
        <v>0.1789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98</v>
      </c>
      <c r="Y89" s="543">
        <f>IFERROR(SUM(Y85:Y87),"0")</f>
        <v>99.9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54</v>
      </c>
      <c r="Y93" s="542">
        <f>IFERROR(IF(X93="",0,CEILING((X93/$H93),1)*$H93),"")</f>
        <v>54</v>
      </c>
      <c r="Z93" s="36">
        <f>IFERROR(IF(Y93=0,"",ROUNDUP(Y93/H93,0)*0.00651),"")</f>
        <v>0.13020000000000001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59.039999999999992</v>
      </c>
      <c r="BN93" s="64">
        <f>IFERROR(Y93*I93/H93,"0")</f>
        <v>59.039999999999992</v>
      </c>
      <c r="BO93" s="64">
        <f>IFERROR(1/J93*(X93/H93),"0")</f>
        <v>0.1098901098901099</v>
      </c>
      <c r="BP93" s="64">
        <f>IFERROR(1/J93*(Y93/H93),"0")</f>
        <v>0.1098901098901099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20</v>
      </c>
      <c r="Y95" s="543">
        <f>IFERROR(Y91/H91,"0")+IFERROR(Y92/H92,"0")+IFERROR(Y93/H93,"0")+IFERROR(Y94/H94,"0")</f>
        <v>20</v>
      </c>
      <c r="Z95" s="543">
        <f>IFERROR(IF(Z91="",0,Z91),"0")+IFERROR(IF(Z92="",0,Z92),"0")+IFERROR(IF(Z93="",0,Z93),"0")+IFERROR(IF(Z94="",0,Z94),"0")</f>
        <v>0.13020000000000001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54</v>
      </c>
      <c r="Y96" s="543">
        <f>IFERROR(SUM(Y91:Y94),"0")</f>
        <v>54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341</v>
      </c>
      <c r="Y99" s="542">
        <f>IFERROR(IF(X99="",0,CEILING((X99/$H99),1)*$H99),"")</f>
        <v>345.6</v>
      </c>
      <c r="Z99" s="36">
        <f>IFERROR(IF(Y99=0,"",ROUNDUP(Y99/H99,0)*0.01898),"")</f>
        <v>0.60736000000000001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353.94537037037037</v>
      </c>
      <c r="BN99" s="64">
        <f>IFERROR(Y99*I99/H99,"0")</f>
        <v>358.72</v>
      </c>
      <c r="BO99" s="64">
        <f>IFERROR(1/J99*(X99/H99),"0")</f>
        <v>0.49334490740740738</v>
      </c>
      <c r="BP99" s="64">
        <f>IFERROR(1/J99*(Y99/H99),"0")</f>
        <v>0.5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324</v>
      </c>
      <c r="Y101" s="542">
        <f>IFERROR(IF(X101="",0,CEILING((X101/$H101),1)*$H101),"")</f>
        <v>324</v>
      </c>
      <c r="Z101" s="36">
        <f>IFERROR(IF(Y101=0,"",ROUNDUP(Y101/H101,0)*0.00902),"")</f>
        <v>0.64944000000000002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337.68000000000006</v>
      </c>
      <c r="BN101" s="64">
        <f>IFERROR(Y101*I101/H101,"0")</f>
        <v>337.68000000000006</v>
      </c>
      <c r="BO101" s="64">
        <f>IFERROR(1/J101*(X101/H101),"0")</f>
        <v>0.54545454545454541</v>
      </c>
      <c r="BP101" s="64">
        <f>IFERROR(1/J101*(Y101/H101),"0")</f>
        <v>0.54545454545454541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103.57407407407408</v>
      </c>
      <c r="Y103" s="543">
        <f>IFERROR(Y99/H99,"0")+IFERROR(Y100/H100,"0")+IFERROR(Y101/H101,"0")+IFERROR(Y102/H102,"0")</f>
        <v>104</v>
      </c>
      <c r="Z103" s="543">
        <f>IFERROR(IF(Z99="",0,Z99),"0")+IFERROR(IF(Z100="",0,Z100),"0")+IFERROR(IF(Z101="",0,Z101),"0")+IFERROR(IF(Z102="",0,Z102),"0")</f>
        <v>1.2568000000000001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665</v>
      </c>
      <c r="Y104" s="543">
        <f>IFERROR(SUM(Y99:Y102),"0")</f>
        <v>669.6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36</v>
      </c>
      <c r="Y106" s="542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37.366666666666667</v>
      </c>
      <c r="BN106" s="64">
        <f>IFERROR(Y106*I106/H106,"0")</f>
        <v>44.84</v>
      </c>
      <c r="BO106" s="64">
        <f>IFERROR(1/J106*(X106/H106),"0")</f>
        <v>5.2083333333333329E-2</v>
      </c>
      <c r="BP106" s="64">
        <f>IFERROR(1/J106*(Y106/H106),"0")</f>
        <v>6.25E-2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16</v>
      </c>
      <c r="Y108" s="542">
        <f>IFERROR(IF(X108="",0,CEILING((X108/$H108),1)*$H108),"")</f>
        <v>16.8</v>
      </c>
      <c r="Z108" s="36">
        <f>IFERROR(IF(Y108=0,"",ROUNDUP(Y108/H108,0)*0.00651),"")</f>
        <v>4.5569999999999999E-2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17.200000000000003</v>
      </c>
      <c r="BN108" s="64">
        <f>IFERROR(Y108*I108/H108,"0")</f>
        <v>18.060000000000002</v>
      </c>
      <c r="BO108" s="64">
        <f>IFERROR(1/J108*(X108/H108),"0")</f>
        <v>3.6630036630036632E-2</v>
      </c>
      <c r="BP108" s="64">
        <f>IFERROR(1/J108*(Y108/H108),"0")</f>
        <v>3.8461538461538471E-2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10</v>
      </c>
      <c r="Y109" s="543">
        <f>IFERROR(Y106/H106,"0")+IFERROR(Y107/H107,"0")+IFERROR(Y108/H108,"0")</f>
        <v>11</v>
      </c>
      <c r="Z109" s="543">
        <f>IFERROR(IF(Z106="",0,Z106),"0")+IFERROR(IF(Z107="",0,Z107),"0")+IFERROR(IF(Z108="",0,Z108),"0")</f>
        <v>0.12149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52</v>
      </c>
      <c r="Y110" s="543">
        <f>IFERROR(SUM(Y106:Y108),"0")</f>
        <v>60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498</v>
      </c>
      <c r="Y112" s="542">
        <f>IFERROR(IF(X112="",0,CEILING((X112/$H112),1)*$H112),"")</f>
        <v>502.2</v>
      </c>
      <c r="Z112" s="36">
        <f>IFERROR(IF(Y112=0,"",ROUNDUP(Y112/H112,0)*0.01898),"")</f>
        <v>1.17676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528.0029629629629</v>
      </c>
      <c r="BN112" s="64">
        <f>IFERROR(Y112*I112/H112,"0")</f>
        <v>532.4559999999999</v>
      </c>
      <c r="BO112" s="64">
        <f>IFERROR(1/J112*(X112/H112),"0")</f>
        <v>0.96064814814814814</v>
      </c>
      <c r="BP112" s="64">
        <f>IFERROR(1/J112*(Y112/H112),"0")</f>
        <v>0.96875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449</v>
      </c>
      <c r="Y114" s="542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490.90666666666669</v>
      </c>
      <c r="BN114" s="64">
        <f>IFERROR(Y114*I114/H114,"0")</f>
        <v>492.98399999999998</v>
      </c>
      <c r="BO114" s="64">
        <f>IFERROR(1/J114*(X114/H114),"0")</f>
        <v>0.91371591371591365</v>
      </c>
      <c r="BP114" s="64">
        <f>IFERROR(1/J114*(Y114/H114),"0")</f>
        <v>0.91758241758241765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227.77777777777777</v>
      </c>
      <c r="Y116" s="543">
        <f>IFERROR(Y112/H112,"0")+IFERROR(Y113/H113,"0")+IFERROR(Y114/H114,"0")+IFERROR(Y115/H115,"0")</f>
        <v>229</v>
      </c>
      <c r="Z116" s="543">
        <f>IFERROR(IF(Z112="",0,Z112),"0")+IFERROR(IF(Z113="",0,Z113),"0")+IFERROR(IF(Z114="",0,Z114),"0")+IFERROR(IF(Z115="",0,Z115),"0")</f>
        <v>2.2639300000000002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947</v>
      </c>
      <c r="Y117" s="543">
        <f>IFERROR(SUM(Y112:Y115),"0")</f>
        <v>953.1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14</v>
      </c>
      <c r="Y163" s="542">
        <f t="shared" si="5"/>
        <v>16.8</v>
      </c>
      <c r="Z163" s="36">
        <f>IFERROR(IF(Y163=0,"",ROUNDUP(Y163/H163,0)*0.00902),"")</f>
        <v>3.6080000000000001E-2</v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14.833333333333334</v>
      </c>
      <c r="BN163" s="64">
        <f t="shared" si="7"/>
        <v>17.8</v>
      </c>
      <c r="BO163" s="64">
        <f t="shared" si="8"/>
        <v>2.5252525252525252E-2</v>
      </c>
      <c r="BP163" s="64">
        <f t="shared" si="9"/>
        <v>3.0303030303030304E-2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27</v>
      </c>
      <c r="Y165" s="542">
        <f t="shared" si="5"/>
        <v>29.400000000000002</v>
      </c>
      <c r="Z165" s="36">
        <f>IFERROR(IF(Y165=0,"",ROUNDUP(Y165/H165,0)*0.00902),"")</f>
        <v>6.3140000000000002E-2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28.221428571428568</v>
      </c>
      <c r="BN165" s="64">
        <f t="shared" si="7"/>
        <v>30.73</v>
      </c>
      <c r="BO165" s="64">
        <f t="shared" si="8"/>
        <v>4.8701298701298697E-2</v>
      </c>
      <c r="BP165" s="64">
        <f t="shared" si="9"/>
        <v>5.3030303030303032E-2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43</v>
      </c>
      <c r="Y166" s="542">
        <f t="shared" si="5"/>
        <v>44.1</v>
      </c>
      <c r="Z166" s="36">
        <f>IFERROR(IF(Y166=0,"",ROUNDUP(Y166/H166,0)*0.00502),"")</f>
        <v>0.10542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45.661904761904758</v>
      </c>
      <c r="BN166" s="64">
        <f t="shared" si="7"/>
        <v>46.83</v>
      </c>
      <c r="BO166" s="64">
        <f t="shared" si="8"/>
        <v>8.7505087505087509E-2</v>
      </c>
      <c r="BP166" s="64">
        <f t="shared" si="9"/>
        <v>8.9743589743589758E-2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5</v>
      </c>
      <c r="Y168" s="542">
        <f t="shared" si="5"/>
        <v>5.4</v>
      </c>
      <c r="Z168" s="36">
        <f>IFERROR(IF(Y168=0,"",ROUNDUP(Y168/H168,0)*0.00502),"")</f>
        <v>1.506E-2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5.3611111111111116</v>
      </c>
      <c r="BN168" s="64">
        <f t="shared" si="7"/>
        <v>5.79</v>
      </c>
      <c r="BO168" s="64">
        <f t="shared" si="8"/>
        <v>1.1870845204178538E-2</v>
      </c>
      <c r="BP168" s="64">
        <f t="shared" si="9"/>
        <v>1.2820512820512822E-2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121</v>
      </c>
      <c r="Y169" s="542">
        <f t="shared" si="5"/>
        <v>121.80000000000001</v>
      </c>
      <c r="Z169" s="36">
        <f>IFERROR(IF(Y169=0,"",ROUNDUP(Y169/H169,0)*0.00502),"")</f>
        <v>0.29116000000000003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126.76190476190477</v>
      </c>
      <c r="BN169" s="64">
        <f t="shared" si="7"/>
        <v>127.60000000000001</v>
      </c>
      <c r="BO169" s="64">
        <f t="shared" si="8"/>
        <v>0.24623524623524623</v>
      </c>
      <c r="BP169" s="64">
        <f t="shared" si="9"/>
        <v>0.2478632478632479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90.634920634920633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93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0.51085999999999998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210</v>
      </c>
      <c r="Y173" s="543">
        <f>IFERROR(SUM(Y162:Y171),"0")</f>
        <v>217.50000000000003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3</v>
      </c>
      <c r="Y176" s="542">
        <f>IFERROR(IF(X176="",0,CEILING((X176/$H176),1)*$H176),"")</f>
        <v>3.7800000000000002</v>
      </c>
      <c r="Z176" s="36">
        <f>IFERROR(IF(Y176=0,"",ROUNDUP(Y176/H176,0)*0.0059),"")</f>
        <v>1.77E-2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3.4523809523809521</v>
      </c>
      <c r="BN176" s="64">
        <f>IFERROR(Y176*I176/H176,"0")</f>
        <v>4.3499999999999996</v>
      </c>
      <c r="BO176" s="64">
        <f>IFERROR(1/J176*(X176/H176),"0")</f>
        <v>1.1022927689594356E-2</v>
      </c>
      <c r="BP176" s="64">
        <f>IFERROR(1/J176*(Y176/H176),"0")</f>
        <v>1.3888888888888888E-2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7</v>
      </c>
      <c r="Y177" s="542">
        <f>IFERROR(IF(X177="",0,CEILING((X177/$H177),1)*$H177),"")</f>
        <v>7.5600000000000005</v>
      </c>
      <c r="Z177" s="36">
        <f>IFERROR(IF(Y177=0,"",ROUNDUP(Y177/H177,0)*0.0059),"")</f>
        <v>3.5400000000000001E-2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8.0555555555555554</v>
      </c>
      <c r="BN177" s="64">
        <f>IFERROR(Y177*I177/H177,"0")</f>
        <v>8.6999999999999993</v>
      </c>
      <c r="BO177" s="64">
        <f>IFERROR(1/J177*(X177/H177),"0")</f>
        <v>2.5720164609053495E-2</v>
      </c>
      <c r="BP177" s="64">
        <f>IFERROR(1/J177*(Y177/H177),"0")</f>
        <v>2.7777777777777776E-2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7.9365079365079367</v>
      </c>
      <c r="Y178" s="543">
        <f>IFERROR(Y175/H175,"0")+IFERROR(Y176/H176,"0")+IFERROR(Y177/H177,"0")</f>
        <v>9</v>
      </c>
      <c r="Z178" s="543">
        <f>IFERROR(IF(Z175="",0,Z175),"0")+IFERROR(IF(Z176="",0,Z176),"0")+IFERROR(IF(Z177="",0,Z177),"0")</f>
        <v>5.3100000000000001E-2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10</v>
      </c>
      <c r="Y179" s="543">
        <f>IFERROR(SUM(Y175:Y177),"0")</f>
        <v>11.34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3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2.3809523809523809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3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262</v>
      </c>
      <c r="Y196" s="542">
        <f t="shared" ref="Y196:Y203" si="10">IFERROR(IF(X196="",0,CEILING((X196/$H196),1)*$H196),"")</f>
        <v>264.60000000000002</v>
      </c>
      <c r="Z196" s="36">
        <f>IFERROR(IF(Y196=0,"",ROUNDUP(Y196/H196,0)*0.00902),"")</f>
        <v>0.44198000000000004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271.21851851851847</v>
      </c>
      <c r="BN196" s="64">
        <f t="shared" ref="BN196:BN203" si="12">IFERROR(Y196*I196/H196,"0")</f>
        <v>273.90999999999997</v>
      </c>
      <c r="BO196" s="64">
        <f t="shared" ref="BO196:BO203" si="13">IFERROR(1/J196*(X196/H196),"0")</f>
        <v>0.36756453423120083</v>
      </c>
      <c r="BP196" s="64">
        <f t="shared" ref="BP196:BP203" si="14">IFERROR(1/J196*(Y196/H196),"0")</f>
        <v>0.37121212121212122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137</v>
      </c>
      <c r="Y197" s="542">
        <f t="shared" si="10"/>
        <v>140.4</v>
      </c>
      <c r="Z197" s="36">
        <f>IFERROR(IF(Y197=0,"",ROUNDUP(Y197/H197,0)*0.00902),"")</f>
        <v>0.23452000000000001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141.82037037037034</v>
      </c>
      <c r="BN197" s="64">
        <f t="shared" si="12"/>
        <v>145.34</v>
      </c>
      <c r="BO197" s="64">
        <f t="shared" si="13"/>
        <v>0.19219977553310888</v>
      </c>
      <c r="BP197" s="64">
        <f t="shared" si="14"/>
        <v>0.19696969696969696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101</v>
      </c>
      <c r="Y199" s="542">
        <f t="shared" si="10"/>
        <v>102.60000000000001</v>
      </c>
      <c r="Z199" s="36">
        <f>IFERROR(IF(Y199=0,"",ROUNDUP(Y199/H199,0)*0.00902),"")</f>
        <v>0.17138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104.5537037037037</v>
      </c>
      <c r="BN199" s="64">
        <f t="shared" si="12"/>
        <v>106.21</v>
      </c>
      <c r="BO199" s="64">
        <f t="shared" si="13"/>
        <v>0.14169472502805835</v>
      </c>
      <c r="BP199" s="64">
        <f t="shared" si="14"/>
        <v>0.14393939393939395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24</v>
      </c>
      <c r="Y200" s="542">
        <f t="shared" si="10"/>
        <v>25.2</v>
      </c>
      <c r="Z200" s="36">
        <f>IFERROR(IF(Y200=0,"",ROUNDUP(Y200/H200,0)*0.00502),"")</f>
        <v>7.0280000000000009E-2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25.733333333333334</v>
      </c>
      <c r="BN200" s="64">
        <f t="shared" si="12"/>
        <v>27.019999999999996</v>
      </c>
      <c r="BO200" s="64">
        <f t="shared" si="13"/>
        <v>5.6980056980056981E-2</v>
      </c>
      <c r="BP200" s="64">
        <f t="shared" si="14"/>
        <v>5.9829059829059839E-2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18</v>
      </c>
      <c r="Y201" s="542">
        <f t="shared" si="10"/>
        <v>18</v>
      </c>
      <c r="Z201" s="36">
        <f>IFERROR(IF(Y201=0,"",ROUNDUP(Y201/H201,0)*0.00502),"")</f>
        <v>5.0200000000000002E-2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18.999999999999996</v>
      </c>
      <c r="BN201" s="64">
        <f t="shared" si="12"/>
        <v>18.999999999999996</v>
      </c>
      <c r="BO201" s="64">
        <f t="shared" si="13"/>
        <v>4.2735042735042736E-2</v>
      </c>
      <c r="BP201" s="64">
        <f t="shared" si="14"/>
        <v>4.2735042735042736E-2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19</v>
      </c>
      <c r="Y203" s="542">
        <f t="shared" si="10"/>
        <v>19.8</v>
      </c>
      <c r="Z203" s="36">
        <f>IFERROR(IF(Y203=0,"",ROUNDUP(Y203/H203,0)*0.00502),"")</f>
        <v>5.5220000000000005E-2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20.055555555555557</v>
      </c>
      <c r="BN203" s="64">
        <f t="shared" si="12"/>
        <v>20.9</v>
      </c>
      <c r="BO203" s="64">
        <f t="shared" si="13"/>
        <v>4.5109211775878448E-2</v>
      </c>
      <c r="BP203" s="64">
        <f t="shared" si="14"/>
        <v>4.7008547008547015E-2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126.48148148148147</v>
      </c>
      <c r="Y204" s="543">
        <f>IFERROR(Y196/H196,"0")+IFERROR(Y197/H197,"0")+IFERROR(Y198/H198,"0")+IFERROR(Y199/H199,"0")+IFERROR(Y200/H200,"0")+IFERROR(Y201/H201,"0")+IFERROR(Y202/H202,"0")+IFERROR(Y203/H203,"0")</f>
        <v>129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1.0235800000000002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561</v>
      </c>
      <c r="Y205" s="543">
        <f>IFERROR(SUM(Y196:Y203),"0")</f>
        <v>570.6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7</v>
      </c>
      <c r="Y207" s="542">
        <f t="shared" ref="Y207:Y215" si="15">IFERROR(IF(X207="",0,CEILING((X207/$H207),1)*$H207),"")</f>
        <v>8.1</v>
      </c>
      <c r="Z207" s="36">
        <f>IFERROR(IF(Y207=0,"",ROUNDUP(Y207/H207,0)*0.01898),"")</f>
        <v>1.898E-2</v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7.4269135802469135</v>
      </c>
      <c r="BN207" s="64">
        <f t="shared" ref="BN207:BN215" si="17">IFERROR(Y207*I207/H207,"0")</f>
        <v>8.5939999999999994</v>
      </c>
      <c r="BO207" s="64">
        <f t="shared" ref="BO207:BO215" si="18">IFERROR(1/J207*(X207/H207),"0")</f>
        <v>1.3503086419753087E-2</v>
      </c>
      <c r="BP207" s="64">
        <f t="shared" ref="BP207:BP215" si="19">IFERROR(1/J207*(Y207/H207),"0")</f>
        <v>1.5625E-2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471</v>
      </c>
      <c r="Y209" s="542">
        <f t="shared" si="15"/>
        <v>478.49999999999994</v>
      </c>
      <c r="Z209" s="36">
        <f>IFERROR(IF(Y209=0,"",ROUNDUP(Y209/H209,0)*0.01898),"")</f>
        <v>1.0439000000000001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497.74413793103463</v>
      </c>
      <c r="BN209" s="64">
        <f t="shared" si="17"/>
        <v>505.67</v>
      </c>
      <c r="BO209" s="64">
        <f t="shared" si="18"/>
        <v>0.84590517241379315</v>
      </c>
      <c r="BP209" s="64">
        <f t="shared" si="19"/>
        <v>0.859375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144</v>
      </c>
      <c r="Y210" s="542">
        <f t="shared" si="15"/>
        <v>144</v>
      </c>
      <c r="Z210" s="36">
        <f t="shared" ref="Z210:Z215" si="20">IFERROR(IF(Y210=0,"",ROUNDUP(Y210/H210,0)*0.00651),"")</f>
        <v>0.3906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160.20000000000002</v>
      </c>
      <c r="BN210" s="64">
        <f t="shared" si="17"/>
        <v>160.20000000000002</v>
      </c>
      <c r="BO210" s="64">
        <f t="shared" si="18"/>
        <v>0.32967032967032972</v>
      </c>
      <c r="BP210" s="64">
        <f t="shared" si="19"/>
        <v>0.32967032967032972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259</v>
      </c>
      <c r="Y212" s="542">
        <f t="shared" si="15"/>
        <v>259.2</v>
      </c>
      <c r="Z212" s="36">
        <f t="shared" si="20"/>
        <v>0.70308000000000004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286.19500000000005</v>
      </c>
      <c r="BN212" s="64">
        <f t="shared" si="17"/>
        <v>286.41600000000005</v>
      </c>
      <c r="BO212" s="64">
        <f t="shared" si="18"/>
        <v>0.59294871794871806</v>
      </c>
      <c r="BP212" s="64">
        <f t="shared" si="19"/>
        <v>0.59340659340659341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209</v>
      </c>
      <c r="Y213" s="542">
        <f t="shared" si="15"/>
        <v>211.2</v>
      </c>
      <c r="Z213" s="36">
        <f t="shared" si="20"/>
        <v>0.57288000000000006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230.94500000000002</v>
      </c>
      <c r="BN213" s="64">
        <f t="shared" si="17"/>
        <v>233.376</v>
      </c>
      <c r="BO213" s="64">
        <f t="shared" si="18"/>
        <v>0.47847985347985356</v>
      </c>
      <c r="BP213" s="64">
        <f t="shared" si="19"/>
        <v>0.48351648351648358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86</v>
      </c>
      <c r="Y214" s="542">
        <f t="shared" si="15"/>
        <v>86.399999999999991</v>
      </c>
      <c r="Z214" s="36">
        <f t="shared" si="20"/>
        <v>0.23436000000000001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95.03</v>
      </c>
      <c r="BN214" s="64">
        <f t="shared" si="17"/>
        <v>95.472000000000008</v>
      </c>
      <c r="BO214" s="64">
        <f t="shared" si="18"/>
        <v>0.19688644688644691</v>
      </c>
      <c r="BP214" s="64">
        <f t="shared" si="19"/>
        <v>0.19780219780219782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118</v>
      </c>
      <c r="Y215" s="542">
        <f t="shared" si="15"/>
        <v>120</v>
      </c>
      <c r="Z215" s="36">
        <f t="shared" si="20"/>
        <v>0.32550000000000001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130.685</v>
      </c>
      <c r="BN215" s="64">
        <f t="shared" si="17"/>
        <v>132.9</v>
      </c>
      <c r="BO215" s="64">
        <f t="shared" si="18"/>
        <v>0.27014652014652019</v>
      </c>
      <c r="BP215" s="64">
        <f t="shared" si="19"/>
        <v>0.27472527472527475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395.00212856534699</v>
      </c>
      <c r="Y216" s="543">
        <f>IFERROR(Y207/H207,"0")+IFERROR(Y208/H208,"0")+IFERROR(Y209/H209,"0")+IFERROR(Y210/H210,"0")+IFERROR(Y211/H211,"0")+IFERROR(Y212/H212,"0")+IFERROR(Y213/H213,"0")+IFERROR(Y214/H214,"0")+IFERROR(Y215/H215,"0")</f>
        <v>398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3.2893000000000003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1294</v>
      </c>
      <c r="Y217" s="543">
        <f>IFERROR(SUM(Y207:Y215),"0")</f>
        <v>1307.4000000000001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35</v>
      </c>
      <c r="Y219" s="542">
        <f>IFERROR(IF(X219="",0,CEILING((X219/$H219),1)*$H219),"")</f>
        <v>36</v>
      </c>
      <c r="Z219" s="36">
        <f>IFERROR(IF(Y219=0,"",ROUNDUP(Y219/H219,0)*0.00651),"")</f>
        <v>9.7650000000000001E-2</v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38.675000000000004</v>
      </c>
      <c r="BN219" s="64">
        <f>IFERROR(Y219*I219/H219,"0")</f>
        <v>39.780000000000008</v>
      </c>
      <c r="BO219" s="64">
        <f>IFERROR(1/J219*(X219/H219),"0")</f>
        <v>8.0128205128205135E-2</v>
      </c>
      <c r="BP219" s="64">
        <f>IFERROR(1/J219*(Y219/H219),"0")</f>
        <v>8.241758241758243E-2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14.583333333333334</v>
      </c>
      <c r="Y221" s="543">
        <f>IFERROR(Y219/H219,"0")+IFERROR(Y220/H220,"0")</f>
        <v>15</v>
      </c>
      <c r="Z221" s="543">
        <f>IFERROR(IF(Z219="",0,Z219),"0")+IFERROR(IF(Z220="",0,Z220),"0")</f>
        <v>9.7650000000000001E-2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35</v>
      </c>
      <c r="Y222" s="543">
        <f>IFERROR(SUM(Y219:Y220),"0")</f>
        <v>36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1.0101010101010102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1</v>
      </c>
      <c r="Y252" s="543">
        <f>IFERROR(SUM(Y246:Y250),"0")</f>
        <v>1.98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6</v>
      </c>
      <c r="Y304" s="542">
        <f t="shared" si="26"/>
        <v>7.2</v>
      </c>
      <c r="Z304" s="36">
        <f>IFERROR(IF(Y304=0,"",ROUNDUP(Y304/H304,0)*0.00651),"")</f>
        <v>2.6040000000000001E-2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6.76</v>
      </c>
      <c r="BN304" s="64">
        <f t="shared" si="28"/>
        <v>8.1120000000000001</v>
      </c>
      <c r="BO304" s="64">
        <f t="shared" si="29"/>
        <v>1.8315018315018316E-2</v>
      </c>
      <c r="BP304" s="64">
        <f t="shared" si="30"/>
        <v>2.197802197802198E-2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3.333333333333333</v>
      </c>
      <c r="Y305" s="543">
        <f>IFERROR(Y298/H298,"0")+IFERROR(Y299/H299,"0")+IFERROR(Y300/H300,"0")+IFERROR(Y301/H301,"0")+IFERROR(Y302/H302,"0")+IFERROR(Y303/H303,"0")+IFERROR(Y304/H304,"0")</f>
        <v>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2.6040000000000001E-2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6</v>
      </c>
      <c r="Y306" s="543">
        <f>IFERROR(SUM(Y298:Y304),"0")</f>
        <v>7.2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</v>
      </c>
      <c r="Y316" s="542">
        <f>IFERROR(IF(X316="",0,CEILING((X316/$H316),1)*$H316),"")</f>
        <v>7.8</v>
      </c>
      <c r="Z316" s="36">
        <f>IFERROR(IF(Y316=0,"",ROUNDUP(Y316/H316,0)*0.01898),"")</f>
        <v>1.898E-2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4.2533333333333339</v>
      </c>
      <c r="BN316" s="64">
        <f>IFERROR(Y316*I316/H316,"0")</f>
        <v>8.2940000000000005</v>
      </c>
      <c r="BO316" s="64">
        <f>IFERROR(1/J316*(X316/H316),"0")</f>
        <v>8.0128205128205138E-3</v>
      </c>
      <c r="BP316" s="64">
        <f>IFERROR(1/J316*(Y316/H316),"0")</f>
        <v>1.5625E-2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0.51282051282051289</v>
      </c>
      <c r="Y318" s="543">
        <f>IFERROR(Y315/H315,"0")+IFERROR(Y316/H316,"0")+IFERROR(Y317/H317,"0")</f>
        <v>1</v>
      </c>
      <c r="Z318" s="543">
        <f>IFERROR(IF(Z315="",0,Z315),"0")+IFERROR(IF(Z316="",0,Z316),"0")+IFERROR(IF(Z317="",0,Z317),"0")</f>
        <v>1.898E-2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4</v>
      </c>
      <c r="Y319" s="543">
        <f>IFERROR(SUM(Y315:Y317),"0")</f>
        <v>7.8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19</v>
      </c>
      <c r="Y321" s="542">
        <f>IFERROR(IF(X321="",0,CEILING((X321/$H321),1)*$H321),"")</f>
        <v>21.28</v>
      </c>
      <c r="Z321" s="36">
        <f>IFERROR(IF(Y321=0,"",ROUNDUP(Y321/H321,0)*0.00902),"")</f>
        <v>6.3140000000000002E-2</v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20.6875</v>
      </c>
      <c r="BN321" s="64">
        <f>IFERROR(Y321*I321/H321,"0")</f>
        <v>23.17</v>
      </c>
      <c r="BO321" s="64">
        <f>IFERROR(1/J321*(X321/H321),"0")</f>
        <v>4.7348484848484848E-2</v>
      </c>
      <c r="BP321" s="64">
        <f>IFERROR(1/J321*(Y321/H321),"0")</f>
        <v>5.3030303030303032E-2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2</v>
      </c>
      <c r="Y323" s="542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2.3176470588235296</v>
      </c>
      <c r="BN323" s="64">
        <f>IFERROR(Y323*I323/H323,"0")</f>
        <v>2.9550000000000001</v>
      </c>
      <c r="BO323" s="64">
        <f>IFERROR(1/J323*(X323/H323),"0")</f>
        <v>4.3094160741219576E-3</v>
      </c>
      <c r="BP323" s="64">
        <f>IFERROR(1/J323*(Y323/H323),"0")</f>
        <v>5.4945054945054949E-3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7</v>
      </c>
      <c r="Y324" s="542">
        <f>IFERROR(IF(X324="",0,CEILING((X324/$H324),1)*$H324),"")</f>
        <v>7.6499999999999995</v>
      </c>
      <c r="Z324" s="36">
        <f>IFERROR(IF(Y324=0,"",ROUNDUP(Y324/H324,0)*0.00651),"")</f>
        <v>1.9529999999999999E-2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7.9058823529411768</v>
      </c>
      <c r="BN324" s="64">
        <f>IFERROR(Y324*I324/H324,"0")</f>
        <v>8.6399999999999988</v>
      </c>
      <c r="BO324" s="64">
        <f>IFERROR(1/J324*(X324/H324),"0")</f>
        <v>1.508295625942685E-2</v>
      </c>
      <c r="BP324" s="64">
        <f>IFERROR(1/J324*(Y324/H324),"0")</f>
        <v>1.6483516483516484E-2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9.7794117647058822</v>
      </c>
      <c r="Y325" s="543">
        <f>IFERROR(Y321/H321,"0")+IFERROR(Y322/H322,"0")+IFERROR(Y323/H323,"0")+IFERROR(Y324/H324,"0")</f>
        <v>11</v>
      </c>
      <c r="Z325" s="543">
        <f>IFERROR(IF(Z321="",0,Z321),"0")+IFERROR(IF(Z322="",0,Z322),"0")+IFERROR(IF(Z323="",0,Z323),"0")+IFERROR(IF(Z324="",0,Z324),"0")</f>
        <v>8.9180000000000009E-2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28</v>
      </c>
      <c r="Y326" s="543">
        <f>IFERROR(SUM(Y321:Y324),"0")</f>
        <v>31.48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8</v>
      </c>
      <c r="Y328" s="542">
        <f>IFERROR(IF(X328="",0,CEILING((X328/$H328),1)*$H328),"")</f>
        <v>8</v>
      </c>
      <c r="Z328" s="36">
        <f>IFERROR(IF(Y328=0,"",ROUNDUP(Y328/H328,0)*0.00474),"")</f>
        <v>1.8960000000000001E-2</v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8.9600000000000009</v>
      </c>
      <c r="BN328" s="64">
        <f>IFERROR(Y328*I328/H328,"0")</f>
        <v>8.9600000000000009</v>
      </c>
      <c r="BO328" s="64">
        <f>IFERROR(1/J328*(X328/H328),"0")</f>
        <v>1.680672268907563E-2</v>
      </c>
      <c r="BP328" s="64">
        <f>IFERROR(1/J328*(Y328/H328),"0")</f>
        <v>1.680672268907563E-2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11</v>
      </c>
      <c r="Y330" s="542">
        <f>IFERROR(IF(X330="",0,CEILING((X330/$H330),1)*$H330),"")</f>
        <v>12</v>
      </c>
      <c r="Z330" s="36">
        <f>IFERROR(IF(Y330=0,"",ROUNDUP(Y330/H330,0)*0.00474),"")</f>
        <v>2.844E-2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12.32</v>
      </c>
      <c r="BN330" s="64">
        <f>IFERROR(Y330*I330/H330,"0")</f>
        <v>13.440000000000001</v>
      </c>
      <c r="BO330" s="64">
        <f>IFERROR(1/J330*(X330/H330),"0")</f>
        <v>2.3109243697478989E-2</v>
      </c>
      <c r="BP330" s="64">
        <f>IFERROR(1/J330*(Y330/H330),"0")</f>
        <v>2.5210084033613446E-2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9.5</v>
      </c>
      <c r="Y331" s="543">
        <f>IFERROR(Y328/H328,"0")+IFERROR(Y329/H329,"0")+IFERROR(Y330/H330,"0")</f>
        <v>10</v>
      </c>
      <c r="Z331" s="543">
        <f>IFERROR(IF(Z328="",0,Z328),"0")+IFERROR(IF(Z329="",0,Z329),"0")+IFERROR(IF(Z330="",0,Z330),"0")</f>
        <v>4.7399999999999998E-2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19</v>
      </c>
      <c r="Y332" s="543">
        <f>IFERROR(SUM(Y328:Y330),"0")</f>
        <v>20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1494</v>
      </c>
      <c r="Y343" s="542">
        <f t="shared" ref="Y343:Y349" si="31">IFERROR(IF(X343="",0,CEILING((X343/$H343),1)*$H343),"")</f>
        <v>1500</v>
      </c>
      <c r="Z343" s="36">
        <f>IFERROR(IF(Y343=0,"",ROUNDUP(Y343/H343,0)*0.02175),"")</f>
        <v>2.1749999999999998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1540.8120000000001</v>
      </c>
      <c r="BN343" s="64">
        <f t="shared" ref="BN343:BN349" si="33">IFERROR(Y343*I343/H343,"0")</f>
        <v>1547</v>
      </c>
      <c r="BO343" s="64">
        <f t="shared" ref="BO343:BO349" si="34">IFERROR(1/J343*(X343/H343),"0")</f>
        <v>2.0749999999999997</v>
      </c>
      <c r="BP343" s="64">
        <f t="shared" ref="BP343:BP349" si="35">IFERROR(1/J343*(Y343/H343),"0")</f>
        <v>2.083333333333333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448</v>
      </c>
      <c r="Y344" s="542">
        <f t="shared" si="31"/>
        <v>450</v>
      </c>
      <c r="Z344" s="36">
        <f>IFERROR(IF(Y344=0,"",ROUNDUP(Y344/H344,0)*0.02175),"")</f>
        <v>0.65249999999999997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462.03733333333338</v>
      </c>
      <c r="BN344" s="64">
        <f t="shared" si="33"/>
        <v>464.1</v>
      </c>
      <c r="BO344" s="64">
        <f t="shared" si="34"/>
        <v>0.62222222222222223</v>
      </c>
      <c r="BP344" s="64">
        <f t="shared" si="35"/>
        <v>0.625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1452</v>
      </c>
      <c r="Y345" s="542">
        <f t="shared" si="31"/>
        <v>1455</v>
      </c>
      <c r="Z345" s="36">
        <f>IFERROR(IF(Y345=0,"",ROUNDUP(Y345/H345,0)*0.02175),"")</f>
        <v>2.10975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1497.4960000000001</v>
      </c>
      <c r="BN345" s="64">
        <f t="shared" si="33"/>
        <v>1500.5900000000001</v>
      </c>
      <c r="BO345" s="64">
        <f t="shared" si="34"/>
        <v>2.0166666666666666</v>
      </c>
      <c r="BP345" s="64">
        <f t="shared" si="35"/>
        <v>2.020833333333333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220</v>
      </c>
      <c r="Y346" s="542">
        <f t="shared" si="31"/>
        <v>225</v>
      </c>
      <c r="Z346" s="36">
        <f>IFERROR(IF(Y346=0,"",ROUNDUP(Y346/H346,0)*0.02175),"")</f>
        <v>0.32624999999999998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226.89333333333335</v>
      </c>
      <c r="BN346" s="64">
        <f t="shared" si="33"/>
        <v>232.05</v>
      </c>
      <c r="BO346" s="64">
        <f t="shared" si="34"/>
        <v>0.30555555555555552</v>
      </c>
      <c r="BP346" s="64">
        <f t="shared" si="35"/>
        <v>0.3125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240.93333333333331</v>
      </c>
      <c r="Y350" s="543">
        <f>IFERROR(Y343/H343,"0")+IFERROR(Y344/H344,"0")+IFERROR(Y345/H345,"0")+IFERROR(Y346/H346,"0")+IFERROR(Y347/H347,"0")+IFERROR(Y348/H348,"0")+IFERROR(Y349/H349,"0")</f>
        <v>242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5.2634999999999996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3614</v>
      </c>
      <c r="Y351" s="543">
        <f>IFERROR(SUM(Y343:Y349),"0")</f>
        <v>3630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1118</v>
      </c>
      <c r="Y353" s="542">
        <f>IFERROR(IF(X353="",0,CEILING((X353/$H353),1)*$H353),"")</f>
        <v>1125</v>
      </c>
      <c r="Z353" s="36">
        <f>IFERROR(IF(Y353=0,"",ROUNDUP(Y353/H353,0)*0.02175),"")</f>
        <v>1.6312499999999999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1153.0306666666665</v>
      </c>
      <c r="BN353" s="64">
        <f>IFERROR(Y353*I353/H353,"0")</f>
        <v>1160.25</v>
      </c>
      <c r="BO353" s="64">
        <f>IFERROR(1/J353*(X353/H353),"0")</f>
        <v>1.5527777777777776</v>
      </c>
      <c r="BP353" s="64">
        <f>IFERROR(1/J353*(Y353/H353),"0")</f>
        <v>1.5625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74.533333333333331</v>
      </c>
      <c r="Y355" s="543">
        <f>IFERROR(Y353/H353,"0")+IFERROR(Y354/H354,"0")</f>
        <v>75</v>
      </c>
      <c r="Z355" s="543">
        <f>IFERROR(IF(Z353="",0,Z353),"0")+IFERROR(IF(Z354="",0,Z354),"0")</f>
        <v>1.6312499999999999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1118</v>
      </c>
      <c r="Y356" s="543">
        <f>IFERROR(SUM(Y353:Y354),"0")</f>
        <v>1125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3330</v>
      </c>
      <c r="Y378" s="542">
        <f>IFERROR(IF(X378="",0,CEILING((X378/$H378),1)*$H378),"")</f>
        <v>3330</v>
      </c>
      <c r="Z378" s="36">
        <f>IFERROR(IF(Y378=0,"",ROUNDUP(Y378/H378,0)*0.01898),"")</f>
        <v>7.0225999999999997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3512.78</v>
      </c>
      <c r="BN378" s="64">
        <f>IFERROR(Y378*I378/H378,"0")</f>
        <v>3512.78</v>
      </c>
      <c r="BO378" s="64">
        <f>IFERROR(1/J378*(X378/H378),"0")</f>
        <v>5.78125</v>
      </c>
      <c r="BP378" s="64">
        <f>IFERROR(1/J378*(Y378/H378),"0")</f>
        <v>5.78125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40</v>
      </c>
      <c r="Y379" s="542">
        <f>IFERROR(IF(X379="",0,CEILING((X379/$H379),1)*$H379),"")</f>
        <v>40.799999999999997</v>
      </c>
      <c r="Z379" s="36">
        <f>IFERROR(IF(Y379=0,"",ROUNDUP(Y379/H379,0)*0.00651),"")</f>
        <v>0.11067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44.400000000000006</v>
      </c>
      <c r="BN379" s="64">
        <f>IFERROR(Y379*I379/H379,"0")</f>
        <v>45.287999999999997</v>
      </c>
      <c r="BO379" s="64">
        <f>IFERROR(1/J379*(X379/H379),"0")</f>
        <v>9.1575091575091583E-2</v>
      </c>
      <c r="BP379" s="64">
        <f>IFERROR(1/J379*(Y379/H379),"0")</f>
        <v>9.3406593406593408E-2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386.66666666666669</v>
      </c>
      <c r="Y380" s="543">
        <f>IFERROR(Y378/H378,"0")+IFERROR(Y379/H379,"0")</f>
        <v>387</v>
      </c>
      <c r="Z380" s="543">
        <f>IFERROR(IF(Z378="",0,Z378),"0")+IFERROR(IF(Z379="",0,Z379),"0")</f>
        <v>7.1332699999999996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3370</v>
      </c>
      <c r="Y381" s="543">
        <f>IFERROR(SUM(Y378:Y379),"0")</f>
        <v>3370.8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53.314393939393938</v>
      </c>
      <c r="BN421" s="64">
        <f t="shared" ref="BN421:BN431" si="45">IFERROR(Y421*I421/H421,"0")</f>
        <v>56.3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2398</v>
      </c>
      <c r="Y423" s="542">
        <f t="shared" si="42"/>
        <v>2402.4</v>
      </c>
      <c r="Z423" s="36">
        <f t="shared" si="43"/>
        <v>5.4417999999999997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2556.958333333333</v>
      </c>
      <c r="BN423" s="64">
        <f t="shared" si="45"/>
        <v>2561.65</v>
      </c>
      <c r="BO423" s="64">
        <f t="shared" si="46"/>
        <v>4.3669871794871797</v>
      </c>
      <c r="BP423" s="64">
        <f t="shared" si="47"/>
        <v>4.375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953</v>
      </c>
      <c r="Y426" s="542">
        <f t="shared" si="42"/>
        <v>955.68000000000006</v>
      </c>
      <c r="Z426" s="36">
        <f t="shared" si="43"/>
        <v>2.1647600000000002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1016.1723484848485</v>
      </c>
      <c r="BN426" s="64">
        <f t="shared" si="45"/>
        <v>1019.03</v>
      </c>
      <c r="BO426" s="64">
        <f t="shared" si="46"/>
        <v>1.7355040792540792</v>
      </c>
      <c r="BP426" s="64">
        <f t="shared" si="47"/>
        <v>1.7403846153846154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8</v>
      </c>
      <c r="Y428" s="542">
        <f t="shared" si="42"/>
        <v>9.6</v>
      </c>
      <c r="Z428" s="36">
        <f>IFERROR(IF(Y428=0,"",ROUNDUP(Y428/H428,0)*0.00902),"")</f>
        <v>1.804E-2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11.516666666666667</v>
      </c>
      <c r="BN428" s="64">
        <f t="shared" si="45"/>
        <v>13.82</v>
      </c>
      <c r="BO428" s="64">
        <f t="shared" si="46"/>
        <v>1.2626262626262628E-2</v>
      </c>
      <c r="BP428" s="64">
        <f t="shared" si="47"/>
        <v>1.5151515151515152E-2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645.7954545454545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648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7.7442000000000002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3409</v>
      </c>
      <c r="Y433" s="543">
        <f>IFERROR(SUM(Y421:Y431),"0")</f>
        <v>3420.48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852</v>
      </c>
      <c r="Y435" s="542">
        <f>IFERROR(IF(X435="",0,CEILING((X435/$H435),1)*$H435),"")</f>
        <v>855.36</v>
      </c>
      <c r="Z435" s="36">
        <f>IFERROR(IF(Y435=0,"",ROUNDUP(Y435/H435,0)*0.01196),"")</f>
        <v>1.9375200000000001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908.47727272727275</v>
      </c>
      <c r="BN435" s="64">
        <f>IFERROR(Y435*I435/H435,"0")</f>
        <v>912.06</v>
      </c>
      <c r="BO435" s="64">
        <f>IFERROR(1/J435*(X435/H435),"0")</f>
        <v>1.5515734265734265</v>
      </c>
      <c r="BP435" s="64">
        <f>IFERROR(1/J435*(Y435/H435),"0")</f>
        <v>1.5576923076923077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18</v>
      </c>
      <c r="Y437" s="542">
        <f>IFERROR(IF(X437="",0,CEILING((X437/$H437),1)*$H437),"")</f>
        <v>19.2</v>
      </c>
      <c r="Z437" s="36">
        <f>IFERROR(IF(Y437=0,"",ROUNDUP(Y437/H437,0)*0.00902),"")</f>
        <v>3.6080000000000001E-2</v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25.912500000000001</v>
      </c>
      <c r="BN437" s="64">
        <f>IFERROR(Y437*I437/H437,"0")</f>
        <v>27.64</v>
      </c>
      <c r="BO437" s="64">
        <f>IFERROR(1/J437*(X437/H437),"0")</f>
        <v>2.8409090909090912E-2</v>
      </c>
      <c r="BP437" s="64">
        <f>IFERROR(1/J437*(Y437/H437),"0")</f>
        <v>3.0303030303030304E-2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165.11363636363635</v>
      </c>
      <c r="Y438" s="543">
        <f>IFERROR(Y435/H435,"0")+IFERROR(Y436/H436,"0")+IFERROR(Y437/H437,"0")</f>
        <v>166</v>
      </c>
      <c r="Z438" s="543">
        <f>IFERROR(IF(Z435="",0,Z435),"0")+IFERROR(IF(Z436="",0,Z436),"0")+IFERROR(IF(Z437="",0,Z437),"0")</f>
        <v>1.9736000000000002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870</v>
      </c>
      <c r="Y439" s="543">
        <f>IFERROR(SUM(Y435:Y437),"0")</f>
        <v>874.56000000000006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hidden="1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326</v>
      </c>
      <c r="Y442" s="542">
        <f t="shared" si="48"/>
        <v>327.36</v>
      </c>
      <c r="Z442" s="36">
        <f>IFERROR(IF(Y442=0,"",ROUNDUP(Y442/H442,0)*0.01196),"")</f>
        <v>0.74151999999999996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347.60984848484844</v>
      </c>
      <c r="BN442" s="64">
        <f t="shared" si="50"/>
        <v>349.06</v>
      </c>
      <c r="BO442" s="64">
        <f t="shared" si="51"/>
        <v>0.59367715617715622</v>
      </c>
      <c r="BP442" s="64">
        <f t="shared" si="52"/>
        <v>0.59615384615384615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275</v>
      </c>
      <c r="Y443" s="542">
        <f t="shared" si="48"/>
        <v>279.84000000000003</v>
      </c>
      <c r="Z443" s="36">
        <f>IFERROR(IF(Y443=0,"",ROUNDUP(Y443/H443,0)*0.01196),"")</f>
        <v>0.63388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293.22916666666663</v>
      </c>
      <c r="BN443" s="64">
        <f t="shared" si="50"/>
        <v>298.39000000000004</v>
      </c>
      <c r="BO443" s="64">
        <f t="shared" si="51"/>
        <v>0.50080128205128205</v>
      </c>
      <c r="BP443" s="64">
        <f t="shared" si="52"/>
        <v>0.50961538461538469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113.82575757575756</v>
      </c>
      <c r="Y447" s="543">
        <f>IFERROR(Y441/H441,"0")+IFERROR(Y442/H442,"0")+IFERROR(Y443/H443,"0")+IFERROR(Y444/H444,"0")+IFERROR(Y445/H445,"0")+IFERROR(Y446/H446,"0")</f>
        <v>115</v>
      </c>
      <c r="Z447" s="543">
        <f>IFERROR(IF(Z441="",0,Z441),"0")+IFERROR(IF(Z442="",0,Z442),"0")+IFERROR(IF(Z443="",0,Z443),"0")+IFERROR(IF(Z444="",0,Z444),"0")+IFERROR(IF(Z445="",0,Z445),"0")+IFERROR(IF(Z446="",0,Z446),"0")</f>
        <v>1.3754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601</v>
      </c>
      <c r="Y448" s="543">
        <f>IFERROR(SUM(Y441:Y446),"0")</f>
        <v>607.20000000000005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17376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17506.920000000002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18329.05497486244</v>
      </c>
      <c r="Y490" s="543">
        <f>IFERROR(SUM(BN22:BN486),"0")</f>
        <v>18468.396999999997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30</v>
      </c>
      <c r="Y491" s="38">
        <f>ROUNDUP(SUM(BP22:BP486),0)</f>
        <v>30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19079.05497486244</v>
      </c>
      <c r="Y492" s="543">
        <f>GrossWeightTotalR+PalletQtyTotalR*25</f>
        <v>19218.396999999997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2707.1342838827964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2732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35.03875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43.2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384.00000000000006</v>
      </c>
      <c r="E499" s="46">
        <f>IFERROR(Y85*1,"0")+IFERROR(Y86*1,"0")+IFERROR(Y87*1,"0")+IFERROR(Y91*1,"0")+IFERROR(Y92*1,"0")+IFERROR(Y93*1,"0")+IFERROR(Y94*1,"0")</f>
        <v>153.9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1682.7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232.62000000000003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1914.0000000000002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1.98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66.47999999999999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4755</v>
      </c>
      <c r="T499" s="46">
        <f>IFERROR(Y368*1,"0")+IFERROR(Y369*1,"0")+IFERROR(Y373*1,"0")+IFERROR(Y374*1,"0")+IFERROR(Y378*1,"0")+IFERROR(Y379*1,"0")</f>
        <v>3370.8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4902.24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1"/>
        <filter val="1 118,00"/>
        <filter val="1 294,00"/>
        <filter val="1 452,00"/>
        <filter val="1 494,00"/>
        <filter val="1,00"/>
        <filter val="1,01"/>
        <filter val="10,00"/>
        <filter val="10,63"/>
        <filter val="101,00"/>
        <filter val="103,57"/>
        <filter val="11,00"/>
        <filter val="113,83"/>
        <filter val="118,00"/>
        <filter val="12,00"/>
        <filter val="121,00"/>
        <filter val="126,48"/>
        <filter val="137,00"/>
        <filter val="14,00"/>
        <filter val="14,58"/>
        <filter val="144,00"/>
        <filter val="16,00"/>
        <filter val="165,11"/>
        <filter val="17 376,00"/>
        <filter val="18 329,05"/>
        <filter val="18,00"/>
        <filter val="19 079,05"/>
        <filter val="19,00"/>
        <filter val="2 398,00"/>
        <filter val="2 707,13"/>
        <filter val="2,00"/>
        <filter val="2,38"/>
        <filter val="20,00"/>
        <filter val="209,00"/>
        <filter val="210,00"/>
        <filter val="220,00"/>
        <filter val="227,78"/>
        <filter val="24,00"/>
        <filter val="240,93"/>
        <filter val="254,00"/>
        <filter val="259,00"/>
        <filter val="262,00"/>
        <filter val="27,00"/>
        <filter val="275,00"/>
        <filter val="28,00"/>
        <filter val="3 330,00"/>
        <filter val="3 370,00"/>
        <filter val="3 409,00"/>
        <filter val="3 614,00"/>
        <filter val="3,00"/>
        <filter val="3,24"/>
        <filter val="3,33"/>
        <filter val="30"/>
        <filter val="314,00"/>
        <filter val="324,00"/>
        <filter val="326,00"/>
        <filter val="341,00"/>
        <filter val="35,00"/>
        <filter val="36,00"/>
        <filter val="38,52"/>
        <filter val="386,67"/>
        <filter val="395,00"/>
        <filter val="4,00"/>
        <filter val="40,00"/>
        <filter val="43,00"/>
        <filter val="448,00"/>
        <filter val="449,00"/>
        <filter val="471,00"/>
        <filter val="498,00"/>
        <filter val="5,00"/>
        <filter val="5,37"/>
        <filter val="50,00"/>
        <filter val="52,00"/>
        <filter val="54,00"/>
        <filter val="561,00"/>
        <filter val="58,00"/>
        <filter val="6,00"/>
        <filter val="60,00"/>
        <filter val="601,00"/>
        <filter val="645,80"/>
        <filter val="665,00"/>
        <filter val="7,00"/>
        <filter val="7,94"/>
        <filter val="74,53"/>
        <filter val="8,00"/>
        <filter val="852,00"/>
        <filter val="86,00"/>
        <filter val="870,00"/>
        <filter val="9,50"/>
        <filter val="9,78"/>
        <filter val="90,63"/>
        <filter val="947,00"/>
        <filter val="953,00"/>
        <filter val="98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