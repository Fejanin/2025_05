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7CDC953-78EB-46B7-8A87-EB13DCCB6CC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Z499" i="1" s="1"/>
  <c r="P486" i="1"/>
  <c r="X483" i="1"/>
  <c r="X482" i="1"/>
  <c r="BO481" i="1"/>
  <c r="BM481" i="1"/>
  <c r="Y481" i="1"/>
  <c r="BP481" i="1" s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Y474" i="1" s="1"/>
  <c r="P471" i="1"/>
  <c r="X469" i="1"/>
  <c r="X468" i="1"/>
  <c r="BO467" i="1"/>
  <c r="BM467" i="1"/>
  <c r="Y467" i="1"/>
  <c r="BP467" i="1" s="1"/>
  <c r="P467" i="1"/>
  <c r="BO466" i="1"/>
  <c r="BM466" i="1"/>
  <c r="Y466" i="1"/>
  <c r="P466" i="1"/>
  <c r="BO465" i="1"/>
  <c r="BM465" i="1"/>
  <c r="Y465" i="1"/>
  <c r="Y468" i="1" s="1"/>
  <c r="P465" i="1"/>
  <c r="X463" i="1"/>
  <c r="X462" i="1"/>
  <c r="BO461" i="1"/>
  <c r="BM461" i="1"/>
  <c r="Y461" i="1"/>
  <c r="BP461" i="1" s="1"/>
  <c r="P461" i="1"/>
  <c r="BP460" i="1"/>
  <c r="BO460" i="1"/>
  <c r="BN460" i="1"/>
  <c r="BM460" i="1"/>
  <c r="Z460" i="1"/>
  <c r="Y460" i="1"/>
  <c r="P460" i="1"/>
  <c r="BO459" i="1"/>
  <c r="BM459" i="1"/>
  <c r="Y459" i="1"/>
  <c r="BP459" i="1" s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BP451" i="1" s="1"/>
  <c r="P451" i="1"/>
  <c r="BO450" i="1"/>
  <c r="BM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BP445" i="1" s="1"/>
  <c r="P445" i="1"/>
  <c r="BO444" i="1"/>
  <c r="BM444" i="1"/>
  <c r="Y444" i="1"/>
  <c r="P444" i="1"/>
  <c r="BO443" i="1"/>
  <c r="BM443" i="1"/>
  <c r="Y443" i="1"/>
  <c r="BP443" i="1" s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BP437" i="1" s="1"/>
  <c r="P437" i="1"/>
  <c r="BO436" i="1"/>
  <c r="BM436" i="1"/>
  <c r="Y436" i="1"/>
  <c r="P436" i="1"/>
  <c r="BO435" i="1"/>
  <c r="BM435" i="1"/>
  <c r="Y435" i="1"/>
  <c r="Y438" i="1" s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W499" i="1" s="1"/>
  <c r="P415" i="1"/>
  <c r="X412" i="1"/>
  <c r="X411" i="1"/>
  <c r="BO410" i="1"/>
  <c r="BM410" i="1"/>
  <c r="Y410" i="1"/>
  <c r="BP410" i="1" s="1"/>
  <c r="P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400" i="1" s="1"/>
  <c r="P397" i="1"/>
  <c r="X395" i="1"/>
  <c r="X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BP391" i="1" s="1"/>
  <c r="P391" i="1"/>
  <c r="BO390" i="1"/>
  <c r="BM390" i="1"/>
  <c r="Y390" i="1"/>
  <c r="P390" i="1"/>
  <c r="BO389" i="1"/>
  <c r="BM389" i="1"/>
  <c r="Y389" i="1"/>
  <c r="BP389" i="1" s="1"/>
  <c r="P389" i="1"/>
  <c r="BO388" i="1"/>
  <c r="BM388" i="1"/>
  <c r="Y388" i="1"/>
  <c r="P388" i="1"/>
  <c r="BO387" i="1"/>
  <c r="BM387" i="1"/>
  <c r="Y387" i="1"/>
  <c r="BP387" i="1" s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BP379" i="1" s="1"/>
  <c r="P379" i="1"/>
  <c r="BP378" i="1"/>
  <c r="BO378" i="1"/>
  <c r="BN378" i="1"/>
  <c r="BM378" i="1"/>
  <c r="Z378" i="1"/>
  <c r="Y378" i="1"/>
  <c r="P378" i="1"/>
  <c r="X376" i="1"/>
  <c r="X375" i="1"/>
  <c r="BO374" i="1"/>
  <c r="BM374" i="1"/>
  <c r="Y374" i="1"/>
  <c r="P374" i="1"/>
  <c r="BO373" i="1"/>
  <c r="BM373" i="1"/>
  <c r="Y373" i="1"/>
  <c r="Y376" i="1" s="1"/>
  <c r="P373" i="1"/>
  <c r="X371" i="1"/>
  <c r="X370" i="1"/>
  <c r="BO369" i="1"/>
  <c r="BM369" i="1"/>
  <c r="Y369" i="1"/>
  <c r="BP369" i="1" s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O358" i="1"/>
  <c r="BM358" i="1"/>
  <c r="Y358" i="1"/>
  <c r="Y361" i="1" s="1"/>
  <c r="P358" i="1"/>
  <c r="X356" i="1"/>
  <c r="X355" i="1"/>
  <c r="BO354" i="1"/>
  <c r="BM354" i="1"/>
  <c r="Y354" i="1"/>
  <c r="BP354" i="1" s="1"/>
  <c r="P354" i="1"/>
  <c r="BP353" i="1"/>
  <c r="BO353" i="1"/>
  <c r="BN353" i="1"/>
  <c r="BM353" i="1"/>
  <c r="Z353" i="1"/>
  <c r="Y353" i="1"/>
  <c r="P353" i="1"/>
  <c r="X351" i="1"/>
  <c r="X350" i="1"/>
  <c r="BO349" i="1"/>
  <c r="BM349" i="1"/>
  <c r="Y349" i="1"/>
  <c r="P349" i="1"/>
  <c r="BO348" i="1"/>
  <c r="BM348" i="1"/>
  <c r="Y348" i="1"/>
  <c r="BP348" i="1" s="1"/>
  <c r="P348" i="1"/>
  <c r="BO347" i="1"/>
  <c r="BM347" i="1"/>
  <c r="Y347" i="1"/>
  <c r="P347" i="1"/>
  <c r="BO346" i="1"/>
  <c r="BM346" i="1"/>
  <c r="Y346" i="1"/>
  <c r="BP346" i="1" s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BP337" i="1" s="1"/>
  <c r="P337" i="1"/>
  <c r="BO336" i="1"/>
  <c r="BM336" i="1"/>
  <c r="Y336" i="1"/>
  <c r="P336" i="1"/>
  <c r="BO335" i="1"/>
  <c r="BM335" i="1"/>
  <c r="Y335" i="1"/>
  <c r="R499" i="1" s="1"/>
  <c r="P335" i="1"/>
  <c r="X332" i="1"/>
  <c r="X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BP322" i="1" s="1"/>
  <c r="BO321" i="1"/>
  <c r="BM321" i="1"/>
  <c r="Y321" i="1"/>
  <c r="P321" i="1"/>
  <c r="X319" i="1"/>
  <c r="X318" i="1"/>
  <c r="BO317" i="1"/>
  <c r="BM317" i="1"/>
  <c r="Y317" i="1"/>
  <c r="BP317" i="1" s="1"/>
  <c r="P317" i="1"/>
  <c r="BO316" i="1"/>
  <c r="BM316" i="1"/>
  <c r="Y316" i="1"/>
  <c r="P316" i="1"/>
  <c r="BO315" i="1"/>
  <c r="BM315" i="1"/>
  <c r="Y315" i="1"/>
  <c r="Y318" i="1" s="1"/>
  <c r="P315" i="1"/>
  <c r="X313" i="1"/>
  <c r="X312" i="1"/>
  <c r="BO311" i="1"/>
  <c r="BM311" i="1"/>
  <c r="Y311" i="1"/>
  <c r="BP311" i="1" s="1"/>
  <c r="P311" i="1"/>
  <c r="BP310" i="1"/>
  <c r="BO310" i="1"/>
  <c r="BN310" i="1"/>
  <c r="BM310" i="1"/>
  <c r="Z310" i="1"/>
  <c r="Y310" i="1"/>
  <c r="P310" i="1"/>
  <c r="BO309" i="1"/>
  <c r="BM309" i="1"/>
  <c r="Y309" i="1"/>
  <c r="BP309" i="1" s="1"/>
  <c r="P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BP303" i="1" s="1"/>
  <c r="P303" i="1"/>
  <c r="BO302" i="1"/>
  <c r="BM302" i="1"/>
  <c r="Y302" i="1"/>
  <c r="P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BP299" i="1" s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X287" i="1"/>
  <c r="X286" i="1"/>
  <c r="BO285" i="1"/>
  <c r="BM285" i="1"/>
  <c r="Y285" i="1"/>
  <c r="P285" i="1"/>
  <c r="BO284" i="1"/>
  <c r="BM284" i="1"/>
  <c r="Y284" i="1"/>
  <c r="X282" i="1"/>
  <c r="X281" i="1"/>
  <c r="BO280" i="1"/>
  <c r="BM280" i="1"/>
  <c r="Y280" i="1"/>
  <c r="P280" i="1"/>
  <c r="BO279" i="1"/>
  <c r="BM279" i="1"/>
  <c r="Y279" i="1"/>
  <c r="Y281" i="1" s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BP255" i="1" s="1"/>
  <c r="P255" i="1"/>
  <c r="X252" i="1"/>
  <c r="X251" i="1"/>
  <c r="BO250" i="1"/>
  <c r="BM250" i="1"/>
  <c r="Y250" i="1"/>
  <c r="BP250" i="1" s="1"/>
  <c r="P250" i="1"/>
  <c r="BO249" i="1"/>
  <c r="BM249" i="1"/>
  <c r="Y249" i="1"/>
  <c r="P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Y244" i="1" s="1"/>
  <c r="P242" i="1"/>
  <c r="X240" i="1"/>
  <c r="X239" i="1"/>
  <c r="BO238" i="1"/>
  <c r="BM238" i="1"/>
  <c r="Y238" i="1"/>
  <c r="Y240" i="1" s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Y221" i="1" s="1"/>
  <c r="P219" i="1"/>
  <c r="X217" i="1"/>
  <c r="X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BP192" i="1" s="1"/>
  <c r="P192" i="1"/>
  <c r="BO191" i="1"/>
  <c r="BM191" i="1"/>
  <c r="Y191" i="1"/>
  <c r="P191" i="1"/>
  <c r="X189" i="1"/>
  <c r="X188" i="1"/>
  <c r="BO187" i="1"/>
  <c r="BM187" i="1"/>
  <c r="Y187" i="1"/>
  <c r="BP187" i="1" s="1"/>
  <c r="P187" i="1"/>
  <c r="BO186" i="1"/>
  <c r="BM186" i="1"/>
  <c r="Y186" i="1"/>
  <c r="J499" i="1" s="1"/>
  <c r="P186" i="1"/>
  <c r="X183" i="1"/>
  <c r="X182" i="1"/>
  <c r="BO181" i="1"/>
  <c r="BM181" i="1"/>
  <c r="Y181" i="1"/>
  <c r="Y183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O162" i="1"/>
  <c r="BM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Y154" i="1" s="1"/>
  <c r="X150" i="1"/>
  <c r="X149" i="1"/>
  <c r="BO148" i="1"/>
  <c r="BM148" i="1"/>
  <c r="Y148" i="1"/>
  <c r="P148" i="1"/>
  <c r="BO147" i="1"/>
  <c r="BM147" i="1"/>
  <c r="Y147" i="1"/>
  <c r="P147" i="1"/>
  <c r="BO146" i="1"/>
  <c r="BM146" i="1"/>
  <c r="Y146" i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Y109" i="1" s="1"/>
  <c r="P107" i="1"/>
  <c r="BP106" i="1"/>
  <c r="BO106" i="1"/>
  <c r="BN106" i="1"/>
  <c r="BM106" i="1"/>
  <c r="Z106" i="1"/>
  <c r="Y106" i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Y96" i="1" s="1"/>
  <c r="P92" i="1"/>
  <c r="BP91" i="1"/>
  <c r="BO91" i="1"/>
  <c r="BN91" i="1"/>
  <c r="BM91" i="1"/>
  <c r="Z91" i="1"/>
  <c r="Y91" i="1"/>
  <c r="P91" i="1"/>
  <c r="X89" i="1"/>
  <c r="X88" i="1"/>
  <c r="BO87" i="1"/>
  <c r="BM87" i="1"/>
  <c r="Y87" i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P73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Y63" i="1" s="1"/>
  <c r="P61" i="1"/>
  <c r="BP60" i="1"/>
  <c r="BO60" i="1"/>
  <c r="BN60" i="1"/>
  <c r="BM60" i="1"/>
  <c r="Z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D499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P40" i="1"/>
  <c r="X36" i="1"/>
  <c r="X35" i="1"/>
  <c r="BO34" i="1"/>
  <c r="BM34" i="1"/>
  <c r="Y34" i="1"/>
  <c r="P34" i="1"/>
  <c r="X32" i="1"/>
  <c r="X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F10" i="1" s="1"/>
  <c r="D7" i="1"/>
  <c r="Q6" i="1"/>
  <c r="P2" i="1"/>
  <c r="BP66" i="1" l="1"/>
  <c r="BN66" i="1"/>
  <c r="BP85" i="1"/>
  <c r="BN85" i="1"/>
  <c r="Z85" i="1"/>
  <c r="BP112" i="1"/>
  <c r="BN112" i="1"/>
  <c r="Z112" i="1"/>
  <c r="BP148" i="1"/>
  <c r="BN148" i="1"/>
  <c r="Z148" i="1"/>
  <c r="BP196" i="1"/>
  <c r="BN196" i="1"/>
  <c r="Z196" i="1"/>
  <c r="BP220" i="1"/>
  <c r="BN220" i="1"/>
  <c r="Z220" i="1"/>
  <c r="BP256" i="1"/>
  <c r="BN256" i="1"/>
  <c r="Z256" i="1"/>
  <c r="BP259" i="1"/>
  <c r="BN259" i="1"/>
  <c r="Z259" i="1"/>
  <c r="BP304" i="1"/>
  <c r="BN304" i="1"/>
  <c r="Z304" i="1"/>
  <c r="BP347" i="1"/>
  <c r="BN347" i="1"/>
  <c r="Z347" i="1"/>
  <c r="BP388" i="1"/>
  <c r="BN388" i="1"/>
  <c r="Z388" i="1"/>
  <c r="BP426" i="1"/>
  <c r="BN426" i="1"/>
  <c r="Z426" i="1"/>
  <c r="BP452" i="1"/>
  <c r="BN452" i="1"/>
  <c r="Z452" i="1"/>
  <c r="X490" i="1"/>
  <c r="X493" i="1"/>
  <c r="Z27" i="1"/>
  <c r="BN27" i="1"/>
  <c r="Z54" i="1"/>
  <c r="BN54" i="1"/>
  <c r="Z66" i="1"/>
  <c r="BP100" i="1"/>
  <c r="BN100" i="1"/>
  <c r="Z100" i="1"/>
  <c r="BP135" i="1"/>
  <c r="BN135" i="1"/>
  <c r="Z135" i="1"/>
  <c r="BP168" i="1"/>
  <c r="BN168" i="1"/>
  <c r="Z168" i="1"/>
  <c r="BP208" i="1"/>
  <c r="BN208" i="1"/>
  <c r="Z208" i="1"/>
  <c r="BP231" i="1"/>
  <c r="BN231" i="1"/>
  <c r="Z231" i="1"/>
  <c r="BP280" i="1"/>
  <c r="BN280" i="1"/>
  <c r="Z280" i="1"/>
  <c r="BP294" i="1"/>
  <c r="BN294" i="1"/>
  <c r="Z294" i="1"/>
  <c r="BP344" i="1"/>
  <c r="BN344" i="1"/>
  <c r="Z344" i="1"/>
  <c r="Y365" i="1"/>
  <c r="Y364" i="1"/>
  <c r="BP363" i="1"/>
  <c r="BN363" i="1"/>
  <c r="Z363" i="1"/>
  <c r="Z364" i="1" s="1"/>
  <c r="BP368" i="1"/>
  <c r="BN368" i="1"/>
  <c r="Z368" i="1"/>
  <c r="Y404" i="1"/>
  <c r="BP403" i="1"/>
  <c r="BN403" i="1"/>
  <c r="Z403" i="1"/>
  <c r="Z404" i="1" s="1"/>
  <c r="BP407" i="1"/>
  <c r="BN407" i="1"/>
  <c r="Z407" i="1"/>
  <c r="BP442" i="1"/>
  <c r="BN442" i="1"/>
  <c r="Z442" i="1"/>
  <c r="BP472" i="1"/>
  <c r="BN472" i="1"/>
  <c r="Z472" i="1"/>
  <c r="Y69" i="1"/>
  <c r="Y88" i="1"/>
  <c r="Y117" i="1"/>
  <c r="BP80" i="1"/>
  <c r="BN80" i="1"/>
  <c r="Z80" i="1"/>
  <c r="BP93" i="1"/>
  <c r="BN93" i="1"/>
  <c r="Z93" i="1"/>
  <c r="BP108" i="1"/>
  <c r="BN108" i="1"/>
  <c r="Z108" i="1"/>
  <c r="Y131" i="1"/>
  <c r="BP129" i="1"/>
  <c r="BN129" i="1"/>
  <c r="Z129" i="1"/>
  <c r="Y150" i="1"/>
  <c r="BP146" i="1"/>
  <c r="BN146" i="1"/>
  <c r="Z146" i="1"/>
  <c r="BP166" i="1"/>
  <c r="BN166" i="1"/>
  <c r="Z166" i="1"/>
  <c r="Y194" i="1"/>
  <c r="BP191" i="1"/>
  <c r="BN191" i="1"/>
  <c r="Z191" i="1"/>
  <c r="BP202" i="1"/>
  <c r="BN202" i="1"/>
  <c r="Z202" i="1"/>
  <c r="BP214" i="1"/>
  <c r="BN214" i="1"/>
  <c r="Z214" i="1"/>
  <c r="BP229" i="1"/>
  <c r="BN229" i="1"/>
  <c r="Z229" i="1"/>
  <c r="BP249" i="1"/>
  <c r="BN249" i="1"/>
  <c r="Z249" i="1"/>
  <c r="X491" i="1"/>
  <c r="X492" i="1" s="1"/>
  <c r="X489" i="1"/>
  <c r="Z29" i="1"/>
  <c r="BN29" i="1"/>
  <c r="C499" i="1"/>
  <c r="Z52" i="1"/>
  <c r="BN52" i="1"/>
  <c r="Z56" i="1"/>
  <c r="BN56" i="1"/>
  <c r="Y64" i="1"/>
  <c r="Z62" i="1"/>
  <c r="BN62" i="1"/>
  <c r="Y70" i="1"/>
  <c r="Z68" i="1"/>
  <c r="BN68" i="1"/>
  <c r="Y76" i="1"/>
  <c r="BP72" i="1"/>
  <c r="BP87" i="1"/>
  <c r="BN87" i="1"/>
  <c r="Z87" i="1"/>
  <c r="BP102" i="1"/>
  <c r="BN102" i="1"/>
  <c r="Z102" i="1"/>
  <c r="BP114" i="1"/>
  <c r="BN114" i="1"/>
  <c r="Z114" i="1"/>
  <c r="BP140" i="1"/>
  <c r="BN140" i="1"/>
  <c r="Z140" i="1"/>
  <c r="Y173" i="1"/>
  <c r="BP162" i="1"/>
  <c r="BN162" i="1"/>
  <c r="Z162" i="1"/>
  <c r="BP170" i="1"/>
  <c r="BN170" i="1"/>
  <c r="Z170" i="1"/>
  <c r="BP198" i="1"/>
  <c r="BN198" i="1"/>
  <c r="Z198" i="1"/>
  <c r="BP210" i="1"/>
  <c r="BN210" i="1"/>
  <c r="Z210" i="1"/>
  <c r="BP225" i="1"/>
  <c r="BN225" i="1"/>
  <c r="Z225" i="1"/>
  <c r="BP233" i="1"/>
  <c r="BN233" i="1"/>
  <c r="Z233" i="1"/>
  <c r="BP264" i="1"/>
  <c r="BN264" i="1"/>
  <c r="Z264" i="1"/>
  <c r="BP285" i="1"/>
  <c r="BN285" i="1"/>
  <c r="Z285" i="1"/>
  <c r="Y306" i="1"/>
  <c r="BP298" i="1"/>
  <c r="BN298" i="1"/>
  <c r="Z298" i="1"/>
  <c r="Y312" i="1"/>
  <c r="BP308" i="1"/>
  <c r="BN308" i="1"/>
  <c r="Z308" i="1"/>
  <c r="BP323" i="1"/>
  <c r="BN323" i="1"/>
  <c r="Z323" i="1"/>
  <c r="BP349" i="1"/>
  <c r="BN349" i="1"/>
  <c r="Z349" i="1"/>
  <c r="BP374" i="1"/>
  <c r="BN374" i="1"/>
  <c r="Z374" i="1"/>
  <c r="BP390" i="1"/>
  <c r="BN390" i="1"/>
  <c r="Z390" i="1"/>
  <c r="BP409" i="1"/>
  <c r="BN409" i="1"/>
  <c r="Z409" i="1"/>
  <c r="BP428" i="1"/>
  <c r="BN428" i="1"/>
  <c r="Z428" i="1"/>
  <c r="BP444" i="1"/>
  <c r="BN444" i="1"/>
  <c r="Z444" i="1"/>
  <c r="Y46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77" i="1"/>
  <c r="Y95" i="1"/>
  <c r="F499" i="1"/>
  <c r="Y110" i="1"/>
  <c r="Y116" i="1"/>
  <c r="G499" i="1"/>
  <c r="Y132" i="1"/>
  <c r="Y143" i="1"/>
  <c r="Y149" i="1"/>
  <c r="I499" i="1"/>
  <c r="Y179" i="1"/>
  <c r="Y205" i="1"/>
  <c r="Y217" i="1"/>
  <c r="Y252" i="1"/>
  <c r="BP273" i="1"/>
  <c r="BN273" i="1"/>
  <c r="Z273" i="1"/>
  <c r="BP292" i="1"/>
  <c r="BN292" i="1"/>
  <c r="Z292" i="1"/>
  <c r="BP302" i="1"/>
  <c r="BN302" i="1"/>
  <c r="Z302" i="1"/>
  <c r="BP316" i="1"/>
  <c r="BN316" i="1"/>
  <c r="Z316" i="1"/>
  <c r="BP336" i="1"/>
  <c r="BN336" i="1"/>
  <c r="Z336" i="1"/>
  <c r="BP359" i="1"/>
  <c r="BN359" i="1"/>
  <c r="Z359" i="1"/>
  <c r="U499" i="1"/>
  <c r="BP386" i="1"/>
  <c r="BN386" i="1"/>
  <c r="Z386" i="1"/>
  <c r="BP398" i="1"/>
  <c r="BN398" i="1"/>
  <c r="Z398" i="1"/>
  <c r="BP424" i="1"/>
  <c r="BN424" i="1"/>
  <c r="Z424" i="1"/>
  <c r="BP436" i="1"/>
  <c r="BN436" i="1"/>
  <c r="Z436" i="1"/>
  <c r="Y454" i="1"/>
  <c r="BP450" i="1"/>
  <c r="BN450" i="1"/>
  <c r="Z450" i="1"/>
  <c r="BP466" i="1"/>
  <c r="BN466" i="1"/>
  <c r="Z466" i="1"/>
  <c r="Y269" i="1"/>
  <c r="Y325" i="1"/>
  <c r="Y331" i="1"/>
  <c r="S499" i="1"/>
  <c r="Y355" i="1"/>
  <c r="Y380" i="1"/>
  <c r="Y411" i="1"/>
  <c r="Y448" i="1"/>
  <c r="F9" i="1"/>
  <c r="J9" i="1"/>
  <c r="B499" i="1"/>
  <c r="Y23" i="1"/>
  <c r="BP22" i="1"/>
  <c r="BN22" i="1"/>
  <c r="Z22" i="1"/>
  <c r="Z23" i="1" s="1"/>
  <c r="Y24" i="1"/>
  <c r="Y31" i="1"/>
  <c r="BP26" i="1"/>
  <c r="BN26" i="1"/>
  <c r="Z26" i="1"/>
  <c r="BP30" i="1"/>
  <c r="BN30" i="1"/>
  <c r="Z30" i="1"/>
  <c r="Y32" i="1"/>
  <c r="Y36" i="1"/>
  <c r="Y35" i="1"/>
  <c r="BP34" i="1"/>
  <c r="BN34" i="1"/>
  <c r="Z34" i="1"/>
  <c r="Z35" i="1" s="1"/>
  <c r="H9" i="1"/>
  <c r="A10" i="1"/>
  <c r="BP28" i="1"/>
  <c r="BN28" i="1"/>
  <c r="Z28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Z53" i="1"/>
  <c r="BN53" i="1"/>
  <c r="Z55" i="1"/>
  <c r="BN55" i="1"/>
  <c r="Y58" i="1"/>
  <c r="Z61" i="1"/>
  <c r="Z63" i="1" s="1"/>
  <c r="BN61" i="1"/>
  <c r="BP61" i="1"/>
  <c r="Z67" i="1"/>
  <c r="Z69" i="1" s="1"/>
  <c r="BN67" i="1"/>
  <c r="BP67" i="1"/>
  <c r="Z73" i="1"/>
  <c r="BN73" i="1"/>
  <c r="BP73" i="1"/>
  <c r="Z75" i="1"/>
  <c r="BN75" i="1"/>
  <c r="Z79" i="1"/>
  <c r="BN79" i="1"/>
  <c r="BP79" i="1"/>
  <c r="Y82" i="1"/>
  <c r="E499" i="1"/>
  <c r="Z86" i="1"/>
  <c r="Z88" i="1" s="1"/>
  <c r="BN86" i="1"/>
  <c r="BP86" i="1"/>
  <c r="Y89" i="1"/>
  <c r="Z92" i="1"/>
  <c r="BN92" i="1"/>
  <c r="BP92" i="1"/>
  <c r="Z94" i="1"/>
  <c r="BN94" i="1"/>
  <c r="Z99" i="1"/>
  <c r="BN99" i="1"/>
  <c r="BP99" i="1"/>
  <c r="Z101" i="1"/>
  <c r="BN101" i="1"/>
  <c r="Y104" i="1"/>
  <c r="Z107" i="1"/>
  <c r="BN107" i="1"/>
  <c r="BP107" i="1"/>
  <c r="Z113" i="1"/>
  <c r="BN113" i="1"/>
  <c r="BP113" i="1"/>
  <c r="Z115" i="1"/>
  <c r="BN115" i="1"/>
  <c r="Z119" i="1"/>
  <c r="Z120" i="1" s="1"/>
  <c r="BN119" i="1"/>
  <c r="BP119" i="1"/>
  <c r="Y120" i="1"/>
  <c r="Z124" i="1"/>
  <c r="Z126" i="1" s="1"/>
  <c r="BN124" i="1"/>
  <c r="BP124" i="1"/>
  <c r="Y127" i="1"/>
  <c r="Z130" i="1"/>
  <c r="BN130" i="1"/>
  <c r="BP130" i="1"/>
  <c r="Z134" i="1"/>
  <c r="Z136" i="1" s="1"/>
  <c r="BN134" i="1"/>
  <c r="BP134" i="1"/>
  <c r="Y137" i="1"/>
  <c r="H499" i="1"/>
  <c r="Z141" i="1"/>
  <c r="BN141" i="1"/>
  <c r="BP141" i="1"/>
  <c r="Y144" i="1"/>
  <c r="Z147" i="1"/>
  <c r="BN147" i="1"/>
  <c r="BP147" i="1"/>
  <c r="Z152" i="1"/>
  <c r="Z153" i="1" s="1"/>
  <c r="BN152" i="1"/>
  <c r="BP152" i="1"/>
  <c r="Y153" i="1"/>
  <c r="Z158" i="1"/>
  <c r="Z159" i="1" s="1"/>
  <c r="BN158" i="1"/>
  <c r="BP158" i="1"/>
  <c r="Y159" i="1"/>
  <c r="Z163" i="1"/>
  <c r="BN163" i="1"/>
  <c r="Z165" i="1"/>
  <c r="BN165" i="1"/>
  <c r="Z167" i="1"/>
  <c r="BN167" i="1"/>
  <c r="Z169" i="1"/>
  <c r="BN169" i="1"/>
  <c r="Z171" i="1"/>
  <c r="BN171" i="1"/>
  <c r="Y172" i="1"/>
  <c r="Z175" i="1"/>
  <c r="BN175" i="1"/>
  <c r="BP175" i="1"/>
  <c r="Z177" i="1"/>
  <c r="BN177" i="1"/>
  <c r="Y178" i="1"/>
  <c r="Z181" i="1"/>
  <c r="Z182" i="1" s="1"/>
  <c r="BN181" i="1"/>
  <c r="BP181" i="1"/>
  <c r="Y182" i="1"/>
  <c r="Z186" i="1"/>
  <c r="BN186" i="1"/>
  <c r="BP186" i="1"/>
  <c r="Y189" i="1"/>
  <c r="Z192" i="1"/>
  <c r="BN192" i="1"/>
  <c r="Y193" i="1"/>
  <c r="BP197" i="1"/>
  <c r="BN197" i="1"/>
  <c r="Z197" i="1"/>
  <c r="BP201" i="1"/>
  <c r="BN201" i="1"/>
  <c r="Z201" i="1"/>
  <c r="Y44" i="1"/>
  <c r="Y57" i="1"/>
  <c r="Y103" i="1"/>
  <c r="Y126" i="1"/>
  <c r="Y160" i="1"/>
  <c r="Z187" i="1"/>
  <c r="BN187" i="1"/>
  <c r="Y188" i="1"/>
  <c r="Z193" i="1"/>
  <c r="BP199" i="1"/>
  <c r="BN199" i="1"/>
  <c r="Z199" i="1"/>
  <c r="Z203" i="1"/>
  <c r="BN203" i="1"/>
  <c r="Y204" i="1"/>
  <c r="Z207" i="1"/>
  <c r="BN207" i="1"/>
  <c r="BP207" i="1"/>
  <c r="Z209" i="1"/>
  <c r="BN209" i="1"/>
  <c r="Z211" i="1"/>
  <c r="BN211" i="1"/>
  <c r="Z213" i="1"/>
  <c r="BN213" i="1"/>
  <c r="Z215" i="1"/>
  <c r="BN215" i="1"/>
  <c r="Y216" i="1"/>
  <c r="Z219" i="1"/>
  <c r="Z221" i="1" s="1"/>
  <c r="BN219" i="1"/>
  <c r="BP219" i="1"/>
  <c r="Y222" i="1"/>
  <c r="K499" i="1"/>
  <c r="Z226" i="1"/>
  <c r="BN226" i="1"/>
  <c r="Z228" i="1"/>
  <c r="BN228" i="1"/>
  <c r="Z230" i="1"/>
  <c r="BN230" i="1"/>
  <c r="Z232" i="1"/>
  <c r="BN232" i="1"/>
  <c r="Z234" i="1"/>
  <c r="BN234" i="1"/>
  <c r="Y235" i="1"/>
  <c r="Z238" i="1"/>
  <c r="Z239" i="1" s="1"/>
  <c r="BN238" i="1"/>
  <c r="BP238" i="1"/>
  <c r="Y239" i="1"/>
  <c r="Z242" i="1"/>
  <c r="Z243" i="1" s="1"/>
  <c r="BN242" i="1"/>
  <c r="BP242" i="1"/>
  <c r="Y243" i="1"/>
  <c r="Z246" i="1"/>
  <c r="BN246" i="1"/>
  <c r="BP246" i="1"/>
  <c r="Z248" i="1"/>
  <c r="BN248" i="1"/>
  <c r="Z250" i="1"/>
  <c r="BN250" i="1"/>
  <c r="Y251" i="1"/>
  <c r="Z255" i="1"/>
  <c r="BN255" i="1"/>
  <c r="Z257" i="1"/>
  <c r="BN257" i="1"/>
  <c r="BP258" i="1"/>
  <c r="BN258" i="1"/>
  <c r="Z258" i="1"/>
  <c r="BP267" i="1"/>
  <c r="BN267" i="1"/>
  <c r="Z267" i="1"/>
  <c r="O499" i="1"/>
  <c r="Y275" i="1"/>
  <c r="BP272" i="1"/>
  <c r="BN272" i="1"/>
  <c r="Z272" i="1"/>
  <c r="Y287" i="1"/>
  <c r="BP284" i="1"/>
  <c r="BN284" i="1"/>
  <c r="Z284" i="1"/>
  <c r="Z286" i="1" s="1"/>
  <c r="BP293" i="1"/>
  <c r="BN293" i="1"/>
  <c r="Z293" i="1"/>
  <c r="Y236" i="1"/>
  <c r="L499" i="1"/>
  <c r="Y261" i="1"/>
  <c r="Y260" i="1"/>
  <c r="BP265" i="1"/>
  <c r="BN265" i="1"/>
  <c r="Z265" i="1"/>
  <c r="BP274" i="1"/>
  <c r="BN274" i="1"/>
  <c r="Z274" i="1"/>
  <c r="Y276" i="1"/>
  <c r="P499" i="1"/>
  <c r="Y282" i="1"/>
  <c r="BP279" i="1"/>
  <c r="BN279" i="1"/>
  <c r="Z279" i="1"/>
  <c r="Z281" i="1" s="1"/>
  <c r="Y286" i="1"/>
  <c r="BP291" i="1"/>
  <c r="BN291" i="1"/>
  <c r="Z291" i="1"/>
  <c r="Z295" i="1" s="1"/>
  <c r="Y295" i="1"/>
  <c r="Y305" i="1"/>
  <c r="Y313" i="1"/>
  <c r="Y319" i="1"/>
  <c r="Y326" i="1"/>
  <c r="Y332" i="1"/>
  <c r="Y339" i="1"/>
  <c r="Y350" i="1"/>
  <c r="Y356" i="1"/>
  <c r="Y360" i="1"/>
  <c r="Y371" i="1"/>
  <c r="Y375" i="1"/>
  <c r="Y381" i="1"/>
  <c r="Y395" i="1"/>
  <c r="Y399" i="1"/>
  <c r="Y412" i="1"/>
  <c r="Y417" i="1"/>
  <c r="X499" i="1"/>
  <c r="Y432" i="1"/>
  <c r="Y433" i="1"/>
  <c r="BP423" i="1"/>
  <c r="BN423" i="1"/>
  <c r="BP425" i="1"/>
  <c r="BN425" i="1"/>
  <c r="Z425" i="1"/>
  <c r="BP429" i="1"/>
  <c r="BN429" i="1"/>
  <c r="Z429" i="1"/>
  <c r="M499" i="1"/>
  <c r="Y268" i="1"/>
  <c r="Q499" i="1"/>
  <c r="Y296" i="1"/>
  <c r="Z299" i="1"/>
  <c r="BN299" i="1"/>
  <c r="Z301" i="1"/>
  <c r="BN301" i="1"/>
  <c r="Z303" i="1"/>
  <c r="BN303" i="1"/>
  <c r="Z309" i="1"/>
  <c r="BN309" i="1"/>
  <c r="Z311" i="1"/>
  <c r="BN311" i="1"/>
  <c r="Z315" i="1"/>
  <c r="BN315" i="1"/>
  <c r="BP315" i="1"/>
  <c r="Z317" i="1"/>
  <c r="BN317" i="1"/>
  <c r="Z321" i="1"/>
  <c r="BN321" i="1"/>
  <c r="BP321" i="1"/>
  <c r="Z322" i="1"/>
  <c r="BN322" i="1"/>
  <c r="Z324" i="1"/>
  <c r="BN324" i="1"/>
  <c r="Z328" i="1"/>
  <c r="BN328" i="1"/>
  <c r="BP328" i="1"/>
  <c r="Z330" i="1"/>
  <c r="BN330" i="1"/>
  <c r="Z335" i="1"/>
  <c r="BN335" i="1"/>
  <c r="BP335" i="1"/>
  <c r="Z337" i="1"/>
  <c r="BN337" i="1"/>
  <c r="Y338" i="1"/>
  <c r="Z343" i="1"/>
  <c r="BN343" i="1"/>
  <c r="BP343" i="1"/>
  <c r="Z345" i="1"/>
  <c r="BN345" i="1"/>
  <c r="Z346" i="1"/>
  <c r="BN346" i="1"/>
  <c r="Z348" i="1"/>
  <c r="BN348" i="1"/>
  <c r="Y351" i="1"/>
  <c r="Z354" i="1"/>
  <c r="Z355" i="1" s="1"/>
  <c r="BN354" i="1"/>
  <c r="Z358" i="1"/>
  <c r="Z360" i="1" s="1"/>
  <c r="BN358" i="1"/>
  <c r="BP358" i="1"/>
  <c r="T499" i="1"/>
  <c r="Z369" i="1"/>
  <c r="Z370" i="1" s="1"/>
  <c r="BN369" i="1"/>
  <c r="Y370" i="1"/>
  <c r="Z373" i="1"/>
  <c r="BN373" i="1"/>
  <c r="BP373" i="1"/>
  <c r="Z379" i="1"/>
  <c r="Z380" i="1" s="1"/>
  <c r="BN379" i="1"/>
  <c r="Z385" i="1"/>
  <c r="BN385" i="1"/>
  <c r="BP385" i="1"/>
  <c r="Z387" i="1"/>
  <c r="BN387" i="1"/>
  <c r="Z389" i="1"/>
  <c r="BN389" i="1"/>
  <c r="Z391" i="1"/>
  <c r="BN391" i="1"/>
  <c r="Z393" i="1"/>
  <c r="BN393" i="1"/>
  <c r="Y394" i="1"/>
  <c r="Z397" i="1"/>
  <c r="Z399" i="1" s="1"/>
  <c r="BN397" i="1"/>
  <c r="BP397" i="1"/>
  <c r="V499" i="1"/>
  <c r="Y405" i="1"/>
  <c r="Z408" i="1"/>
  <c r="BN408" i="1"/>
  <c r="Z410" i="1"/>
  <c r="BN410" i="1"/>
  <c r="Z415" i="1"/>
  <c r="Z416" i="1" s="1"/>
  <c r="BN415" i="1"/>
  <c r="BP415" i="1"/>
  <c r="Y416" i="1"/>
  <c r="Z421" i="1"/>
  <c r="BN421" i="1"/>
  <c r="BP421" i="1"/>
  <c r="Z423" i="1"/>
  <c r="BP427" i="1"/>
  <c r="BN427" i="1"/>
  <c r="Z427" i="1"/>
  <c r="BP431" i="1"/>
  <c r="BN431" i="1"/>
  <c r="Z431" i="1"/>
  <c r="Y439" i="1"/>
  <c r="Y447" i="1"/>
  <c r="Y453" i="1"/>
  <c r="Y463" i="1"/>
  <c r="Y469" i="1"/>
  <c r="Y473" i="1"/>
  <c r="Y483" i="1"/>
  <c r="Y488" i="1"/>
  <c r="Y499" i="1"/>
  <c r="Z435" i="1"/>
  <c r="Z438" i="1" s="1"/>
  <c r="BN435" i="1"/>
  <c r="BP435" i="1"/>
  <c r="Z437" i="1"/>
  <c r="BN437" i="1"/>
  <c r="Z441" i="1"/>
  <c r="BN441" i="1"/>
  <c r="BP441" i="1"/>
  <c r="Z443" i="1"/>
  <c r="BN443" i="1"/>
  <c r="Z445" i="1"/>
  <c r="BN445" i="1"/>
  <c r="Z451" i="1"/>
  <c r="Z453" i="1" s="1"/>
  <c r="BN451" i="1"/>
  <c r="Z459" i="1"/>
  <c r="BN459" i="1"/>
  <c r="Z461" i="1"/>
  <c r="BN461" i="1"/>
  <c r="Z465" i="1"/>
  <c r="Z468" i="1" s="1"/>
  <c r="BN465" i="1"/>
  <c r="BP465" i="1"/>
  <c r="Z467" i="1"/>
  <c r="BN467" i="1"/>
  <c r="Z471" i="1"/>
  <c r="BN471" i="1"/>
  <c r="BP471" i="1"/>
  <c r="Z481" i="1"/>
  <c r="Z482" i="1" s="1"/>
  <c r="BN481" i="1"/>
  <c r="Z486" i="1"/>
  <c r="Z487" i="1" s="1"/>
  <c r="BN486" i="1"/>
  <c r="BP486" i="1"/>
  <c r="Y487" i="1"/>
  <c r="Z172" i="1" l="1"/>
  <c r="Z473" i="1"/>
  <c r="Z268" i="1"/>
  <c r="Z462" i="1"/>
  <c r="Z235" i="1"/>
  <c r="Z204" i="1"/>
  <c r="Z411" i="1"/>
  <c r="Z375" i="1"/>
  <c r="Z331" i="1"/>
  <c r="Z318" i="1"/>
  <c r="Z312" i="1"/>
  <c r="Z305" i="1"/>
  <c r="Z188" i="1"/>
  <c r="Z178" i="1"/>
  <c r="Z149" i="1"/>
  <c r="Z143" i="1"/>
  <c r="Z131" i="1"/>
  <c r="Z116" i="1"/>
  <c r="Z109" i="1"/>
  <c r="Z103" i="1"/>
  <c r="Z95" i="1"/>
  <c r="Z81" i="1"/>
  <c r="Z76" i="1"/>
  <c r="Z432" i="1"/>
  <c r="Y491" i="1"/>
  <c r="Z447" i="1"/>
  <c r="Z394" i="1"/>
  <c r="Z350" i="1"/>
  <c r="Z338" i="1"/>
  <c r="Z325" i="1"/>
  <c r="Z275" i="1"/>
  <c r="Z260" i="1"/>
  <c r="Z251" i="1"/>
  <c r="Z216" i="1"/>
  <c r="Z57" i="1"/>
  <c r="Z43" i="1"/>
  <c r="Z31" i="1"/>
  <c r="Y489" i="1"/>
  <c r="Y490" i="1"/>
  <c r="Y492" i="1" s="1"/>
  <c r="Y493" i="1"/>
  <c r="Z494" i="1" l="1"/>
</calcChain>
</file>

<file path=xl/sharedStrings.xml><?xml version="1.0" encoding="utf-8"?>
<sst xmlns="http://schemas.openxmlformats.org/spreadsheetml/2006/main" count="2283" uniqueCount="768">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</sst>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91" sqref="AA91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590" t="s">
        <v>0</v>
      </c>
      <c r="E1" s="581"/>
      <c r="F1" s="581"/>
      <c r="G1" s="12" t="s">
        <v>1</v>
      </c>
      <c r="H1" s="590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9" t="s">
        <v>8</v>
      </c>
      <c r="B5" s="593"/>
      <c r="C5" s="594"/>
      <c r="D5" s="632"/>
      <c r="E5" s="633"/>
      <c r="F5" s="835" t="s">
        <v>9</v>
      </c>
      <c r="G5" s="594"/>
      <c r="H5" s="632" t="s">
        <v>767</v>
      </c>
      <c r="I5" s="783"/>
      <c r="J5" s="783"/>
      <c r="K5" s="783"/>
      <c r="L5" s="783"/>
      <c r="M5" s="633"/>
      <c r="N5" s="58"/>
      <c r="P5" s="24" t="s">
        <v>10</v>
      </c>
      <c r="Q5" s="813">
        <v>45983</v>
      </c>
      <c r="R5" s="658"/>
      <c r="T5" s="707" t="s">
        <v>11</v>
      </c>
      <c r="U5" s="708"/>
      <c r="V5" s="709" t="s">
        <v>12</v>
      </c>
      <c r="W5" s="658"/>
      <c r="AB5" s="51"/>
      <c r="AC5" s="51"/>
      <c r="AD5" s="51"/>
      <c r="AE5" s="51"/>
    </row>
    <row r="6" spans="1:32" s="535" customFormat="1" ht="24" customHeight="1" x14ac:dyDescent="0.2">
      <c r="A6" s="659" t="s">
        <v>13</v>
      </c>
      <c r="B6" s="593"/>
      <c r="C6" s="594"/>
      <c r="D6" s="786" t="s">
        <v>14</v>
      </c>
      <c r="E6" s="787"/>
      <c r="F6" s="787"/>
      <c r="G6" s="787"/>
      <c r="H6" s="787"/>
      <c r="I6" s="787"/>
      <c r="J6" s="787"/>
      <c r="K6" s="787"/>
      <c r="L6" s="787"/>
      <c r="M6" s="658"/>
      <c r="N6" s="59"/>
      <c r="P6" s="24" t="s">
        <v>15</v>
      </c>
      <c r="Q6" s="814" t="str">
        <f>IF(Q5=0," ",CHOOSE(WEEKDAY(Q5,2),"Понедельник","Вторник","Среда","Четверг","Пятница","Суббота","Воскресенье"))</f>
        <v>Суббота</v>
      </c>
      <c r="R6" s="549"/>
      <c r="T6" s="715" t="s">
        <v>16</v>
      </c>
      <c r="U6" s="708"/>
      <c r="V6" s="731" t="s">
        <v>17</v>
      </c>
      <c r="W6" s="59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12" t="str">
        <f>IFERROR(VLOOKUP(DeliveryAddress,Table,3,0),1)</f>
        <v>1</v>
      </c>
      <c r="E7" s="613"/>
      <c r="F7" s="613"/>
      <c r="G7" s="613"/>
      <c r="H7" s="613"/>
      <c r="I7" s="613"/>
      <c r="J7" s="613"/>
      <c r="K7" s="613"/>
      <c r="L7" s="613"/>
      <c r="M7" s="614"/>
      <c r="N7" s="60"/>
      <c r="P7" s="24"/>
      <c r="Q7" s="42"/>
      <c r="R7" s="42"/>
      <c r="T7" s="555"/>
      <c r="U7" s="708"/>
      <c r="V7" s="732"/>
      <c r="W7" s="733"/>
      <c r="AB7" s="51"/>
      <c r="AC7" s="51"/>
      <c r="AD7" s="51"/>
      <c r="AE7" s="51"/>
    </row>
    <row r="8" spans="1:32" s="535" customFormat="1" ht="25.5" customHeight="1" x14ac:dyDescent="0.2">
      <c r="A8" s="818" t="s">
        <v>18</v>
      </c>
      <c r="B8" s="560"/>
      <c r="C8" s="561"/>
      <c r="D8" s="620" t="s">
        <v>19</v>
      </c>
      <c r="E8" s="621"/>
      <c r="F8" s="621"/>
      <c r="G8" s="621"/>
      <c r="H8" s="621"/>
      <c r="I8" s="621"/>
      <c r="J8" s="621"/>
      <c r="K8" s="621"/>
      <c r="L8" s="621"/>
      <c r="M8" s="622"/>
      <c r="N8" s="61"/>
      <c r="P8" s="24" t="s">
        <v>20</v>
      </c>
      <c r="Q8" s="660">
        <v>0.5</v>
      </c>
      <c r="R8" s="614"/>
      <c r="T8" s="555"/>
      <c r="U8" s="708"/>
      <c r="V8" s="732"/>
      <c r="W8" s="733"/>
      <c r="AB8" s="51"/>
      <c r="AC8" s="51"/>
      <c r="AD8" s="51"/>
      <c r="AE8" s="51"/>
    </row>
    <row r="9" spans="1:32" s="535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1"/>
      <c r="E9" s="568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3"/>
      <c r="P9" s="26" t="s">
        <v>21</v>
      </c>
      <c r="Q9" s="655"/>
      <c r="R9" s="656"/>
      <c r="T9" s="555"/>
      <c r="U9" s="708"/>
      <c r="V9" s="734"/>
      <c r="W9" s="73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1"/>
      <c r="E10" s="568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6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6"/>
      <c r="R10" s="717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7"/>
      <c r="R11" s="658"/>
      <c r="U11" s="24" t="s">
        <v>27</v>
      </c>
      <c r="V11" s="794" t="s">
        <v>28</v>
      </c>
      <c r="W11" s="656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592" t="s">
        <v>29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4"/>
      <c r="N12" s="62"/>
      <c r="P12" s="24" t="s">
        <v>30</v>
      </c>
      <c r="Q12" s="660"/>
      <c r="R12" s="614"/>
      <c r="S12" s="23"/>
      <c r="U12" s="24"/>
      <c r="V12" s="581"/>
      <c r="W12" s="555"/>
      <c r="AB12" s="51"/>
      <c r="AC12" s="51"/>
      <c r="AD12" s="51"/>
      <c r="AE12" s="51"/>
    </row>
    <row r="13" spans="1:32" s="535" customFormat="1" ht="23.25" customHeight="1" x14ac:dyDescent="0.2">
      <c r="A13" s="592" t="s">
        <v>31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4"/>
      <c r="N13" s="62"/>
      <c r="O13" s="26"/>
      <c r="P13" s="26" t="s">
        <v>32</v>
      </c>
      <c r="Q13" s="794"/>
      <c r="R13" s="6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592" t="s">
        <v>33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4"/>
      <c r="N15" s="63"/>
      <c r="P15" s="640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41"/>
      <c r="Q16" s="641"/>
      <c r="R16" s="641"/>
      <c r="S16" s="641"/>
      <c r="T16" s="64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5" t="s">
        <v>36</v>
      </c>
      <c r="B17" s="595" t="s">
        <v>37</v>
      </c>
      <c r="C17" s="695" t="s">
        <v>38</v>
      </c>
      <c r="D17" s="595" t="s">
        <v>39</v>
      </c>
      <c r="E17" s="650"/>
      <c r="F17" s="595" t="s">
        <v>40</v>
      </c>
      <c r="G17" s="595" t="s">
        <v>41</v>
      </c>
      <c r="H17" s="595" t="s">
        <v>42</v>
      </c>
      <c r="I17" s="595" t="s">
        <v>43</v>
      </c>
      <c r="J17" s="595" t="s">
        <v>44</v>
      </c>
      <c r="K17" s="595" t="s">
        <v>45</v>
      </c>
      <c r="L17" s="595" t="s">
        <v>46</v>
      </c>
      <c r="M17" s="595" t="s">
        <v>47</v>
      </c>
      <c r="N17" s="595" t="s">
        <v>48</v>
      </c>
      <c r="O17" s="595" t="s">
        <v>49</v>
      </c>
      <c r="P17" s="595" t="s">
        <v>50</v>
      </c>
      <c r="Q17" s="649"/>
      <c r="R17" s="649"/>
      <c r="S17" s="649"/>
      <c r="T17" s="650"/>
      <c r="U17" s="815" t="s">
        <v>51</v>
      </c>
      <c r="V17" s="594"/>
      <c r="W17" s="595" t="s">
        <v>52</v>
      </c>
      <c r="X17" s="595" t="s">
        <v>53</v>
      </c>
      <c r="Y17" s="816" t="s">
        <v>54</v>
      </c>
      <c r="Z17" s="736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96"/>
      <c r="B18" s="596"/>
      <c r="C18" s="596"/>
      <c r="D18" s="651"/>
      <c r="E18" s="653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6"/>
      <c r="X18" s="596"/>
      <c r="Y18" s="817"/>
      <c r="Z18" s="737"/>
      <c r="AA18" s="763"/>
      <c r="AB18" s="763"/>
      <c r="AC18" s="763"/>
      <c r="AD18" s="832"/>
      <c r="AE18" s="833"/>
      <c r="AF18" s="834"/>
      <c r="AG18" s="66"/>
      <c r="BD18" s="65"/>
    </row>
    <row r="19" spans="1:68" ht="27.75" hidden="1" customHeight="1" x14ac:dyDescent="0.2">
      <c r="A19" s="667" t="s">
        <v>63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hidden="1" customHeight="1" x14ac:dyDescent="0.25">
      <c r="A20" s="566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hidden="1" customHeight="1" x14ac:dyDescent="0.25">
      <c r="A21" s="565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9" t="s">
        <v>71</v>
      </c>
      <c r="Q23" s="560"/>
      <c r="R23" s="560"/>
      <c r="S23" s="560"/>
      <c r="T23" s="560"/>
      <c r="U23" s="560"/>
      <c r="V23" s="56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9" t="s">
        <v>71</v>
      </c>
      <c r="Q24" s="560"/>
      <c r="R24" s="560"/>
      <c r="S24" s="560"/>
      <c r="T24" s="560"/>
      <c r="U24" s="560"/>
      <c r="V24" s="56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5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8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9" t="s">
        <v>71</v>
      </c>
      <c r="Q31" s="560"/>
      <c r="R31" s="560"/>
      <c r="S31" s="560"/>
      <c r="T31" s="560"/>
      <c r="U31" s="560"/>
      <c r="V31" s="56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9" t="s">
        <v>71</v>
      </c>
      <c r="Q32" s="560"/>
      <c r="R32" s="560"/>
      <c r="S32" s="560"/>
      <c r="T32" s="560"/>
      <c r="U32" s="560"/>
      <c r="V32" s="56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5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9" t="s">
        <v>71</v>
      </c>
      <c r="Q35" s="560"/>
      <c r="R35" s="560"/>
      <c r="S35" s="560"/>
      <c r="T35" s="560"/>
      <c r="U35" s="560"/>
      <c r="V35" s="56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9" t="s">
        <v>71</v>
      </c>
      <c r="Q36" s="560"/>
      <c r="R36" s="560"/>
      <c r="S36" s="560"/>
      <c r="T36" s="560"/>
      <c r="U36" s="560"/>
      <c r="V36" s="56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67" t="s">
        <v>97</v>
      </c>
      <c r="B37" s="668"/>
      <c r="C37" s="668"/>
      <c r="D37" s="668"/>
      <c r="E37" s="668"/>
      <c r="F37" s="668"/>
      <c r="G37" s="668"/>
      <c r="H37" s="668"/>
      <c r="I37" s="668"/>
      <c r="J37" s="668"/>
      <c r="K37" s="668"/>
      <c r="L37" s="668"/>
      <c r="M37" s="668"/>
      <c r="N37" s="668"/>
      <c r="O37" s="668"/>
      <c r="P37" s="668"/>
      <c r="Q37" s="668"/>
      <c r="R37" s="668"/>
      <c r="S37" s="668"/>
      <c r="T37" s="668"/>
      <c r="U37" s="668"/>
      <c r="V37" s="668"/>
      <c r="W37" s="668"/>
      <c r="X37" s="668"/>
      <c r="Y37" s="668"/>
      <c r="Z37" s="668"/>
      <c r="AA37" s="48"/>
      <c r="AB37" s="48"/>
      <c r="AC37" s="48"/>
    </row>
    <row r="38" spans="1:68" ht="16.5" hidden="1" customHeight="1" x14ac:dyDescent="0.25">
      <c r="A38" s="566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hidden="1" customHeight="1" x14ac:dyDescent="0.25">
      <c r="A39" s="565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9" t="s">
        <v>71</v>
      </c>
      <c r="Q43" s="560"/>
      <c r="R43" s="560"/>
      <c r="S43" s="560"/>
      <c r="T43" s="560"/>
      <c r="U43" s="560"/>
      <c r="V43" s="561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hidden="1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9" t="s">
        <v>71</v>
      </c>
      <c r="Q44" s="560"/>
      <c r="R44" s="560"/>
      <c r="S44" s="560"/>
      <c r="T44" s="560"/>
      <c r="U44" s="560"/>
      <c r="V44" s="561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hidden="1" customHeight="1" x14ac:dyDescent="0.25">
      <c r="A45" s="565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9" t="s">
        <v>71</v>
      </c>
      <c r="Q47" s="560"/>
      <c r="R47" s="560"/>
      <c r="S47" s="560"/>
      <c r="T47" s="560"/>
      <c r="U47" s="560"/>
      <c r="V47" s="56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9" t="s">
        <v>71</v>
      </c>
      <c r="Q48" s="560"/>
      <c r="R48" s="560"/>
      <c r="S48" s="560"/>
      <c r="T48" s="560"/>
      <c r="U48" s="560"/>
      <c r="V48" s="56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6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hidden="1" customHeight="1" x14ac:dyDescent="0.25">
      <c r="A50" s="565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6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9" t="s">
        <v>71</v>
      </c>
      <c r="Q57" s="560"/>
      <c r="R57" s="560"/>
      <c r="S57" s="560"/>
      <c r="T57" s="560"/>
      <c r="U57" s="560"/>
      <c r="V57" s="561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hidden="1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9" t="s">
        <v>71</v>
      </c>
      <c r="Q58" s="560"/>
      <c r="R58" s="560"/>
      <c r="S58" s="560"/>
      <c r="T58" s="560"/>
      <c r="U58" s="560"/>
      <c r="V58" s="561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hidden="1" customHeight="1" x14ac:dyDescent="0.25">
      <c r="A59" s="565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2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9" t="s">
        <v>71</v>
      </c>
      <c r="Q63" s="560"/>
      <c r="R63" s="560"/>
      <c r="S63" s="560"/>
      <c r="T63" s="560"/>
      <c r="U63" s="560"/>
      <c r="V63" s="561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hidden="1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9" t="s">
        <v>71</v>
      </c>
      <c r="Q64" s="560"/>
      <c r="R64" s="560"/>
      <c r="S64" s="560"/>
      <c r="T64" s="560"/>
      <c r="U64" s="560"/>
      <c r="V64" s="561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hidden="1" customHeight="1" x14ac:dyDescent="0.25">
      <c r="A65" s="565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9" t="s">
        <v>71</v>
      </c>
      <c r="Q69" s="560"/>
      <c r="R69" s="560"/>
      <c r="S69" s="560"/>
      <c r="T69" s="560"/>
      <c r="U69" s="560"/>
      <c r="V69" s="56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9" t="s">
        <v>71</v>
      </c>
      <c r="Q70" s="560"/>
      <c r="R70" s="560"/>
      <c r="S70" s="560"/>
      <c r="T70" s="560"/>
      <c r="U70" s="560"/>
      <c r="V70" s="56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5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59" t="s">
        <v>71</v>
      </c>
      <c r="Q76" s="560"/>
      <c r="R76" s="560"/>
      <c r="S76" s="560"/>
      <c r="T76" s="560"/>
      <c r="U76" s="560"/>
      <c r="V76" s="561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9" t="s">
        <v>71</v>
      </c>
      <c r="Q77" s="560"/>
      <c r="R77" s="560"/>
      <c r="S77" s="560"/>
      <c r="T77" s="560"/>
      <c r="U77" s="560"/>
      <c r="V77" s="561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5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59" t="s">
        <v>71</v>
      </c>
      <c r="Q81" s="560"/>
      <c r="R81" s="560"/>
      <c r="S81" s="560"/>
      <c r="T81" s="560"/>
      <c r="U81" s="560"/>
      <c r="V81" s="561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9" t="s">
        <v>71</v>
      </c>
      <c r="Q82" s="560"/>
      <c r="R82" s="560"/>
      <c r="S82" s="560"/>
      <c r="T82" s="560"/>
      <c r="U82" s="560"/>
      <c r="V82" s="561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66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hidden="1" customHeight="1" x14ac:dyDescent="0.25">
      <c r="A84" s="565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 t="s">
        <v>110</v>
      </c>
      <c r="M86" s="33" t="s">
        <v>77</v>
      </c>
      <c r="N86" s="33"/>
      <c r="O86" s="32">
        <v>50</v>
      </c>
      <c r="P86" s="5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5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59" t="s">
        <v>71</v>
      </c>
      <c r="Q88" s="560"/>
      <c r="R88" s="560"/>
      <c r="S88" s="560"/>
      <c r="T88" s="560"/>
      <c r="U88" s="560"/>
      <c r="V88" s="561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hidden="1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9" t="s">
        <v>71</v>
      </c>
      <c r="Q89" s="560"/>
      <c r="R89" s="560"/>
      <c r="S89" s="560"/>
      <c r="T89" s="560"/>
      <c r="U89" s="560"/>
      <c r="V89" s="561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hidden="1" customHeight="1" x14ac:dyDescent="0.25">
      <c r="A90" s="565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8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98</v>
      </c>
      <c r="Y91" s="542">
        <f>IFERROR(IF(X91="",0,CEILING((X91/$H91),1)*$H91),"")</f>
        <v>105.3</v>
      </c>
      <c r="Z91" s="36">
        <f>IFERROR(IF(Y91=0,"",ROUNDUP(Y91/H91,0)*0.01898),"")</f>
        <v>0.24674000000000001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103.97679012345679</v>
      </c>
      <c r="BN91" s="64">
        <f>IFERROR(Y91*I91/H91,"0")</f>
        <v>111.72199999999999</v>
      </c>
      <c r="BO91" s="64">
        <f>IFERROR(1/J91*(X91/H91),"0")</f>
        <v>0.18904320987654322</v>
      </c>
      <c r="BP91" s="64">
        <f>IFERROR(1/J91*(Y91/H91),"0")</f>
        <v>0.203125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59" t="s">
        <v>71</v>
      </c>
      <c r="Q95" s="560"/>
      <c r="R95" s="560"/>
      <c r="S95" s="560"/>
      <c r="T95" s="560"/>
      <c r="U95" s="560"/>
      <c r="V95" s="561"/>
      <c r="W95" s="37" t="s">
        <v>72</v>
      </c>
      <c r="X95" s="543">
        <f>IFERROR(X91/H91,"0")+IFERROR(X92/H92,"0")+IFERROR(X93/H93,"0")+IFERROR(X94/H94,"0")</f>
        <v>12.098765432098766</v>
      </c>
      <c r="Y95" s="543">
        <f>IFERROR(Y91/H91,"0")+IFERROR(Y92/H92,"0")+IFERROR(Y93/H93,"0")+IFERROR(Y94/H94,"0")</f>
        <v>13</v>
      </c>
      <c r="Z95" s="543">
        <f>IFERROR(IF(Z91="",0,Z91),"0")+IFERROR(IF(Z92="",0,Z92),"0")+IFERROR(IF(Z93="",0,Z93),"0")+IFERROR(IF(Z94="",0,Z94),"0")</f>
        <v>0.24674000000000001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9" t="s">
        <v>71</v>
      </c>
      <c r="Q96" s="560"/>
      <c r="R96" s="560"/>
      <c r="S96" s="560"/>
      <c r="T96" s="560"/>
      <c r="U96" s="560"/>
      <c r="V96" s="561"/>
      <c r="W96" s="37" t="s">
        <v>69</v>
      </c>
      <c r="X96" s="543">
        <f>IFERROR(SUM(X91:X94),"0")</f>
        <v>98</v>
      </c>
      <c r="Y96" s="543">
        <f>IFERROR(SUM(Y91:Y94),"0")</f>
        <v>105.3</v>
      </c>
      <c r="Z96" s="37"/>
      <c r="AA96" s="544"/>
      <c r="AB96" s="544"/>
      <c r="AC96" s="544"/>
    </row>
    <row r="97" spans="1:68" ht="16.5" hidden="1" customHeight="1" x14ac:dyDescent="0.25">
      <c r="A97" s="566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hidden="1" customHeight="1" x14ac:dyDescent="0.25">
      <c r="A98" s="565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59" t="s">
        <v>71</v>
      </c>
      <c r="Q103" s="560"/>
      <c r="R103" s="560"/>
      <c r="S103" s="560"/>
      <c r="T103" s="560"/>
      <c r="U103" s="560"/>
      <c r="V103" s="561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hidden="1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9" t="s">
        <v>71</v>
      </c>
      <c r="Q104" s="560"/>
      <c r="R104" s="560"/>
      <c r="S104" s="560"/>
      <c r="T104" s="560"/>
      <c r="U104" s="560"/>
      <c r="V104" s="561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hidden="1" customHeight="1" x14ac:dyDescent="0.25">
      <c r="A105" s="565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59" t="s">
        <v>71</v>
      </c>
      <c r="Q109" s="560"/>
      <c r="R109" s="560"/>
      <c r="S109" s="560"/>
      <c r="T109" s="560"/>
      <c r="U109" s="560"/>
      <c r="V109" s="561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9" t="s">
        <v>71</v>
      </c>
      <c r="Q110" s="560"/>
      <c r="R110" s="560"/>
      <c r="S110" s="560"/>
      <c r="T110" s="560"/>
      <c r="U110" s="560"/>
      <c r="V110" s="561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65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98</v>
      </c>
      <c r="Y112" s="542">
        <f>IFERROR(IF(X112="",0,CEILING((X112/$H112),1)*$H112),"")</f>
        <v>105.3</v>
      </c>
      <c r="Z112" s="36">
        <f>IFERROR(IF(Y112=0,"",ROUNDUP(Y112/H112,0)*0.01898),"")</f>
        <v>0.24674000000000001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103.9041975308642</v>
      </c>
      <c r="BN112" s="64">
        <f>IFERROR(Y112*I112/H112,"0")</f>
        <v>111.64399999999999</v>
      </c>
      <c r="BO112" s="64">
        <f>IFERROR(1/J112*(X112/H112),"0")</f>
        <v>0.18904320987654322</v>
      </c>
      <c r="BP112" s="64">
        <f>IFERROR(1/J112*(Y112/H112),"0")</f>
        <v>0.203125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8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59" t="s">
        <v>71</v>
      </c>
      <c r="Q116" s="560"/>
      <c r="R116" s="560"/>
      <c r="S116" s="560"/>
      <c r="T116" s="560"/>
      <c r="U116" s="560"/>
      <c r="V116" s="561"/>
      <c r="W116" s="37" t="s">
        <v>72</v>
      </c>
      <c r="X116" s="543">
        <f>IFERROR(X112/H112,"0")+IFERROR(X113/H113,"0")+IFERROR(X114/H114,"0")+IFERROR(X115/H115,"0")</f>
        <v>12.098765432098766</v>
      </c>
      <c r="Y116" s="543">
        <f>IFERROR(Y112/H112,"0")+IFERROR(Y113/H113,"0")+IFERROR(Y114/H114,"0")+IFERROR(Y115/H115,"0")</f>
        <v>13</v>
      </c>
      <c r="Z116" s="543">
        <f>IFERROR(IF(Z112="",0,Z112),"0")+IFERROR(IF(Z113="",0,Z113),"0")+IFERROR(IF(Z114="",0,Z114),"0")+IFERROR(IF(Z115="",0,Z115),"0")</f>
        <v>0.24674000000000001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9" t="s">
        <v>71</v>
      </c>
      <c r="Q117" s="560"/>
      <c r="R117" s="560"/>
      <c r="S117" s="560"/>
      <c r="T117" s="560"/>
      <c r="U117" s="560"/>
      <c r="V117" s="561"/>
      <c r="W117" s="37" t="s">
        <v>69</v>
      </c>
      <c r="X117" s="543">
        <f>IFERROR(SUM(X112:X115),"0")</f>
        <v>98</v>
      </c>
      <c r="Y117" s="543">
        <f>IFERROR(SUM(Y112:Y115),"0")</f>
        <v>105.3</v>
      </c>
      <c r="Z117" s="37"/>
      <c r="AA117" s="544"/>
      <c r="AB117" s="544"/>
      <c r="AC117" s="544"/>
    </row>
    <row r="118" spans="1:68" ht="14.25" hidden="1" customHeight="1" x14ac:dyDescent="0.25">
      <c r="A118" s="565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9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59" t="s">
        <v>71</v>
      </c>
      <c r="Q120" s="560"/>
      <c r="R120" s="560"/>
      <c r="S120" s="560"/>
      <c r="T120" s="560"/>
      <c r="U120" s="560"/>
      <c r="V120" s="561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9" t="s">
        <v>71</v>
      </c>
      <c r="Q121" s="560"/>
      <c r="R121" s="560"/>
      <c r="S121" s="560"/>
      <c r="T121" s="560"/>
      <c r="U121" s="560"/>
      <c r="V121" s="561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6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hidden="1" customHeight="1" x14ac:dyDescent="0.25">
      <c r="A123" s="565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59" t="s">
        <v>71</v>
      </c>
      <c r="Q126" s="560"/>
      <c r="R126" s="560"/>
      <c r="S126" s="560"/>
      <c r="T126" s="560"/>
      <c r="U126" s="560"/>
      <c r="V126" s="561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9" t="s">
        <v>71</v>
      </c>
      <c r="Q127" s="560"/>
      <c r="R127" s="560"/>
      <c r="S127" s="560"/>
      <c r="T127" s="560"/>
      <c r="U127" s="560"/>
      <c r="V127" s="561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5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59" t="s">
        <v>71</v>
      </c>
      <c r="Q131" s="560"/>
      <c r="R131" s="560"/>
      <c r="S131" s="560"/>
      <c r="T131" s="560"/>
      <c r="U131" s="560"/>
      <c r="V131" s="561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9" t="s">
        <v>71</v>
      </c>
      <c r="Q132" s="560"/>
      <c r="R132" s="560"/>
      <c r="S132" s="560"/>
      <c r="T132" s="560"/>
      <c r="U132" s="560"/>
      <c r="V132" s="561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5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59" t="s">
        <v>71</v>
      </c>
      <c r="Q136" s="560"/>
      <c r="R136" s="560"/>
      <c r="S136" s="560"/>
      <c r="T136" s="560"/>
      <c r="U136" s="560"/>
      <c r="V136" s="561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9" t="s">
        <v>71</v>
      </c>
      <c r="Q137" s="560"/>
      <c r="R137" s="560"/>
      <c r="S137" s="560"/>
      <c r="T137" s="560"/>
      <c r="U137" s="560"/>
      <c r="V137" s="561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6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hidden="1" customHeight="1" x14ac:dyDescent="0.25">
      <c r="A139" s="565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84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59" t="s">
        <v>71</v>
      </c>
      <c r="Q143" s="560"/>
      <c r="R143" s="560"/>
      <c r="S143" s="560"/>
      <c r="T143" s="560"/>
      <c r="U143" s="560"/>
      <c r="V143" s="561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9" t="s">
        <v>71</v>
      </c>
      <c r="Q144" s="560"/>
      <c r="R144" s="560"/>
      <c r="S144" s="560"/>
      <c r="T144" s="560"/>
      <c r="U144" s="560"/>
      <c r="V144" s="561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65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4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59" t="s">
        <v>71</v>
      </c>
      <c r="Q149" s="560"/>
      <c r="R149" s="560"/>
      <c r="S149" s="560"/>
      <c r="T149" s="560"/>
      <c r="U149" s="560"/>
      <c r="V149" s="561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hidden="1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9" t="s">
        <v>71</v>
      </c>
      <c r="Q150" s="560"/>
      <c r="R150" s="560"/>
      <c r="S150" s="560"/>
      <c r="T150" s="560"/>
      <c r="U150" s="560"/>
      <c r="V150" s="561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hidden="1" customHeight="1" x14ac:dyDescent="0.25">
      <c r="A151" s="565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7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59" t="s">
        <v>71</v>
      </c>
      <c r="Q153" s="560"/>
      <c r="R153" s="560"/>
      <c r="S153" s="560"/>
      <c r="T153" s="560"/>
      <c r="U153" s="560"/>
      <c r="V153" s="561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9" t="s">
        <v>71</v>
      </c>
      <c r="Q154" s="560"/>
      <c r="R154" s="560"/>
      <c r="S154" s="560"/>
      <c r="T154" s="560"/>
      <c r="U154" s="560"/>
      <c r="V154" s="561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67" t="s">
        <v>255</v>
      </c>
      <c r="B155" s="668"/>
      <c r="C155" s="668"/>
      <c r="D155" s="668"/>
      <c r="E155" s="668"/>
      <c r="F155" s="668"/>
      <c r="G155" s="668"/>
      <c r="H155" s="668"/>
      <c r="I155" s="668"/>
      <c r="J155" s="668"/>
      <c r="K155" s="668"/>
      <c r="L155" s="668"/>
      <c r="M155" s="668"/>
      <c r="N155" s="668"/>
      <c r="O155" s="668"/>
      <c r="P155" s="668"/>
      <c r="Q155" s="668"/>
      <c r="R155" s="668"/>
      <c r="S155" s="668"/>
      <c r="T155" s="668"/>
      <c r="U155" s="668"/>
      <c r="V155" s="668"/>
      <c r="W155" s="668"/>
      <c r="X155" s="668"/>
      <c r="Y155" s="668"/>
      <c r="Z155" s="668"/>
      <c r="AA155" s="48"/>
      <c r="AB155" s="48"/>
      <c r="AC155" s="48"/>
    </row>
    <row r="156" spans="1:68" ht="16.5" hidden="1" customHeight="1" x14ac:dyDescent="0.25">
      <c r="A156" s="566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hidden="1" customHeight="1" x14ac:dyDescent="0.25">
      <c r="A157" s="565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59" t="s">
        <v>71</v>
      </c>
      <c r="Q159" s="560"/>
      <c r="R159" s="560"/>
      <c r="S159" s="560"/>
      <c r="T159" s="560"/>
      <c r="U159" s="560"/>
      <c r="V159" s="561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9" t="s">
        <v>71</v>
      </c>
      <c r="Q160" s="560"/>
      <c r="R160" s="560"/>
      <c r="S160" s="560"/>
      <c r="T160" s="560"/>
      <c r="U160" s="560"/>
      <c r="V160" s="561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65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hidden="1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9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8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8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9" t="s">
        <v>71</v>
      </c>
      <c r="Q172" s="560"/>
      <c r="R172" s="560"/>
      <c r="S172" s="560"/>
      <c r="T172" s="560"/>
      <c r="U172" s="560"/>
      <c r="V172" s="561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4"/>
      <c r="AB172" s="544"/>
      <c r="AC172" s="544"/>
    </row>
    <row r="173" spans="1:68" hidden="1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9" t="s">
        <v>71</v>
      </c>
      <c r="Q173" s="560"/>
      <c r="R173" s="560"/>
      <c r="S173" s="560"/>
      <c r="T173" s="560"/>
      <c r="U173" s="560"/>
      <c r="V173" s="561"/>
      <c r="W173" s="37" t="s">
        <v>69</v>
      </c>
      <c r="X173" s="543">
        <f>IFERROR(SUM(X162:X171),"0")</f>
        <v>0</v>
      </c>
      <c r="Y173" s="543">
        <f>IFERROR(SUM(Y162:Y171),"0")</f>
        <v>0</v>
      </c>
      <c r="Z173" s="37"/>
      <c r="AA173" s="544"/>
      <c r="AB173" s="544"/>
      <c r="AC173" s="544"/>
    </row>
    <row r="174" spans="1:68" ht="14.25" hidden="1" customHeight="1" x14ac:dyDescent="0.25">
      <c r="A174" s="565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hidden="1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8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9" t="s">
        <v>71</v>
      </c>
      <c r="Q178" s="560"/>
      <c r="R178" s="560"/>
      <c r="S178" s="560"/>
      <c r="T178" s="560"/>
      <c r="U178" s="560"/>
      <c r="V178" s="561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hidden="1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9" t="s">
        <v>71</v>
      </c>
      <c r="Q179" s="560"/>
      <c r="R179" s="560"/>
      <c r="S179" s="560"/>
      <c r="T179" s="560"/>
      <c r="U179" s="560"/>
      <c r="V179" s="561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hidden="1" customHeight="1" x14ac:dyDescent="0.25">
      <c r="A180" s="565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hidden="1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2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9" t="s">
        <v>71</v>
      </c>
      <c r="Q182" s="560"/>
      <c r="R182" s="560"/>
      <c r="S182" s="560"/>
      <c r="T182" s="560"/>
      <c r="U182" s="560"/>
      <c r="V182" s="561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hidden="1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9" t="s">
        <v>71</v>
      </c>
      <c r="Q183" s="560"/>
      <c r="R183" s="560"/>
      <c r="S183" s="560"/>
      <c r="T183" s="560"/>
      <c r="U183" s="560"/>
      <c r="V183" s="561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hidden="1" customHeight="1" x14ac:dyDescent="0.25">
      <c r="A184" s="566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hidden="1" customHeight="1" x14ac:dyDescent="0.25">
      <c r="A185" s="565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hidden="1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 t="s">
        <v>186</v>
      </c>
      <c r="M187" s="33" t="s">
        <v>104</v>
      </c>
      <c r="N187" s="33"/>
      <c r="O187" s="32">
        <v>55</v>
      </c>
      <c r="P187" s="6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106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9" t="s">
        <v>71</v>
      </c>
      <c r="Q188" s="560"/>
      <c r="R188" s="560"/>
      <c r="S188" s="560"/>
      <c r="T188" s="560"/>
      <c r="U188" s="560"/>
      <c r="V188" s="561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9" t="s">
        <v>71</v>
      </c>
      <c r="Q189" s="560"/>
      <c r="R189" s="560"/>
      <c r="S189" s="560"/>
      <c r="T189" s="560"/>
      <c r="U189" s="560"/>
      <c r="V189" s="561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65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hidden="1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9" t="s">
        <v>71</v>
      </c>
      <c r="Q193" s="560"/>
      <c r="R193" s="560"/>
      <c r="S193" s="560"/>
      <c r="T193" s="560"/>
      <c r="U193" s="560"/>
      <c r="V193" s="561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9" t="s">
        <v>71</v>
      </c>
      <c r="Q194" s="560"/>
      <c r="R194" s="560"/>
      <c r="S194" s="560"/>
      <c r="T194" s="560"/>
      <c r="U194" s="560"/>
      <c r="V194" s="561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65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hidden="1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110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idden="1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9" t="s">
        <v>71</v>
      </c>
      <c r="Q204" s="560"/>
      <c r="R204" s="560"/>
      <c r="S204" s="560"/>
      <c r="T204" s="560"/>
      <c r="U204" s="560"/>
      <c r="V204" s="561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0</v>
      </c>
      <c r="Y204" s="543">
        <f>IFERROR(Y196/H196,"0")+IFERROR(Y197/H197,"0")+IFERROR(Y198/H198,"0")+IFERROR(Y199/H199,"0")+IFERROR(Y200/H200,"0")+IFERROR(Y201/H201,"0")+IFERROR(Y202/H202,"0")+IFERROR(Y203/H203,"0")</f>
        <v>0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4"/>
      <c r="AB204" s="544"/>
      <c r="AC204" s="544"/>
    </row>
    <row r="205" spans="1:68" hidden="1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9" t="s">
        <v>71</v>
      </c>
      <c r="Q205" s="560"/>
      <c r="R205" s="560"/>
      <c r="S205" s="560"/>
      <c r="T205" s="560"/>
      <c r="U205" s="560"/>
      <c r="V205" s="561"/>
      <c r="W205" s="37" t="s">
        <v>69</v>
      </c>
      <c r="X205" s="543">
        <f>IFERROR(SUM(X196:X203),"0")</f>
        <v>0</v>
      </c>
      <c r="Y205" s="543">
        <f>IFERROR(SUM(Y196:Y203),"0")</f>
        <v>0</v>
      </c>
      <c r="Z205" s="37"/>
      <c r="AA205" s="544"/>
      <c r="AB205" s="544"/>
      <c r="AC205" s="544"/>
    </row>
    <row r="206" spans="1:68" ht="14.25" hidden="1" customHeight="1" x14ac:dyDescent="0.25">
      <c r="A206" s="565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hidden="1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 t="s">
        <v>106</v>
      </c>
      <c r="AK207" s="68">
        <v>64.8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40</v>
      </c>
      <c r="P208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 t="s">
        <v>106</v>
      </c>
      <c r="AK208" s="68">
        <v>64.8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6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186</v>
      </c>
      <c r="M210" s="33" t="s">
        <v>77</v>
      </c>
      <c r="N210" s="33"/>
      <c r="O210" s="32">
        <v>40</v>
      </c>
      <c r="P210" s="6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5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112</v>
      </c>
      <c r="Y212" s="542">
        <f t="shared" si="15"/>
        <v>112.8</v>
      </c>
      <c r="Z212" s="36">
        <f t="shared" si="20"/>
        <v>0.30597000000000002</v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123.76</v>
      </c>
      <c r="BN212" s="64">
        <f t="shared" si="17"/>
        <v>124.64400000000001</v>
      </c>
      <c r="BO212" s="64">
        <f t="shared" si="18"/>
        <v>0.25641025641025644</v>
      </c>
      <c r="BP212" s="64">
        <f t="shared" si="19"/>
        <v>0.25824175824175827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77</v>
      </c>
      <c r="N213" s="33"/>
      <c r="O213" s="32">
        <v>45</v>
      </c>
      <c r="P213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104</v>
      </c>
      <c r="Y213" s="542">
        <f t="shared" si="15"/>
        <v>105.6</v>
      </c>
      <c r="Z213" s="36">
        <f t="shared" si="20"/>
        <v>0.28644000000000003</v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114.92</v>
      </c>
      <c r="BN213" s="64">
        <f t="shared" si="17"/>
        <v>116.688</v>
      </c>
      <c r="BO213" s="64">
        <f t="shared" si="18"/>
        <v>0.23809523809523814</v>
      </c>
      <c r="BP213" s="64">
        <f t="shared" si="19"/>
        <v>0.24175824175824179</v>
      </c>
    </row>
    <row r="214" spans="1:68" ht="27" hidden="1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186</v>
      </c>
      <c r="M214" s="33" t="s">
        <v>84</v>
      </c>
      <c r="N214" s="33"/>
      <c r="O214" s="32">
        <v>40</v>
      </c>
      <c r="P214" s="7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186</v>
      </c>
      <c r="M215" s="33" t="s">
        <v>77</v>
      </c>
      <c r="N215" s="33"/>
      <c r="O215" s="32">
        <v>40</v>
      </c>
      <c r="P215" s="5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0</v>
      </c>
      <c r="Y215" s="542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9" t="s">
        <v>71</v>
      </c>
      <c r="Q216" s="560"/>
      <c r="R216" s="560"/>
      <c r="S216" s="560"/>
      <c r="T216" s="560"/>
      <c r="U216" s="560"/>
      <c r="V216" s="561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90</v>
      </c>
      <c r="Y216" s="543">
        <f>IFERROR(Y207/H207,"0")+IFERROR(Y208/H208,"0")+IFERROR(Y209/H209,"0")+IFERROR(Y210/H210,"0")+IFERROR(Y211/H211,"0")+IFERROR(Y212/H212,"0")+IFERROR(Y213/H213,"0")+IFERROR(Y214/H214,"0")+IFERROR(Y215/H215,"0")</f>
        <v>91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0.5924100000000001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9" t="s">
        <v>71</v>
      </c>
      <c r="Q217" s="560"/>
      <c r="R217" s="560"/>
      <c r="S217" s="560"/>
      <c r="T217" s="560"/>
      <c r="U217" s="560"/>
      <c r="V217" s="561"/>
      <c r="W217" s="37" t="s">
        <v>69</v>
      </c>
      <c r="X217" s="543">
        <f>IFERROR(SUM(X207:X215),"0")</f>
        <v>216</v>
      </c>
      <c r="Y217" s="543">
        <f>IFERROR(SUM(Y207:Y215),"0")</f>
        <v>218.39999999999998</v>
      </c>
      <c r="Z217" s="37"/>
      <c r="AA217" s="544"/>
      <c r="AB217" s="544"/>
      <c r="AC217" s="544"/>
    </row>
    <row r="218" spans="1:68" ht="14.25" hidden="1" customHeight="1" x14ac:dyDescent="0.25">
      <c r="A218" s="565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hidden="1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70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9" t="s">
        <v>71</v>
      </c>
      <c r="Q221" s="560"/>
      <c r="R221" s="560"/>
      <c r="S221" s="560"/>
      <c r="T221" s="560"/>
      <c r="U221" s="560"/>
      <c r="V221" s="561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hidden="1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9" t="s">
        <v>71</v>
      </c>
      <c r="Q222" s="560"/>
      <c r="R222" s="560"/>
      <c r="S222" s="560"/>
      <c r="T222" s="560"/>
      <c r="U222" s="560"/>
      <c r="V222" s="561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hidden="1" customHeight="1" x14ac:dyDescent="0.25">
      <c r="A223" s="566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hidden="1" customHeight="1" x14ac:dyDescent="0.25">
      <c r="A224" s="565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hidden="1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 t="s">
        <v>110</v>
      </c>
      <c r="M233" s="33" t="s">
        <v>104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 t="s">
        <v>106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9" t="s">
        <v>71</v>
      </c>
      <c r="Q235" s="560"/>
      <c r="R235" s="560"/>
      <c r="S235" s="560"/>
      <c r="T235" s="560"/>
      <c r="U235" s="560"/>
      <c r="V235" s="561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hidden="1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9" t="s">
        <v>71</v>
      </c>
      <c r="Q236" s="560"/>
      <c r="R236" s="560"/>
      <c r="S236" s="560"/>
      <c r="T236" s="560"/>
      <c r="U236" s="560"/>
      <c r="V236" s="561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hidden="1" customHeight="1" x14ac:dyDescent="0.25">
      <c r="A237" s="565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hidden="1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9" t="s">
        <v>71</v>
      </c>
      <c r="Q239" s="560"/>
      <c r="R239" s="560"/>
      <c r="S239" s="560"/>
      <c r="T239" s="560"/>
      <c r="U239" s="560"/>
      <c r="V239" s="561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hidden="1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9" t="s">
        <v>71</v>
      </c>
      <c r="Q240" s="560"/>
      <c r="R240" s="560"/>
      <c r="S240" s="560"/>
      <c r="T240" s="560"/>
      <c r="U240" s="560"/>
      <c r="V240" s="561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hidden="1" customHeight="1" x14ac:dyDescent="0.25">
      <c r="A241" s="565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hidden="1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2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9" t="s">
        <v>71</v>
      </c>
      <c r="Q243" s="560"/>
      <c r="R243" s="560"/>
      <c r="S243" s="560"/>
      <c r="T243" s="560"/>
      <c r="U243" s="560"/>
      <c r="V243" s="561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hidden="1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9" t="s">
        <v>71</v>
      </c>
      <c r="Q244" s="560"/>
      <c r="R244" s="560"/>
      <c r="S244" s="560"/>
      <c r="T244" s="560"/>
      <c r="U244" s="560"/>
      <c r="V244" s="561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hidden="1" customHeight="1" x14ac:dyDescent="0.25">
      <c r="A245" s="565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hidden="1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2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9" t="s">
        <v>71</v>
      </c>
      <c r="Q251" s="560"/>
      <c r="R251" s="560"/>
      <c r="S251" s="560"/>
      <c r="T251" s="560"/>
      <c r="U251" s="560"/>
      <c r="V251" s="561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hidden="1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9" t="s">
        <v>71</v>
      </c>
      <c r="Q252" s="560"/>
      <c r="R252" s="560"/>
      <c r="S252" s="560"/>
      <c r="T252" s="560"/>
      <c r="U252" s="560"/>
      <c r="V252" s="561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hidden="1" customHeight="1" x14ac:dyDescent="0.25">
      <c r="A253" s="566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hidden="1" customHeight="1" x14ac:dyDescent="0.25">
      <c r="A254" s="565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hidden="1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 t="s">
        <v>103</v>
      </c>
      <c r="M255" s="33" t="s">
        <v>104</v>
      </c>
      <c r="N255" s="33"/>
      <c r="O255" s="32">
        <v>55</v>
      </c>
      <c r="P255" s="6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106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 t="s">
        <v>103</v>
      </c>
      <c r="M257" s="33" t="s">
        <v>104</v>
      </c>
      <c r="N257" s="33"/>
      <c r="O257" s="32">
        <v>55</v>
      </c>
      <c r="P257" s="77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 t="s">
        <v>106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9" t="s">
        <v>71</v>
      </c>
      <c r="Q260" s="560"/>
      <c r="R260" s="560"/>
      <c r="S260" s="560"/>
      <c r="T260" s="560"/>
      <c r="U260" s="560"/>
      <c r="V260" s="561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9" t="s">
        <v>71</v>
      </c>
      <c r="Q261" s="560"/>
      <c r="R261" s="560"/>
      <c r="S261" s="560"/>
      <c r="T261" s="560"/>
      <c r="U261" s="560"/>
      <c r="V261" s="561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66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hidden="1" customHeight="1" x14ac:dyDescent="0.25">
      <c r="A263" s="565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hidden="1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75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9" t="s">
        <v>71</v>
      </c>
      <c r="Q268" s="560"/>
      <c r="R268" s="560"/>
      <c r="S268" s="560"/>
      <c r="T268" s="560"/>
      <c r="U268" s="560"/>
      <c r="V268" s="561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9" t="s">
        <v>71</v>
      </c>
      <c r="Q269" s="560"/>
      <c r="R269" s="560"/>
      <c r="S269" s="560"/>
      <c r="T269" s="560"/>
      <c r="U269" s="560"/>
      <c r="V269" s="561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66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hidden="1" customHeight="1" x14ac:dyDescent="0.25">
      <c r="A271" s="565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hidden="1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4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186</v>
      </c>
      <c r="M273" s="33" t="s">
        <v>84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32</v>
      </c>
      <c r="Y273" s="542">
        <f>IFERROR(IF(X273="",0,CEILING((X273/$H273),1)*$H273),"")</f>
        <v>33.6</v>
      </c>
      <c r="Z273" s="36">
        <f>IFERROR(IF(Y273=0,"",ROUNDUP(Y273/H273,0)*0.00651),"")</f>
        <v>9.1139999999999999E-2</v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35.360000000000007</v>
      </c>
      <c r="BN273" s="64">
        <f>IFERROR(Y273*I273/H273,"0")</f>
        <v>37.128000000000007</v>
      </c>
      <c r="BO273" s="64">
        <f>IFERROR(1/J273*(X273/H273),"0")</f>
        <v>7.3260073260073263E-2</v>
      </c>
      <c r="BP273" s="64">
        <f>IFERROR(1/J273*(Y273/H273),"0")</f>
        <v>7.6923076923076941E-2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186</v>
      </c>
      <c r="M274" s="33" t="s">
        <v>77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34</v>
      </c>
      <c r="Y274" s="542">
        <f>IFERROR(IF(X274="",0,CEILING((X274/$H274),1)*$H274),"")</f>
        <v>36</v>
      </c>
      <c r="Z274" s="36">
        <f>IFERROR(IF(Y274=0,"",ROUNDUP(Y274/H274,0)*0.00651),"")</f>
        <v>9.7650000000000001E-2</v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36.550000000000004</v>
      </c>
      <c r="BN274" s="64">
        <f>IFERROR(Y274*I274/H274,"0")</f>
        <v>38.700000000000003</v>
      </c>
      <c r="BO274" s="64">
        <f>IFERROR(1/J274*(X274/H274),"0")</f>
        <v>7.7838827838827854E-2</v>
      </c>
      <c r="BP274" s="64">
        <f>IFERROR(1/J274*(Y274/H274),"0")</f>
        <v>8.241758241758243E-2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9" t="s">
        <v>71</v>
      </c>
      <c r="Q275" s="560"/>
      <c r="R275" s="560"/>
      <c r="S275" s="560"/>
      <c r="T275" s="560"/>
      <c r="U275" s="560"/>
      <c r="V275" s="561"/>
      <c r="W275" s="37" t="s">
        <v>72</v>
      </c>
      <c r="X275" s="543">
        <f>IFERROR(X272/H272,"0")+IFERROR(X273/H273,"0")+IFERROR(X274/H274,"0")</f>
        <v>27.5</v>
      </c>
      <c r="Y275" s="543">
        <f>IFERROR(Y272/H272,"0")+IFERROR(Y273/H273,"0")+IFERROR(Y274/H274,"0")</f>
        <v>29</v>
      </c>
      <c r="Z275" s="543">
        <f>IFERROR(IF(Z272="",0,Z272),"0")+IFERROR(IF(Z273="",0,Z273),"0")+IFERROR(IF(Z274="",0,Z274),"0")</f>
        <v>0.18879000000000001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9" t="s">
        <v>71</v>
      </c>
      <c r="Q276" s="560"/>
      <c r="R276" s="560"/>
      <c r="S276" s="560"/>
      <c r="T276" s="560"/>
      <c r="U276" s="560"/>
      <c r="V276" s="561"/>
      <c r="W276" s="37" t="s">
        <v>69</v>
      </c>
      <c r="X276" s="543">
        <f>IFERROR(SUM(X272:X274),"0")</f>
        <v>66</v>
      </c>
      <c r="Y276" s="543">
        <f>IFERROR(SUM(Y272:Y274),"0")</f>
        <v>69.599999999999994</v>
      </c>
      <c r="Z276" s="37"/>
      <c r="AA276" s="544"/>
      <c r="AB276" s="544"/>
      <c r="AC276" s="544"/>
    </row>
    <row r="277" spans="1:68" ht="16.5" hidden="1" customHeight="1" x14ac:dyDescent="0.25">
      <c r="A277" s="566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hidden="1" customHeight="1" x14ac:dyDescent="0.25">
      <c r="A278" s="565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hidden="1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9" t="s">
        <v>71</v>
      </c>
      <c r="Q281" s="560"/>
      <c r="R281" s="560"/>
      <c r="S281" s="560"/>
      <c r="T281" s="560"/>
      <c r="U281" s="560"/>
      <c r="V281" s="561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hidden="1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9" t="s">
        <v>71</v>
      </c>
      <c r="Q282" s="560"/>
      <c r="R282" s="560"/>
      <c r="S282" s="560"/>
      <c r="T282" s="560"/>
      <c r="U282" s="560"/>
      <c r="V282" s="561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hidden="1" customHeight="1" x14ac:dyDescent="0.25">
      <c r="A283" s="565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hidden="1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70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9" t="s">
        <v>71</v>
      </c>
      <c r="Q286" s="560"/>
      <c r="R286" s="560"/>
      <c r="S286" s="560"/>
      <c r="T286" s="560"/>
      <c r="U286" s="560"/>
      <c r="V286" s="561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hidden="1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59" t="s">
        <v>71</v>
      </c>
      <c r="Q287" s="560"/>
      <c r="R287" s="560"/>
      <c r="S287" s="560"/>
      <c r="T287" s="560"/>
      <c r="U287" s="560"/>
      <c r="V287" s="561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hidden="1" customHeight="1" x14ac:dyDescent="0.25">
      <c r="A288" s="566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hidden="1" customHeight="1" x14ac:dyDescent="0.25">
      <c r="A289" s="565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hidden="1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hidden="1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59" t="s">
        <v>71</v>
      </c>
      <c r="Q295" s="560"/>
      <c r="R295" s="560"/>
      <c r="S295" s="560"/>
      <c r="T295" s="560"/>
      <c r="U295" s="560"/>
      <c r="V295" s="561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hidden="1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9" t="s">
        <v>71</v>
      </c>
      <c r="Q296" s="560"/>
      <c r="R296" s="560"/>
      <c r="S296" s="560"/>
      <c r="T296" s="560"/>
      <c r="U296" s="560"/>
      <c r="V296" s="561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hidden="1" customHeight="1" x14ac:dyDescent="0.25">
      <c r="A297" s="565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hidden="1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hidden="1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 t="s">
        <v>110</v>
      </c>
      <c r="M299" s="33" t="s">
        <v>68</v>
      </c>
      <c r="N299" s="33"/>
      <c r="O299" s="32">
        <v>40</v>
      </c>
      <c r="P29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 t="s">
        <v>106</v>
      </c>
      <c r="AK299" s="68">
        <v>50.4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9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6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IFERROR(IF(Y304=0,"",ROUNDUP(Y304/H304,0)*0.00651),"")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idden="1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59" t="s">
        <v>71</v>
      </c>
      <c r="Q305" s="560"/>
      <c r="R305" s="560"/>
      <c r="S305" s="560"/>
      <c r="T305" s="560"/>
      <c r="U305" s="560"/>
      <c r="V305" s="561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hidden="1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9" t="s">
        <v>71</v>
      </c>
      <c r="Q306" s="560"/>
      <c r="R306" s="560"/>
      <c r="S306" s="560"/>
      <c r="T306" s="560"/>
      <c r="U306" s="560"/>
      <c r="V306" s="561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hidden="1" customHeight="1" x14ac:dyDescent="0.25">
      <c r="A307" s="565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hidden="1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 t="s">
        <v>103</v>
      </c>
      <c r="M308" s="33" t="s">
        <v>77</v>
      </c>
      <c r="N308" s="33"/>
      <c r="O308" s="32">
        <v>40</v>
      </c>
      <c r="P308" s="6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 t="s">
        <v>106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5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5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59" t="s">
        <v>71</v>
      </c>
      <c r="Q312" s="560"/>
      <c r="R312" s="560"/>
      <c r="S312" s="560"/>
      <c r="T312" s="560"/>
      <c r="U312" s="560"/>
      <c r="V312" s="561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9" t="s">
        <v>71</v>
      </c>
      <c r="Q313" s="560"/>
      <c r="R313" s="560"/>
      <c r="S313" s="560"/>
      <c r="T313" s="560"/>
      <c r="U313" s="560"/>
      <c r="V313" s="561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65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hidden="1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/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501</v>
      </c>
      <c r="AG315" s="64"/>
      <c r="AJ315" s="68"/>
      <c r="AK315" s="68">
        <v>0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60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82</v>
      </c>
      <c r="Y316" s="542">
        <f>IFERROR(IF(X316="",0,CEILING((X316/$H316),1)*$H316),"")</f>
        <v>85.8</v>
      </c>
      <c r="Z316" s="36">
        <f>IFERROR(IF(Y316=0,"",ROUNDUP(Y316/H316,0)*0.01898),"")</f>
        <v>0.20877999999999999</v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87.193333333333342</v>
      </c>
      <c r="BN316" s="64">
        <f>IFERROR(Y316*I316/H316,"0")</f>
        <v>91.234000000000009</v>
      </c>
      <c r="BO316" s="64">
        <f>IFERROR(1/J316*(X316/H316),"0")</f>
        <v>0.16426282051282051</v>
      </c>
      <c r="BP316" s="64">
        <f>IFERROR(1/J316*(Y316/H316),"0")</f>
        <v>0.171875</v>
      </c>
    </row>
    <row r="317" spans="1:68" ht="16.5" hidden="1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/>
      <c r="M317" s="33" t="s">
        <v>84</v>
      </c>
      <c r="N317" s="33"/>
      <c r="O317" s="32">
        <v>30</v>
      </c>
      <c r="P317" s="83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/>
      <c r="AK317" s="68">
        <v>0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59" t="s">
        <v>71</v>
      </c>
      <c r="Q318" s="560"/>
      <c r="R318" s="560"/>
      <c r="S318" s="560"/>
      <c r="T318" s="560"/>
      <c r="U318" s="560"/>
      <c r="V318" s="561"/>
      <c r="W318" s="37" t="s">
        <v>72</v>
      </c>
      <c r="X318" s="543">
        <f>IFERROR(X315/H315,"0")+IFERROR(X316/H316,"0")+IFERROR(X317/H317,"0")</f>
        <v>10.512820512820513</v>
      </c>
      <c r="Y318" s="543">
        <f>IFERROR(Y315/H315,"0")+IFERROR(Y316/H316,"0")+IFERROR(Y317/H317,"0")</f>
        <v>11</v>
      </c>
      <c r="Z318" s="543">
        <f>IFERROR(IF(Z315="",0,Z315),"0")+IFERROR(IF(Z316="",0,Z316),"0")+IFERROR(IF(Z317="",0,Z317),"0")</f>
        <v>0.20877999999999999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9" t="s">
        <v>71</v>
      </c>
      <c r="Q319" s="560"/>
      <c r="R319" s="560"/>
      <c r="S319" s="560"/>
      <c r="T319" s="560"/>
      <c r="U319" s="560"/>
      <c r="V319" s="561"/>
      <c r="W319" s="37" t="s">
        <v>69</v>
      </c>
      <c r="X319" s="543">
        <f>IFERROR(SUM(X315:X317),"0")</f>
        <v>82</v>
      </c>
      <c r="Y319" s="543">
        <f>IFERROR(SUM(Y315:Y317),"0")</f>
        <v>85.8</v>
      </c>
      <c r="Z319" s="37"/>
      <c r="AA319" s="544"/>
      <c r="AB319" s="544"/>
      <c r="AC319" s="544"/>
    </row>
    <row r="320" spans="1:68" ht="14.25" hidden="1" customHeight="1" x14ac:dyDescent="0.25">
      <c r="A320" s="565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hidden="1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562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516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186</v>
      </c>
      <c r="M324" s="33" t="s">
        <v>94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59" t="s">
        <v>71</v>
      </c>
      <c r="Q325" s="560"/>
      <c r="R325" s="560"/>
      <c r="S325" s="560"/>
      <c r="T325" s="560"/>
      <c r="U325" s="560"/>
      <c r="V325" s="561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9" t="s">
        <v>71</v>
      </c>
      <c r="Q326" s="560"/>
      <c r="R326" s="560"/>
      <c r="S326" s="560"/>
      <c r="T326" s="560"/>
      <c r="U326" s="560"/>
      <c r="V326" s="561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65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hidden="1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522</v>
      </c>
      <c r="N328" s="33"/>
      <c r="O328" s="32">
        <v>730</v>
      </c>
      <c r="P328" s="5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523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59" t="s">
        <v>71</v>
      </c>
      <c r="Q331" s="560"/>
      <c r="R331" s="560"/>
      <c r="S331" s="560"/>
      <c r="T331" s="560"/>
      <c r="U331" s="560"/>
      <c r="V331" s="561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9" t="s">
        <v>71</v>
      </c>
      <c r="Q332" s="560"/>
      <c r="R332" s="560"/>
      <c r="S332" s="560"/>
      <c r="T332" s="560"/>
      <c r="U332" s="560"/>
      <c r="V332" s="561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66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hidden="1" customHeight="1" x14ac:dyDescent="0.25">
      <c r="A334" s="565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hidden="1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531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186</v>
      </c>
      <c r="M336" s="33" t="s">
        <v>77</v>
      </c>
      <c r="N336" s="33"/>
      <c r="O336" s="32">
        <v>45</v>
      </c>
      <c r="P336" s="80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186</v>
      </c>
      <c r="M337" s="33" t="s">
        <v>84</v>
      </c>
      <c r="N337" s="33"/>
      <c r="O337" s="32">
        <v>40</v>
      </c>
      <c r="P337" s="64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59" t="s">
        <v>71</v>
      </c>
      <c r="Q338" s="560"/>
      <c r="R338" s="560"/>
      <c r="S338" s="560"/>
      <c r="T338" s="560"/>
      <c r="U338" s="560"/>
      <c r="V338" s="561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hidden="1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9" t="s">
        <v>71</v>
      </c>
      <c r="Q339" s="560"/>
      <c r="R339" s="560"/>
      <c r="S339" s="560"/>
      <c r="T339" s="560"/>
      <c r="U339" s="560"/>
      <c r="V339" s="561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hidden="1" customHeight="1" x14ac:dyDescent="0.2">
      <c r="A340" s="667" t="s">
        <v>538</v>
      </c>
      <c r="B340" s="668"/>
      <c r="C340" s="668"/>
      <c r="D340" s="668"/>
      <c r="E340" s="668"/>
      <c r="F340" s="668"/>
      <c r="G340" s="668"/>
      <c r="H340" s="668"/>
      <c r="I340" s="668"/>
      <c r="J340" s="668"/>
      <c r="K340" s="668"/>
      <c r="L340" s="668"/>
      <c r="M340" s="668"/>
      <c r="N340" s="668"/>
      <c r="O340" s="668"/>
      <c r="P340" s="668"/>
      <c r="Q340" s="668"/>
      <c r="R340" s="668"/>
      <c r="S340" s="668"/>
      <c r="T340" s="668"/>
      <c r="U340" s="668"/>
      <c r="V340" s="668"/>
      <c r="W340" s="668"/>
      <c r="X340" s="668"/>
      <c r="Y340" s="668"/>
      <c r="Z340" s="668"/>
      <c r="AA340" s="48"/>
      <c r="AB340" s="48"/>
      <c r="AC340" s="48"/>
    </row>
    <row r="341" spans="1:68" ht="16.5" hidden="1" customHeight="1" x14ac:dyDescent="0.25">
      <c r="A341" s="566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hidden="1" customHeight="1" x14ac:dyDescent="0.25">
      <c r="A342" s="565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155</v>
      </c>
      <c r="Y343" s="542">
        <f t="shared" ref="Y343:Y349" si="31">IFERROR(IF(X343="",0,CEILING((X343/$H343),1)*$H343),"")</f>
        <v>165</v>
      </c>
      <c r="Z343" s="36">
        <f>IFERROR(IF(Y343=0,"",ROUNDUP(Y343/H343,0)*0.02175),"")</f>
        <v>0.23924999999999999</v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159.85666666666665</v>
      </c>
      <c r="BN343" s="64">
        <f t="shared" ref="BN343:BN349" si="33">IFERROR(Y343*I343/H343,"0")</f>
        <v>170.17000000000002</v>
      </c>
      <c r="BO343" s="64">
        <f t="shared" ref="BO343:BO349" si="34">IFERROR(1/J343*(X343/H343),"0")</f>
        <v>0.21527777777777779</v>
      </c>
      <c r="BP343" s="64">
        <f t="shared" ref="BP343:BP349" si="35">IFERROR(1/J343*(Y343/H343),"0")</f>
        <v>0.22916666666666666</v>
      </c>
    </row>
    <row r="344" spans="1:68" ht="27" hidden="1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0</v>
      </c>
      <c r="Y344" s="542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37.5" hidden="1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56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103</v>
      </c>
      <c r="Y346" s="542">
        <f t="shared" si="31"/>
        <v>105</v>
      </c>
      <c r="Z346" s="36">
        <f>IFERROR(IF(Y346=0,"",ROUNDUP(Y346/H346,0)*0.02175),"")</f>
        <v>0.15225</v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106.22733333333333</v>
      </c>
      <c r="BN346" s="64">
        <f t="shared" si="33"/>
        <v>108.29</v>
      </c>
      <c r="BO346" s="64">
        <f t="shared" si="34"/>
        <v>0.14305555555555555</v>
      </c>
      <c r="BP346" s="64">
        <f t="shared" si="35"/>
        <v>0.14583333333333331</v>
      </c>
    </row>
    <row r="347" spans="1:68" ht="27" hidden="1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hidden="1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59" t="s">
        <v>71</v>
      </c>
      <c r="Q350" s="560"/>
      <c r="R350" s="560"/>
      <c r="S350" s="560"/>
      <c r="T350" s="560"/>
      <c r="U350" s="560"/>
      <c r="V350" s="56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17.2</v>
      </c>
      <c r="Y350" s="543">
        <f>IFERROR(Y343/H343,"0")+IFERROR(Y344/H344,"0")+IFERROR(Y345/H345,"0")+IFERROR(Y346/H346,"0")+IFERROR(Y347/H347,"0")+IFERROR(Y348/H348,"0")+IFERROR(Y349/H349,"0")</f>
        <v>18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0.39149999999999996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9" t="s">
        <v>71</v>
      </c>
      <c r="Q351" s="560"/>
      <c r="R351" s="560"/>
      <c r="S351" s="560"/>
      <c r="T351" s="560"/>
      <c r="U351" s="560"/>
      <c r="V351" s="561"/>
      <c r="W351" s="37" t="s">
        <v>69</v>
      </c>
      <c r="X351" s="543">
        <f>IFERROR(SUM(X343:X349),"0")</f>
        <v>258</v>
      </c>
      <c r="Y351" s="543">
        <f>IFERROR(SUM(Y343:Y349),"0")</f>
        <v>270</v>
      </c>
      <c r="Z351" s="37"/>
      <c r="AA351" s="544"/>
      <c r="AB351" s="544"/>
      <c r="AC351" s="544"/>
    </row>
    <row r="352" spans="1:68" ht="14.25" hidden="1" customHeight="1" x14ac:dyDescent="0.25">
      <c r="A352" s="565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121</v>
      </c>
      <c r="Y353" s="542">
        <f>IFERROR(IF(X353="",0,CEILING((X353/$H353),1)*$H353),"")</f>
        <v>135</v>
      </c>
      <c r="Z353" s="36">
        <f>IFERROR(IF(Y353=0,"",ROUNDUP(Y353/H353,0)*0.02175),"")</f>
        <v>0.19574999999999998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124.79133333333334</v>
      </c>
      <c r="BN353" s="64">
        <f>IFERROR(Y353*I353/H353,"0")</f>
        <v>139.23000000000002</v>
      </c>
      <c r="BO353" s="64">
        <f>IFERROR(1/J353*(X353/H353),"0")</f>
        <v>0.16805555555555554</v>
      </c>
      <c r="BP353" s="64">
        <f>IFERROR(1/J353*(Y353/H353),"0")</f>
        <v>0.1875</v>
      </c>
    </row>
    <row r="354" spans="1:68" ht="16.5" hidden="1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59" t="s">
        <v>71</v>
      </c>
      <c r="Q355" s="560"/>
      <c r="R355" s="560"/>
      <c r="S355" s="560"/>
      <c r="T355" s="560"/>
      <c r="U355" s="560"/>
      <c r="V355" s="561"/>
      <c r="W355" s="37" t="s">
        <v>72</v>
      </c>
      <c r="X355" s="543">
        <f>IFERROR(X353/H353,"0")+IFERROR(X354/H354,"0")</f>
        <v>8.0666666666666664</v>
      </c>
      <c r="Y355" s="543">
        <f>IFERROR(Y353/H353,"0")+IFERROR(Y354/H354,"0")</f>
        <v>9</v>
      </c>
      <c r="Z355" s="543">
        <f>IFERROR(IF(Z353="",0,Z353),"0")+IFERROR(IF(Z354="",0,Z354),"0")</f>
        <v>0.19574999999999998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9" t="s">
        <v>71</v>
      </c>
      <c r="Q356" s="560"/>
      <c r="R356" s="560"/>
      <c r="S356" s="560"/>
      <c r="T356" s="560"/>
      <c r="U356" s="560"/>
      <c r="V356" s="561"/>
      <c r="W356" s="37" t="s">
        <v>69</v>
      </c>
      <c r="X356" s="543">
        <f>IFERROR(SUM(X353:X354),"0")</f>
        <v>121</v>
      </c>
      <c r="Y356" s="543">
        <f>IFERROR(SUM(Y353:Y354),"0")</f>
        <v>135</v>
      </c>
      <c r="Z356" s="37"/>
      <c r="AA356" s="544"/>
      <c r="AB356" s="544"/>
      <c r="AC356" s="544"/>
    </row>
    <row r="357" spans="1:68" ht="14.25" hidden="1" customHeight="1" x14ac:dyDescent="0.25">
      <c r="A357" s="565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hidden="1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59" t="s">
        <v>71</v>
      </c>
      <c r="Q360" s="560"/>
      <c r="R360" s="560"/>
      <c r="S360" s="560"/>
      <c r="T360" s="560"/>
      <c r="U360" s="560"/>
      <c r="V360" s="561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9" t="s">
        <v>71</v>
      </c>
      <c r="Q361" s="560"/>
      <c r="R361" s="560"/>
      <c r="S361" s="560"/>
      <c r="T361" s="560"/>
      <c r="U361" s="560"/>
      <c r="V361" s="561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65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hidden="1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59" t="s">
        <v>71</v>
      </c>
      <c r="Q364" s="560"/>
      <c r="R364" s="560"/>
      <c r="S364" s="560"/>
      <c r="T364" s="560"/>
      <c r="U364" s="560"/>
      <c r="V364" s="561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9" t="s">
        <v>71</v>
      </c>
      <c r="Q365" s="560"/>
      <c r="R365" s="560"/>
      <c r="S365" s="560"/>
      <c r="T365" s="560"/>
      <c r="U365" s="560"/>
      <c r="V365" s="561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66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hidden="1" customHeight="1" x14ac:dyDescent="0.25">
      <c r="A367" s="565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hidden="1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59" t="s">
        <v>71</v>
      </c>
      <c r="Q370" s="560"/>
      <c r="R370" s="560"/>
      <c r="S370" s="560"/>
      <c r="T370" s="560"/>
      <c r="U370" s="560"/>
      <c r="V370" s="561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9" t="s">
        <v>71</v>
      </c>
      <c r="Q371" s="560"/>
      <c r="R371" s="560"/>
      <c r="S371" s="560"/>
      <c r="T371" s="560"/>
      <c r="U371" s="560"/>
      <c r="V371" s="561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65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hidden="1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 t="s">
        <v>110</v>
      </c>
      <c r="M373" s="33" t="s">
        <v>68</v>
      </c>
      <c r="N373" s="33"/>
      <c r="O373" s="32">
        <v>35</v>
      </c>
      <c r="P373" s="86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 t="s">
        <v>106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59" t="s">
        <v>71</v>
      </c>
      <c r="Q375" s="560"/>
      <c r="R375" s="560"/>
      <c r="S375" s="560"/>
      <c r="T375" s="560"/>
      <c r="U375" s="560"/>
      <c r="V375" s="56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9" t="s">
        <v>71</v>
      </c>
      <c r="Q376" s="560"/>
      <c r="R376" s="560"/>
      <c r="S376" s="560"/>
      <c r="T376" s="560"/>
      <c r="U376" s="560"/>
      <c r="V376" s="56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65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hidden="1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186</v>
      </c>
      <c r="M379" s="33" t="s">
        <v>77</v>
      </c>
      <c r="N379" s="33"/>
      <c r="O379" s="32">
        <v>40</v>
      </c>
      <c r="P379" s="6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59" t="s">
        <v>71</v>
      </c>
      <c r="Q380" s="560"/>
      <c r="R380" s="560"/>
      <c r="S380" s="560"/>
      <c r="T380" s="560"/>
      <c r="U380" s="560"/>
      <c r="V380" s="561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9" t="s">
        <v>71</v>
      </c>
      <c r="Q381" s="560"/>
      <c r="R381" s="560"/>
      <c r="S381" s="560"/>
      <c r="T381" s="560"/>
      <c r="U381" s="560"/>
      <c r="V381" s="561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67" t="s">
        <v>590</v>
      </c>
      <c r="B382" s="668"/>
      <c r="C382" s="668"/>
      <c r="D382" s="668"/>
      <c r="E382" s="668"/>
      <c r="F382" s="668"/>
      <c r="G382" s="668"/>
      <c r="H382" s="668"/>
      <c r="I382" s="668"/>
      <c r="J382" s="668"/>
      <c r="K382" s="668"/>
      <c r="L382" s="668"/>
      <c r="M382" s="668"/>
      <c r="N382" s="668"/>
      <c r="O382" s="668"/>
      <c r="P382" s="668"/>
      <c r="Q382" s="668"/>
      <c r="R382" s="668"/>
      <c r="S382" s="668"/>
      <c r="T382" s="668"/>
      <c r="U382" s="668"/>
      <c r="V382" s="668"/>
      <c r="W382" s="668"/>
      <c r="X382" s="668"/>
      <c r="Y382" s="668"/>
      <c r="Z382" s="668"/>
      <c r="AA382" s="48"/>
      <c r="AB382" s="48"/>
      <c r="AC382" s="48"/>
    </row>
    <row r="383" spans="1:68" ht="16.5" hidden="1" customHeight="1" x14ac:dyDescent="0.25">
      <c r="A383" s="566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hidden="1" customHeight="1" x14ac:dyDescent="0.25">
      <c r="A384" s="565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hidden="1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594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8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idden="1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59" t="s">
        <v>71</v>
      </c>
      <c r="Q394" s="560"/>
      <c r="R394" s="560"/>
      <c r="S394" s="560"/>
      <c r="T394" s="560"/>
      <c r="U394" s="560"/>
      <c r="V394" s="56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9" t="s">
        <v>71</v>
      </c>
      <c r="Q395" s="560"/>
      <c r="R395" s="560"/>
      <c r="S395" s="560"/>
      <c r="T395" s="560"/>
      <c r="U395" s="560"/>
      <c r="V395" s="561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65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hidden="1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5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59" t="s">
        <v>71</v>
      </c>
      <c r="Q399" s="560"/>
      <c r="R399" s="560"/>
      <c r="S399" s="560"/>
      <c r="T399" s="560"/>
      <c r="U399" s="560"/>
      <c r="V399" s="56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9" t="s">
        <v>71</v>
      </c>
      <c r="Q400" s="560"/>
      <c r="R400" s="560"/>
      <c r="S400" s="560"/>
      <c r="T400" s="560"/>
      <c r="U400" s="560"/>
      <c r="V400" s="56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6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hidden="1" customHeight="1" x14ac:dyDescent="0.25">
      <c r="A402" s="565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hidden="1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59" t="s">
        <v>71</v>
      </c>
      <c r="Q404" s="560"/>
      <c r="R404" s="560"/>
      <c r="S404" s="560"/>
      <c r="T404" s="560"/>
      <c r="U404" s="560"/>
      <c r="V404" s="56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9" t="s">
        <v>71</v>
      </c>
      <c r="Q405" s="560"/>
      <c r="R405" s="560"/>
      <c r="S405" s="560"/>
      <c r="T405" s="560"/>
      <c r="U405" s="560"/>
      <c r="V405" s="56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5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hidden="1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628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5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59" t="s">
        <v>71</v>
      </c>
      <c r="Q411" s="560"/>
      <c r="R411" s="560"/>
      <c r="S411" s="560"/>
      <c r="T411" s="560"/>
      <c r="U411" s="560"/>
      <c r="V411" s="561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9" t="s">
        <v>71</v>
      </c>
      <c r="Q412" s="560"/>
      <c r="R412" s="560"/>
      <c r="S412" s="560"/>
      <c r="T412" s="560"/>
      <c r="U412" s="560"/>
      <c r="V412" s="561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66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hidden="1" customHeight="1" x14ac:dyDescent="0.25">
      <c r="A414" s="565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hidden="1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59" t="s">
        <v>71</v>
      </c>
      <c r="Q416" s="560"/>
      <c r="R416" s="560"/>
      <c r="S416" s="560"/>
      <c r="T416" s="560"/>
      <c r="U416" s="560"/>
      <c r="V416" s="561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9" t="s">
        <v>71</v>
      </c>
      <c r="Q417" s="560"/>
      <c r="R417" s="560"/>
      <c r="S417" s="560"/>
      <c r="T417" s="560"/>
      <c r="U417" s="560"/>
      <c r="V417" s="561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67" t="s">
        <v>641</v>
      </c>
      <c r="B418" s="668"/>
      <c r="C418" s="668"/>
      <c r="D418" s="668"/>
      <c r="E418" s="668"/>
      <c r="F418" s="668"/>
      <c r="G418" s="668"/>
      <c r="H418" s="668"/>
      <c r="I418" s="668"/>
      <c r="J418" s="668"/>
      <c r="K418" s="668"/>
      <c r="L418" s="668"/>
      <c r="M418" s="668"/>
      <c r="N418" s="668"/>
      <c r="O418" s="668"/>
      <c r="P418" s="668"/>
      <c r="Q418" s="668"/>
      <c r="R418" s="668"/>
      <c r="S418" s="668"/>
      <c r="T418" s="668"/>
      <c r="U418" s="668"/>
      <c r="V418" s="668"/>
      <c r="W418" s="668"/>
      <c r="X418" s="668"/>
      <c r="Y418" s="668"/>
      <c r="Z418" s="668"/>
      <c r="AA418" s="48"/>
      <c r="AB418" s="48"/>
      <c r="AC418" s="48"/>
    </row>
    <row r="419" spans="1:68" ht="16.5" hidden="1" customHeight="1" x14ac:dyDescent="0.25">
      <c r="A419" s="566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hidden="1" customHeight="1" x14ac:dyDescent="0.25">
      <c r="A420" s="565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hidden="1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5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hidden="1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279</v>
      </c>
      <c r="Y426" s="542">
        <f t="shared" si="42"/>
        <v>279.84000000000003</v>
      </c>
      <c r="Z426" s="36">
        <f t="shared" si="43"/>
        <v>0.63388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297.49431818181819</v>
      </c>
      <c r="BN426" s="64">
        <f t="shared" si="45"/>
        <v>298.39000000000004</v>
      </c>
      <c r="BO426" s="64">
        <f t="shared" si="46"/>
        <v>0.50808566433566427</v>
      </c>
      <c r="BP426" s="64">
        <f t="shared" si="47"/>
        <v>0.50961538461538469</v>
      </c>
    </row>
    <row r="427" spans="1:68" ht="27" hidden="1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7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59" t="s">
        <v>71</v>
      </c>
      <c r="Q432" s="560"/>
      <c r="R432" s="560"/>
      <c r="S432" s="560"/>
      <c r="T432" s="560"/>
      <c r="U432" s="560"/>
      <c r="V432" s="56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52.840909090909086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53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0.63388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9" t="s">
        <v>71</v>
      </c>
      <c r="Q433" s="560"/>
      <c r="R433" s="560"/>
      <c r="S433" s="560"/>
      <c r="T433" s="560"/>
      <c r="U433" s="560"/>
      <c r="V433" s="561"/>
      <c r="W433" s="37" t="s">
        <v>69</v>
      </c>
      <c r="X433" s="543">
        <f>IFERROR(SUM(X421:X431),"0")</f>
        <v>279</v>
      </c>
      <c r="Y433" s="543">
        <f>IFERROR(SUM(Y421:Y431),"0")</f>
        <v>279.84000000000003</v>
      </c>
      <c r="Z433" s="37"/>
      <c r="AA433" s="544"/>
      <c r="AB433" s="544"/>
      <c r="AC433" s="544"/>
    </row>
    <row r="434" spans="1:68" ht="14.25" hidden="1" customHeight="1" x14ac:dyDescent="0.25">
      <c r="A434" s="565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112</v>
      </c>
      <c r="Y435" s="542">
        <f>IFERROR(IF(X435="",0,CEILING((X435/$H435),1)*$H435),"")</f>
        <v>116.16000000000001</v>
      </c>
      <c r="Z435" s="36">
        <f>IFERROR(IF(Y435=0,"",ROUNDUP(Y435/H435,0)*0.01196),"")</f>
        <v>0.26312000000000002</v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119.42424242424241</v>
      </c>
      <c r="BN435" s="64">
        <f>IFERROR(Y435*I435/H435,"0")</f>
        <v>123.86</v>
      </c>
      <c r="BO435" s="64">
        <f>IFERROR(1/J435*(X435/H435),"0")</f>
        <v>0.20396270396270397</v>
      </c>
      <c r="BP435" s="64">
        <f>IFERROR(1/J435*(Y435/H435),"0")</f>
        <v>0.21153846153846156</v>
      </c>
    </row>
    <row r="436" spans="1:68" ht="16.5" hidden="1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59" t="s">
        <v>71</v>
      </c>
      <c r="Q438" s="560"/>
      <c r="R438" s="560"/>
      <c r="S438" s="560"/>
      <c r="T438" s="560"/>
      <c r="U438" s="560"/>
      <c r="V438" s="561"/>
      <c r="W438" s="37" t="s">
        <v>72</v>
      </c>
      <c r="X438" s="543">
        <f>IFERROR(X435/H435,"0")+IFERROR(X436/H436,"0")+IFERROR(X437/H437,"0")</f>
        <v>21.212121212121211</v>
      </c>
      <c r="Y438" s="543">
        <f>IFERROR(Y435/H435,"0")+IFERROR(Y436/H436,"0")+IFERROR(Y437/H437,"0")</f>
        <v>22</v>
      </c>
      <c r="Z438" s="543">
        <f>IFERROR(IF(Z435="",0,Z435),"0")+IFERROR(IF(Z436="",0,Z436),"0")+IFERROR(IF(Z437="",0,Z437),"0")</f>
        <v>0.26312000000000002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9" t="s">
        <v>71</v>
      </c>
      <c r="Q439" s="560"/>
      <c r="R439" s="560"/>
      <c r="S439" s="560"/>
      <c r="T439" s="560"/>
      <c r="U439" s="560"/>
      <c r="V439" s="561"/>
      <c r="W439" s="37" t="s">
        <v>69</v>
      </c>
      <c r="X439" s="543">
        <f>IFERROR(SUM(X435:X437),"0")</f>
        <v>112</v>
      </c>
      <c r="Y439" s="543">
        <f>IFERROR(SUM(Y435:Y437),"0")</f>
        <v>116.16000000000001</v>
      </c>
      <c r="Z439" s="37"/>
      <c r="AA439" s="544"/>
      <c r="AB439" s="544"/>
      <c r="AC439" s="544"/>
    </row>
    <row r="440" spans="1:68" ht="14.25" hidden="1" customHeight="1" x14ac:dyDescent="0.25">
      <c r="A440" s="565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70</v>
      </c>
      <c r="Y441" s="542">
        <f t="shared" ref="Y441:Y446" si="48">IFERROR(IF(X441="",0,CEILING((X441/$H441),1)*$H441),"")</f>
        <v>73.92</v>
      </c>
      <c r="Z441" s="36">
        <f>IFERROR(IF(Y441=0,"",ROUNDUP(Y441/H441,0)*0.01196),"")</f>
        <v>0.16744000000000001</v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74.640151515151501</v>
      </c>
      <c r="BN441" s="64">
        <f t="shared" ref="BN441:BN446" si="50">IFERROR(Y441*I441/H441,"0")</f>
        <v>78.819999999999993</v>
      </c>
      <c r="BO441" s="64">
        <f t="shared" ref="BO441:BO446" si="51">IFERROR(1/J441*(X441/H441),"0")</f>
        <v>0.12747668997668998</v>
      </c>
      <c r="BP441" s="64">
        <f t="shared" ref="BP441:BP446" si="52">IFERROR(1/J441*(Y441/H441),"0")</f>
        <v>0.13461538461538464</v>
      </c>
    </row>
    <row r="442" spans="1:68" ht="27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47</v>
      </c>
      <c r="Y442" s="542">
        <f t="shared" si="48"/>
        <v>47.52</v>
      </c>
      <c r="Z442" s="36">
        <f>IFERROR(IF(Y442=0,"",ROUNDUP(Y442/H442,0)*0.01196),"")</f>
        <v>0.10764</v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50.115530303030305</v>
      </c>
      <c r="BN442" s="64">
        <f t="shared" si="50"/>
        <v>50.669999999999995</v>
      </c>
      <c r="BO442" s="64">
        <f t="shared" si="51"/>
        <v>8.559149184149184E-2</v>
      </c>
      <c r="BP442" s="64">
        <f t="shared" si="52"/>
        <v>8.6538461538461536E-2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60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75</v>
      </c>
      <c r="Y443" s="542">
        <f t="shared" si="48"/>
        <v>79.2</v>
      </c>
      <c r="Z443" s="36">
        <f>IFERROR(IF(Y443=0,"",ROUNDUP(Y443/H443,0)*0.01196),"")</f>
        <v>0.1794</v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79.971590909090907</v>
      </c>
      <c r="BN443" s="64">
        <f t="shared" si="50"/>
        <v>84.45</v>
      </c>
      <c r="BO443" s="64">
        <f t="shared" si="51"/>
        <v>0.13658216783216784</v>
      </c>
      <c r="BP443" s="64">
        <f t="shared" si="52"/>
        <v>0.14423076923076925</v>
      </c>
    </row>
    <row r="444" spans="1:68" ht="27" hidden="1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60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59" t="s">
        <v>71</v>
      </c>
      <c r="Q447" s="560"/>
      <c r="R447" s="560"/>
      <c r="S447" s="560"/>
      <c r="T447" s="560"/>
      <c r="U447" s="560"/>
      <c r="V447" s="561"/>
      <c r="W447" s="37" t="s">
        <v>72</v>
      </c>
      <c r="X447" s="543">
        <f>IFERROR(X441/H441,"0")+IFERROR(X442/H442,"0")+IFERROR(X443/H443,"0")+IFERROR(X444/H444,"0")+IFERROR(X445/H445,"0")+IFERROR(X446/H446,"0")</f>
        <v>36.36363636363636</v>
      </c>
      <c r="Y447" s="543">
        <f>IFERROR(Y441/H441,"0")+IFERROR(Y442/H442,"0")+IFERROR(Y443/H443,"0")+IFERROR(Y444/H444,"0")+IFERROR(Y445/H445,"0")+IFERROR(Y446/H446,"0")</f>
        <v>38</v>
      </c>
      <c r="Z447" s="543">
        <f>IFERROR(IF(Z441="",0,Z441),"0")+IFERROR(IF(Z442="",0,Z442),"0")+IFERROR(IF(Z443="",0,Z443),"0")+IFERROR(IF(Z444="",0,Z444),"0")+IFERROR(IF(Z445="",0,Z445),"0")+IFERROR(IF(Z446="",0,Z446),"0")</f>
        <v>0.45448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9" t="s">
        <v>71</v>
      </c>
      <c r="Q448" s="560"/>
      <c r="R448" s="560"/>
      <c r="S448" s="560"/>
      <c r="T448" s="560"/>
      <c r="U448" s="560"/>
      <c r="V448" s="561"/>
      <c r="W448" s="37" t="s">
        <v>69</v>
      </c>
      <c r="X448" s="543">
        <f>IFERROR(SUM(X441:X446),"0")</f>
        <v>192</v>
      </c>
      <c r="Y448" s="543">
        <f>IFERROR(SUM(Y441:Y446),"0")</f>
        <v>200.64</v>
      </c>
      <c r="Z448" s="37"/>
      <c r="AA448" s="544"/>
      <c r="AB448" s="544"/>
      <c r="AC448" s="544"/>
    </row>
    <row r="449" spans="1:68" ht="14.25" hidden="1" customHeight="1" x14ac:dyDescent="0.25">
      <c r="A449" s="565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hidden="1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57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59" t="s">
        <v>71</v>
      </c>
      <c r="Q453" s="560"/>
      <c r="R453" s="560"/>
      <c r="S453" s="560"/>
      <c r="T453" s="560"/>
      <c r="U453" s="560"/>
      <c r="V453" s="56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9" t="s">
        <v>71</v>
      </c>
      <c r="Q454" s="560"/>
      <c r="R454" s="560"/>
      <c r="S454" s="560"/>
      <c r="T454" s="560"/>
      <c r="U454" s="560"/>
      <c r="V454" s="56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67" t="s">
        <v>701</v>
      </c>
      <c r="B455" s="668"/>
      <c r="C455" s="668"/>
      <c r="D455" s="668"/>
      <c r="E455" s="668"/>
      <c r="F455" s="668"/>
      <c r="G455" s="668"/>
      <c r="H455" s="668"/>
      <c r="I455" s="668"/>
      <c r="J455" s="668"/>
      <c r="K455" s="668"/>
      <c r="L455" s="668"/>
      <c r="M455" s="668"/>
      <c r="N455" s="668"/>
      <c r="O455" s="668"/>
      <c r="P455" s="668"/>
      <c r="Q455" s="668"/>
      <c r="R455" s="668"/>
      <c r="S455" s="668"/>
      <c r="T455" s="668"/>
      <c r="U455" s="668"/>
      <c r="V455" s="668"/>
      <c r="W455" s="668"/>
      <c r="X455" s="668"/>
      <c r="Y455" s="668"/>
      <c r="Z455" s="668"/>
      <c r="AA455" s="48"/>
      <c r="AB455" s="48"/>
      <c r="AC455" s="48"/>
    </row>
    <row r="456" spans="1:68" ht="16.5" hidden="1" customHeight="1" x14ac:dyDescent="0.25">
      <c r="A456" s="566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hidden="1" customHeight="1" x14ac:dyDescent="0.25">
      <c r="A457" s="565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hidden="1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1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59" t="s">
        <v>71</v>
      </c>
      <c r="Q462" s="560"/>
      <c r="R462" s="560"/>
      <c r="S462" s="560"/>
      <c r="T462" s="560"/>
      <c r="U462" s="560"/>
      <c r="V462" s="56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9" t="s">
        <v>71</v>
      </c>
      <c r="Q463" s="560"/>
      <c r="R463" s="560"/>
      <c r="S463" s="560"/>
      <c r="T463" s="560"/>
      <c r="U463" s="560"/>
      <c r="V463" s="56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5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hidden="1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59" t="s">
        <v>71</v>
      </c>
      <c r="Q468" s="560"/>
      <c r="R468" s="560"/>
      <c r="S468" s="560"/>
      <c r="T468" s="560"/>
      <c r="U468" s="560"/>
      <c r="V468" s="56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9" t="s">
        <v>71</v>
      </c>
      <c r="Q469" s="560"/>
      <c r="R469" s="560"/>
      <c r="S469" s="560"/>
      <c r="T469" s="560"/>
      <c r="U469" s="560"/>
      <c r="V469" s="56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5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hidden="1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59" t="s">
        <v>71</v>
      </c>
      <c r="Q473" s="560"/>
      <c r="R473" s="560"/>
      <c r="S473" s="560"/>
      <c r="T473" s="560"/>
      <c r="U473" s="560"/>
      <c r="V473" s="561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9" t="s">
        <v>71</v>
      </c>
      <c r="Q474" s="560"/>
      <c r="R474" s="560"/>
      <c r="S474" s="560"/>
      <c r="T474" s="560"/>
      <c r="U474" s="560"/>
      <c r="V474" s="561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5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hidden="1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730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59" t="s">
        <v>71</v>
      </c>
      <c r="Q477" s="560"/>
      <c r="R477" s="560"/>
      <c r="S477" s="560"/>
      <c r="T477" s="560"/>
      <c r="U477" s="560"/>
      <c r="V477" s="561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9" t="s">
        <v>71</v>
      </c>
      <c r="Q478" s="560"/>
      <c r="R478" s="560"/>
      <c r="S478" s="560"/>
      <c r="T478" s="560"/>
      <c r="U478" s="560"/>
      <c r="V478" s="561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65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hidden="1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8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59" t="s">
        <v>71</v>
      </c>
      <c r="Q482" s="560"/>
      <c r="R482" s="560"/>
      <c r="S482" s="560"/>
      <c r="T482" s="560"/>
      <c r="U482" s="560"/>
      <c r="V482" s="56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9" t="s">
        <v>71</v>
      </c>
      <c r="Q483" s="560"/>
      <c r="R483" s="560"/>
      <c r="S483" s="560"/>
      <c r="T483" s="560"/>
      <c r="U483" s="560"/>
      <c r="V483" s="56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6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hidden="1" customHeight="1" x14ac:dyDescent="0.25">
      <c r="A485" s="565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hidden="1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4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59" t="s">
        <v>71</v>
      </c>
      <c r="Q487" s="560"/>
      <c r="R487" s="560"/>
      <c r="S487" s="560"/>
      <c r="T487" s="560"/>
      <c r="U487" s="560"/>
      <c r="V487" s="56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9" t="s">
        <v>71</v>
      </c>
      <c r="Q488" s="560"/>
      <c r="R488" s="560"/>
      <c r="S488" s="560"/>
      <c r="T488" s="560"/>
      <c r="U488" s="560"/>
      <c r="V488" s="56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66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8"/>
      <c r="P489" s="663" t="s">
        <v>741</v>
      </c>
      <c r="Q489" s="593"/>
      <c r="R489" s="593"/>
      <c r="S489" s="593"/>
      <c r="T489" s="593"/>
      <c r="U489" s="593"/>
      <c r="V489" s="59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1522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1586.04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8"/>
      <c r="P490" s="663" t="s">
        <v>742</v>
      </c>
      <c r="Q490" s="593"/>
      <c r="R490" s="593"/>
      <c r="S490" s="593"/>
      <c r="T490" s="593"/>
      <c r="U490" s="593"/>
      <c r="V490" s="594"/>
      <c r="W490" s="37" t="s">
        <v>69</v>
      </c>
      <c r="X490" s="543">
        <f>IFERROR(SUM(BM22:BM486),"0")</f>
        <v>1618.1854876543212</v>
      </c>
      <c r="Y490" s="543">
        <f>IFERROR(SUM(BN22:BN486),"0")</f>
        <v>1685.64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8"/>
      <c r="P491" s="663" t="s">
        <v>743</v>
      </c>
      <c r="Q491" s="593"/>
      <c r="R491" s="593"/>
      <c r="S491" s="593"/>
      <c r="T491" s="593"/>
      <c r="U491" s="593"/>
      <c r="V491" s="594"/>
      <c r="W491" s="37" t="s">
        <v>744</v>
      </c>
      <c r="X491" s="38">
        <f>ROUNDUP(SUM(BO22:BO486),0)</f>
        <v>3</v>
      </c>
      <c r="Y491" s="38">
        <f>ROUNDUP(SUM(BP22:BP486),0)</f>
        <v>3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8"/>
      <c r="P492" s="663" t="s">
        <v>745</v>
      </c>
      <c r="Q492" s="593"/>
      <c r="R492" s="593"/>
      <c r="S492" s="593"/>
      <c r="T492" s="593"/>
      <c r="U492" s="593"/>
      <c r="V492" s="594"/>
      <c r="W492" s="37" t="s">
        <v>69</v>
      </c>
      <c r="X492" s="543">
        <f>GrossWeightTotal+PalletQtyTotal*25</f>
        <v>1693.1854876543212</v>
      </c>
      <c r="Y492" s="543">
        <f>GrossWeightTotalR+PalletQtyTotalR*25</f>
        <v>1760.64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8"/>
      <c r="P493" s="663" t="s">
        <v>746</v>
      </c>
      <c r="Q493" s="593"/>
      <c r="R493" s="593"/>
      <c r="S493" s="593"/>
      <c r="T493" s="593"/>
      <c r="U493" s="593"/>
      <c r="V493" s="59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287.89368471035135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297</v>
      </c>
      <c r="Z493" s="37"/>
      <c r="AA493" s="544"/>
      <c r="AB493" s="544"/>
      <c r="AC493" s="544"/>
    </row>
    <row r="494" spans="1:68" ht="14.25" hidden="1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8"/>
      <c r="P494" s="663" t="s">
        <v>747</v>
      </c>
      <c r="Q494" s="593"/>
      <c r="R494" s="593"/>
      <c r="S494" s="593"/>
      <c r="T494" s="593"/>
      <c r="U494" s="593"/>
      <c r="V494" s="59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3.4221900000000005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605" t="s">
        <v>97</v>
      </c>
      <c r="D496" s="682"/>
      <c r="E496" s="682"/>
      <c r="F496" s="682"/>
      <c r="G496" s="682"/>
      <c r="H496" s="645"/>
      <c r="I496" s="605" t="s">
        <v>255</v>
      </c>
      <c r="J496" s="682"/>
      <c r="K496" s="682"/>
      <c r="L496" s="682"/>
      <c r="M496" s="682"/>
      <c r="N496" s="682"/>
      <c r="O496" s="682"/>
      <c r="P496" s="682"/>
      <c r="Q496" s="682"/>
      <c r="R496" s="645"/>
      <c r="S496" s="605" t="s">
        <v>538</v>
      </c>
      <c r="T496" s="645"/>
      <c r="U496" s="605" t="s">
        <v>590</v>
      </c>
      <c r="V496" s="682"/>
      <c r="W496" s="645"/>
      <c r="X496" s="538" t="s">
        <v>641</v>
      </c>
      <c r="Y496" s="605" t="s">
        <v>701</v>
      </c>
      <c r="Z496" s="645"/>
      <c r="AB496" s="52"/>
      <c r="AC496" s="52"/>
      <c r="AF496" s="539"/>
    </row>
    <row r="497" spans="1:32" ht="14.25" customHeight="1" thickTop="1" x14ac:dyDescent="0.2">
      <c r="A497" s="867" t="s">
        <v>750</v>
      </c>
      <c r="B497" s="605" t="s">
        <v>63</v>
      </c>
      <c r="C497" s="605" t="s">
        <v>98</v>
      </c>
      <c r="D497" s="605" t="s">
        <v>116</v>
      </c>
      <c r="E497" s="605" t="s">
        <v>170</v>
      </c>
      <c r="F497" s="605" t="s">
        <v>190</v>
      </c>
      <c r="G497" s="605" t="s">
        <v>220</v>
      </c>
      <c r="H497" s="605" t="s">
        <v>97</v>
      </c>
      <c r="I497" s="605" t="s">
        <v>256</v>
      </c>
      <c r="J497" s="605" t="s">
        <v>301</v>
      </c>
      <c r="K497" s="605" t="s">
        <v>361</v>
      </c>
      <c r="L497" s="605" t="s">
        <v>403</v>
      </c>
      <c r="M497" s="605" t="s">
        <v>419</v>
      </c>
      <c r="N497" s="539"/>
      <c r="O497" s="605" t="s">
        <v>430</v>
      </c>
      <c r="P497" s="605" t="s">
        <v>439</v>
      </c>
      <c r="Q497" s="605" t="s">
        <v>453</v>
      </c>
      <c r="R497" s="605" t="s">
        <v>528</v>
      </c>
      <c r="S497" s="605" t="s">
        <v>539</v>
      </c>
      <c r="T497" s="605" t="s">
        <v>574</v>
      </c>
      <c r="U497" s="605" t="s">
        <v>591</v>
      </c>
      <c r="V497" s="605" t="s">
        <v>622</v>
      </c>
      <c r="W497" s="605" t="s">
        <v>637</v>
      </c>
      <c r="X497" s="605" t="s">
        <v>641</v>
      </c>
      <c r="Y497" s="605" t="s">
        <v>701</v>
      </c>
      <c r="Z497" s="605" t="s">
        <v>737</v>
      </c>
      <c r="AB497" s="52"/>
      <c r="AC497" s="52"/>
      <c r="AF497" s="539"/>
    </row>
    <row r="498" spans="1:32" ht="13.5" customHeight="1" thickBot="1" x14ac:dyDescent="0.25">
      <c r="A498" s="868"/>
      <c r="B498" s="606"/>
      <c r="C498" s="606"/>
      <c r="D498" s="606"/>
      <c r="E498" s="606"/>
      <c r="F498" s="606"/>
      <c r="G498" s="606"/>
      <c r="H498" s="606"/>
      <c r="I498" s="606"/>
      <c r="J498" s="606"/>
      <c r="K498" s="606"/>
      <c r="L498" s="606"/>
      <c r="M498" s="606"/>
      <c r="N498" s="539"/>
      <c r="O498" s="606"/>
      <c r="P498" s="606"/>
      <c r="Q498" s="606"/>
      <c r="R498" s="606"/>
      <c r="S498" s="606"/>
      <c r="T498" s="606"/>
      <c r="U498" s="606"/>
      <c r="V498" s="606"/>
      <c r="W498" s="606"/>
      <c r="X498" s="606"/>
      <c r="Y498" s="606"/>
      <c r="Z498" s="606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46">
        <f>IFERROR(Y85*1,"0")+IFERROR(Y86*1,"0")+IFERROR(Y87*1,"0")+IFERROR(Y91*1,"0")+IFERROR(Y92*1,"0")+IFERROR(Y93*1,"0")+IFERROR(Y94*1,"0")</f>
        <v>105.3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105.3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218.39999999999998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69.599999999999994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85.8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405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596.6400000000001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XgZqHEJ2MABgr0j5xXV1HE3GTJrbNbVAVAZ/MHFc7Jyd3qZn4AFf1oq9GWcdalQKUkhWgRyyNfkykayQA1c/qQ==" saltValue="PDVKBN9I2JRCwWHWzm/Vd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22,00"/>
        <filter val="1 618,19"/>
        <filter val="1 693,19"/>
        <filter val="10,51"/>
        <filter val="103,00"/>
        <filter val="104,00"/>
        <filter val="112,00"/>
        <filter val="12,10"/>
        <filter val="121,00"/>
        <filter val="155,00"/>
        <filter val="17,20"/>
        <filter val="192,00"/>
        <filter val="21,21"/>
        <filter val="216,00"/>
        <filter val="258,00"/>
        <filter val="27,50"/>
        <filter val="279,00"/>
        <filter val="287,89"/>
        <filter val="3"/>
        <filter val="32,00"/>
        <filter val="34,00"/>
        <filter val="36,36"/>
        <filter val="47,00"/>
        <filter val="52,84"/>
        <filter val="66,00"/>
        <filter val="70,00"/>
        <filter val="75,00"/>
        <filter val="8,07"/>
        <filter val="82,00"/>
        <filter val="90,00"/>
        <filter val="98,00"/>
      </filters>
    </filterColumn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T497:T498"/>
    <mergeCell ref="V497:V498"/>
    <mergeCell ref="D458:E458"/>
    <mergeCell ref="A489:O494"/>
    <mergeCell ref="A497:A498"/>
    <mergeCell ref="A447:O448"/>
    <mergeCell ref="P493:V493"/>
    <mergeCell ref="D452:E452"/>
    <mergeCell ref="U497:U498"/>
    <mergeCell ref="I496:R496"/>
    <mergeCell ref="W497:W49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D196:E196"/>
    <mergeCell ref="A126:O127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P368:T368"/>
    <mergeCell ref="A362:Z362"/>
    <mergeCell ref="A245:Z245"/>
    <mergeCell ref="P43:V43"/>
    <mergeCell ref="A39:Z39"/>
    <mergeCell ref="P85:T85"/>
    <mergeCell ref="P60:T60"/>
    <mergeCell ref="D291:E291"/>
    <mergeCell ref="D170:E170"/>
    <mergeCell ref="P132:V132"/>
    <mergeCell ref="P72:T72"/>
    <mergeCell ref="A31:O32"/>
    <mergeCell ref="A320:Z320"/>
    <mergeCell ref="P351:V351"/>
    <mergeCell ref="A314:Z314"/>
    <mergeCell ref="P124:T124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P200:T200"/>
    <mergeCell ref="P134:T134"/>
    <mergeCell ref="P371:V371"/>
    <mergeCell ref="P421:T421"/>
    <mergeCell ref="A411:O412"/>
    <mergeCell ref="P408:T408"/>
    <mergeCell ref="P137:V137"/>
    <mergeCell ref="D247:E247"/>
    <mergeCell ref="A487:O488"/>
    <mergeCell ref="D266:E266"/>
    <mergeCell ref="P410:T410"/>
    <mergeCell ref="P385:T385"/>
    <mergeCell ref="A260:O261"/>
    <mergeCell ref="A484:Z484"/>
    <mergeCell ref="P312:V312"/>
    <mergeCell ref="A289:Z289"/>
    <mergeCell ref="D430:E430"/>
    <mergeCell ref="P469:V469"/>
    <mergeCell ref="P486:T486"/>
    <mergeCell ref="D450:E450"/>
    <mergeCell ref="A455:Z455"/>
    <mergeCell ref="D385:E385"/>
    <mergeCell ref="P301:T301"/>
    <mergeCell ref="P483:V483"/>
    <mergeCell ref="P294:T294"/>
    <mergeCell ref="D293:E293"/>
    <mergeCell ref="A477:O478"/>
    <mergeCell ref="A440:Z440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P181:T181"/>
    <mergeCell ref="D29:E29"/>
    <mergeCell ref="P344:T344"/>
    <mergeCell ref="P354:T354"/>
    <mergeCell ref="D226:E226"/>
    <mergeCell ref="D164:E164"/>
    <mergeCell ref="P62:T62"/>
    <mergeCell ref="P176:T176"/>
    <mergeCell ref="P247:T247"/>
    <mergeCell ref="P114:T114"/>
    <mergeCell ref="P41:T41"/>
    <mergeCell ref="A157:Z157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A318:O319"/>
    <mergeCell ref="P47:V47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68:T68"/>
    <mergeCell ref="P82:V82"/>
    <mergeCell ref="D330:E330"/>
    <mergeCell ref="A98:Z98"/>
    <mergeCell ref="A396:Z396"/>
    <mergeCell ref="P239:V239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A305:O306"/>
    <mergeCell ref="P346:T346"/>
    <mergeCell ref="P446:T446"/>
    <mergeCell ref="P310:T310"/>
    <mergeCell ref="P264:T264"/>
    <mergeCell ref="A312:O313"/>
    <mergeCell ref="P353:T353"/>
    <mergeCell ref="D169:E169"/>
    <mergeCell ref="P204:V204"/>
    <mergeCell ref="P303:T303"/>
    <mergeCell ref="A357:Z357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A19:Z19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P246:T246"/>
    <mergeCell ref="P214:T214"/>
    <mergeCell ref="P432:V432"/>
    <mergeCell ref="D249:E249"/>
    <mergeCell ref="P436:T436"/>
    <mergeCell ref="A251:O252"/>
    <mergeCell ref="P292:T292"/>
    <mergeCell ref="A360:O361"/>
    <mergeCell ref="D257:E257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5:X166 X169 X187 X196:X201 X203 X207:X210 X212:X215 X233 X255 X257 X273:X274 X299 X308 X316 X323:X324 X336:X337 X343:X345 X353 X368 X373 X378:X379 X387 X421:X423 X426 X435 X437 X441:X443 X460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zvPMnSCa7+7cs6I5fpJmSo2+voyy1kRApVMm/FJwLrygu0bw1eoZQmTSPns4MS+tTArxtJqVjaLLvhNyf3a5ig==" saltValue="h1k8yPaE1NqAt89V0d1YS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2025-11-19T10:37:27Z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