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3010974-CBD5-4E0C-9B4D-D1DFD3DA3D2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BO321" i="1"/>
  <c r="BM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Y286" i="1" s="1"/>
  <c r="X282" i="1"/>
  <c r="X281" i="1"/>
  <c r="BO280" i="1"/>
  <c r="BM280" i="1"/>
  <c r="Y280" i="1"/>
  <c r="P280" i="1"/>
  <c r="BO279" i="1"/>
  <c r="BM279" i="1"/>
  <c r="Y279" i="1"/>
  <c r="BP279" i="1" s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BP272" i="1" s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X205" i="1"/>
  <c r="X204" i="1"/>
  <c r="BO203" i="1"/>
  <c r="BM203" i="1"/>
  <c r="Y203" i="1"/>
  <c r="BP203" i="1" s="1"/>
  <c r="P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BP199" i="1" s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X173" i="1"/>
  <c r="X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BP162" i="1"/>
  <c r="BO162" i="1"/>
  <c r="BN162" i="1"/>
  <c r="BM162" i="1"/>
  <c r="Z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O148" i="1"/>
  <c r="BM148" i="1"/>
  <c r="Y148" i="1"/>
  <c r="BP148" i="1" s="1"/>
  <c r="P148" i="1"/>
  <c r="BO147" i="1"/>
  <c r="BM147" i="1"/>
  <c r="Y147" i="1"/>
  <c r="P147" i="1"/>
  <c r="BO146" i="1"/>
  <c r="BM146" i="1"/>
  <c r="Y146" i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O140" i="1"/>
  <c r="BM140" i="1"/>
  <c r="Y140" i="1"/>
  <c r="BP140" i="1" s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BP129" i="1" s="1"/>
  <c r="P129" i="1"/>
  <c r="X127" i="1"/>
  <c r="X126" i="1"/>
  <c r="BO125" i="1"/>
  <c r="BM125" i="1"/>
  <c r="Y125" i="1"/>
  <c r="BP125" i="1" s="1"/>
  <c r="P125" i="1"/>
  <c r="BO124" i="1"/>
  <c r="BM124" i="1"/>
  <c r="Y124" i="1"/>
  <c r="Y126" i="1" s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O112" i="1"/>
  <c r="BM112" i="1"/>
  <c r="Y112" i="1"/>
  <c r="BP112" i="1" s="1"/>
  <c r="P112" i="1"/>
  <c r="X110" i="1"/>
  <c r="X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P106" i="1"/>
  <c r="X104" i="1"/>
  <c r="X103" i="1"/>
  <c r="BO102" i="1"/>
  <c r="BM102" i="1"/>
  <c r="Y102" i="1"/>
  <c r="BP102" i="1" s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Y63" i="1" s="1"/>
  <c r="P61" i="1"/>
  <c r="BP60" i="1"/>
  <c r="BO60" i="1"/>
  <c r="BN60" i="1"/>
  <c r="BM60" i="1"/>
  <c r="Z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A10" i="1" s="1"/>
  <c r="D7" i="1"/>
  <c r="Q6" i="1"/>
  <c r="P2" i="1"/>
  <c r="BP27" i="1" l="1"/>
  <c r="BN27" i="1"/>
  <c r="Z27" i="1"/>
  <c r="BP66" i="1"/>
  <c r="BN66" i="1"/>
  <c r="Z66" i="1"/>
  <c r="Z69" i="1" s="1"/>
  <c r="BP91" i="1"/>
  <c r="BN91" i="1"/>
  <c r="Z91" i="1"/>
  <c r="BP135" i="1"/>
  <c r="BN135" i="1"/>
  <c r="Z135" i="1"/>
  <c r="BP166" i="1"/>
  <c r="BN166" i="1"/>
  <c r="Z166" i="1"/>
  <c r="BP201" i="1"/>
  <c r="BN201" i="1"/>
  <c r="Z201" i="1"/>
  <c r="BP229" i="1"/>
  <c r="BN229" i="1"/>
  <c r="Z229" i="1"/>
  <c r="BP267" i="1"/>
  <c r="BN267" i="1"/>
  <c r="Z267" i="1"/>
  <c r="BP311" i="1"/>
  <c r="BN311" i="1"/>
  <c r="Z311" i="1"/>
  <c r="BP345" i="1"/>
  <c r="BN345" i="1"/>
  <c r="Z345" i="1"/>
  <c r="BP378" i="1"/>
  <c r="BN378" i="1"/>
  <c r="Z378" i="1"/>
  <c r="BP424" i="1"/>
  <c r="BN424" i="1"/>
  <c r="Z424" i="1"/>
  <c r="BP450" i="1"/>
  <c r="BN450" i="1"/>
  <c r="Z450" i="1"/>
  <c r="X490" i="1"/>
  <c r="D499" i="1"/>
  <c r="BP54" i="1"/>
  <c r="BN54" i="1"/>
  <c r="Z54" i="1"/>
  <c r="BP80" i="1"/>
  <c r="BN80" i="1"/>
  <c r="Z80" i="1"/>
  <c r="BP106" i="1"/>
  <c r="BN106" i="1"/>
  <c r="Z106" i="1"/>
  <c r="Z109" i="1" s="1"/>
  <c r="BP146" i="1"/>
  <c r="BN146" i="1"/>
  <c r="Z146" i="1"/>
  <c r="BP187" i="1"/>
  <c r="BN187" i="1"/>
  <c r="Z187" i="1"/>
  <c r="BP211" i="1"/>
  <c r="BN211" i="1"/>
  <c r="Z211" i="1"/>
  <c r="BP212" i="1"/>
  <c r="BN212" i="1"/>
  <c r="Z212" i="1"/>
  <c r="BP249" i="1"/>
  <c r="BN249" i="1"/>
  <c r="Z249" i="1"/>
  <c r="BP299" i="1"/>
  <c r="BN299" i="1"/>
  <c r="Z299" i="1"/>
  <c r="BP328" i="1"/>
  <c r="BN328" i="1"/>
  <c r="Z328" i="1"/>
  <c r="BP346" i="1"/>
  <c r="BN346" i="1"/>
  <c r="Z346" i="1"/>
  <c r="BP392" i="1"/>
  <c r="BN392" i="1"/>
  <c r="Z392" i="1"/>
  <c r="BP436" i="1"/>
  <c r="BN436" i="1"/>
  <c r="Z436" i="1"/>
  <c r="BP472" i="1"/>
  <c r="BN472" i="1"/>
  <c r="Z472" i="1"/>
  <c r="X493" i="1"/>
  <c r="Y96" i="1"/>
  <c r="Y149" i="1"/>
  <c r="L499" i="1"/>
  <c r="Y331" i="1"/>
  <c r="BP446" i="1"/>
  <c r="BN446" i="1"/>
  <c r="Z446" i="1"/>
  <c r="BP466" i="1"/>
  <c r="BN466" i="1"/>
  <c r="Z466" i="1"/>
  <c r="Y88" i="1"/>
  <c r="Y143" i="1"/>
  <c r="BP293" i="1"/>
  <c r="BN293" i="1"/>
  <c r="BP301" i="1"/>
  <c r="BN301" i="1"/>
  <c r="Z301" i="1"/>
  <c r="BP315" i="1"/>
  <c r="BN315" i="1"/>
  <c r="Z315" i="1"/>
  <c r="Z318" i="1" s="1"/>
  <c r="BP322" i="1"/>
  <c r="BN322" i="1"/>
  <c r="Z322" i="1"/>
  <c r="BP337" i="1"/>
  <c r="BN337" i="1"/>
  <c r="Z337" i="1"/>
  <c r="BP343" i="1"/>
  <c r="BN343" i="1"/>
  <c r="Z343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499" i="1"/>
  <c r="X491" i="1"/>
  <c r="X489" i="1"/>
  <c r="Y32" i="1"/>
  <c r="Z29" i="1"/>
  <c r="BN29" i="1"/>
  <c r="C499" i="1"/>
  <c r="Z52" i="1"/>
  <c r="BN52" i="1"/>
  <c r="Z56" i="1"/>
  <c r="BN56" i="1"/>
  <c r="Y64" i="1"/>
  <c r="Z62" i="1"/>
  <c r="BN62" i="1"/>
  <c r="Z68" i="1"/>
  <c r="BN68" i="1"/>
  <c r="Y76" i="1"/>
  <c r="Z74" i="1"/>
  <c r="BN74" i="1"/>
  <c r="Z85" i="1"/>
  <c r="BN85" i="1"/>
  <c r="Z93" i="1"/>
  <c r="BN93" i="1"/>
  <c r="Z102" i="1"/>
  <c r="BN102" i="1"/>
  <c r="Y110" i="1"/>
  <c r="Z108" i="1"/>
  <c r="BN108" i="1"/>
  <c r="Y109" i="1"/>
  <c r="Z112" i="1"/>
  <c r="BN112" i="1"/>
  <c r="Y117" i="1"/>
  <c r="Z125" i="1"/>
  <c r="BN125" i="1"/>
  <c r="Z129" i="1"/>
  <c r="BN129" i="1"/>
  <c r="Z140" i="1"/>
  <c r="BN140" i="1"/>
  <c r="Z148" i="1"/>
  <c r="BN148" i="1"/>
  <c r="Y172" i="1"/>
  <c r="Z164" i="1"/>
  <c r="BN164" i="1"/>
  <c r="Z168" i="1"/>
  <c r="BN168" i="1"/>
  <c r="Z176" i="1"/>
  <c r="BN176" i="1"/>
  <c r="J499" i="1"/>
  <c r="Z191" i="1"/>
  <c r="BN191" i="1"/>
  <c r="BP191" i="1"/>
  <c r="Y194" i="1"/>
  <c r="Y204" i="1"/>
  <c r="Z199" i="1"/>
  <c r="BN199" i="1"/>
  <c r="Z203" i="1"/>
  <c r="BN203" i="1"/>
  <c r="Z209" i="1"/>
  <c r="BN209" i="1"/>
  <c r="Z214" i="1"/>
  <c r="BN214" i="1"/>
  <c r="Z227" i="1"/>
  <c r="BN227" i="1"/>
  <c r="Z231" i="1"/>
  <c r="BN231" i="1"/>
  <c r="Z247" i="1"/>
  <c r="BN247" i="1"/>
  <c r="Z256" i="1"/>
  <c r="BN256" i="1"/>
  <c r="Z265" i="1"/>
  <c r="BN265" i="1"/>
  <c r="Z272" i="1"/>
  <c r="BN272" i="1"/>
  <c r="Y275" i="1"/>
  <c r="Z279" i="1"/>
  <c r="BN279" i="1"/>
  <c r="Z284" i="1"/>
  <c r="BN284" i="1"/>
  <c r="BP284" i="1"/>
  <c r="Z293" i="1"/>
  <c r="BP309" i="1"/>
  <c r="BN309" i="1"/>
  <c r="Z309" i="1"/>
  <c r="Y326" i="1"/>
  <c r="BP321" i="1"/>
  <c r="BN321" i="1"/>
  <c r="Z321" i="1"/>
  <c r="Y325" i="1"/>
  <c r="BP330" i="1"/>
  <c r="BN330" i="1"/>
  <c r="Z330" i="1"/>
  <c r="Y338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318" i="1"/>
  <c r="Y380" i="1"/>
  <c r="Y454" i="1"/>
  <c r="Y453" i="1"/>
  <c r="F9" i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Z55" i="1"/>
  <c r="BN55" i="1"/>
  <c r="Y58" i="1"/>
  <c r="Z61" i="1"/>
  <c r="Z63" i="1" s="1"/>
  <c r="BN61" i="1"/>
  <c r="BP61" i="1"/>
  <c r="Y70" i="1"/>
  <c r="Y69" i="1"/>
  <c r="BP73" i="1"/>
  <c r="BN73" i="1"/>
  <c r="Z73" i="1"/>
  <c r="BP86" i="1"/>
  <c r="BN86" i="1"/>
  <c r="Z86" i="1"/>
  <c r="Z88" i="1" s="1"/>
  <c r="Y95" i="1"/>
  <c r="BP94" i="1"/>
  <c r="BN94" i="1"/>
  <c r="Z94" i="1"/>
  <c r="F499" i="1"/>
  <c r="Y104" i="1"/>
  <c r="BP99" i="1"/>
  <c r="BN99" i="1"/>
  <c r="Z99" i="1"/>
  <c r="Y103" i="1"/>
  <c r="BP107" i="1"/>
  <c r="BN107" i="1"/>
  <c r="Z107" i="1"/>
  <c r="Y116" i="1"/>
  <c r="BP115" i="1"/>
  <c r="BN115" i="1"/>
  <c r="Z115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Y131" i="1"/>
  <c r="BP141" i="1"/>
  <c r="BN141" i="1"/>
  <c r="Z141" i="1"/>
  <c r="Z143" i="1" s="1"/>
  <c r="Y150" i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BP163" i="1"/>
  <c r="BN163" i="1"/>
  <c r="Z163" i="1"/>
  <c r="BP167" i="1"/>
  <c r="BN167" i="1"/>
  <c r="Z167" i="1"/>
  <c r="BP171" i="1"/>
  <c r="BN171" i="1"/>
  <c r="Z171" i="1"/>
  <c r="Y173" i="1"/>
  <c r="Y178" i="1"/>
  <c r="BP175" i="1"/>
  <c r="BN175" i="1"/>
  <c r="Z175" i="1"/>
  <c r="H9" i="1"/>
  <c r="Y24" i="1"/>
  <c r="Y44" i="1"/>
  <c r="Y57" i="1"/>
  <c r="BP67" i="1"/>
  <c r="BN67" i="1"/>
  <c r="Z67" i="1"/>
  <c r="BP75" i="1"/>
  <c r="BN75" i="1"/>
  <c r="Z75" i="1"/>
  <c r="Y77" i="1"/>
  <c r="Y82" i="1"/>
  <c r="BP79" i="1"/>
  <c r="BN79" i="1"/>
  <c r="Z79" i="1"/>
  <c r="Z81" i="1" s="1"/>
  <c r="BP92" i="1"/>
  <c r="BN92" i="1"/>
  <c r="Z92" i="1"/>
  <c r="BP101" i="1"/>
  <c r="BN101" i="1"/>
  <c r="Z101" i="1"/>
  <c r="BP113" i="1"/>
  <c r="BN113" i="1"/>
  <c r="Z113" i="1"/>
  <c r="BP130" i="1"/>
  <c r="BN130" i="1"/>
  <c r="Z130" i="1"/>
  <c r="Z131" i="1" s="1"/>
  <c r="Y132" i="1"/>
  <c r="Y137" i="1"/>
  <c r="BP134" i="1"/>
  <c r="BN134" i="1"/>
  <c r="Z134" i="1"/>
  <c r="BP147" i="1"/>
  <c r="BN147" i="1"/>
  <c r="Z147" i="1"/>
  <c r="Z149" i="1" s="1"/>
  <c r="BP165" i="1"/>
  <c r="BN165" i="1"/>
  <c r="Z165" i="1"/>
  <c r="BP169" i="1"/>
  <c r="BN169" i="1"/>
  <c r="Z169" i="1"/>
  <c r="BP177" i="1"/>
  <c r="BN177" i="1"/>
  <c r="Z177" i="1"/>
  <c r="Y179" i="1"/>
  <c r="Y183" i="1"/>
  <c r="Y182" i="1"/>
  <c r="BP181" i="1"/>
  <c r="BN181" i="1"/>
  <c r="Z181" i="1"/>
  <c r="Z182" i="1" s="1"/>
  <c r="E499" i="1"/>
  <c r="Y89" i="1"/>
  <c r="H499" i="1"/>
  <c r="Y144" i="1"/>
  <c r="Z186" i="1"/>
  <c r="Z188" i="1" s="1"/>
  <c r="BN186" i="1"/>
  <c r="BP186" i="1"/>
  <c r="Y189" i="1"/>
  <c r="Z192" i="1"/>
  <c r="Z193" i="1" s="1"/>
  <c r="BN192" i="1"/>
  <c r="BP192" i="1"/>
  <c r="Z196" i="1"/>
  <c r="BN196" i="1"/>
  <c r="BP196" i="1"/>
  <c r="Z198" i="1"/>
  <c r="BN198" i="1"/>
  <c r="Z200" i="1"/>
  <c r="BN200" i="1"/>
  <c r="Z202" i="1"/>
  <c r="BN202" i="1"/>
  <c r="Y205" i="1"/>
  <c r="Y216" i="1"/>
  <c r="Z208" i="1"/>
  <c r="BN208" i="1"/>
  <c r="Z210" i="1"/>
  <c r="BN210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Y282" i="1"/>
  <c r="BP285" i="1"/>
  <c r="BN285" i="1"/>
  <c r="Z285" i="1"/>
  <c r="Y287" i="1"/>
  <c r="Q499" i="1"/>
  <c r="Y295" i="1"/>
  <c r="BP290" i="1"/>
  <c r="BN290" i="1"/>
  <c r="Z290" i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Y319" i="1"/>
  <c r="BP323" i="1"/>
  <c r="BN323" i="1"/>
  <c r="Z323" i="1"/>
  <c r="Y332" i="1"/>
  <c r="BP336" i="1"/>
  <c r="BN336" i="1"/>
  <c r="Z336" i="1"/>
  <c r="Z338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Y375" i="1"/>
  <c r="Y188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Z275" i="1" s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BP329" i="1"/>
  <c r="BN329" i="1"/>
  <c r="Z329" i="1"/>
  <c r="Z331" i="1" s="1"/>
  <c r="BP344" i="1"/>
  <c r="BN344" i="1"/>
  <c r="Z344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K499" i="1"/>
  <c r="Y235" i="1"/>
  <c r="O499" i="1"/>
  <c r="Y276" i="1"/>
  <c r="P499" i="1"/>
  <c r="Y281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Y462" i="1"/>
  <c r="BP461" i="1"/>
  <c r="BN461" i="1"/>
  <c r="Z461" i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468" i="1" l="1"/>
  <c r="Z462" i="1"/>
  <c r="Z453" i="1"/>
  <c r="Z438" i="1"/>
  <c r="Z399" i="1"/>
  <c r="Z350" i="1"/>
  <c r="Z312" i="1"/>
  <c r="Z268" i="1"/>
  <c r="Z375" i="1"/>
  <c r="Z325" i="1"/>
  <c r="Z286" i="1"/>
  <c r="Z281" i="1"/>
  <c r="Z136" i="1"/>
  <c r="Z116" i="1"/>
  <c r="Z95" i="1"/>
  <c r="X492" i="1"/>
  <c r="Z260" i="1"/>
  <c r="Z251" i="1"/>
  <c r="Z216" i="1"/>
  <c r="Z235" i="1"/>
  <c r="Z172" i="1"/>
  <c r="Z57" i="1"/>
  <c r="Z43" i="1"/>
  <c r="Z31" i="1"/>
  <c r="Z447" i="1"/>
  <c r="Z432" i="1"/>
  <c r="Z305" i="1"/>
  <c r="Z295" i="1"/>
  <c r="Z204" i="1"/>
  <c r="Y489" i="1"/>
  <c r="Z76" i="1"/>
  <c r="Y493" i="1"/>
  <c r="Y490" i="1"/>
  <c r="Z394" i="1"/>
  <c r="Z178" i="1"/>
  <c r="Z103" i="1"/>
  <c r="Y491" i="1"/>
  <c r="Z494" i="1" l="1"/>
  <c r="Y492" i="1"/>
</calcChain>
</file>

<file path=xl/sharedStrings.xml><?xml version="1.0" encoding="utf-8"?>
<sst xmlns="http://schemas.openxmlformats.org/spreadsheetml/2006/main" count="2207" uniqueCount="768">
  <si>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</si>
  <si>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</si>
  <si>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</si>
  <si>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</si>
  <si>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</si>
  <si>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</si>
  <si>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</si>
  <si>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</si>
  <si>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</si>
  <si>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</si>
  <si>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</si>
  <si>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</si>
  <si>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</si>
  <si>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</si>
  <si>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</si>
  <si>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</si>
  <si>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</si>
  <si>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</si>
  <si>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</si>
  <si>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</si>
  <si>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</si>
  <si>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</si>
  <si>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</si>
  <si>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</si>
  <si>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</si>
  <si>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</si>
  <si>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</si>
  <si>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</si>
  <si>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</si>
  <si>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</si>
  <si>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</si>
  <si>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</si>
  <si>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</si>
  <si>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</si>
  <si>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</si>
  <si>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</si>
  <si>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</si>
  <si>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</si>
  <si>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</si>
  <si>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</si>
  <si>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</si>
  <si>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</si>
  <si>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</si>
  <si>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</si>
  <si>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</si>
  <si>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</si>
  <si>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</si>
  <si>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</si>
  <si>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</si>
  <si>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</si>
  <si>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</si>
  <si>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</si>
  <si>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</si>
  <si>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</si>
  <si>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</si>
  <si>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</si>
  <si>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</si>
  <si>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</si>
  <si>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</si>
  <si>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</si>
  <si>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</si>
  <si>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</si>
  <si>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</si>
  <si>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</si>
  <si>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</si>
  <si>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</si>
  <si>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</si>
  <si>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</si>
  <si>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</si>
  <si>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</si>
  <si>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</si>
  <si>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</si>
  <si>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</si>
  <si>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</si>
  <si>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</si>
  <si>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</si>
  <si>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</si>
  <si>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</si>
  <si>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</si>
  <si>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</si>
  <si>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</si>
  <si>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</si>
  <si>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</si>
  <si>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</si>
  <si>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</si>
  <si>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</si>
  <si>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</si>
  <si>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</si>
  <si>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</si>
  <si>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</si>
  <si>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</si>
  <si>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</si>
  <si>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</si>
  <si>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</si>
  <si>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</si>
  <si>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</si>
  <si>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</si>
  <si>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</si>
  <si>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</si>
  <si>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</si>
  <si>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</si>
  <si>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</si>
  <si>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</si>
  <si>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</si>
  <si>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</si>
  <si>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</si>
  <si>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</si>
  <si>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</si>
  <si>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</si>
  <si>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</si>
  <si>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</si>
  <si>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</si>
  <si>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</si>
  <si>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</si>
  <si>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</si>
  <si>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</si>
  <si>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</si>
  <si>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</si>
  <si>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</si>
  <si>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</si>
  <si>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</si>
  <si>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</si>
  <si>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</si>
  <si>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</si>
  <si>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</si>
  <si>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</si>
  <si>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</si>
  <si>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</si>
  <si>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</si>
  <si>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</si>
  <si>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</si>
  <si>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</si>
  <si>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</si>
  <si>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</si>
  <si>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</si>
  <si>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</si>
  <si>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</si>
  <si>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</si>
  <si>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</si>
  <si>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</si>
  <si>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</si>
  <si>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</si>
  <si>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</si>
  <si>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</si>
  <si>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</si>
  <si>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</si>
  <si>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</si>
  <si>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</si>
  <si>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</si>
  <si>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</si>
  <si>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</si>
  <si>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</si>
  <si>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</si>
  <si>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</si>
  <si>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</si>
  <si>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</si>
  <si>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</si>
  <si>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</si>
  <si>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</si>
  <si>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</si>
  <si>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</si>
  <si>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</si>
  <si>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</si>
  <si>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</si>
  <si>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</si>
  <si>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</si>
  <si>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</si>
  <si>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</si>
  <si>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</si>
  <si>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</si>
  <si>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</si>
  <si>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</si>
  <si>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</si>
  <si>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</si>
  <si>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</si>
  <si>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</si>
  <si>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</si>
  <si>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</si>
  <si>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</si>
  <si>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</si>
  <si>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</si>
  <si>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</si>
  <si>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</si>
  <si>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</si>
  <si>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</si>
  <si>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</si>
  <si>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</si>
  <si>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</si>
  <si>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</si>
  <si>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</si>
  <si>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</si>
  <si>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</si>
  <si>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</si>
  <si>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</si>
  <si>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</si>
  <si>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</si>
  <si>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</si>
  <si>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</si>
  <si>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</si>
  <si>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</si>
  <si>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</si>
  <si>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</si>
  <si>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</si>
  <si>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</si>
  <si>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</si>
  <si>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</si>
  <si>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</si>
  <si>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</si>
  <si>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</si>
  <si>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</si>
  <si>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</si>
  <si>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</si>
  <si>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</si>
  <si>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</si>
  <si>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</si>
  <si>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</si>
  <si>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</si>
  <si>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</si>
  <si>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</si>
  <si>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</si>
  <si>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</si>
  <si>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</si>
  <si>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</si>
  <si>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</si>
  <si>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</si>
  <si>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</si>
  <si>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</si>
  <si>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</si>
  <si>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</si>
  <si>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</si>
  <si>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</si>
  <si>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</si>
  <si>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</si>
  <si>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</si>
  <si>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</si>
  <si>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</si>
  <si>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</si>
  <si>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</si>
  <si>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</si>
  <si>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</si>
  <si>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</si>
  <si>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</si>
  <si>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</si>
  <si>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</si>
  <si>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</si>
  <si>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</si>
  <si>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</si>
  <si>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</si>
  <si>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</si>
  <si>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</si>
  <si>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</si>
  <si>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</si>
  <si>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</si>
  <si>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</si>
  <si>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</si>
  <si>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</si>
  <si>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</si>
  <si>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</si>
  <si>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</si>
  <si>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</si>
  <si>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</si>
  <si>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</si>
  <si>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</si>
  <si>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</si>
  <si>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</si>
  <si>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</si>
  <si>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</si>
  <si>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</si>
  <si>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</si>
  <si>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</si>
  <si>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</si>
  <si>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</si>
  <si>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</si>
  <si>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</si>
  <si>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</si>
  <si>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</si>
  <si>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</si>
  <si>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</si>
  <si>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</si>
  <si>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</si>
  <si>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</si>
  <si>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</si>
  <si>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</si>
  <si>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</si>
  <si>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</si>
  <si>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</si>
  <si>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</si>
  <si>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</si>
  <si>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</si>
  <si>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</si>
  <si>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</si>
  <si>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</si>
  <si>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</si>
  <si>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</si>
  <si>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</si>
  <si>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</si>
  <si>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</si>
  <si>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</si>
  <si>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</si>
  <si>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</si>
  <si>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</si>
  <si>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</si>
  <si>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</si>
  <si>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</si>
  <si>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</si>
  <si>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</si>
  <si>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</si>
  <si>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</si>
  <si>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</si>
  <si>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</si>
  <si>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</si>
  <si>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</si>
  <si>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</si>
  <si>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</si>
  <si>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</si>
  <si>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</si>
  <si>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</si>
  <si>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</si>
  <si>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</si>
  <si>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</si>
  <si>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</si>
  <si>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</si>
  <si>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</si>
  <si>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</si>
  <si>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</si>
  <si>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</si>
  <si>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</si>
  <si>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</si>
  <si>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</si>
  <si>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</si>
  <si>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</si>
  <si>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</si>
  <si>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</si>
  <si>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</si>
  <si>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</si>
  <si>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</si>
  <si>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</si>
  <si>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</si>
  <si>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</si>
  <si>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</si>
  <si>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</si>
  <si>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</si>
  <si>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</si>
  <si>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</si>
  <si>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</si>
  <si>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</si>
  <si>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</si>
  <si>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</si>
  <si>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</si>
  <si>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</si>
  <si>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</si>
  <si>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</si>
  <si>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</si>
  <si>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</si>
  <si>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</si>
  <si>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</si>
  <si>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</si>
  <si>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</si>
  <si>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</si>
  <si>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</si>
  <si>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</si>
  <si>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</si>
  <si>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</si>
  <si>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</si>
  <si>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</si>
  <si>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</si>
  <si>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</si>
  <si>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</si>
  <si>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</si>
  <si>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</si>
  <si>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</si>
  <si>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</si>
  <si>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</si>
  <si>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</si>
  <si>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</si>
  <si>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</si>
  <si>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</si>
  <si>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</si>
  <si>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</si>
  <si>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</si>
  <si>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</si>
  <si>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</si>
  <si>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</si>
  <si>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</si>
  <si>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</si>
  <si>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</si>
  <si>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</si>
  <si>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</si>
  <si>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</si>
  <si>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</si>
  <si>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</si>
  <si>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</si>
  <si>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</si>
  <si>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</si>
  <si>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</si>
  <si>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</si>
  <si>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</si>
  <si>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</si>
  <si>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</si>
  <si>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</si>
  <si>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</si>
  <si>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</si>
  <si>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</si>
  <si>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</si>
  <si>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</si>
  <si>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</si>
  <si>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</si>
  <si>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</si>
  <si>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</si>
  <si>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</si>
  <si>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</si>
  <si>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</si>
  <si>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</si>
  <si>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</si>
  <si>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</si>
  <si>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</si>
  <si>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</si>
  <si>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</si>
  <si>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</si>
  <si>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</si>
  <si>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</si>
  <si>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</si>
  <si>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</si>
  <si>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</si>
  <si>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</si>
  <si>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</si>
  <si>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</si>
  <si>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</si>
  <si>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</si>
  <si>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</si>
  <si>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</si>
  <si>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</si>
  <si>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</si>
  <si>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</si>
  <si>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</si>
  <si>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</si>
  <si>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</si>
  <si>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</si>
  <si>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</si>
  <si>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</si>
  <si>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</si>
  <si>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</si>
  <si>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</si>
  <si>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</si>
  <si>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</si>
  <si>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</si>
  <si>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</si>
  <si>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</si>
  <si>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</si>
  <si>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</si>
  <si>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</si>
  <si>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</si>
  <si>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</si>
  <si>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</si>
  <si>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</si>
  <si>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</si>
  <si>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</si>
  <si>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</si>
  <si>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</si>
  <si>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</si>
  <si>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</si>
  <si>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</si>
  <si>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</si>
  <si>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</si>
  <si>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</si>
  <si>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</si>
  <si>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</si>
  <si>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</si>
  <si>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</si>
  <si>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</si>
  <si>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</si>
  <si>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</si>
  <si>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</si>
  <si>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</si>
  <si>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</si>
  <si>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</si>
  <si>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</si>
  <si>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</si>
  <si>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</si>
  <si>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</si>
  <si>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</si>
  <si>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</si>
  <si>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</si>
  <si>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</si>
  <si>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</si>
  <si>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</si>
  <si>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</si>
  <si>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</si>
  <si>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</si>
  <si>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</si>
  <si>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</si>
  <si>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</si>
  <si>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</si>
  <si>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</si>
  <si>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</si>
  <si>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</si>
  <si>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</si>
  <si>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</si>
  <si>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</si>
  <si>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</si>
  <si>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</si>
  <si>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</si>
  <si>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</si>
  <si>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</si>
  <si>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</si>
  <si>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</si>
  <si>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</si>
  <si>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</si>
  <si>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</si>
  <si>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</si>
  <si>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</si>
  <si>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</si>
  <si>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</si>
  <si>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</si>
  <si>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</si>
  <si>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</si>
  <si>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</si>
  <si>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</si>
  <si>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</si>
  <si>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</si>
  <si>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</si>
  <si>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</si>
  <si>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</si>
  <si>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</si>
  <si>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</si>
  <si>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</si>
  <si>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</si>
  <si>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</si>
  <si>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</si>
  <si>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</si>
  <si>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</si>
  <si>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</si>
  <si>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</si>
  <si>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</si>
  <si>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</si>
  <si>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</si>
  <si>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</si>
  <si>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</si>
  <si>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</si>
  <si>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</si>
  <si>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</si>
  <si>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</si>
  <si>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</si>
  <si>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</si>
  <si>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</si>
  <si>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</si>
  <si>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</si>
  <si>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</si>
  <si>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</si>
  <si>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</si>
  <si>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</si>
  <si>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</si>
  <si>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</si>
  <si>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</si>
  <si>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</si>
  <si>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</si>
  <si>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</si>
  <si>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</si>
  <si>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</si>
  <si>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</si>
  <si>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</si>
  <si>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</si>
  <si>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</si>
  <si>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</si>
  <si>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</si>
  <si>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</si>
  <si>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</si>
  <si>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</si>
  <si>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</si>
  <si>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</si>
  <si>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</si>
  <si>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</si>
  <si>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</si>
  <si>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</si>
  <si>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</si>
  <si>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</si>
  <si>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</si>
  <si>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</si>
  <si>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</si>
  <si>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</si>
  <si>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</si>
  <si>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</si>
  <si>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</si>
  <si>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</si>
  <si>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</si>
  <si>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</si>
  <si>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</si>
  <si>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</si>
  <si>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</si>
  <si>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</si>
  <si>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</si>
  <si>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</si>
  <si>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</si>
  <si>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</si>
  <si>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</si>
  <si>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</si>
  <si>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</si>
  <si>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</si>
  <si>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</si>
  <si>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</si>
  <si>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</si>
  <si>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</si>
  <si>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</si>
  <si>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</si>
  <si>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</si>
  <si>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</si>
  <si>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</si>
  <si>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</si>
  <si>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</si>
  <si>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</si>
  <si>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</si>
  <si>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</si>
  <si>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</si>
  <si>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</si>
  <si>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</si>
  <si>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</si>
  <si>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</si>
  <si>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</si>
  <si>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</si>
  <si>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</si>
  <si>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</si>
  <si>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</si>
  <si>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</si>
  <si>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</si>
  <si>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</si>
  <si>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</si>
  <si>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</si>
  <si>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</si>
  <si>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</si>
  <si>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</si>
  <si>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</si>
  <si>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</si>
  <si>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</si>
  <si>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</si>
  <si>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</si>
  <si>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</si>
  <si>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</si>
  <si>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</si>
  <si>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</si>
  <si>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</si>
  <si>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</si>
  <si>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</si>
  <si>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</si>
  <si>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</si>
  <si>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</si>
  <si>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</si>
  <si>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</si>
  <si>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</si>
  <si>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</si>
  <si>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</si>
  <si>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</si>
  <si>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</si>
  <si>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</si>
  <si>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</si>
  <si>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</si>
  <si>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</si>
  <si>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</si>
  <si>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</si>
  <si>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</si>
  <si>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</si>
  <si>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</si>
  <si>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</si>
  <si>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</si>
  <si>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</si>
  <si>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</si>
  <si>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</si>
  <si>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</si>
  <si>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</si>
  <si>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</si>
  <si>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</si>
  <si>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</si>
  <si>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</si>
  <si>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</si>
  <si>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</si>
  <si>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</si>
  <si>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</si>
  <si>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</si>
  <si>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</si>
  <si>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</si>
  <si>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</si>
  <si>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</si>
  <si>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</si>
  <si>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</si>
  <si>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</si>
  <si>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</si>
  <si>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</si>
  <si>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</si>
  <si>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</si>
  <si>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</si>
  <si>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</si>
  <si>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</si>
  <si>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</si>
  <si>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</si>
  <si>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</si>
  <si>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</si>
  <si>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</si>
  <si>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</si>
  <si>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</si>
  <si>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</si>
  <si>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</si>
  <si>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</si>
  <si>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</si>
  <si>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</si>
  <si>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</si>
  <si>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</si>
  <si>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</si>
  <si>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</si>
  <si>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</si>
  <si>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</si>
  <si>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</si>
  <si>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</si>
  <si>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</si>
  <si>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</si>
  <si>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</si>
  <si>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</si>
  <si>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</si>
  <si>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</si>
  <si>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</si>
  <si>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</si>
  <si>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</si>
  <si>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</si>
  <si>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</si>
  <si>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</si>
  <si>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</si>
  <si>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</si>
  <si>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</si>
  <si>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</si>
  <si>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</si>
  <si>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</si>
  <si>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</si>
  <si>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</si>
  <si>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</si>
  <si>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</si>
  <si>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</si>
  <si>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</si>
  <si>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</si>
  <si>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</si>
  <si>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</si>
  <si>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</si>
  <si>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</si>
  <si>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</si>
  <si>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</si>
  <si>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</si>
  <si>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</si>
  <si>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</si>
  <si>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</si>
  <si>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</si>
  <si>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</si>
  <si>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</si>
  <si>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</si>
  <si>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</si>
  <si>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</si>
  <si>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</si>
  <si>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</si>
  <si>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</si>
  <si>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</si>
  <si>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</si>
  <si>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</si>
  <si>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</si>
  <si>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</si>
  <si>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</si>
  <si>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</si>
  <si>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</si>
  <si>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</si>
  <si>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</si>
  <si>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</si>
  <si>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</si>
  <si>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12 европалет,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</si>
</sst>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590" t="s">
        <v>0</v>
      </c>
      <c r="E1" s="581"/>
      <c r="F1" s="581"/>
      <c r="G1" s="12" t="s">
        <v>1</v>
      </c>
      <c r="H1" s="590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9" t="s">
        <v>8</v>
      </c>
      <c r="B5" s="593"/>
      <c r="C5" s="594"/>
      <c r="D5" s="632"/>
      <c r="E5" s="633"/>
      <c r="F5" s="835" t="s">
        <v>9</v>
      </c>
      <c r="G5" s="594"/>
      <c r="H5" s="632" t="s">
        <v>767</v>
      </c>
      <c r="I5" s="783"/>
      <c r="J5" s="783"/>
      <c r="K5" s="783"/>
      <c r="L5" s="783"/>
      <c r="M5" s="633"/>
      <c r="N5" s="58"/>
      <c r="P5" s="24" t="s">
        <v>10</v>
      </c>
      <c r="Q5" s="813">
        <v>45983</v>
      </c>
      <c r="R5" s="658"/>
      <c r="T5" s="707" t="s">
        <v>11</v>
      </c>
      <c r="U5" s="708"/>
      <c r="V5" s="709" t="s">
        <v>12</v>
      </c>
      <c r="W5" s="658"/>
      <c r="AB5" s="51"/>
      <c r="AC5" s="51"/>
      <c r="AD5" s="51"/>
      <c r="AE5" s="51"/>
    </row>
    <row r="6" spans="1:32" s="535" customFormat="1" ht="24" customHeight="1" x14ac:dyDescent="0.2">
      <c r="A6" s="659" t="s">
        <v>13</v>
      </c>
      <c r="B6" s="593"/>
      <c r="C6" s="594"/>
      <c r="D6" s="786" t="s">
        <v>14</v>
      </c>
      <c r="E6" s="787"/>
      <c r="F6" s="787"/>
      <c r="G6" s="787"/>
      <c r="H6" s="787"/>
      <c r="I6" s="787"/>
      <c r="J6" s="787"/>
      <c r="K6" s="787"/>
      <c r="L6" s="787"/>
      <c r="M6" s="658"/>
      <c r="N6" s="59"/>
      <c r="P6" s="24" t="s">
        <v>15</v>
      </c>
      <c r="Q6" s="814" t="str">
        <f>IF(Q5=0," ",CHOOSE(WEEKDAY(Q5,2),"Понедельник","Вторник","Среда","Четверг","Пятница","Суббота","Воскресенье"))</f>
        <v>Суббота</v>
      </c>
      <c r="R6" s="549"/>
      <c r="T6" s="715" t="s">
        <v>16</v>
      </c>
      <c r="U6" s="708"/>
      <c r="V6" s="731" t="s">
        <v>17</v>
      </c>
      <c r="W6" s="59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12" t="str">
        <f>IFERROR(VLOOKUP(DeliveryAddress,Table,3,0),1)</f>
        <v>1</v>
      </c>
      <c r="E7" s="613"/>
      <c r="F7" s="613"/>
      <c r="G7" s="613"/>
      <c r="H7" s="613"/>
      <c r="I7" s="613"/>
      <c r="J7" s="613"/>
      <c r="K7" s="613"/>
      <c r="L7" s="613"/>
      <c r="M7" s="614"/>
      <c r="N7" s="60"/>
      <c r="P7" s="24"/>
      <c r="Q7" s="42"/>
      <c r="R7" s="42"/>
      <c r="T7" s="555"/>
      <c r="U7" s="708"/>
      <c r="V7" s="732"/>
      <c r="W7" s="733"/>
      <c r="AB7" s="51"/>
      <c r="AC7" s="51"/>
      <c r="AD7" s="51"/>
      <c r="AE7" s="51"/>
    </row>
    <row r="8" spans="1:32" s="535" customFormat="1" ht="25.5" customHeight="1" x14ac:dyDescent="0.2">
      <c r="A8" s="818" t="s">
        <v>18</v>
      </c>
      <c r="B8" s="560"/>
      <c r="C8" s="561"/>
      <c r="D8" s="620" t="s">
        <v>19</v>
      </c>
      <c r="E8" s="621"/>
      <c r="F8" s="621"/>
      <c r="G8" s="621"/>
      <c r="H8" s="621"/>
      <c r="I8" s="621"/>
      <c r="J8" s="621"/>
      <c r="K8" s="621"/>
      <c r="L8" s="621"/>
      <c r="M8" s="622"/>
      <c r="N8" s="61"/>
      <c r="P8" s="24" t="s">
        <v>20</v>
      </c>
      <c r="Q8" s="660">
        <v>0.41666666666666669</v>
      </c>
      <c r="R8" s="614"/>
      <c r="T8" s="555"/>
      <c r="U8" s="708"/>
      <c r="V8" s="732"/>
      <c r="W8" s="733"/>
      <c r="AB8" s="51"/>
      <c r="AC8" s="51"/>
      <c r="AD8" s="51"/>
      <c r="AE8" s="51"/>
    </row>
    <row r="9" spans="1:32" s="535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1"/>
      <c r="E9" s="568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3"/>
      <c r="P9" s="26" t="s">
        <v>21</v>
      </c>
      <c r="Q9" s="655"/>
      <c r="R9" s="656"/>
      <c r="T9" s="555"/>
      <c r="U9" s="708"/>
      <c r="V9" s="734"/>
      <c r="W9" s="73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1"/>
      <c r="E10" s="568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6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6"/>
      <c r="R10" s="717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7"/>
      <c r="R11" s="658"/>
      <c r="U11" s="24" t="s">
        <v>27</v>
      </c>
      <c r="V11" s="794" t="s">
        <v>28</v>
      </c>
      <c r="W11" s="656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592" t="s">
        <v>29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4"/>
      <c r="N12" s="62"/>
      <c r="P12" s="24" t="s">
        <v>30</v>
      </c>
      <c r="Q12" s="660"/>
      <c r="R12" s="614"/>
      <c r="S12" s="23"/>
      <c r="U12" s="24"/>
      <c r="V12" s="581"/>
      <c r="W12" s="555"/>
      <c r="AB12" s="51"/>
      <c r="AC12" s="51"/>
      <c r="AD12" s="51"/>
      <c r="AE12" s="51"/>
    </row>
    <row r="13" spans="1:32" s="535" customFormat="1" ht="23.25" customHeight="1" x14ac:dyDescent="0.2">
      <c r="A13" s="592" t="s">
        <v>31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4"/>
      <c r="N13" s="62"/>
      <c r="O13" s="26"/>
      <c r="P13" s="26" t="s">
        <v>32</v>
      </c>
      <c r="Q13" s="794"/>
      <c r="R13" s="6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592" t="s">
        <v>33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4"/>
      <c r="N15" s="63"/>
      <c r="P15" s="640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41"/>
      <c r="Q16" s="641"/>
      <c r="R16" s="641"/>
      <c r="S16" s="641"/>
      <c r="T16" s="64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5" t="s">
        <v>36</v>
      </c>
      <c r="B17" s="595" t="s">
        <v>37</v>
      </c>
      <c r="C17" s="695" t="s">
        <v>38</v>
      </c>
      <c r="D17" s="595" t="s">
        <v>39</v>
      </c>
      <c r="E17" s="650"/>
      <c r="F17" s="595" t="s">
        <v>40</v>
      </c>
      <c r="G17" s="595" t="s">
        <v>41</v>
      </c>
      <c r="H17" s="595" t="s">
        <v>42</v>
      </c>
      <c r="I17" s="595" t="s">
        <v>43</v>
      </c>
      <c r="J17" s="595" t="s">
        <v>44</v>
      </c>
      <c r="K17" s="595" t="s">
        <v>45</v>
      </c>
      <c r="L17" s="595" t="s">
        <v>46</v>
      </c>
      <c r="M17" s="595" t="s">
        <v>47</v>
      </c>
      <c r="N17" s="595" t="s">
        <v>48</v>
      </c>
      <c r="O17" s="595" t="s">
        <v>49</v>
      </c>
      <c r="P17" s="595" t="s">
        <v>50</v>
      </c>
      <c r="Q17" s="649"/>
      <c r="R17" s="649"/>
      <c r="S17" s="649"/>
      <c r="T17" s="650"/>
      <c r="U17" s="815" t="s">
        <v>51</v>
      </c>
      <c r="V17" s="594"/>
      <c r="W17" s="595" t="s">
        <v>52</v>
      </c>
      <c r="X17" s="595" t="s">
        <v>53</v>
      </c>
      <c r="Y17" s="816" t="s">
        <v>54</v>
      </c>
      <c r="Z17" s="736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96"/>
      <c r="B18" s="596"/>
      <c r="C18" s="596"/>
      <c r="D18" s="651"/>
      <c r="E18" s="653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6"/>
      <c r="X18" s="596"/>
      <c r="Y18" s="817"/>
      <c r="Z18" s="737"/>
      <c r="AA18" s="763"/>
      <c r="AB18" s="763"/>
      <c r="AC18" s="763"/>
      <c r="AD18" s="832"/>
      <c r="AE18" s="833"/>
      <c r="AF18" s="834"/>
      <c r="AG18" s="66"/>
      <c r="BD18" s="65"/>
    </row>
    <row r="19" spans="1:68" ht="27.75" hidden="1" customHeight="1" x14ac:dyDescent="0.2">
      <c r="A19" s="667" t="s">
        <v>63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hidden="1" customHeight="1" x14ac:dyDescent="0.25">
      <c r="A20" s="566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hidden="1" customHeight="1" x14ac:dyDescent="0.25">
      <c r="A21" s="565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9" t="s">
        <v>71</v>
      </c>
      <c r="Q23" s="560"/>
      <c r="R23" s="560"/>
      <c r="S23" s="560"/>
      <c r="T23" s="560"/>
      <c r="U23" s="560"/>
      <c r="V23" s="56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9" t="s">
        <v>71</v>
      </c>
      <c r="Q24" s="560"/>
      <c r="R24" s="560"/>
      <c r="S24" s="560"/>
      <c r="T24" s="560"/>
      <c r="U24" s="560"/>
      <c r="V24" s="56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5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9" t="s">
        <v>71</v>
      </c>
      <c r="Q31" s="560"/>
      <c r="R31" s="560"/>
      <c r="S31" s="560"/>
      <c r="T31" s="560"/>
      <c r="U31" s="560"/>
      <c r="V31" s="56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9" t="s">
        <v>71</v>
      </c>
      <c r="Q32" s="560"/>
      <c r="R32" s="560"/>
      <c r="S32" s="560"/>
      <c r="T32" s="560"/>
      <c r="U32" s="560"/>
      <c r="V32" s="56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5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9" t="s">
        <v>71</v>
      </c>
      <c r="Q35" s="560"/>
      <c r="R35" s="560"/>
      <c r="S35" s="560"/>
      <c r="T35" s="560"/>
      <c r="U35" s="560"/>
      <c r="V35" s="56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9" t="s">
        <v>71</v>
      </c>
      <c r="Q36" s="560"/>
      <c r="R36" s="560"/>
      <c r="S36" s="560"/>
      <c r="T36" s="560"/>
      <c r="U36" s="560"/>
      <c r="V36" s="56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67" t="s">
        <v>97</v>
      </c>
      <c r="B37" s="668"/>
      <c r="C37" s="668"/>
      <c r="D37" s="668"/>
      <c r="E37" s="668"/>
      <c r="F37" s="668"/>
      <c r="G37" s="668"/>
      <c r="H37" s="668"/>
      <c r="I37" s="668"/>
      <c r="J37" s="668"/>
      <c r="K37" s="668"/>
      <c r="L37" s="668"/>
      <c r="M37" s="668"/>
      <c r="N37" s="668"/>
      <c r="O37" s="668"/>
      <c r="P37" s="668"/>
      <c r="Q37" s="668"/>
      <c r="R37" s="668"/>
      <c r="S37" s="668"/>
      <c r="T37" s="668"/>
      <c r="U37" s="668"/>
      <c r="V37" s="668"/>
      <c r="W37" s="668"/>
      <c r="X37" s="668"/>
      <c r="Y37" s="668"/>
      <c r="Z37" s="668"/>
      <c r="AA37" s="48"/>
      <c r="AB37" s="48"/>
      <c r="AC37" s="48"/>
    </row>
    <row r="38" spans="1:68" ht="16.5" hidden="1" customHeight="1" x14ac:dyDescent="0.25">
      <c r="A38" s="566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hidden="1" customHeight="1" x14ac:dyDescent="0.25">
      <c r="A39" s="565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135</v>
      </c>
      <c r="Y40" s="542">
        <f>IFERROR(IF(X40="",0,CEILING((X40/$H40),1)*$H40),"")</f>
        <v>140.4</v>
      </c>
      <c r="Z40" s="36">
        <f>IFERROR(IF(Y40=0,"",ROUNDUP(Y40/H40,0)*0.01898),"")</f>
        <v>0.24674000000000001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140.125</v>
      </c>
      <c r="BN40" s="64">
        <f>IFERROR(Y40*I40/H40,"0")</f>
        <v>145.73000000000002</v>
      </c>
      <c r="BO40" s="64">
        <f>IFERROR(1/J40*(X40/H40),"0")</f>
        <v>0.1953125</v>
      </c>
      <c r="BP40" s="64">
        <f>IFERROR(1/J40*(Y40/H40),"0")</f>
        <v>0.203125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8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9" t="s">
        <v>71</v>
      </c>
      <c r="Q43" s="560"/>
      <c r="R43" s="560"/>
      <c r="S43" s="560"/>
      <c r="T43" s="560"/>
      <c r="U43" s="560"/>
      <c r="V43" s="561"/>
      <c r="W43" s="37" t="s">
        <v>72</v>
      </c>
      <c r="X43" s="543">
        <f>IFERROR(X40/H40,"0")+IFERROR(X41/H41,"0")+IFERROR(X42/H42,"0")</f>
        <v>12.5</v>
      </c>
      <c r="Y43" s="543">
        <f>IFERROR(Y40/H40,"0")+IFERROR(Y41/H41,"0")+IFERROR(Y42/H42,"0")</f>
        <v>13</v>
      </c>
      <c r="Z43" s="543">
        <f>IFERROR(IF(Z40="",0,Z40),"0")+IFERROR(IF(Z41="",0,Z41),"0")+IFERROR(IF(Z42="",0,Z42),"0")</f>
        <v>0.24674000000000001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9" t="s">
        <v>71</v>
      </c>
      <c r="Q44" s="560"/>
      <c r="R44" s="560"/>
      <c r="S44" s="560"/>
      <c r="T44" s="560"/>
      <c r="U44" s="560"/>
      <c r="V44" s="561"/>
      <c r="W44" s="37" t="s">
        <v>69</v>
      </c>
      <c r="X44" s="543">
        <f>IFERROR(SUM(X40:X42),"0")</f>
        <v>135</v>
      </c>
      <c r="Y44" s="543">
        <f>IFERROR(SUM(Y40:Y42),"0")</f>
        <v>140.4</v>
      </c>
      <c r="Z44" s="37"/>
      <c r="AA44" s="544"/>
      <c r="AB44" s="544"/>
      <c r="AC44" s="544"/>
    </row>
    <row r="45" spans="1:68" ht="14.25" hidden="1" customHeight="1" x14ac:dyDescent="0.25">
      <c r="A45" s="565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hidden="1" customHeight="1" x14ac:dyDescent="0.25">
      <c r="A46" s="54" t="s">
        <v>112</v>
      </c>
      <c r="B46" s="54" t="s">
        <v>113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9" t="s">
        <v>71</v>
      </c>
      <c r="Q47" s="560"/>
      <c r="R47" s="560"/>
      <c r="S47" s="560"/>
      <c r="T47" s="560"/>
      <c r="U47" s="560"/>
      <c r="V47" s="56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9" t="s">
        <v>71</v>
      </c>
      <c r="Q48" s="560"/>
      <c r="R48" s="560"/>
      <c r="S48" s="560"/>
      <c r="T48" s="560"/>
      <c r="U48" s="560"/>
      <c r="V48" s="56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6" t="s">
        <v>115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hidden="1" customHeight="1" x14ac:dyDescent="0.25">
      <c r="A50" s="565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hidden="1" customHeight="1" x14ac:dyDescent="0.25">
      <c r="A51" s="54" t="s">
        <v>116</v>
      </c>
      <c r="B51" s="54" t="s">
        <v>117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119</v>
      </c>
      <c r="B52" s="54" t="s">
        <v>120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6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125</v>
      </c>
      <c r="B54" s="54" t="s">
        <v>126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128</v>
      </c>
      <c r="B55" s="54" t="s">
        <v>129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9" t="s">
        <v>71</v>
      </c>
      <c r="Q57" s="560"/>
      <c r="R57" s="560"/>
      <c r="S57" s="560"/>
      <c r="T57" s="560"/>
      <c r="U57" s="560"/>
      <c r="V57" s="561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hidden="1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9" t="s">
        <v>71</v>
      </c>
      <c r="Q58" s="560"/>
      <c r="R58" s="560"/>
      <c r="S58" s="560"/>
      <c r="T58" s="560"/>
      <c r="U58" s="560"/>
      <c r="V58" s="561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hidden="1" customHeight="1" x14ac:dyDescent="0.25">
      <c r="A59" s="565" t="s">
        <v>134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/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10</v>
      </c>
      <c r="Y60" s="542">
        <f>IFERROR(IF(X60="",0,CEILING((X60/$H60),1)*$H60),"")</f>
        <v>10.8</v>
      </c>
      <c r="Z60" s="36">
        <f>IFERROR(IF(Y60=0,"",ROUNDUP(Y60/H60,0)*0.01898),"")</f>
        <v>1.898E-2</v>
      </c>
      <c r="AA60" s="56"/>
      <c r="AB60" s="57"/>
      <c r="AC60" s="103" t="s">
        <v>137</v>
      </c>
      <c r="AG60" s="64"/>
      <c r="AJ60" s="68"/>
      <c r="AK60" s="68">
        <v>0</v>
      </c>
      <c r="BB60" s="104" t="s">
        <v>1</v>
      </c>
      <c r="BM60" s="64">
        <f>IFERROR(X60*I60/H60,"0")</f>
        <v>10.37962962962963</v>
      </c>
      <c r="BN60" s="64">
        <f>IFERROR(Y60*I60/H60,"0")</f>
        <v>11.21</v>
      </c>
      <c r="BO60" s="64">
        <f>IFERROR(1/J60*(X60/H60),"0")</f>
        <v>1.4467592592592591E-2</v>
      </c>
      <c r="BP60" s="64">
        <f>IFERROR(1/J60*(Y60/H60),"0")</f>
        <v>1.5625E-2</v>
      </c>
    </row>
    <row r="61" spans="1:68" ht="16.5" hidden="1" customHeight="1" x14ac:dyDescent="0.25">
      <c r="A61" s="54" t="s">
        <v>138</v>
      </c>
      <c r="B61" s="54" t="s">
        <v>139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2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9" t="s">
        <v>71</v>
      </c>
      <c r="Q63" s="560"/>
      <c r="R63" s="560"/>
      <c r="S63" s="560"/>
      <c r="T63" s="560"/>
      <c r="U63" s="560"/>
      <c r="V63" s="561"/>
      <c r="W63" s="37" t="s">
        <v>72</v>
      </c>
      <c r="X63" s="543">
        <f>IFERROR(X60/H60,"0")+IFERROR(X61/H61,"0")+IFERROR(X62/H62,"0")</f>
        <v>0.92592592592592582</v>
      </c>
      <c r="Y63" s="543">
        <f>IFERROR(Y60/H60,"0")+IFERROR(Y61/H61,"0")+IFERROR(Y62/H62,"0")</f>
        <v>1</v>
      </c>
      <c r="Z63" s="543">
        <f>IFERROR(IF(Z60="",0,Z60),"0")+IFERROR(IF(Z61="",0,Z61),"0")+IFERROR(IF(Z62="",0,Z62),"0")</f>
        <v>1.898E-2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9" t="s">
        <v>71</v>
      </c>
      <c r="Q64" s="560"/>
      <c r="R64" s="560"/>
      <c r="S64" s="560"/>
      <c r="T64" s="560"/>
      <c r="U64" s="560"/>
      <c r="V64" s="561"/>
      <c r="W64" s="37" t="s">
        <v>69</v>
      </c>
      <c r="X64" s="543">
        <f>IFERROR(SUM(X60:X62),"0")</f>
        <v>10</v>
      </c>
      <c r="Y64" s="543">
        <f>IFERROR(SUM(Y60:Y62),"0")</f>
        <v>10.8</v>
      </c>
      <c r="Z64" s="37"/>
      <c r="AA64" s="544"/>
      <c r="AB64" s="544"/>
      <c r="AC64" s="544"/>
    </row>
    <row r="65" spans="1:68" ht="14.25" hidden="1" customHeight="1" x14ac:dyDescent="0.25">
      <c r="A65" s="565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hidden="1" customHeight="1" x14ac:dyDescent="0.25">
      <c r="A66" s="54" t="s">
        <v>142</v>
      </c>
      <c r="B66" s="54" t="s">
        <v>143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145</v>
      </c>
      <c r="B67" s="54" t="s">
        <v>146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9" t="s">
        <v>71</v>
      </c>
      <c r="Q69" s="560"/>
      <c r="R69" s="560"/>
      <c r="S69" s="560"/>
      <c r="T69" s="560"/>
      <c r="U69" s="560"/>
      <c r="V69" s="56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9" t="s">
        <v>71</v>
      </c>
      <c r="Q70" s="560"/>
      <c r="R70" s="560"/>
      <c r="S70" s="560"/>
      <c r="T70" s="560"/>
      <c r="U70" s="560"/>
      <c r="V70" s="56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5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59" t="s">
        <v>71</v>
      </c>
      <c r="Q76" s="560"/>
      <c r="R76" s="560"/>
      <c r="S76" s="560"/>
      <c r="T76" s="560"/>
      <c r="U76" s="560"/>
      <c r="V76" s="561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9" t="s">
        <v>71</v>
      </c>
      <c r="Q77" s="560"/>
      <c r="R77" s="560"/>
      <c r="S77" s="560"/>
      <c r="T77" s="560"/>
      <c r="U77" s="560"/>
      <c r="V77" s="561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5" t="s">
        <v>162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/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59" t="s">
        <v>71</v>
      </c>
      <c r="Q81" s="560"/>
      <c r="R81" s="560"/>
      <c r="S81" s="560"/>
      <c r="T81" s="560"/>
      <c r="U81" s="560"/>
      <c r="V81" s="561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9" t="s">
        <v>71</v>
      </c>
      <c r="Q82" s="560"/>
      <c r="R82" s="560"/>
      <c r="S82" s="560"/>
      <c r="T82" s="560"/>
      <c r="U82" s="560"/>
      <c r="V82" s="561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66" t="s">
        <v>169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hidden="1" customHeight="1" x14ac:dyDescent="0.25">
      <c r="A84" s="565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37</v>
      </c>
      <c r="Y85" s="542">
        <f>IFERROR(IF(X85="",0,CEILING((X85/$H85),1)*$H85),"")</f>
        <v>43.2</v>
      </c>
      <c r="Z85" s="36">
        <f>IFERROR(IF(Y85=0,"",ROUNDUP(Y85/H85,0)*0.01898),"")</f>
        <v>7.5920000000000001E-2</v>
      </c>
      <c r="AA85" s="56"/>
      <c r="AB85" s="57"/>
      <c r="AC85" s="127" t="s">
        <v>172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38.404629629629632</v>
      </c>
      <c r="BN85" s="64">
        <f>IFERROR(Y85*I85/H85,"0")</f>
        <v>44.84</v>
      </c>
      <c r="BO85" s="64">
        <f>IFERROR(1/J85*(X85/H85),"0")</f>
        <v>5.3530092592592587E-2</v>
      </c>
      <c r="BP85" s="64">
        <f>IFERROR(1/J85*(Y85/H85),"0")</f>
        <v>6.25E-2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175</v>
      </c>
      <c r="B87" s="54" t="s">
        <v>176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5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59" t="s">
        <v>71</v>
      </c>
      <c r="Q88" s="560"/>
      <c r="R88" s="560"/>
      <c r="S88" s="560"/>
      <c r="T88" s="560"/>
      <c r="U88" s="560"/>
      <c r="V88" s="561"/>
      <c r="W88" s="37" t="s">
        <v>72</v>
      </c>
      <c r="X88" s="543">
        <f>IFERROR(X85/H85,"0")+IFERROR(X86/H86,"0")+IFERROR(X87/H87,"0")</f>
        <v>3.4259259259259256</v>
      </c>
      <c r="Y88" s="543">
        <f>IFERROR(Y85/H85,"0")+IFERROR(Y86/H86,"0")+IFERROR(Y87/H87,"0")</f>
        <v>4</v>
      </c>
      <c r="Z88" s="543">
        <f>IFERROR(IF(Z85="",0,Z85),"0")+IFERROR(IF(Z86="",0,Z86),"0")+IFERROR(IF(Z87="",0,Z87),"0")</f>
        <v>7.5920000000000001E-2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9" t="s">
        <v>71</v>
      </c>
      <c r="Q89" s="560"/>
      <c r="R89" s="560"/>
      <c r="S89" s="560"/>
      <c r="T89" s="560"/>
      <c r="U89" s="560"/>
      <c r="V89" s="561"/>
      <c r="W89" s="37" t="s">
        <v>69</v>
      </c>
      <c r="X89" s="543">
        <f>IFERROR(SUM(X85:X87),"0")</f>
        <v>37</v>
      </c>
      <c r="Y89" s="543">
        <f>IFERROR(SUM(Y85:Y87),"0")</f>
        <v>43.2</v>
      </c>
      <c r="Z89" s="37"/>
      <c r="AA89" s="544"/>
      <c r="AB89" s="544"/>
      <c r="AC89" s="544"/>
    </row>
    <row r="90" spans="1:68" ht="14.25" hidden="1" customHeight="1" x14ac:dyDescent="0.25">
      <c r="A90" s="565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hidden="1" customHeight="1" x14ac:dyDescent="0.25">
      <c r="A91" s="54" t="s">
        <v>177</v>
      </c>
      <c r="B91" s="54" t="s">
        <v>178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8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179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180</v>
      </c>
      <c r="B92" s="54" t="s">
        <v>181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89</v>
      </c>
      <c r="Y93" s="542">
        <f>IFERROR(IF(X93="",0,CEILING((X93/$H93),1)*$H93),"")</f>
        <v>89.100000000000009</v>
      </c>
      <c r="Z93" s="36">
        <f>IFERROR(IF(Y93=0,"",ROUNDUP(Y93/H93,0)*0.00651),"")</f>
        <v>0.21482999999999999</v>
      </c>
      <c r="AA93" s="56"/>
      <c r="AB93" s="57"/>
      <c r="AC93" s="137" t="s">
        <v>179</v>
      </c>
      <c r="AG93" s="64"/>
      <c r="AJ93" s="68"/>
      <c r="AK93" s="68">
        <v>0</v>
      </c>
      <c r="BB93" s="138" t="s">
        <v>1</v>
      </c>
      <c r="BM93" s="64">
        <f>IFERROR(X93*I93/H93,"0")</f>
        <v>97.306666666666658</v>
      </c>
      <c r="BN93" s="64">
        <f>IFERROR(Y93*I93/H93,"0")</f>
        <v>97.416000000000011</v>
      </c>
      <c r="BO93" s="64">
        <f>IFERROR(1/J93*(X93/H93),"0")</f>
        <v>0.18111518111518113</v>
      </c>
      <c r="BP93" s="64">
        <f>IFERROR(1/J93*(Y93/H93),"0")</f>
        <v>0.18131868131868134</v>
      </c>
    </row>
    <row r="94" spans="1:68" ht="16.5" hidden="1" customHeight="1" x14ac:dyDescent="0.25">
      <c r="A94" s="54" t="s">
        <v>185</v>
      </c>
      <c r="B94" s="54" t="s">
        <v>186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187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59" t="s">
        <v>71</v>
      </c>
      <c r="Q95" s="560"/>
      <c r="R95" s="560"/>
      <c r="S95" s="560"/>
      <c r="T95" s="560"/>
      <c r="U95" s="560"/>
      <c r="V95" s="561"/>
      <c r="W95" s="37" t="s">
        <v>72</v>
      </c>
      <c r="X95" s="543">
        <f>IFERROR(X91/H91,"0")+IFERROR(X92/H92,"0")+IFERROR(X93/H93,"0")+IFERROR(X94/H94,"0")</f>
        <v>32.962962962962962</v>
      </c>
      <c r="Y95" s="543">
        <f>IFERROR(Y91/H91,"0")+IFERROR(Y92/H92,"0")+IFERROR(Y93/H93,"0")+IFERROR(Y94/H94,"0")</f>
        <v>33</v>
      </c>
      <c r="Z95" s="543">
        <f>IFERROR(IF(Z91="",0,Z91),"0")+IFERROR(IF(Z92="",0,Z92),"0")+IFERROR(IF(Z93="",0,Z93),"0")+IFERROR(IF(Z94="",0,Z94),"0")</f>
        <v>0.21482999999999999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9" t="s">
        <v>71</v>
      </c>
      <c r="Q96" s="560"/>
      <c r="R96" s="560"/>
      <c r="S96" s="560"/>
      <c r="T96" s="560"/>
      <c r="U96" s="560"/>
      <c r="V96" s="561"/>
      <c r="W96" s="37" t="s">
        <v>69</v>
      </c>
      <c r="X96" s="543">
        <f>IFERROR(SUM(X91:X94),"0")</f>
        <v>89</v>
      </c>
      <c r="Y96" s="543">
        <f>IFERROR(SUM(Y91:Y94),"0")</f>
        <v>89.100000000000009</v>
      </c>
      <c r="Z96" s="37"/>
      <c r="AA96" s="544"/>
      <c r="AB96" s="544"/>
      <c r="AC96" s="544"/>
    </row>
    <row r="97" spans="1:68" ht="16.5" hidden="1" customHeight="1" x14ac:dyDescent="0.25">
      <c r="A97" s="566" t="s">
        <v>188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hidden="1" customHeight="1" x14ac:dyDescent="0.25">
      <c r="A98" s="565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189</v>
      </c>
      <c r="B99" s="54" t="s">
        <v>190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11</v>
      </c>
      <c r="Y99" s="542">
        <f>IFERROR(IF(X99="",0,CEILING((X99/$H99),1)*$H99),"")</f>
        <v>21.6</v>
      </c>
      <c r="Z99" s="36">
        <f>IFERROR(IF(Y99=0,"",ROUNDUP(Y99/H99,0)*0.01898),"")</f>
        <v>3.7960000000000001E-2</v>
      </c>
      <c r="AA99" s="56"/>
      <c r="AB99" s="57"/>
      <c r="AC99" s="141" t="s">
        <v>191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11.417592592592593</v>
      </c>
      <c r="BN99" s="64">
        <f>IFERROR(Y99*I99/H99,"0")</f>
        <v>22.42</v>
      </c>
      <c r="BO99" s="64">
        <f>IFERROR(1/J99*(X99/H99),"0")</f>
        <v>1.591435185185185E-2</v>
      </c>
      <c r="BP99" s="64">
        <f>IFERROR(1/J99*(Y99/H99),"0")</f>
        <v>3.125E-2</v>
      </c>
    </row>
    <row r="100" spans="1:68" ht="37.5" hidden="1" customHeight="1" x14ac:dyDescent="0.25">
      <c r="A100" s="54" t="s">
        <v>192</v>
      </c>
      <c r="B100" s="54" t="s">
        <v>193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191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194</v>
      </c>
      <c r="B101" s="54" t="s">
        <v>195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196</v>
      </c>
      <c r="M101" s="33" t="s">
        <v>77</v>
      </c>
      <c r="N101" s="33"/>
      <c r="O101" s="32">
        <v>50</v>
      </c>
      <c r="P101" s="7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191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59" t="s">
        <v>71</v>
      </c>
      <c r="Q103" s="560"/>
      <c r="R103" s="560"/>
      <c r="S103" s="560"/>
      <c r="T103" s="560"/>
      <c r="U103" s="560"/>
      <c r="V103" s="561"/>
      <c r="W103" s="37" t="s">
        <v>72</v>
      </c>
      <c r="X103" s="543">
        <f>IFERROR(X99/H99,"0")+IFERROR(X100/H100,"0")+IFERROR(X101/H101,"0")+IFERROR(X102/H102,"0")</f>
        <v>1.0185185185185184</v>
      </c>
      <c r="Y103" s="543">
        <f>IFERROR(Y99/H99,"0")+IFERROR(Y100/H100,"0")+IFERROR(Y101/H101,"0")+IFERROR(Y102/H102,"0")</f>
        <v>2</v>
      </c>
      <c r="Z103" s="543">
        <f>IFERROR(IF(Z99="",0,Z99),"0")+IFERROR(IF(Z100="",0,Z100),"0")+IFERROR(IF(Z101="",0,Z101),"0")+IFERROR(IF(Z102="",0,Z102),"0")</f>
        <v>3.7960000000000001E-2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9" t="s">
        <v>71</v>
      </c>
      <c r="Q104" s="560"/>
      <c r="R104" s="560"/>
      <c r="S104" s="560"/>
      <c r="T104" s="560"/>
      <c r="U104" s="560"/>
      <c r="V104" s="561"/>
      <c r="W104" s="37" t="s">
        <v>69</v>
      </c>
      <c r="X104" s="543">
        <f>IFERROR(SUM(X99:X102),"0")</f>
        <v>11</v>
      </c>
      <c r="Y104" s="543">
        <f>IFERROR(SUM(Y99:Y102),"0")</f>
        <v>21.6</v>
      </c>
      <c r="Z104" s="37"/>
      <c r="AA104" s="544"/>
      <c r="AB104" s="544"/>
      <c r="AC104" s="544"/>
    </row>
    <row r="105" spans="1:68" ht="14.25" hidden="1" customHeight="1" x14ac:dyDescent="0.25">
      <c r="A105" s="565" t="s">
        <v>134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hidden="1" customHeight="1" x14ac:dyDescent="0.25">
      <c r="A106" s="54" t="s">
        <v>199</v>
      </c>
      <c r="B106" s="54" t="s">
        <v>200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/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204</v>
      </c>
      <c r="B108" s="54" t="s">
        <v>205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59" t="s">
        <v>71</v>
      </c>
      <c r="Q109" s="560"/>
      <c r="R109" s="560"/>
      <c r="S109" s="560"/>
      <c r="T109" s="560"/>
      <c r="U109" s="560"/>
      <c r="V109" s="561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9" t="s">
        <v>71</v>
      </c>
      <c r="Q110" s="560"/>
      <c r="R110" s="560"/>
      <c r="S110" s="560"/>
      <c r="T110" s="560"/>
      <c r="U110" s="560"/>
      <c r="V110" s="561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5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88</v>
      </c>
      <c r="Y112" s="542">
        <f>IFERROR(IF(X112="",0,CEILING((X112/$H112),1)*$H112),"")</f>
        <v>89.1</v>
      </c>
      <c r="Z112" s="36">
        <f>IFERROR(IF(Y112=0,"",ROUNDUP(Y112/H112,0)*0.01898),"")</f>
        <v>0.20877999999999999</v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93.301728395061716</v>
      </c>
      <c r="BN112" s="64">
        <f>IFERROR(Y112*I112/H112,"0")</f>
        <v>94.467999999999989</v>
      </c>
      <c r="BO112" s="64">
        <f>IFERROR(1/J112*(X112/H112),"0")</f>
        <v>0.16975308641975309</v>
      </c>
      <c r="BP112" s="64">
        <f>IFERROR(1/J112*(Y112/H112),"0")</f>
        <v>0.171875</v>
      </c>
    </row>
    <row r="113" spans="1:68" ht="27" hidden="1" customHeight="1" x14ac:dyDescent="0.25">
      <c r="A113" s="54" t="s">
        <v>209</v>
      </c>
      <c r="B113" s="54" t="s">
        <v>210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8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172</v>
      </c>
      <c r="Y114" s="542">
        <f>IFERROR(IF(X114="",0,CEILING((X114/$H114),1)*$H114),"")</f>
        <v>172.8</v>
      </c>
      <c r="Z114" s="36">
        <f>IFERROR(IF(Y114=0,"",ROUNDUP(Y114/H114,0)*0.00651),"")</f>
        <v>0.41664000000000001</v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188.05333333333331</v>
      </c>
      <c r="BN114" s="64">
        <f>IFERROR(Y114*I114/H114,"0")</f>
        <v>188.928</v>
      </c>
      <c r="BO114" s="64">
        <f>IFERROR(1/J114*(X114/H114),"0")</f>
        <v>0.35002035002035004</v>
      </c>
      <c r="BP114" s="64">
        <f>IFERROR(1/J114*(Y114/H114),"0")</f>
        <v>0.35164835164835168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59" t="s">
        <v>71</v>
      </c>
      <c r="Q116" s="560"/>
      <c r="R116" s="560"/>
      <c r="S116" s="560"/>
      <c r="T116" s="560"/>
      <c r="U116" s="560"/>
      <c r="V116" s="561"/>
      <c r="W116" s="37" t="s">
        <v>72</v>
      </c>
      <c r="X116" s="543">
        <f>IFERROR(X112/H112,"0")+IFERROR(X113/H113,"0")+IFERROR(X114/H114,"0")+IFERROR(X115/H115,"0")</f>
        <v>74.567901234567898</v>
      </c>
      <c r="Y116" s="543">
        <f>IFERROR(Y112/H112,"0")+IFERROR(Y113/H113,"0")+IFERROR(Y114/H114,"0")+IFERROR(Y115/H115,"0")</f>
        <v>75</v>
      </c>
      <c r="Z116" s="543">
        <f>IFERROR(IF(Z112="",0,Z112),"0")+IFERROR(IF(Z113="",0,Z113),"0")+IFERROR(IF(Z114="",0,Z114),"0")+IFERROR(IF(Z115="",0,Z115),"0")</f>
        <v>0.62541999999999998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9" t="s">
        <v>71</v>
      </c>
      <c r="Q117" s="560"/>
      <c r="R117" s="560"/>
      <c r="S117" s="560"/>
      <c r="T117" s="560"/>
      <c r="U117" s="560"/>
      <c r="V117" s="561"/>
      <c r="W117" s="37" t="s">
        <v>69</v>
      </c>
      <c r="X117" s="543">
        <f>IFERROR(SUM(X112:X115),"0")</f>
        <v>260</v>
      </c>
      <c r="Y117" s="543">
        <f>IFERROR(SUM(Y112:Y115),"0")</f>
        <v>261.89999999999998</v>
      </c>
      <c r="Z117" s="37"/>
      <c r="AA117" s="544"/>
      <c r="AB117" s="544"/>
      <c r="AC117" s="544"/>
    </row>
    <row r="118" spans="1:68" ht="14.25" hidden="1" customHeight="1" x14ac:dyDescent="0.25">
      <c r="A118" s="565" t="s">
        <v>162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59" t="s">
        <v>71</v>
      </c>
      <c r="Q120" s="560"/>
      <c r="R120" s="560"/>
      <c r="S120" s="560"/>
      <c r="T120" s="560"/>
      <c r="U120" s="560"/>
      <c r="V120" s="561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9" t="s">
        <v>71</v>
      </c>
      <c r="Q121" s="560"/>
      <c r="R121" s="560"/>
      <c r="S121" s="560"/>
      <c r="T121" s="560"/>
      <c r="U121" s="560"/>
      <c r="V121" s="561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6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hidden="1" customHeight="1" x14ac:dyDescent="0.25">
      <c r="A123" s="565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59" t="s">
        <v>71</v>
      </c>
      <c r="Q126" s="560"/>
      <c r="R126" s="560"/>
      <c r="S126" s="560"/>
      <c r="T126" s="560"/>
      <c r="U126" s="560"/>
      <c r="V126" s="561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9" t="s">
        <v>71</v>
      </c>
      <c r="Q127" s="560"/>
      <c r="R127" s="560"/>
      <c r="S127" s="560"/>
      <c r="T127" s="560"/>
      <c r="U127" s="560"/>
      <c r="V127" s="561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5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59" t="s">
        <v>71</v>
      </c>
      <c r="Q131" s="560"/>
      <c r="R131" s="560"/>
      <c r="S131" s="560"/>
      <c r="T131" s="560"/>
      <c r="U131" s="560"/>
      <c r="V131" s="561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9" t="s">
        <v>71</v>
      </c>
      <c r="Q132" s="560"/>
      <c r="R132" s="560"/>
      <c r="S132" s="560"/>
      <c r="T132" s="560"/>
      <c r="U132" s="560"/>
      <c r="V132" s="561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5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59" t="s">
        <v>71</v>
      </c>
      <c r="Q136" s="560"/>
      <c r="R136" s="560"/>
      <c r="S136" s="560"/>
      <c r="T136" s="560"/>
      <c r="U136" s="560"/>
      <c r="V136" s="561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9" t="s">
        <v>71</v>
      </c>
      <c r="Q137" s="560"/>
      <c r="R137" s="560"/>
      <c r="S137" s="560"/>
      <c r="T137" s="560"/>
      <c r="U137" s="560"/>
      <c r="V137" s="561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6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hidden="1" customHeight="1" x14ac:dyDescent="0.25">
      <c r="A139" s="565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84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59" t="s">
        <v>71</v>
      </c>
      <c r="Q143" s="560"/>
      <c r="R143" s="560"/>
      <c r="S143" s="560"/>
      <c r="T143" s="560"/>
      <c r="U143" s="560"/>
      <c r="V143" s="561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9" t="s">
        <v>71</v>
      </c>
      <c r="Q144" s="560"/>
      <c r="R144" s="560"/>
      <c r="S144" s="560"/>
      <c r="T144" s="560"/>
      <c r="U144" s="560"/>
      <c r="V144" s="561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65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59" t="s">
        <v>71</v>
      </c>
      <c r="Q149" s="560"/>
      <c r="R149" s="560"/>
      <c r="S149" s="560"/>
      <c r="T149" s="560"/>
      <c r="U149" s="560"/>
      <c r="V149" s="561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9" t="s">
        <v>71</v>
      </c>
      <c r="Q150" s="560"/>
      <c r="R150" s="560"/>
      <c r="S150" s="560"/>
      <c r="T150" s="560"/>
      <c r="U150" s="560"/>
      <c r="V150" s="561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65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7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59" t="s">
        <v>71</v>
      </c>
      <c r="Q153" s="560"/>
      <c r="R153" s="560"/>
      <c r="S153" s="560"/>
      <c r="T153" s="560"/>
      <c r="U153" s="560"/>
      <c r="V153" s="561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9" t="s">
        <v>71</v>
      </c>
      <c r="Q154" s="560"/>
      <c r="R154" s="560"/>
      <c r="S154" s="560"/>
      <c r="T154" s="560"/>
      <c r="U154" s="560"/>
      <c r="V154" s="561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67" t="s">
        <v>255</v>
      </c>
      <c r="B155" s="668"/>
      <c r="C155" s="668"/>
      <c r="D155" s="668"/>
      <c r="E155" s="668"/>
      <c r="F155" s="668"/>
      <c r="G155" s="668"/>
      <c r="H155" s="668"/>
      <c r="I155" s="668"/>
      <c r="J155" s="668"/>
      <c r="K155" s="668"/>
      <c r="L155" s="668"/>
      <c r="M155" s="668"/>
      <c r="N155" s="668"/>
      <c r="O155" s="668"/>
      <c r="P155" s="668"/>
      <c r="Q155" s="668"/>
      <c r="R155" s="668"/>
      <c r="S155" s="668"/>
      <c r="T155" s="668"/>
      <c r="U155" s="668"/>
      <c r="V155" s="668"/>
      <c r="W155" s="668"/>
      <c r="X155" s="668"/>
      <c r="Y155" s="668"/>
      <c r="Z155" s="668"/>
      <c r="AA155" s="48"/>
      <c r="AB155" s="48"/>
      <c r="AC155" s="48"/>
    </row>
    <row r="156" spans="1:68" ht="16.5" hidden="1" customHeight="1" x14ac:dyDescent="0.25">
      <c r="A156" s="566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hidden="1" customHeight="1" x14ac:dyDescent="0.25">
      <c r="A157" s="565" t="s">
        <v>134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59" t="s">
        <v>71</v>
      </c>
      <c r="Q159" s="560"/>
      <c r="R159" s="560"/>
      <c r="S159" s="560"/>
      <c r="T159" s="560"/>
      <c r="U159" s="560"/>
      <c r="V159" s="561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9" t="s">
        <v>71</v>
      </c>
      <c r="Q160" s="560"/>
      <c r="R160" s="560"/>
      <c r="S160" s="560"/>
      <c r="T160" s="560"/>
      <c r="U160" s="560"/>
      <c r="V160" s="561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65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hidden="1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9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196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135</v>
      </c>
      <c r="Y163" s="542">
        <f t="shared" si="5"/>
        <v>138.6</v>
      </c>
      <c r="Z163" s="36">
        <f>IFERROR(IF(Y163=0,"",ROUNDUP(Y163/H163,0)*0.00902),"")</f>
        <v>0.29766000000000004</v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143.03571428571428</v>
      </c>
      <c r="BN163" s="64">
        <f t="shared" si="7"/>
        <v>146.85</v>
      </c>
      <c r="BO163" s="64">
        <f t="shared" si="8"/>
        <v>0.24350649350649348</v>
      </c>
      <c r="BP163" s="64">
        <f t="shared" si="9"/>
        <v>0.25</v>
      </c>
    </row>
    <row r="164" spans="1:68" ht="27" hidden="1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196</v>
      </c>
      <c r="M165" s="33" t="s">
        <v>68</v>
      </c>
      <c r="N165" s="33"/>
      <c r="O165" s="32">
        <v>40</v>
      </c>
      <c r="P165" s="58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122</v>
      </c>
      <c r="Y165" s="542">
        <f t="shared" si="5"/>
        <v>126</v>
      </c>
      <c r="Z165" s="36">
        <f>IFERROR(IF(Y165=0,"",ROUNDUP(Y165/H165,0)*0.00902),"")</f>
        <v>0.27060000000000001</v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127.5190476190476</v>
      </c>
      <c r="BN165" s="64">
        <f t="shared" si="7"/>
        <v>131.69999999999999</v>
      </c>
      <c r="BO165" s="64">
        <f t="shared" si="8"/>
        <v>0.22005772005772006</v>
      </c>
      <c r="BP165" s="64">
        <f t="shared" si="9"/>
        <v>0.22727272727272729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36</v>
      </c>
      <c r="Y166" s="542">
        <f t="shared" si="5"/>
        <v>37.800000000000004</v>
      </c>
      <c r="Z166" s="36">
        <f>IFERROR(IF(Y166=0,"",ROUNDUP(Y166/H166,0)*0.00502),"")</f>
        <v>9.0359999999999996E-2</v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38.228571428571428</v>
      </c>
      <c r="BN166" s="64">
        <f t="shared" si="7"/>
        <v>40.14</v>
      </c>
      <c r="BO166" s="64">
        <f t="shared" si="8"/>
        <v>7.3260073260073263E-2</v>
      </c>
      <c r="BP166" s="64">
        <f t="shared" si="9"/>
        <v>7.6923076923076927E-2</v>
      </c>
    </row>
    <row r="167" spans="1:68" ht="27" hidden="1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8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5</v>
      </c>
      <c r="Y168" s="542">
        <f t="shared" si="5"/>
        <v>5.4</v>
      </c>
      <c r="Z168" s="36">
        <f>IFERROR(IF(Y168=0,"",ROUNDUP(Y168/H168,0)*0.00502),"")</f>
        <v>1.506E-2</v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5.3611111111111116</v>
      </c>
      <c r="BN168" s="64">
        <f t="shared" si="7"/>
        <v>5.79</v>
      </c>
      <c r="BO168" s="64">
        <f t="shared" si="8"/>
        <v>1.1870845204178538E-2</v>
      </c>
      <c r="BP168" s="64">
        <f t="shared" si="9"/>
        <v>1.2820512820512822E-2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/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15</v>
      </c>
      <c r="Y169" s="542">
        <f t="shared" si="5"/>
        <v>16.8</v>
      </c>
      <c r="Z169" s="36">
        <f>IFERROR(IF(Y169=0,"",ROUNDUP(Y169/H169,0)*0.00502),"")</f>
        <v>4.0160000000000001E-2</v>
      </c>
      <c r="AA169" s="56"/>
      <c r="AB169" s="57"/>
      <c r="AC169" s="207" t="s">
        <v>272</v>
      </c>
      <c r="AG169" s="64"/>
      <c r="AJ169" s="68"/>
      <c r="AK169" s="68">
        <v>0</v>
      </c>
      <c r="BB169" s="208" t="s">
        <v>1</v>
      </c>
      <c r="BM169" s="64">
        <f t="shared" si="6"/>
        <v>15.714285714285714</v>
      </c>
      <c r="BN169" s="64">
        <f t="shared" si="7"/>
        <v>17.600000000000001</v>
      </c>
      <c r="BO169" s="64">
        <f t="shared" si="8"/>
        <v>3.0525030525030528E-2</v>
      </c>
      <c r="BP169" s="64">
        <f t="shared" si="9"/>
        <v>3.4188034188034191E-2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9" t="s">
        <v>71</v>
      </c>
      <c r="Q172" s="560"/>
      <c r="R172" s="560"/>
      <c r="S172" s="560"/>
      <c r="T172" s="560"/>
      <c r="U172" s="560"/>
      <c r="V172" s="561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88.253968253968239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92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0.71383999999999992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9" t="s">
        <v>71</v>
      </c>
      <c r="Q173" s="560"/>
      <c r="R173" s="560"/>
      <c r="S173" s="560"/>
      <c r="T173" s="560"/>
      <c r="U173" s="560"/>
      <c r="V173" s="561"/>
      <c r="W173" s="37" t="s">
        <v>69</v>
      </c>
      <c r="X173" s="543">
        <f>IFERROR(SUM(X162:X171),"0")</f>
        <v>313</v>
      </c>
      <c r="Y173" s="543">
        <f>IFERROR(SUM(Y162:Y171),"0")</f>
        <v>324.60000000000002</v>
      </c>
      <c r="Z173" s="37"/>
      <c r="AA173" s="544"/>
      <c r="AB173" s="544"/>
      <c r="AC173" s="544"/>
    </row>
    <row r="174" spans="1:68" ht="14.25" hidden="1" customHeight="1" x14ac:dyDescent="0.25">
      <c r="A174" s="565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hidden="1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9" t="s">
        <v>71</v>
      </c>
      <c r="Q178" s="560"/>
      <c r="R178" s="560"/>
      <c r="S178" s="560"/>
      <c r="T178" s="560"/>
      <c r="U178" s="560"/>
      <c r="V178" s="561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hidden="1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9" t="s">
        <v>71</v>
      </c>
      <c r="Q179" s="560"/>
      <c r="R179" s="560"/>
      <c r="S179" s="560"/>
      <c r="T179" s="560"/>
      <c r="U179" s="560"/>
      <c r="V179" s="561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hidden="1" customHeight="1" x14ac:dyDescent="0.25">
      <c r="A180" s="565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2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1</v>
      </c>
      <c r="Y181" s="542">
        <f>IFERROR(IF(X181="",0,CEILING((X181/$H181),1)*$H181),"")</f>
        <v>1.26</v>
      </c>
      <c r="Z181" s="36">
        <f>IFERROR(IF(Y181=0,"",ROUNDUP(Y181/H181,0)*0.0059),"")</f>
        <v>5.8999999999999999E-3</v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1.1507936507936507</v>
      </c>
      <c r="BN181" s="64">
        <f>IFERROR(Y181*I181/H181,"0")</f>
        <v>1.45</v>
      </c>
      <c r="BO181" s="64">
        <f>IFERROR(1/J181*(X181/H181),"0")</f>
        <v>3.6743092298647849E-3</v>
      </c>
      <c r="BP181" s="64">
        <f>IFERROR(1/J181*(Y181/H181),"0")</f>
        <v>4.6296296296296294E-3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9" t="s">
        <v>71</v>
      </c>
      <c r="Q182" s="560"/>
      <c r="R182" s="560"/>
      <c r="S182" s="560"/>
      <c r="T182" s="560"/>
      <c r="U182" s="560"/>
      <c r="V182" s="561"/>
      <c r="W182" s="37" t="s">
        <v>72</v>
      </c>
      <c r="X182" s="543">
        <f>IFERROR(X181/H181,"0")</f>
        <v>0.79365079365079361</v>
      </c>
      <c r="Y182" s="543">
        <f>IFERROR(Y181/H181,"0")</f>
        <v>1</v>
      </c>
      <c r="Z182" s="543">
        <f>IFERROR(IF(Z181="",0,Z181),"0")</f>
        <v>5.8999999999999999E-3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9" t="s">
        <v>71</v>
      </c>
      <c r="Q183" s="560"/>
      <c r="R183" s="560"/>
      <c r="S183" s="560"/>
      <c r="T183" s="560"/>
      <c r="U183" s="560"/>
      <c r="V183" s="561"/>
      <c r="W183" s="37" t="s">
        <v>69</v>
      </c>
      <c r="X183" s="543">
        <f>IFERROR(SUM(X181:X181),"0")</f>
        <v>1</v>
      </c>
      <c r="Y183" s="543">
        <f>IFERROR(SUM(Y181:Y181),"0")</f>
        <v>1.26</v>
      </c>
      <c r="Z183" s="37"/>
      <c r="AA183" s="544"/>
      <c r="AB183" s="544"/>
      <c r="AC183" s="544"/>
    </row>
    <row r="184" spans="1:68" ht="16.5" hidden="1" customHeight="1" x14ac:dyDescent="0.25">
      <c r="A184" s="566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hidden="1" customHeight="1" x14ac:dyDescent="0.25">
      <c r="A185" s="565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hidden="1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9" t="s">
        <v>71</v>
      </c>
      <c r="Q188" s="560"/>
      <c r="R188" s="560"/>
      <c r="S188" s="560"/>
      <c r="T188" s="560"/>
      <c r="U188" s="560"/>
      <c r="V188" s="56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9" t="s">
        <v>71</v>
      </c>
      <c r="Q189" s="560"/>
      <c r="R189" s="560"/>
      <c r="S189" s="560"/>
      <c r="T189" s="560"/>
      <c r="U189" s="560"/>
      <c r="V189" s="56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65" t="s">
        <v>134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hidden="1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9" t="s">
        <v>71</v>
      </c>
      <c r="Q193" s="560"/>
      <c r="R193" s="560"/>
      <c r="S193" s="560"/>
      <c r="T193" s="560"/>
      <c r="U193" s="560"/>
      <c r="V193" s="56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9" t="s">
        <v>71</v>
      </c>
      <c r="Q194" s="560"/>
      <c r="R194" s="560"/>
      <c r="S194" s="560"/>
      <c r="T194" s="560"/>
      <c r="U194" s="560"/>
      <c r="V194" s="56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65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196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4</v>
      </c>
      <c r="Y196" s="542">
        <f t="shared" ref="Y196:Y203" si="10">IFERROR(IF(X196="",0,CEILING((X196/$H196),1)*$H196),"")</f>
        <v>5.4</v>
      </c>
      <c r="Z196" s="36">
        <f>IFERROR(IF(Y196=0,"",ROUNDUP(Y196/H196,0)*0.00902),"")</f>
        <v>9.0200000000000002E-3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4.1407407407407399</v>
      </c>
      <c r="BN196" s="64">
        <f t="shared" ref="BN196:BN203" si="12">IFERROR(Y196*I196/H196,"0")</f>
        <v>5.59</v>
      </c>
      <c r="BO196" s="64">
        <f t="shared" ref="BO196:BO203" si="13">IFERROR(1/J196*(X196/H196),"0")</f>
        <v>5.6116722783389446E-3</v>
      </c>
      <c r="BP196" s="64">
        <f t="shared" ref="BP196:BP203" si="14">IFERROR(1/J196*(Y196/H196),"0")</f>
        <v>7.575757575757576E-3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196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163</v>
      </c>
      <c r="Y197" s="542">
        <f t="shared" si="10"/>
        <v>167.4</v>
      </c>
      <c r="Z197" s="36">
        <f>IFERROR(IF(Y197=0,"",ROUNDUP(Y197/H197,0)*0.00902),"")</f>
        <v>0.27961999999999998</v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168.73518518518517</v>
      </c>
      <c r="BN197" s="64">
        <f t="shared" si="12"/>
        <v>173.29</v>
      </c>
      <c r="BO197" s="64">
        <f t="shared" si="13"/>
        <v>0.228675645342312</v>
      </c>
      <c r="BP197" s="64">
        <f t="shared" si="14"/>
        <v>0.23484848484848486</v>
      </c>
    </row>
    <row r="198" spans="1:68" ht="27" hidden="1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/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196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137</v>
      </c>
      <c r="Y199" s="542">
        <f t="shared" si="10"/>
        <v>140.4</v>
      </c>
      <c r="Z199" s="36">
        <f>IFERROR(IF(Y199=0,"",ROUNDUP(Y199/H199,0)*0.00902),"")</f>
        <v>0.23452000000000001</v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141.82037037037034</v>
      </c>
      <c r="BN199" s="64">
        <f t="shared" si="12"/>
        <v>145.34</v>
      </c>
      <c r="BO199" s="64">
        <f t="shared" si="13"/>
        <v>0.19219977553310888</v>
      </c>
      <c r="BP199" s="64">
        <f t="shared" si="14"/>
        <v>0.19696969696969696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/>
      <c r="M200" s="33" t="s">
        <v>68</v>
      </c>
      <c r="N200" s="33"/>
      <c r="O200" s="32">
        <v>40</v>
      </c>
      <c r="P200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5</v>
      </c>
      <c r="Y200" s="542">
        <f t="shared" si="10"/>
        <v>5.4</v>
      </c>
      <c r="Z200" s="36">
        <f>IFERROR(IF(Y200=0,"",ROUNDUP(Y200/H200,0)*0.00502),"")</f>
        <v>1.506E-2</v>
      </c>
      <c r="AA200" s="56"/>
      <c r="AB200" s="57"/>
      <c r="AC200" s="237" t="s">
        <v>314</v>
      </c>
      <c r="AG200" s="64"/>
      <c r="AJ200" s="68"/>
      <c r="AK200" s="68">
        <v>0</v>
      </c>
      <c r="BB200" s="238" t="s">
        <v>1</v>
      </c>
      <c r="BM200" s="64">
        <f t="shared" si="11"/>
        <v>5.3611111111111116</v>
      </c>
      <c r="BN200" s="64">
        <f t="shared" si="12"/>
        <v>5.79</v>
      </c>
      <c r="BO200" s="64">
        <f t="shared" si="13"/>
        <v>1.1870845204178538E-2</v>
      </c>
      <c r="BP200" s="64">
        <f t="shared" si="14"/>
        <v>1.2820512820512822E-2</v>
      </c>
    </row>
    <row r="201" spans="1:68" ht="27" hidden="1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/>
      <c r="M203" s="33" t="s">
        <v>68</v>
      </c>
      <c r="N203" s="33"/>
      <c r="O203" s="32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21</v>
      </c>
      <c r="Y203" s="542">
        <f t="shared" si="10"/>
        <v>21.6</v>
      </c>
      <c r="Z203" s="36">
        <f>IFERROR(IF(Y203=0,"",ROUNDUP(Y203/H203,0)*0.00502),"")</f>
        <v>6.0240000000000002E-2</v>
      </c>
      <c r="AA203" s="56"/>
      <c r="AB203" s="57"/>
      <c r="AC203" s="243" t="s">
        <v>323</v>
      </c>
      <c r="AG203" s="64"/>
      <c r="AJ203" s="68"/>
      <c r="AK203" s="68">
        <v>0</v>
      </c>
      <c r="BB203" s="244" t="s">
        <v>1</v>
      </c>
      <c r="BM203" s="64">
        <f t="shared" si="11"/>
        <v>22.166666666666664</v>
      </c>
      <c r="BN203" s="64">
        <f t="shared" si="12"/>
        <v>22.8</v>
      </c>
      <c r="BO203" s="64">
        <f t="shared" si="13"/>
        <v>4.9857549857549859E-2</v>
      </c>
      <c r="BP203" s="64">
        <f t="shared" si="14"/>
        <v>5.1282051282051287E-2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9" t="s">
        <v>71</v>
      </c>
      <c r="Q204" s="560"/>
      <c r="R204" s="560"/>
      <c r="S204" s="560"/>
      <c r="T204" s="560"/>
      <c r="U204" s="560"/>
      <c r="V204" s="56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70.740740740740733</v>
      </c>
      <c r="Y204" s="543">
        <f>IFERROR(Y196/H196,"0")+IFERROR(Y197/H197,"0")+IFERROR(Y198/H198,"0")+IFERROR(Y199/H199,"0")+IFERROR(Y200/H200,"0")+IFERROR(Y201/H201,"0")+IFERROR(Y202/H202,"0")+IFERROR(Y203/H203,"0")</f>
        <v>73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0.59845999999999999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9" t="s">
        <v>71</v>
      </c>
      <c r="Q205" s="560"/>
      <c r="R205" s="560"/>
      <c r="S205" s="560"/>
      <c r="T205" s="560"/>
      <c r="U205" s="560"/>
      <c r="V205" s="561"/>
      <c r="W205" s="37" t="s">
        <v>69</v>
      </c>
      <c r="X205" s="543">
        <f>IFERROR(SUM(X196:X203),"0")</f>
        <v>330</v>
      </c>
      <c r="Y205" s="543">
        <f>IFERROR(SUM(Y196:Y203),"0")</f>
        <v>340.20000000000005</v>
      </c>
      <c r="Z205" s="37"/>
      <c r="AA205" s="544"/>
      <c r="AB205" s="544"/>
      <c r="AC205" s="544"/>
    </row>
    <row r="206" spans="1:68" ht="14.25" hidden="1" customHeight="1" x14ac:dyDescent="0.25">
      <c r="A206" s="565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28</v>
      </c>
      <c r="Y207" s="542">
        <f t="shared" ref="Y207:Y215" si="15">IFERROR(IF(X207="",0,CEILING((X207/$H207),1)*$H207),"")</f>
        <v>32.4</v>
      </c>
      <c r="Z207" s="36">
        <f>IFERROR(IF(Y207=0,"",ROUNDUP(Y207/H207,0)*0.01898),"")</f>
        <v>7.5920000000000001E-2</v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29.707654320987654</v>
      </c>
      <c r="BN207" s="64">
        <f t="shared" ref="BN207:BN215" si="17">IFERROR(Y207*I207/H207,"0")</f>
        <v>34.375999999999998</v>
      </c>
      <c r="BO207" s="64">
        <f t="shared" ref="BO207:BO215" si="18">IFERROR(1/J207*(X207/H207),"0")</f>
        <v>5.401234567901235E-2</v>
      </c>
      <c r="BP207" s="64">
        <f t="shared" ref="BP207:BP215" si="19">IFERROR(1/J207*(Y207/H207),"0")</f>
        <v>6.25E-2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21</v>
      </c>
      <c r="Y208" s="542">
        <f t="shared" si="15"/>
        <v>24.299999999999997</v>
      </c>
      <c r="Z208" s="36">
        <f>IFERROR(IF(Y208=0,"",ROUNDUP(Y208/H208,0)*0.01898),"")</f>
        <v>5.6940000000000004E-2</v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22.234074074074076</v>
      </c>
      <c r="BN208" s="64">
        <f t="shared" si="17"/>
        <v>25.727999999999998</v>
      </c>
      <c r="BO208" s="64">
        <f t="shared" si="18"/>
        <v>4.0509259259259259E-2</v>
      </c>
      <c r="BP208" s="64">
        <f t="shared" si="19"/>
        <v>4.6875E-2</v>
      </c>
    </row>
    <row r="209" spans="1:68" ht="27" hidden="1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/>
      <c r="M209" s="33" t="s">
        <v>77</v>
      </c>
      <c r="N209" s="33"/>
      <c r="O209" s="32">
        <v>45</v>
      </c>
      <c r="P209" s="6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/>
      <c r="AK209" s="68">
        <v>0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213</v>
      </c>
      <c r="M210" s="33" t="s">
        <v>77</v>
      </c>
      <c r="N210" s="33"/>
      <c r="O210" s="32">
        <v>40</v>
      </c>
      <c r="P210" s="6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49</v>
      </c>
      <c r="Y210" s="542">
        <f t="shared" si="15"/>
        <v>50.4</v>
      </c>
      <c r="Z210" s="36">
        <f t="shared" ref="Z210:Z215" si="20">IFERROR(IF(Y210=0,"",ROUNDUP(Y210/H210,0)*0.00651),"")</f>
        <v>0.13671</v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54.512499999999996</v>
      </c>
      <c r="BN210" s="64">
        <f t="shared" si="17"/>
        <v>56.069999999999993</v>
      </c>
      <c r="BO210" s="64">
        <f t="shared" si="18"/>
        <v>0.1121794871794872</v>
      </c>
      <c r="BP210" s="64">
        <f t="shared" si="19"/>
        <v>0.11538461538461539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5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213</v>
      </c>
      <c r="M212" s="33" t="s">
        <v>77</v>
      </c>
      <c r="N212" s="33"/>
      <c r="O212" s="32">
        <v>45</v>
      </c>
      <c r="P212" s="7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121</v>
      </c>
      <c r="Y212" s="542">
        <f t="shared" si="15"/>
        <v>122.39999999999999</v>
      </c>
      <c r="Z212" s="36">
        <f t="shared" si="20"/>
        <v>0.33201000000000003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133.70500000000001</v>
      </c>
      <c r="BN212" s="64">
        <f t="shared" si="17"/>
        <v>135.25200000000001</v>
      </c>
      <c r="BO212" s="64">
        <f t="shared" si="18"/>
        <v>0.27701465201465209</v>
      </c>
      <c r="BP212" s="64">
        <f t="shared" si="19"/>
        <v>0.28021978021978022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213</v>
      </c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114</v>
      </c>
      <c r="Y213" s="542">
        <f t="shared" si="15"/>
        <v>115.19999999999999</v>
      </c>
      <c r="Z213" s="36">
        <f t="shared" si="20"/>
        <v>0.31247999999999998</v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125.97000000000001</v>
      </c>
      <c r="BN213" s="64">
        <f t="shared" si="17"/>
        <v>127.29600000000001</v>
      </c>
      <c r="BO213" s="64">
        <f t="shared" si="18"/>
        <v>0.26098901098901101</v>
      </c>
      <c r="BP213" s="64">
        <f t="shared" si="19"/>
        <v>0.26373626373626374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213</v>
      </c>
      <c r="M214" s="33" t="s">
        <v>84</v>
      </c>
      <c r="N214" s="33"/>
      <c r="O214" s="32">
        <v>40</v>
      </c>
      <c r="P214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82</v>
      </c>
      <c r="Y214" s="542">
        <f t="shared" si="15"/>
        <v>84</v>
      </c>
      <c r="Z214" s="36">
        <f t="shared" si="20"/>
        <v>0.22785</v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90.61</v>
      </c>
      <c r="BN214" s="64">
        <f t="shared" si="17"/>
        <v>92.820000000000007</v>
      </c>
      <c r="BO214" s="64">
        <f t="shared" si="18"/>
        <v>0.18772893772893776</v>
      </c>
      <c r="BP214" s="64">
        <f t="shared" si="19"/>
        <v>0.19230769230769232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213</v>
      </c>
      <c r="M215" s="33" t="s">
        <v>77</v>
      </c>
      <c r="N215" s="33"/>
      <c r="O215" s="32">
        <v>40</v>
      </c>
      <c r="P215" s="5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70</v>
      </c>
      <c r="Y215" s="542">
        <f t="shared" si="15"/>
        <v>72</v>
      </c>
      <c r="Z215" s="36">
        <f t="shared" si="20"/>
        <v>0.1953</v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77.525000000000006</v>
      </c>
      <c r="BN215" s="64">
        <f t="shared" si="17"/>
        <v>79.740000000000009</v>
      </c>
      <c r="BO215" s="64">
        <f t="shared" si="18"/>
        <v>0.16025641025641027</v>
      </c>
      <c r="BP215" s="64">
        <f t="shared" si="19"/>
        <v>0.16483516483516486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9" t="s">
        <v>71</v>
      </c>
      <c r="Q216" s="560"/>
      <c r="R216" s="560"/>
      <c r="S216" s="560"/>
      <c r="T216" s="560"/>
      <c r="U216" s="560"/>
      <c r="V216" s="56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187.71604938271605</v>
      </c>
      <c r="Y216" s="543">
        <f>IFERROR(Y207/H207,"0")+IFERROR(Y208/H208,"0")+IFERROR(Y209/H209,"0")+IFERROR(Y210/H210,"0")+IFERROR(Y211/H211,"0")+IFERROR(Y212/H212,"0")+IFERROR(Y213/H213,"0")+IFERROR(Y214/H214,"0")+IFERROR(Y215/H215,"0")</f>
        <v>192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1.33721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9" t="s">
        <v>71</v>
      </c>
      <c r="Q217" s="560"/>
      <c r="R217" s="560"/>
      <c r="S217" s="560"/>
      <c r="T217" s="560"/>
      <c r="U217" s="560"/>
      <c r="V217" s="561"/>
      <c r="W217" s="37" t="s">
        <v>69</v>
      </c>
      <c r="X217" s="543">
        <f>IFERROR(SUM(X207:X215),"0")</f>
        <v>485</v>
      </c>
      <c r="Y217" s="543">
        <f>IFERROR(SUM(Y207:Y215),"0")</f>
        <v>500.7</v>
      </c>
      <c r="Z217" s="37"/>
      <c r="AA217" s="544"/>
      <c r="AB217" s="544"/>
      <c r="AC217" s="544"/>
    </row>
    <row r="218" spans="1:68" ht="14.25" hidden="1" customHeight="1" x14ac:dyDescent="0.25">
      <c r="A218" s="565" t="s">
        <v>162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70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12</v>
      </c>
      <c r="Y219" s="542">
        <f>IFERROR(IF(X219="",0,CEILING((X219/$H219),1)*$H219),"")</f>
        <v>12</v>
      </c>
      <c r="Z219" s="36">
        <f>IFERROR(IF(Y219=0,"",ROUNDUP(Y219/H219,0)*0.00651),"")</f>
        <v>3.2550000000000003E-2</v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13.260000000000002</v>
      </c>
      <c r="BN219" s="64">
        <f>IFERROR(Y219*I219/H219,"0")</f>
        <v>13.260000000000002</v>
      </c>
      <c r="BO219" s="64">
        <f>IFERROR(1/J219*(X219/H219),"0")</f>
        <v>2.7472527472527476E-2</v>
      </c>
      <c r="BP219" s="64">
        <f>IFERROR(1/J219*(Y219/H219),"0")</f>
        <v>2.7472527472527476E-2</v>
      </c>
    </row>
    <row r="220" spans="1:68" ht="37.5" hidden="1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9" t="s">
        <v>71</v>
      </c>
      <c r="Q221" s="560"/>
      <c r="R221" s="560"/>
      <c r="S221" s="560"/>
      <c r="T221" s="560"/>
      <c r="U221" s="560"/>
      <c r="V221" s="561"/>
      <c r="W221" s="37" t="s">
        <v>72</v>
      </c>
      <c r="X221" s="543">
        <f>IFERROR(X219/H219,"0")+IFERROR(X220/H220,"0")</f>
        <v>5</v>
      </c>
      <c r="Y221" s="543">
        <f>IFERROR(Y219/H219,"0")+IFERROR(Y220/H220,"0")</f>
        <v>5</v>
      </c>
      <c r="Z221" s="543">
        <f>IFERROR(IF(Z219="",0,Z219),"0")+IFERROR(IF(Z220="",0,Z220),"0")</f>
        <v>3.2550000000000003E-2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9" t="s">
        <v>71</v>
      </c>
      <c r="Q222" s="560"/>
      <c r="R222" s="560"/>
      <c r="S222" s="560"/>
      <c r="T222" s="560"/>
      <c r="U222" s="560"/>
      <c r="V222" s="561"/>
      <c r="W222" s="37" t="s">
        <v>69</v>
      </c>
      <c r="X222" s="543">
        <f>IFERROR(SUM(X219:X220),"0")</f>
        <v>12</v>
      </c>
      <c r="Y222" s="543">
        <f>IFERROR(SUM(Y219:Y220),"0")</f>
        <v>12</v>
      </c>
      <c r="Z222" s="37"/>
      <c r="AA222" s="544"/>
      <c r="AB222" s="544"/>
      <c r="AC222" s="544"/>
    </row>
    <row r="223" spans="1:68" ht="16.5" hidden="1" customHeight="1" x14ac:dyDescent="0.25">
      <c r="A223" s="566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hidden="1" customHeight="1" x14ac:dyDescent="0.25">
      <c r="A224" s="565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hidden="1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9" t="s">
        <v>71</v>
      </c>
      <c r="Q235" s="560"/>
      <c r="R235" s="560"/>
      <c r="S235" s="560"/>
      <c r="T235" s="560"/>
      <c r="U235" s="560"/>
      <c r="V235" s="56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hidden="1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9" t="s">
        <v>71</v>
      </c>
      <c r="Q236" s="560"/>
      <c r="R236" s="560"/>
      <c r="S236" s="560"/>
      <c r="T236" s="560"/>
      <c r="U236" s="560"/>
      <c r="V236" s="561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hidden="1" customHeight="1" x14ac:dyDescent="0.25">
      <c r="A237" s="565" t="s">
        <v>134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hidden="1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9" t="s">
        <v>71</v>
      </c>
      <c r="Q239" s="560"/>
      <c r="R239" s="560"/>
      <c r="S239" s="560"/>
      <c r="T239" s="560"/>
      <c r="U239" s="560"/>
      <c r="V239" s="561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9" t="s">
        <v>71</v>
      </c>
      <c r="Q240" s="560"/>
      <c r="R240" s="560"/>
      <c r="S240" s="560"/>
      <c r="T240" s="560"/>
      <c r="U240" s="560"/>
      <c r="V240" s="561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65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hidden="1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9" t="s">
        <v>71</v>
      </c>
      <c r="Q243" s="560"/>
      <c r="R243" s="560"/>
      <c r="S243" s="560"/>
      <c r="T243" s="560"/>
      <c r="U243" s="560"/>
      <c r="V243" s="561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hidden="1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9" t="s">
        <v>71</v>
      </c>
      <c r="Q244" s="560"/>
      <c r="R244" s="560"/>
      <c r="S244" s="560"/>
      <c r="T244" s="560"/>
      <c r="U244" s="560"/>
      <c r="V244" s="561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hidden="1" customHeight="1" x14ac:dyDescent="0.25">
      <c r="A245" s="565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hidden="1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2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9" t="s">
        <v>71</v>
      </c>
      <c r="Q251" s="560"/>
      <c r="R251" s="560"/>
      <c r="S251" s="560"/>
      <c r="T251" s="560"/>
      <c r="U251" s="560"/>
      <c r="V251" s="561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hidden="1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9" t="s">
        <v>71</v>
      </c>
      <c r="Q252" s="560"/>
      <c r="R252" s="560"/>
      <c r="S252" s="560"/>
      <c r="T252" s="560"/>
      <c r="U252" s="560"/>
      <c r="V252" s="561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hidden="1" customHeight="1" x14ac:dyDescent="0.25">
      <c r="A253" s="566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hidden="1" customHeight="1" x14ac:dyDescent="0.25">
      <c r="A254" s="565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hidden="1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7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9" t="s">
        <v>71</v>
      </c>
      <c r="Q260" s="560"/>
      <c r="R260" s="560"/>
      <c r="S260" s="560"/>
      <c r="T260" s="560"/>
      <c r="U260" s="560"/>
      <c r="V260" s="56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9" t="s">
        <v>71</v>
      </c>
      <c r="Q261" s="560"/>
      <c r="R261" s="560"/>
      <c r="S261" s="560"/>
      <c r="T261" s="560"/>
      <c r="U261" s="560"/>
      <c r="V261" s="56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66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hidden="1" customHeight="1" x14ac:dyDescent="0.25">
      <c r="A263" s="565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hidden="1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75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9" t="s">
        <v>71</v>
      </c>
      <c r="Q268" s="560"/>
      <c r="R268" s="560"/>
      <c r="S268" s="560"/>
      <c r="T268" s="560"/>
      <c r="U268" s="560"/>
      <c r="V268" s="56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9" t="s">
        <v>71</v>
      </c>
      <c r="Q269" s="560"/>
      <c r="R269" s="560"/>
      <c r="S269" s="560"/>
      <c r="T269" s="560"/>
      <c r="U269" s="560"/>
      <c r="V269" s="56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66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hidden="1" customHeight="1" x14ac:dyDescent="0.25">
      <c r="A271" s="565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hidden="1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4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213</v>
      </c>
      <c r="M273" s="33" t="s">
        <v>84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12</v>
      </c>
      <c r="Y273" s="542">
        <f>IFERROR(IF(X273="",0,CEILING((X273/$H273),1)*$H273),"")</f>
        <v>12</v>
      </c>
      <c r="Z273" s="36">
        <f>IFERROR(IF(Y273=0,"",ROUNDUP(Y273/H273,0)*0.00651),"")</f>
        <v>3.2550000000000003E-2</v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13.260000000000002</v>
      </c>
      <c r="BN273" s="64">
        <f>IFERROR(Y273*I273/H273,"0")</f>
        <v>13.260000000000002</v>
      </c>
      <c r="BO273" s="64">
        <f>IFERROR(1/J273*(X273/H273),"0")</f>
        <v>2.7472527472527476E-2</v>
      </c>
      <c r="BP273" s="64">
        <f>IFERROR(1/J273*(Y273/H273),"0")</f>
        <v>2.7472527472527476E-2</v>
      </c>
    </row>
    <row r="274" spans="1:68" ht="27" hidden="1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213</v>
      </c>
      <c r="M274" s="33" t="s">
        <v>77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9" t="s">
        <v>71</v>
      </c>
      <c r="Q275" s="560"/>
      <c r="R275" s="560"/>
      <c r="S275" s="560"/>
      <c r="T275" s="560"/>
      <c r="U275" s="560"/>
      <c r="V275" s="561"/>
      <c r="W275" s="37" t="s">
        <v>72</v>
      </c>
      <c r="X275" s="543">
        <f>IFERROR(X272/H272,"0")+IFERROR(X273/H273,"0")+IFERROR(X274/H274,"0")</f>
        <v>5</v>
      </c>
      <c r="Y275" s="543">
        <f>IFERROR(Y272/H272,"0")+IFERROR(Y273/H273,"0")+IFERROR(Y274/H274,"0")</f>
        <v>5</v>
      </c>
      <c r="Z275" s="543">
        <f>IFERROR(IF(Z272="",0,Z272),"0")+IFERROR(IF(Z273="",0,Z273),"0")+IFERROR(IF(Z274="",0,Z274),"0")</f>
        <v>3.2550000000000003E-2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9" t="s">
        <v>71</v>
      </c>
      <c r="Q276" s="560"/>
      <c r="R276" s="560"/>
      <c r="S276" s="560"/>
      <c r="T276" s="560"/>
      <c r="U276" s="560"/>
      <c r="V276" s="561"/>
      <c r="W276" s="37" t="s">
        <v>69</v>
      </c>
      <c r="X276" s="543">
        <f>IFERROR(SUM(X272:X274),"0")</f>
        <v>12</v>
      </c>
      <c r="Y276" s="543">
        <f>IFERROR(SUM(Y272:Y274),"0")</f>
        <v>12</v>
      </c>
      <c r="Z276" s="37"/>
      <c r="AA276" s="544"/>
      <c r="AB276" s="544"/>
      <c r="AC276" s="544"/>
    </row>
    <row r="277" spans="1:68" ht="16.5" hidden="1" customHeight="1" x14ac:dyDescent="0.25">
      <c r="A277" s="566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hidden="1" customHeight="1" x14ac:dyDescent="0.25">
      <c r="A278" s="565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hidden="1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9" t="s">
        <v>71</v>
      </c>
      <c r="Q281" s="560"/>
      <c r="R281" s="560"/>
      <c r="S281" s="560"/>
      <c r="T281" s="560"/>
      <c r="U281" s="560"/>
      <c r="V281" s="561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9" t="s">
        <v>71</v>
      </c>
      <c r="Q282" s="560"/>
      <c r="R282" s="560"/>
      <c r="S282" s="560"/>
      <c r="T282" s="560"/>
      <c r="U282" s="560"/>
      <c r="V282" s="561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65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hidden="1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70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9" t="s">
        <v>71</v>
      </c>
      <c r="Q286" s="560"/>
      <c r="R286" s="560"/>
      <c r="S286" s="560"/>
      <c r="T286" s="560"/>
      <c r="U286" s="560"/>
      <c r="V286" s="561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hidden="1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59" t="s">
        <v>71</v>
      </c>
      <c r="Q287" s="560"/>
      <c r="R287" s="560"/>
      <c r="S287" s="560"/>
      <c r="T287" s="560"/>
      <c r="U287" s="560"/>
      <c r="V287" s="561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hidden="1" customHeight="1" x14ac:dyDescent="0.25">
      <c r="A288" s="566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hidden="1" customHeight="1" x14ac:dyDescent="0.25">
      <c r="A289" s="565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hidden="1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59" t="s">
        <v>71</v>
      </c>
      <c r="Q295" s="560"/>
      <c r="R295" s="560"/>
      <c r="S295" s="560"/>
      <c r="T295" s="560"/>
      <c r="U295" s="560"/>
      <c r="V295" s="561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9" t="s">
        <v>71</v>
      </c>
      <c r="Q296" s="560"/>
      <c r="R296" s="560"/>
      <c r="S296" s="560"/>
      <c r="T296" s="560"/>
      <c r="U296" s="560"/>
      <c r="V296" s="561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65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hidden="1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hidden="1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40</v>
      </c>
      <c r="P29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9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6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8</v>
      </c>
      <c r="Y304" s="542">
        <f t="shared" si="26"/>
        <v>9</v>
      </c>
      <c r="Z304" s="36">
        <f>IFERROR(IF(Y304=0,"",ROUNDUP(Y304/H304,0)*0.00651),"")</f>
        <v>3.2550000000000003E-2</v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9.0133333333333336</v>
      </c>
      <c r="BN304" s="64">
        <f t="shared" si="28"/>
        <v>10.139999999999999</v>
      </c>
      <c r="BO304" s="64">
        <f t="shared" si="29"/>
        <v>2.4420024420024423E-2</v>
      </c>
      <c r="BP304" s="64">
        <f t="shared" si="30"/>
        <v>2.7472527472527476E-2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59" t="s">
        <v>71</v>
      </c>
      <c r="Q305" s="560"/>
      <c r="R305" s="560"/>
      <c r="S305" s="560"/>
      <c r="T305" s="560"/>
      <c r="U305" s="560"/>
      <c r="V305" s="561"/>
      <c r="W305" s="37" t="s">
        <v>72</v>
      </c>
      <c r="X305" s="543">
        <f>IFERROR(X298/H298,"0")+IFERROR(X299/H299,"0")+IFERROR(X300/H300,"0")+IFERROR(X301/H301,"0")+IFERROR(X302/H302,"0")+IFERROR(X303/H303,"0")+IFERROR(X304/H304,"0")</f>
        <v>4.4444444444444446</v>
      </c>
      <c r="Y305" s="543">
        <f>IFERROR(Y298/H298,"0")+IFERROR(Y299/H299,"0")+IFERROR(Y300/H300,"0")+IFERROR(Y301/H301,"0")+IFERROR(Y302/H302,"0")+IFERROR(Y303/H303,"0")+IFERROR(Y304/H304,"0")</f>
        <v>5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3.2550000000000003E-2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9" t="s">
        <v>71</v>
      </c>
      <c r="Q306" s="560"/>
      <c r="R306" s="560"/>
      <c r="S306" s="560"/>
      <c r="T306" s="560"/>
      <c r="U306" s="560"/>
      <c r="V306" s="561"/>
      <c r="W306" s="37" t="s">
        <v>69</v>
      </c>
      <c r="X306" s="543">
        <f>IFERROR(SUM(X298:X304),"0")</f>
        <v>8</v>
      </c>
      <c r="Y306" s="543">
        <f>IFERROR(SUM(Y298:Y304),"0")</f>
        <v>9</v>
      </c>
      <c r="Z306" s="37"/>
      <c r="AA306" s="544"/>
      <c r="AB306" s="544"/>
      <c r="AC306" s="544"/>
    </row>
    <row r="307" spans="1:68" ht="14.25" hidden="1" customHeight="1" x14ac:dyDescent="0.25">
      <c r="A307" s="565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hidden="1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5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5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59" t="s">
        <v>71</v>
      </c>
      <c r="Q312" s="560"/>
      <c r="R312" s="560"/>
      <c r="S312" s="560"/>
      <c r="T312" s="560"/>
      <c r="U312" s="560"/>
      <c r="V312" s="561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9" t="s">
        <v>71</v>
      </c>
      <c r="Q313" s="560"/>
      <c r="R313" s="560"/>
      <c r="S313" s="560"/>
      <c r="T313" s="560"/>
      <c r="U313" s="560"/>
      <c r="V313" s="561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65" t="s">
        <v>162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hidden="1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501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60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/>
      <c r="M317" s="33" t="s">
        <v>84</v>
      </c>
      <c r="N317" s="33"/>
      <c r="O317" s="32">
        <v>30</v>
      </c>
      <c r="P317" s="83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25</v>
      </c>
      <c r="Y317" s="542">
        <f>IFERROR(IF(X317="",0,CEILING((X317/$H317),1)*$H317),"")</f>
        <v>25.200000000000003</v>
      </c>
      <c r="Z317" s="36">
        <f>IFERROR(IF(Y317=0,"",ROUNDUP(Y317/H317,0)*0.01898),"")</f>
        <v>5.6940000000000004E-2</v>
      </c>
      <c r="AA317" s="56"/>
      <c r="AB317" s="57"/>
      <c r="AC317" s="369" t="s">
        <v>507</v>
      </c>
      <c r="AG317" s="64"/>
      <c r="AJ317" s="68"/>
      <c r="AK317" s="68">
        <v>0</v>
      </c>
      <c r="BB317" s="370" t="s">
        <v>1</v>
      </c>
      <c r="BM317" s="64">
        <f>IFERROR(X317*I317/H317,"0")</f>
        <v>26.470238095238095</v>
      </c>
      <c r="BN317" s="64">
        <f>IFERROR(Y317*I317/H317,"0")</f>
        <v>26.682000000000002</v>
      </c>
      <c r="BO317" s="64">
        <f>IFERROR(1/J317*(X317/H317),"0")</f>
        <v>4.6502976190476192E-2</v>
      </c>
      <c r="BP317" s="64">
        <f>IFERROR(1/J317*(Y317/H317),"0")</f>
        <v>4.6875E-2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59" t="s">
        <v>71</v>
      </c>
      <c r="Q318" s="560"/>
      <c r="R318" s="560"/>
      <c r="S318" s="560"/>
      <c r="T318" s="560"/>
      <c r="U318" s="560"/>
      <c r="V318" s="561"/>
      <c r="W318" s="37" t="s">
        <v>72</v>
      </c>
      <c r="X318" s="543">
        <f>IFERROR(X315/H315,"0")+IFERROR(X316/H316,"0")+IFERROR(X317/H317,"0")</f>
        <v>2.9761904761904763</v>
      </c>
      <c r="Y318" s="543">
        <f>IFERROR(Y315/H315,"0")+IFERROR(Y316/H316,"0")+IFERROR(Y317/H317,"0")</f>
        <v>3</v>
      </c>
      <c r="Z318" s="543">
        <f>IFERROR(IF(Z315="",0,Z315),"0")+IFERROR(IF(Z316="",0,Z316),"0")+IFERROR(IF(Z317="",0,Z317),"0")</f>
        <v>5.6940000000000004E-2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9" t="s">
        <v>71</v>
      </c>
      <c r="Q319" s="560"/>
      <c r="R319" s="560"/>
      <c r="S319" s="560"/>
      <c r="T319" s="560"/>
      <c r="U319" s="560"/>
      <c r="V319" s="561"/>
      <c r="W319" s="37" t="s">
        <v>69</v>
      </c>
      <c r="X319" s="543">
        <f>IFERROR(SUM(X315:X317),"0")</f>
        <v>25</v>
      </c>
      <c r="Y319" s="543">
        <f>IFERROR(SUM(Y315:Y317),"0")</f>
        <v>25.200000000000003</v>
      </c>
      <c r="Z319" s="37"/>
      <c r="AA319" s="544"/>
      <c r="AB319" s="544"/>
      <c r="AC319" s="544"/>
    </row>
    <row r="320" spans="1:68" ht="14.25" hidden="1" customHeight="1" x14ac:dyDescent="0.25">
      <c r="A320" s="565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hidden="1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562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1</v>
      </c>
      <c r="Y323" s="542">
        <f>IFERROR(IF(X323="",0,CEILING((X323/$H323),1)*$H323),"")</f>
        <v>2.5499999999999998</v>
      </c>
      <c r="Z323" s="36">
        <f>IFERROR(IF(Y323=0,"",ROUNDUP(Y323/H323,0)*0.00651),"")</f>
        <v>6.5100000000000002E-3</v>
      </c>
      <c r="AA323" s="56"/>
      <c r="AB323" s="57"/>
      <c r="AC323" s="375" t="s">
        <v>516</v>
      </c>
      <c r="AG323" s="64"/>
      <c r="AJ323" s="68"/>
      <c r="AK323" s="68">
        <v>0</v>
      </c>
      <c r="BB323" s="376" t="s">
        <v>1</v>
      </c>
      <c r="BM323" s="64">
        <f>IFERROR(X323*I323/H323,"0")</f>
        <v>1.1588235294117648</v>
      </c>
      <c r="BN323" s="64">
        <f>IFERROR(Y323*I323/H323,"0")</f>
        <v>2.9550000000000001</v>
      </c>
      <c r="BO323" s="64">
        <f>IFERROR(1/J323*(X323/H323),"0")</f>
        <v>2.1547080370609788E-3</v>
      </c>
      <c r="BP323" s="64">
        <f>IFERROR(1/J323*(Y323/H323),"0")</f>
        <v>5.4945054945054949E-3</v>
      </c>
    </row>
    <row r="324" spans="1:68" ht="27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/>
      <c r="M324" s="33" t="s">
        <v>94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1</v>
      </c>
      <c r="Y324" s="542">
        <f>IFERROR(IF(X324="",0,CEILING((X324/$H324),1)*$H324),"")</f>
        <v>2.5499999999999998</v>
      </c>
      <c r="Z324" s="36">
        <f>IFERROR(IF(Y324=0,"",ROUNDUP(Y324/H324,0)*0.00651),"")</f>
        <v>6.5100000000000002E-3</v>
      </c>
      <c r="AA324" s="56"/>
      <c r="AB324" s="57"/>
      <c r="AC324" s="377" t="s">
        <v>510</v>
      </c>
      <c r="AG324" s="64"/>
      <c r="AJ324" s="68"/>
      <c r="AK324" s="68">
        <v>0</v>
      </c>
      <c r="BB324" s="378" t="s">
        <v>1</v>
      </c>
      <c r="BM324" s="64">
        <f>IFERROR(X324*I324/H324,"0")</f>
        <v>1.1294117647058823</v>
      </c>
      <c r="BN324" s="64">
        <f>IFERROR(Y324*I324/H324,"0")</f>
        <v>2.88</v>
      </c>
      <c r="BO324" s="64">
        <f>IFERROR(1/J324*(X324/H324),"0")</f>
        <v>2.1547080370609788E-3</v>
      </c>
      <c r="BP324" s="64">
        <f>IFERROR(1/J324*(Y324/H324),"0")</f>
        <v>5.4945054945054949E-3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59" t="s">
        <v>71</v>
      </c>
      <c r="Q325" s="560"/>
      <c r="R325" s="560"/>
      <c r="S325" s="560"/>
      <c r="T325" s="560"/>
      <c r="U325" s="560"/>
      <c r="V325" s="561"/>
      <c r="W325" s="37" t="s">
        <v>72</v>
      </c>
      <c r="X325" s="543">
        <f>IFERROR(X321/H321,"0")+IFERROR(X322/H322,"0")+IFERROR(X323/H323,"0")+IFERROR(X324/H324,"0")</f>
        <v>0.78431372549019618</v>
      </c>
      <c r="Y325" s="543">
        <f>IFERROR(Y321/H321,"0")+IFERROR(Y322/H322,"0")+IFERROR(Y323/H323,"0")+IFERROR(Y324/H324,"0")</f>
        <v>2</v>
      </c>
      <c r="Z325" s="543">
        <f>IFERROR(IF(Z321="",0,Z321),"0")+IFERROR(IF(Z322="",0,Z322),"0")+IFERROR(IF(Z323="",0,Z323),"0")+IFERROR(IF(Z324="",0,Z324),"0")</f>
        <v>1.302E-2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9" t="s">
        <v>71</v>
      </c>
      <c r="Q326" s="560"/>
      <c r="R326" s="560"/>
      <c r="S326" s="560"/>
      <c r="T326" s="560"/>
      <c r="U326" s="560"/>
      <c r="V326" s="561"/>
      <c r="W326" s="37" t="s">
        <v>69</v>
      </c>
      <c r="X326" s="543">
        <f>IFERROR(SUM(X321:X324),"0")</f>
        <v>2</v>
      </c>
      <c r="Y326" s="543">
        <f>IFERROR(SUM(Y321:Y324),"0")</f>
        <v>5.0999999999999996</v>
      </c>
      <c r="Z326" s="37"/>
      <c r="AA326" s="544"/>
      <c r="AB326" s="544"/>
      <c r="AC326" s="544"/>
    </row>
    <row r="327" spans="1:68" ht="14.25" hidden="1" customHeight="1" x14ac:dyDescent="0.25">
      <c r="A327" s="565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hidden="1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5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59" t="s">
        <v>71</v>
      </c>
      <c r="Q331" s="560"/>
      <c r="R331" s="560"/>
      <c r="S331" s="560"/>
      <c r="T331" s="560"/>
      <c r="U331" s="560"/>
      <c r="V331" s="561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9" t="s">
        <v>71</v>
      </c>
      <c r="Q332" s="560"/>
      <c r="R332" s="560"/>
      <c r="S332" s="560"/>
      <c r="T332" s="560"/>
      <c r="U332" s="560"/>
      <c r="V332" s="561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66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hidden="1" customHeight="1" x14ac:dyDescent="0.25">
      <c r="A334" s="565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hidden="1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80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/>
      <c r="M337" s="33" t="s">
        <v>84</v>
      </c>
      <c r="N337" s="33"/>
      <c r="O337" s="32">
        <v>40</v>
      </c>
      <c r="P337" s="64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/>
      <c r="AK337" s="68">
        <v>0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59" t="s">
        <v>71</v>
      </c>
      <c r="Q338" s="560"/>
      <c r="R338" s="560"/>
      <c r="S338" s="560"/>
      <c r="T338" s="560"/>
      <c r="U338" s="560"/>
      <c r="V338" s="561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hidden="1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9" t="s">
        <v>71</v>
      </c>
      <c r="Q339" s="560"/>
      <c r="R339" s="560"/>
      <c r="S339" s="560"/>
      <c r="T339" s="560"/>
      <c r="U339" s="560"/>
      <c r="V339" s="561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hidden="1" customHeight="1" x14ac:dyDescent="0.2">
      <c r="A340" s="667" t="s">
        <v>538</v>
      </c>
      <c r="B340" s="668"/>
      <c r="C340" s="668"/>
      <c r="D340" s="668"/>
      <c r="E340" s="668"/>
      <c r="F340" s="668"/>
      <c r="G340" s="668"/>
      <c r="H340" s="668"/>
      <c r="I340" s="668"/>
      <c r="J340" s="668"/>
      <c r="K340" s="668"/>
      <c r="L340" s="668"/>
      <c r="M340" s="668"/>
      <c r="N340" s="668"/>
      <c r="O340" s="668"/>
      <c r="P340" s="668"/>
      <c r="Q340" s="668"/>
      <c r="R340" s="668"/>
      <c r="S340" s="668"/>
      <c r="T340" s="668"/>
      <c r="U340" s="668"/>
      <c r="V340" s="668"/>
      <c r="W340" s="668"/>
      <c r="X340" s="668"/>
      <c r="Y340" s="668"/>
      <c r="Z340" s="668"/>
      <c r="AA340" s="48"/>
      <c r="AB340" s="48"/>
      <c r="AC340" s="48"/>
    </row>
    <row r="341" spans="1:68" ht="16.5" hidden="1" customHeight="1" x14ac:dyDescent="0.25">
      <c r="A341" s="566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hidden="1" customHeight="1" x14ac:dyDescent="0.25">
      <c r="A342" s="565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805</v>
      </c>
      <c r="Y343" s="542">
        <f t="shared" ref="Y343:Y349" si="31">IFERROR(IF(X343="",0,CEILING((X343/$H343),1)*$H343),"")</f>
        <v>810</v>
      </c>
      <c r="Z343" s="36">
        <f>IFERROR(IF(Y343=0,"",ROUNDUP(Y343/H343,0)*0.02175),"")</f>
        <v>1.1744999999999999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830.22333333333336</v>
      </c>
      <c r="BN343" s="64">
        <f t="shared" ref="BN343:BN349" si="33">IFERROR(Y343*I343/H343,"0")</f>
        <v>835.38</v>
      </c>
      <c r="BO343" s="64">
        <f t="shared" ref="BO343:BO349" si="34">IFERROR(1/J343*(X343/H343),"0")</f>
        <v>1.1180555555555554</v>
      </c>
      <c r="BP343" s="64">
        <f t="shared" ref="BP343:BP349" si="35">IFERROR(1/J343*(Y343/H343),"0")</f>
        <v>1.125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183</v>
      </c>
      <c r="Y344" s="542">
        <f t="shared" si="31"/>
        <v>195</v>
      </c>
      <c r="Z344" s="36">
        <f>IFERROR(IF(Y344=0,"",ROUNDUP(Y344/H344,0)*0.02175),"")</f>
        <v>0.28275</v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188.73400000000001</v>
      </c>
      <c r="BN344" s="64">
        <f t="shared" si="33"/>
        <v>201.11</v>
      </c>
      <c r="BO344" s="64">
        <f t="shared" si="34"/>
        <v>0.25416666666666665</v>
      </c>
      <c r="BP344" s="64">
        <f t="shared" si="35"/>
        <v>0.27083333333333331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600</v>
      </c>
      <c r="Y345" s="542">
        <f t="shared" si="31"/>
        <v>600</v>
      </c>
      <c r="Z345" s="36">
        <f>IFERROR(IF(Y345=0,"",ROUNDUP(Y345/H345,0)*0.02175),"")</f>
        <v>0.86999999999999988</v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618.79999999999995</v>
      </c>
      <c r="BN345" s="64">
        <f t="shared" si="33"/>
        <v>618.79999999999995</v>
      </c>
      <c r="BO345" s="64">
        <f t="shared" si="34"/>
        <v>0.83333333333333326</v>
      </c>
      <c r="BP345" s="64">
        <f t="shared" si="35"/>
        <v>0.83333333333333326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56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395</v>
      </c>
      <c r="Y346" s="542">
        <f t="shared" si="31"/>
        <v>405</v>
      </c>
      <c r="Z346" s="36">
        <f>IFERROR(IF(Y346=0,"",ROUNDUP(Y346/H346,0)*0.02175),"")</f>
        <v>0.58724999999999994</v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407.37666666666672</v>
      </c>
      <c r="BN346" s="64">
        <f t="shared" si="33"/>
        <v>417.69</v>
      </c>
      <c r="BO346" s="64">
        <f t="shared" si="34"/>
        <v>0.54861111111111105</v>
      </c>
      <c r="BP346" s="64">
        <f t="shared" si="35"/>
        <v>0.5625</v>
      </c>
    </row>
    <row r="347" spans="1:68" ht="27" hidden="1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hidden="1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59" t="s">
        <v>71</v>
      </c>
      <c r="Q350" s="560"/>
      <c r="R350" s="560"/>
      <c r="S350" s="560"/>
      <c r="T350" s="560"/>
      <c r="U350" s="560"/>
      <c r="V350" s="56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132.19999999999999</v>
      </c>
      <c r="Y350" s="543">
        <f>IFERROR(Y343/H343,"0")+IFERROR(Y344/H344,"0")+IFERROR(Y345/H345,"0")+IFERROR(Y346/H346,"0")+IFERROR(Y347/H347,"0")+IFERROR(Y348/H348,"0")+IFERROR(Y349/H349,"0")</f>
        <v>134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2.9144999999999999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9" t="s">
        <v>71</v>
      </c>
      <c r="Q351" s="560"/>
      <c r="R351" s="560"/>
      <c r="S351" s="560"/>
      <c r="T351" s="560"/>
      <c r="U351" s="560"/>
      <c r="V351" s="561"/>
      <c r="W351" s="37" t="s">
        <v>69</v>
      </c>
      <c r="X351" s="543">
        <f>IFERROR(SUM(X343:X349),"0")</f>
        <v>1983</v>
      </c>
      <c r="Y351" s="543">
        <f>IFERROR(SUM(Y343:Y349),"0")</f>
        <v>2010</v>
      </c>
      <c r="Z351" s="37"/>
      <c r="AA351" s="544"/>
      <c r="AB351" s="544"/>
      <c r="AC351" s="544"/>
    </row>
    <row r="352" spans="1:68" ht="14.25" hidden="1" customHeight="1" x14ac:dyDescent="0.25">
      <c r="A352" s="565" t="s">
        <v>134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891</v>
      </c>
      <c r="Y353" s="542">
        <f>IFERROR(IF(X353="",0,CEILING((X353/$H353),1)*$H353),"")</f>
        <v>900</v>
      </c>
      <c r="Z353" s="36">
        <f>IFERROR(IF(Y353=0,"",ROUNDUP(Y353/H353,0)*0.02175),"")</f>
        <v>1.3049999999999999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918.91800000000001</v>
      </c>
      <c r="BN353" s="64">
        <f>IFERROR(Y353*I353/H353,"0")</f>
        <v>928.2</v>
      </c>
      <c r="BO353" s="64">
        <f>IFERROR(1/J353*(X353/H353),"0")</f>
        <v>1.2374999999999998</v>
      </c>
      <c r="BP353" s="64">
        <f>IFERROR(1/J353*(Y353/H353),"0")</f>
        <v>1.25</v>
      </c>
    </row>
    <row r="354" spans="1:68" ht="16.5" hidden="1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59" t="s">
        <v>71</v>
      </c>
      <c r="Q355" s="560"/>
      <c r="R355" s="560"/>
      <c r="S355" s="560"/>
      <c r="T355" s="560"/>
      <c r="U355" s="560"/>
      <c r="V355" s="561"/>
      <c r="W355" s="37" t="s">
        <v>72</v>
      </c>
      <c r="X355" s="543">
        <f>IFERROR(X353/H353,"0")+IFERROR(X354/H354,"0")</f>
        <v>59.4</v>
      </c>
      <c r="Y355" s="543">
        <f>IFERROR(Y353/H353,"0")+IFERROR(Y354/H354,"0")</f>
        <v>60</v>
      </c>
      <c r="Z355" s="543">
        <f>IFERROR(IF(Z353="",0,Z353),"0")+IFERROR(IF(Z354="",0,Z354),"0")</f>
        <v>1.3049999999999999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9" t="s">
        <v>71</v>
      </c>
      <c r="Q356" s="560"/>
      <c r="R356" s="560"/>
      <c r="S356" s="560"/>
      <c r="T356" s="560"/>
      <c r="U356" s="560"/>
      <c r="V356" s="561"/>
      <c r="W356" s="37" t="s">
        <v>69</v>
      </c>
      <c r="X356" s="543">
        <f>IFERROR(SUM(X353:X354),"0")</f>
        <v>891</v>
      </c>
      <c r="Y356" s="543">
        <f>IFERROR(SUM(Y353:Y354),"0")</f>
        <v>900</v>
      </c>
      <c r="Z356" s="37"/>
      <c r="AA356" s="544"/>
      <c r="AB356" s="544"/>
      <c r="AC356" s="544"/>
    </row>
    <row r="357" spans="1:68" ht="14.25" hidden="1" customHeight="1" x14ac:dyDescent="0.25">
      <c r="A357" s="565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hidden="1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4</v>
      </c>
      <c r="Y359" s="542">
        <f>IFERROR(IF(X359="",0,CEILING((X359/$H359),1)*$H359),"")</f>
        <v>9</v>
      </c>
      <c r="Z359" s="36">
        <f>IFERROR(IF(Y359=0,"",ROUNDUP(Y359/H359,0)*0.01898),"")</f>
        <v>1.898E-2</v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4.2195555555555551</v>
      </c>
      <c r="BN359" s="64">
        <f>IFERROR(Y359*I359/H359,"0")</f>
        <v>9.4939999999999998</v>
      </c>
      <c r="BO359" s="64">
        <f>IFERROR(1/J359*(X359/H359),"0")</f>
        <v>6.9444444444444441E-3</v>
      </c>
      <c r="BP359" s="64">
        <f>IFERROR(1/J359*(Y359/H359),"0")</f>
        <v>1.5625E-2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59" t="s">
        <v>71</v>
      </c>
      <c r="Q360" s="560"/>
      <c r="R360" s="560"/>
      <c r="S360" s="560"/>
      <c r="T360" s="560"/>
      <c r="U360" s="560"/>
      <c r="V360" s="561"/>
      <c r="W360" s="37" t="s">
        <v>72</v>
      </c>
      <c r="X360" s="543">
        <f>IFERROR(X358/H358,"0")+IFERROR(X359/H359,"0")</f>
        <v>0.44444444444444442</v>
      </c>
      <c r="Y360" s="543">
        <f>IFERROR(Y358/H358,"0")+IFERROR(Y359/H359,"0")</f>
        <v>1</v>
      </c>
      <c r="Z360" s="543">
        <f>IFERROR(IF(Z358="",0,Z358),"0")+IFERROR(IF(Z359="",0,Z359),"0")</f>
        <v>1.898E-2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9" t="s">
        <v>71</v>
      </c>
      <c r="Q361" s="560"/>
      <c r="R361" s="560"/>
      <c r="S361" s="560"/>
      <c r="T361" s="560"/>
      <c r="U361" s="560"/>
      <c r="V361" s="561"/>
      <c r="W361" s="37" t="s">
        <v>69</v>
      </c>
      <c r="X361" s="543">
        <f>IFERROR(SUM(X358:X359),"0")</f>
        <v>4</v>
      </c>
      <c r="Y361" s="543">
        <f>IFERROR(SUM(Y358:Y359),"0")</f>
        <v>9</v>
      </c>
      <c r="Z361" s="37"/>
      <c r="AA361" s="544"/>
      <c r="AB361" s="544"/>
      <c r="AC361" s="544"/>
    </row>
    <row r="362" spans="1:68" ht="14.25" hidden="1" customHeight="1" x14ac:dyDescent="0.25">
      <c r="A362" s="565" t="s">
        <v>162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hidden="1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59" t="s">
        <v>71</v>
      </c>
      <c r="Q364" s="560"/>
      <c r="R364" s="560"/>
      <c r="S364" s="560"/>
      <c r="T364" s="560"/>
      <c r="U364" s="560"/>
      <c r="V364" s="561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9" t="s">
        <v>71</v>
      </c>
      <c r="Q365" s="560"/>
      <c r="R365" s="560"/>
      <c r="S365" s="560"/>
      <c r="T365" s="560"/>
      <c r="U365" s="560"/>
      <c r="V365" s="561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66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hidden="1" customHeight="1" x14ac:dyDescent="0.25">
      <c r="A367" s="565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hidden="1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/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59" t="s">
        <v>71</v>
      </c>
      <c r="Q370" s="560"/>
      <c r="R370" s="560"/>
      <c r="S370" s="560"/>
      <c r="T370" s="560"/>
      <c r="U370" s="560"/>
      <c r="V370" s="56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9" t="s">
        <v>71</v>
      </c>
      <c r="Q371" s="560"/>
      <c r="R371" s="560"/>
      <c r="S371" s="560"/>
      <c r="T371" s="560"/>
      <c r="U371" s="560"/>
      <c r="V371" s="56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65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hidden="1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6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59" t="s">
        <v>71</v>
      </c>
      <c r="Q375" s="560"/>
      <c r="R375" s="560"/>
      <c r="S375" s="560"/>
      <c r="T375" s="560"/>
      <c r="U375" s="560"/>
      <c r="V375" s="56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9" t="s">
        <v>71</v>
      </c>
      <c r="Q376" s="560"/>
      <c r="R376" s="560"/>
      <c r="S376" s="560"/>
      <c r="T376" s="560"/>
      <c r="U376" s="560"/>
      <c r="V376" s="56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65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273</v>
      </c>
      <c r="Y378" s="542">
        <f>IFERROR(IF(X378="",0,CEILING((X378/$H378),1)*$H378),"")</f>
        <v>279</v>
      </c>
      <c r="Z378" s="36">
        <f>IFERROR(IF(Y378=0,"",ROUNDUP(Y378/H378,0)*0.01898),"")</f>
        <v>0.58838000000000001</v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287.98466666666667</v>
      </c>
      <c r="BN378" s="64">
        <f>IFERROR(Y378*I378/H378,"0")</f>
        <v>294.31400000000002</v>
      </c>
      <c r="BO378" s="64">
        <f>IFERROR(1/J378*(X378/H378),"0")</f>
        <v>0.47395833333333331</v>
      </c>
      <c r="BP378" s="64">
        <f>IFERROR(1/J378*(Y378/H378),"0")</f>
        <v>0.484375</v>
      </c>
    </row>
    <row r="379" spans="1:68" ht="27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6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29</v>
      </c>
      <c r="Y379" s="542">
        <f>IFERROR(IF(X379="",0,CEILING((X379/$H379),1)*$H379),"")</f>
        <v>31.2</v>
      </c>
      <c r="Z379" s="36">
        <f>IFERROR(IF(Y379=0,"",ROUNDUP(Y379/H379,0)*0.00651),"")</f>
        <v>8.4629999999999997E-2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>IFERROR(X379*I379/H379,"0")</f>
        <v>32.190000000000005</v>
      </c>
      <c r="BN379" s="64">
        <f>IFERROR(Y379*I379/H379,"0")</f>
        <v>34.631999999999998</v>
      </c>
      <c r="BO379" s="64">
        <f>IFERROR(1/J379*(X379/H379),"0")</f>
        <v>6.6391941391941406E-2</v>
      </c>
      <c r="BP379" s="64">
        <f>IFERROR(1/J379*(Y379/H379),"0")</f>
        <v>7.1428571428571438E-2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59" t="s">
        <v>71</v>
      </c>
      <c r="Q380" s="560"/>
      <c r="R380" s="560"/>
      <c r="S380" s="560"/>
      <c r="T380" s="560"/>
      <c r="U380" s="560"/>
      <c r="V380" s="561"/>
      <c r="W380" s="37" t="s">
        <v>72</v>
      </c>
      <c r="X380" s="543">
        <f>IFERROR(X378/H378,"0")+IFERROR(X379/H379,"0")</f>
        <v>42.416666666666664</v>
      </c>
      <c r="Y380" s="543">
        <f>IFERROR(Y378/H378,"0")+IFERROR(Y379/H379,"0")</f>
        <v>44</v>
      </c>
      <c r="Z380" s="543">
        <f>IFERROR(IF(Z378="",0,Z378),"0")+IFERROR(IF(Z379="",0,Z379),"0")</f>
        <v>0.67301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9" t="s">
        <v>71</v>
      </c>
      <c r="Q381" s="560"/>
      <c r="R381" s="560"/>
      <c r="S381" s="560"/>
      <c r="T381" s="560"/>
      <c r="U381" s="560"/>
      <c r="V381" s="561"/>
      <c r="W381" s="37" t="s">
        <v>69</v>
      </c>
      <c r="X381" s="543">
        <f>IFERROR(SUM(X378:X379),"0")</f>
        <v>302</v>
      </c>
      <c r="Y381" s="543">
        <f>IFERROR(SUM(Y378:Y379),"0")</f>
        <v>310.2</v>
      </c>
      <c r="Z381" s="37"/>
      <c r="AA381" s="544"/>
      <c r="AB381" s="544"/>
      <c r="AC381" s="544"/>
    </row>
    <row r="382" spans="1:68" ht="27.75" hidden="1" customHeight="1" x14ac:dyDescent="0.2">
      <c r="A382" s="667" t="s">
        <v>590</v>
      </c>
      <c r="B382" s="668"/>
      <c r="C382" s="668"/>
      <c r="D382" s="668"/>
      <c r="E382" s="668"/>
      <c r="F382" s="668"/>
      <c r="G382" s="668"/>
      <c r="H382" s="668"/>
      <c r="I382" s="668"/>
      <c r="J382" s="668"/>
      <c r="K382" s="668"/>
      <c r="L382" s="668"/>
      <c r="M382" s="668"/>
      <c r="N382" s="668"/>
      <c r="O382" s="668"/>
      <c r="P382" s="668"/>
      <c r="Q382" s="668"/>
      <c r="R382" s="668"/>
      <c r="S382" s="668"/>
      <c r="T382" s="668"/>
      <c r="U382" s="668"/>
      <c r="V382" s="668"/>
      <c r="W382" s="668"/>
      <c r="X382" s="668"/>
      <c r="Y382" s="668"/>
      <c r="Z382" s="668"/>
      <c r="AA382" s="48"/>
      <c r="AB382" s="48"/>
      <c r="AC382" s="48"/>
    </row>
    <row r="383" spans="1:68" ht="16.5" hidden="1" customHeight="1" x14ac:dyDescent="0.25">
      <c r="A383" s="566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hidden="1" customHeight="1" x14ac:dyDescent="0.25">
      <c r="A384" s="565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196</v>
      </c>
      <c r="M385" s="33" t="s">
        <v>68</v>
      </c>
      <c r="N385" s="33"/>
      <c r="O385" s="32">
        <v>50</v>
      </c>
      <c r="P385" s="84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69</v>
      </c>
      <c r="Y385" s="542">
        <f t="shared" ref="Y385:Y393" si="36">IFERROR(IF(X385="",0,CEILING((X385/$H385),1)*$H385),"")</f>
        <v>70.2</v>
      </c>
      <c r="Z385" s="36">
        <f>IFERROR(IF(Y385=0,"",ROUNDUP(Y385/H385,0)*0.00902),"")</f>
        <v>0.11726</v>
      </c>
      <c r="AA385" s="56"/>
      <c r="AB385" s="57"/>
      <c r="AC385" s="427" t="s">
        <v>594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71.427777777777763</v>
      </c>
      <c r="BN385" s="64">
        <f t="shared" ref="BN385:BN393" si="38">IFERROR(Y385*I385/H385,"0")</f>
        <v>72.67</v>
      </c>
      <c r="BO385" s="64">
        <f t="shared" ref="BO385:BO393" si="39">IFERROR(1/J385*(X385/H385),"0")</f>
        <v>9.6801346801346791E-2</v>
      </c>
      <c r="BP385" s="64">
        <f t="shared" ref="BP385:BP393" si="40">IFERROR(1/J385*(Y385/H385),"0")</f>
        <v>9.8484848484848481E-2</v>
      </c>
    </row>
    <row r="386" spans="1:68" ht="27" hidden="1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8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59" t="s">
        <v>71</v>
      </c>
      <c r="Q394" s="560"/>
      <c r="R394" s="560"/>
      <c r="S394" s="560"/>
      <c r="T394" s="560"/>
      <c r="U394" s="560"/>
      <c r="V394" s="56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12.777777777777777</v>
      </c>
      <c r="Y394" s="543">
        <f>IFERROR(Y385/H385,"0")+IFERROR(Y386/H386,"0")+IFERROR(Y387/H387,"0")+IFERROR(Y388/H388,"0")+IFERROR(Y389/H389,"0")+IFERROR(Y390/H390,"0")+IFERROR(Y391/H391,"0")+IFERROR(Y392/H392,"0")+IFERROR(Y393/H393,"0")</f>
        <v>13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0.11726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9" t="s">
        <v>71</v>
      </c>
      <c r="Q395" s="560"/>
      <c r="R395" s="560"/>
      <c r="S395" s="560"/>
      <c r="T395" s="560"/>
      <c r="U395" s="560"/>
      <c r="V395" s="561"/>
      <c r="W395" s="37" t="s">
        <v>69</v>
      </c>
      <c r="X395" s="543">
        <f>IFERROR(SUM(X385:X393),"0")</f>
        <v>69</v>
      </c>
      <c r="Y395" s="543">
        <f>IFERROR(SUM(Y385:Y393),"0")</f>
        <v>70.2</v>
      </c>
      <c r="Z395" s="37"/>
      <c r="AA395" s="544"/>
      <c r="AB395" s="544"/>
      <c r="AC395" s="544"/>
    </row>
    <row r="396" spans="1:68" ht="14.25" hidden="1" customHeight="1" x14ac:dyDescent="0.25">
      <c r="A396" s="565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hidden="1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5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59" t="s">
        <v>71</v>
      </c>
      <c r="Q399" s="560"/>
      <c r="R399" s="560"/>
      <c r="S399" s="560"/>
      <c r="T399" s="560"/>
      <c r="U399" s="560"/>
      <c r="V399" s="56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9" t="s">
        <v>71</v>
      </c>
      <c r="Q400" s="560"/>
      <c r="R400" s="560"/>
      <c r="S400" s="560"/>
      <c r="T400" s="560"/>
      <c r="U400" s="560"/>
      <c r="V400" s="56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6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hidden="1" customHeight="1" x14ac:dyDescent="0.25">
      <c r="A402" s="565" t="s">
        <v>134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hidden="1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59" t="s">
        <v>71</v>
      </c>
      <c r="Q404" s="560"/>
      <c r="R404" s="560"/>
      <c r="S404" s="560"/>
      <c r="T404" s="560"/>
      <c r="U404" s="560"/>
      <c r="V404" s="56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9" t="s">
        <v>71</v>
      </c>
      <c r="Q405" s="560"/>
      <c r="R405" s="560"/>
      <c r="S405" s="560"/>
      <c r="T405" s="560"/>
      <c r="U405" s="560"/>
      <c r="V405" s="56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5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196</v>
      </c>
      <c r="M407" s="33" t="s">
        <v>104</v>
      </c>
      <c r="N407" s="33"/>
      <c r="O407" s="32">
        <v>50</v>
      </c>
      <c r="P407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123</v>
      </c>
      <c r="Y407" s="542">
        <f>IFERROR(IF(X407="",0,CEILING((X407/$H407),1)*$H407),"")</f>
        <v>124.2</v>
      </c>
      <c r="Z407" s="36">
        <f>IFERROR(IF(Y407=0,"",ROUNDUP(Y407/H407,0)*0.00902),"")</f>
        <v>0.20746000000000001</v>
      </c>
      <c r="AA407" s="56"/>
      <c r="AB407" s="57"/>
      <c r="AC407" s="451" t="s">
        <v>628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127.32777777777775</v>
      </c>
      <c r="BN407" s="64">
        <f>IFERROR(Y407*I407/H407,"0")</f>
        <v>128.57</v>
      </c>
      <c r="BO407" s="64">
        <f>IFERROR(1/J407*(X407/H407),"0")</f>
        <v>0.17255892255892255</v>
      </c>
      <c r="BP407" s="64">
        <f>IFERROR(1/J407*(Y407/H407),"0")</f>
        <v>0.17424242424242425</v>
      </c>
    </row>
    <row r="408" spans="1:68" ht="27" hidden="1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5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59" t="s">
        <v>71</v>
      </c>
      <c r="Q411" s="560"/>
      <c r="R411" s="560"/>
      <c r="S411" s="560"/>
      <c r="T411" s="560"/>
      <c r="U411" s="560"/>
      <c r="V411" s="561"/>
      <c r="W411" s="37" t="s">
        <v>72</v>
      </c>
      <c r="X411" s="543">
        <f>IFERROR(X407/H407,"0")+IFERROR(X408/H408,"0")+IFERROR(X409/H409,"0")+IFERROR(X410/H410,"0")</f>
        <v>22.777777777777775</v>
      </c>
      <c r="Y411" s="543">
        <f>IFERROR(Y407/H407,"0")+IFERROR(Y408/H408,"0")+IFERROR(Y409/H409,"0")+IFERROR(Y410/H410,"0")</f>
        <v>23</v>
      </c>
      <c r="Z411" s="543">
        <f>IFERROR(IF(Z407="",0,Z407),"0")+IFERROR(IF(Z408="",0,Z408),"0")+IFERROR(IF(Z409="",0,Z409),"0")+IFERROR(IF(Z410="",0,Z410),"0")</f>
        <v>0.20746000000000001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9" t="s">
        <v>71</v>
      </c>
      <c r="Q412" s="560"/>
      <c r="R412" s="560"/>
      <c r="S412" s="560"/>
      <c r="T412" s="560"/>
      <c r="U412" s="560"/>
      <c r="V412" s="561"/>
      <c r="W412" s="37" t="s">
        <v>69</v>
      </c>
      <c r="X412" s="543">
        <f>IFERROR(SUM(X407:X410),"0")</f>
        <v>123</v>
      </c>
      <c r="Y412" s="543">
        <f>IFERROR(SUM(Y407:Y410),"0")</f>
        <v>124.2</v>
      </c>
      <c r="Z412" s="37"/>
      <c r="AA412" s="544"/>
      <c r="AB412" s="544"/>
      <c r="AC412" s="544"/>
    </row>
    <row r="413" spans="1:68" ht="16.5" hidden="1" customHeight="1" x14ac:dyDescent="0.25">
      <c r="A413" s="566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hidden="1" customHeight="1" x14ac:dyDescent="0.25">
      <c r="A414" s="565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hidden="1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59" t="s">
        <v>71</v>
      </c>
      <c r="Q416" s="560"/>
      <c r="R416" s="560"/>
      <c r="S416" s="560"/>
      <c r="T416" s="560"/>
      <c r="U416" s="560"/>
      <c r="V416" s="56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9" t="s">
        <v>71</v>
      </c>
      <c r="Q417" s="560"/>
      <c r="R417" s="560"/>
      <c r="S417" s="560"/>
      <c r="T417" s="560"/>
      <c r="U417" s="560"/>
      <c r="V417" s="56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67" t="s">
        <v>641</v>
      </c>
      <c r="B418" s="668"/>
      <c r="C418" s="668"/>
      <c r="D418" s="668"/>
      <c r="E418" s="668"/>
      <c r="F418" s="668"/>
      <c r="G418" s="668"/>
      <c r="H418" s="668"/>
      <c r="I418" s="668"/>
      <c r="J418" s="668"/>
      <c r="K418" s="668"/>
      <c r="L418" s="668"/>
      <c r="M418" s="668"/>
      <c r="N418" s="668"/>
      <c r="O418" s="668"/>
      <c r="P418" s="668"/>
      <c r="Q418" s="668"/>
      <c r="R418" s="668"/>
      <c r="S418" s="668"/>
      <c r="T418" s="668"/>
      <c r="U418" s="668"/>
      <c r="V418" s="668"/>
      <c r="W418" s="668"/>
      <c r="X418" s="668"/>
      <c r="Y418" s="668"/>
      <c r="Z418" s="668"/>
      <c r="AA418" s="48"/>
      <c r="AB418" s="48"/>
      <c r="AC418" s="48"/>
    </row>
    <row r="419" spans="1:68" ht="16.5" hidden="1" customHeight="1" x14ac:dyDescent="0.25">
      <c r="A419" s="566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hidden="1" customHeight="1" x14ac:dyDescent="0.25">
      <c r="A420" s="565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5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55</v>
      </c>
      <c r="Y421" s="542">
        <f t="shared" ref="Y421:Y431" si="42">IFERROR(IF(X421="",0,CEILING((X421/$H421),1)*$H421),"")</f>
        <v>58.080000000000005</v>
      </c>
      <c r="Z421" s="36">
        <f t="shared" ref="Z421:Z426" si="43">IFERROR(IF(Y421=0,"",ROUNDUP(Y421/H421,0)*0.01196),"")</f>
        <v>0.13156000000000001</v>
      </c>
      <c r="AA421" s="56"/>
      <c r="AB421" s="57"/>
      <c r="AC421" s="461" t="s">
        <v>105</v>
      </c>
      <c r="AG421" s="64"/>
      <c r="AJ421" s="68"/>
      <c r="AK421" s="68">
        <v>0</v>
      </c>
      <c r="BB421" s="462" t="s">
        <v>1</v>
      </c>
      <c r="BM421" s="64">
        <f t="shared" ref="BM421:BM431" si="44">IFERROR(X421*I421/H421,"0")</f>
        <v>58.645833333333329</v>
      </c>
      <c r="BN421" s="64">
        <f t="shared" ref="BN421:BN431" si="45">IFERROR(Y421*I421/H421,"0")</f>
        <v>61.93</v>
      </c>
      <c r="BO421" s="64">
        <f t="shared" ref="BO421:BO431" si="46">IFERROR(1/J421*(X421/H421),"0")</f>
        <v>0.10016025641025642</v>
      </c>
      <c r="BP421" s="64">
        <f t="shared" ref="BP421:BP431" si="47">IFERROR(1/J421*(Y421/H421),"0")</f>
        <v>0.10576923076923078</v>
      </c>
    </row>
    <row r="422" spans="1:68" ht="27" hidden="1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646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50</v>
      </c>
      <c r="Y423" s="542">
        <f t="shared" si="42"/>
        <v>52.800000000000004</v>
      </c>
      <c r="Z423" s="36">
        <f t="shared" si="43"/>
        <v>0.1196</v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53.314393939393938</v>
      </c>
      <c r="BN423" s="64">
        <f t="shared" si="45"/>
        <v>56.3</v>
      </c>
      <c r="BO423" s="64">
        <f t="shared" si="46"/>
        <v>9.1054778554778545E-2</v>
      </c>
      <c r="BP423" s="64">
        <f t="shared" si="47"/>
        <v>9.6153846153846159E-2</v>
      </c>
    </row>
    <row r="424" spans="1:68" ht="27" hidden="1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185</v>
      </c>
      <c r="Y426" s="542">
        <f t="shared" si="42"/>
        <v>190.08</v>
      </c>
      <c r="Z426" s="36">
        <f t="shared" si="43"/>
        <v>0.43056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197.26325757575756</v>
      </c>
      <c r="BN426" s="64">
        <f t="shared" si="45"/>
        <v>202.67999999999998</v>
      </c>
      <c r="BO426" s="64">
        <f t="shared" si="46"/>
        <v>0.3369026806526807</v>
      </c>
      <c r="BP426" s="64">
        <f t="shared" si="47"/>
        <v>0.34615384615384615</v>
      </c>
    </row>
    <row r="427" spans="1:68" ht="27" hidden="1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7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59" t="s">
        <v>71</v>
      </c>
      <c r="Q432" s="560"/>
      <c r="R432" s="560"/>
      <c r="S432" s="560"/>
      <c r="T432" s="560"/>
      <c r="U432" s="560"/>
      <c r="V432" s="56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54.924242424242422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57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0.68171999999999999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9" t="s">
        <v>71</v>
      </c>
      <c r="Q433" s="560"/>
      <c r="R433" s="560"/>
      <c r="S433" s="560"/>
      <c r="T433" s="560"/>
      <c r="U433" s="560"/>
      <c r="V433" s="561"/>
      <c r="W433" s="37" t="s">
        <v>69</v>
      </c>
      <c r="X433" s="543">
        <f>IFERROR(SUM(X421:X431),"0")</f>
        <v>290</v>
      </c>
      <c r="Y433" s="543">
        <f>IFERROR(SUM(Y421:Y431),"0")</f>
        <v>300.96000000000004</v>
      </c>
      <c r="Z433" s="37"/>
      <c r="AA433" s="544"/>
      <c r="AB433" s="544"/>
      <c r="AC433" s="544"/>
    </row>
    <row r="434" spans="1:68" ht="14.25" hidden="1" customHeight="1" x14ac:dyDescent="0.25">
      <c r="A434" s="565" t="s">
        <v>134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236</v>
      </c>
      <c r="Y435" s="542">
        <f>IFERROR(IF(X435="",0,CEILING((X435/$H435),1)*$H435),"")</f>
        <v>237.60000000000002</v>
      </c>
      <c r="Z435" s="36">
        <f>IFERROR(IF(Y435=0,"",ROUNDUP(Y435/H435,0)*0.01196),"")</f>
        <v>0.53820000000000001</v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251.64393939393941</v>
      </c>
      <c r="BN435" s="64">
        <f>IFERROR(Y435*I435/H435,"0")</f>
        <v>253.35</v>
      </c>
      <c r="BO435" s="64">
        <f>IFERROR(1/J435*(X435/H435),"0")</f>
        <v>0.42977855477855481</v>
      </c>
      <c r="BP435" s="64">
        <f>IFERROR(1/J435*(Y435/H435),"0")</f>
        <v>0.43269230769230771</v>
      </c>
    </row>
    <row r="436" spans="1:68" ht="16.5" hidden="1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59" t="s">
        <v>71</v>
      </c>
      <c r="Q438" s="560"/>
      <c r="R438" s="560"/>
      <c r="S438" s="560"/>
      <c r="T438" s="560"/>
      <c r="U438" s="560"/>
      <c r="V438" s="561"/>
      <c r="W438" s="37" t="s">
        <v>72</v>
      </c>
      <c r="X438" s="543">
        <f>IFERROR(X435/H435,"0")+IFERROR(X436/H436,"0")+IFERROR(X437/H437,"0")</f>
        <v>44.696969696969695</v>
      </c>
      <c r="Y438" s="543">
        <f>IFERROR(Y435/H435,"0")+IFERROR(Y436/H436,"0")+IFERROR(Y437/H437,"0")</f>
        <v>45</v>
      </c>
      <c r="Z438" s="543">
        <f>IFERROR(IF(Z435="",0,Z435),"0")+IFERROR(IF(Z436="",0,Z436),"0")+IFERROR(IF(Z437="",0,Z437),"0")</f>
        <v>0.53820000000000001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9" t="s">
        <v>71</v>
      </c>
      <c r="Q439" s="560"/>
      <c r="R439" s="560"/>
      <c r="S439" s="560"/>
      <c r="T439" s="560"/>
      <c r="U439" s="560"/>
      <c r="V439" s="561"/>
      <c r="W439" s="37" t="s">
        <v>69</v>
      </c>
      <c r="X439" s="543">
        <f>IFERROR(SUM(X435:X437),"0")</f>
        <v>236</v>
      </c>
      <c r="Y439" s="543">
        <f>IFERROR(SUM(Y435:Y437),"0")</f>
        <v>237.60000000000002</v>
      </c>
      <c r="Z439" s="37"/>
      <c r="AA439" s="544"/>
      <c r="AB439" s="544"/>
      <c r="AC439" s="544"/>
    </row>
    <row r="440" spans="1:68" ht="14.25" hidden="1" customHeight="1" x14ac:dyDescent="0.25">
      <c r="A440" s="565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42</v>
      </c>
      <c r="Y441" s="542">
        <f t="shared" ref="Y441:Y446" si="48">IFERROR(IF(X441="",0,CEILING((X441/$H441),1)*$H441),"")</f>
        <v>42.24</v>
      </c>
      <c r="Z441" s="36">
        <f>IFERROR(IF(Y441=0,"",ROUNDUP(Y441/H441,0)*0.01196),"")</f>
        <v>9.5680000000000001E-2</v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44.784090909090907</v>
      </c>
      <c r="BN441" s="64">
        <f t="shared" ref="BN441:BN446" si="50">IFERROR(Y441*I441/H441,"0")</f>
        <v>45.04</v>
      </c>
      <c r="BO441" s="64">
        <f t="shared" ref="BO441:BO446" si="51">IFERROR(1/J441*(X441/H441),"0")</f>
        <v>7.6486013986013984E-2</v>
      </c>
      <c r="BP441" s="64">
        <f t="shared" ref="BP441:BP446" si="52">IFERROR(1/J441*(Y441/H441),"0")</f>
        <v>7.6923076923076927E-2</v>
      </c>
    </row>
    <row r="442" spans="1:68" ht="27" hidden="1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174</v>
      </c>
      <c r="Y443" s="542">
        <f t="shared" si="48"/>
        <v>174.24</v>
      </c>
      <c r="Z443" s="36">
        <f>IFERROR(IF(Y443=0,"",ROUNDUP(Y443/H443,0)*0.01196),"")</f>
        <v>0.39468000000000003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185.53409090909091</v>
      </c>
      <c r="BN443" s="64">
        <f t="shared" si="50"/>
        <v>185.79</v>
      </c>
      <c r="BO443" s="64">
        <f t="shared" si="51"/>
        <v>0.31687062937062938</v>
      </c>
      <c r="BP443" s="64">
        <f t="shared" si="52"/>
        <v>0.31730769230769235</v>
      </c>
    </row>
    <row r="444" spans="1:68" ht="27" hidden="1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60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59" t="s">
        <v>71</v>
      </c>
      <c r="Q447" s="560"/>
      <c r="R447" s="560"/>
      <c r="S447" s="560"/>
      <c r="T447" s="560"/>
      <c r="U447" s="560"/>
      <c r="V447" s="561"/>
      <c r="W447" s="37" t="s">
        <v>72</v>
      </c>
      <c r="X447" s="543">
        <f>IFERROR(X441/H441,"0")+IFERROR(X442/H442,"0")+IFERROR(X443/H443,"0")+IFERROR(X444/H444,"0")+IFERROR(X445/H445,"0")+IFERROR(X446/H446,"0")</f>
        <v>40.909090909090907</v>
      </c>
      <c r="Y447" s="543">
        <f>IFERROR(Y441/H441,"0")+IFERROR(Y442/H442,"0")+IFERROR(Y443/H443,"0")+IFERROR(Y444/H444,"0")+IFERROR(Y445/H445,"0")+IFERROR(Y446/H446,"0")</f>
        <v>41</v>
      </c>
      <c r="Z447" s="543">
        <f>IFERROR(IF(Z441="",0,Z441),"0")+IFERROR(IF(Z442="",0,Z442),"0")+IFERROR(IF(Z443="",0,Z443),"0")+IFERROR(IF(Z444="",0,Z444),"0")+IFERROR(IF(Z445="",0,Z445),"0")+IFERROR(IF(Z446="",0,Z446),"0")</f>
        <v>0.49036000000000002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9" t="s">
        <v>71</v>
      </c>
      <c r="Q448" s="560"/>
      <c r="R448" s="560"/>
      <c r="S448" s="560"/>
      <c r="T448" s="560"/>
      <c r="U448" s="560"/>
      <c r="V448" s="561"/>
      <c r="W448" s="37" t="s">
        <v>69</v>
      </c>
      <c r="X448" s="543">
        <f>IFERROR(SUM(X441:X446),"0")</f>
        <v>216</v>
      </c>
      <c r="Y448" s="543">
        <f>IFERROR(SUM(Y441:Y446),"0")</f>
        <v>216.48000000000002</v>
      </c>
      <c r="Z448" s="37"/>
      <c r="AA448" s="544"/>
      <c r="AB448" s="544"/>
      <c r="AC448" s="544"/>
    </row>
    <row r="449" spans="1:68" ht="14.25" hidden="1" customHeight="1" x14ac:dyDescent="0.25">
      <c r="A449" s="565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hidden="1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57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59" t="s">
        <v>71</v>
      </c>
      <c r="Q453" s="560"/>
      <c r="R453" s="560"/>
      <c r="S453" s="560"/>
      <c r="T453" s="560"/>
      <c r="U453" s="560"/>
      <c r="V453" s="56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9" t="s">
        <v>71</v>
      </c>
      <c r="Q454" s="560"/>
      <c r="R454" s="560"/>
      <c r="S454" s="560"/>
      <c r="T454" s="560"/>
      <c r="U454" s="560"/>
      <c r="V454" s="56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67" t="s">
        <v>701</v>
      </c>
      <c r="B455" s="668"/>
      <c r="C455" s="668"/>
      <c r="D455" s="668"/>
      <c r="E455" s="668"/>
      <c r="F455" s="668"/>
      <c r="G455" s="668"/>
      <c r="H455" s="668"/>
      <c r="I455" s="668"/>
      <c r="J455" s="668"/>
      <c r="K455" s="668"/>
      <c r="L455" s="668"/>
      <c r="M455" s="668"/>
      <c r="N455" s="668"/>
      <c r="O455" s="668"/>
      <c r="P455" s="668"/>
      <c r="Q455" s="668"/>
      <c r="R455" s="668"/>
      <c r="S455" s="668"/>
      <c r="T455" s="668"/>
      <c r="U455" s="668"/>
      <c r="V455" s="668"/>
      <c r="W455" s="668"/>
      <c r="X455" s="668"/>
      <c r="Y455" s="668"/>
      <c r="Z455" s="668"/>
      <c r="AA455" s="48"/>
      <c r="AB455" s="48"/>
      <c r="AC455" s="48"/>
    </row>
    <row r="456" spans="1:68" ht="16.5" hidden="1" customHeight="1" x14ac:dyDescent="0.25">
      <c r="A456" s="566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hidden="1" customHeight="1" x14ac:dyDescent="0.25">
      <c r="A457" s="565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hidden="1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1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59" t="s">
        <v>71</v>
      </c>
      <c r="Q462" s="560"/>
      <c r="R462" s="560"/>
      <c r="S462" s="560"/>
      <c r="T462" s="560"/>
      <c r="U462" s="560"/>
      <c r="V462" s="56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9" t="s">
        <v>71</v>
      </c>
      <c r="Q463" s="560"/>
      <c r="R463" s="560"/>
      <c r="S463" s="560"/>
      <c r="T463" s="560"/>
      <c r="U463" s="560"/>
      <c r="V463" s="56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5" t="s">
        <v>134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hidden="1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59" t="s">
        <v>71</v>
      </c>
      <c r="Q468" s="560"/>
      <c r="R468" s="560"/>
      <c r="S468" s="560"/>
      <c r="T468" s="560"/>
      <c r="U468" s="560"/>
      <c r="V468" s="56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9" t="s">
        <v>71</v>
      </c>
      <c r="Q469" s="560"/>
      <c r="R469" s="560"/>
      <c r="S469" s="560"/>
      <c r="T469" s="560"/>
      <c r="U469" s="560"/>
      <c r="V469" s="56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5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hidden="1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59" t="s">
        <v>71</v>
      </c>
      <c r="Q473" s="560"/>
      <c r="R473" s="560"/>
      <c r="S473" s="560"/>
      <c r="T473" s="560"/>
      <c r="U473" s="560"/>
      <c r="V473" s="56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9" t="s">
        <v>71</v>
      </c>
      <c r="Q474" s="560"/>
      <c r="R474" s="560"/>
      <c r="S474" s="560"/>
      <c r="T474" s="560"/>
      <c r="U474" s="560"/>
      <c r="V474" s="56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5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1300</v>
      </c>
      <c r="Y476" s="542">
        <f>IFERROR(IF(X476="",0,CEILING((X476/$H476),1)*$H476),"")</f>
        <v>1305</v>
      </c>
      <c r="Z476" s="36">
        <f>IFERROR(IF(Y476=0,"",ROUNDUP(Y476/H476,0)*0.01898),"")</f>
        <v>2.7521</v>
      </c>
      <c r="AA476" s="56"/>
      <c r="AB476" s="57"/>
      <c r="AC476" s="525" t="s">
        <v>730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1371.3555555555554</v>
      </c>
      <c r="BN476" s="64">
        <f>IFERROR(Y476*I476/H476,"0")</f>
        <v>1376.63</v>
      </c>
      <c r="BO476" s="64">
        <f>IFERROR(1/J476*(X476/H476),"0")</f>
        <v>2.2569444444444446</v>
      </c>
      <c r="BP476" s="64">
        <f>IFERROR(1/J476*(Y476/H476),"0")</f>
        <v>2.265625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59" t="s">
        <v>71</v>
      </c>
      <c r="Q477" s="560"/>
      <c r="R477" s="560"/>
      <c r="S477" s="560"/>
      <c r="T477" s="560"/>
      <c r="U477" s="560"/>
      <c r="V477" s="561"/>
      <c r="W477" s="37" t="s">
        <v>72</v>
      </c>
      <c r="X477" s="543">
        <f>IFERROR(X476/H476,"0")</f>
        <v>144.44444444444446</v>
      </c>
      <c r="Y477" s="543">
        <f>IFERROR(Y476/H476,"0")</f>
        <v>145</v>
      </c>
      <c r="Z477" s="543">
        <f>IFERROR(IF(Z476="",0,Z476),"0")</f>
        <v>2.7521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9" t="s">
        <v>71</v>
      </c>
      <c r="Q478" s="560"/>
      <c r="R478" s="560"/>
      <c r="S478" s="560"/>
      <c r="T478" s="560"/>
      <c r="U478" s="560"/>
      <c r="V478" s="561"/>
      <c r="W478" s="37" t="s">
        <v>69</v>
      </c>
      <c r="X478" s="543">
        <f>IFERROR(SUM(X476:X476),"0")</f>
        <v>1300</v>
      </c>
      <c r="Y478" s="543">
        <f>IFERROR(SUM(Y476:Y476),"0")</f>
        <v>1305</v>
      </c>
      <c r="Z478" s="37"/>
      <c r="AA478" s="544"/>
      <c r="AB478" s="544"/>
      <c r="AC478" s="544"/>
    </row>
    <row r="479" spans="1:68" ht="14.25" hidden="1" customHeight="1" x14ac:dyDescent="0.25">
      <c r="A479" s="565" t="s">
        <v>162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hidden="1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8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59" t="s">
        <v>71</v>
      </c>
      <c r="Q482" s="560"/>
      <c r="R482" s="560"/>
      <c r="S482" s="560"/>
      <c r="T482" s="560"/>
      <c r="U482" s="560"/>
      <c r="V482" s="56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9" t="s">
        <v>71</v>
      </c>
      <c r="Q483" s="560"/>
      <c r="R483" s="560"/>
      <c r="S483" s="560"/>
      <c r="T483" s="560"/>
      <c r="U483" s="560"/>
      <c r="V483" s="56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6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hidden="1" customHeight="1" x14ac:dyDescent="0.25">
      <c r="A485" s="565" t="s">
        <v>134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hidden="1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4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59" t="s">
        <v>71</v>
      </c>
      <c r="Q487" s="560"/>
      <c r="R487" s="560"/>
      <c r="S487" s="560"/>
      <c r="T487" s="560"/>
      <c r="U487" s="560"/>
      <c r="V487" s="56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9" t="s">
        <v>71</v>
      </c>
      <c r="Q488" s="560"/>
      <c r="R488" s="560"/>
      <c r="S488" s="560"/>
      <c r="T488" s="560"/>
      <c r="U488" s="560"/>
      <c r="V488" s="56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66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8"/>
      <c r="P489" s="663" t="s">
        <v>741</v>
      </c>
      <c r="Q489" s="593"/>
      <c r="R489" s="593"/>
      <c r="S489" s="593"/>
      <c r="T489" s="593"/>
      <c r="U489" s="593"/>
      <c r="V489" s="59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7144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7280.6999999999989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8"/>
      <c r="P490" s="663" t="s">
        <v>742</v>
      </c>
      <c r="Q490" s="593"/>
      <c r="R490" s="593"/>
      <c r="S490" s="593"/>
      <c r="T490" s="593"/>
      <c r="U490" s="593"/>
      <c r="V490" s="594"/>
      <c r="W490" s="37" t="s">
        <v>69</v>
      </c>
      <c r="X490" s="543">
        <f>IFERROR(SUM(BM22:BM486),"0")</f>
        <v>7500.521152642199</v>
      </c>
      <c r="Y490" s="543">
        <f>IFERROR(SUM(BN22:BN486),"0")</f>
        <v>7644.3910000000014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8"/>
      <c r="P491" s="663" t="s">
        <v>743</v>
      </c>
      <c r="Q491" s="593"/>
      <c r="R491" s="593"/>
      <c r="S491" s="593"/>
      <c r="T491" s="593"/>
      <c r="U491" s="593"/>
      <c r="V491" s="594"/>
      <c r="W491" s="37" t="s">
        <v>744</v>
      </c>
      <c r="X491" s="38">
        <f>ROUNDUP(SUM(BO22:BO486),0)</f>
        <v>12</v>
      </c>
      <c r="Y491" s="38">
        <f>ROUNDUP(SUM(BP22:BP486),0)</f>
        <v>12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8"/>
      <c r="P492" s="663" t="s">
        <v>745</v>
      </c>
      <c r="Q492" s="593"/>
      <c r="R492" s="593"/>
      <c r="S492" s="593"/>
      <c r="T492" s="593"/>
      <c r="U492" s="593"/>
      <c r="V492" s="594"/>
      <c r="W492" s="37" t="s">
        <v>69</v>
      </c>
      <c r="X492" s="543">
        <f>GrossWeightTotal+PalletQtyTotal*25</f>
        <v>7800.521152642199</v>
      </c>
      <c r="Y492" s="543">
        <f>GrossWeightTotalR+PalletQtyTotalR*25</f>
        <v>7944.3910000000014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8"/>
      <c r="P493" s="663" t="s">
        <v>746</v>
      </c>
      <c r="Q493" s="593"/>
      <c r="R493" s="593"/>
      <c r="S493" s="593"/>
      <c r="T493" s="593"/>
      <c r="U493" s="593"/>
      <c r="V493" s="59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1046.1020065265163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1069</v>
      </c>
      <c r="Z493" s="37"/>
      <c r="AA493" s="544"/>
      <c r="AB493" s="544"/>
      <c r="AC493" s="544"/>
    </row>
    <row r="494" spans="1:68" ht="14.25" hidden="1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8"/>
      <c r="P494" s="663" t="s">
        <v>747</v>
      </c>
      <c r="Q494" s="593"/>
      <c r="R494" s="593"/>
      <c r="S494" s="593"/>
      <c r="T494" s="593"/>
      <c r="U494" s="593"/>
      <c r="V494" s="59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13.741460000000002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605" t="s">
        <v>97</v>
      </c>
      <c r="D496" s="682"/>
      <c r="E496" s="682"/>
      <c r="F496" s="682"/>
      <c r="G496" s="682"/>
      <c r="H496" s="645"/>
      <c r="I496" s="605" t="s">
        <v>255</v>
      </c>
      <c r="J496" s="682"/>
      <c r="K496" s="682"/>
      <c r="L496" s="682"/>
      <c r="M496" s="682"/>
      <c r="N496" s="682"/>
      <c r="O496" s="682"/>
      <c r="P496" s="682"/>
      <c r="Q496" s="682"/>
      <c r="R496" s="645"/>
      <c r="S496" s="605" t="s">
        <v>538</v>
      </c>
      <c r="T496" s="645"/>
      <c r="U496" s="605" t="s">
        <v>590</v>
      </c>
      <c r="V496" s="682"/>
      <c r="W496" s="645"/>
      <c r="X496" s="538" t="s">
        <v>641</v>
      </c>
      <c r="Y496" s="605" t="s">
        <v>701</v>
      </c>
      <c r="Z496" s="645"/>
      <c r="AB496" s="52"/>
      <c r="AC496" s="52"/>
      <c r="AF496" s="539"/>
    </row>
    <row r="497" spans="1:32" ht="14.25" customHeight="1" thickTop="1" x14ac:dyDescent="0.2">
      <c r="A497" s="867" t="s">
        <v>750</v>
      </c>
      <c r="B497" s="605" t="s">
        <v>63</v>
      </c>
      <c r="C497" s="605" t="s">
        <v>98</v>
      </c>
      <c r="D497" s="605" t="s">
        <v>115</v>
      </c>
      <c r="E497" s="605" t="s">
        <v>169</v>
      </c>
      <c r="F497" s="605" t="s">
        <v>188</v>
      </c>
      <c r="G497" s="605" t="s">
        <v>220</v>
      </c>
      <c r="H497" s="605" t="s">
        <v>97</v>
      </c>
      <c r="I497" s="605" t="s">
        <v>256</v>
      </c>
      <c r="J497" s="605" t="s">
        <v>301</v>
      </c>
      <c r="K497" s="605" t="s">
        <v>361</v>
      </c>
      <c r="L497" s="605" t="s">
        <v>403</v>
      </c>
      <c r="M497" s="605" t="s">
        <v>419</v>
      </c>
      <c r="N497" s="539"/>
      <c r="O497" s="605" t="s">
        <v>430</v>
      </c>
      <c r="P497" s="605" t="s">
        <v>439</v>
      </c>
      <c r="Q497" s="605" t="s">
        <v>453</v>
      </c>
      <c r="R497" s="605" t="s">
        <v>528</v>
      </c>
      <c r="S497" s="605" t="s">
        <v>539</v>
      </c>
      <c r="T497" s="605" t="s">
        <v>574</v>
      </c>
      <c r="U497" s="605" t="s">
        <v>591</v>
      </c>
      <c r="V497" s="605" t="s">
        <v>622</v>
      </c>
      <c r="W497" s="605" t="s">
        <v>637</v>
      </c>
      <c r="X497" s="605" t="s">
        <v>641</v>
      </c>
      <c r="Y497" s="605" t="s">
        <v>701</v>
      </c>
      <c r="Z497" s="605" t="s">
        <v>737</v>
      </c>
      <c r="AB497" s="52"/>
      <c r="AC497" s="52"/>
      <c r="AF497" s="539"/>
    </row>
    <row r="498" spans="1:32" ht="13.5" customHeight="1" thickBot="1" x14ac:dyDescent="0.25">
      <c r="A498" s="868"/>
      <c r="B498" s="606"/>
      <c r="C498" s="606"/>
      <c r="D498" s="606"/>
      <c r="E498" s="606"/>
      <c r="F498" s="606"/>
      <c r="G498" s="606"/>
      <c r="H498" s="606"/>
      <c r="I498" s="606"/>
      <c r="J498" s="606"/>
      <c r="K498" s="606"/>
      <c r="L498" s="606"/>
      <c r="M498" s="606"/>
      <c r="N498" s="539"/>
      <c r="O498" s="606"/>
      <c r="P498" s="606"/>
      <c r="Q498" s="606"/>
      <c r="R498" s="606"/>
      <c r="S498" s="606"/>
      <c r="T498" s="606"/>
      <c r="U498" s="606"/>
      <c r="V498" s="606"/>
      <c r="W498" s="606"/>
      <c r="X498" s="606"/>
      <c r="Y498" s="606"/>
      <c r="Z498" s="606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140.4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10.8</v>
      </c>
      <c r="E499" s="46">
        <f>IFERROR(Y85*1,"0")+IFERROR(Y86*1,"0")+IFERROR(Y87*1,"0")+IFERROR(Y91*1,"0")+IFERROR(Y92*1,"0")+IFERROR(Y93*1,"0")+IFERROR(Y94*1,"0")</f>
        <v>132.30000000000001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283.5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325.86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852.90000000000009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12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39.299999999999997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2919</v>
      </c>
      <c r="T499" s="46">
        <f>IFERROR(Y368*1,"0")+IFERROR(Y369*1,"0")+IFERROR(Y373*1,"0")+IFERROR(Y374*1,"0")+IFERROR(Y378*1,"0")+IFERROR(Y379*1,"0")</f>
        <v>310.2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70.2</v>
      </c>
      <c r="V499" s="46">
        <f>IFERROR(Y403*1,"0")+IFERROR(Y407*1,"0")+IFERROR(Y408*1,"0")+IFERROR(Y409*1,"0")+IFERROR(Y410*1,"0")</f>
        <v>124.2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755.04000000000008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1305</v>
      </c>
      <c r="Z499" s="46">
        <f>IFERROR(Y486*1,"0")</f>
        <v>0</v>
      </c>
      <c r="AB499" s="52"/>
      <c r="AC499" s="52"/>
      <c r="AF499" s="539"/>
    </row>
  </sheetData>
  <sheetProtection algorithmName="SHA-512" hashValue="Cvaz9tayjPKUu3+mLXd2va571uLxvqaCdmIhI/CX1eUlaky/A3SW2AMeZE+qhK6DPjuWVW0NLzaCR8n8lLi9TA==" saltValue="N6HpzU1QkmihhZd8NijLkw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44"/>
        <filter val="0,78"/>
        <filter val="0,79"/>
        <filter val="0,93"/>
        <filter val="1 046,10"/>
        <filter val="1 300,00"/>
        <filter val="1 983,00"/>
        <filter val="1,00"/>
        <filter val="1,02"/>
        <filter val="10,00"/>
        <filter val="11,00"/>
        <filter val="114,00"/>
        <filter val="12"/>
        <filter val="12,00"/>
        <filter val="12,50"/>
        <filter val="12,78"/>
        <filter val="121,00"/>
        <filter val="122,00"/>
        <filter val="123,00"/>
        <filter val="132,20"/>
        <filter val="135,00"/>
        <filter val="137,00"/>
        <filter val="144,44"/>
        <filter val="15,00"/>
        <filter val="163,00"/>
        <filter val="172,00"/>
        <filter val="174,00"/>
        <filter val="183,00"/>
        <filter val="185,00"/>
        <filter val="187,72"/>
        <filter val="2,00"/>
        <filter val="2,98"/>
        <filter val="21,00"/>
        <filter val="216,00"/>
        <filter val="22,78"/>
        <filter val="236,00"/>
        <filter val="25,00"/>
        <filter val="260,00"/>
        <filter val="273,00"/>
        <filter val="28,00"/>
        <filter val="29,00"/>
        <filter val="290,00"/>
        <filter val="3,43"/>
        <filter val="302,00"/>
        <filter val="313,00"/>
        <filter val="32,96"/>
        <filter val="330,00"/>
        <filter val="36,00"/>
        <filter val="37,00"/>
        <filter val="395,00"/>
        <filter val="4,00"/>
        <filter val="4,44"/>
        <filter val="40,91"/>
        <filter val="42,00"/>
        <filter val="42,42"/>
        <filter val="44,70"/>
        <filter val="485,00"/>
        <filter val="49,00"/>
        <filter val="5,00"/>
        <filter val="50,00"/>
        <filter val="54,92"/>
        <filter val="55,00"/>
        <filter val="59,40"/>
        <filter val="600,00"/>
        <filter val="69,00"/>
        <filter val="7 144,00"/>
        <filter val="7 500,52"/>
        <filter val="7 800,52"/>
        <filter val="70,00"/>
        <filter val="70,74"/>
        <filter val="74,57"/>
        <filter val="8,00"/>
        <filter val="805,00"/>
        <filter val="82,00"/>
        <filter val="88,00"/>
        <filter val="88,25"/>
        <filter val="89,00"/>
        <filter val="891,00"/>
      </filters>
    </filterColumn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T497:T498"/>
    <mergeCell ref="V497:V498"/>
    <mergeCell ref="D458:E458"/>
    <mergeCell ref="A489:O494"/>
    <mergeCell ref="A497:A498"/>
    <mergeCell ref="A447:O448"/>
    <mergeCell ref="P493:V493"/>
    <mergeCell ref="D452:E452"/>
    <mergeCell ref="U497:U498"/>
    <mergeCell ref="I496:R496"/>
    <mergeCell ref="W497:W49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D196:E196"/>
    <mergeCell ref="A126:O127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P368:T368"/>
    <mergeCell ref="A362:Z362"/>
    <mergeCell ref="A245:Z245"/>
    <mergeCell ref="P43:V43"/>
    <mergeCell ref="A39:Z39"/>
    <mergeCell ref="P85:T85"/>
    <mergeCell ref="P60:T60"/>
    <mergeCell ref="D291:E291"/>
    <mergeCell ref="D170:E170"/>
    <mergeCell ref="P132:V132"/>
    <mergeCell ref="P72:T72"/>
    <mergeCell ref="A31:O32"/>
    <mergeCell ref="A320:Z320"/>
    <mergeCell ref="P351:V351"/>
    <mergeCell ref="A314:Z314"/>
    <mergeCell ref="P124:T124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P200:T200"/>
    <mergeCell ref="P134:T134"/>
    <mergeCell ref="P371:V371"/>
    <mergeCell ref="P421:T421"/>
    <mergeCell ref="A411:O412"/>
    <mergeCell ref="P408:T408"/>
    <mergeCell ref="P137:V137"/>
    <mergeCell ref="D247:E247"/>
    <mergeCell ref="A487:O488"/>
    <mergeCell ref="D266:E266"/>
    <mergeCell ref="P410:T410"/>
    <mergeCell ref="P385:T385"/>
    <mergeCell ref="A260:O261"/>
    <mergeCell ref="A484:Z484"/>
    <mergeCell ref="P312:V312"/>
    <mergeCell ref="A289:Z289"/>
    <mergeCell ref="D430:E430"/>
    <mergeCell ref="P469:V469"/>
    <mergeCell ref="P486:T486"/>
    <mergeCell ref="D450:E450"/>
    <mergeCell ref="A455:Z455"/>
    <mergeCell ref="D385:E385"/>
    <mergeCell ref="P301:T301"/>
    <mergeCell ref="P483:V483"/>
    <mergeCell ref="P294:T294"/>
    <mergeCell ref="D293:E293"/>
    <mergeCell ref="A477:O478"/>
    <mergeCell ref="A440:Z440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P181:T181"/>
    <mergeCell ref="D29:E29"/>
    <mergeCell ref="P344:T344"/>
    <mergeCell ref="P354:T354"/>
    <mergeCell ref="D226:E226"/>
    <mergeCell ref="D164:E164"/>
    <mergeCell ref="P62:T62"/>
    <mergeCell ref="P176:T176"/>
    <mergeCell ref="P247:T247"/>
    <mergeCell ref="P114:T114"/>
    <mergeCell ref="P41:T41"/>
    <mergeCell ref="A157:Z157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A318:O319"/>
    <mergeCell ref="P47:V47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68:T68"/>
    <mergeCell ref="P82:V82"/>
    <mergeCell ref="D330:E330"/>
    <mergeCell ref="A98:Z98"/>
    <mergeCell ref="A396:Z396"/>
    <mergeCell ref="P239:V239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A305:O306"/>
    <mergeCell ref="P346:T346"/>
    <mergeCell ref="P446:T446"/>
    <mergeCell ref="P310:T310"/>
    <mergeCell ref="P264:T264"/>
    <mergeCell ref="A312:O313"/>
    <mergeCell ref="P353:T353"/>
    <mergeCell ref="D169:E169"/>
    <mergeCell ref="P204:V204"/>
    <mergeCell ref="P303:T303"/>
    <mergeCell ref="A357:Z357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A19:Z19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P246:T246"/>
    <mergeCell ref="P214:T214"/>
    <mergeCell ref="P432:V432"/>
    <mergeCell ref="D249:E249"/>
    <mergeCell ref="P436:T436"/>
    <mergeCell ref="A251:O252"/>
    <mergeCell ref="P292:T292"/>
    <mergeCell ref="A360:O361"/>
    <mergeCell ref="D257:E257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85 X91 X99 X101 X112 X114 X163 X165:X166 X196:X197 X199 X210 X212:X215 X273:X274 X316 X343:X345 X353 X378 X385 X407 X423 X426 X435 X441:X443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SVH7mirzhKzzYQyWUGannvBPrx/FyqbwSgMMUnmXJoUprgYB3wuWvehT4/eO9xTQ/y727r5k7URvGabNnhiuRg==" saltValue="BNp/BcbchzKhR78Ojlmi5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2025-11-19T10:31:55Z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