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41B7A2A-B384-42AB-BB37-3C2BCBBC255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Z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8" i="1" l="1"/>
  <c r="Y32" i="1"/>
  <c r="Z34" i="1"/>
  <c r="Z35" i="1" s="1"/>
  <c r="BN34" i="1"/>
  <c r="BP34" i="1"/>
  <c r="Y35" i="1"/>
  <c r="Z40" i="1"/>
  <c r="BN40" i="1"/>
  <c r="Z55" i="1"/>
  <c r="BN55" i="1"/>
  <c r="Z79" i="1"/>
  <c r="BN79" i="1"/>
  <c r="Z99" i="1"/>
  <c r="BN99" i="1"/>
  <c r="Z115" i="1"/>
  <c r="BN115" i="1"/>
  <c r="Z141" i="1"/>
  <c r="BN141" i="1"/>
  <c r="Z145" i="1"/>
  <c r="BN145" i="1"/>
  <c r="Z164" i="1"/>
  <c r="BN164" i="1"/>
  <c r="Z165" i="1"/>
  <c r="BN165" i="1"/>
  <c r="Z186" i="1"/>
  <c r="BN186" i="1"/>
  <c r="Z200" i="1"/>
  <c r="BN200" i="1"/>
  <c r="Z210" i="1"/>
  <c r="BN210" i="1"/>
  <c r="Z226" i="1"/>
  <c r="BN226" i="1"/>
  <c r="Z246" i="1"/>
  <c r="BN246" i="1"/>
  <c r="Z264" i="1"/>
  <c r="BN264" i="1"/>
  <c r="Z292" i="1"/>
  <c r="BN292" i="1"/>
  <c r="Z308" i="1"/>
  <c r="BN308" i="1"/>
  <c r="Z322" i="1"/>
  <c r="BN322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BP75" i="1"/>
  <c r="BN75" i="1"/>
  <c r="Z75" i="1"/>
  <c r="BP94" i="1"/>
  <c r="BN94" i="1"/>
  <c r="Z94" i="1"/>
  <c r="BP113" i="1"/>
  <c r="BN113" i="1"/>
  <c r="Z113" i="1"/>
  <c r="Y136" i="1"/>
  <c r="BP134" i="1"/>
  <c r="BN134" i="1"/>
  <c r="Z134" i="1"/>
  <c r="BP162" i="1"/>
  <c r="BN162" i="1"/>
  <c r="Z162" i="1"/>
  <c r="BP175" i="1"/>
  <c r="BN175" i="1"/>
  <c r="Z175" i="1"/>
  <c r="BP198" i="1"/>
  <c r="BN198" i="1"/>
  <c r="Z198" i="1"/>
  <c r="BP208" i="1"/>
  <c r="BN208" i="1"/>
  <c r="Z208" i="1"/>
  <c r="Y220" i="1"/>
  <c r="BN218" i="1"/>
  <c r="Z218" i="1"/>
  <c r="BP219" i="1"/>
  <c r="BN219" i="1"/>
  <c r="Z219" i="1"/>
  <c r="BP224" i="1"/>
  <c r="BN224" i="1"/>
  <c r="Z224" i="1"/>
  <c r="BP232" i="1"/>
  <c r="BN232" i="1"/>
  <c r="Z232" i="1"/>
  <c r="J9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BP147" i="1"/>
  <c r="BN147" i="1"/>
  <c r="Z147" i="1"/>
  <c r="BP167" i="1"/>
  <c r="BN167" i="1"/>
  <c r="Z167" i="1"/>
  <c r="Y192" i="1"/>
  <c r="BP190" i="1"/>
  <c r="BN190" i="1"/>
  <c r="Z190" i="1"/>
  <c r="BP202" i="1"/>
  <c r="BN202" i="1"/>
  <c r="Z202" i="1"/>
  <c r="BP212" i="1"/>
  <c r="BN212" i="1"/>
  <c r="Z212" i="1"/>
  <c r="BP228" i="1"/>
  <c r="BN228" i="1"/>
  <c r="Z228" i="1"/>
  <c r="BP248" i="1"/>
  <c r="BN248" i="1"/>
  <c r="Z248" i="1"/>
  <c r="Y81" i="1"/>
  <c r="Y216" i="1"/>
  <c r="Z257" i="1"/>
  <c r="BN257" i="1"/>
  <c r="Z266" i="1"/>
  <c r="BN266" i="1"/>
  <c r="Z273" i="1"/>
  <c r="BN273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8" i="1"/>
  <c r="Y317" i="1"/>
  <c r="Y379" i="1"/>
  <c r="Y453" i="1"/>
  <c r="Y452" i="1"/>
  <c r="Y31" i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0" i="1"/>
  <c r="X492" i="1"/>
  <c r="Y24" i="1"/>
  <c r="Z27" i="1"/>
  <c r="BN27" i="1"/>
  <c r="Z29" i="1"/>
  <c r="BN29" i="1"/>
  <c r="C498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Y76" i="1"/>
  <c r="BP80" i="1"/>
  <c r="BN80" i="1"/>
  <c r="Z80" i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Y137" i="1"/>
  <c r="H498" i="1"/>
  <c r="Y143" i="1"/>
  <c r="BP140" i="1"/>
  <c r="BN140" i="1"/>
  <c r="Z140" i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Z379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Y461" i="1"/>
  <c r="BP460" i="1"/>
  <c r="BN460" i="1"/>
  <c r="Z460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67" i="1" l="1"/>
  <c r="Z461" i="1"/>
  <c r="Z452" i="1"/>
  <c r="Z398" i="1"/>
  <c r="Z274" i="1"/>
  <c r="Z177" i="1"/>
  <c r="Z142" i="1"/>
  <c r="Z136" i="1"/>
  <c r="Z88" i="1"/>
  <c r="Z81" i="1"/>
  <c r="Z76" i="1"/>
  <c r="Z63" i="1"/>
  <c r="Z187" i="1"/>
  <c r="Z220" i="1"/>
  <c r="Z234" i="1"/>
  <c r="Z215" i="1"/>
  <c r="Y489" i="1"/>
  <c r="Z324" i="1"/>
  <c r="Y490" i="1"/>
  <c r="Z57" i="1"/>
  <c r="Z31" i="1"/>
  <c r="X491" i="1"/>
  <c r="Z103" i="1"/>
  <c r="Z95" i="1"/>
  <c r="Y492" i="1"/>
  <c r="Z393" i="1"/>
  <c r="Z337" i="1"/>
  <c r="Z116" i="1"/>
  <c r="Z304" i="1"/>
  <c r="Z294" i="1"/>
  <c r="Z437" i="1"/>
  <c r="Z446" i="1"/>
  <c r="Z431" i="1"/>
  <c r="Z349" i="1"/>
  <c r="Z330" i="1"/>
  <c r="Z285" i="1"/>
  <c r="Z267" i="1"/>
  <c r="Z259" i="1"/>
  <c r="Z250" i="1"/>
  <c r="Z203" i="1"/>
  <c r="Z171" i="1"/>
  <c r="Z69" i="1"/>
  <c r="Y488" i="1"/>
  <c r="Z493" i="1" l="1"/>
  <c r="Y491" i="1"/>
</calcChain>
</file>

<file path=xl/sharedStrings.xml><?xml version="1.0" encoding="utf-8"?>
<sst xmlns="http://schemas.openxmlformats.org/spreadsheetml/2006/main" count="2271" uniqueCount="760">
  <si>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</si>
  <si>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</si>
  <si>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</si>
  <si>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</si>
  <si>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</si>
  <si>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</si>
  <si>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</si>
  <si>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</si>
  <si>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</si>
  <si>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</si>
  <si>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</si>
  <si>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</si>
  <si>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</si>
  <si>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</si>
  <si>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</si>
  <si>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</si>
  <si>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</si>
  <si>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</si>
  <si>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</si>
  <si>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</si>
  <si>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</si>
  <si>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</si>
  <si>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</si>
  <si>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</si>
  <si>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</si>
  <si>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</si>
  <si>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</si>
  <si>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</si>
  <si>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</si>
  <si>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</si>
  <si>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</si>
  <si>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</si>
  <si>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</si>
  <si>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</si>
  <si>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</si>
  <si>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</si>
  <si>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</si>
  <si>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</si>
  <si>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</si>
  <si>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</si>
  <si>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</si>
  <si>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</si>
  <si>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</si>
  <si>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</si>
  <si>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</si>
  <si>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</si>
  <si>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</si>
  <si>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</si>
  <si>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</si>
  <si>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</si>
  <si>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</si>
  <si>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</si>
  <si>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</si>
  <si>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</si>
  <si>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</si>
  <si>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</si>
  <si>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</si>
  <si>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</si>
  <si>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</si>
  <si>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</si>
  <si>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</si>
  <si>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</si>
  <si>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</si>
  <si>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</si>
  <si>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</si>
  <si>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</si>
  <si>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</si>
  <si>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</si>
  <si>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</si>
  <si>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</si>
  <si>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</si>
  <si>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</si>
  <si>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</si>
  <si>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</si>
  <si>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</si>
  <si>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</si>
  <si>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</si>
  <si>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</si>
  <si>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</si>
  <si>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</si>
  <si>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</si>
  <si>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</si>
  <si>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</si>
  <si>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</si>
  <si>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</si>
  <si>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</si>
  <si>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</si>
  <si>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</si>
  <si>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</si>
  <si>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</si>
  <si>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</si>
  <si>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</si>
  <si>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</si>
  <si>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</si>
  <si>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</si>
  <si>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</si>
  <si>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</si>
  <si>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</si>
  <si>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</si>
  <si>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</si>
  <si>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</si>
  <si>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</si>
  <si>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</si>
  <si>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</si>
  <si>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</si>
  <si>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</si>
  <si>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</si>
  <si>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</si>
  <si>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</si>
  <si>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</si>
  <si>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</si>
  <si>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</si>
  <si>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</si>
  <si>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</si>
  <si>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</si>
  <si>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</si>
  <si>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</si>
  <si>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</si>
  <si>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</si>
  <si>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</si>
  <si>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</si>
  <si>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</si>
  <si>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</si>
  <si>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</si>
  <si>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</si>
  <si>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</si>
  <si>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</si>
  <si>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</si>
  <si>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</si>
  <si>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</si>
  <si>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</si>
  <si>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</si>
  <si>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</si>
  <si>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</si>
  <si>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</si>
  <si>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</si>
  <si>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</si>
  <si>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</si>
  <si>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</si>
  <si>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</si>
  <si>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</si>
  <si>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</si>
  <si>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</si>
  <si>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</si>
  <si>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</si>
  <si>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</si>
  <si>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</si>
  <si>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</si>
  <si>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</si>
  <si>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</si>
  <si>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</si>
  <si>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</si>
  <si>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</si>
  <si>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</si>
  <si>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</si>
  <si>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</si>
  <si>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</si>
  <si>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</si>
  <si>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</si>
  <si>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</si>
  <si>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</si>
  <si>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</si>
  <si>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</si>
  <si>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</si>
  <si>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</si>
  <si>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</si>
  <si>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</si>
  <si>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</si>
  <si>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</si>
  <si>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</si>
  <si>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</si>
  <si>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</si>
  <si>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</si>
  <si>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</si>
  <si>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</si>
  <si>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</si>
  <si>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</si>
  <si>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</si>
  <si>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</si>
  <si>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</si>
  <si>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</si>
  <si>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</si>
  <si>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</si>
  <si>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</si>
  <si>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</si>
  <si>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</si>
  <si>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</si>
  <si>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</si>
  <si>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</si>
  <si>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</si>
  <si>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</si>
  <si>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</si>
  <si>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</si>
  <si>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</si>
  <si>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</si>
  <si>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</si>
  <si>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</si>
  <si>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</si>
  <si>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</si>
  <si>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</si>
  <si>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</si>
  <si>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</si>
  <si>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</si>
  <si>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</si>
  <si>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</si>
  <si>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</si>
  <si>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</si>
  <si>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</si>
  <si>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</si>
  <si>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</si>
  <si>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</si>
  <si>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</si>
  <si>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</si>
  <si>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</si>
  <si>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</si>
  <si>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</si>
  <si>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</si>
  <si>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</si>
  <si>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</si>
  <si>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</si>
  <si>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</si>
  <si>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</si>
  <si>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</si>
  <si>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</si>
  <si>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</si>
  <si>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</si>
  <si>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</si>
  <si>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</si>
  <si>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</si>
  <si>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</si>
  <si>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</si>
  <si>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</si>
  <si>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</si>
  <si>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</si>
  <si>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</si>
  <si>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</si>
  <si>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</si>
  <si>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</si>
  <si>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</si>
  <si>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</si>
  <si>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</si>
  <si>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</si>
  <si>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</si>
  <si>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</si>
  <si>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</si>
  <si>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</si>
  <si>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</si>
  <si>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</si>
  <si>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</si>
  <si>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</si>
  <si>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</si>
  <si>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</si>
  <si>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</si>
  <si>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</si>
  <si>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</si>
  <si>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</si>
  <si>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</si>
  <si>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</si>
  <si>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</si>
  <si>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</si>
  <si>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</si>
  <si>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</si>
  <si>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</si>
  <si>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</si>
  <si>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</si>
  <si>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</si>
  <si>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</si>
  <si>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</si>
  <si>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</si>
  <si>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</si>
  <si>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</si>
  <si>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</si>
  <si>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</si>
  <si>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</si>
  <si>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</si>
  <si>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</si>
  <si>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</si>
  <si>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</si>
  <si>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</si>
  <si>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</si>
  <si>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</si>
  <si>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</si>
  <si>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</si>
  <si>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</si>
  <si>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</si>
  <si>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</si>
  <si>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</si>
  <si>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</si>
  <si>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</si>
  <si>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</si>
  <si>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</si>
  <si>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</si>
  <si>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</si>
  <si>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</si>
  <si>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</si>
  <si>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</si>
  <si>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</si>
  <si>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</si>
  <si>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</si>
  <si>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</si>
  <si>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</si>
  <si>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</si>
  <si>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</si>
  <si>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</si>
  <si>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</si>
  <si>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</si>
  <si>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</si>
  <si>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</si>
  <si>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</si>
  <si>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</si>
  <si>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</si>
  <si>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</si>
  <si>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</si>
  <si>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</si>
  <si>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</si>
  <si>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</si>
  <si>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</si>
  <si>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</si>
  <si>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</si>
  <si>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</si>
  <si>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</si>
  <si>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</si>
  <si>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</si>
  <si>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</si>
  <si>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</si>
  <si>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</si>
  <si>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</si>
  <si>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</si>
  <si>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</si>
  <si>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</si>
  <si>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</si>
  <si>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</si>
  <si>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</si>
  <si>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</si>
  <si>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</si>
  <si>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</si>
  <si>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</si>
  <si>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</si>
  <si>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</si>
  <si>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</si>
  <si>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</si>
  <si>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</si>
  <si>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</si>
  <si>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</si>
  <si>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</si>
  <si>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</si>
  <si>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</si>
  <si>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</si>
  <si>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</si>
  <si>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</si>
  <si>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</si>
  <si>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</si>
  <si>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</si>
  <si>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</si>
  <si>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</si>
  <si>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</si>
  <si>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</si>
  <si>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</si>
  <si>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</si>
  <si>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</si>
  <si>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</si>
  <si>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</si>
  <si>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</si>
  <si>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</si>
  <si>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</si>
  <si>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</si>
  <si>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</si>
  <si>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</si>
  <si>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</si>
  <si>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</si>
  <si>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</si>
  <si>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</si>
  <si>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</si>
  <si>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</si>
  <si>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</si>
  <si>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</si>
  <si>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</si>
  <si>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</si>
  <si>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</si>
  <si>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</si>
  <si>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</si>
  <si>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</si>
  <si>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</si>
  <si>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</si>
  <si>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</si>
  <si>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</si>
  <si>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</si>
  <si>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</si>
  <si>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</si>
  <si>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</si>
  <si>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</si>
  <si>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</si>
  <si>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</si>
  <si>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</si>
  <si>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</si>
  <si>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</si>
  <si>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</si>
  <si>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</si>
  <si>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</si>
  <si>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</si>
  <si>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</si>
  <si>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</si>
  <si>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</si>
  <si>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</si>
  <si>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</si>
  <si>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</si>
  <si>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</si>
  <si>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</si>
  <si>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</si>
  <si>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</si>
  <si>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</si>
  <si>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</si>
  <si>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</si>
  <si>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</si>
  <si>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</si>
  <si>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</si>
  <si>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</si>
  <si>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</si>
  <si>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</si>
  <si>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</si>
  <si>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</si>
  <si>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</si>
  <si>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</si>
  <si>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</si>
  <si>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</si>
  <si>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</si>
  <si>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</si>
  <si>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</si>
  <si>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</si>
  <si>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</si>
  <si>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</si>
  <si>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</si>
  <si>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</si>
  <si>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</si>
  <si>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</si>
  <si>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</si>
  <si>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</si>
  <si>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</si>
  <si>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</si>
  <si>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</si>
  <si>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</si>
  <si>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</si>
  <si>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</si>
  <si>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</si>
  <si>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</si>
  <si>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</si>
  <si>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</si>
  <si>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</si>
  <si>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</si>
  <si>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</si>
  <si>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</si>
  <si>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</si>
  <si>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</si>
  <si>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</si>
  <si>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</si>
  <si>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</si>
  <si>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</si>
  <si>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</si>
  <si>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</si>
  <si>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</si>
  <si>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</si>
  <si>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</si>
  <si>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</si>
  <si>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</si>
  <si>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</si>
  <si>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</si>
  <si>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</si>
  <si>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</si>
  <si>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</si>
  <si>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</si>
  <si>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</si>
  <si>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</si>
  <si>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</si>
  <si>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</si>
  <si>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</si>
  <si>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</si>
  <si>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</si>
  <si>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</si>
  <si>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</si>
  <si>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</si>
  <si>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</si>
  <si>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</si>
  <si>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</si>
  <si>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</si>
  <si>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</si>
  <si>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</si>
  <si>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</si>
  <si>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</si>
  <si>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</si>
  <si>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</si>
  <si>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</si>
  <si>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</si>
  <si>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</si>
  <si>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</si>
  <si>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</si>
  <si>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</si>
  <si>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</si>
  <si>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</si>
  <si>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</si>
  <si>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</si>
  <si>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</si>
  <si>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</si>
  <si>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</si>
  <si>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</si>
  <si>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</si>
  <si>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</si>
  <si>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</si>
  <si>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</si>
  <si>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</si>
  <si>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</si>
  <si>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</si>
  <si>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</si>
  <si>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</si>
  <si>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</si>
  <si>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</si>
  <si>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</si>
  <si>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</si>
  <si>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</si>
  <si>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</si>
  <si>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</si>
  <si>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</si>
  <si>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</si>
  <si>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</si>
  <si>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</si>
  <si>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</si>
  <si>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</si>
  <si>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</si>
  <si>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</si>
  <si>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</si>
  <si>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</si>
  <si>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</si>
  <si>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</si>
  <si>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</si>
  <si>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</si>
  <si>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</si>
  <si>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</si>
  <si>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</si>
  <si>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</si>
  <si>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</si>
  <si>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</si>
  <si>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</si>
  <si>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</si>
  <si>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</si>
  <si>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</si>
  <si>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</si>
  <si>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</si>
  <si>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</si>
  <si>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</si>
  <si>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</si>
  <si>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</si>
  <si>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</si>
  <si>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</si>
  <si>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</si>
  <si>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</si>
  <si>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</si>
  <si>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</si>
  <si>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</si>
  <si>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</si>
  <si>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</si>
  <si>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</si>
  <si>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</si>
  <si>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</si>
  <si>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</si>
  <si>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</si>
  <si>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</si>
  <si>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</si>
  <si>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</si>
  <si>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</si>
  <si>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</si>
  <si>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</si>
  <si>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</si>
  <si>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</si>
  <si>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</si>
  <si>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</si>
  <si>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</si>
  <si>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</si>
  <si>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</si>
  <si>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</si>
  <si>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</si>
  <si>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</si>
  <si>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</si>
  <si>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</si>
  <si>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</si>
  <si>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</si>
  <si>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</si>
  <si>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</si>
  <si>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</si>
  <si>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</si>
  <si>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</si>
  <si>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</si>
  <si>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</si>
  <si>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</si>
  <si>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</si>
  <si>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</si>
  <si>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</si>
  <si>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</si>
  <si>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</si>
  <si>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</si>
  <si>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</si>
  <si>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</si>
  <si>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</si>
  <si>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</si>
  <si>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</si>
  <si>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</si>
  <si>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</si>
  <si>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</si>
  <si>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</si>
  <si>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</si>
  <si>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</si>
  <si>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</si>
  <si>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</si>
  <si>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</si>
  <si>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</si>
  <si>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</si>
  <si>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</si>
  <si>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</si>
  <si>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</si>
  <si>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</si>
  <si>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</si>
  <si>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</si>
  <si>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</si>
  <si>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</si>
  <si>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</si>
  <si>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</si>
  <si>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</si>
  <si>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</si>
  <si>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</si>
  <si>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</si>
  <si>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</si>
  <si>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</si>
  <si>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</si>
  <si>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</si>
  <si>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</si>
  <si>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</si>
  <si>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</si>
  <si>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</si>
  <si>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</si>
  <si>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</si>
  <si>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</si>
  <si>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</si>
  <si>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</si>
  <si>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</si>
  <si>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</si>
  <si>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</si>
  <si>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</si>
  <si>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</si>
  <si>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</si>
  <si>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</si>
  <si>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</si>
  <si>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</si>
  <si>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</si>
  <si>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</si>
  <si>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</si>
  <si>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</si>
  <si>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</si>
  <si>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</si>
  <si>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</si>
  <si>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</si>
  <si>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</si>
  <si>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</si>
  <si>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</si>
  <si>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</si>
  <si>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</si>
  <si>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</si>
  <si>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</si>
  <si>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</si>
  <si>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</si>
  <si>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</si>
  <si>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</si>
  <si>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</si>
  <si>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</si>
  <si>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</si>
  <si>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</si>
  <si>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</si>
  <si>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</si>
  <si>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</si>
  <si>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</si>
  <si>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</si>
  <si>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</si>
  <si>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</si>
  <si>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</si>
  <si>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</si>
  <si>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</si>
  <si>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</si>
  <si>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</si>
  <si>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</si>
  <si>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</si>
  <si>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</si>
  <si>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</si>
  <si>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</si>
  <si>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</si>
  <si>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</si>
  <si>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</si>
  <si>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</si>
  <si>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</si>
  <si>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</si>
  <si>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</si>
  <si>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</si>
  <si>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</si>
  <si>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</si>
  <si>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</si>
  <si>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</si>
  <si>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</si>
  <si>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</si>
  <si>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</si>
  <si>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</si>
  <si>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</si>
  <si>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</si>
  <si>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</si>
  <si>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</si>
  <si>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</si>
  <si>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</si>
  <si>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</si>
  <si>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</si>
  <si>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</si>
  <si>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</si>
  <si>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</si>
  <si>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</si>
  <si>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</si>
  <si>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</si>
  <si>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</si>
  <si>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</si>
  <si>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</si>
  <si>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</si>
  <si>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</si>
  <si>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</si>
  <si>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</si>
  <si>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</si>
  <si>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</si>
  <si>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</si>
  <si>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</si>
  <si>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</si>
  <si>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</si>
  <si>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</si>
  <si>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</si>
  <si>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</si>
  <si>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</si>
  <si>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</si>
  <si>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</si>
  <si>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</si>
  <si>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</si>
  <si>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</si>
  <si>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</si>
  <si>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</si>
  <si>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</si>
  <si>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</si>
  <si>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</si>
  <si>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</si>
  <si>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</si>
  <si>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</si>
  <si>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</si>
  <si>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</si>
  <si>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</si>
  <si>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</si>
  <si>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</si>
  <si>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</si>
  <si>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</si>
  <si>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</si>
  <si>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</si>
  <si>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6 европалет,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</si>
</sst>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195" sqref="AA195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9" t="s">
        <v>0</v>
      </c>
      <c r="E1" s="571"/>
      <c r="F1" s="571"/>
      <c r="G1" s="12" t="s">
        <v>1</v>
      </c>
      <c r="H1" s="629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31" t="s">
        <v>7</v>
      </c>
      <c r="B5" s="632"/>
      <c r="C5" s="633"/>
      <c r="D5" s="603"/>
      <c r="E5" s="604"/>
      <c r="F5" s="815" t="s">
        <v>8</v>
      </c>
      <c r="G5" s="633"/>
      <c r="H5" s="603" t="s">
        <v>759</v>
      </c>
      <c r="I5" s="757"/>
      <c r="J5" s="757"/>
      <c r="K5" s="757"/>
      <c r="L5" s="757"/>
      <c r="M5" s="604"/>
      <c r="N5" s="58"/>
      <c r="P5" s="24" t="s">
        <v>9</v>
      </c>
      <c r="Q5" s="825">
        <v>45984</v>
      </c>
      <c r="R5" s="663"/>
      <c r="T5" s="701" t="s">
        <v>10</v>
      </c>
      <c r="U5" s="702"/>
      <c r="V5" s="703" t="s">
        <v>11</v>
      </c>
      <c r="W5" s="663"/>
      <c r="AB5" s="51"/>
      <c r="AC5" s="51"/>
      <c r="AD5" s="51"/>
      <c r="AE5" s="51"/>
    </row>
    <row r="6" spans="1:32" s="533" customFormat="1" ht="24" customHeight="1" x14ac:dyDescent="0.2">
      <c r="A6" s="631" t="s">
        <v>12</v>
      </c>
      <c r="B6" s="632"/>
      <c r="C6" s="633"/>
      <c r="D6" s="760" t="s">
        <v>13</v>
      </c>
      <c r="E6" s="761"/>
      <c r="F6" s="761"/>
      <c r="G6" s="761"/>
      <c r="H6" s="761"/>
      <c r="I6" s="761"/>
      <c r="J6" s="761"/>
      <c r="K6" s="761"/>
      <c r="L6" s="761"/>
      <c r="M6" s="663"/>
      <c r="N6" s="59"/>
      <c r="P6" s="24" t="s">
        <v>14</v>
      </c>
      <c r="Q6" s="833" t="str">
        <f>IF(Q5=0," ",CHOOSE(WEEKDAY(Q5,2),"Понедельник","Вторник","Среда","Четверг","Пятница","Суббота","Воскресенье"))</f>
        <v>Воскресенье</v>
      </c>
      <c r="R6" s="554"/>
      <c r="T6" s="705" t="s">
        <v>15</v>
      </c>
      <c r="U6" s="702"/>
      <c r="V6" s="742" t="s">
        <v>16</v>
      </c>
      <c r="W6" s="552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49"/>
      <c r="U7" s="702"/>
      <c r="V7" s="743"/>
      <c r="W7" s="744"/>
      <c r="AB7" s="51"/>
      <c r="AC7" s="51"/>
      <c r="AD7" s="51"/>
      <c r="AE7" s="51"/>
    </row>
    <row r="8" spans="1:32" s="533" customFormat="1" ht="25.5" customHeight="1" x14ac:dyDescent="0.2">
      <c r="A8" s="858" t="s">
        <v>17</v>
      </c>
      <c r="B8" s="546"/>
      <c r="C8" s="547"/>
      <c r="D8" s="618" t="s">
        <v>18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19</v>
      </c>
      <c r="Q8" s="634">
        <v>0.45833333333333331</v>
      </c>
      <c r="R8" s="607"/>
      <c r="T8" s="549"/>
      <c r="U8" s="702"/>
      <c r="V8" s="743"/>
      <c r="W8" s="744"/>
      <c r="AB8" s="51"/>
      <c r="AC8" s="51"/>
      <c r="AD8" s="51"/>
      <c r="AE8" s="51"/>
    </row>
    <row r="9" spans="1:32" s="533" customFormat="1" ht="39.950000000000003" customHeight="1" x14ac:dyDescent="0.2">
      <c r="A9" s="5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557"/>
      <c r="E9" s="544"/>
      <c r="F9" s="5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43" t="str">
        <f>IF(AND($A$9="Тип доверенности/получателя при получении в адресе перегруза:",$D$9="Разовая доверенность"),"Введите ФИО","")</f>
        <v/>
      </c>
      <c r="I9" s="544"/>
      <c r="J9" s="54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4"/>
      <c r="L9" s="544"/>
      <c r="M9" s="544"/>
      <c r="N9" s="531"/>
      <c r="P9" s="26" t="s">
        <v>20</v>
      </c>
      <c r="Q9" s="660"/>
      <c r="R9" s="661"/>
      <c r="T9" s="549"/>
      <c r="U9" s="702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5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557"/>
      <c r="E10" s="544"/>
      <c r="F10" s="5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1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21</v>
      </c>
      <c r="Q10" s="706"/>
      <c r="R10" s="707"/>
      <c r="U10" s="24" t="s">
        <v>22</v>
      </c>
      <c r="V10" s="551" t="s">
        <v>23</v>
      </c>
      <c r="W10" s="552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62"/>
      <c r="R11" s="663"/>
      <c r="U11" s="24" t="s">
        <v>26</v>
      </c>
      <c r="V11" s="818" t="s">
        <v>27</v>
      </c>
      <c r="W11" s="661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4" t="s">
        <v>28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3"/>
      <c r="N12" s="62"/>
      <c r="P12" s="24" t="s">
        <v>29</v>
      </c>
      <c r="Q12" s="634"/>
      <c r="R12" s="607"/>
      <c r="S12" s="23"/>
      <c r="U12" s="24"/>
      <c r="V12" s="571"/>
      <c r="W12" s="549"/>
      <c r="AB12" s="51"/>
      <c r="AC12" s="51"/>
      <c r="AD12" s="51"/>
      <c r="AE12" s="51"/>
    </row>
    <row r="13" spans="1:32" s="533" customFormat="1" ht="23.25" customHeight="1" x14ac:dyDescent="0.2">
      <c r="A13" s="694" t="s">
        <v>30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3"/>
      <c r="N13" s="62"/>
      <c r="O13" s="26"/>
      <c r="P13" s="26" t="s">
        <v>31</v>
      </c>
      <c r="Q13" s="818"/>
      <c r="R13" s="66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4" t="s">
        <v>32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33</v>
      </c>
      <c r="B15" s="632"/>
      <c r="C15" s="632"/>
      <c r="D15" s="632"/>
      <c r="E15" s="632"/>
      <c r="F15" s="632"/>
      <c r="G15" s="632"/>
      <c r="H15" s="632"/>
      <c r="I15" s="632"/>
      <c r="J15" s="632"/>
      <c r="K15" s="632"/>
      <c r="L15" s="632"/>
      <c r="M15" s="633"/>
      <c r="N15" s="63"/>
      <c r="P15" s="638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9"/>
      <c r="Q16" s="639"/>
      <c r="R16" s="639"/>
      <c r="S16" s="639"/>
      <c r="T16" s="6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5" t="s">
        <v>35</v>
      </c>
      <c r="B17" s="555" t="s">
        <v>36</v>
      </c>
      <c r="C17" s="637" t="s">
        <v>37</v>
      </c>
      <c r="D17" s="555" t="s">
        <v>38</v>
      </c>
      <c r="E17" s="643"/>
      <c r="F17" s="555" t="s">
        <v>39</v>
      </c>
      <c r="G17" s="555" t="s">
        <v>40</v>
      </c>
      <c r="H17" s="555" t="s">
        <v>41</v>
      </c>
      <c r="I17" s="555" t="s">
        <v>42</v>
      </c>
      <c r="J17" s="555" t="s">
        <v>43</v>
      </c>
      <c r="K17" s="555" t="s">
        <v>44</v>
      </c>
      <c r="L17" s="555" t="s">
        <v>45</v>
      </c>
      <c r="M17" s="555" t="s">
        <v>46</v>
      </c>
      <c r="N17" s="555" t="s">
        <v>47</v>
      </c>
      <c r="O17" s="555" t="s">
        <v>48</v>
      </c>
      <c r="P17" s="555" t="s">
        <v>49</v>
      </c>
      <c r="Q17" s="642"/>
      <c r="R17" s="642"/>
      <c r="S17" s="642"/>
      <c r="T17" s="643"/>
      <c r="U17" s="847" t="s">
        <v>50</v>
      </c>
      <c r="V17" s="633"/>
      <c r="W17" s="555" t="s">
        <v>51</v>
      </c>
      <c r="X17" s="555" t="s">
        <v>52</v>
      </c>
      <c r="Y17" s="848" t="s">
        <v>53</v>
      </c>
      <c r="Z17" s="754" t="s">
        <v>54</v>
      </c>
      <c r="AA17" s="722" t="s">
        <v>55</v>
      </c>
      <c r="AB17" s="722" t="s">
        <v>56</v>
      </c>
      <c r="AC17" s="722" t="s">
        <v>57</v>
      </c>
      <c r="AD17" s="722" t="s">
        <v>58</v>
      </c>
      <c r="AE17" s="809"/>
      <c r="AF17" s="810"/>
      <c r="AG17" s="66"/>
      <c r="BD17" s="65" t="s">
        <v>59</v>
      </c>
    </row>
    <row r="18" spans="1:68" ht="14.25" customHeight="1" x14ac:dyDescent="0.2">
      <c r="A18" s="556"/>
      <c r="B18" s="556"/>
      <c r="C18" s="556"/>
      <c r="D18" s="644"/>
      <c r="E18" s="646"/>
      <c r="F18" s="556"/>
      <c r="G18" s="556"/>
      <c r="H18" s="556"/>
      <c r="I18" s="556"/>
      <c r="J18" s="556"/>
      <c r="K18" s="556"/>
      <c r="L18" s="556"/>
      <c r="M18" s="556"/>
      <c r="N18" s="556"/>
      <c r="O18" s="556"/>
      <c r="P18" s="644"/>
      <c r="Q18" s="645"/>
      <c r="R18" s="645"/>
      <c r="S18" s="645"/>
      <c r="T18" s="646"/>
      <c r="U18" s="67" t="s">
        <v>60</v>
      </c>
      <c r="V18" s="67" t="s">
        <v>61</v>
      </c>
      <c r="W18" s="556"/>
      <c r="X18" s="556"/>
      <c r="Y18" s="849"/>
      <c r="Z18" s="755"/>
      <c r="AA18" s="723"/>
      <c r="AB18" s="723"/>
      <c r="AC18" s="723"/>
      <c r="AD18" s="811"/>
      <c r="AE18" s="812"/>
      <c r="AF18" s="813"/>
      <c r="AG18" s="66"/>
      <c r="BD18" s="65"/>
    </row>
    <row r="19" spans="1:68" ht="27.75" hidden="1" customHeight="1" x14ac:dyDescent="0.2">
      <c r="A19" s="689" t="s">
        <v>62</v>
      </c>
      <c r="B19" s="690"/>
      <c r="C19" s="690"/>
      <c r="D19" s="690"/>
      <c r="E19" s="690"/>
      <c r="F19" s="690"/>
      <c r="G19" s="690"/>
      <c r="H19" s="690"/>
      <c r="I19" s="690"/>
      <c r="J19" s="690"/>
      <c r="K19" s="690"/>
      <c r="L19" s="690"/>
      <c r="M19" s="690"/>
      <c r="N19" s="690"/>
      <c r="O19" s="690"/>
      <c r="P19" s="690"/>
      <c r="Q19" s="690"/>
      <c r="R19" s="690"/>
      <c r="S19" s="690"/>
      <c r="T19" s="690"/>
      <c r="U19" s="690"/>
      <c r="V19" s="690"/>
      <c r="W19" s="690"/>
      <c r="X19" s="690"/>
      <c r="Y19" s="690"/>
      <c r="Z19" s="690"/>
      <c r="AA19" s="48"/>
      <c r="AB19" s="48"/>
      <c r="AC19" s="48"/>
    </row>
    <row r="20" spans="1:68" ht="16.5" hidden="1" customHeight="1" x14ac:dyDescent="0.25">
      <c r="A20" s="548" t="s">
        <v>62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63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53">
        <v>4680115886643</v>
      </c>
      <c r="E22" s="55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60"/>
      <c r="R22" s="560"/>
      <c r="S22" s="560"/>
      <c r="T22" s="561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8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69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69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72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53">
        <v>4680115885912</v>
      </c>
      <c r="E26" s="55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8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60"/>
      <c r="R26" s="560"/>
      <c r="S26" s="560"/>
      <c r="T26" s="561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53">
        <v>4607091388237</v>
      </c>
      <c r="E27" s="55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60"/>
      <c r="R27" s="560"/>
      <c r="S27" s="560"/>
      <c r="T27" s="561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53">
        <v>4680115887350</v>
      </c>
      <c r="E28" s="55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60"/>
      <c r="R28" s="560"/>
      <c r="S28" s="560"/>
      <c r="T28" s="561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53">
        <v>4680115885905</v>
      </c>
      <c r="E29" s="55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60"/>
      <c r="R29" s="560"/>
      <c r="S29" s="560"/>
      <c r="T29" s="561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53">
        <v>4607091388244</v>
      </c>
      <c r="E30" s="55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60"/>
      <c r="R30" s="560"/>
      <c r="S30" s="560"/>
      <c r="T30" s="561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8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69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69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90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53">
        <v>4607091388503</v>
      </c>
      <c r="E34" s="55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8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69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69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89" t="s">
        <v>96</v>
      </c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690"/>
      <c r="P37" s="690"/>
      <c r="Q37" s="690"/>
      <c r="R37" s="690"/>
      <c r="S37" s="690"/>
      <c r="T37" s="690"/>
      <c r="U37" s="690"/>
      <c r="V37" s="690"/>
      <c r="W37" s="690"/>
      <c r="X37" s="690"/>
      <c r="Y37" s="690"/>
      <c r="Z37" s="690"/>
      <c r="AA37" s="48"/>
      <c r="AB37" s="48"/>
      <c r="AC37" s="48"/>
    </row>
    <row r="38" spans="1:68" ht="16.5" hidden="1" customHeight="1" x14ac:dyDescent="0.25">
      <c r="A38" s="548" t="s">
        <v>97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98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99</v>
      </c>
      <c r="B40" s="54" t="s">
        <v>100</v>
      </c>
      <c r="C40" s="31">
        <v>4301011380</v>
      </c>
      <c r="D40" s="553">
        <v>4607091385670</v>
      </c>
      <c r="E40" s="55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68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53">
        <v>4607091385687</v>
      </c>
      <c r="E41" s="55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8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3">
        <v>4680115882539</v>
      </c>
      <c r="E42" s="55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59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8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69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hidden="1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69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hidden="1" customHeight="1" x14ac:dyDescent="0.25">
      <c r="A45" s="550" t="s">
        <v>72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53">
        <v>4680115884915</v>
      </c>
      <c r="E46" s="55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8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69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69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115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98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53">
        <v>4680115885882</v>
      </c>
      <c r="E51" s="55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6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53">
        <v>4680115881426</v>
      </c>
      <c r="E52" s="55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53">
        <v>4680115880283</v>
      </c>
      <c r="E53" s="55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5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53">
        <v>4680115881525</v>
      </c>
      <c r="E54" s="55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0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53">
        <v>4680115885899</v>
      </c>
      <c r="E55" s="55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53">
        <v>4680115881419</v>
      </c>
      <c r="E56" s="55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6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8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69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69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0" t="s">
        <v>134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53">
        <v>4680115881440</v>
      </c>
      <c r="E60" s="55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53">
        <v>4680115885950</v>
      </c>
      <c r="E61" s="55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53">
        <v>4680115881433</v>
      </c>
      <c r="E62" s="55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8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69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69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0" t="s">
        <v>63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53">
        <v>4680115885073</v>
      </c>
      <c r="E66" s="55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53">
        <v>4680115885059</v>
      </c>
      <c r="E67" s="55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1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60"/>
      <c r="R67" s="560"/>
      <c r="S67" s="560"/>
      <c r="T67" s="561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3">
        <v>4680115885097</v>
      </c>
      <c r="E68" s="55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8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69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69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72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3">
        <v>4680115885769</v>
      </c>
      <c r="E72" s="55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3">
        <v>4680115884311</v>
      </c>
      <c r="E73" s="55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9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3">
        <v>4680115885929</v>
      </c>
      <c r="E74" s="55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3">
        <v>4680115884403</v>
      </c>
      <c r="E75" s="55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8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69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69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162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53">
        <v>4680115881532</v>
      </c>
      <c r="E79" s="55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3">
        <v>4680115881464</v>
      </c>
      <c r="E80" s="55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8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69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69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169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98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53">
        <v>4680115881327</v>
      </c>
      <c r="E85" s="55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53">
        <v>4680115881518</v>
      </c>
      <c r="E86" s="55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5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53">
        <v>4680115881303</v>
      </c>
      <c r="E87" s="55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69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8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69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69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0" t="s">
        <v>72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27" hidden="1" customHeight="1" x14ac:dyDescent="0.25">
      <c r="A91" s="54" t="s">
        <v>177</v>
      </c>
      <c r="B91" s="54" t="s">
        <v>178</v>
      </c>
      <c r="C91" s="31">
        <v>4301051712</v>
      </c>
      <c r="D91" s="553">
        <v>4607091386967</v>
      </c>
      <c r="E91" s="55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67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68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53">
        <v>4680115884953</v>
      </c>
      <c r="E92" s="55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1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4301051718</v>
      </c>
      <c r="D93" s="553">
        <v>4607091385731</v>
      </c>
      <c r="E93" s="55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3">
        <v>4680115880894</v>
      </c>
      <c r="E94" s="55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8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69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hidden="1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69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hidden="1" customHeight="1" x14ac:dyDescent="0.25">
      <c r="A97" s="548" t="s">
        <v>189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98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53">
        <v>4680115882133</v>
      </c>
      <c r="E99" s="55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53">
        <v>4680115880269</v>
      </c>
      <c r="E100" s="55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60"/>
      <c r="R100" s="560"/>
      <c r="S100" s="560"/>
      <c r="T100" s="561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53">
        <v>4680115880429</v>
      </c>
      <c r="E101" s="55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78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60"/>
      <c r="R101" s="560"/>
      <c r="S101" s="560"/>
      <c r="T101" s="561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53">
        <v>4680115881457</v>
      </c>
      <c r="E102" s="55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60"/>
      <c r="R102" s="560"/>
      <c r="S102" s="560"/>
      <c r="T102" s="561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68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69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69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134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53">
        <v>4680115881488</v>
      </c>
      <c r="E106" s="55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6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60"/>
      <c r="R106" s="560"/>
      <c r="S106" s="560"/>
      <c r="T106" s="561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53">
        <v>4680115882775</v>
      </c>
      <c r="E107" s="55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8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60"/>
      <c r="R107" s="560"/>
      <c r="S107" s="560"/>
      <c r="T107" s="561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53">
        <v>4680115880658</v>
      </c>
      <c r="E108" s="55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60"/>
      <c r="R108" s="560"/>
      <c r="S108" s="560"/>
      <c r="T108" s="561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8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69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69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72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hidden="1" customHeight="1" x14ac:dyDescent="0.25">
      <c r="A112" s="54" t="s">
        <v>206</v>
      </c>
      <c r="B112" s="54" t="s">
        <v>207</v>
      </c>
      <c r="C112" s="31">
        <v>4301051724</v>
      </c>
      <c r="D112" s="553">
        <v>4607091385168</v>
      </c>
      <c r="E112" s="55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60"/>
      <c r="R112" s="560"/>
      <c r="S112" s="560"/>
      <c r="T112" s="561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53">
        <v>4607091383256</v>
      </c>
      <c r="E113" s="55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5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60"/>
      <c r="R113" s="560"/>
      <c r="S113" s="560"/>
      <c r="T113" s="561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4301051721</v>
      </c>
      <c r="D114" s="553">
        <v>4607091385748</v>
      </c>
      <c r="E114" s="55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8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60"/>
      <c r="R114" s="560"/>
      <c r="S114" s="560"/>
      <c r="T114" s="561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53">
        <v>4680115884533</v>
      </c>
      <c r="E115" s="55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60"/>
      <c r="R115" s="560"/>
      <c r="S115" s="560"/>
      <c r="T115" s="561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68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69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hidden="1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69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162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53">
        <v>4680115880238</v>
      </c>
      <c r="E119" s="55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60"/>
      <c r="R119" s="560"/>
      <c r="S119" s="560"/>
      <c r="T119" s="561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8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69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69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219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98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53">
        <v>4680115882577</v>
      </c>
      <c r="E124" s="55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60"/>
      <c r="R124" s="560"/>
      <c r="S124" s="560"/>
      <c r="T124" s="561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53">
        <v>4680115882577</v>
      </c>
      <c r="E125" s="55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60"/>
      <c r="R125" s="560"/>
      <c r="S125" s="560"/>
      <c r="T125" s="561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8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69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69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63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53">
        <v>4680115883444</v>
      </c>
      <c r="E129" s="55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60"/>
      <c r="R129" s="560"/>
      <c r="S129" s="560"/>
      <c r="T129" s="561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53">
        <v>4680115883444</v>
      </c>
      <c r="E130" s="55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60"/>
      <c r="R130" s="560"/>
      <c r="S130" s="560"/>
      <c r="T130" s="561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8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69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69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72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53">
        <v>4680115882584</v>
      </c>
      <c r="E134" s="55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60"/>
      <c r="R134" s="560"/>
      <c r="S134" s="560"/>
      <c r="T134" s="561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53">
        <v>4680115882584</v>
      </c>
      <c r="E135" s="55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60"/>
      <c r="R135" s="560"/>
      <c r="S135" s="560"/>
      <c r="T135" s="561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8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69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69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96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98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53">
        <v>4680115887374</v>
      </c>
      <c r="E140" s="55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60"/>
      <c r="R140" s="560"/>
      <c r="S140" s="560"/>
      <c r="T140" s="561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53">
        <v>4607091384604</v>
      </c>
      <c r="E141" s="55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60"/>
      <c r="R141" s="560"/>
      <c r="S141" s="560"/>
      <c r="T141" s="561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8"/>
      <c r="B142" s="549"/>
      <c r="C142" s="549"/>
      <c r="D142" s="549"/>
      <c r="E142" s="549"/>
      <c r="F142" s="549"/>
      <c r="G142" s="549"/>
      <c r="H142" s="549"/>
      <c r="I142" s="549"/>
      <c r="J142" s="549"/>
      <c r="K142" s="549"/>
      <c r="L142" s="549"/>
      <c r="M142" s="549"/>
      <c r="N142" s="549"/>
      <c r="O142" s="569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49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69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0" t="s">
        <v>63</v>
      </c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49"/>
      <c r="P144" s="549"/>
      <c r="Q144" s="549"/>
      <c r="R144" s="549"/>
      <c r="S144" s="549"/>
      <c r="T144" s="549"/>
      <c r="U144" s="549"/>
      <c r="V144" s="549"/>
      <c r="W144" s="549"/>
      <c r="X144" s="549"/>
      <c r="Y144" s="549"/>
      <c r="Z144" s="549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53">
        <v>4607091387667</v>
      </c>
      <c r="E145" s="55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60"/>
      <c r="R145" s="560"/>
      <c r="S145" s="560"/>
      <c r="T145" s="561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53">
        <v>4607091387636</v>
      </c>
      <c r="E146" s="55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60"/>
      <c r="R146" s="560"/>
      <c r="S146" s="560"/>
      <c r="T146" s="561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53">
        <v>4607091382426</v>
      </c>
      <c r="E147" s="55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8"/>
      <c r="B148" s="549"/>
      <c r="C148" s="549"/>
      <c r="D148" s="549"/>
      <c r="E148" s="549"/>
      <c r="F148" s="549"/>
      <c r="G148" s="549"/>
      <c r="H148" s="549"/>
      <c r="I148" s="549"/>
      <c r="J148" s="549"/>
      <c r="K148" s="549"/>
      <c r="L148" s="549"/>
      <c r="M148" s="549"/>
      <c r="N148" s="549"/>
      <c r="O148" s="569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49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69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0" t="s">
        <v>72</v>
      </c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49"/>
      <c r="P150" s="549"/>
      <c r="Q150" s="549"/>
      <c r="R150" s="549"/>
      <c r="S150" s="549"/>
      <c r="T150" s="549"/>
      <c r="U150" s="549"/>
      <c r="V150" s="549"/>
      <c r="W150" s="549"/>
      <c r="X150" s="549"/>
      <c r="Y150" s="549"/>
      <c r="Z150" s="549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53">
        <v>4680115887459</v>
      </c>
      <c r="E151" s="55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0" t="s">
        <v>248</v>
      </c>
      <c r="Q151" s="560"/>
      <c r="R151" s="560"/>
      <c r="S151" s="560"/>
      <c r="T151" s="561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8"/>
      <c r="B152" s="549"/>
      <c r="C152" s="549"/>
      <c r="D152" s="549"/>
      <c r="E152" s="549"/>
      <c r="F152" s="549"/>
      <c r="G152" s="549"/>
      <c r="H152" s="549"/>
      <c r="I152" s="549"/>
      <c r="J152" s="549"/>
      <c r="K152" s="549"/>
      <c r="L152" s="549"/>
      <c r="M152" s="549"/>
      <c r="N152" s="549"/>
      <c r="O152" s="569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49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69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89" t="s">
        <v>250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48"/>
      <c r="AB154" s="48"/>
      <c r="AC154" s="48"/>
    </row>
    <row r="155" spans="1:68" ht="16.5" hidden="1" customHeight="1" x14ac:dyDescent="0.25">
      <c r="A155" s="548" t="s">
        <v>251</v>
      </c>
      <c r="B155" s="549"/>
      <c r="C155" s="549"/>
      <c r="D155" s="549"/>
      <c r="E155" s="549"/>
      <c r="F155" s="549"/>
      <c r="G155" s="549"/>
      <c r="H155" s="549"/>
      <c r="I155" s="549"/>
      <c r="J155" s="549"/>
      <c r="K155" s="549"/>
      <c r="L155" s="549"/>
      <c r="M155" s="549"/>
      <c r="N155" s="549"/>
      <c r="O155" s="549"/>
      <c r="P155" s="549"/>
      <c r="Q155" s="549"/>
      <c r="R155" s="549"/>
      <c r="S155" s="549"/>
      <c r="T155" s="549"/>
      <c r="U155" s="549"/>
      <c r="V155" s="549"/>
      <c r="W155" s="549"/>
      <c r="X155" s="549"/>
      <c r="Y155" s="549"/>
      <c r="Z155" s="549"/>
      <c r="AA155" s="534"/>
      <c r="AB155" s="534"/>
      <c r="AC155" s="534"/>
    </row>
    <row r="156" spans="1:68" ht="14.25" hidden="1" customHeight="1" x14ac:dyDescent="0.25">
      <c r="A156" s="550" t="s">
        <v>134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53">
        <v>4680115886223</v>
      </c>
      <c r="E157" s="55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60"/>
      <c r="R157" s="560"/>
      <c r="S157" s="560"/>
      <c r="T157" s="561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8"/>
      <c r="B158" s="549"/>
      <c r="C158" s="549"/>
      <c r="D158" s="549"/>
      <c r="E158" s="549"/>
      <c r="F158" s="549"/>
      <c r="G158" s="549"/>
      <c r="H158" s="549"/>
      <c r="I158" s="549"/>
      <c r="J158" s="549"/>
      <c r="K158" s="549"/>
      <c r="L158" s="549"/>
      <c r="M158" s="549"/>
      <c r="N158" s="549"/>
      <c r="O158" s="569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49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69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0" t="s">
        <v>63</v>
      </c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49"/>
      <c r="P160" s="549"/>
      <c r="Q160" s="549"/>
      <c r="R160" s="549"/>
      <c r="S160" s="549"/>
      <c r="T160" s="549"/>
      <c r="U160" s="549"/>
      <c r="V160" s="549"/>
      <c r="W160" s="549"/>
      <c r="X160" s="549"/>
      <c r="Y160" s="549"/>
      <c r="Z160" s="549"/>
      <c r="AA160" s="535"/>
      <c r="AB160" s="535"/>
      <c r="AC160" s="535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53">
        <v>4680115880993</v>
      </c>
      <c r="E161" s="55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85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60"/>
      <c r="R161" s="560"/>
      <c r="S161" s="560"/>
      <c r="T161" s="561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53">
        <v>4680115881761</v>
      </c>
      <c r="E162" s="55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60"/>
      <c r="R162" s="560"/>
      <c r="S162" s="560"/>
      <c r="T162" s="561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53">
        <v>4680115881563</v>
      </c>
      <c r="E163" s="55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60"/>
      <c r="R163" s="560"/>
      <c r="S163" s="560"/>
      <c r="T163" s="561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53">
        <v>4680115880986</v>
      </c>
      <c r="E164" s="55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60"/>
      <c r="R164" s="560"/>
      <c r="S164" s="560"/>
      <c r="T164" s="561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53">
        <v>4680115887213</v>
      </c>
      <c r="E165" s="55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60"/>
      <c r="R165" s="560"/>
      <c r="S165" s="560"/>
      <c r="T165" s="561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53">
        <v>4680115881785</v>
      </c>
      <c r="E166" s="55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1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60"/>
      <c r="R166" s="560"/>
      <c r="S166" s="560"/>
      <c r="T166" s="561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53">
        <v>4680115886537</v>
      </c>
      <c r="E167" s="55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60"/>
      <c r="R167" s="560"/>
      <c r="S167" s="560"/>
      <c r="T167" s="561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53">
        <v>4680115881679</v>
      </c>
      <c r="E168" s="55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60"/>
      <c r="R168" s="560"/>
      <c r="S168" s="560"/>
      <c r="T168" s="561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53">
        <v>4680115880191</v>
      </c>
      <c r="E169" s="55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60"/>
      <c r="R169" s="560"/>
      <c r="S169" s="560"/>
      <c r="T169" s="561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53">
        <v>4680115883963</v>
      </c>
      <c r="E170" s="55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60"/>
      <c r="R170" s="560"/>
      <c r="S170" s="560"/>
      <c r="T170" s="561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68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69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69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0" t="s">
        <v>90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53">
        <v>4680115886780</v>
      </c>
      <c r="E174" s="55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60"/>
      <c r="R174" s="560"/>
      <c r="S174" s="560"/>
      <c r="T174" s="561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53">
        <v>4680115886742</v>
      </c>
      <c r="E175" s="55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60"/>
      <c r="R175" s="560"/>
      <c r="S175" s="560"/>
      <c r="T175" s="561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53">
        <v>4680115886766</v>
      </c>
      <c r="E176" s="55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60"/>
      <c r="R176" s="560"/>
      <c r="S176" s="560"/>
      <c r="T176" s="561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68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69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69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293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53">
        <v>4680115886797</v>
      </c>
      <c r="E180" s="55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60"/>
      <c r="R180" s="560"/>
      <c r="S180" s="560"/>
      <c r="T180" s="561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8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69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69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48" t="s">
        <v>296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98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53">
        <v>4680115881402</v>
      </c>
      <c r="E185" s="55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60"/>
      <c r="R185" s="560"/>
      <c r="S185" s="560"/>
      <c r="T185" s="561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53">
        <v>4680115881396</v>
      </c>
      <c r="E186" s="55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60"/>
      <c r="R186" s="560"/>
      <c r="S186" s="560"/>
      <c r="T186" s="561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8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69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69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134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53">
        <v>4680115882935</v>
      </c>
      <c r="E190" s="55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60"/>
      <c r="R190" s="560"/>
      <c r="S190" s="560"/>
      <c r="T190" s="561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53">
        <v>4680115880764</v>
      </c>
      <c r="E191" s="55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60"/>
      <c r="R191" s="560"/>
      <c r="S191" s="560"/>
      <c r="T191" s="561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8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69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69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63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53">
        <v>4680115882683</v>
      </c>
      <c r="E195" s="55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60"/>
      <c r="R195" s="560"/>
      <c r="S195" s="560"/>
      <c r="T195" s="561"/>
      <c r="U195" s="34"/>
      <c r="V195" s="34"/>
      <c r="W195" s="35" t="s">
        <v>68</v>
      </c>
      <c r="X195" s="539">
        <v>150</v>
      </c>
      <c r="Y195" s="540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155.27777777777777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0.21043771043771042</v>
      </c>
      <c r="BP195" s="64">
        <f t="shared" ref="BP195:BP202" si="14">IFERROR(1/J195*(Y195/H195),"0")</f>
        <v>0.21212121212121213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53">
        <v>4680115882690</v>
      </c>
      <c r="E196" s="55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60"/>
      <c r="R196" s="560"/>
      <c r="S196" s="560"/>
      <c r="T196" s="561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53">
        <v>4680115882669</v>
      </c>
      <c r="E197" s="55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5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60"/>
      <c r="R197" s="560"/>
      <c r="S197" s="560"/>
      <c r="T197" s="561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53">
        <v>4680115882676</v>
      </c>
      <c r="E198" s="55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60"/>
      <c r="R198" s="560"/>
      <c r="S198" s="560"/>
      <c r="T198" s="561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53">
        <v>4680115884014</v>
      </c>
      <c r="E199" s="55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60"/>
      <c r="R199" s="560"/>
      <c r="S199" s="560"/>
      <c r="T199" s="561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53">
        <v>4680115884007</v>
      </c>
      <c r="E200" s="55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60"/>
      <c r="R200" s="560"/>
      <c r="S200" s="560"/>
      <c r="T200" s="561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53">
        <v>4680115884038</v>
      </c>
      <c r="E201" s="55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60"/>
      <c r="R201" s="560"/>
      <c r="S201" s="560"/>
      <c r="T201" s="561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53">
        <v>4680115884021</v>
      </c>
      <c r="E202" s="55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60"/>
      <c r="R202" s="560"/>
      <c r="S202" s="560"/>
      <c r="T202" s="561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8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69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27.777777777777775</v>
      </c>
      <c r="Y203" s="541">
        <f>IFERROR(Y195/H195,"0")+IFERROR(Y196/H196,"0")+IFERROR(Y197/H197,"0")+IFERROR(Y198/H198,"0")+IFERROR(Y199/H199,"0")+IFERROR(Y200/H200,"0")+IFERROR(Y201/H201,"0")+IFERROR(Y202/H202,"0")</f>
        <v>28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0.25256000000000001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69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150</v>
      </c>
      <c r="Y204" s="541">
        <f>IFERROR(SUM(Y195:Y202),"0")</f>
        <v>151.20000000000002</v>
      </c>
      <c r="Z204" s="37"/>
      <c r="AA204" s="542"/>
      <c r="AB204" s="542"/>
      <c r="AC204" s="542"/>
    </row>
    <row r="205" spans="1:68" ht="14.25" hidden="1" customHeight="1" x14ac:dyDescent="0.25">
      <c r="A205" s="550" t="s">
        <v>72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53">
        <v>4680115881594</v>
      </c>
      <c r="E206" s="55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60"/>
      <c r="R206" s="560"/>
      <c r="S206" s="560"/>
      <c r="T206" s="561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53">
        <v>4680115881617</v>
      </c>
      <c r="E207" s="55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60"/>
      <c r="R207" s="560"/>
      <c r="S207" s="560"/>
      <c r="T207" s="561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53">
        <v>4680115880573</v>
      </c>
      <c r="E208" s="55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60"/>
      <c r="R208" s="560"/>
      <c r="S208" s="560"/>
      <c r="T208" s="561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53">
        <v>4680115882195</v>
      </c>
      <c r="E209" s="55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60"/>
      <c r="R209" s="560"/>
      <c r="S209" s="560"/>
      <c r="T209" s="561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53">
        <v>4680115882607</v>
      </c>
      <c r="E210" s="55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9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60"/>
      <c r="R210" s="560"/>
      <c r="S210" s="560"/>
      <c r="T210" s="561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4301051666</v>
      </c>
      <c r="D211" s="553">
        <v>4680115880092</v>
      </c>
      <c r="E211" s="55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60"/>
      <c r="R211" s="560"/>
      <c r="S211" s="560"/>
      <c r="T211" s="561"/>
      <c r="U211" s="34"/>
      <c r="V211" s="34"/>
      <c r="W211" s="35" t="s">
        <v>68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53">
        <v>4680115880221</v>
      </c>
      <c r="E212" s="55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60"/>
      <c r="R212" s="560"/>
      <c r="S212" s="560"/>
      <c r="T212" s="561"/>
      <c r="U212" s="34"/>
      <c r="V212" s="34"/>
      <c r="W212" s="35" t="s">
        <v>68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53">
        <v>4680115880504</v>
      </c>
      <c r="E213" s="55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60"/>
      <c r="R213" s="560"/>
      <c r="S213" s="560"/>
      <c r="T213" s="561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53">
        <v>4680115882164</v>
      </c>
      <c r="E214" s="55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4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60"/>
      <c r="R214" s="560"/>
      <c r="S214" s="560"/>
      <c r="T214" s="561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68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69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hidden="1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69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162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53">
        <v>4680115880818</v>
      </c>
      <c r="E218" s="55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60"/>
      <c r="R218" s="560"/>
      <c r="S218" s="560"/>
      <c r="T218" s="561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53">
        <v>4680115880801</v>
      </c>
      <c r="E219" s="55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60"/>
      <c r="R219" s="560"/>
      <c r="S219" s="560"/>
      <c r="T219" s="561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8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69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69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48" t="s">
        <v>355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98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53">
        <v>4680115884137</v>
      </c>
      <c r="E224" s="55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60"/>
      <c r="R224" s="560"/>
      <c r="S224" s="560"/>
      <c r="T224" s="561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53">
        <v>4680115884236</v>
      </c>
      <c r="E225" s="55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60"/>
      <c r="R225" s="560"/>
      <c r="S225" s="560"/>
      <c r="T225" s="561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53">
        <v>4680115884175</v>
      </c>
      <c r="E226" s="55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60"/>
      <c r="R226" s="560"/>
      <c r="S226" s="560"/>
      <c r="T226" s="561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53">
        <v>4680115884144</v>
      </c>
      <c r="E227" s="55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60"/>
      <c r="R227" s="560"/>
      <c r="S227" s="560"/>
      <c r="T227" s="561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53">
        <v>4680115884144</v>
      </c>
      <c r="E228" s="55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53">
        <v>4680115886551</v>
      </c>
      <c r="E229" s="55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53">
        <v>4680115884182</v>
      </c>
      <c r="E230" s="55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8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60"/>
      <c r="R230" s="560"/>
      <c r="S230" s="560"/>
      <c r="T230" s="561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53">
        <v>4680115887282</v>
      </c>
      <c r="E231" s="55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60"/>
      <c r="R231" s="560"/>
      <c r="S231" s="560"/>
      <c r="T231" s="561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53">
        <v>4680115884205</v>
      </c>
      <c r="E232" s="55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60"/>
      <c r="R232" s="560"/>
      <c r="S232" s="560"/>
      <c r="T232" s="561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53">
        <v>4680115884205</v>
      </c>
      <c r="E233" s="55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60"/>
      <c r="R233" s="560"/>
      <c r="S233" s="560"/>
      <c r="T233" s="561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8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69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69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134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53">
        <v>4680115885981</v>
      </c>
      <c r="E237" s="55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60"/>
      <c r="R237" s="560"/>
      <c r="S237" s="560"/>
      <c r="T237" s="561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8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69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69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381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53">
        <v>4680115886803</v>
      </c>
      <c r="E241" s="55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60"/>
      <c r="R241" s="560"/>
      <c r="S241" s="560"/>
      <c r="T241" s="561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8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69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69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385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53">
        <v>4680115886704</v>
      </c>
      <c r="E245" s="55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60"/>
      <c r="R245" s="560"/>
      <c r="S245" s="560"/>
      <c r="T245" s="561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53">
        <v>4680115886681</v>
      </c>
      <c r="E246" s="55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7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60"/>
      <c r="R246" s="560"/>
      <c r="S246" s="560"/>
      <c r="T246" s="561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53">
        <v>4680115886735</v>
      </c>
      <c r="E247" s="55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5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60"/>
      <c r="R247" s="560"/>
      <c r="S247" s="560"/>
      <c r="T247" s="561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53">
        <v>4680115886728</v>
      </c>
      <c r="E248" s="55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60"/>
      <c r="R248" s="560"/>
      <c r="S248" s="560"/>
      <c r="T248" s="561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53">
        <v>4680115886711</v>
      </c>
      <c r="E249" s="55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8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60"/>
      <c r="R249" s="560"/>
      <c r="S249" s="560"/>
      <c r="T249" s="561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8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69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69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397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98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53">
        <v>4680115885837</v>
      </c>
      <c r="E254" s="55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3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60"/>
      <c r="R254" s="560"/>
      <c r="S254" s="560"/>
      <c r="T254" s="561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53">
        <v>4680115885851</v>
      </c>
      <c r="E255" s="55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60"/>
      <c r="R255" s="560"/>
      <c r="S255" s="560"/>
      <c r="T255" s="561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53">
        <v>4680115885806</v>
      </c>
      <c r="E256" s="55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60"/>
      <c r="R256" s="560"/>
      <c r="S256" s="560"/>
      <c r="T256" s="561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53">
        <v>4680115885844</v>
      </c>
      <c r="E257" s="55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60"/>
      <c r="R257" s="560"/>
      <c r="S257" s="560"/>
      <c r="T257" s="561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53">
        <v>4680115885820</v>
      </c>
      <c r="E258" s="55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60"/>
      <c r="R258" s="560"/>
      <c r="S258" s="560"/>
      <c r="T258" s="561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8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69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69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413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98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53">
        <v>4607091383423</v>
      </c>
      <c r="E263" s="55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60"/>
      <c r="R263" s="560"/>
      <c r="S263" s="560"/>
      <c r="T263" s="561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53">
        <v>4680115886957</v>
      </c>
      <c r="E264" s="55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0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60"/>
      <c r="R264" s="560"/>
      <c r="S264" s="560"/>
      <c r="T264" s="561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53">
        <v>4680115885660</v>
      </c>
      <c r="E265" s="55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60"/>
      <c r="R265" s="560"/>
      <c r="S265" s="560"/>
      <c r="T265" s="561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53">
        <v>4680115886773</v>
      </c>
      <c r="E266" s="55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60"/>
      <c r="R266" s="560"/>
      <c r="S266" s="560"/>
      <c r="T266" s="561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8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69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69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424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72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53">
        <v>4680115886186</v>
      </c>
      <c r="E271" s="55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60"/>
      <c r="R271" s="560"/>
      <c r="S271" s="560"/>
      <c r="T271" s="561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53">
        <v>4680115881228</v>
      </c>
      <c r="E272" s="55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60"/>
      <c r="R272" s="560"/>
      <c r="S272" s="560"/>
      <c r="T272" s="561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53">
        <v>4680115881211</v>
      </c>
      <c r="E273" s="55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60"/>
      <c r="R273" s="560"/>
      <c r="S273" s="560"/>
      <c r="T273" s="561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8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69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69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433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63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53">
        <v>4680115880344</v>
      </c>
      <c r="E278" s="55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60"/>
      <c r="R278" s="560"/>
      <c r="S278" s="560"/>
      <c r="T278" s="561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53">
        <v>4680115886919</v>
      </c>
      <c r="E279" s="55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60"/>
      <c r="R279" s="560"/>
      <c r="S279" s="560"/>
      <c r="T279" s="561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8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69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69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72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53">
        <v>4680115884618</v>
      </c>
      <c r="E283" s="55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2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60"/>
      <c r="R283" s="560"/>
      <c r="S283" s="560"/>
      <c r="T283" s="561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53">
        <v>4680115887114</v>
      </c>
      <c r="E284" s="55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53" t="s">
        <v>445</v>
      </c>
      <c r="Q284" s="560"/>
      <c r="R284" s="560"/>
      <c r="S284" s="560"/>
      <c r="T284" s="561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8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69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49"/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69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48" t="s">
        <v>447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4"/>
      <c r="AB287" s="534"/>
      <c r="AC287" s="534"/>
    </row>
    <row r="288" spans="1:68" ht="14.25" hidden="1" customHeight="1" x14ac:dyDescent="0.25">
      <c r="A288" s="550" t="s">
        <v>98</v>
      </c>
      <c r="B288" s="549"/>
      <c r="C288" s="549"/>
      <c r="D288" s="549"/>
      <c r="E288" s="549"/>
      <c r="F288" s="549"/>
      <c r="G288" s="549"/>
      <c r="H288" s="549"/>
      <c r="I288" s="549"/>
      <c r="J288" s="549"/>
      <c r="K288" s="549"/>
      <c r="L288" s="549"/>
      <c r="M288" s="549"/>
      <c r="N288" s="549"/>
      <c r="O288" s="549"/>
      <c r="P288" s="549"/>
      <c r="Q288" s="549"/>
      <c r="R288" s="549"/>
      <c r="S288" s="549"/>
      <c r="T288" s="549"/>
      <c r="U288" s="549"/>
      <c r="V288" s="549"/>
      <c r="W288" s="549"/>
      <c r="X288" s="549"/>
      <c r="Y288" s="549"/>
      <c r="Z288" s="549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53">
        <v>4680115885615</v>
      </c>
      <c r="E289" s="55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60"/>
      <c r="R289" s="560"/>
      <c r="S289" s="560"/>
      <c r="T289" s="561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53">
        <v>4680115885646</v>
      </c>
      <c r="E290" s="55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60"/>
      <c r="R290" s="560"/>
      <c r="S290" s="560"/>
      <c r="T290" s="561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53">
        <v>4680115885554</v>
      </c>
      <c r="E291" s="55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60"/>
      <c r="R291" s="560"/>
      <c r="S291" s="560"/>
      <c r="T291" s="561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53">
        <v>4680115885622</v>
      </c>
      <c r="E292" s="55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3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60"/>
      <c r="R292" s="560"/>
      <c r="S292" s="560"/>
      <c r="T292" s="561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53">
        <v>4680115885608</v>
      </c>
      <c r="E293" s="55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60"/>
      <c r="R293" s="560"/>
      <c r="S293" s="560"/>
      <c r="T293" s="561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8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69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49"/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69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0" t="s">
        <v>63</v>
      </c>
      <c r="B296" s="549"/>
      <c r="C296" s="549"/>
      <c r="D296" s="549"/>
      <c r="E296" s="549"/>
      <c r="F296" s="549"/>
      <c r="G296" s="549"/>
      <c r="H296" s="549"/>
      <c r="I296" s="549"/>
      <c r="J296" s="549"/>
      <c r="K296" s="549"/>
      <c r="L296" s="549"/>
      <c r="M296" s="549"/>
      <c r="N296" s="549"/>
      <c r="O296" s="549"/>
      <c r="P296" s="549"/>
      <c r="Q296" s="549"/>
      <c r="R296" s="549"/>
      <c r="S296" s="549"/>
      <c r="T296" s="549"/>
      <c r="U296" s="549"/>
      <c r="V296" s="549"/>
      <c r="W296" s="549"/>
      <c r="X296" s="549"/>
      <c r="Y296" s="549"/>
      <c r="Z296" s="549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53">
        <v>4607091387193</v>
      </c>
      <c r="E297" s="55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60"/>
      <c r="R297" s="560"/>
      <c r="S297" s="560"/>
      <c r="T297" s="561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53">
        <v>4607091387230</v>
      </c>
      <c r="E298" s="55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60"/>
      <c r="R298" s="560"/>
      <c r="S298" s="560"/>
      <c r="T298" s="561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53">
        <v>4607091387292</v>
      </c>
      <c r="E299" s="55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60"/>
      <c r="R299" s="560"/>
      <c r="S299" s="560"/>
      <c r="T299" s="561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53">
        <v>4607091387285</v>
      </c>
      <c r="E300" s="55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60"/>
      <c r="R300" s="560"/>
      <c r="S300" s="560"/>
      <c r="T300" s="561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53">
        <v>4607091389845</v>
      </c>
      <c r="E301" s="55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60"/>
      <c r="R301" s="560"/>
      <c r="S301" s="560"/>
      <c r="T301" s="561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53">
        <v>4680115882881</v>
      </c>
      <c r="E302" s="55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2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60"/>
      <c r="R302" s="560"/>
      <c r="S302" s="560"/>
      <c r="T302" s="561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53">
        <v>4607091383836</v>
      </c>
      <c r="E303" s="55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60"/>
      <c r="R303" s="560"/>
      <c r="S303" s="560"/>
      <c r="T303" s="561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8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69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49"/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69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0" t="s">
        <v>72</v>
      </c>
      <c r="B306" s="549"/>
      <c r="C306" s="549"/>
      <c r="D306" s="549"/>
      <c r="E306" s="549"/>
      <c r="F306" s="549"/>
      <c r="G306" s="549"/>
      <c r="H306" s="549"/>
      <c r="I306" s="549"/>
      <c r="J306" s="549"/>
      <c r="K306" s="549"/>
      <c r="L306" s="549"/>
      <c r="M306" s="549"/>
      <c r="N306" s="549"/>
      <c r="O306" s="549"/>
      <c r="P306" s="549"/>
      <c r="Q306" s="549"/>
      <c r="R306" s="549"/>
      <c r="S306" s="549"/>
      <c r="T306" s="549"/>
      <c r="U306" s="549"/>
      <c r="V306" s="549"/>
      <c r="W306" s="549"/>
      <c r="X306" s="549"/>
      <c r="Y306" s="549"/>
      <c r="Z306" s="549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53">
        <v>4607091387766</v>
      </c>
      <c r="E307" s="55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7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60"/>
      <c r="R307" s="560"/>
      <c r="S307" s="560"/>
      <c r="T307" s="561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53">
        <v>4607091387957</v>
      </c>
      <c r="E308" s="55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7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60"/>
      <c r="R308" s="560"/>
      <c r="S308" s="560"/>
      <c r="T308" s="561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53">
        <v>4607091387964</v>
      </c>
      <c r="E309" s="55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60"/>
      <c r="R309" s="560"/>
      <c r="S309" s="560"/>
      <c r="T309" s="561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53">
        <v>4680115884588</v>
      </c>
      <c r="E310" s="55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60"/>
      <c r="R310" s="560"/>
      <c r="S310" s="560"/>
      <c r="T310" s="561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8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69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69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162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53">
        <v>4607091380880</v>
      </c>
      <c r="E314" s="55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60"/>
      <c r="R314" s="560"/>
      <c r="S314" s="560"/>
      <c r="T314" s="561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53">
        <v>4607091384482</v>
      </c>
      <c r="E315" s="55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60"/>
      <c r="R315" s="560"/>
      <c r="S315" s="560"/>
      <c r="T315" s="561"/>
      <c r="U315" s="34"/>
      <c r="V315" s="34"/>
      <c r="W315" s="35" t="s">
        <v>68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53">
        <v>4607091380897</v>
      </c>
      <c r="E316" s="55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60"/>
      <c r="R316" s="560"/>
      <c r="S316" s="560"/>
      <c r="T316" s="561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8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69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38.46153846153846</v>
      </c>
      <c r="Y317" s="541">
        <f>IFERROR(Y314/H314,"0")+IFERROR(Y315/H315,"0")+IFERROR(Y316/H316,"0")</f>
        <v>39</v>
      </c>
      <c r="Z317" s="541">
        <f>IFERROR(IF(Z314="",0,Z314),"0")+IFERROR(IF(Z315="",0,Z315),"0")+IFERROR(IF(Z316="",0,Z316),"0")</f>
        <v>0.74021999999999999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69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300</v>
      </c>
      <c r="Y318" s="541">
        <f>IFERROR(SUM(Y314:Y316),"0")</f>
        <v>304.2</v>
      </c>
      <c r="Z318" s="37"/>
      <c r="AA318" s="542"/>
      <c r="AB318" s="542"/>
      <c r="AC318" s="542"/>
    </row>
    <row r="319" spans="1:68" ht="14.25" hidden="1" customHeight="1" x14ac:dyDescent="0.25">
      <c r="A319" s="550" t="s">
        <v>90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53">
        <v>4607091388381</v>
      </c>
      <c r="E320" s="55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60"/>
      <c r="R320" s="560"/>
      <c r="S320" s="560"/>
      <c r="T320" s="561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53">
        <v>4607091388374</v>
      </c>
      <c r="E321" s="55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60"/>
      <c r="R321" s="560"/>
      <c r="S321" s="560"/>
      <c r="T321" s="561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53">
        <v>4607091383102</v>
      </c>
      <c r="E322" s="55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68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60"/>
      <c r="R322" s="560"/>
      <c r="S322" s="560"/>
      <c r="T322" s="561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53">
        <v>4607091388404</v>
      </c>
      <c r="E323" s="55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60"/>
      <c r="R323" s="560"/>
      <c r="S323" s="560"/>
      <c r="T323" s="561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8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69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69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512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53">
        <v>4680115881808</v>
      </c>
      <c r="E327" s="55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60"/>
      <c r="R327" s="560"/>
      <c r="S327" s="560"/>
      <c r="T327" s="561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53">
        <v>4680115881822</v>
      </c>
      <c r="E328" s="55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60"/>
      <c r="R328" s="560"/>
      <c r="S328" s="560"/>
      <c r="T328" s="561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53">
        <v>4680115880016</v>
      </c>
      <c r="E329" s="55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60"/>
      <c r="R329" s="560"/>
      <c r="S329" s="560"/>
      <c r="T329" s="561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8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69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69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521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72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53">
        <v>4607091387919</v>
      </c>
      <c r="E334" s="55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60"/>
      <c r="R334" s="560"/>
      <c r="S334" s="560"/>
      <c r="T334" s="561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53">
        <v>4680115883604</v>
      </c>
      <c r="E335" s="55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5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60"/>
      <c r="R335" s="560"/>
      <c r="S335" s="560"/>
      <c r="T335" s="561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53">
        <v>4680115883567</v>
      </c>
      <c r="E336" s="55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60"/>
      <c r="R336" s="560"/>
      <c r="S336" s="560"/>
      <c r="T336" s="561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8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69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69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89" t="s">
        <v>531</v>
      </c>
      <c r="B339" s="690"/>
      <c r="C339" s="690"/>
      <c r="D339" s="690"/>
      <c r="E339" s="690"/>
      <c r="F339" s="690"/>
      <c r="G339" s="690"/>
      <c r="H339" s="690"/>
      <c r="I339" s="690"/>
      <c r="J339" s="690"/>
      <c r="K339" s="690"/>
      <c r="L339" s="690"/>
      <c r="M339" s="690"/>
      <c r="N339" s="690"/>
      <c r="O339" s="690"/>
      <c r="P339" s="690"/>
      <c r="Q339" s="690"/>
      <c r="R339" s="690"/>
      <c r="S339" s="690"/>
      <c r="T339" s="690"/>
      <c r="U339" s="690"/>
      <c r="V339" s="690"/>
      <c r="W339" s="690"/>
      <c r="X339" s="690"/>
      <c r="Y339" s="690"/>
      <c r="Z339" s="690"/>
      <c r="AA339" s="48"/>
      <c r="AB339" s="48"/>
      <c r="AC339" s="48"/>
    </row>
    <row r="340" spans="1:68" ht="16.5" hidden="1" customHeight="1" x14ac:dyDescent="0.25">
      <c r="A340" s="548" t="s">
        <v>532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98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hidden="1" customHeight="1" x14ac:dyDescent="0.25">
      <c r="A342" s="54" t="s">
        <v>533</v>
      </c>
      <c r="B342" s="54" t="s">
        <v>534</v>
      </c>
      <c r="C342" s="31">
        <v>4301011869</v>
      </c>
      <c r="D342" s="553">
        <v>4680115884847</v>
      </c>
      <c r="E342" s="55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60"/>
      <c r="R342" s="560"/>
      <c r="S342" s="560"/>
      <c r="T342" s="561"/>
      <c r="U342" s="34"/>
      <c r="V342" s="34"/>
      <c r="W342" s="35" t="s">
        <v>68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53">
        <v>4680115884854</v>
      </c>
      <c r="E343" s="55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60"/>
      <c r="R343" s="560"/>
      <c r="S343" s="560"/>
      <c r="T343" s="561"/>
      <c r="U343" s="34"/>
      <c r="V343" s="34"/>
      <c r="W343" s="35" t="s">
        <v>68</v>
      </c>
      <c r="X343" s="539">
        <v>200</v>
      </c>
      <c r="Y343" s="540">
        <f t="shared" si="31"/>
        <v>210</v>
      </c>
      <c r="Z343" s="36">
        <f>IFERROR(IF(Y343=0,"",ROUNDUP(Y343/H343,0)*0.02175),"")</f>
        <v>0.30449999999999999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206.26666666666668</v>
      </c>
      <c r="BN343" s="64">
        <f t="shared" si="33"/>
        <v>216.58</v>
      </c>
      <c r="BO343" s="64">
        <f t="shared" si="34"/>
        <v>0.27777777777777779</v>
      </c>
      <c r="BP343" s="64">
        <f t="shared" si="35"/>
        <v>0.29166666666666663</v>
      </c>
    </row>
    <row r="344" spans="1:68" ht="37.5" hidden="1" customHeight="1" x14ac:dyDescent="0.25">
      <c r="A344" s="54" t="s">
        <v>539</v>
      </c>
      <c r="B344" s="54" t="s">
        <v>540</v>
      </c>
      <c r="C344" s="31">
        <v>4301011867</v>
      </c>
      <c r="D344" s="553">
        <v>4680115884830</v>
      </c>
      <c r="E344" s="55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7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60"/>
      <c r="R344" s="560"/>
      <c r="S344" s="560"/>
      <c r="T344" s="561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4301012215</v>
      </c>
      <c r="D345" s="553">
        <v>4680115887046</v>
      </c>
      <c r="E345" s="55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4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60"/>
      <c r="R345" s="560"/>
      <c r="S345" s="560"/>
      <c r="T345" s="561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53">
        <v>4680115882638</v>
      </c>
      <c r="E346" s="55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60"/>
      <c r="R346" s="560"/>
      <c r="S346" s="560"/>
      <c r="T346" s="561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53">
        <v>4680115884922</v>
      </c>
      <c r="E347" s="55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60"/>
      <c r="R347" s="560"/>
      <c r="S347" s="560"/>
      <c r="T347" s="561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53">
        <v>4680115884861</v>
      </c>
      <c r="E348" s="55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60"/>
      <c r="R348" s="560"/>
      <c r="S348" s="560"/>
      <c r="T348" s="561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8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69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13.333333333333334</v>
      </c>
      <c r="Y349" s="541">
        <f>IFERROR(Y342/H342,"0")+IFERROR(Y343/H343,"0")+IFERROR(Y344/H344,"0")+IFERROR(Y345/H345,"0")+IFERROR(Y346/H346,"0")+IFERROR(Y347/H347,"0")+IFERROR(Y348/H348,"0")</f>
        <v>14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0.30449999999999999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69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200</v>
      </c>
      <c r="Y350" s="541">
        <f>IFERROR(SUM(Y342:Y348),"0")</f>
        <v>210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134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hidden="1" customHeight="1" x14ac:dyDescent="0.25">
      <c r="A352" s="54" t="s">
        <v>552</v>
      </c>
      <c r="B352" s="54" t="s">
        <v>553</v>
      </c>
      <c r="C352" s="31">
        <v>4301020178</v>
      </c>
      <c r="D352" s="553">
        <v>4607091383980</v>
      </c>
      <c r="E352" s="55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60"/>
      <c r="R352" s="560"/>
      <c r="S352" s="560"/>
      <c r="T352" s="561"/>
      <c r="U352" s="34"/>
      <c r="V352" s="34"/>
      <c r="W352" s="35" t="s">
        <v>68</v>
      </c>
      <c r="X352" s="539">
        <v>0</v>
      </c>
      <c r="Y352" s="540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53">
        <v>4607091384178</v>
      </c>
      <c r="E353" s="55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60"/>
      <c r="R353" s="560"/>
      <c r="S353" s="560"/>
      <c r="T353" s="561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568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69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0</v>
      </c>
      <c r="Y354" s="541">
        <f>IFERROR(Y352/H352,"0")+IFERROR(Y353/H353,"0")</f>
        <v>0</v>
      </c>
      <c r="Z354" s="541">
        <f>IFERROR(IF(Z352="",0,Z352),"0")+IFERROR(IF(Z353="",0,Z353),"0")</f>
        <v>0</v>
      </c>
      <c r="AA354" s="542"/>
      <c r="AB354" s="542"/>
      <c r="AC354" s="542"/>
    </row>
    <row r="355" spans="1:68" hidden="1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69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0</v>
      </c>
      <c r="Y355" s="541">
        <f>IFERROR(SUM(Y352:Y353),"0")</f>
        <v>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72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53">
        <v>4607091383928</v>
      </c>
      <c r="E357" s="55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7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60"/>
      <c r="R357" s="560"/>
      <c r="S357" s="560"/>
      <c r="T357" s="561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53">
        <v>4607091384260</v>
      </c>
      <c r="E358" s="55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60"/>
      <c r="R358" s="560"/>
      <c r="S358" s="560"/>
      <c r="T358" s="561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8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69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69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162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53">
        <v>4607091384673</v>
      </c>
      <c r="E362" s="55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60"/>
      <c r="R362" s="560"/>
      <c r="S362" s="560"/>
      <c r="T362" s="561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8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69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69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48" t="s">
        <v>566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98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53">
        <v>4680115884885</v>
      </c>
      <c r="E367" s="55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53">
        <v>4680115884908</v>
      </c>
      <c r="E368" s="55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60"/>
      <c r="R368" s="560"/>
      <c r="S368" s="560"/>
      <c r="T368" s="561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8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69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69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63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53">
        <v>4607091384802</v>
      </c>
      <c r="E372" s="55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60"/>
      <c r="R372" s="560"/>
      <c r="S372" s="560"/>
      <c r="T372" s="561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53">
        <v>4607091384802</v>
      </c>
      <c r="E373" s="55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60"/>
      <c r="R373" s="560"/>
      <c r="S373" s="560"/>
      <c r="T373" s="561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8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69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69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72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53">
        <v>4607091384246</v>
      </c>
      <c r="E377" s="55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60"/>
      <c r="R377" s="560"/>
      <c r="S377" s="560"/>
      <c r="T377" s="561"/>
      <c r="U377" s="34"/>
      <c r="V377" s="34"/>
      <c r="W377" s="35" t="s">
        <v>68</v>
      </c>
      <c r="X377" s="539">
        <v>2000</v>
      </c>
      <c r="Y377" s="540">
        <f>IFERROR(IF(X377="",0,CEILING((X377/$H377),1)*$H377),"")</f>
        <v>2007</v>
      </c>
      <c r="Z377" s="36">
        <f>IFERROR(IF(Y377=0,"",ROUNDUP(Y377/H377,0)*0.01898),"")</f>
        <v>4.2325400000000002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2109.7777777777778</v>
      </c>
      <c r="BN377" s="64">
        <f>IFERROR(Y377*I377/H377,"0")</f>
        <v>2117.1619999999998</v>
      </c>
      <c r="BO377" s="64">
        <f>IFERROR(1/J377*(X377/H377),"0")</f>
        <v>3.4722222222222223</v>
      </c>
      <c r="BP377" s="64">
        <f>IFERROR(1/J377*(Y377/H377),"0")</f>
        <v>3.484375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53">
        <v>4607091384253</v>
      </c>
      <c r="E378" s="55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60"/>
      <c r="R378" s="560"/>
      <c r="S378" s="560"/>
      <c r="T378" s="561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8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69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222.22222222222223</v>
      </c>
      <c r="Y379" s="541">
        <f>IFERROR(Y377/H377,"0")+IFERROR(Y378/H378,"0")</f>
        <v>223</v>
      </c>
      <c r="Z379" s="541">
        <f>IFERROR(IF(Z377="",0,Z377),"0")+IFERROR(IF(Z378="",0,Z378),"0")</f>
        <v>4.2325400000000002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69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2000</v>
      </c>
      <c r="Y380" s="541">
        <f>IFERROR(SUM(Y377:Y378),"0")</f>
        <v>2007</v>
      </c>
      <c r="Z380" s="37"/>
      <c r="AA380" s="542"/>
      <c r="AB380" s="542"/>
      <c r="AC380" s="542"/>
    </row>
    <row r="381" spans="1:68" ht="27.75" hidden="1" customHeight="1" x14ac:dyDescent="0.2">
      <c r="A381" s="689" t="s">
        <v>582</v>
      </c>
      <c r="B381" s="690"/>
      <c r="C381" s="690"/>
      <c r="D381" s="690"/>
      <c r="E381" s="690"/>
      <c r="F381" s="690"/>
      <c r="G381" s="690"/>
      <c r="H381" s="690"/>
      <c r="I381" s="690"/>
      <c r="J381" s="690"/>
      <c r="K381" s="690"/>
      <c r="L381" s="690"/>
      <c r="M381" s="690"/>
      <c r="N381" s="690"/>
      <c r="O381" s="690"/>
      <c r="P381" s="690"/>
      <c r="Q381" s="690"/>
      <c r="R381" s="690"/>
      <c r="S381" s="690"/>
      <c r="T381" s="690"/>
      <c r="U381" s="690"/>
      <c r="V381" s="690"/>
      <c r="W381" s="690"/>
      <c r="X381" s="690"/>
      <c r="Y381" s="690"/>
      <c r="Z381" s="690"/>
      <c r="AA381" s="48"/>
      <c r="AB381" s="48"/>
      <c r="AC381" s="48"/>
    </row>
    <row r="382" spans="1:68" ht="16.5" hidden="1" customHeight="1" x14ac:dyDescent="0.25">
      <c r="A382" s="548" t="s">
        <v>583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63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53">
        <v>4680115886100</v>
      </c>
      <c r="E384" s="55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60"/>
      <c r="R384" s="560"/>
      <c r="S384" s="560"/>
      <c r="T384" s="561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53">
        <v>4680115886117</v>
      </c>
      <c r="E385" s="55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60"/>
      <c r="R385" s="560"/>
      <c r="S385" s="560"/>
      <c r="T385" s="561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53">
        <v>4680115886124</v>
      </c>
      <c r="E386" s="55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60"/>
      <c r="R386" s="560"/>
      <c r="S386" s="560"/>
      <c r="T386" s="561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53">
        <v>4680115883147</v>
      </c>
      <c r="E387" s="55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60"/>
      <c r="R387" s="560"/>
      <c r="S387" s="560"/>
      <c r="T387" s="561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53">
        <v>4607091384338</v>
      </c>
      <c r="E388" s="55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60"/>
      <c r="R388" s="560"/>
      <c r="S388" s="560"/>
      <c r="T388" s="561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53">
        <v>4607091389524</v>
      </c>
      <c r="E389" s="55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60"/>
      <c r="R389" s="560"/>
      <c r="S389" s="560"/>
      <c r="T389" s="561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53">
        <v>4680115883161</v>
      </c>
      <c r="E390" s="55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60"/>
      <c r="R390" s="560"/>
      <c r="S390" s="560"/>
      <c r="T390" s="561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53">
        <v>4607091389531</v>
      </c>
      <c r="E391" s="55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60"/>
      <c r="R391" s="560"/>
      <c r="S391" s="560"/>
      <c r="T391" s="561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53">
        <v>4607091384345</v>
      </c>
      <c r="E392" s="55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60"/>
      <c r="R392" s="560"/>
      <c r="S392" s="560"/>
      <c r="T392" s="561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8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69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69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72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53">
        <v>4607091384352</v>
      </c>
      <c r="E396" s="55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60"/>
      <c r="R396" s="560"/>
      <c r="S396" s="560"/>
      <c r="T396" s="561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53">
        <v>4607091389654</v>
      </c>
      <c r="E397" s="55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7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60"/>
      <c r="R397" s="560"/>
      <c r="S397" s="560"/>
      <c r="T397" s="561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8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69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69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614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134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53">
        <v>4680115885240</v>
      </c>
      <c r="E402" s="55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60"/>
      <c r="R402" s="560"/>
      <c r="S402" s="560"/>
      <c r="T402" s="561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8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69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69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63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53">
        <v>4680115886094</v>
      </c>
      <c r="E406" s="55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7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60"/>
      <c r="R406" s="560"/>
      <c r="S406" s="560"/>
      <c r="T406" s="561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53">
        <v>4607091389425</v>
      </c>
      <c r="E407" s="55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2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60"/>
      <c r="R407" s="560"/>
      <c r="S407" s="560"/>
      <c r="T407" s="561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53">
        <v>4680115880771</v>
      </c>
      <c r="E408" s="55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60"/>
      <c r="R408" s="560"/>
      <c r="S408" s="560"/>
      <c r="T408" s="561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53">
        <v>4607091389500</v>
      </c>
      <c r="E409" s="55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60"/>
      <c r="R409" s="560"/>
      <c r="S409" s="560"/>
      <c r="T409" s="561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8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69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69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629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63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53">
        <v>4680115885110</v>
      </c>
      <c r="E414" s="55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60"/>
      <c r="R414" s="560"/>
      <c r="S414" s="560"/>
      <c r="T414" s="561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8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69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69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89" t="s">
        <v>633</v>
      </c>
      <c r="B417" s="690"/>
      <c r="C417" s="690"/>
      <c r="D417" s="690"/>
      <c r="E417" s="690"/>
      <c r="F417" s="690"/>
      <c r="G417" s="690"/>
      <c r="H417" s="690"/>
      <c r="I417" s="690"/>
      <c r="J417" s="690"/>
      <c r="K417" s="690"/>
      <c r="L417" s="690"/>
      <c r="M417" s="690"/>
      <c r="N417" s="690"/>
      <c r="O417" s="690"/>
      <c r="P417" s="690"/>
      <c r="Q417" s="690"/>
      <c r="R417" s="690"/>
      <c r="S417" s="690"/>
      <c r="T417" s="690"/>
      <c r="U417" s="690"/>
      <c r="V417" s="690"/>
      <c r="W417" s="690"/>
      <c r="X417" s="690"/>
      <c r="Y417" s="690"/>
      <c r="Z417" s="690"/>
      <c r="AA417" s="48"/>
      <c r="AB417" s="48"/>
      <c r="AC417" s="48"/>
    </row>
    <row r="418" spans="1:68" ht="16.5" hidden="1" customHeight="1" x14ac:dyDescent="0.25">
      <c r="A418" s="548" t="s">
        <v>633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98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53">
        <v>4607091389067</v>
      </c>
      <c r="E420" s="55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60"/>
      <c r="R420" s="560"/>
      <c r="S420" s="560"/>
      <c r="T420" s="561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53">
        <v>4607091383522</v>
      </c>
      <c r="E421" s="55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60"/>
      <c r="R421" s="560"/>
      <c r="S421" s="560"/>
      <c r="T421" s="561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53">
        <v>4680115885271</v>
      </c>
      <c r="E422" s="55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60"/>
      <c r="R422" s="560"/>
      <c r="S422" s="560"/>
      <c r="T422" s="561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53">
        <v>4680115885226</v>
      </c>
      <c r="E423" s="55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60"/>
      <c r="R423" s="560"/>
      <c r="S423" s="560"/>
      <c r="T423" s="561"/>
      <c r="U423" s="34"/>
      <c r="V423" s="34"/>
      <c r="W423" s="35" t="s">
        <v>68</v>
      </c>
      <c r="X423" s="539">
        <v>400</v>
      </c>
      <c r="Y423" s="540">
        <f t="shared" si="42"/>
        <v>401.28000000000003</v>
      </c>
      <c r="Z423" s="36">
        <f t="shared" si="43"/>
        <v>0.90895999999999999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426.5151515151515</v>
      </c>
      <c r="BN423" s="64">
        <f t="shared" si="45"/>
        <v>427.88</v>
      </c>
      <c r="BO423" s="64">
        <f t="shared" si="46"/>
        <v>0.72843822843822836</v>
      </c>
      <c r="BP423" s="64">
        <f t="shared" si="47"/>
        <v>0.73076923076923084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53">
        <v>4680115884502</v>
      </c>
      <c r="E424" s="55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60"/>
      <c r="R424" s="560"/>
      <c r="S424" s="560"/>
      <c r="T424" s="561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hidden="1" customHeight="1" x14ac:dyDescent="0.25">
      <c r="A425" s="54" t="s">
        <v>648</v>
      </c>
      <c r="B425" s="54" t="s">
        <v>649</v>
      </c>
      <c r="C425" s="31">
        <v>4301011771</v>
      </c>
      <c r="D425" s="553">
        <v>4607091389104</v>
      </c>
      <c r="E425" s="55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60"/>
      <c r="R425" s="560"/>
      <c r="S425" s="560"/>
      <c r="T425" s="561"/>
      <c r="U425" s="34"/>
      <c r="V425" s="34"/>
      <c r="W425" s="35" t="s">
        <v>68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53">
        <v>4680115886391</v>
      </c>
      <c r="E426" s="55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60"/>
      <c r="R426" s="560"/>
      <c r="S426" s="560"/>
      <c r="T426" s="561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53">
        <v>4680115880603</v>
      </c>
      <c r="E427" s="55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60"/>
      <c r="R427" s="560"/>
      <c r="S427" s="560"/>
      <c r="T427" s="561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53">
        <v>4680115882782</v>
      </c>
      <c r="E428" s="55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60"/>
      <c r="R428" s="560"/>
      <c r="S428" s="560"/>
      <c r="T428" s="561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53">
        <v>4680115885479</v>
      </c>
      <c r="E429" s="55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60"/>
      <c r="R429" s="560"/>
      <c r="S429" s="560"/>
      <c r="T429" s="561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53">
        <v>4607091389982</v>
      </c>
      <c r="E430" s="55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2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60"/>
      <c r="R430" s="560"/>
      <c r="S430" s="560"/>
      <c r="T430" s="561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8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69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75.757575757575751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0.90895999999999999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69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400</v>
      </c>
      <c r="Y432" s="541">
        <f>IFERROR(SUM(Y420:Y430),"0")</f>
        <v>401.28000000000003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134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hidden="1" customHeight="1" x14ac:dyDescent="0.25">
      <c r="A434" s="54" t="s">
        <v>662</v>
      </c>
      <c r="B434" s="54" t="s">
        <v>663</v>
      </c>
      <c r="C434" s="31">
        <v>4301020334</v>
      </c>
      <c r="D434" s="553">
        <v>4607091388930</v>
      </c>
      <c r="E434" s="55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2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60"/>
      <c r="R434" s="560"/>
      <c r="S434" s="560"/>
      <c r="T434" s="561"/>
      <c r="U434" s="34"/>
      <c r="V434" s="34"/>
      <c r="W434" s="35" t="s">
        <v>68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53">
        <v>4680115886407</v>
      </c>
      <c r="E435" s="55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53">
        <v>4680115880054</v>
      </c>
      <c r="E436" s="55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2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60"/>
      <c r="R436" s="560"/>
      <c r="S436" s="560"/>
      <c r="T436" s="561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68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69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69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0" t="s">
        <v>63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hidden="1" customHeight="1" x14ac:dyDescent="0.25">
      <c r="A440" s="54" t="s">
        <v>669</v>
      </c>
      <c r="B440" s="54" t="s">
        <v>670</v>
      </c>
      <c r="C440" s="31">
        <v>4301031349</v>
      </c>
      <c r="D440" s="553">
        <v>4680115883116</v>
      </c>
      <c r="E440" s="55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60"/>
      <c r="R440" s="560"/>
      <c r="S440" s="560"/>
      <c r="T440" s="561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53">
        <v>4680115883093</v>
      </c>
      <c r="E441" s="55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6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60"/>
      <c r="R441" s="560"/>
      <c r="S441" s="560"/>
      <c r="T441" s="561"/>
      <c r="U441" s="34"/>
      <c r="V441" s="34"/>
      <c r="W441" s="35" t="s">
        <v>68</v>
      </c>
      <c r="X441" s="539">
        <v>100</v>
      </c>
      <c r="Y441" s="540">
        <f t="shared" si="48"/>
        <v>100.32000000000001</v>
      </c>
      <c r="Z441" s="36">
        <f>IFERROR(IF(Y441=0,"",ROUNDUP(Y441/H441,0)*0.01196),"")</f>
        <v>0.22724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106.62878787878788</v>
      </c>
      <c r="BN441" s="64">
        <f t="shared" si="50"/>
        <v>106.97</v>
      </c>
      <c r="BO441" s="64">
        <f t="shared" si="51"/>
        <v>0.18210955710955709</v>
      </c>
      <c r="BP441" s="64">
        <f t="shared" si="52"/>
        <v>0.18269230769230771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53">
        <v>4680115883109</v>
      </c>
      <c r="E442" s="55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3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60"/>
      <c r="R442" s="560"/>
      <c r="S442" s="560"/>
      <c r="T442" s="561"/>
      <c r="U442" s="34"/>
      <c r="V442" s="34"/>
      <c r="W442" s="35" t="s">
        <v>68</v>
      </c>
      <c r="X442" s="539">
        <v>100</v>
      </c>
      <c r="Y442" s="540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53">
        <v>4680115882072</v>
      </c>
      <c r="E443" s="55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60"/>
      <c r="R443" s="560"/>
      <c r="S443" s="560"/>
      <c r="T443" s="561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53">
        <v>4680115882102</v>
      </c>
      <c r="E444" s="55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7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60"/>
      <c r="R444" s="560"/>
      <c r="S444" s="560"/>
      <c r="T444" s="561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53">
        <v>4680115882096</v>
      </c>
      <c r="E445" s="55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60"/>
      <c r="R445" s="560"/>
      <c r="S445" s="560"/>
      <c r="T445" s="561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8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69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37.878787878787875</v>
      </c>
      <c r="Y446" s="541">
        <f>IFERROR(Y440/H440,"0")+IFERROR(Y441/H441,"0")+IFERROR(Y442/H442,"0")+IFERROR(Y443/H443,"0")+IFERROR(Y444/H444,"0")+IFERROR(Y445/H445,"0")</f>
        <v>38</v>
      </c>
      <c r="Z446" s="541">
        <f>IFERROR(IF(Z440="",0,Z440),"0")+IFERROR(IF(Z441="",0,Z441),"0")+IFERROR(IF(Z442="",0,Z442),"0")+IFERROR(IF(Z443="",0,Z443),"0")+IFERROR(IF(Z444="",0,Z444),"0")+IFERROR(IF(Z445="",0,Z445),"0")</f>
        <v>0.45448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69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200</v>
      </c>
      <c r="Y447" s="541">
        <f>IFERROR(SUM(Y440:Y445),"0")</f>
        <v>200.64000000000001</v>
      </c>
      <c r="Z447" s="37"/>
      <c r="AA447" s="542"/>
      <c r="AB447" s="542"/>
      <c r="AC447" s="542"/>
    </row>
    <row r="448" spans="1:68" ht="14.25" hidden="1" customHeight="1" x14ac:dyDescent="0.25">
      <c r="A448" s="550" t="s">
        <v>72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53">
        <v>4607091383409</v>
      </c>
      <c r="E449" s="55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60"/>
      <c r="R449" s="560"/>
      <c r="S449" s="560"/>
      <c r="T449" s="561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53">
        <v>4607091383416</v>
      </c>
      <c r="E450" s="55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71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60"/>
      <c r="R450" s="560"/>
      <c r="S450" s="560"/>
      <c r="T450" s="561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53">
        <v>4680115883536</v>
      </c>
      <c r="E451" s="55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8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60"/>
      <c r="R451" s="560"/>
      <c r="S451" s="560"/>
      <c r="T451" s="561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8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69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69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89" t="s">
        <v>693</v>
      </c>
      <c r="B454" s="690"/>
      <c r="C454" s="690"/>
      <c r="D454" s="690"/>
      <c r="E454" s="690"/>
      <c r="F454" s="690"/>
      <c r="G454" s="690"/>
      <c r="H454" s="690"/>
      <c r="I454" s="690"/>
      <c r="J454" s="690"/>
      <c r="K454" s="690"/>
      <c r="L454" s="690"/>
      <c r="M454" s="690"/>
      <c r="N454" s="690"/>
      <c r="O454" s="690"/>
      <c r="P454" s="690"/>
      <c r="Q454" s="690"/>
      <c r="R454" s="690"/>
      <c r="S454" s="690"/>
      <c r="T454" s="690"/>
      <c r="U454" s="690"/>
      <c r="V454" s="690"/>
      <c r="W454" s="690"/>
      <c r="X454" s="690"/>
      <c r="Y454" s="690"/>
      <c r="Z454" s="690"/>
      <c r="AA454" s="48"/>
      <c r="AB454" s="48"/>
      <c r="AC454" s="48"/>
    </row>
    <row r="455" spans="1:68" ht="16.5" hidden="1" customHeight="1" x14ac:dyDescent="0.25">
      <c r="A455" s="548" t="s">
        <v>693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98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53">
        <v>4640242181011</v>
      </c>
      <c r="E457" s="55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60"/>
      <c r="R457" s="560"/>
      <c r="S457" s="560"/>
      <c r="T457" s="561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53">
        <v>4640242180441</v>
      </c>
      <c r="E458" s="55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60"/>
      <c r="R458" s="560"/>
      <c r="S458" s="560"/>
      <c r="T458" s="561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53">
        <v>4640242180564</v>
      </c>
      <c r="E459" s="55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60"/>
      <c r="R459" s="560"/>
      <c r="S459" s="560"/>
      <c r="T459" s="561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53">
        <v>4640242181189</v>
      </c>
      <c r="E460" s="55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60"/>
      <c r="R460" s="560"/>
      <c r="S460" s="560"/>
      <c r="T460" s="561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8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69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69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134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53">
        <v>4640242180519</v>
      </c>
      <c r="E464" s="55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60"/>
      <c r="R464" s="560"/>
      <c r="S464" s="560"/>
      <c r="T464" s="561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53">
        <v>4640242180526</v>
      </c>
      <c r="E465" s="55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60"/>
      <c r="R465" s="560"/>
      <c r="S465" s="560"/>
      <c r="T465" s="561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53">
        <v>4640242181363</v>
      </c>
      <c r="E466" s="55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30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60"/>
      <c r="R466" s="560"/>
      <c r="S466" s="560"/>
      <c r="T466" s="561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8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69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69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63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53">
        <v>4640242180816</v>
      </c>
      <c r="E470" s="55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6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60"/>
      <c r="R470" s="560"/>
      <c r="S470" s="560"/>
      <c r="T470" s="561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53">
        <v>4640242180595</v>
      </c>
      <c r="E471" s="55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59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60"/>
      <c r="R471" s="560"/>
      <c r="S471" s="560"/>
      <c r="T471" s="561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8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69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69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72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53">
        <v>4640242180533</v>
      </c>
      <c r="E475" s="55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0"/>
      <c r="R475" s="560"/>
      <c r="S475" s="560"/>
      <c r="T475" s="561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8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69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69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162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53">
        <v>4640242180120</v>
      </c>
      <c r="E479" s="55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0"/>
      <c r="R479" s="560"/>
      <c r="S479" s="560"/>
      <c r="T479" s="561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53">
        <v>4640242180137</v>
      </c>
      <c r="E480" s="55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0"/>
      <c r="R480" s="560"/>
      <c r="S480" s="560"/>
      <c r="T480" s="561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8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69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69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729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134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53">
        <v>4640242180090</v>
      </c>
      <c r="E485" s="55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0"/>
      <c r="R485" s="560"/>
      <c r="S485" s="560"/>
      <c r="T485" s="561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8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69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69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6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41" t="s">
        <v>733</v>
      </c>
      <c r="Q488" s="632"/>
      <c r="R488" s="632"/>
      <c r="S488" s="632"/>
      <c r="T488" s="632"/>
      <c r="U488" s="632"/>
      <c r="V488" s="633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3250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3274.32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41" t="s">
        <v>734</v>
      </c>
      <c r="Q489" s="632"/>
      <c r="R489" s="632"/>
      <c r="S489" s="632"/>
      <c r="T489" s="632"/>
      <c r="U489" s="632"/>
      <c r="V489" s="633"/>
      <c r="W489" s="37" t="s">
        <v>68</v>
      </c>
      <c r="X489" s="541">
        <f>IFERROR(SUM(BM22:BM485),"0")</f>
        <v>3430.0949494949496</v>
      </c>
      <c r="Y489" s="541">
        <f>IFERROR(SUM(BN22:BN485),"0")</f>
        <v>3455.5479999999998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41" t="s">
        <v>735</v>
      </c>
      <c r="Q490" s="632"/>
      <c r="R490" s="632"/>
      <c r="S490" s="632"/>
      <c r="T490" s="632"/>
      <c r="U490" s="632"/>
      <c r="V490" s="633"/>
      <c r="W490" s="37" t="s">
        <v>736</v>
      </c>
      <c r="X490" s="38">
        <f>ROUNDUP(SUM(BO22:BO485),0)</f>
        <v>6</v>
      </c>
      <c r="Y490" s="38">
        <f>ROUNDUP(SUM(BP22:BP485),0)</f>
        <v>6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41" t="s">
        <v>737</v>
      </c>
      <c r="Q491" s="632"/>
      <c r="R491" s="632"/>
      <c r="S491" s="632"/>
      <c r="T491" s="632"/>
      <c r="U491" s="632"/>
      <c r="V491" s="633"/>
      <c r="W491" s="37" t="s">
        <v>68</v>
      </c>
      <c r="X491" s="541">
        <f>GrossWeightTotal+PalletQtyTotal*25</f>
        <v>3580.0949494949496</v>
      </c>
      <c r="Y491" s="541">
        <f>GrossWeightTotalR+PalletQtyTotalR*25</f>
        <v>3605.5479999999998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41" t="s">
        <v>738</v>
      </c>
      <c r="Q492" s="632"/>
      <c r="R492" s="632"/>
      <c r="S492" s="632"/>
      <c r="T492" s="632"/>
      <c r="U492" s="632"/>
      <c r="V492" s="633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415.43123543123545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418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41" t="s">
        <v>739</v>
      </c>
      <c r="Q493" s="632"/>
      <c r="R493" s="632"/>
      <c r="S493" s="632"/>
      <c r="T493" s="632"/>
      <c r="U493" s="632"/>
      <c r="V493" s="633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6.8932599999999997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2"/>
      <c r="E495" s="592"/>
      <c r="F495" s="592"/>
      <c r="G495" s="592"/>
      <c r="H495" s="593"/>
      <c r="I495" s="576" t="s">
        <v>250</v>
      </c>
      <c r="J495" s="592"/>
      <c r="K495" s="592"/>
      <c r="L495" s="592"/>
      <c r="M495" s="592"/>
      <c r="N495" s="592"/>
      <c r="O495" s="592"/>
      <c r="P495" s="592"/>
      <c r="Q495" s="592"/>
      <c r="R495" s="593"/>
      <c r="S495" s="576" t="s">
        <v>531</v>
      </c>
      <c r="T495" s="593"/>
      <c r="U495" s="576" t="s">
        <v>582</v>
      </c>
      <c r="V495" s="592"/>
      <c r="W495" s="593"/>
      <c r="X495" s="536" t="s">
        <v>633</v>
      </c>
      <c r="Y495" s="576" t="s">
        <v>693</v>
      </c>
      <c r="Z495" s="593"/>
      <c r="AB495" s="52"/>
      <c r="AC495" s="52"/>
      <c r="AF495" s="537"/>
    </row>
    <row r="496" spans="1:68" ht="14.25" customHeight="1" thickTop="1" x14ac:dyDescent="0.2">
      <c r="A496" s="608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189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9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151.20000000000002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304.2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210</v>
      </c>
      <c r="T498" s="46">
        <f>IFERROR(Y367*1,"0")+IFERROR(Y368*1,"0")+IFERROR(Y372*1,"0")+IFERROR(Y373*1,"0")+IFERROR(Y377*1,"0")+IFERROR(Y378*1,"0")</f>
        <v>2007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601.92000000000007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3,33"/>
        <filter val="150,00"/>
        <filter val="2 000,00"/>
        <filter val="200,00"/>
        <filter val="222,22"/>
        <filter val="27,78"/>
        <filter val="3 250,00"/>
        <filter val="3 430,09"/>
        <filter val="3 580,09"/>
        <filter val="300,00"/>
        <filter val="37,88"/>
        <filter val="38,46"/>
        <filter val="400,00"/>
        <filter val="415,43"/>
        <filter val="6"/>
        <filter val="75,76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X17:X18"/>
    <mergeCell ref="D408:E408"/>
    <mergeCell ref="P216:V216"/>
    <mergeCell ref="A333:Z333"/>
    <mergeCell ref="D54:E54"/>
    <mergeCell ref="D271:E271"/>
    <mergeCell ref="P201:T201"/>
    <mergeCell ref="P247:T247"/>
    <mergeCell ref="D299:E299"/>
    <mergeCell ref="P110:V110"/>
    <mergeCell ref="P26:T26"/>
    <mergeCell ref="A138:Z138"/>
    <mergeCell ref="P58:V58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Q13:R13"/>
    <mergeCell ref="P47:V47"/>
    <mergeCell ref="P176:T176"/>
    <mergeCell ref="P114:T114"/>
    <mergeCell ref="P161:T161"/>
    <mergeCell ref="G17:G18"/>
    <mergeCell ref="P41:T41"/>
    <mergeCell ref="A35:O36"/>
    <mergeCell ref="D22:E22"/>
    <mergeCell ref="H17:H18"/>
    <mergeCell ref="D74:E74"/>
    <mergeCell ref="D93:E93"/>
    <mergeCell ref="A98:Z98"/>
    <mergeCell ref="D52:E52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P346:T346"/>
    <mergeCell ref="A433:Z433"/>
    <mergeCell ref="P211:T211"/>
    <mergeCell ref="P309:T309"/>
    <mergeCell ref="P377:T377"/>
    <mergeCell ref="A363:O364"/>
    <mergeCell ref="D362:E362"/>
    <mergeCell ref="P215:V215"/>
    <mergeCell ref="P232:T232"/>
    <mergeCell ref="P461:V461"/>
    <mergeCell ref="A261:Z261"/>
    <mergeCell ref="P338:V338"/>
    <mergeCell ref="P440:T440"/>
    <mergeCell ref="A369:O370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D314:E314"/>
    <mergeCell ref="A152:O153"/>
    <mergeCell ref="P171:V171"/>
    <mergeCell ref="P242:V242"/>
    <mergeCell ref="P121:V121"/>
    <mergeCell ref="D80:E80"/>
    <mergeCell ref="P241:T241"/>
    <mergeCell ref="A455:Z455"/>
    <mergeCell ref="D320:E320"/>
    <mergeCell ref="P470:T470"/>
    <mergeCell ref="A222:Z222"/>
    <mergeCell ref="D385:E385"/>
    <mergeCell ref="P301:T301"/>
    <mergeCell ref="A220:O22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136:O137"/>
    <mergeCell ref="A192:O193"/>
    <mergeCell ref="D384:E384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233:T233"/>
    <mergeCell ref="P206:T206"/>
    <mergeCell ref="D347:E347"/>
    <mergeCell ref="D176:E176"/>
    <mergeCell ref="D114:E114"/>
    <mergeCell ref="P220:V220"/>
    <mergeCell ref="P248:T248"/>
    <mergeCell ref="D51:E51"/>
    <mergeCell ref="A38:Z38"/>
    <mergeCell ref="P207:T207"/>
    <mergeCell ref="A131:O132"/>
    <mergeCell ref="P299:T299"/>
    <mergeCell ref="P172:V172"/>
    <mergeCell ref="P221:V221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D199:E199"/>
    <mergeCell ref="P234:V234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P355:V355"/>
    <mergeCell ref="D343:E343"/>
    <mergeCell ref="P397:T397"/>
    <mergeCell ref="P243:V243"/>
    <mergeCell ref="P387:T387"/>
    <mergeCell ref="A381:Z381"/>
    <mergeCell ref="P450:T450"/>
    <mergeCell ref="D414:E414"/>
    <mergeCell ref="P185:T185"/>
    <mergeCell ref="P380:V380"/>
    <mergeCell ref="D168:E168"/>
    <mergeCell ref="D180:E180"/>
    <mergeCell ref="P168:T16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A240:Z240"/>
    <mergeCell ref="P74:T74"/>
    <mergeCell ref="D372:E372"/>
    <mergeCell ref="D335:E335"/>
    <mergeCell ref="D201:E201"/>
    <mergeCell ref="P245:T245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P402:T402"/>
    <mergeCell ref="P372:T372"/>
    <mergeCell ref="P310:T310"/>
    <mergeCell ref="A111:Z111"/>
    <mergeCell ref="P163:T163"/>
    <mergeCell ref="D345:E345"/>
    <mergeCell ref="A280:O281"/>
    <mergeCell ref="A349:O350"/>
    <mergeCell ref="P360:V360"/>
    <mergeCell ref="P87:T87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D357:E357"/>
    <mergeCell ref="D258:E258"/>
    <mergeCell ref="P235:V235"/>
    <mergeCell ref="D301:E301"/>
    <mergeCell ref="D245:E245"/>
    <mergeCell ref="P188:V188"/>
    <mergeCell ref="D147:E147"/>
    <mergeCell ref="P353:T353"/>
    <mergeCell ref="P193:V193"/>
    <mergeCell ref="A276:Z276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204:V204"/>
    <mergeCell ref="D27:E27"/>
    <mergeCell ref="P208:T208"/>
    <mergeCell ref="A19:Z19"/>
    <mergeCell ref="A14:M14"/>
    <mergeCell ref="A13:M13"/>
    <mergeCell ref="D87:E87"/>
    <mergeCell ref="V6:W9"/>
    <mergeCell ref="A59:Z59"/>
    <mergeCell ref="Z17:Z1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2025-11-21T10:54:26Z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