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C14222-8E7C-4808-AC48-3B36E396767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Z423" i="1" s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BP398" i="1" s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X381" i="1"/>
  <c r="X380" i="1"/>
  <c r="BO379" i="1"/>
  <c r="BM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BP304" i="1" s="1"/>
  <c r="P304" i="1"/>
  <c r="BO303" i="1"/>
  <c r="BM303" i="1"/>
  <c r="Y303" i="1"/>
  <c r="Z303" i="1" s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Y222" i="1" s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Z22" i="1" s="1"/>
  <c r="Z23" i="1" s="1"/>
  <c r="P22" i="1"/>
  <c r="H10" i="1"/>
  <c r="A9" i="1"/>
  <c r="F10" i="1" s="1"/>
  <c r="D7" i="1"/>
  <c r="Q6" i="1"/>
  <c r="P2" i="1"/>
  <c r="BP112" i="1" l="1"/>
  <c r="BN112" i="1"/>
  <c r="Z112" i="1"/>
  <c r="BP148" i="1"/>
  <c r="BN148" i="1"/>
  <c r="Z148" i="1"/>
  <c r="BP191" i="1"/>
  <c r="BN191" i="1"/>
  <c r="Z191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4" i="1"/>
  <c r="BN274" i="1"/>
  <c r="Z274" i="1"/>
  <c r="BP328" i="1"/>
  <c r="BN328" i="1"/>
  <c r="Z328" i="1"/>
  <c r="BP348" i="1"/>
  <c r="BN348" i="1"/>
  <c r="Z348" i="1"/>
  <c r="BP389" i="1"/>
  <c r="BN389" i="1"/>
  <c r="Z389" i="1"/>
  <c r="BP424" i="1"/>
  <c r="BN424" i="1"/>
  <c r="Z424" i="1"/>
  <c r="BP450" i="1"/>
  <c r="BN450" i="1"/>
  <c r="Z450" i="1"/>
  <c r="X491" i="1"/>
  <c r="X489" i="1"/>
  <c r="Z52" i="1"/>
  <c r="BN52" i="1"/>
  <c r="Z62" i="1"/>
  <c r="BN62" i="1"/>
  <c r="Z74" i="1"/>
  <c r="BN74" i="1"/>
  <c r="BP100" i="1"/>
  <c r="BN100" i="1"/>
  <c r="Z100" i="1"/>
  <c r="BP135" i="1"/>
  <c r="BN135" i="1"/>
  <c r="Z135" i="1"/>
  <c r="BP168" i="1"/>
  <c r="BN168" i="1"/>
  <c r="Z168" i="1"/>
  <c r="BP203" i="1"/>
  <c r="BN203" i="1"/>
  <c r="Z203" i="1"/>
  <c r="K499" i="1"/>
  <c r="BP228" i="1"/>
  <c r="BN228" i="1"/>
  <c r="Z228" i="1"/>
  <c r="BP257" i="1"/>
  <c r="BN257" i="1"/>
  <c r="Z257" i="1"/>
  <c r="BP258" i="1"/>
  <c r="BN258" i="1"/>
  <c r="Z258" i="1"/>
  <c r="BP291" i="1"/>
  <c r="BN291" i="1"/>
  <c r="Z291" i="1"/>
  <c r="BP315" i="1"/>
  <c r="BN315" i="1"/>
  <c r="Z315" i="1"/>
  <c r="BP343" i="1"/>
  <c r="BN343" i="1"/>
  <c r="Z343" i="1"/>
  <c r="BP373" i="1"/>
  <c r="BN373" i="1"/>
  <c r="Z373" i="1"/>
  <c r="BP408" i="1"/>
  <c r="BN408" i="1"/>
  <c r="Z408" i="1"/>
  <c r="BP436" i="1"/>
  <c r="BN436" i="1"/>
  <c r="Z436" i="1"/>
  <c r="BP466" i="1"/>
  <c r="BN466" i="1"/>
  <c r="Z466" i="1"/>
  <c r="Y88" i="1"/>
  <c r="Y117" i="1"/>
  <c r="BP114" i="1"/>
  <c r="BN114" i="1"/>
  <c r="Y131" i="1"/>
  <c r="BP129" i="1"/>
  <c r="BN129" i="1"/>
  <c r="Z129" i="1"/>
  <c r="Y150" i="1"/>
  <c r="BP146" i="1"/>
  <c r="BN146" i="1"/>
  <c r="Z146" i="1"/>
  <c r="BP166" i="1"/>
  <c r="BN166" i="1"/>
  <c r="Z166" i="1"/>
  <c r="BP187" i="1"/>
  <c r="BN187" i="1"/>
  <c r="Z187" i="1"/>
  <c r="BP201" i="1"/>
  <c r="BN201" i="1"/>
  <c r="Z201" i="1"/>
  <c r="BP211" i="1"/>
  <c r="BN211" i="1"/>
  <c r="Z211" i="1"/>
  <c r="BP226" i="1"/>
  <c r="BN226" i="1"/>
  <c r="Z226" i="1"/>
  <c r="BP234" i="1"/>
  <c r="BN234" i="1"/>
  <c r="Z234" i="1"/>
  <c r="BP255" i="1"/>
  <c r="BN255" i="1"/>
  <c r="Z255" i="1"/>
  <c r="BP272" i="1"/>
  <c r="BN272" i="1"/>
  <c r="Z272" i="1"/>
  <c r="Y286" i="1"/>
  <c r="BP284" i="1"/>
  <c r="BN284" i="1"/>
  <c r="Z284" i="1"/>
  <c r="BP301" i="1"/>
  <c r="BN301" i="1"/>
  <c r="Z301" i="1"/>
  <c r="X490" i="1"/>
  <c r="X493" i="1"/>
  <c r="Z27" i="1"/>
  <c r="BN27" i="1"/>
  <c r="Z41" i="1"/>
  <c r="BN41" i="1"/>
  <c r="D499" i="1"/>
  <c r="Z54" i="1"/>
  <c r="BN54" i="1"/>
  <c r="Z60" i="1"/>
  <c r="BN60" i="1"/>
  <c r="BP60" i="1"/>
  <c r="Y63" i="1"/>
  <c r="Z66" i="1"/>
  <c r="BN66" i="1"/>
  <c r="BP66" i="1"/>
  <c r="Y69" i="1"/>
  <c r="Z72" i="1"/>
  <c r="BN72" i="1"/>
  <c r="BP72" i="1"/>
  <c r="Y77" i="1"/>
  <c r="Z80" i="1"/>
  <c r="BN80" i="1"/>
  <c r="Z87" i="1"/>
  <c r="BN87" i="1"/>
  <c r="Y95" i="1"/>
  <c r="Z93" i="1"/>
  <c r="BN93" i="1"/>
  <c r="F499" i="1"/>
  <c r="Z102" i="1"/>
  <c r="BN102" i="1"/>
  <c r="Y110" i="1"/>
  <c r="Z108" i="1"/>
  <c r="BN108" i="1"/>
  <c r="Y116" i="1"/>
  <c r="Z114" i="1"/>
  <c r="BP140" i="1"/>
  <c r="BN140" i="1"/>
  <c r="Z140" i="1"/>
  <c r="Y173" i="1"/>
  <c r="BP162" i="1"/>
  <c r="BN162" i="1"/>
  <c r="Z162" i="1"/>
  <c r="BP170" i="1"/>
  <c r="BN170" i="1"/>
  <c r="Z170" i="1"/>
  <c r="BP197" i="1"/>
  <c r="BN197" i="1"/>
  <c r="Z197" i="1"/>
  <c r="Y21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65" i="1"/>
  <c r="BN265" i="1"/>
  <c r="Z265" i="1"/>
  <c r="BP279" i="1"/>
  <c r="BN279" i="1"/>
  <c r="Z279" i="1"/>
  <c r="BP293" i="1"/>
  <c r="BN293" i="1"/>
  <c r="Z293" i="1"/>
  <c r="BP317" i="1"/>
  <c r="BN317" i="1"/>
  <c r="Z317" i="1"/>
  <c r="BP330" i="1"/>
  <c r="BN330" i="1"/>
  <c r="Z330" i="1"/>
  <c r="BP345" i="1"/>
  <c r="BN345" i="1"/>
  <c r="Z345" i="1"/>
  <c r="BP354" i="1"/>
  <c r="BN354" i="1"/>
  <c r="Z354" i="1"/>
  <c r="BP379" i="1"/>
  <c r="BN379" i="1"/>
  <c r="Z379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G499" i="1"/>
  <c r="Y132" i="1"/>
  <c r="Y143" i="1"/>
  <c r="Y149" i="1"/>
  <c r="I499" i="1"/>
  <c r="Y179" i="1"/>
  <c r="Y221" i="1"/>
  <c r="Y251" i="1"/>
  <c r="Y275" i="1"/>
  <c r="BP303" i="1"/>
  <c r="BN303" i="1"/>
  <c r="BP311" i="1"/>
  <c r="BN311" i="1"/>
  <c r="Z311" i="1"/>
  <c r="BP324" i="1"/>
  <c r="BN324" i="1"/>
  <c r="Z324" i="1"/>
  <c r="BP337" i="1"/>
  <c r="BN337" i="1"/>
  <c r="Z337" i="1"/>
  <c r="BP346" i="1"/>
  <c r="BN346" i="1"/>
  <c r="Z346" i="1"/>
  <c r="T499" i="1"/>
  <c r="BP369" i="1"/>
  <c r="BN369" i="1"/>
  <c r="Z369" i="1"/>
  <c r="BP387" i="1"/>
  <c r="BN387" i="1"/>
  <c r="Z387" i="1"/>
  <c r="Y399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Y313" i="1"/>
  <c r="Y319" i="1"/>
  <c r="Y326" i="1"/>
  <c r="Y332" i="1"/>
  <c r="Y350" i="1"/>
  <c r="Y360" i="1"/>
  <c r="Y375" i="1"/>
  <c r="U499" i="1"/>
  <c r="V499" i="1"/>
  <c r="Y412" i="1"/>
  <c r="Y462" i="1"/>
  <c r="H9" i="1"/>
  <c r="A10" i="1"/>
  <c r="B499" i="1"/>
  <c r="Y23" i="1"/>
  <c r="BP22" i="1"/>
  <c r="BN22" i="1"/>
  <c r="X492" i="1"/>
  <c r="BP28" i="1"/>
  <c r="BN28" i="1"/>
  <c r="Z28" i="1"/>
  <c r="F9" i="1"/>
  <c r="J9" i="1"/>
  <c r="Y24" i="1"/>
  <c r="Y32" i="1"/>
  <c r="Y31" i="1"/>
  <c r="BP26" i="1"/>
  <c r="BN26" i="1"/>
  <c r="Z26" i="1"/>
  <c r="BP30" i="1"/>
  <c r="BN30" i="1"/>
  <c r="Z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Z69" i="1" s="1"/>
  <c r="BN67" i="1"/>
  <c r="BP67" i="1"/>
  <c r="Z73" i="1"/>
  <c r="BN73" i="1"/>
  <c r="BP73" i="1"/>
  <c r="Z75" i="1"/>
  <c r="BN75" i="1"/>
  <c r="Z79" i="1"/>
  <c r="Z81" i="1" s="1"/>
  <c r="BN79" i="1"/>
  <c r="BP79" i="1"/>
  <c r="Y82" i="1"/>
  <c r="E499" i="1"/>
  <c r="Z86" i="1"/>
  <c r="Z88" i="1" s="1"/>
  <c r="BN86" i="1"/>
  <c r="BP86" i="1"/>
  <c r="Y89" i="1"/>
  <c r="Z92" i="1"/>
  <c r="BN92" i="1"/>
  <c r="BP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Y193" i="1"/>
  <c r="Z192" i="1"/>
  <c r="Z193" i="1" s="1"/>
  <c r="BN192" i="1"/>
  <c r="BP198" i="1"/>
  <c r="BN198" i="1"/>
  <c r="Z198" i="1"/>
  <c r="Y44" i="1"/>
  <c r="Y57" i="1"/>
  <c r="Y103" i="1"/>
  <c r="Y126" i="1"/>
  <c r="Y160" i="1"/>
  <c r="Y188" i="1"/>
  <c r="Y194" i="1"/>
  <c r="Y204" i="1"/>
  <c r="Y205" i="1"/>
  <c r="BP196" i="1"/>
  <c r="BN196" i="1"/>
  <c r="Z196" i="1"/>
  <c r="Z200" i="1"/>
  <c r="BN200" i="1"/>
  <c r="Z202" i="1"/>
  <c r="BN202" i="1"/>
  <c r="Z208" i="1"/>
  <c r="BN208" i="1"/>
  <c r="Z210" i="1"/>
  <c r="BN210" i="1"/>
  <c r="Z212" i="1"/>
  <c r="BN212" i="1"/>
  <c r="Z214" i="1"/>
  <c r="BN214" i="1"/>
  <c r="Y217" i="1"/>
  <c r="Z220" i="1"/>
  <c r="Z221" i="1" s="1"/>
  <c r="BN220" i="1"/>
  <c r="BP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BN247" i="1"/>
  <c r="Z249" i="1"/>
  <c r="BN249" i="1"/>
  <c r="Y252" i="1"/>
  <c r="L499" i="1"/>
  <c r="Y260" i="1"/>
  <c r="Z256" i="1"/>
  <c r="BN256" i="1"/>
  <c r="BP266" i="1"/>
  <c r="BN266" i="1"/>
  <c r="Z266" i="1"/>
  <c r="Y276" i="1"/>
  <c r="BP280" i="1"/>
  <c r="BN280" i="1"/>
  <c r="Z280" i="1"/>
  <c r="Z281" i="1" s="1"/>
  <c r="Y282" i="1"/>
  <c r="BP285" i="1"/>
  <c r="BN285" i="1"/>
  <c r="Z285" i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Y235" i="1"/>
  <c r="BP259" i="1"/>
  <c r="BN259" i="1"/>
  <c r="Z259" i="1"/>
  <c r="Y261" i="1"/>
  <c r="M499" i="1"/>
  <c r="Y269" i="1"/>
  <c r="BP264" i="1"/>
  <c r="BN264" i="1"/>
  <c r="Z264" i="1"/>
  <c r="Z268" i="1" s="1"/>
  <c r="Y268" i="1"/>
  <c r="Z275" i="1"/>
  <c r="BP273" i="1"/>
  <c r="BN273" i="1"/>
  <c r="Z273" i="1"/>
  <c r="BP292" i="1"/>
  <c r="BN292" i="1"/>
  <c r="Z292" i="1"/>
  <c r="Y312" i="1"/>
  <c r="Y318" i="1"/>
  <c r="Y325" i="1"/>
  <c r="Y331" i="1"/>
  <c r="Y338" i="1"/>
  <c r="Y351" i="1"/>
  <c r="Y355" i="1"/>
  <c r="Y361" i="1"/>
  <c r="Y365" i="1"/>
  <c r="Y370" i="1"/>
  <c r="Y376" i="1"/>
  <c r="Y380" i="1"/>
  <c r="Y394" i="1"/>
  <c r="Y400" i="1"/>
  <c r="Y405" i="1"/>
  <c r="Y411" i="1"/>
  <c r="BP427" i="1"/>
  <c r="BN427" i="1"/>
  <c r="Z427" i="1"/>
  <c r="BP431" i="1"/>
  <c r="BN431" i="1"/>
  <c r="Z431" i="1"/>
  <c r="Y433" i="1"/>
  <c r="Y438" i="1"/>
  <c r="BP435" i="1"/>
  <c r="BN435" i="1"/>
  <c r="Z435" i="1"/>
  <c r="BP443" i="1"/>
  <c r="BN443" i="1"/>
  <c r="Z443" i="1"/>
  <c r="Y447" i="1"/>
  <c r="Z453" i="1"/>
  <c r="BP451" i="1"/>
  <c r="BN451" i="1"/>
  <c r="Z451" i="1"/>
  <c r="BP461" i="1"/>
  <c r="BN461" i="1"/>
  <c r="Z461" i="1"/>
  <c r="Y463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S499" i="1"/>
  <c r="W499" i="1"/>
  <c r="P499" i="1"/>
  <c r="Y281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3" i="1"/>
  <c r="Z325" i="1" s="1"/>
  <c r="BN323" i="1"/>
  <c r="Z329" i="1"/>
  <c r="Z331" i="1" s="1"/>
  <c r="BN329" i="1"/>
  <c r="R499" i="1"/>
  <c r="Z336" i="1"/>
  <c r="Z338" i="1" s="1"/>
  <c r="BN336" i="1"/>
  <c r="Y339" i="1"/>
  <c r="Z344" i="1"/>
  <c r="BN344" i="1"/>
  <c r="Z347" i="1"/>
  <c r="BN347" i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Z411" i="1" s="1"/>
  <c r="BN407" i="1"/>
  <c r="BP407" i="1"/>
  <c r="Z409" i="1"/>
  <c r="BN409" i="1"/>
  <c r="X499" i="1"/>
  <c r="Y432" i="1"/>
  <c r="Z422" i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63" i="1" l="1"/>
  <c r="Z350" i="1"/>
  <c r="Z251" i="1"/>
  <c r="Z216" i="1"/>
  <c r="Z432" i="1"/>
  <c r="Z394" i="1"/>
  <c r="Z286" i="1"/>
  <c r="Z260" i="1"/>
  <c r="Z204" i="1"/>
  <c r="Z172" i="1"/>
  <c r="Z116" i="1"/>
  <c r="Z95" i="1"/>
  <c r="Z76" i="1"/>
  <c r="Z31" i="1"/>
  <c r="Z312" i="1"/>
  <c r="Z468" i="1"/>
  <c r="Z438" i="1"/>
  <c r="Z235" i="1"/>
  <c r="Z178" i="1"/>
  <c r="Y491" i="1"/>
  <c r="Z305" i="1"/>
  <c r="Z295" i="1"/>
  <c r="Z57" i="1"/>
  <c r="Z43" i="1"/>
  <c r="Z494" i="1" s="1"/>
  <c r="Y489" i="1"/>
  <c r="Y490" i="1"/>
  <c r="Y492" i="1" s="1"/>
  <c r="Y493" i="1"/>
</calcChain>
</file>

<file path=xl/sharedStrings.xml><?xml version="1.0" encoding="utf-8"?>
<sst xmlns="http://schemas.openxmlformats.org/spreadsheetml/2006/main" count="2323" uniqueCount="768">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</sst>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88</v>
      </c>
      <c r="Y40" s="542">
        <f>IFERROR(IF(X40="",0,CEILING((X40/$H40),1)*$H40),"")</f>
        <v>97.2</v>
      </c>
      <c r="Z40" s="36">
        <f>IFERROR(IF(Y40=0,"",ROUNDUP(Y40/H40,0)*0.01898),"")</f>
        <v>0.17082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91.340740740740742</v>
      </c>
      <c r="BN40" s="64">
        <f>IFERROR(Y40*I40/H40,"0")</f>
        <v>100.89</v>
      </c>
      <c r="BO40" s="64">
        <f>IFERROR(1/J40*(X40/H40),"0")</f>
        <v>0.1273148148148148</v>
      </c>
      <c r="BP40" s="64">
        <f>IFERROR(1/J40*(Y40/H40),"0")</f>
        <v>0.140625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8.148148148148147</v>
      </c>
      <c r="Y43" s="543">
        <f>IFERROR(Y40/H40,"0")+IFERROR(Y41/H41,"0")+IFERROR(Y42/H42,"0")</f>
        <v>9</v>
      </c>
      <c r="Z43" s="543">
        <f>IFERROR(IF(Z40="",0,Z40),"0")+IFERROR(IF(Z41="",0,Z41),"0")+IFERROR(IF(Z42="",0,Z42),"0")</f>
        <v>0.17082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88</v>
      </c>
      <c r="Y44" s="543">
        <f>IFERROR(SUM(Y40:Y42),"0")</f>
        <v>97.2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4</v>
      </c>
      <c r="Y51" s="542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4.1464285714285714</v>
      </c>
      <c r="BN51" s="64">
        <f t="shared" ref="BN51:BN56" si="2">IFERROR(Y51*I51/H51,"0")</f>
        <v>11.61</v>
      </c>
      <c r="BO51" s="64">
        <f t="shared" ref="BO51:BO56" si="3">IFERROR(1/J51*(X51/H51),"0")</f>
        <v>5.580357142857143E-3</v>
      </c>
      <c r="BP51" s="64">
        <f t="shared" ref="BP51:BP56" si="4">IFERROR(1/J51*(Y51/H51),"0")</f>
        <v>1.5625E-2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0.35714285714285715</v>
      </c>
      <c r="Y57" s="543">
        <f>IFERROR(Y51/H51,"0")+IFERROR(Y52/H52,"0")+IFERROR(Y53/H53,"0")+IFERROR(Y54/H54,"0")+IFERROR(Y55/H55,"0")+IFERROR(Y56/H56,"0")</f>
        <v>1</v>
      </c>
      <c r="Z57" s="543">
        <f>IFERROR(IF(Z51="",0,Z51),"0")+IFERROR(IF(Z52="",0,Z52),"0")+IFERROR(IF(Z53="",0,Z53),"0")+IFERROR(IF(Z54="",0,Z54),"0")+IFERROR(IF(Z55="",0,Z55),"0")+IFERROR(IF(Z56="",0,Z56),"0")</f>
        <v>1.898E-2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4</v>
      </c>
      <c r="Y58" s="543">
        <f>IFERROR(SUM(Y51:Y56),"0")</f>
        <v>11.2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17</v>
      </c>
      <c r="Y60" s="542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17.645370370370372</v>
      </c>
      <c r="BN60" s="64">
        <f>IFERROR(Y60*I60/H60,"0")</f>
        <v>22.42</v>
      </c>
      <c r="BO60" s="64">
        <f>IFERROR(1/J60*(X60/H60),"0")</f>
        <v>2.4594907407407406E-2</v>
      </c>
      <c r="BP60" s="64">
        <f>IFERROR(1/J60*(Y60/H60),"0")</f>
        <v>3.125E-2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1.574074074074074</v>
      </c>
      <c r="Y63" s="543">
        <f>IFERROR(Y60/H60,"0")+IFERROR(Y61/H61,"0")+IFERROR(Y62/H62,"0")</f>
        <v>2</v>
      </c>
      <c r="Z63" s="543">
        <f>IFERROR(IF(Z60="",0,Z60),"0")+IFERROR(IF(Z61="",0,Z61),"0")+IFERROR(IF(Z62="",0,Z62),"0")</f>
        <v>3.7960000000000001E-2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17</v>
      </c>
      <c r="Y64" s="543">
        <f>IFERROR(SUM(Y60:Y62),"0")</f>
        <v>21.6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37</v>
      </c>
      <c r="Y79" s="542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38.944871794871801</v>
      </c>
      <c r="BN79" s="64">
        <f>IFERROR(Y79*I79/H79,"0")</f>
        <v>41.050000000000011</v>
      </c>
      <c r="BO79" s="64">
        <f>IFERROR(1/J79*(X79/H79),"0")</f>
        <v>7.4118589743589744E-2</v>
      </c>
      <c r="BP79" s="64">
        <f>IFERROR(1/J79*(Y79/H79),"0")</f>
        <v>7.8125E-2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4.7435897435897436</v>
      </c>
      <c r="Y81" s="543">
        <f>IFERROR(Y79/H79,"0")+IFERROR(Y80/H80,"0")</f>
        <v>5</v>
      </c>
      <c r="Z81" s="543">
        <f>IFERROR(IF(Z79="",0,Z79),"0")+IFERROR(IF(Z80="",0,Z80),"0")</f>
        <v>9.4899999999999998E-2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37</v>
      </c>
      <c r="Y82" s="543">
        <f>IFERROR(SUM(Y79:Y80),"0")</f>
        <v>39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95</v>
      </c>
      <c r="Y85" s="542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98.606481481481481</v>
      </c>
      <c r="BN85" s="64">
        <f>IFERROR(Y85*I85/H85,"0")</f>
        <v>100.89</v>
      </c>
      <c r="BO85" s="64">
        <f>IFERROR(1/J85*(X85/H85),"0")</f>
        <v>0.13744212962962962</v>
      </c>
      <c r="BP85" s="64">
        <f>IFERROR(1/J85*(Y85/H85),"0")</f>
        <v>0.140625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104</v>
      </c>
      <c r="Y87" s="542">
        <f>IFERROR(IF(X87="",0,CEILING((X87/$H87),1)*$H87),"")</f>
        <v>108</v>
      </c>
      <c r="Z87" s="36">
        <f>IFERROR(IF(Y87=0,"",ROUNDUP(Y87/H87,0)*0.00902),"")</f>
        <v>0.21648000000000001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108.39111111111112</v>
      </c>
      <c r="BN87" s="64">
        <f>IFERROR(Y87*I87/H87,"0")</f>
        <v>112.56</v>
      </c>
      <c r="BO87" s="64">
        <f>IFERROR(1/J87*(X87/H87),"0")</f>
        <v>0.17508417508417509</v>
      </c>
      <c r="BP87" s="64">
        <f>IFERROR(1/J87*(Y87/H87),"0")</f>
        <v>0.18181818181818182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31.907407407407405</v>
      </c>
      <c r="Y88" s="543">
        <f>IFERROR(Y85/H85,"0")+IFERROR(Y86/H86,"0")+IFERROR(Y87/H87,"0")</f>
        <v>33</v>
      </c>
      <c r="Z88" s="543">
        <f>IFERROR(IF(Z85="",0,Z85),"0")+IFERROR(IF(Z86="",0,Z86),"0")+IFERROR(IF(Z87="",0,Z87),"0")</f>
        <v>0.38729999999999998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199</v>
      </c>
      <c r="Y89" s="543">
        <f>IFERROR(SUM(Y85:Y87),"0")</f>
        <v>205.2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64</v>
      </c>
      <c r="Y91" s="542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67.903209876543215</v>
      </c>
      <c r="BN91" s="64">
        <f>IFERROR(Y91*I91/H91,"0")</f>
        <v>68.751999999999995</v>
      </c>
      <c r="BO91" s="64">
        <f>IFERROR(1/J91*(X91/H91),"0")</f>
        <v>0.1234567901234568</v>
      </c>
      <c r="BP91" s="64">
        <f>IFERROR(1/J91*(Y91/H91),"0")</f>
        <v>0.125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108</v>
      </c>
      <c r="Y93" s="542">
        <f>IFERROR(IF(X93="",0,CEILING((X93/$H93),1)*$H93),"")</f>
        <v>108</v>
      </c>
      <c r="Z93" s="36">
        <f>IFERROR(IF(Y93=0,"",ROUNDUP(Y93/H93,0)*0.00651),"")</f>
        <v>0.26040000000000002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118.07999999999998</v>
      </c>
      <c r="BN93" s="64">
        <f>IFERROR(Y93*I93/H93,"0")</f>
        <v>118.07999999999998</v>
      </c>
      <c r="BO93" s="64">
        <f>IFERROR(1/J93*(X93/H93),"0")</f>
        <v>0.2197802197802198</v>
      </c>
      <c r="BP93" s="64">
        <f>IFERROR(1/J93*(Y93/H93),"0")</f>
        <v>0.2197802197802198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47.901234567901234</v>
      </c>
      <c r="Y95" s="543">
        <f>IFERROR(Y91/H91,"0")+IFERROR(Y92/H92,"0")+IFERROR(Y93/H93,"0")+IFERROR(Y94/H94,"0")</f>
        <v>48</v>
      </c>
      <c r="Z95" s="543">
        <f>IFERROR(IF(Z91="",0,Z91),"0")+IFERROR(IF(Z92="",0,Z92),"0")+IFERROR(IF(Z93="",0,Z93),"0")+IFERROR(IF(Z94="",0,Z94),"0")</f>
        <v>0.41224000000000005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172</v>
      </c>
      <c r="Y96" s="543">
        <f>IFERROR(SUM(Y91:Y94),"0")</f>
        <v>172.8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83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86.150925925925932</v>
      </c>
      <c r="BN99" s="64">
        <f>IFERROR(Y99*I99/H99,"0")</f>
        <v>89.68</v>
      </c>
      <c r="BO99" s="64">
        <f>IFERROR(1/J99*(X99/H99),"0")</f>
        <v>0.12008101851851852</v>
      </c>
      <c r="BP99" s="64">
        <f>IFERROR(1/J99*(Y99/H99),"0")</f>
        <v>0.125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55</v>
      </c>
      <c r="Y101" s="542">
        <f>IFERROR(IF(X101="",0,CEILING((X101/$H101),1)*$H101),"")</f>
        <v>58.5</v>
      </c>
      <c r="Z101" s="36">
        <f>IFERROR(IF(Y101=0,"",ROUNDUP(Y101/H101,0)*0.00902),"")</f>
        <v>0.11726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57.32222222222223</v>
      </c>
      <c r="BN101" s="64">
        <f>IFERROR(Y101*I101/H101,"0")</f>
        <v>60.97</v>
      </c>
      <c r="BO101" s="64">
        <f>IFERROR(1/J101*(X101/H101),"0")</f>
        <v>9.2592592592592587E-2</v>
      </c>
      <c r="BP101" s="64">
        <f>IFERROR(1/J101*(Y101/H101),"0")</f>
        <v>9.8484848484848481E-2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19.907407407407405</v>
      </c>
      <c r="Y103" s="543">
        <f>IFERROR(Y99/H99,"0")+IFERROR(Y100/H100,"0")+IFERROR(Y101/H101,"0")+IFERROR(Y102/H102,"0")</f>
        <v>21</v>
      </c>
      <c r="Z103" s="543">
        <f>IFERROR(IF(Z99="",0,Z99),"0")+IFERROR(IF(Z100="",0,Z100),"0")+IFERROR(IF(Z101="",0,Z101),"0")+IFERROR(IF(Z102="",0,Z102),"0")</f>
        <v>0.26910000000000001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138</v>
      </c>
      <c r="Y104" s="543">
        <f>IFERROR(SUM(Y99:Y102),"0")</f>
        <v>144.9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7</v>
      </c>
      <c r="Y106" s="542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7.2657407407407399</v>
      </c>
      <c r="BN106" s="64">
        <f>IFERROR(Y106*I106/H106,"0")</f>
        <v>11.21</v>
      </c>
      <c r="BO106" s="64">
        <f>IFERROR(1/J106*(X106/H106),"0")</f>
        <v>1.0127314814814815E-2</v>
      </c>
      <c r="BP106" s="64">
        <f>IFERROR(1/J106*(Y106/H106),"0")</f>
        <v>1.5625E-2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0.64814814814814814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1.898E-2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7</v>
      </c>
      <c r="Y110" s="543">
        <f>IFERROR(SUM(Y106:Y108),"0")</f>
        <v>10.8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63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66.795555555555552</v>
      </c>
      <c r="BN112" s="64">
        <f>IFERROR(Y112*I112/H112,"0")</f>
        <v>68.703999999999994</v>
      </c>
      <c r="BO112" s="64">
        <f>IFERROR(1/J112*(X112/H112),"0")</f>
        <v>0.12152777777777778</v>
      </c>
      <c r="BP112" s="64">
        <f>IFERROR(1/J112*(Y112/H112),"0")</f>
        <v>0.125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68</v>
      </c>
      <c r="Y114" s="542">
        <f>IFERROR(IF(X114="",0,CEILING((X114/$H114),1)*$H114),"")</f>
        <v>70.2</v>
      </c>
      <c r="Z114" s="36">
        <f>IFERROR(IF(Y114=0,"",ROUNDUP(Y114/H114,0)*0.00651),"")</f>
        <v>0.16925999999999999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74.346666666666664</v>
      </c>
      <c r="BN114" s="64">
        <f>IFERROR(Y114*I114/H114,"0")</f>
        <v>76.751999999999995</v>
      </c>
      <c r="BO114" s="64">
        <f>IFERROR(1/J114*(X114/H114),"0")</f>
        <v>0.13838013838013838</v>
      </c>
      <c r="BP114" s="64">
        <f>IFERROR(1/J114*(Y114/H114),"0")</f>
        <v>0.14285714285714288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32.962962962962962</v>
      </c>
      <c r="Y116" s="543">
        <f>IFERROR(Y112/H112,"0")+IFERROR(Y113/H113,"0")+IFERROR(Y114/H114,"0")+IFERROR(Y115/H115,"0")</f>
        <v>34</v>
      </c>
      <c r="Z116" s="543">
        <f>IFERROR(IF(Z112="",0,Z112),"0")+IFERROR(IF(Z113="",0,Z113),"0")+IFERROR(IF(Z114="",0,Z114),"0")+IFERROR(IF(Z115="",0,Z115),"0")</f>
        <v>0.3211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131</v>
      </c>
      <c r="Y117" s="543">
        <f>IFERROR(SUM(Y112:Y115),"0")</f>
        <v>135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60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63.571428571428569</v>
      </c>
      <c r="BN163" s="64">
        <f t="shared" si="7"/>
        <v>66.75</v>
      </c>
      <c r="BO163" s="64">
        <f t="shared" si="8"/>
        <v>0.10822510822510822</v>
      </c>
      <c r="BP163" s="64">
        <f t="shared" si="9"/>
        <v>0.11363636363636365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28</v>
      </c>
      <c r="Y165" s="542">
        <f t="shared" si="5"/>
        <v>29.400000000000002</v>
      </c>
      <c r="Z165" s="36">
        <f>IFERROR(IF(Y165=0,"",ROUNDUP(Y165/H165,0)*0.00902),"")</f>
        <v>6.3140000000000002E-2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29.266666666666662</v>
      </c>
      <c r="BN165" s="64">
        <f t="shared" si="7"/>
        <v>30.73</v>
      </c>
      <c r="BO165" s="64">
        <f t="shared" si="8"/>
        <v>5.0505050505050504E-2</v>
      </c>
      <c r="BP165" s="64">
        <f t="shared" si="9"/>
        <v>5.3030303030303032E-2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74</v>
      </c>
      <c r="Y166" s="542">
        <f t="shared" si="5"/>
        <v>75.600000000000009</v>
      </c>
      <c r="Z166" s="36">
        <f>IFERROR(IF(Y166=0,"",ROUNDUP(Y166/H166,0)*0.00502),"")</f>
        <v>0.18071999999999999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78.580952380952382</v>
      </c>
      <c r="BN166" s="64">
        <f t="shared" si="7"/>
        <v>80.28</v>
      </c>
      <c r="BO166" s="64">
        <f t="shared" si="8"/>
        <v>0.15059015059015057</v>
      </c>
      <c r="BP166" s="64">
        <f t="shared" si="9"/>
        <v>0.15384615384615385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16</v>
      </c>
      <c r="Y168" s="542">
        <f t="shared" si="5"/>
        <v>16.2</v>
      </c>
      <c r="Z168" s="36">
        <f>IFERROR(IF(Y168=0,"",ROUNDUP(Y168/H168,0)*0.00502),"")</f>
        <v>4.5179999999999998E-2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17.155555555555555</v>
      </c>
      <c r="BN168" s="64">
        <f t="shared" si="7"/>
        <v>17.369999999999997</v>
      </c>
      <c r="BO168" s="64">
        <f t="shared" si="8"/>
        <v>3.7986704653371325E-2</v>
      </c>
      <c r="BP168" s="64">
        <f t="shared" si="9"/>
        <v>3.8461538461538464E-2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100</v>
      </c>
      <c r="Y169" s="542">
        <f t="shared" si="5"/>
        <v>100.80000000000001</v>
      </c>
      <c r="Z169" s="36">
        <f>IFERROR(IF(Y169=0,"",ROUNDUP(Y169/H169,0)*0.00502),"")</f>
        <v>0.24096000000000001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104.76190476190477</v>
      </c>
      <c r="BN169" s="64">
        <f t="shared" si="7"/>
        <v>105.60000000000002</v>
      </c>
      <c r="BO169" s="64">
        <f t="shared" si="8"/>
        <v>0.20350020350020354</v>
      </c>
      <c r="BP169" s="64">
        <f t="shared" si="9"/>
        <v>0.20512820512820515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112.6984126984127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115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0.6653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278</v>
      </c>
      <c r="Y173" s="543">
        <f>IFERROR(SUM(Y162:Y171),"0")</f>
        <v>285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</v>
      </c>
      <c r="Y176" s="542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2</v>
      </c>
      <c r="Y177" s="542">
        <f>IFERROR(IF(X177="",0,CEILING((X177/$H177),1)*$H177),"")</f>
        <v>2.52</v>
      </c>
      <c r="Z177" s="36">
        <f>IFERROR(IF(Y177=0,"",ROUNDUP(Y177/H177,0)*0.0059),"")</f>
        <v>1.18E-2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2.3015873015873014</v>
      </c>
      <c r="BN177" s="64">
        <f>IFERROR(Y177*I177/H177,"0")</f>
        <v>2.9</v>
      </c>
      <c r="BO177" s="64">
        <f>IFERROR(1/J177*(X177/H177),"0")</f>
        <v>7.3486184597295699E-3</v>
      </c>
      <c r="BP177" s="64">
        <f>IFERROR(1/J177*(Y177/H177),"0")</f>
        <v>9.2592592592592587E-3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2.3809523809523809</v>
      </c>
      <c r="Y178" s="543">
        <f>IFERROR(Y175/H175,"0")+IFERROR(Y176/H176,"0")+IFERROR(Y177/H177,"0")</f>
        <v>3</v>
      </c>
      <c r="Z178" s="543">
        <f>IFERROR(IF(Z175="",0,Z175),"0")+IFERROR(IF(Z176="",0,Z176),"0")+IFERROR(IF(Z177="",0,Z177),"0")</f>
        <v>1.77E-2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3</v>
      </c>
      <c r="Y179" s="543">
        <f>IFERROR(SUM(Y175:Y177),"0")</f>
        <v>3.7800000000000002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201</v>
      </c>
      <c r="Y196" s="542">
        <f t="shared" ref="Y196:Y203" si="10">IFERROR(IF(X196="",0,CEILING((X196/$H196),1)*$H196),"")</f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208.07222222222219</v>
      </c>
      <c r="BN196" s="64">
        <f t="shared" ref="BN196:BN203" si="12">IFERROR(Y196*I196/H196,"0")</f>
        <v>212.42</v>
      </c>
      <c r="BO196" s="64">
        <f t="shared" ref="BO196:BO203" si="13">IFERROR(1/J196*(X196/H196),"0")</f>
        <v>0.28198653198653201</v>
      </c>
      <c r="BP196" s="64">
        <f t="shared" ref="BP196:BP203" si="14">IFERROR(1/J196*(Y196/H196),"0")</f>
        <v>0.2878787878787879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225</v>
      </c>
      <c r="Y197" s="542">
        <f t="shared" si="10"/>
        <v>226.8</v>
      </c>
      <c r="Z197" s="36">
        <f>IFERROR(IF(Y197=0,"",ROUNDUP(Y197/H197,0)*0.00902),"")</f>
        <v>0.37884000000000001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232.91666666666666</v>
      </c>
      <c r="BN197" s="64">
        <f t="shared" si="12"/>
        <v>234.78</v>
      </c>
      <c r="BO197" s="64">
        <f t="shared" si="13"/>
        <v>0.31565656565656564</v>
      </c>
      <c r="BP197" s="64">
        <f t="shared" si="14"/>
        <v>0.31818181818181818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9</v>
      </c>
      <c r="Y200" s="542">
        <f t="shared" si="10"/>
        <v>9</v>
      </c>
      <c r="Z200" s="36">
        <f>IFERROR(IF(Y200=0,"",ROUNDUP(Y200/H200,0)*0.00502),"")</f>
        <v>2.5100000000000001E-2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9.65</v>
      </c>
      <c r="BN200" s="64">
        <f t="shared" si="12"/>
        <v>9.65</v>
      </c>
      <c r="BO200" s="64">
        <f t="shared" si="13"/>
        <v>2.1367521367521368E-2</v>
      </c>
      <c r="BP200" s="64">
        <f t="shared" si="14"/>
        <v>2.1367521367521368E-2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24</v>
      </c>
      <c r="Y201" s="542">
        <f t="shared" si="10"/>
        <v>25.2</v>
      </c>
      <c r="Z201" s="36">
        <f>IFERROR(IF(Y201=0,"",ROUNDUP(Y201/H201,0)*0.00502),"")</f>
        <v>7.0280000000000009E-2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25.333333333333329</v>
      </c>
      <c r="BN201" s="64">
        <f t="shared" si="12"/>
        <v>26.599999999999998</v>
      </c>
      <c r="BO201" s="64">
        <f t="shared" si="13"/>
        <v>5.6980056980056981E-2</v>
      </c>
      <c r="BP201" s="64">
        <f t="shared" si="14"/>
        <v>5.9829059829059839E-2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28</v>
      </c>
      <c r="Y203" s="542">
        <f t="shared" si="10"/>
        <v>28.8</v>
      </c>
      <c r="Z203" s="36">
        <f>IFERROR(IF(Y203=0,"",ROUNDUP(Y203/H203,0)*0.00502),"")</f>
        <v>8.0320000000000003E-2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29.555555555555554</v>
      </c>
      <c r="BN203" s="64">
        <f t="shared" si="12"/>
        <v>30.4</v>
      </c>
      <c r="BO203" s="64">
        <f t="shared" si="13"/>
        <v>6.6476733143399816E-2</v>
      </c>
      <c r="BP203" s="64">
        <f t="shared" si="14"/>
        <v>6.8376068376068383E-2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112.77777777777777</v>
      </c>
      <c r="Y204" s="543">
        <f>IFERROR(Y196/H196,"0")+IFERROR(Y197/H197,"0")+IFERROR(Y198/H198,"0")+IFERROR(Y199/H199,"0")+IFERROR(Y200/H200,"0")+IFERROR(Y201/H201,"0")+IFERROR(Y202/H202,"0")+IFERROR(Y203/H203,"0")</f>
        <v>115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0.89729999999999999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487</v>
      </c>
      <c r="Y205" s="543">
        <f>IFERROR(SUM(Y196:Y203),"0")</f>
        <v>495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177</v>
      </c>
      <c r="Y210" s="542">
        <f t="shared" si="15"/>
        <v>177.6</v>
      </c>
      <c r="Z210" s="36">
        <f t="shared" ref="Z210:Z215" si="20">IFERROR(IF(Y210=0,"",ROUNDUP(Y210/H210,0)*0.00651),"")</f>
        <v>0.48174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196.91249999999999</v>
      </c>
      <c r="BN210" s="64">
        <f t="shared" si="17"/>
        <v>197.57999999999998</v>
      </c>
      <c r="BO210" s="64">
        <f t="shared" si="18"/>
        <v>0.40521978021978028</v>
      </c>
      <c r="BP210" s="64">
        <f t="shared" si="19"/>
        <v>0.40659340659340665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67</v>
      </c>
      <c r="Y212" s="542">
        <f t="shared" si="15"/>
        <v>67.2</v>
      </c>
      <c r="Z212" s="36">
        <f t="shared" si="20"/>
        <v>0.18228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74.034999999999997</v>
      </c>
      <c r="BN212" s="64">
        <f t="shared" si="17"/>
        <v>74.256000000000014</v>
      </c>
      <c r="BO212" s="64">
        <f t="shared" si="18"/>
        <v>0.1533882783882784</v>
      </c>
      <c r="BP212" s="64">
        <f t="shared" si="19"/>
        <v>0.15384615384615388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26</v>
      </c>
      <c r="Y213" s="542">
        <f t="shared" si="15"/>
        <v>26.4</v>
      </c>
      <c r="Z213" s="36">
        <f t="shared" si="20"/>
        <v>7.1610000000000007E-2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28.73</v>
      </c>
      <c r="BN213" s="64">
        <f t="shared" si="17"/>
        <v>29.172000000000001</v>
      </c>
      <c r="BO213" s="64">
        <f t="shared" si="18"/>
        <v>5.9523809523809534E-2</v>
      </c>
      <c r="BP213" s="64">
        <f t="shared" si="19"/>
        <v>6.0439560439560447E-2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93</v>
      </c>
      <c r="Y214" s="542">
        <f t="shared" si="15"/>
        <v>93.6</v>
      </c>
      <c r="Z214" s="36">
        <f t="shared" si="20"/>
        <v>0.25389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102.76500000000001</v>
      </c>
      <c r="BN214" s="64">
        <f t="shared" si="17"/>
        <v>103.42800000000001</v>
      </c>
      <c r="BO214" s="64">
        <f t="shared" si="18"/>
        <v>0.21291208791208793</v>
      </c>
      <c r="BP214" s="64">
        <f t="shared" si="19"/>
        <v>0.2142857142857143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121</v>
      </c>
      <c r="Y215" s="542">
        <f t="shared" si="15"/>
        <v>122.39999999999999</v>
      </c>
      <c r="Z215" s="36">
        <f t="shared" si="20"/>
        <v>0.33201000000000003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134.00749999999999</v>
      </c>
      <c r="BN215" s="64">
        <f t="shared" si="17"/>
        <v>135.55799999999999</v>
      </c>
      <c r="BO215" s="64">
        <f t="shared" si="18"/>
        <v>0.27701465201465209</v>
      </c>
      <c r="BP215" s="64">
        <f t="shared" si="19"/>
        <v>0.28021978021978022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201.66666666666669</v>
      </c>
      <c r="Y216" s="543">
        <f>IFERROR(Y207/H207,"0")+IFERROR(Y208/H208,"0")+IFERROR(Y209/H209,"0")+IFERROR(Y210/H210,"0")+IFERROR(Y211/H211,"0")+IFERROR(Y212/H212,"0")+IFERROR(Y213/H213,"0")+IFERROR(Y214/H214,"0")+IFERROR(Y215/H215,"0")</f>
        <v>203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1.3215300000000001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484</v>
      </c>
      <c r="Y217" s="543">
        <f>IFERROR(SUM(Y207:Y215),"0")</f>
        <v>487.19999999999993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12</v>
      </c>
      <c r="Y219" s="542">
        <f>IFERROR(IF(X219="",0,CEILING((X219/$H219),1)*$H219),"")</f>
        <v>12</v>
      </c>
      <c r="Z219" s="36">
        <f>IFERROR(IF(Y219=0,"",ROUNDUP(Y219/H219,0)*0.00651),"")</f>
        <v>3.2550000000000003E-2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13.260000000000002</v>
      </c>
      <c r="BN219" s="64">
        <f>IFERROR(Y219*I219/H219,"0")</f>
        <v>13.260000000000002</v>
      </c>
      <c r="BO219" s="64">
        <f>IFERROR(1/J219*(X219/H219),"0")</f>
        <v>2.7472527472527476E-2</v>
      </c>
      <c r="BP219" s="64">
        <f>IFERROR(1/J219*(Y219/H219),"0")</f>
        <v>2.7472527472527476E-2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17</v>
      </c>
      <c r="Y220" s="542">
        <f>IFERROR(IF(X220="",0,CEILING((X220/$H220),1)*$H220),"")</f>
        <v>19.2</v>
      </c>
      <c r="Z220" s="36">
        <f>IFERROR(IF(Y220=0,"",ROUNDUP(Y220/H220,0)*0.00651),"")</f>
        <v>5.2080000000000001E-2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18.785000000000004</v>
      </c>
      <c r="BN220" s="64">
        <f>IFERROR(Y220*I220/H220,"0")</f>
        <v>21.216000000000001</v>
      </c>
      <c r="BO220" s="64">
        <f>IFERROR(1/J220*(X220/H220),"0")</f>
        <v>3.8919413919413927E-2</v>
      </c>
      <c r="BP220" s="64">
        <f>IFERROR(1/J220*(Y220/H220),"0")</f>
        <v>4.3956043956043959E-2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12.083333333333334</v>
      </c>
      <c r="Y221" s="543">
        <f>IFERROR(Y219/H219,"0")+IFERROR(Y220/H220,"0")</f>
        <v>13</v>
      </c>
      <c r="Z221" s="543">
        <f>IFERROR(IF(Z219="",0,Z219),"0")+IFERROR(IF(Z220="",0,Z220),"0")</f>
        <v>8.4630000000000011E-2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29</v>
      </c>
      <c r="Y222" s="543">
        <f>IFERROR(SUM(Y219:Y220),"0")</f>
        <v>31.2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4</v>
      </c>
      <c r="Y225" s="542">
        <f t="shared" ref="Y225:Y234" si="21">IFERROR(IF(X225="",0,CEILING((X225/$H225),1)*$H225),"")</f>
        <v>11.6</v>
      </c>
      <c r="Z225" s="36">
        <f>IFERROR(IF(Y225=0,"",ROUNDUP(Y225/H225,0)*0.01898),"")</f>
        <v>1.898E-2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4.1413793103448278</v>
      </c>
      <c r="BN225" s="64">
        <f t="shared" ref="BN225:BN234" si="23">IFERROR(Y225*I225/H225,"0")</f>
        <v>12.01</v>
      </c>
      <c r="BO225" s="64">
        <f t="shared" ref="BO225:BO234" si="24">IFERROR(1/J225*(X225/H225),"0")</f>
        <v>5.387931034482759E-3</v>
      </c>
      <c r="BP225" s="64">
        <f t="shared" ref="BP225:BP234" si="25">IFERROR(1/J225*(Y225/H225),"0")</f>
        <v>1.5625E-2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10</v>
      </c>
      <c r="Y228" s="542">
        <f t="shared" si="21"/>
        <v>12</v>
      </c>
      <c r="Z228" s="36">
        <f>IFERROR(IF(Y228=0,"",ROUNDUP(Y228/H228,0)*0.00902),"")</f>
        <v>2.7060000000000001E-2</v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10.475000000000001</v>
      </c>
      <c r="BN228" s="64">
        <f t="shared" si="23"/>
        <v>12.57</v>
      </c>
      <c r="BO228" s="64">
        <f t="shared" si="24"/>
        <v>1.893939393939394E-2</v>
      </c>
      <c r="BP228" s="64">
        <f t="shared" si="25"/>
        <v>2.2727272727272728E-2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2.8448275862068968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4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4.6039999999999998E-2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14</v>
      </c>
      <c r="Y236" s="543">
        <f>IFERROR(SUM(Y225:Y234),"0")</f>
        <v>23.6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4</v>
      </c>
      <c r="Y242" s="542">
        <f>IFERROR(IF(X242="",0,CEILING((X242/$H242),1)*$H242),"")</f>
        <v>5.4</v>
      </c>
      <c r="Z242" s="36">
        <f>IFERROR(IF(Y242=0,"",ROUNDUP(Y242/H242,0)*0.0059),"")</f>
        <v>1.77E-2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4.3888888888888893</v>
      </c>
      <c r="BN242" s="64">
        <f>IFERROR(Y242*I242/H242,"0")</f>
        <v>5.9250000000000007</v>
      </c>
      <c r="BO242" s="64">
        <f>IFERROR(1/J242*(X242/H242),"0")</f>
        <v>1.0288065843621399E-2</v>
      </c>
      <c r="BP242" s="64">
        <f>IFERROR(1/J242*(Y242/H242),"0")</f>
        <v>1.3888888888888888E-2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2.2222222222222223</v>
      </c>
      <c r="Y243" s="543">
        <f>IFERROR(Y242/H242,"0")</f>
        <v>3</v>
      </c>
      <c r="Z243" s="543">
        <f>IFERROR(IF(Z242="",0,Z242),"0")</f>
        <v>1.77E-2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4</v>
      </c>
      <c r="Y244" s="543">
        <f>IFERROR(SUM(Y242:Y242),"0")</f>
        <v>5.4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2</v>
      </c>
      <c r="Y248" s="542">
        <f>IFERROR(IF(X248="",0,CEILING((X248/$H248),1)*$H248),"")</f>
        <v>2.7</v>
      </c>
      <c r="Z248" s="36">
        <f>IFERROR(IF(Y248=0,"",ROUNDUP(Y248/H248,0)*0.0059),"")</f>
        <v>1.77E-2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2.4222222222222225</v>
      </c>
      <c r="BN248" s="64">
        <f>IFERROR(Y248*I248/H248,"0")</f>
        <v>3.2700000000000005</v>
      </c>
      <c r="BO248" s="64">
        <f>IFERROR(1/J248*(X248/H248),"0")</f>
        <v>1.0288065843621399E-2</v>
      </c>
      <c r="BP248" s="64">
        <f>IFERROR(1/J248*(Y248/H248),"0")</f>
        <v>1.3888888888888888E-2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3</v>
      </c>
      <c r="Y250" s="542">
        <f>IFERROR(IF(X250="",0,CEILING((X250/$H250),1)*$H250),"")</f>
        <v>3.96</v>
      </c>
      <c r="Z250" s="36">
        <f>IFERROR(IF(Y250=0,"",ROUNDUP(Y250/H250,0)*0.0059),"")</f>
        <v>2.3599999999999999E-2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3.5757575757575757</v>
      </c>
      <c r="BN250" s="64">
        <f>IFERROR(Y250*I250/H250,"0")</f>
        <v>4.72</v>
      </c>
      <c r="BO250" s="64">
        <f>IFERROR(1/J250*(X250/H250),"0")</f>
        <v>1.4029180695847361E-2</v>
      </c>
      <c r="BP250" s="64">
        <f>IFERROR(1/J250*(Y250/H250),"0")</f>
        <v>1.8518518518518517E-2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6.262626262626263</v>
      </c>
      <c r="Y251" s="543">
        <f>IFERROR(Y246/H246,"0")+IFERROR(Y247/H247,"0")+IFERROR(Y248/H248,"0")+IFERROR(Y249/H249,"0")+IFERROR(Y250/H250,"0")</f>
        <v>9</v>
      </c>
      <c r="Z251" s="543">
        <f>IFERROR(IF(Z246="",0,Z246),"0")+IFERROR(IF(Z247="",0,Z247),"0")+IFERROR(IF(Z248="",0,Z248),"0")+IFERROR(IF(Z249="",0,Z249),"0")+IFERROR(IF(Z250="",0,Z250),"0")</f>
        <v>5.3099999999999994E-2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6</v>
      </c>
      <c r="Y252" s="543">
        <f>IFERROR(SUM(Y246:Y250),"0")</f>
        <v>8.64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29</v>
      </c>
      <c r="Y273" s="542">
        <f>IFERROR(IF(X273="",0,CEILING((X273/$H273),1)*$H273),"")</f>
        <v>31.2</v>
      </c>
      <c r="Z273" s="36">
        <f>IFERROR(IF(Y273=0,"",ROUNDUP(Y273/H273,0)*0.00651),"")</f>
        <v>8.4629999999999997E-2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32.045000000000002</v>
      </c>
      <c r="BN273" s="64">
        <f>IFERROR(Y273*I273/H273,"0")</f>
        <v>34.476000000000006</v>
      </c>
      <c r="BO273" s="64">
        <f>IFERROR(1/J273*(X273/H273),"0")</f>
        <v>6.6391941391941406E-2</v>
      </c>
      <c r="BP273" s="64">
        <f>IFERROR(1/J273*(Y273/H273),"0")</f>
        <v>7.1428571428571438E-2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12.083333333333334</v>
      </c>
      <c r="Y275" s="543">
        <f>IFERROR(Y272/H272,"0")+IFERROR(Y273/H273,"0")+IFERROR(Y274/H274,"0")</f>
        <v>13</v>
      </c>
      <c r="Z275" s="543">
        <f>IFERROR(IF(Z272="",0,Z272),"0")+IFERROR(IF(Z273="",0,Z273),"0")+IFERROR(IF(Z274="",0,Z274),"0")</f>
        <v>8.4629999999999997E-2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29</v>
      </c>
      <c r="Y276" s="543">
        <f>IFERROR(SUM(Y272:Y274),"0")</f>
        <v>31.2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9</v>
      </c>
      <c r="Y304" s="542">
        <f t="shared" si="26"/>
        <v>9</v>
      </c>
      <c r="Z304" s="36">
        <f>IFERROR(IF(Y304=0,"",ROUNDUP(Y304/H304,0)*0.00651),"")</f>
        <v>3.2550000000000003E-2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10.139999999999999</v>
      </c>
      <c r="BN304" s="64">
        <f t="shared" si="28"/>
        <v>10.139999999999999</v>
      </c>
      <c r="BO304" s="64">
        <f t="shared" si="29"/>
        <v>2.7472527472527476E-2</v>
      </c>
      <c r="BP304" s="64">
        <f t="shared" si="30"/>
        <v>2.7472527472527476E-2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5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3.2550000000000003E-2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9</v>
      </c>
      <c r="Y306" s="543">
        <f>IFERROR(SUM(Y298:Y304),"0")</f>
        <v>9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24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25.411428571428573</v>
      </c>
      <c r="BN315" s="64">
        <f>IFERROR(Y315*I315/H315,"0")</f>
        <v>26.682000000000002</v>
      </c>
      <c r="BO315" s="64">
        <f>IFERROR(1/J315*(X315/H315),"0")</f>
        <v>4.4642857142857144E-2</v>
      </c>
      <c r="BP315" s="64">
        <f>IFERROR(1/J315*(Y315/H315),"0")</f>
        <v>4.6875E-2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78</v>
      </c>
      <c r="Y316" s="542">
        <f>IFERROR(IF(X316="",0,CEILING((X316/$H316),1)*$H316),"")</f>
        <v>78</v>
      </c>
      <c r="Z316" s="36">
        <f>IFERROR(IF(Y316=0,"",ROUNDUP(Y316/H316,0)*0.01898),"")</f>
        <v>0.1898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82.94</v>
      </c>
      <c r="BN316" s="64">
        <f>IFERROR(Y316*I316/H316,"0")</f>
        <v>82.94</v>
      </c>
      <c r="BO316" s="64">
        <f>IFERROR(1/J316*(X316/H316),"0")</f>
        <v>0.15625</v>
      </c>
      <c r="BP316" s="64">
        <f>IFERROR(1/J316*(Y316/H316),"0")</f>
        <v>0.15625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6</v>
      </c>
      <c r="Y317" s="542">
        <f>IFERROR(IF(X317="",0,CEILING((X317/$H317),1)*$H317),"")</f>
        <v>8.4</v>
      </c>
      <c r="Z317" s="36">
        <f>IFERROR(IF(Y317=0,"",ROUNDUP(Y317/H317,0)*0.01898),"")</f>
        <v>1.898E-2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6.3528571428571432</v>
      </c>
      <c r="BN317" s="64">
        <f>IFERROR(Y317*I317/H317,"0")</f>
        <v>8.8940000000000001</v>
      </c>
      <c r="BO317" s="64">
        <f>IFERROR(1/J317*(X317/H317),"0")</f>
        <v>1.1160714285714286E-2</v>
      </c>
      <c r="BP317" s="64">
        <f>IFERROR(1/J317*(Y317/H317),"0")</f>
        <v>1.5625E-2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13.571428571428571</v>
      </c>
      <c r="Y318" s="543">
        <f>IFERROR(Y315/H315,"0")+IFERROR(Y316/H316,"0")+IFERROR(Y317/H317,"0")</f>
        <v>14</v>
      </c>
      <c r="Z318" s="543">
        <f>IFERROR(IF(Z315="",0,Z315),"0")+IFERROR(IF(Z316="",0,Z316),"0")+IFERROR(IF(Z317="",0,Z317),"0")</f>
        <v>0.26572000000000001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108</v>
      </c>
      <c r="Y319" s="543">
        <f>IFERROR(SUM(Y315:Y317),"0")</f>
        <v>111.60000000000001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2</v>
      </c>
      <c r="Y324" s="542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2.2588235294117647</v>
      </c>
      <c r="BN324" s="64">
        <f>IFERROR(Y324*I324/H324,"0")</f>
        <v>2.88</v>
      </c>
      <c r="BO324" s="64">
        <f>IFERROR(1/J324*(X324/H324),"0")</f>
        <v>4.3094160741219576E-3</v>
      </c>
      <c r="BP324" s="64">
        <f>IFERROR(1/J324*(Y324/H324),"0")</f>
        <v>5.4945054945054949E-3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0.78431372549019618</v>
      </c>
      <c r="Y325" s="543">
        <f>IFERROR(Y321/H321,"0")+IFERROR(Y322/H322,"0")+IFERROR(Y323/H323,"0")+IFERROR(Y324/H324,"0")</f>
        <v>1</v>
      </c>
      <c r="Z325" s="543">
        <f>IFERROR(IF(Z321="",0,Z321),"0")+IFERROR(IF(Z322="",0,Z322),"0")+IFERROR(IF(Z323="",0,Z323),"0")+IFERROR(IF(Z324="",0,Z324),"0")</f>
        <v>6.5100000000000002E-3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2</v>
      </c>
      <c r="Y326" s="543">
        <f>IFERROR(SUM(Y321:Y324),"0")</f>
        <v>2.5499999999999998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393</v>
      </c>
      <c r="Y343" s="542">
        <f t="shared" ref="Y343:Y349" si="31">IFERROR(IF(X343="",0,CEILING((X343/$H343),1)*$H343),"")</f>
        <v>405</v>
      </c>
      <c r="Z343" s="36">
        <f>IFERROR(IF(Y343=0,"",ROUNDUP(Y343/H343,0)*0.02175),"")</f>
        <v>0.58724999999999994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405.31400000000002</v>
      </c>
      <c r="BN343" s="64">
        <f t="shared" ref="BN343:BN349" si="33">IFERROR(Y343*I343/H343,"0")</f>
        <v>417.69</v>
      </c>
      <c r="BO343" s="64">
        <f t="shared" ref="BO343:BO349" si="34">IFERROR(1/J343*(X343/H343),"0")</f>
        <v>0.54583333333333328</v>
      </c>
      <c r="BP343" s="64">
        <f t="shared" ref="BP343:BP349" si="35">IFERROR(1/J343*(Y343/H343),"0")</f>
        <v>0.5625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205</v>
      </c>
      <c r="Y344" s="542">
        <f t="shared" si="31"/>
        <v>210</v>
      </c>
      <c r="Z344" s="36">
        <f>IFERROR(IF(Y344=0,"",ROUNDUP(Y344/H344,0)*0.02175),"")</f>
        <v>0.30449999999999999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211.42333333333332</v>
      </c>
      <c r="BN344" s="64">
        <f t="shared" si="33"/>
        <v>216.58</v>
      </c>
      <c r="BO344" s="64">
        <f t="shared" si="34"/>
        <v>0.28472222222222221</v>
      </c>
      <c r="BP344" s="64">
        <f t="shared" si="35"/>
        <v>0.29166666666666663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115</v>
      </c>
      <c r="Y345" s="542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118.60333333333334</v>
      </c>
      <c r="BN345" s="64">
        <f t="shared" si="33"/>
        <v>123.76</v>
      </c>
      <c r="BO345" s="64">
        <f t="shared" si="34"/>
        <v>0.15972222222222221</v>
      </c>
      <c r="BP345" s="64">
        <f t="shared" si="35"/>
        <v>0.16666666666666666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330</v>
      </c>
      <c r="Y346" s="542">
        <f t="shared" si="31"/>
        <v>330</v>
      </c>
      <c r="Z346" s="36">
        <f>IFERROR(IF(Y346=0,"",ROUNDUP(Y346/H346,0)*0.02175),"")</f>
        <v>0.47849999999999998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340.34000000000003</v>
      </c>
      <c r="BN346" s="64">
        <f t="shared" si="33"/>
        <v>340.34000000000003</v>
      </c>
      <c r="BO346" s="64">
        <f t="shared" si="34"/>
        <v>0.45833333333333331</v>
      </c>
      <c r="BP346" s="64">
        <f t="shared" si="35"/>
        <v>0.45833333333333331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69.533333333333331</v>
      </c>
      <c r="Y350" s="543">
        <f>IFERROR(Y343/H343,"0")+IFERROR(Y344/H344,"0")+IFERROR(Y345/H345,"0")+IFERROR(Y346/H346,"0")+IFERROR(Y347/H347,"0")+IFERROR(Y348/H348,"0")+IFERROR(Y349/H349,"0")</f>
        <v>71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1.5442499999999999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1043</v>
      </c>
      <c r="Y351" s="543">
        <f>IFERROR(SUM(Y343:Y349),"0")</f>
        <v>1065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214</v>
      </c>
      <c r="Y353" s="542">
        <f>IFERROR(IF(X353="",0,CEILING((X353/$H353),1)*$H353),"")</f>
        <v>225</v>
      </c>
      <c r="Z353" s="36">
        <f>IFERROR(IF(Y353=0,"",ROUNDUP(Y353/H353,0)*0.02175),"")</f>
        <v>0.32624999999999998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220.70533333333333</v>
      </c>
      <c r="BN353" s="64">
        <f>IFERROR(Y353*I353/H353,"0")</f>
        <v>232.05</v>
      </c>
      <c r="BO353" s="64">
        <f>IFERROR(1/J353*(X353/H353),"0")</f>
        <v>0.29722222222222222</v>
      </c>
      <c r="BP353" s="64">
        <f>IFERROR(1/J353*(Y353/H353),"0")</f>
        <v>0.3125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14.266666666666667</v>
      </c>
      <c r="Y355" s="543">
        <f>IFERROR(Y353/H353,"0")+IFERROR(Y354/H354,"0")</f>
        <v>15</v>
      </c>
      <c r="Z355" s="543">
        <f>IFERROR(IF(Z353="",0,Z353),"0")+IFERROR(IF(Z354="",0,Z354),"0")</f>
        <v>0.32624999999999998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214</v>
      </c>
      <c r="Y356" s="543">
        <f>IFERROR(SUM(Y353:Y354),"0")</f>
        <v>225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47</v>
      </c>
      <c r="Y359" s="542">
        <f>IFERROR(IF(X359="",0,CEILING((X359/$H359),1)*$H359),"")</f>
        <v>54</v>
      </c>
      <c r="Z359" s="36">
        <f>IFERROR(IF(Y359=0,"",ROUNDUP(Y359/H359,0)*0.01898),"")</f>
        <v>0.11388000000000001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49.579777777777771</v>
      </c>
      <c r="BN359" s="64">
        <f>IFERROR(Y359*I359/H359,"0")</f>
        <v>56.963999999999992</v>
      </c>
      <c r="BO359" s="64">
        <f>IFERROR(1/J359*(X359/H359),"0")</f>
        <v>8.1597222222222224E-2</v>
      </c>
      <c r="BP359" s="64">
        <f>IFERROR(1/J359*(Y359/H359),"0")</f>
        <v>9.375E-2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5.2222222222222223</v>
      </c>
      <c r="Y360" s="543">
        <f>IFERROR(Y358/H358,"0")+IFERROR(Y359/H359,"0")</f>
        <v>6</v>
      </c>
      <c r="Z360" s="543">
        <f>IFERROR(IF(Z358="",0,Z358),"0")+IFERROR(IF(Z359="",0,Z359),"0")</f>
        <v>0.11388000000000001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47</v>
      </c>
      <c r="Y361" s="543">
        <f>IFERROR(SUM(Y358:Y359),"0")</f>
        <v>54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43</v>
      </c>
      <c r="Y363" s="542">
        <f>IFERROR(IF(X363="",0,CEILING((X363/$H363),1)*$H363),"")</f>
        <v>45</v>
      </c>
      <c r="Z363" s="36">
        <f>IFERROR(IF(Y363=0,"",ROUNDUP(Y363/H363,0)*0.01898),"")</f>
        <v>9.4899999999999998E-2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45.36022222222222</v>
      </c>
      <c r="BN363" s="64">
        <f>IFERROR(Y363*I363/H363,"0")</f>
        <v>47.47</v>
      </c>
      <c r="BO363" s="64">
        <f>IFERROR(1/J363*(X363/H363),"0")</f>
        <v>7.4652777777777776E-2</v>
      </c>
      <c r="BP363" s="64">
        <f>IFERROR(1/J363*(Y363/H363),"0")</f>
        <v>7.8125E-2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4.7777777777777777</v>
      </c>
      <c r="Y364" s="543">
        <f>IFERROR(Y363/H363,"0")</f>
        <v>5</v>
      </c>
      <c r="Z364" s="543">
        <f>IFERROR(IF(Z363="",0,Z363),"0")</f>
        <v>9.4899999999999998E-2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43</v>
      </c>
      <c r="Y365" s="543">
        <f>IFERROR(SUM(Y363:Y363),"0")</f>
        <v>45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228</v>
      </c>
      <c r="Y378" s="542">
        <f>IFERROR(IF(X378="",0,CEILING((X378/$H378),1)*$H378),"")</f>
        <v>234</v>
      </c>
      <c r="Z378" s="36">
        <f>IFERROR(IF(Y378=0,"",ROUNDUP(Y378/H378,0)*0.01898),"")</f>
        <v>0.49348000000000003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240.51466666666667</v>
      </c>
      <c r="BN378" s="64">
        <f>IFERROR(Y378*I378/H378,"0")</f>
        <v>246.84399999999999</v>
      </c>
      <c r="BO378" s="64">
        <f>IFERROR(1/J378*(X378/H378),"0")</f>
        <v>0.39583333333333331</v>
      </c>
      <c r="BP378" s="64">
        <f>IFERROR(1/J378*(Y378/H378),"0")</f>
        <v>0.40625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25.333333333333332</v>
      </c>
      <c r="Y380" s="543">
        <f>IFERROR(Y378/H378,"0")+IFERROR(Y379/H379,"0")</f>
        <v>26</v>
      </c>
      <c r="Z380" s="543">
        <f>IFERROR(IF(Z378="",0,Z378),"0")+IFERROR(IF(Z379="",0,Z379),"0")</f>
        <v>0.49348000000000003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228</v>
      </c>
      <c r="Y381" s="543">
        <f>IFERROR(SUM(Y378:Y379),"0")</f>
        <v>234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41</v>
      </c>
      <c r="Y385" s="542">
        <f t="shared" ref="Y385:Y393" si="36">IFERROR(IF(X385="",0,CEILING((X385/$H385),1)*$H385),"")</f>
        <v>43.2</v>
      </c>
      <c r="Z385" s="36">
        <f>IFERROR(IF(Y385=0,"",ROUNDUP(Y385/H385,0)*0.00902),"")</f>
        <v>7.2160000000000002E-2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42.44259259259259</v>
      </c>
      <c r="BN385" s="64">
        <f t="shared" ref="BN385:BN393" si="38">IFERROR(Y385*I385/H385,"0")</f>
        <v>44.72</v>
      </c>
      <c r="BO385" s="64">
        <f t="shared" ref="BO385:BO393" si="39">IFERROR(1/J385*(X385/H385),"0")</f>
        <v>5.7519640852974181E-2</v>
      </c>
      <c r="BP385" s="64">
        <f t="shared" ref="BP385:BP393" si="40">IFERROR(1/J385*(Y385/H385),"0")</f>
        <v>6.0606060606060608E-2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7.5925925925925917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7.2160000000000002E-2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41</v>
      </c>
      <c r="Y395" s="543">
        <f>IFERROR(SUM(Y385:Y393),"0")</f>
        <v>43.2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59</v>
      </c>
      <c r="Y407" s="542">
        <f>IFERROR(IF(X407="",0,CEILING((X407/$H407),1)*$H407),"")</f>
        <v>59.400000000000006</v>
      </c>
      <c r="Z407" s="36">
        <f>IFERROR(IF(Y407=0,"",ROUNDUP(Y407/H407,0)*0.00902),"")</f>
        <v>9.9220000000000003E-2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61.075925925925922</v>
      </c>
      <c r="BN407" s="64">
        <f>IFERROR(Y407*I407/H407,"0")</f>
        <v>61.49</v>
      </c>
      <c r="BO407" s="64">
        <f>IFERROR(1/J407*(X407/H407),"0")</f>
        <v>8.2772166105499437E-2</v>
      </c>
      <c r="BP407" s="64">
        <f>IFERROR(1/J407*(Y407/H407),"0")</f>
        <v>8.3333333333333343E-2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10.925925925925926</v>
      </c>
      <c r="Y411" s="543">
        <f>IFERROR(Y407/H407,"0")+IFERROR(Y408/H408,"0")+IFERROR(Y409/H409,"0")+IFERROR(Y410/H410,"0")</f>
        <v>11</v>
      </c>
      <c r="Z411" s="543">
        <f>IFERROR(IF(Z407="",0,Z407),"0")+IFERROR(IF(Z408="",0,Z408),"0")+IFERROR(IF(Z409="",0,Z409),"0")+IFERROR(IF(Z410="",0,Z410),"0")</f>
        <v>9.9220000000000003E-2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59</v>
      </c>
      <c r="Y412" s="543">
        <f>IFERROR(SUM(Y407:Y410),"0")</f>
        <v>59.400000000000006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36</v>
      </c>
      <c r="Y421" s="542">
        <f t="shared" ref="Y421:Y431" si="42">IFERROR(IF(X421="",0,CEILING((X421/$H421),1)*$H421),"")</f>
        <v>36.96</v>
      </c>
      <c r="Z421" s="36">
        <f t="shared" ref="Z421:Z426" si="43">IFERROR(IF(Y421=0,"",ROUNDUP(Y421/H421,0)*0.01196),"")</f>
        <v>8.3720000000000003E-2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38.386363636363633</v>
      </c>
      <c r="BN421" s="64">
        <f t="shared" ref="BN421:BN431" si="45">IFERROR(Y421*I421/H421,"0")</f>
        <v>39.409999999999997</v>
      </c>
      <c r="BO421" s="64">
        <f t="shared" ref="BO421:BO431" si="46">IFERROR(1/J421*(X421/H421),"0")</f>
        <v>6.555944055944056E-2</v>
      </c>
      <c r="BP421" s="64">
        <f t="shared" ref="BP421:BP431" si="47">IFERROR(1/J421*(Y421/H421),"0")</f>
        <v>6.7307692307692318E-2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145</v>
      </c>
      <c r="Y426" s="542">
        <f t="shared" si="42"/>
        <v>147.84</v>
      </c>
      <c r="Z426" s="36">
        <f t="shared" si="43"/>
        <v>0.33488000000000001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154.61174242424241</v>
      </c>
      <c r="BN426" s="64">
        <f t="shared" si="45"/>
        <v>157.63999999999999</v>
      </c>
      <c r="BO426" s="64">
        <f t="shared" si="46"/>
        <v>0.26405885780885779</v>
      </c>
      <c r="BP426" s="64">
        <f t="shared" si="47"/>
        <v>0.26923076923076927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34.280303030303031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0.41860000000000003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181</v>
      </c>
      <c r="Y433" s="543">
        <f>IFERROR(SUM(Y421:Y431),"0")</f>
        <v>184.8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63</v>
      </c>
      <c r="Y435" s="542">
        <f>IFERROR(IF(X435="",0,CEILING((X435/$H435),1)*$H435),"")</f>
        <v>63.36</v>
      </c>
      <c r="Z435" s="36">
        <f>IFERROR(IF(Y435=0,"",ROUNDUP(Y435/H435,0)*0.01196),"")</f>
        <v>0.14352000000000001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67.17613636363636</v>
      </c>
      <c r="BN435" s="64">
        <f>IFERROR(Y435*I435/H435,"0")</f>
        <v>67.559999999999988</v>
      </c>
      <c r="BO435" s="64">
        <f>IFERROR(1/J435*(X435/H435),"0")</f>
        <v>0.11472902097902099</v>
      </c>
      <c r="BP435" s="64">
        <f>IFERROR(1/J435*(Y435/H435),"0")</f>
        <v>0.11538461538461539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11.931818181818182</v>
      </c>
      <c r="Y438" s="543">
        <f>IFERROR(Y435/H435,"0")+IFERROR(Y436/H436,"0")+IFERROR(Y437/H437,"0")</f>
        <v>12</v>
      </c>
      <c r="Z438" s="543">
        <f>IFERROR(IF(Z435="",0,Z435),"0")+IFERROR(IF(Z436="",0,Z436),"0")+IFERROR(IF(Z437="",0,Z437),"0")</f>
        <v>0.14352000000000001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63</v>
      </c>
      <c r="Y439" s="543">
        <f>IFERROR(SUM(Y435:Y437),"0")</f>
        <v>63.36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99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105.5625</v>
      </c>
      <c r="BN443" s="64">
        <f t="shared" si="50"/>
        <v>106.97</v>
      </c>
      <c r="BO443" s="64">
        <f t="shared" si="51"/>
        <v>0.18028846153846154</v>
      </c>
      <c r="BP443" s="64">
        <f t="shared" si="52"/>
        <v>0.18269230769230771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18.75</v>
      </c>
      <c r="Y447" s="543">
        <f>IFERROR(Y441/H441,"0")+IFERROR(Y442/H442,"0")+IFERROR(Y443/H443,"0")+IFERROR(Y444/H444,"0")+IFERROR(Y445/H445,"0")+IFERROR(Y446/H446,"0")</f>
        <v>19</v>
      </c>
      <c r="Z447" s="543">
        <f>IFERROR(IF(Z441="",0,Z441),"0")+IFERROR(IF(Z442="",0,Z442),"0")+IFERROR(IF(Z443="",0,Z443),"0")+IFERROR(IF(Z444="",0,Z444),"0")+IFERROR(IF(Z445="",0,Z445),"0")+IFERROR(IF(Z446="",0,Z446),"0")</f>
        <v>0.22724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99</v>
      </c>
      <c r="Y448" s="543">
        <f>IFERROR(SUM(Y441:Y446),"0")</f>
        <v>100.32000000000001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62</v>
      </c>
      <c r="Y476" s="542">
        <f>IFERROR(IF(X476="",0,CEILING((X476/$H476),1)*$H476),"")</f>
        <v>63</v>
      </c>
      <c r="Z476" s="36">
        <f>IFERROR(IF(Y476=0,"",ROUNDUP(Y476/H476,0)*0.01898),"")</f>
        <v>0.13286000000000001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65.403111111111102</v>
      </c>
      <c r="BN476" s="64">
        <f>IFERROR(Y476*I476/H476,"0")</f>
        <v>66.457999999999998</v>
      </c>
      <c r="BO476" s="64">
        <f>IFERROR(1/J476*(X476/H476),"0")</f>
        <v>0.1076388888888889</v>
      </c>
      <c r="BP476" s="64">
        <f>IFERROR(1/J476*(Y476/H476),"0")</f>
        <v>0.109375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6.8888888888888893</v>
      </c>
      <c r="Y477" s="543">
        <f>IFERROR(Y476/H476,"0")</f>
        <v>7</v>
      </c>
      <c r="Z477" s="543">
        <f>IFERROR(IF(Z476="",0,Z476),"0")</f>
        <v>0.13286000000000001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62</v>
      </c>
      <c r="Y478" s="543">
        <f>IFERROR(SUM(Y476:Y476),"0")</f>
        <v>63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4329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4472.7299999999987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4563.0456878300738</v>
      </c>
      <c r="Y490" s="543">
        <f>IFERROR(SUM(BN22:BN486),"0")</f>
        <v>4714.1310000000012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4763.0456878300738</v>
      </c>
      <c r="Y492" s="543">
        <f>GrossWeightTotalR+PalletQtyTotalR*25</f>
        <v>4914.1310000000012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844.40982420904663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870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8.9081499999999991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97.2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71.8</v>
      </c>
      <c r="E499" s="46">
        <f>IFERROR(Y85*1,"0")+IFERROR(Y86*1,"0")+IFERROR(Y87*1,"0")+IFERROR(Y91*1,"0")+IFERROR(Y92*1,"0")+IFERROR(Y93*1,"0")+IFERROR(Y94*1,"0")</f>
        <v>378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290.7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292.55999999999995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1013.4000000000001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37.64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31.2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123.15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1389</v>
      </c>
      <c r="T499" s="46">
        <f>IFERROR(Y368*1,"0")+IFERROR(Y369*1,"0")+IFERROR(Y373*1,"0")+IFERROR(Y374*1,"0")+IFERROR(Y378*1,"0")+IFERROR(Y379*1,"0")</f>
        <v>234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43.2</v>
      </c>
      <c r="V499" s="46">
        <f>IFERROR(Y403*1,"0")+IFERROR(Y407*1,"0")+IFERROR(Y408*1,"0")+IFERROR(Y409*1,"0")+IFERROR(Y410*1,"0")</f>
        <v>59.400000000000006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348.48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63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0,65"/>
        <filter val="0,78"/>
        <filter val="1 043,00"/>
        <filter val="1,00"/>
        <filter val="1,57"/>
        <filter val="10,00"/>
        <filter val="10,93"/>
        <filter val="100,00"/>
        <filter val="104,00"/>
        <filter val="108,00"/>
        <filter val="11,93"/>
        <filter val="112,70"/>
        <filter val="112,78"/>
        <filter val="115,00"/>
        <filter val="12,00"/>
        <filter val="12,08"/>
        <filter val="121,00"/>
        <filter val="13,57"/>
        <filter val="131,00"/>
        <filter val="138,00"/>
        <filter val="14,00"/>
        <filter val="14,27"/>
        <filter val="145,00"/>
        <filter val="16,00"/>
        <filter val="17,00"/>
        <filter val="172,00"/>
        <filter val="177,00"/>
        <filter val="18,75"/>
        <filter val="181,00"/>
        <filter val="19,91"/>
        <filter val="199,00"/>
        <filter val="2,00"/>
        <filter val="2,22"/>
        <filter val="2,38"/>
        <filter val="2,84"/>
        <filter val="201,00"/>
        <filter val="201,67"/>
        <filter val="205,00"/>
        <filter val="214,00"/>
        <filter val="225,00"/>
        <filter val="228,00"/>
        <filter val="24,00"/>
        <filter val="25,33"/>
        <filter val="26,00"/>
        <filter val="278,00"/>
        <filter val="28,00"/>
        <filter val="29,00"/>
        <filter val="3,00"/>
        <filter val="31,91"/>
        <filter val="32,96"/>
        <filter val="330,00"/>
        <filter val="34,28"/>
        <filter val="36,00"/>
        <filter val="37,00"/>
        <filter val="393,00"/>
        <filter val="4 329,00"/>
        <filter val="4 563,05"/>
        <filter val="4 763,05"/>
        <filter val="4,00"/>
        <filter val="4,74"/>
        <filter val="4,78"/>
        <filter val="41,00"/>
        <filter val="43,00"/>
        <filter val="47,00"/>
        <filter val="47,90"/>
        <filter val="484,00"/>
        <filter val="487,00"/>
        <filter val="5,00"/>
        <filter val="5,22"/>
        <filter val="55,00"/>
        <filter val="59,00"/>
        <filter val="6,00"/>
        <filter val="6,26"/>
        <filter val="6,89"/>
        <filter val="60,00"/>
        <filter val="62,00"/>
        <filter val="63,00"/>
        <filter val="64,00"/>
        <filter val="67,00"/>
        <filter val="68,00"/>
        <filter val="69,53"/>
        <filter val="7,00"/>
        <filter val="7,59"/>
        <filter val="74,00"/>
        <filter val="78,00"/>
        <filter val="8"/>
        <filter val="8,15"/>
        <filter val="83,00"/>
        <filter val="844,41"/>
        <filter val="88,00"/>
        <filter val="9,00"/>
        <filter val="93,00"/>
        <filter val="95,00"/>
        <filter val="99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