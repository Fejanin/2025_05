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D40B273-67E3-45F6-8E5E-A0B04BA2755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X222" i="1"/>
  <c r="X221" i="1"/>
  <c r="BO220" i="1"/>
  <c r="BM220" i="1"/>
  <c r="Y220" i="1"/>
  <c r="BP220" i="1" s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Y173" i="1" s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Y160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55" i="1" l="1"/>
  <c r="BN55" i="1"/>
  <c r="Z55" i="1"/>
  <c r="BP93" i="1"/>
  <c r="BN93" i="1"/>
  <c r="Z93" i="1"/>
  <c r="BP129" i="1"/>
  <c r="BN129" i="1"/>
  <c r="Z129" i="1"/>
  <c r="BP166" i="1"/>
  <c r="BN166" i="1"/>
  <c r="Z166" i="1"/>
  <c r="BP203" i="1"/>
  <c r="BN203" i="1"/>
  <c r="Z203" i="1"/>
  <c r="BP231" i="1"/>
  <c r="BN231" i="1"/>
  <c r="Z231" i="1"/>
  <c r="BP272" i="1"/>
  <c r="BN272" i="1"/>
  <c r="Z272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Z453" i="1" s="1"/>
  <c r="Y36" i="1"/>
  <c r="Y35" i="1"/>
  <c r="BP34" i="1"/>
  <c r="BN34" i="1"/>
  <c r="Z34" i="1"/>
  <c r="Z35" i="1" s="1"/>
  <c r="BP40" i="1"/>
  <c r="BN40" i="1"/>
  <c r="Z40" i="1"/>
  <c r="BP74" i="1"/>
  <c r="BN74" i="1"/>
  <c r="Z74" i="1"/>
  <c r="BP108" i="1"/>
  <c r="BN108" i="1"/>
  <c r="Z108" i="1"/>
  <c r="BP148" i="1"/>
  <c r="BN148" i="1"/>
  <c r="Z148" i="1"/>
  <c r="BP187" i="1"/>
  <c r="BN187" i="1"/>
  <c r="Z187" i="1"/>
  <c r="BP191" i="1"/>
  <c r="BN191" i="1"/>
  <c r="Z191" i="1"/>
  <c r="BP214" i="1"/>
  <c r="BN214" i="1"/>
  <c r="Z214" i="1"/>
  <c r="BP256" i="1"/>
  <c r="BN256" i="1"/>
  <c r="Z256" i="1"/>
  <c r="BP299" i="1"/>
  <c r="BN299" i="1"/>
  <c r="Z299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2" i="1"/>
  <c r="Y116" i="1"/>
  <c r="Y149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Y96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Z72" i="1"/>
  <c r="BN72" i="1"/>
  <c r="Z80" i="1"/>
  <c r="BN80" i="1"/>
  <c r="Z85" i="1"/>
  <c r="BN85" i="1"/>
  <c r="Z91" i="1"/>
  <c r="BN91" i="1"/>
  <c r="BP91" i="1"/>
  <c r="Z100" i="1"/>
  <c r="BN100" i="1"/>
  <c r="Z106" i="1"/>
  <c r="Z109" i="1" s="1"/>
  <c r="BN106" i="1"/>
  <c r="Z112" i="1"/>
  <c r="BN112" i="1"/>
  <c r="BP112" i="1"/>
  <c r="Z125" i="1"/>
  <c r="BN125" i="1"/>
  <c r="Y131" i="1"/>
  <c r="Z135" i="1"/>
  <c r="BN135" i="1"/>
  <c r="Z140" i="1"/>
  <c r="BN140" i="1"/>
  <c r="Z146" i="1"/>
  <c r="BN146" i="1"/>
  <c r="BP146" i="1"/>
  <c r="Z164" i="1"/>
  <c r="BN164" i="1"/>
  <c r="Z168" i="1"/>
  <c r="BN168" i="1"/>
  <c r="Z176" i="1"/>
  <c r="BN176" i="1"/>
  <c r="Z197" i="1"/>
  <c r="BN197" i="1"/>
  <c r="Z201" i="1"/>
  <c r="BN201" i="1"/>
  <c r="Z207" i="1"/>
  <c r="BN207" i="1"/>
  <c r="Z211" i="1"/>
  <c r="BN211" i="1"/>
  <c r="Z212" i="1"/>
  <c r="BN212" i="1"/>
  <c r="Z220" i="1"/>
  <c r="BN220" i="1"/>
  <c r="Z225" i="1"/>
  <c r="BN225" i="1"/>
  <c r="Z229" i="1"/>
  <c r="BN229" i="1"/>
  <c r="Z233" i="1"/>
  <c r="BN233" i="1"/>
  <c r="Z249" i="1"/>
  <c r="BN249" i="1"/>
  <c r="Z258" i="1"/>
  <c r="BN258" i="1"/>
  <c r="Z267" i="1"/>
  <c r="BN267" i="1"/>
  <c r="Z274" i="1"/>
  <c r="BN274" i="1"/>
  <c r="Y286" i="1"/>
  <c r="Z291" i="1"/>
  <c r="BN291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Y31" i="1"/>
  <c r="Y58" i="1"/>
  <c r="BP73" i="1"/>
  <c r="BN73" i="1"/>
  <c r="Z73" i="1"/>
  <c r="BP107" i="1"/>
  <c r="BN107" i="1"/>
  <c r="Z107" i="1"/>
  <c r="BP115" i="1"/>
  <c r="BN115" i="1"/>
  <c r="Z115" i="1"/>
  <c r="Y120" i="1"/>
  <c r="BP119" i="1"/>
  <c r="BN119" i="1"/>
  <c r="Z119" i="1"/>
  <c r="Z120" i="1" s="1"/>
  <c r="G499" i="1"/>
  <c r="Y127" i="1"/>
  <c r="BP124" i="1"/>
  <c r="BN124" i="1"/>
  <c r="Z124" i="1"/>
  <c r="Z126" i="1" s="1"/>
  <c r="BP171" i="1"/>
  <c r="BN171" i="1"/>
  <c r="Z171" i="1"/>
  <c r="BP200" i="1"/>
  <c r="BN200" i="1"/>
  <c r="Z200" i="1"/>
  <c r="BP208" i="1"/>
  <c r="BN208" i="1"/>
  <c r="Z208" i="1"/>
  <c r="BP226" i="1"/>
  <c r="BN226" i="1"/>
  <c r="Z226" i="1"/>
  <c r="BP230" i="1"/>
  <c r="BN230" i="1"/>
  <c r="Z230" i="1"/>
  <c r="Y43" i="1"/>
  <c r="Y64" i="1"/>
  <c r="Y69" i="1"/>
  <c r="BP86" i="1"/>
  <c r="BN86" i="1"/>
  <c r="Z86" i="1"/>
  <c r="Z88" i="1" s="1"/>
  <c r="BP94" i="1"/>
  <c r="BN94" i="1"/>
  <c r="Z94" i="1"/>
  <c r="F499" i="1"/>
  <c r="Y104" i="1"/>
  <c r="BP99" i="1"/>
  <c r="BN99" i="1"/>
  <c r="Z99" i="1"/>
  <c r="Y103" i="1"/>
  <c r="Y117" i="1"/>
  <c r="Y121" i="1"/>
  <c r="BP141" i="1"/>
  <c r="BN141" i="1"/>
  <c r="Z141" i="1"/>
  <c r="Z143" i="1" s="1"/>
  <c r="Y153" i="1"/>
  <c r="BP152" i="1"/>
  <c r="BN152" i="1"/>
  <c r="Z152" i="1"/>
  <c r="Z153" i="1" s="1"/>
  <c r="I499" i="1"/>
  <c r="Y159" i="1"/>
  <c r="BP158" i="1"/>
  <c r="BN158" i="1"/>
  <c r="Z158" i="1"/>
  <c r="Z159" i="1" s="1"/>
  <c r="BP163" i="1"/>
  <c r="BN163" i="1"/>
  <c r="Z163" i="1"/>
  <c r="BP167" i="1"/>
  <c r="BN167" i="1"/>
  <c r="Z167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Y204" i="1"/>
  <c r="BP213" i="1"/>
  <c r="BN213" i="1"/>
  <c r="Z213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BP329" i="1"/>
  <c r="BN329" i="1"/>
  <c r="Z329" i="1"/>
  <c r="Z331" i="1" s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38" i="1" l="1"/>
  <c r="Z380" i="1"/>
  <c r="Z375" i="1"/>
  <c r="Z305" i="1"/>
  <c r="Z295" i="1"/>
  <c r="Z318" i="1"/>
  <c r="Z188" i="1"/>
  <c r="Z116" i="1"/>
  <c r="Z95" i="1"/>
  <c r="Z43" i="1"/>
  <c r="Z411" i="1"/>
  <c r="Z350" i="1"/>
  <c r="Y491" i="1"/>
  <c r="Z57" i="1"/>
  <c r="Z31" i="1"/>
  <c r="Z76" i="1"/>
  <c r="Y493" i="1"/>
  <c r="Z462" i="1"/>
  <c r="Z216" i="1"/>
  <c r="Y490" i="1"/>
  <c r="Y492" i="1" s="1"/>
  <c r="Z172" i="1"/>
  <c r="Z235" i="1"/>
  <c r="Z447" i="1"/>
  <c r="Z432" i="1"/>
  <c r="Z394" i="1"/>
  <c r="Z69" i="1"/>
  <c r="Y489" i="1"/>
  <c r="Z312" i="1"/>
  <c r="X492" i="1"/>
  <c r="Z268" i="1"/>
  <c r="Z260" i="1"/>
  <c r="Z251" i="1"/>
  <c r="Z204" i="1"/>
  <c r="Z178" i="1"/>
  <c r="Z103" i="1"/>
  <c r="Z494" i="1" l="1"/>
</calcChain>
</file>

<file path=xl/sharedStrings.xml><?xml version="1.0" encoding="utf-8"?>
<sst xmlns="http://schemas.openxmlformats.org/spreadsheetml/2006/main" count="2283" uniqueCount="768">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</sst>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346" sqref="AA346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45978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0.45833333333333331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66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hidden="1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0</v>
      </c>
      <c r="Y216" s="543">
        <f>IFERROR(Y207/H207,"0")+IFERROR(Y208/H208,"0")+IFERROR(Y209/H209,"0")+IFERROR(Y210/H210,"0")+IFERROR(Y211/H211,"0")+IFERROR(Y212/H212,"0")+IFERROR(Y213/H213,"0")+IFERROR(Y214/H214,"0")+IFERROR(Y215/H215,"0")</f>
        <v>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4"/>
      <c r="AB216" s="544"/>
      <c r="AC216" s="544"/>
    </row>
    <row r="217" spans="1:68" hidden="1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0</v>
      </c>
      <c r="Y217" s="543">
        <f>IFERROR(SUM(Y207:Y215),"0")</f>
        <v>0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hidden="1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hidden="1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hidden="1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500</v>
      </c>
      <c r="Y346" s="542">
        <f t="shared" si="31"/>
        <v>510</v>
      </c>
      <c r="Z346" s="36">
        <f>IFERROR(IF(Y346=0,"",ROUNDUP(Y346/H346,0)*0.02175),"")</f>
        <v>0.73949999999999994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515.66666666666663</v>
      </c>
      <c r="BN346" s="64">
        <f t="shared" si="33"/>
        <v>525.98</v>
      </c>
      <c r="BO346" s="64">
        <f t="shared" si="34"/>
        <v>0.69444444444444442</v>
      </c>
      <c r="BP346" s="64">
        <f t="shared" si="35"/>
        <v>0.70833333333333326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33.333333333333336</v>
      </c>
      <c r="Y350" s="543">
        <f>IFERROR(Y343/H343,"0")+IFERROR(Y344/H344,"0")+IFERROR(Y345/H345,"0")+IFERROR(Y346/H346,"0")+IFERROR(Y347/H347,"0")+IFERROR(Y348/H348,"0")+IFERROR(Y349/H349,"0")</f>
        <v>34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0.73949999999999994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500</v>
      </c>
      <c r="Y351" s="543">
        <f>IFERROR(SUM(Y343:Y349),"0")</f>
        <v>510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800</v>
      </c>
      <c r="Y353" s="542">
        <f>IFERROR(IF(X353="",0,CEILING((X353/$H353),1)*$H353),"")</f>
        <v>810</v>
      </c>
      <c r="Z353" s="36">
        <f>IFERROR(IF(Y353=0,"",ROUNDUP(Y353/H353,0)*0.02175),"")</f>
        <v>1.1744999999999999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825.06666666666672</v>
      </c>
      <c r="BN353" s="64">
        <f>IFERROR(Y353*I353/H353,"0")</f>
        <v>835.38</v>
      </c>
      <c r="BO353" s="64">
        <f>IFERROR(1/J353*(X353/H353),"0")</f>
        <v>1.1111111111111112</v>
      </c>
      <c r="BP353" s="64">
        <f>IFERROR(1/J353*(Y353/H353),"0")</f>
        <v>1.125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53.333333333333336</v>
      </c>
      <c r="Y355" s="543">
        <f>IFERROR(Y353/H353,"0")+IFERROR(Y354/H354,"0")</f>
        <v>54</v>
      </c>
      <c r="Z355" s="543">
        <f>IFERROR(IF(Z353="",0,Z353),"0")+IFERROR(IF(Z354="",0,Z354),"0")</f>
        <v>1.1744999999999999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800</v>
      </c>
      <c r="Y356" s="543">
        <f>IFERROR(SUM(Y353:Y354),"0")</f>
        <v>810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680</v>
      </c>
      <c r="Y378" s="542">
        <f>IFERROR(IF(X378="",0,CEILING((X378/$H378),1)*$H378),"")</f>
        <v>684</v>
      </c>
      <c r="Z378" s="36">
        <f>IFERROR(IF(Y378=0,"",ROUNDUP(Y378/H378,0)*0.01898),"")</f>
        <v>1.44248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717.32444444444445</v>
      </c>
      <c r="BN378" s="64">
        <f>IFERROR(Y378*I378/H378,"0")</f>
        <v>721.54399999999998</v>
      </c>
      <c r="BO378" s="64">
        <f>IFERROR(1/J378*(X378/H378),"0")</f>
        <v>1.1805555555555556</v>
      </c>
      <c r="BP378" s="64">
        <f>IFERROR(1/J378*(Y378/H378),"0")</f>
        <v>1.1875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75.555555555555557</v>
      </c>
      <c r="Y380" s="543">
        <f>IFERROR(Y378/H378,"0")+IFERROR(Y379/H379,"0")</f>
        <v>76</v>
      </c>
      <c r="Z380" s="543">
        <f>IFERROR(IF(Z378="",0,Z378),"0")+IFERROR(IF(Z379="",0,Z379),"0")</f>
        <v>1.44248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680</v>
      </c>
      <c r="Y381" s="543">
        <f>IFERROR(SUM(Y378:Y379),"0")</f>
        <v>684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1000</v>
      </c>
      <c r="Y426" s="542">
        <f t="shared" si="42"/>
        <v>1003.2</v>
      </c>
      <c r="Z426" s="36">
        <f t="shared" si="43"/>
        <v>2.2724000000000002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1066.2878787878788</v>
      </c>
      <c r="BN426" s="64">
        <f t="shared" si="45"/>
        <v>1069.7</v>
      </c>
      <c r="BO426" s="64">
        <f t="shared" si="46"/>
        <v>1.821095571095571</v>
      </c>
      <c r="BP426" s="64">
        <f t="shared" si="47"/>
        <v>1.8269230769230771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189.39393939393938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190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2.2724000000000002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1000</v>
      </c>
      <c r="Y433" s="543">
        <f>IFERROR(SUM(Y421:Y431),"0")</f>
        <v>1003.2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hidden="1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hidden="1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idden="1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2980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3007.2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3124.345656565657</v>
      </c>
      <c r="Y490" s="543">
        <f>IFERROR(SUM(BN22:BN486),"0")</f>
        <v>3152.6040000000003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5</v>
      </c>
      <c r="Y491" s="38">
        <f>ROUNDUP(SUM(BP22:BP486),0)</f>
        <v>5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3249.345656565657</v>
      </c>
      <c r="Y492" s="543">
        <f>GrossWeightTotalR+PalletQtyTotalR*25</f>
        <v>3277.6040000000003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351.61616161616161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354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5.6288799999999997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190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1320</v>
      </c>
      <c r="T499" s="46">
        <f>IFERROR(Y368*1,"0")+IFERROR(Y369*1,"0")+IFERROR(Y373*1,"0")+IFERROR(Y374*1,"0")+IFERROR(Y378*1,"0")+IFERROR(Y379*1,"0")</f>
        <v>684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1003.2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89,39"/>
        <filter val="2 980,00"/>
        <filter val="3 124,35"/>
        <filter val="3 249,35"/>
        <filter val="33,33"/>
        <filter val="351,62"/>
        <filter val="5"/>
        <filter val="500,00"/>
        <filter val="53,33"/>
        <filter val="680,00"/>
        <filter val="75,56"/>
        <filter val="800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