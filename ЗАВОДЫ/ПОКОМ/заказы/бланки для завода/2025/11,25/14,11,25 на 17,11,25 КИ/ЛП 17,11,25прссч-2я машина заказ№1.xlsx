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01DDDBA-EE45-40B7-A513-122F0FD318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Z500" i="1" s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BP453" i="1" s="1"/>
  <c r="P453" i="1"/>
  <c r="BO452" i="1"/>
  <c r="BM452" i="1"/>
  <c r="Y452" i="1"/>
  <c r="P452" i="1"/>
  <c r="BO451" i="1"/>
  <c r="BM451" i="1"/>
  <c r="Y451" i="1"/>
  <c r="Y454" i="1" s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BP443" i="1" s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BP427" i="1" s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BP408" i="1" s="1"/>
  <c r="P408" i="1"/>
  <c r="X406" i="1"/>
  <c r="X405" i="1"/>
  <c r="BO404" i="1"/>
  <c r="BM404" i="1"/>
  <c r="Y404" i="1"/>
  <c r="Y405" i="1" s="1"/>
  <c r="P404" i="1"/>
  <c r="X401" i="1"/>
  <c r="X400" i="1"/>
  <c r="BO399" i="1"/>
  <c r="BM399" i="1"/>
  <c r="Y399" i="1"/>
  <c r="BP399" i="1" s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Y361" i="1" s="1"/>
  <c r="P359" i="1"/>
  <c r="X357" i="1"/>
  <c r="X356" i="1"/>
  <c r="BO355" i="1"/>
  <c r="BM355" i="1"/>
  <c r="Y355" i="1"/>
  <c r="P355" i="1"/>
  <c r="BO354" i="1"/>
  <c r="BM354" i="1"/>
  <c r="Y354" i="1"/>
  <c r="BP354" i="1" s="1"/>
  <c r="P354" i="1"/>
  <c r="X352" i="1"/>
  <c r="X351" i="1"/>
  <c r="BO350" i="1"/>
  <c r="BM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M330" i="1"/>
  <c r="Y330" i="1"/>
  <c r="BP330" i="1" s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X297" i="1"/>
  <c r="X296" i="1"/>
  <c r="BP295" i="1"/>
  <c r="BO295" i="1"/>
  <c r="BN295" i="1"/>
  <c r="BM295" i="1"/>
  <c r="Z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BP274" i="1" s="1"/>
  <c r="P274" i="1"/>
  <c r="BO273" i="1"/>
  <c r="BM273" i="1"/>
  <c r="Y273" i="1"/>
  <c r="P273" i="1"/>
  <c r="BO272" i="1"/>
  <c r="BM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O258" i="1"/>
  <c r="BM258" i="1"/>
  <c r="Y258" i="1"/>
  <c r="BP258" i="1" s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L500" i="1" s="1"/>
  <c r="P255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Y243" i="1" s="1"/>
  <c r="P242" i="1"/>
  <c r="X240" i="1"/>
  <c r="X239" i="1"/>
  <c r="BO238" i="1"/>
  <c r="BM238" i="1"/>
  <c r="Y238" i="1"/>
  <c r="Y239" i="1" s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X222" i="1"/>
  <c r="X221" i="1"/>
  <c r="BO220" i="1"/>
  <c r="BM220" i="1"/>
  <c r="Y220" i="1"/>
  <c r="P220" i="1"/>
  <c r="BO219" i="1"/>
  <c r="BM219" i="1"/>
  <c r="Y219" i="1"/>
  <c r="Y222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2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O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E500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7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Z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2" i="1" s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90" i="1" l="1"/>
  <c r="Z86" i="1"/>
  <c r="BN86" i="1"/>
  <c r="Z99" i="1"/>
  <c r="BN99" i="1"/>
  <c r="Z115" i="1"/>
  <c r="BN115" i="1"/>
  <c r="Z141" i="1"/>
  <c r="BN141" i="1"/>
  <c r="Z167" i="1"/>
  <c r="BN167" i="1"/>
  <c r="Z177" i="1"/>
  <c r="BN177" i="1"/>
  <c r="Z198" i="1"/>
  <c r="BN198" i="1"/>
  <c r="Z210" i="1"/>
  <c r="BN210" i="1"/>
  <c r="Z225" i="1"/>
  <c r="BN225" i="1"/>
  <c r="Z233" i="1"/>
  <c r="BN233" i="1"/>
  <c r="Z258" i="1"/>
  <c r="BN258" i="1"/>
  <c r="Z274" i="1"/>
  <c r="BN274" i="1"/>
  <c r="Z291" i="1"/>
  <c r="BN291" i="1"/>
  <c r="Z301" i="1"/>
  <c r="BN301" i="1"/>
  <c r="Z311" i="1"/>
  <c r="BN311" i="1"/>
  <c r="Z330" i="1"/>
  <c r="BN330" i="1"/>
  <c r="Z354" i="1"/>
  <c r="BN354" i="1"/>
  <c r="Z387" i="1"/>
  <c r="BN387" i="1"/>
  <c r="Z399" i="1"/>
  <c r="BN399" i="1"/>
  <c r="Z404" i="1"/>
  <c r="Z405" i="1" s="1"/>
  <c r="BN404" i="1"/>
  <c r="BP404" i="1"/>
  <c r="Z408" i="1"/>
  <c r="BN408" i="1"/>
  <c r="Z427" i="1"/>
  <c r="BN427" i="1"/>
  <c r="Z443" i="1"/>
  <c r="BN443" i="1"/>
  <c r="Z453" i="1"/>
  <c r="BN453" i="1"/>
  <c r="Z467" i="1"/>
  <c r="BN467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N55" i="1"/>
  <c r="Z67" i="1"/>
  <c r="BN67" i="1"/>
  <c r="Z75" i="1"/>
  <c r="BN75" i="1"/>
  <c r="BP113" i="1"/>
  <c r="BN113" i="1"/>
  <c r="Z113" i="1"/>
  <c r="Y136" i="1"/>
  <c r="BP134" i="1"/>
  <c r="BN134" i="1"/>
  <c r="Z134" i="1"/>
  <c r="Y154" i="1"/>
  <c r="Y153" i="1"/>
  <c r="BP152" i="1"/>
  <c r="BN152" i="1"/>
  <c r="Z152" i="1"/>
  <c r="Z153" i="1" s="1"/>
  <c r="Y159" i="1"/>
  <c r="BP158" i="1"/>
  <c r="BN158" i="1"/>
  <c r="Z158" i="1"/>
  <c r="Z159" i="1" s="1"/>
  <c r="BP165" i="1"/>
  <c r="BN165" i="1"/>
  <c r="Z165" i="1"/>
  <c r="Y179" i="1"/>
  <c r="BP175" i="1"/>
  <c r="BN175" i="1"/>
  <c r="Z175" i="1"/>
  <c r="Y204" i="1"/>
  <c r="BP196" i="1"/>
  <c r="BN196" i="1"/>
  <c r="Z196" i="1"/>
  <c r="BP208" i="1"/>
  <c r="BN208" i="1"/>
  <c r="Z208" i="1"/>
  <c r="BP220" i="1"/>
  <c r="BN220" i="1"/>
  <c r="Z220" i="1"/>
  <c r="BP231" i="1"/>
  <c r="BN231" i="1"/>
  <c r="Z231" i="1"/>
  <c r="BP256" i="1"/>
  <c r="BN256" i="1"/>
  <c r="Z256" i="1"/>
  <c r="BP272" i="1"/>
  <c r="BN272" i="1"/>
  <c r="Z272" i="1"/>
  <c r="Y286" i="1"/>
  <c r="BP284" i="1"/>
  <c r="BN284" i="1"/>
  <c r="Z284" i="1"/>
  <c r="Z22" i="1"/>
  <c r="Z23" i="1" s="1"/>
  <c r="BN22" i="1"/>
  <c r="BP22" i="1"/>
  <c r="Z26" i="1"/>
  <c r="BN26" i="1"/>
  <c r="BP26" i="1"/>
  <c r="Z30" i="1"/>
  <c r="BN30" i="1"/>
  <c r="Z42" i="1"/>
  <c r="BN42" i="1"/>
  <c r="BN53" i="1"/>
  <c r="Z61" i="1"/>
  <c r="BN61" i="1"/>
  <c r="Z73" i="1"/>
  <c r="BN73" i="1"/>
  <c r="Z79" i="1"/>
  <c r="BN79" i="1"/>
  <c r="BP79" i="1"/>
  <c r="Z92" i="1"/>
  <c r="BN92" i="1"/>
  <c r="BP94" i="1"/>
  <c r="BN94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BP147" i="1"/>
  <c r="BN147" i="1"/>
  <c r="Z147" i="1"/>
  <c r="BP169" i="1"/>
  <c r="BN169" i="1"/>
  <c r="Z169" i="1"/>
  <c r="Y183" i="1"/>
  <c r="Y182" i="1"/>
  <c r="BP181" i="1"/>
  <c r="BN181" i="1"/>
  <c r="Z181" i="1"/>
  <c r="Z182" i="1" s="1"/>
  <c r="BP186" i="1"/>
  <c r="BN186" i="1"/>
  <c r="Z186" i="1"/>
  <c r="BP200" i="1"/>
  <c r="BN200" i="1"/>
  <c r="Z200" i="1"/>
  <c r="BP212" i="1"/>
  <c r="BN212" i="1"/>
  <c r="Z212" i="1"/>
  <c r="BP227" i="1"/>
  <c r="BN227" i="1"/>
  <c r="Z227" i="1"/>
  <c r="Y251" i="1"/>
  <c r="BP247" i="1"/>
  <c r="BN247" i="1"/>
  <c r="Z247" i="1"/>
  <c r="BP265" i="1"/>
  <c r="BN265" i="1"/>
  <c r="Z265" i="1"/>
  <c r="Y109" i="1"/>
  <c r="H500" i="1"/>
  <c r="Y173" i="1"/>
  <c r="BP279" i="1"/>
  <c r="BN279" i="1"/>
  <c r="Z279" i="1"/>
  <c r="BP293" i="1"/>
  <c r="BN293" i="1"/>
  <c r="Z293" i="1"/>
  <c r="BP303" i="1"/>
  <c r="BN303" i="1"/>
  <c r="Z303" i="1"/>
  <c r="BP317" i="1"/>
  <c r="BN317" i="1"/>
  <c r="Z317" i="1"/>
  <c r="BP337" i="1"/>
  <c r="BN337" i="1"/>
  <c r="Z337" i="1"/>
  <c r="BP360" i="1"/>
  <c r="BN360" i="1"/>
  <c r="Z360" i="1"/>
  <c r="Y366" i="1"/>
  <c r="Y365" i="1"/>
  <c r="BP364" i="1"/>
  <c r="BN364" i="1"/>
  <c r="Z364" i="1"/>
  <c r="Z365" i="1" s="1"/>
  <c r="BP369" i="1"/>
  <c r="BN369" i="1"/>
  <c r="Z369" i="1"/>
  <c r="BP389" i="1"/>
  <c r="BN389" i="1"/>
  <c r="Z389" i="1"/>
  <c r="BP410" i="1"/>
  <c r="BN410" i="1"/>
  <c r="Z410" i="1"/>
  <c r="BP429" i="1"/>
  <c r="BN429" i="1"/>
  <c r="Z429" i="1"/>
  <c r="BP445" i="1"/>
  <c r="BN445" i="1"/>
  <c r="Z445" i="1"/>
  <c r="BP461" i="1"/>
  <c r="BN461" i="1"/>
  <c r="Z461" i="1"/>
  <c r="BP299" i="1"/>
  <c r="BN299" i="1"/>
  <c r="Z299" i="1"/>
  <c r="Y313" i="1"/>
  <c r="BP309" i="1"/>
  <c r="BN309" i="1"/>
  <c r="Z309" i="1"/>
  <c r="BP324" i="1"/>
  <c r="BN324" i="1"/>
  <c r="Z324" i="1"/>
  <c r="BP350" i="1"/>
  <c r="BN350" i="1"/>
  <c r="Z350" i="1"/>
  <c r="Y381" i="1"/>
  <c r="BP379" i="1"/>
  <c r="BN379" i="1"/>
  <c r="Z379" i="1"/>
  <c r="BP393" i="1"/>
  <c r="BN393" i="1"/>
  <c r="Z393" i="1"/>
  <c r="BP425" i="1"/>
  <c r="BN425" i="1"/>
  <c r="Z425" i="1"/>
  <c r="BP437" i="1"/>
  <c r="BN437" i="1"/>
  <c r="Z437" i="1"/>
  <c r="Y455" i="1"/>
  <c r="BP451" i="1"/>
  <c r="BN451" i="1"/>
  <c r="Z451" i="1"/>
  <c r="BP473" i="1"/>
  <c r="BN473" i="1"/>
  <c r="Z473" i="1"/>
  <c r="Y479" i="1"/>
  <c r="Y478" i="1"/>
  <c r="BP477" i="1"/>
  <c r="BN477" i="1"/>
  <c r="Z477" i="1"/>
  <c r="Z478" i="1" s="1"/>
  <c r="Y483" i="1"/>
  <c r="BP481" i="1"/>
  <c r="BN481" i="1"/>
  <c r="Z481" i="1"/>
  <c r="Y356" i="1"/>
  <c r="Y470" i="1"/>
  <c r="F9" i="1"/>
  <c r="J9" i="1"/>
  <c r="F10" i="1"/>
  <c r="Y31" i="1"/>
  <c r="Y43" i="1"/>
  <c r="Y58" i="1"/>
  <c r="Y64" i="1"/>
  <c r="Y70" i="1"/>
  <c r="Y76" i="1"/>
  <c r="Y82" i="1"/>
  <c r="Y89" i="1"/>
  <c r="Y95" i="1"/>
  <c r="Y104" i="1"/>
  <c r="Y110" i="1"/>
  <c r="Y116" i="1"/>
  <c r="Y127" i="1"/>
  <c r="Y131" i="1"/>
  <c r="Y137" i="1"/>
  <c r="Y144" i="1"/>
  <c r="Y150" i="1"/>
  <c r="Y172" i="1"/>
  <c r="Y178" i="1"/>
  <c r="Y189" i="1"/>
  <c r="Y193" i="1"/>
  <c r="Y205" i="1"/>
  <c r="Y217" i="1"/>
  <c r="Y221" i="1"/>
  <c r="Y236" i="1"/>
  <c r="Y240" i="1"/>
  <c r="Y244" i="1"/>
  <c r="Y252" i="1"/>
  <c r="Y261" i="1"/>
  <c r="M500" i="1"/>
  <c r="Y269" i="1"/>
  <c r="BP264" i="1"/>
  <c r="Y268" i="1"/>
  <c r="BP273" i="1"/>
  <c r="BN273" i="1"/>
  <c r="Z273" i="1"/>
  <c r="Z275" i="1" s="1"/>
  <c r="BP292" i="1"/>
  <c r="BN292" i="1"/>
  <c r="Z292" i="1"/>
  <c r="Y296" i="1"/>
  <c r="BP300" i="1"/>
  <c r="BN300" i="1"/>
  <c r="Z300" i="1"/>
  <c r="BP304" i="1"/>
  <c r="BN304" i="1"/>
  <c r="Z304" i="1"/>
  <c r="BP312" i="1"/>
  <c r="BN312" i="1"/>
  <c r="Z312" i="1"/>
  <c r="Y314" i="1"/>
  <c r="Y319" i="1"/>
  <c r="BP316" i="1"/>
  <c r="BN316" i="1"/>
  <c r="Z316" i="1"/>
  <c r="BP323" i="1"/>
  <c r="BN323" i="1"/>
  <c r="Z323" i="1"/>
  <c r="BP331" i="1"/>
  <c r="BN331" i="1"/>
  <c r="Z331" i="1"/>
  <c r="Y333" i="1"/>
  <c r="R500" i="1"/>
  <c r="Y339" i="1"/>
  <c r="BP336" i="1"/>
  <c r="BN336" i="1"/>
  <c r="Z336" i="1"/>
  <c r="BP346" i="1"/>
  <c r="BN346" i="1"/>
  <c r="Z346" i="1"/>
  <c r="BP349" i="1"/>
  <c r="BN349" i="1"/>
  <c r="Z349" i="1"/>
  <c r="BP370" i="1"/>
  <c r="BN370" i="1"/>
  <c r="Z370" i="1"/>
  <c r="Y372" i="1"/>
  <c r="Y377" i="1"/>
  <c r="BP374" i="1"/>
  <c r="BN374" i="1"/>
  <c r="Z374" i="1"/>
  <c r="Z376" i="1" s="1"/>
  <c r="BP388" i="1"/>
  <c r="BN388" i="1"/>
  <c r="Z388" i="1"/>
  <c r="BP392" i="1"/>
  <c r="BN392" i="1"/>
  <c r="Z392" i="1"/>
  <c r="BP409" i="1"/>
  <c r="BN409" i="1"/>
  <c r="Z409" i="1"/>
  <c r="BP424" i="1"/>
  <c r="BN424" i="1"/>
  <c r="Z424" i="1"/>
  <c r="BP460" i="1"/>
  <c r="BN460" i="1"/>
  <c r="Z460" i="1"/>
  <c r="Y464" i="1"/>
  <c r="H9" i="1"/>
  <c r="B500" i="1"/>
  <c r="X491" i="1"/>
  <c r="X492" i="1"/>
  <c r="X494" i="1"/>
  <c r="Y24" i="1"/>
  <c r="Z27" i="1"/>
  <c r="BN27" i="1"/>
  <c r="Z29" i="1"/>
  <c r="BN29" i="1"/>
  <c r="C500" i="1"/>
  <c r="Z41" i="1"/>
  <c r="Z43" i="1" s="1"/>
  <c r="BN41" i="1"/>
  <c r="Y44" i="1"/>
  <c r="D500" i="1"/>
  <c r="Z52" i="1"/>
  <c r="BN52" i="1"/>
  <c r="Z54" i="1"/>
  <c r="BN54" i="1"/>
  <c r="Z56" i="1"/>
  <c r="BN56" i="1"/>
  <c r="Y57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Z80" i="1"/>
  <c r="Z81" i="1" s="1"/>
  <c r="BN80" i="1"/>
  <c r="Z85" i="1"/>
  <c r="BN85" i="1"/>
  <c r="BP85" i="1"/>
  <c r="Z87" i="1"/>
  <c r="BN87" i="1"/>
  <c r="Y88" i="1"/>
  <c r="Z91" i="1"/>
  <c r="BN91" i="1"/>
  <c r="BP91" i="1"/>
  <c r="Z93" i="1"/>
  <c r="BN93" i="1"/>
  <c r="F500" i="1"/>
  <c r="Z100" i="1"/>
  <c r="BN100" i="1"/>
  <c r="Z102" i="1"/>
  <c r="BN102" i="1"/>
  <c r="Y103" i="1"/>
  <c r="Z106" i="1"/>
  <c r="BN106" i="1"/>
  <c r="BP106" i="1"/>
  <c r="Z108" i="1"/>
  <c r="BN108" i="1"/>
  <c r="Z112" i="1"/>
  <c r="BN112" i="1"/>
  <c r="BP112" i="1"/>
  <c r="Z114" i="1"/>
  <c r="BN114" i="1"/>
  <c r="G500" i="1"/>
  <c r="Z125" i="1"/>
  <c r="Z126" i="1" s="1"/>
  <c r="BN125" i="1"/>
  <c r="Y126" i="1"/>
  <c r="Z129" i="1"/>
  <c r="Z131" i="1" s="1"/>
  <c r="BN129" i="1"/>
  <c r="BP129" i="1"/>
  <c r="Z135" i="1"/>
  <c r="Z136" i="1" s="1"/>
  <c r="BN135" i="1"/>
  <c r="Z140" i="1"/>
  <c r="BN140" i="1"/>
  <c r="BP140" i="1"/>
  <c r="Z142" i="1"/>
  <c r="BN142" i="1"/>
  <c r="Y143" i="1"/>
  <c r="Z146" i="1"/>
  <c r="BN146" i="1"/>
  <c r="BP146" i="1"/>
  <c r="Z148" i="1"/>
  <c r="BN148" i="1"/>
  <c r="I500" i="1"/>
  <c r="Y160" i="1"/>
  <c r="Z162" i="1"/>
  <c r="BN162" i="1"/>
  <c r="BP162" i="1"/>
  <c r="Z164" i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Z188" i="1" s="1"/>
  <c r="BN187" i="1"/>
  <c r="Y188" i="1"/>
  <c r="Z191" i="1"/>
  <c r="Z193" i="1" s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K500" i="1"/>
  <c r="Z226" i="1"/>
  <c r="BN226" i="1"/>
  <c r="Z228" i="1"/>
  <c r="BN228" i="1"/>
  <c r="Z230" i="1"/>
  <c r="BN230" i="1"/>
  <c r="Z232" i="1"/>
  <c r="BN232" i="1"/>
  <c r="Z234" i="1"/>
  <c r="BN234" i="1"/>
  <c r="Y235" i="1"/>
  <c r="Z238" i="1"/>
  <c r="Z239" i="1" s="1"/>
  <c r="BN238" i="1"/>
  <c r="BP238" i="1"/>
  <c r="Z242" i="1"/>
  <c r="Z243" i="1" s="1"/>
  <c r="BN242" i="1"/>
  <c r="BP242" i="1"/>
  <c r="Z246" i="1"/>
  <c r="BN246" i="1"/>
  <c r="BP246" i="1"/>
  <c r="Z248" i="1"/>
  <c r="BN248" i="1"/>
  <c r="Z250" i="1"/>
  <c r="BN250" i="1"/>
  <c r="Z255" i="1"/>
  <c r="BN255" i="1"/>
  <c r="BP255" i="1"/>
  <c r="Z257" i="1"/>
  <c r="BN257" i="1"/>
  <c r="Z259" i="1"/>
  <c r="BN259" i="1"/>
  <c r="Y260" i="1"/>
  <c r="Z264" i="1"/>
  <c r="BN264" i="1"/>
  <c r="BP266" i="1"/>
  <c r="BN266" i="1"/>
  <c r="Z266" i="1"/>
  <c r="Y275" i="1"/>
  <c r="BP280" i="1"/>
  <c r="BN280" i="1"/>
  <c r="Z280" i="1"/>
  <c r="Z281" i="1" s="1"/>
  <c r="Y282" i="1"/>
  <c r="BP285" i="1"/>
  <c r="BN285" i="1"/>
  <c r="Z285" i="1"/>
  <c r="Z286" i="1" s="1"/>
  <c r="Y287" i="1"/>
  <c r="Q500" i="1"/>
  <c r="Y297" i="1"/>
  <c r="BP290" i="1"/>
  <c r="BN290" i="1"/>
  <c r="Z290" i="1"/>
  <c r="BP294" i="1"/>
  <c r="BN294" i="1"/>
  <c r="Z294" i="1"/>
  <c r="Y307" i="1"/>
  <c r="BP302" i="1"/>
  <c r="BN302" i="1"/>
  <c r="Z302" i="1"/>
  <c r="Y306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BP338" i="1"/>
  <c r="BN338" i="1"/>
  <c r="Z338" i="1"/>
  <c r="Y340" i="1"/>
  <c r="S500" i="1"/>
  <c r="Y352" i="1"/>
  <c r="BP344" i="1"/>
  <c r="BN344" i="1"/>
  <c r="Z344" i="1"/>
  <c r="BP347" i="1"/>
  <c r="BN347" i="1"/>
  <c r="Z347" i="1"/>
  <c r="Y351" i="1"/>
  <c r="BP355" i="1"/>
  <c r="BN355" i="1"/>
  <c r="Z355" i="1"/>
  <c r="Y357" i="1"/>
  <c r="Y362" i="1"/>
  <c r="BP359" i="1"/>
  <c r="BN359" i="1"/>
  <c r="Z359" i="1"/>
  <c r="Z361" i="1" s="1"/>
  <c r="Y376" i="1"/>
  <c r="BP380" i="1"/>
  <c r="BN380" i="1"/>
  <c r="Z380" i="1"/>
  <c r="Z381" i="1" s="1"/>
  <c r="Y382" i="1"/>
  <c r="U500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Y412" i="1"/>
  <c r="BP411" i="1"/>
  <c r="BN411" i="1"/>
  <c r="Z411" i="1"/>
  <c r="Y413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BP468" i="1"/>
  <c r="BN468" i="1"/>
  <c r="Z468" i="1"/>
  <c r="Y475" i="1"/>
  <c r="BP472" i="1"/>
  <c r="BN472" i="1"/>
  <c r="Z472" i="1"/>
  <c r="O500" i="1"/>
  <c r="Y276" i="1"/>
  <c r="P500" i="1"/>
  <c r="Y281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Z439" i="1" s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Y489" i="1"/>
  <c r="Y500" i="1"/>
  <c r="Z487" i="1"/>
  <c r="Z488" i="1" s="1"/>
  <c r="BN487" i="1"/>
  <c r="BP487" i="1"/>
  <c r="Y488" i="1"/>
  <c r="Z474" i="1" l="1"/>
  <c r="Z400" i="1"/>
  <c r="Z356" i="1"/>
  <c r="Z332" i="1"/>
  <c r="Z326" i="1"/>
  <c r="Z313" i="1"/>
  <c r="Z251" i="1"/>
  <c r="Z216" i="1"/>
  <c r="Z172" i="1"/>
  <c r="Z109" i="1"/>
  <c r="Z76" i="1"/>
  <c r="Z63" i="1"/>
  <c r="X493" i="1"/>
  <c r="Z371" i="1"/>
  <c r="Z235" i="1"/>
  <c r="Z103" i="1"/>
  <c r="Z57" i="1"/>
  <c r="Y491" i="1"/>
  <c r="Z204" i="1"/>
  <c r="Y492" i="1"/>
  <c r="Z31" i="1"/>
  <c r="Z463" i="1"/>
  <c r="Z412" i="1"/>
  <c r="Z306" i="1"/>
  <c r="Y494" i="1"/>
  <c r="Y493" i="1"/>
  <c r="Z339" i="1"/>
  <c r="Z319" i="1"/>
  <c r="Z448" i="1"/>
  <c r="Z433" i="1"/>
  <c r="Z395" i="1"/>
  <c r="Z351" i="1"/>
  <c r="Z296" i="1"/>
  <c r="Z268" i="1"/>
  <c r="Z260" i="1"/>
  <c r="Z149" i="1"/>
  <c r="Z143" i="1"/>
  <c r="Z116" i="1"/>
  <c r="Z95" i="1"/>
  <c r="Z88" i="1"/>
  <c r="Z69" i="1"/>
  <c r="Y490" i="1"/>
  <c r="Z495" i="1" l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<sst xmlns="http://schemas.openxmlformats.org/spreadsheetml/2006/main" count="2350" uniqueCount="771">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</sst>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795" t="s">
        <v>0</v>
      </c>
      <c r="E1" s="570"/>
      <c r="F1" s="570"/>
      <c r="G1" s="12" t="s">
        <v>1</v>
      </c>
      <c r="H1" s="79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84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59" t="s">
        <v>8</v>
      </c>
      <c r="B5" s="602"/>
      <c r="C5" s="577"/>
      <c r="D5" s="657"/>
      <c r="E5" s="659"/>
      <c r="F5" s="616" t="s">
        <v>9</v>
      </c>
      <c r="G5" s="577"/>
      <c r="H5" s="657" t="s">
        <v>770</v>
      </c>
      <c r="I5" s="658"/>
      <c r="J5" s="658"/>
      <c r="K5" s="658"/>
      <c r="L5" s="658"/>
      <c r="M5" s="659"/>
      <c r="N5" s="58"/>
      <c r="P5" s="24" t="s">
        <v>10</v>
      </c>
      <c r="Q5" s="581">
        <v>45978</v>
      </c>
      <c r="R5" s="582"/>
      <c r="T5" s="728" t="s">
        <v>11</v>
      </c>
      <c r="U5" s="722"/>
      <c r="V5" s="729" t="s">
        <v>12</v>
      </c>
      <c r="W5" s="582"/>
      <c r="AB5" s="51"/>
      <c r="AC5" s="51"/>
      <c r="AD5" s="51"/>
      <c r="AE5" s="51"/>
    </row>
    <row r="6" spans="1:32" s="537" customFormat="1" ht="24" customHeight="1" x14ac:dyDescent="0.2">
      <c r="A6" s="759" t="s">
        <v>13</v>
      </c>
      <c r="B6" s="602"/>
      <c r="C6" s="577"/>
      <c r="D6" s="662" t="s">
        <v>14</v>
      </c>
      <c r="E6" s="663"/>
      <c r="F6" s="663"/>
      <c r="G6" s="663"/>
      <c r="H6" s="663"/>
      <c r="I6" s="663"/>
      <c r="J6" s="663"/>
      <c r="K6" s="663"/>
      <c r="L6" s="663"/>
      <c r="M6" s="582"/>
      <c r="N6" s="59"/>
      <c r="P6" s="24" t="s">
        <v>15</v>
      </c>
      <c r="Q6" s="587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39" t="s">
        <v>16</v>
      </c>
      <c r="U6" s="722"/>
      <c r="V6" s="669" t="s">
        <v>17</v>
      </c>
      <c r="W6" s="67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27" t="str">
        <f>IFERROR(VLOOKUP(DeliveryAddress,Table,3,0),1)</f>
        <v>1</v>
      </c>
      <c r="E7" s="828"/>
      <c r="F7" s="828"/>
      <c r="G7" s="828"/>
      <c r="H7" s="828"/>
      <c r="I7" s="828"/>
      <c r="J7" s="828"/>
      <c r="K7" s="828"/>
      <c r="L7" s="828"/>
      <c r="M7" s="733"/>
      <c r="N7" s="60"/>
      <c r="P7" s="24"/>
      <c r="Q7" s="42"/>
      <c r="R7" s="42"/>
      <c r="T7" s="555"/>
      <c r="U7" s="722"/>
      <c r="V7" s="671"/>
      <c r="W7" s="672"/>
      <c r="AB7" s="51"/>
      <c r="AC7" s="51"/>
      <c r="AD7" s="51"/>
      <c r="AE7" s="51"/>
    </row>
    <row r="8" spans="1:32" s="537" customFormat="1" ht="25.5" customHeight="1" x14ac:dyDescent="0.2">
      <c r="A8" s="562" t="s">
        <v>18</v>
      </c>
      <c r="B8" s="560"/>
      <c r="C8" s="561"/>
      <c r="D8" s="816" t="s">
        <v>19</v>
      </c>
      <c r="E8" s="817"/>
      <c r="F8" s="817"/>
      <c r="G8" s="817"/>
      <c r="H8" s="817"/>
      <c r="I8" s="817"/>
      <c r="J8" s="817"/>
      <c r="K8" s="817"/>
      <c r="L8" s="817"/>
      <c r="M8" s="818"/>
      <c r="N8" s="61"/>
      <c r="P8" s="24" t="s">
        <v>20</v>
      </c>
      <c r="Q8" s="732">
        <v>0.41666666666666669</v>
      </c>
      <c r="R8" s="733"/>
      <c r="T8" s="555"/>
      <c r="U8" s="722"/>
      <c r="V8" s="671"/>
      <c r="W8" s="672"/>
      <c r="AB8" s="51"/>
      <c r="AC8" s="51"/>
      <c r="AD8" s="51"/>
      <c r="AE8" s="51"/>
    </row>
    <row r="9" spans="1:32" s="537" customFormat="1" ht="39.950000000000003" customHeight="1" x14ac:dyDescent="0.2">
      <c r="A9" s="5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27"/>
      <c r="E9" s="628"/>
      <c r="F9" s="5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704" t="str">
        <f>IF(AND($A$9="Тип доверенности/получателя при получении в адресе перегруза:",$D$9="Разовая доверенность"),"Введите ФИО","")</f>
        <v/>
      </c>
      <c r="I9" s="628"/>
      <c r="J9" s="70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8"/>
      <c r="L9" s="628"/>
      <c r="M9" s="628"/>
      <c r="N9" s="535"/>
      <c r="P9" s="26" t="s">
        <v>21</v>
      </c>
      <c r="Q9" s="772"/>
      <c r="R9" s="620"/>
      <c r="T9" s="555"/>
      <c r="U9" s="722"/>
      <c r="V9" s="673"/>
      <c r="W9" s="674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27"/>
      <c r="E10" s="628"/>
      <c r="F10" s="5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686" t="str">
        <f>IFERROR(VLOOKUP($D$10,Proxy,2,FALSE),"")</f>
        <v/>
      </c>
      <c r="I10" s="555"/>
      <c r="J10" s="555"/>
      <c r="K10" s="555"/>
      <c r="L10" s="555"/>
      <c r="M10" s="555"/>
      <c r="N10" s="536"/>
      <c r="P10" s="26" t="s">
        <v>22</v>
      </c>
      <c r="Q10" s="719"/>
      <c r="R10" s="720"/>
      <c r="U10" s="24" t="s">
        <v>23</v>
      </c>
      <c r="V10" s="839" t="s">
        <v>24</v>
      </c>
      <c r="W10" s="67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582"/>
      <c r="U11" s="24" t="s">
        <v>27</v>
      </c>
      <c r="V11" s="619" t="s">
        <v>28</v>
      </c>
      <c r="W11" s="62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1" t="s">
        <v>29</v>
      </c>
      <c r="B12" s="602"/>
      <c r="C12" s="602"/>
      <c r="D12" s="602"/>
      <c r="E12" s="602"/>
      <c r="F12" s="602"/>
      <c r="G12" s="602"/>
      <c r="H12" s="602"/>
      <c r="I12" s="602"/>
      <c r="J12" s="602"/>
      <c r="K12" s="602"/>
      <c r="L12" s="602"/>
      <c r="M12" s="577"/>
      <c r="N12" s="62"/>
      <c r="P12" s="24" t="s">
        <v>30</v>
      </c>
      <c r="Q12" s="732"/>
      <c r="R12" s="733"/>
      <c r="S12" s="23"/>
      <c r="U12" s="24"/>
      <c r="V12" s="570"/>
      <c r="W12" s="555"/>
      <c r="AB12" s="51"/>
      <c r="AC12" s="51"/>
      <c r="AD12" s="51"/>
      <c r="AE12" s="51"/>
    </row>
    <row r="13" spans="1:32" s="537" customFormat="1" ht="23.25" customHeight="1" x14ac:dyDescent="0.2">
      <c r="A13" s="711" t="s">
        <v>31</v>
      </c>
      <c r="B13" s="602"/>
      <c r="C13" s="602"/>
      <c r="D13" s="602"/>
      <c r="E13" s="602"/>
      <c r="F13" s="602"/>
      <c r="G13" s="602"/>
      <c r="H13" s="602"/>
      <c r="I13" s="602"/>
      <c r="J13" s="602"/>
      <c r="K13" s="602"/>
      <c r="L13" s="602"/>
      <c r="M13" s="577"/>
      <c r="N13" s="62"/>
      <c r="O13" s="26"/>
      <c r="P13" s="26" t="s">
        <v>32</v>
      </c>
      <c r="Q13" s="619"/>
      <c r="R13" s="62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1" t="s">
        <v>33</v>
      </c>
      <c r="B14" s="602"/>
      <c r="C14" s="602"/>
      <c r="D14" s="602"/>
      <c r="E14" s="602"/>
      <c r="F14" s="602"/>
      <c r="G14" s="602"/>
      <c r="H14" s="602"/>
      <c r="I14" s="602"/>
      <c r="J14" s="602"/>
      <c r="K14" s="602"/>
      <c r="L14" s="602"/>
      <c r="M14" s="5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3" t="s">
        <v>34</v>
      </c>
      <c r="B15" s="602"/>
      <c r="C15" s="602"/>
      <c r="D15" s="602"/>
      <c r="E15" s="602"/>
      <c r="F15" s="602"/>
      <c r="G15" s="602"/>
      <c r="H15" s="602"/>
      <c r="I15" s="602"/>
      <c r="J15" s="602"/>
      <c r="K15" s="602"/>
      <c r="L15" s="602"/>
      <c r="M15" s="577"/>
      <c r="N15" s="63"/>
      <c r="P15" s="748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49"/>
      <c r="Q16" s="749"/>
      <c r="R16" s="749"/>
      <c r="S16" s="749"/>
      <c r="T16" s="74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7" t="s">
        <v>36</v>
      </c>
      <c r="B17" s="557" t="s">
        <v>37</v>
      </c>
      <c r="C17" s="761" t="s">
        <v>38</v>
      </c>
      <c r="D17" s="557" t="s">
        <v>39</v>
      </c>
      <c r="E17" s="566"/>
      <c r="F17" s="557" t="s">
        <v>40</v>
      </c>
      <c r="G17" s="557" t="s">
        <v>41</v>
      </c>
      <c r="H17" s="557" t="s">
        <v>42</v>
      </c>
      <c r="I17" s="557" t="s">
        <v>43</v>
      </c>
      <c r="J17" s="557" t="s">
        <v>44</v>
      </c>
      <c r="K17" s="557" t="s">
        <v>45</v>
      </c>
      <c r="L17" s="557" t="s">
        <v>46</v>
      </c>
      <c r="M17" s="557" t="s">
        <v>47</v>
      </c>
      <c r="N17" s="557" t="s">
        <v>48</v>
      </c>
      <c r="O17" s="557" t="s">
        <v>49</v>
      </c>
      <c r="P17" s="557" t="s">
        <v>50</v>
      </c>
      <c r="Q17" s="803"/>
      <c r="R17" s="803"/>
      <c r="S17" s="803"/>
      <c r="T17" s="566"/>
      <c r="U17" s="576" t="s">
        <v>51</v>
      </c>
      <c r="V17" s="577"/>
      <c r="W17" s="557" t="s">
        <v>52</v>
      </c>
      <c r="X17" s="557" t="s">
        <v>53</v>
      </c>
      <c r="Y17" s="573" t="s">
        <v>54</v>
      </c>
      <c r="Z17" s="681" t="s">
        <v>55</v>
      </c>
      <c r="AA17" s="610" t="s">
        <v>56</v>
      </c>
      <c r="AB17" s="610" t="s">
        <v>57</v>
      </c>
      <c r="AC17" s="610" t="s">
        <v>58</v>
      </c>
      <c r="AD17" s="610" t="s">
        <v>59</v>
      </c>
      <c r="AE17" s="611"/>
      <c r="AF17" s="612"/>
      <c r="AG17" s="66"/>
      <c r="BD17" s="65" t="s">
        <v>60</v>
      </c>
    </row>
    <row r="18" spans="1:68" ht="14.25" customHeight="1" x14ac:dyDescent="0.2">
      <c r="A18" s="558"/>
      <c r="B18" s="558"/>
      <c r="C18" s="558"/>
      <c r="D18" s="567"/>
      <c r="E18" s="568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567"/>
      <c r="Q18" s="804"/>
      <c r="R18" s="804"/>
      <c r="S18" s="804"/>
      <c r="T18" s="568"/>
      <c r="U18" s="67" t="s">
        <v>61</v>
      </c>
      <c r="V18" s="67" t="s">
        <v>62</v>
      </c>
      <c r="W18" s="558"/>
      <c r="X18" s="558"/>
      <c r="Y18" s="574"/>
      <c r="Z18" s="682"/>
      <c r="AA18" s="656"/>
      <c r="AB18" s="656"/>
      <c r="AC18" s="656"/>
      <c r="AD18" s="613"/>
      <c r="AE18" s="614"/>
      <c r="AF18" s="615"/>
      <c r="AG18" s="66"/>
      <c r="BD18" s="65"/>
    </row>
    <row r="19" spans="1:68" ht="27.75" hidden="1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hidden="1" customHeight="1" x14ac:dyDescent="0.25">
      <c r="A20" s="59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8"/>
      <c r="AB20" s="538"/>
      <c r="AC20" s="538"/>
    </row>
    <row r="21" spans="1:68" ht="14.25" hidden="1" customHeight="1" x14ac:dyDescent="0.25">
      <c r="A21" s="563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2">
        <v>4680115886643</v>
      </c>
      <c r="E22" s="553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7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59" t="s">
        <v>71</v>
      </c>
      <c r="Q23" s="560"/>
      <c r="R23" s="560"/>
      <c r="S23" s="560"/>
      <c r="T23" s="560"/>
      <c r="U23" s="560"/>
      <c r="V23" s="561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59" t="s">
        <v>71</v>
      </c>
      <c r="Q24" s="560"/>
      <c r="R24" s="560"/>
      <c r="S24" s="560"/>
      <c r="T24" s="560"/>
      <c r="U24" s="560"/>
      <c r="V24" s="561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63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2">
        <v>4680115885912</v>
      </c>
      <c r="E26" s="553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4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2">
        <v>4607091388237</v>
      </c>
      <c r="E27" s="553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2">
        <v>4680115887350</v>
      </c>
      <c r="E28" s="553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2">
        <v>4680115885905</v>
      </c>
      <c r="E29" s="553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90</v>
      </c>
      <c r="Y29" s="544">
        <f>IFERROR(IF(X29="",0,CEILING((X29/$H29),1)*$H29),"")</f>
        <v>90</v>
      </c>
      <c r="Z29" s="36">
        <f>IFERROR(IF(Y29=0,"",ROUNDUP(Y29/H29,0)*0.00651),"")</f>
        <v>0.32550000000000001</v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159</v>
      </c>
      <c r="BN29" s="64">
        <f>IFERROR(Y29*I29/H29,"0")</f>
        <v>159</v>
      </c>
      <c r="BO29" s="64">
        <f>IFERROR(1/J29*(X29/H29),"0")</f>
        <v>0.27472527472527475</v>
      </c>
      <c r="BP29" s="64">
        <f>IFERROR(1/J29*(Y29/H29),"0")</f>
        <v>0.27472527472527475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2">
        <v>4607091388244</v>
      </c>
      <c r="E30" s="553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85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59" t="s">
        <v>71</v>
      </c>
      <c r="Q31" s="560"/>
      <c r="R31" s="560"/>
      <c r="S31" s="560"/>
      <c r="T31" s="560"/>
      <c r="U31" s="560"/>
      <c r="V31" s="561"/>
      <c r="W31" s="37" t="s">
        <v>72</v>
      </c>
      <c r="X31" s="545">
        <f>IFERROR(X26/H26,"0")+IFERROR(X27/H27,"0")+IFERROR(X28/H28,"0")+IFERROR(X29/H29,"0")+IFERROR(X30/H30,"0")</f>
        <v>50</v>
      </c>
      <c r="Y31" s="545">
        <f>IFERROR(Y26/H26,"0")+IFERROR(Y27/H27,"0")+IFERROR(Y28/H28,"0")+IFERROR(Y29/H29,"0")+IFERROR(Y30/H30,"0")</f>
        <v>50</v>
      </c>
      <c r="Z31" s="545">
        <f>IFERROR(IF(Z26="",0,Z26),"0")+IFERROR(IF(Z27="",0,Z27),"0")+IFERROR(IF(Z28="",0,Z28),"0")+IFERROR(IF(Z29="",0,Z29),"0")+IFERROR(IF(Z30="",0,Z30),"0")</f>
        <v>0.32550000000000001</v>
      </c>
      <c r="AA31" s="546"/>
      <c r="AB31" s="546"/>
      <c r="AC31" s="546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59" t="s">
        <v>71</v>
      </c>
      <c r="Q32" s="560"/>
      <c r="R32" s="560"/>
      <c r="S32" s="560"/>
      <c r="T32" s="560"/>
      <c r="U32" s="560"/>
      <c r="V32" s="561"/>
      <c r="W32" s="37" t="s">
        <v>69</v>
      </c>
      <c r="X32" s="545">
        <f>IFERROR(SUM(X26:X30),"0")</f>
        <v>90</v>
      </c>
      <c r="Y32" s="545">
        <f>IFERROR(SUM(Y26:Y30),"0")</f>
        <v>90</v>
      </c>
      <c r="Z32" s="37"/>
      <c r="AA32" s="546"/>
      <c r="AB32" s="546"/>
      <c r="AC32" s="546"/>
    </row>
    <row r="33" spans="1:68" ht="14.25" hidden="1" customHeight="1" x14ac:dyDescent="0.25">
      <c r="A33" s="563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2">
        <v>4607091388503</v>
      </c>
      <c r="E34" s="553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6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59" t="s">
        <v>71</v>
      </c>
      <c r="Q35" s="560"/>
      <c r="R35" s="560"/>
      <c r="S35" s="560"/>
      <c r="T35" s="560"/>
      <c r="U35" s="560"/>
      <c r="V35" s="561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59" t="s">
        <v>71</v>
      </c>
      <c r="Q36" s="560"/>
      <c r="R36" s="560"/>
      <c r="S36" s="560"/>
      <c r="T36" s="560"/>
      <c r="U36" s="560"/>
      <c r="V36" s="561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638" t="s">
        <v>99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hidden="1" customHeight="1" x14ac:dyDescent="0.25">
      <c r="A38" s="598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8"/>
      <c r="AB38" s="538"/>
      <c r="AC38" s="538"/>
    </row>
    <row r="39" spans="1:68" ht="14.25" hidden="1" customHeight="1" x14ac:dyDescent="0.25">
      <c r="A39" s="563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2">
        <v>4607091385670</v>
      </c>
      <c r="E40" s="553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6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2">
        <v>4607091385687</v>
      </c>
      <c r="E41" s="553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6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140</v>
      </c>
      <c r="Y41" s="544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2">
        <v>4680115882539</v>
      </c>
      <c r="E42" s="553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8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59" t="s">
        <v>71</v>
      </c>
      <c r="Q43" s="560"/>
      <c r="R43" s="560"/>
      <c r="S43" s="560"/>
      <c r="T43" s="560"/>
      <c r="U43" s="560"/>
      <c r="V43" s="561"/>
      <c r="W43" s="37" t="s">
        <v>72</v>
      </c>
      <c r="X43" s="545">
        <f>IFERROR(X40/H40,"0")+IFERROR(X41/H41,"0")+IFERROR(X42/H42,"0")</f>
        <v>35</v>
      </c>
      <c r="Y43" s="545">
        <f>IFERROR(Y40/H40,"0")+IFERROR(Y41/H41,"0")+IFERROR(Y42/H42,"0")</f>
        <v>35</v>
      </c>
      <c r="Z43" s="545">
        <f>IFERROR(IF(Z40="",0,Z40),"0")+IFERROR(IF(Z41="",0,Z41),"0")+IFERROR(IF(Z42="",0,Z42),"0")</f>
        <v>0.31569999999999998</v>
      </c>
      <c r="AA43" s="546"/>
      <c r="AB43" s="546"/>
      <c r="AC43" s="546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59" t="s">
        <v>71</v>
      </c>
      <c r="Q44" s="560"/>
      <c r="R44" s="560"/>
      <c r="S44" s="560"/>
      <c r="T44" s="560"/>
      <c r="U44" s="560"/>
      <c r="V44" s="561"/>
      <c r="W44" s="37" t="s">
        <v>69</v>
      </c>
      <c r="X44" s="545">
        <f>IFERROR(SUM(X40:X42),"0")</f>
        <v>140</v>
      </c>
      <c r="Y44" s="545">
        <f>IFERROR(SUM(Y40:Y42),"0")</f>
        <v>140</v>
      </c>
      <c r="Z44" s="37"/>
      <c r="AA44" s="546"/>
      <c r="AB44" s="546"/>
      <c r="AC44" s="546"/>
    </row>
    <row r="45" spans="1:68" ht="14.25" hidden="1" customHeight="1" x14ac:dyDescent="0.25">
      <c r="A45" s="563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2">
        <v>4680115884915</v>
      </c>
      <c r="E46" s="553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6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105</v>
      </c>
      <c r="Y46" s="544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59" t="s">
        <v>71</v>
      </c>
      <c r="Q47" s="560"/>
      <c r="R47" s="560"/>
      <c r="S47" s="560"/>
      <c r="T47" s="560"/>
      <c r="U47" s="560"/>
      <c r="V47" s="561"/>
      <c r="W47" s="37" t="s">
        <v>72</v>
      </c>
      <c r="X47" s="545">
        <f>IFERROR(X46/H46,"0")</f>
        <v>58.333333333333329</v>
      </c>
      <c r="Y47" s="545">
        <f>IFERROR(Y46/H46,"0")</f>
        <v>59</v>
      </c>
      <c r="Z47" s="545">
        <f>IFERROR(IF(Z46="",0,Z46),"0")</f>
        <v>0.38408999999999999</v>
      </c>
      <c r="AA47" s="546"/>
      <c r="AB47" s="546"/>
      <c r="AC47" s="546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59" t="s">
        <v>71</v>
      </c>
      <c r="Q48" s="560"/>
      <c r="R48" s="560"/>
      <c r="S48" s="560"/>
      <c r="T48" s="560"/>
      <c r="U48" s="560"/>
      <c r="V48" s="561"/>
      <c r="W48" s="37" t="s">
        <v>69</v>
      </c>
      <c r="X48" s="545">
        <f>IFERROR(SUM(X46:X46),"0")</f>
        <v>105</v>
      </c>
      <c r="Y48" s="545">
        <f>IFERROR(SUM(Y46:Y46),"0")</f>
        <v>106.2</v>
      </c>
      <c r="Z48" s="37"/>
      <c r="AA48" s="546"/>
      <c r="AB48" s="546"/>
      <c r="AC48" s="546"/>
    </row>
    <row r="49" spans="1:68" ht="16.5" hidden="1" customHeight="1" x14ac:dyDescent="0.25">
      <c r="A49" s="598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8"/>
      <c r="AB49" s="538"/>
      <c r="AC49" s="538"/>
    </row>
    <row r="50" spans="1:68" ht="14.25" hidden="1" customHeight="1" x14ac:dyDescent="0.25">
      <c r="A50" s="563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2">
        <v>4680115885882</v>
      </c>
      <c r="E51" s="553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4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2">
        <v>4680115881426</v>
      </c>
      <c r="E52" s="553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79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2">
        <v>4680115880283</v>
      </c>
      <c r="E53" s="553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2">
        <v>4680115881525</v>
      </c>
      <c r="E54" s="553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2">
        <v>4680115885899</v>
      </c>
      <c r="E55" s="553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7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2">
        <v>4680115881419</v>
      </c>
      <c r="E56" s="553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79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59" t="s">
        <v>71</v>
      </c>
      <c r="Q57" s="560"/>
      <c r="R57" s="560"/>
      <c r="S57" s="560"/>
      <c r="T57" s="560"/>
      <c r="U57" s="560"/>
      <c r="V57" s="561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59" t="s">
        <v>71</v>
      </c>
      <c r="Q58" s="560"/>
      <c r="R58" s="560"/>
      <c r="S58" s="560"/>
      <c r="T58" s="560"/>
      <c r="U58" s="560"/>
      <c r="V58" s="561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63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2">
        <v>4680115881440</v>
      </c>
      <c r="E60" s="553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57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2">
        <v>4680115885950</v>
      </c>
      <c r="E61" s="553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2">
        <v>4680115881433</v>
      </c>
      <c r="E62" s="553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157.5</v>
      </c>
      <c r="Y62" s="544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59" t="s">
        <v>71</v>
      </c>
      <c r="Q63" s="560"/>
      <c r="R63" s="560"/>
      <c r="S63" s="560"/>
      <c r="T63" s="560"/>
      <c r="U63" s="560"/>
      <c r="V63" s="561"/>
      <c r="W63" s="37" t="s">
        <v>72</v>
      </c>
      <c r="X63" s="545">
        <f>IFERROR(X60/H60,"0")+IFERROR(X61/H61,"0")+IFERROR(X62/H62,"0")</f>
        <v>58.333333333333329</v>
      </c>
      <c r="Y63" s="545">
        <f>IFERROR(Y60/H60,"0")+IFERROR(Y61/H61,"0")+IFERROR(Y62/H62,"0")</f>
        <v>59</v>
      </c>
      <c r="Z63" s="545">
        <f>IFERROR(IF(Z60="",0,Z60),"0")+IFERROR(IF(Z61="",0,Z61),"0")+IFERROR(IF(Z62="",0,Z62),"0")</f>
        <v>0.38408999999999999</v>
      </c>
      <c r="AA63" s="546"/>
      <c r="AB63" s="546"/>
      <c r="AC63" s="546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59" t="s">
        <v>71</v>
      </c>
      <c r="Q64" s="560"/>
      <c r="R64" s="560"/>
      <c r="S64" s="560"/>
      <c r="T64" s="560"/>
      <c r="U64" s="560"/>
      <c r="V64" s="561"/>
      <c r="W64" s="37" t="s">
        <v>69</v>
      </c>
      <c r="X64" s="545">
        <f>IFERROR(SUM(X60:X62),"0")</f>
        <v>157.5</v>
      </c>
      <c r="Y64" s="545">
        <f>IFERROR(SUM(Y60:Y62),"0")</f>
        <v>159.30000000000001</v>
      </c>
      <c r="Z64" s="37"/>
      <c r="AA64" s="546"/>
      <c r="AB64" s="546"/>
      <c r="AC64" s="546"/>
    </row>
    <row r="65" spans="1:68" ht="14.25" hidden="1" customHeight="1" x14ac:dyDescent="0.25">
      <c r="A65" s="563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2">
        <v>4680115885073</v>
      </c>
      <c r="E66" s="553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7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2">
        <v>4680115885059</v>
      </c>
      <c r="E67" s="553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2">
        <v>4680115885097</v>
      </c>
      <c r="E68" s="553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59" t="s">
        <v>71</v>
      </c>
      <c r="Q69" s="560"/>
      <c r="R69" s="560"/>
      <c r="S69" s="560"/>
      <c r="T69" s="560"/>
      <c r="U69" s="560"/>
      <c r="V69" s="561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59" t="s">
        <v>71</v>
      </c>
      <c r="Q70" s="560"/>
      <c r="R70" s="560"/>
      <c r="S70" s="560"/>
      <c r="T70" s="560"/>
      <c r="U70" s="560"/>
      <c r="V70" s="561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63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2">
        <v>4680115885769</v>
      </c>
      <c r="E72" s="553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59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2">
        <v>4680115884311</v>
      </c>
      <c r="E73" s="553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8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105</v>
      </c>
      <c r="Y73" s="544">
        <f>IFERROR(IF(X73="",0,CEILING((X73/$H73),1)*$H73),"")</f>
        <v>106.2</v>
      </c>
      <c r="Z73" s="36">
        <f>IFERROR(IF(Y73=0,"",ROUNDUP(Y73/H73,0)*0.00651),"")</f>
        <v>0.38408999999999999</v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119.35</v>
      </c>
      <c r="BN73" s="64">
        <f>IFERROR(Y73*I73/H73,"0")</f>
        <v>120.71399999999998</v>
      </c>
      <c r="BO73" s="64">
        <f>IFERROR(1/J73*(X73/H73),"0")</f>
        <v>0.32051282051282048</v>
      </c>
      <c r="BP73" s="64">
        <f>IFERROR(1/J73*(Y73/H73),"0")</f>
        <v>0.32417582417582419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2">
        <v>4680115885929</v>
      </c>
      <c r="E74" s="553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2">
        <v>4680115884403</v>
      </c>
      <c r="E75" s="553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62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90</v>
      </c>
      <c r="Y75" s="544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59" t="s">
        <v>71</v>
      </c>
      <c r="Q76" s="560"/>
      <c r="R76" s="560"/>
      <c r="S76" s="560"/>
      <c r="T76" s="560"/>
      <c r="U76" s="560"/>
      <c r="V76" s="561"/>
      <c r="W76" s="37" t="s">
        <v>72</v>
      </c>
      <c r="X76" s="545">
        <f>IFERROR(X72/H72,"0")+IFERROR(X73/H73,"0")+IFERROR(X74/H74,"0")+IFERROR(X75/H75,"0")</f>
        <v>108.33333333333333</v>
      </c>
      <c r="Y76" s="545">
        <f>IFERROR(Y72/H72,"0")+IFERROR(Y73/H73,"0")+IFERROR(Y74/H74,"0")+IFERROR(Y75/H75,"0")</f>
        <v>109</v>
      </c>
      <c r="Z76" s="545">
        <f>IFERROR(IF(Z72="",0,Z72),"0")+IFERROR(IF(Z73="",0,Z73),"0")+IFERROR(IF(Z74="",0,Z74),"0")+IFERROR(IF(Z75="",0,Z75),"0")</f>
        <v>0.70958999999999994</v>
      </c>
      <c r="AA76" s="546"/>
      <c r="AB76" s="546"/>
      <c r="AC76" s="546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59" t="s">
        <v>71</v>
      </c>
      <c r="Q77" s="560"/>
      <c r="R77" s="560"/>
      <c r="S77" s="560"/>
      <c r="T77" s="560"/>
      <c r="U77" s="560"/>
      <c r="V77" s="561"/>
      <c r="W77" s="37" t="s">
        <v>69</v>
      </c>
      <c r="X77" s="545">
        <f>IFERROR(SUM(X72:X75),"0")</f>
        <v>195</v>
      </c>
      <c r="Y77" s="545">
        <f>IFERROR(SUM(Y72:Y75),"0")</f>
        <v>196.2</v>
      </c>
      <c r="Z77" s="37"/>
      <c r="AA77" s="546"/>
      <c r="AB77" s="546"/>
      <c r="AC77" s="546"/>
    </row>
    <row r="78" spans="1:68" ht="14.25" hidden="1" customHeight="1" x14ac:dyDescent="0.25">
      <c r="A78" s="563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2">
        <v>4680115881532</v>
      </c>
      <c r="E79" s="553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8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2">
        <v>4680115881464</v>
      </c>
      <c r="E80" s="553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68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120</v>
      </c>
      <c r="Y80" s="544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59" t="s">
        <v>71</v>
      </c>
      <c r="Q81" s="560"/>
      <c r="R81" s="560"/>
      <c r="S81" s="560"/>
      <c r="T81" s="560"/>
      <c r="U81" s="560"/>
      <c r="V81" s="561"/>
      <c r="W81" s="37" t="s">
        <v>72</v>
      </c>
      <c r="X81" s="545">
        <f>IFERROR(X79/H79,"0")+IFERROR(X80/H80,"0")</f>
        <v>50</v>
      </c>
      <c r="Y81" s="545">
        <f>IFERROR(Y79/H79,"0")+IFERROR(Y80/H80,"0")</f>
        <v>50</v>
      </c>
      <c r="Z81" s="545">
        <f>IFERROR(IF(Z79="",0,Z79),"0")+IFERROR(IF(Z80="",0,Z80),"0")</f>
        <v>0.45100000000000001</v>
      </c>
      <c r="AA81" s="546"/>
      <c r="AB81" s="546"/>
      <c r="AC81" s="546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59" t="s">
        <v>71</v>
      </c>
      <c r="Q82" s="560"/>
      <c r="R82" s="560"/>
      <c r="S82" s="560"/>
      <c r="T82" s="560"/>
      <c r="U82" s="560"/>
      <c r="V82" s="561"/>
      <c r="W82" s="37" t="s">
        <v>69</v>
      </c>
      <c r="X82" s="545">
        <f>IFERROR(SUM(X79:X80),"0")</f>
        <v>120</v>
      </c>
      <c r="Y82" s="545">
        <f>IFERROR(SUM(Y79:Y80),"0")</f>
        <v>120</v>
      </c>
      <c r="Z82" s="37"/>
      <c r="AA82" s="546"/>
      <c r="AB82" s="546"/>
      <c r="AC82" s="546"/>
    </row>
    <row r="83" spans="1:68" ht="16.5" hidden="1" customHeight="1" x14ac:dyDescent="0.25">
      <c r="A83" s="598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8"/>
      <c r="AB83" s="538"/>
      <c r="AC83" s="538"/>
    </row>
    <row r="84" spans="1:68" ht="14.25" hidden="1" customHeight="1" x14ac:dyDescent="0.25">
      <c r="A84" s="563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2">
        <v>4680115881327</v>
      </c>
      <c r="E85" s="553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5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8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2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59" t="s">
        <v>71</v>
      </c>
      <c r="Q88" s="560"/>
      <c r="R88" s="560"/>
      <c r="S88" s="560"/>
      <c r="T88" s="560"/>
      <c r="U88" s="560"/>
      <c r="V88" s="561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59" t="s">
        <v>71</v>
      </c>
      <c r="Q89" s="560"/>
      <c r="R89" s="560"/>
      <c r="S89" s="560"/>
      <c r="T89" s="560"/>
      <c r="U89" s="560"/>
      <c r="V89" s="561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63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9"/>
      <c r="AB90" s="539"/>
      <c r="AC90" s="539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2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2">
        <v>4607091385731</v>
      </c>
      <c r="E93" s="553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69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2">
        <v>4680115880894</v>
      </c>
      <c r="E94" s="553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8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59" t="s">
        <v>71</v>
      </c>
      <c r="Q95" s="560"/>
      <c r="R95" s="560"/>
      <c r="S95" s="560"/>
      <c r="T95" s="560"/>
      <c r="U95" s="560"/>
      <c r="V95" s="561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59" t="s">
        <v>71</v>
      </c>
      <c r="Q96" s="560"/>
      <c r="R96" s="560"/>
      <c r="S96" s="560"/>
      <c r="T96" s="560"/>
      <c r="U96" s="560"/>
      <c r="V96" s="561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9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8"/>
      <c r="AB97" s="538"/>
      <c r="AC97" s="538"/>
    </row>
    <row r="98" spans="1:68" ht="14.25" hidden="1" customHeight="1" x14ac:dyDescent="0.25">
      <c r="A98" s="563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2">
        <v>4680115882133</v>
      </c>
      <c r="E99" s="553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8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2">
        <v>4680115880269</v>
      </c>
      <c r="E100" s="553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83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2">
        <v>4680115880429</v>
      </c>
      <c r="E101" s="553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57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2">
        <v>4680115881457</v>
      </c>
      <c r="E102" s="553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3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59" t="s">
        <v>71</v>
      </c>
      <c r="Q103" s="560"/>
      <c r="R103" s="560"/>
      <c r="S103" s="560"/>
      <c r="T103" s="560"/>
      <c r="U103" s="560"/>
      <c r="V103" s="561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59" t="s">
        <v>71</v>
      </c>
      <c r="Q104" s="560"/>
      <c r="R104" s="560"/>
      <c r="S104" s="560"/>
      <c r="T104" s="560"/>
      <c r="U104" s="560"/>
      <c r="V104" s="561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63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2">
        <v>4680115881488</v>
      </c>
      <c r="E106" s="553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2">
        <v>4680115882775</v>
      </c>
      <c r="E107" s="553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64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2">
        <v>4680115880658</v>
      </c>
      <c r="E108" s="553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68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59" t="s">
        <v>71</v>
      </c>
      <c r="Q109" s="560"/>
      <c r="R109" s="560"/>
      <c r="S109" s="560"/>
      <c r="T109" s="560"/>
      <c r="U109" s="560"/>
      <c r="V109" s="561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59" t="s">
        <v>71</v>
      </c>
      <c r="Q110" s="560"/>
      <c r="R110" s="560"/>
      <c r="S110" s="560"/>
      <c r="T110" s="560"/>
      <c r="U110" s="560"/>
      <c r="V110" s="561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63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2">
        <v>4607091385168</v>
      </c>
      <c r="E112" s="553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64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2">
        <v>4607091383256</v>
      </c>
      <c r="E113" s="553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2">
        <v>4607091385748</v>
      </c>
      <c r="E114" s="553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5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2">
        <v>4680115884533</v>
      </c>
      <c r="E115" s="553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105</v>
      </c>
      <c r="Y115" s="544">
        <f>IFERROR(IF(X115="",0,CEILING((X115/$H115),1)*$H115),"")</f>
        <v>106.2</v>
      </c>
      <c r="Z115" s="36">
        <f>IFERROR(IF(Y115=0,"",ROUNDUP(Y115/H115,0)*0.00651),"")</f>
        <v>0.38408999999999999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115.5</v>
      </c>
      <c r="BN115" s="64">
        <f>IFERROR(Y115*I115/H115,"0")</f>
        <v>116.82000000000001</v>
      </c>
      <c r="BO115" s="64">
        <f>IFERROR(1/J115*(X115/H115),"0")</f>
        <v>0.32051282051282048</v>
      </c>
      <c r="BP115" s="64">
        <f>IFERROR(1/J115*(Y115/H115),"0")</f>
        <v>0.32417582417582419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59" t="s">
        <v>71</v>
      </c>
      <c r="Q116" s="560"/>
      <c r="R116" s="560"/>
      <c r="S116" s="560"/>
      <c r="T116" s="560"/>
      <c r="U116" s="560"/>
      <c r="V116" s="561"/>
      <c r="W116" s="37" t="s">
        <v>72</v>
      </c>
      <c r="X116" s="545">
        <f>IFERROR(X112/H112,"0")+IFERROR(X113/H113,"0")+IFERROR(X114/H114,"0")+IFERROR(X115/H115,"0")</f>
        <v>58.333333333333329</v>
      </c>
      <c r="Y116" s="545">
        <f>IFERROR(Y112/H112,"0")+IFERROR(Y113/H113,"0")+IFERROR(Y114/H114,"0")+IFERROR(Y115/H115,"0")</f>
        <v>59</v>
      </c>
      <c r="Z116" s="545">
        <f>IFERROR(IF(Z112="",0,Z112),"0")+IFERROR(IF(Z113="",0,Z113),"0")+IFERROR(IF(Z114="",0,Z114),"0")+IFERROR(IF(Z115="",0,Z115),"0")</f>
        <v>0.38408999999999999</v>
      </c>
      <c r="AA116" s="546"/>
      <c r="AB116" s="546"/>
      <c r="AC116" s="546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59" t="s">
        <v>71</v>
      </c>
      <c r="Q117" s="560"/>
      <c r="R117" s="560"/>
      <c r="S117" s="560"/>
      <c r="T117" s="560"/>
      <c r="U117" s="560"/>
      <c r="V117" s="561"/>
      <c r="W117" s="37" t="s">
        <v>69</v>
      </c>
      <c r="X117" s="545">
        <f>IFERROR(SUM(X112:X115),"0")</f>
        <v>105</v>
      </c>
      <c r="Y117" s="545">
        <f>IFERROR(SUM(Y112:Y115),"0")</f>
        <v>106.2</v>
      </c>
      <c r="Z117" s="37"/>
      <c r="AA117" s="546"/>
      <c r="AB117" s="546"/>
      <c r="AC117" s="546"/>
    </row>
    <row r="118" spans="1:68" ht="14.25" hidden="1" customHeight="1" x14ac:dyDescent="0.25">
      <c r="A118" s="563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9"/>
      <c r="AB118" s="539"/>
      <c r="AC118" s="539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2">
        <v>4680115880238</v>
      </c>
      <c r="E119" s="553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77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125.4</v>
      </c>
      <c r="Y119" s="544">
        <f>IFERROR(IF(X119="",0,CEILING((X119/$H119),1)*$H119),"")</f>
        <v>126.72</v>
      </c>
      <c r="Z119" s="36">
        <f>IFERROR(IF(Y119=0,"",ROUNDUP(Y119/H119,0)*0.00651),"")</f>
        <v>0.41664000000000001</v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141.74</v>
      </c>
      <c r="BN119" s="64">
        <f>IFERROR(Y119*I119/H119,"0")</f>
        <v>143.232</v>
      </c>
      <c r="BO119" s="64">
        <f>IFERROR(1/J119*(X119/H119),"0")</f>
        <v>0.34798534798534803</v>
      </c>
      <c r="BP119" s="64">
        <f>IFERROR(1/J119*(Y119/H119),"0")</f>
        <v>0.35164835164835168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59" t="s">
        <v>71</v>
      </c>
      <c r="Q120" s="560"/>
      <c r="R120" s="560"/>
      <c r="S120" s="560"/>
      <c r="T120" s="560"/>
      <c r="U120" s="560"/>
      <c r="V120" s="561"/>
      <c r="W120" s="37" t="s">
        <v>72</v>
      </c>
      <c r="X120" s="545">
        <f>IFERROR(X119/H119,"0")</f>
        <v>63.333333333333336</v>
      </c>
      <c r="Y120" s="545">
        <f>IFERROR(Y119/H119,"0")</f>
        <v>64</v>
      </c>
      <c r="Z120" s="545">
        <f>IFERROR(IF(Z119="",0,Z119),"0")</f>
        <v>0.41664000000000001</v>
      </c>
      <c r="AA120" s="546"/>
      <c r="AB120" s="546"/>
      <c r="AC120" s="546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59" t="s">
        <v>71</v>
      </c>
      <c r="Q121" s="560"/>
      <c r="R121" s="560"/>
      <c r="S121" s="560"/>
      <c r="T121" s="560"/>
      <c r="U121" s="560"/>
      <c r="V121" s="561"/>
      <c r="W121" s="37" t="s">
        <v>69</v>
      </c>
      <c r="X121" s="545">
        <f>IFERROR(SUM(X119:X119),"0")</f>
        <v>125.4</v>
      </c>
      <c r="Y121" s="545">
        <f>IFERROR(SUM(Y119:Y119),"0")</f>
        <v>126.72</v>
      </c>
      <c r="Z121" s="37"/>
      <c r="AA121" s="546"/>
      <c r="AB121" s="546"/>
      <c r="AC121" s="546"/>
    </row>
    <row r="122" spans="1:68" ht="16.5" hidden="1" customHeight="1" x14ac:dyDescent="0.25">
      <c r="A122" s="59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8"/>
      <c r="AB122" s="538"/>
      <c r="AC122" s="538"/>
    </row>
    <row r="123" spans="1:68" ht="14.25" hidden="1" customHeight="1" x14ac:dyDescent="0.25">
      <c r="A123" s="563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2">
        <v>4680115882577</v>
      </c>
      <c r="E124" s="553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57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2">
        <v>4680115882577</v>
      </c>
      <c r="E125" s="553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6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59" t="s">
        <v>71</v>
      </c>
      <c r="Q126" s="560"/>
      <c r="R126" s="560"/>
      <c r="S126" s="560"/>
      <c r="T126" s="560"/>
      <c r="U126" s="560"/>
      <c r="V126" s="561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59" t="s">
        <v>71</v>
      </c>
      <c r="Q127" s="560"/>
      <c r="R127" s="560"/>
      <c r="S127" s="560"/>
      <c r="T127" s="560"/>
      <c r="U127" s="560"/>
      <c r="V127" s="561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63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2">
        <v>4680115883444</v>
      </c>
      <c r="E129" s="553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84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2">
        <v>4680115883444</v>
      </c>
      <c r="E130" s="553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6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59" t="s">
        <v>71</v>
      </c>
      <c r="Q131" s="560"/>
      <c r="R131" s="560"/>
      <c r="S131" s="560"/>
      <c r="T131" s="560"/>
      <c r="U131" s="560"/>
      <c r="V131" s="561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59" t="s">
        <v>71</v>
      </c>
      <c r="Q132" s="560"/>
      <c r="R132" s="560"/>
      <c r="S132" s="560"/>
      <c r="T132" s="560"/>
      <c r="U132" s="560"/>
      <c r="V132" s="561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63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2">
        <v>4680115882584</v>
      </c>
      <c r="E134" s="553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5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2">
        <v>4680115882584</v>
      </c>
      <c r="E135" s="553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62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59" t="s">
        <v>71</v>
      </c>
      <c r="Q136" s="560"/>
      <c r="R136" s="560"/>
      <c r="S136" s="560"/>
      <c r="T136" s="560"/>
      <c r="U136" s="560"/>
      <c r="V136" s="561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59" t="s">
        <v>71</v>
      </c>
      <c r="Q137" s="560"/>
      <c r="R137" s="560"/>
      <c r="S137" s="560"/>
      <c r="T137" s="560"/>
      <c r="U137" s="560"/>
      <c r="V137" s="561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98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8"/>
      <c r="AB138" s="538"/>
      <c r="AC138" s="538"/>
    </row>
    <row r="139" spans="1:68" ht="14.25" hidden="1" customHeight="1" x14ac:dyDescent="0.25">
      <c r="A139" s="563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2">
        <v>4680115887374</v>
      </c>
      <c r="E140" s="553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3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2">
        <v>4607091384604</v>
      </c>
      <c r="E141" s="553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52">
        <v>4680115886810</v>
      </c>
      <c r="E142" s="553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76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59" t="s">
        <v>71</v>
      </c>
      <c r="Q143" s="560"/>
      <c r="R143" s="560"/>
      <c r="S143" s="560"/>
      <c r="T143" s="560"/>
      <c r="U143" s="560"/>
      <c r="V143" s="561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59" t="s">
        <v>71</v>
      </c>
      <c r="Q144" s="560"/>
      <c r="R144" s="560"/>
      <c r="S144" s="560"/>
      <c r="T144" s="560"/>
      <c r="U144" s="560"/>
      <c r="V144" s="561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63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52">
        <v>4607091387667</v>
      </c>
      <c r="E146" s="553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6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52">
        <v>4607091387636</v>
      </c>
      <c r="E147" s="553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52">
        <v>4607091382426</v>
      </c>
      <c r="E148" s="553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82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59" t="s">
        <v>71</v>
      </c>
      <c r="Q149" s="560"/>
      <c r="R149" s="560"/>
      <c r="S149" s="560"/>
      <c r="T149" s="560"/>
      <c r="U149" s="560"/>
      <c r="V149" s="561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59" t="s">
        <v>71</v>
      </c>
      <c r="Q150" s="560"/>
      <c r="R150" s="560"/>
      <c r="S150" s="560"/>
      <c r="T150" s="560"/>
      <c r="U150" s="560"/>
      <c r="V150" s="561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63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52">
        <v>4680115887459</v>
      </c>
      <c r="E152" s="553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6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59" t="s">
        <v>71</v>
      </c>
      <c r="Q153" s="560"/>
      <c r="R153" s="560"/>
      <c r="S153" s="560"/>
      <c r="T153" s="560"/>
      <c r="U153" s="560"/>
      <c r="V153" s="561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59" t="s">
        <v>71</v>
      </c>
      <c r="Q154" s="560"/>
      <c r="R154" s="560"/>
      <c r="S154" s="560"/>
      <c r="T154" s="560"/>
      <c r="U154" s="560"/>
      <c r="V154" s="561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hidden="1" customHeight="1" x14ac:dyDescent="0.25">
      <c r="A156" s="598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8"/>
      <c r="AB156" s="538"/>
      <c r="AC156" s="538"/>
    </row>
    <row r="157" spans="1:68" ht="14.25" hidden="1" customHeight="1" x14ac:dyDescent="0.25">
      <c r="A157" s="563" t="s">
        <v>136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52">
        <v>4680115886223</v>
      </c>
      <c r="E158" s="553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59" t="s">
        <v>71</v>
      </c>
      <c r="Q159" s="560"/>
      <c r="R159" s="560"/>
      <c r="S159" s="560"/>
      <c r="T159" s="560"/>
      <c r="U159" s="560"/>
      <c r="V159" s="561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59" t="s">
        <v>71</v>
      </c>
      <c r="Q160" s="560"/>
      <c r="R160" s="560"/>
      <c r="S160" s="560"/>
      <c r="T160" s="560"/>
      <c r="U160" s="560"/>
      <c r="V160" s="561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63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52">
        <v>4680115887213</v>
      </c>
      <c r="E162" s="553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665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52">
        <v>4680115880993</v>
      </c>
      <c r="E163" s="553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52">
        <v>4680115881761</v>
      </c>
      <c r="E164" s="553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65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52">
        <v>4680115881563</v>
      </c>
      <c r="E165" s="553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8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52">
        <v>4680115880986</v>
      </c>
      <c r="E166" s="553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52">
        <v>4680115881785</v>
      </c>
      <c r="E167" s="553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52">
        <v>4680115886537</v>
      </c>
      <c r="E168" s="553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52">
        <v>4680115881679</v>
      </c>
      <c r="E169" s="553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52">
        <v>4680115880191</v>
      </c>
      <c r="E170" s="553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52">
        <v>4680115883963</v>
      </c>
      <c r="E171" s="553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8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59" t="s">
        <v>71</v>
      </c>
      <c r="Q172" s="560"/>
      <c r="R172" s="560"/>
      <c r="S172" s="560"/>
      <c r="T172" s="560"/>
      <c r="U172" s="560"/>
      <c r="V172" s="561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59" t="s">
        <v>71</v>
      </c>
      <c r="Q173" s="560"/>
      <c r="R173" s="560"/>
      <c r="S173" s="560"/>
      <c r="T173" s="560"/>
      <c r="U173" s="560"/>
      <c r="V173" s="561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63" t="s">
        <v>93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52">
        <v>4680115886780</v>
      </c>
      <c r="E175" s="553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6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52">
        <v>4680115886742</v>
      </c>
      <c r="E176" s="553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6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52">
        <v>4680115886766</v>
      </c>
      <c r="E177" s="553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6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59" t="s">
        <v>71</v>
      </c>
      <c r="Q178" s="560"/>
      <c r="R178" s="560"/>
      <c r="S178" s="560"/>
      <c r="T178" s="560"/>
      <c r="U178" s="560"/>
      <c r="V178" s="561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59" t="s">
        <v>71</v>
      </c>
      <c r="Q179" s="560"/>
      <c r="R179" s="560"/>
      <c r="S179" s="560"/>
      <c r="T179" s="560"/>
      <c r="U179" s="560"/>
      <c r="V179" s="561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63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52">
        <v>4680115886797</v>
      </c>
      <c r="E181" s="553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58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59" t="s">
        <v>71</v>
      </c>
      <c r="Q182" s="560"/>
      <c r="R182" s="560"/>
      <c r="S182" s="560"/>
      <c r="T182" s="560"/>
      <c r="U182" s="560"/>
      <c r="V182" s="561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59" t="s">
        <v>71</v>
      </c>
      <c r="Q183" s="560"/>
      <c r="R183" s="560"/>
      <c r="S183" s="560"/>
      <c r="T183" s="560"/>
      <c r="U183" s="560"/>
      <c r="V183" s="561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98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8"/>
      <c r="AB184" s="538"/>
      <c r="AC184" s="538"/>
    </row>
    <row r="185" spans="1:68" ht="14.25" hidden="1" customHeight="1" x14ac:dyDescent="0.25">
      <c r="A185" s="563" t="s">
        <v>101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52">
        <v>4680115881402</v>
      </c>
      <c r="E186" s="553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6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52">
        <v>4680115881396</v>
      </c>
      <c r="E187" s="553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87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59" t="s">
        <v>71</v>
      </c>
      <c r="Q188" s="560"/>
      <c r="R188" s="560"/>
      <c r="S188" s="560"/>
      <c r="T188" s="560"/>
      <c r="U188" s="560"/>
      <c r="V188" s="561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59" t="s">
        <v>71</v>
      </c>
      <c r="Q189" s="560"/>
      <c r="R189" s="560"/>
      <c r="S189" s="560"/>
      <c r="T189" s="560"/>
      <c r="U189" s="560"/>
      <c r="V189" s="561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63" t="s">
        <v>136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52">
        <v>4680115882935</v>
      </c>
      <c r="E191" s="553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6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52">
        <v>4680115880764</v>
      </c>
      <c r="E192" s="553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59" t="s">
        <v>71</v>
      </c>
      <c r="Q193" s="560"/>
      <c r="R193" s="560"/>
      <c r="S193" s="560"/>
      <c r="T193" s="560"/>
      <c r="U193" s="560"/>
      <c r="V193" s="561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59" t="s">
        <v>71</v>
      </c>
      <c r="Q194" s="560"/>
      <c r="R194" s="560"/>
      <c r="S194" s="560"/>
      <c r="T194" s="560"/>
      <c r="U194" s="560"/>
      <c r="V194" s="561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63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9"/>
      <c r="AB195" s="539"/>
      <c r="AC195" s="539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52">
        <v>4680115882683</v>
      </c>
      <c r="E196" s="553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6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52">
        <v>4680115882690</v>
      </c>
      <c r="E197" s="553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7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52">
        <v>4680115882669</v>
      </c>
      <c r="E198" s="553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62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52">
        <v>4680115882676</v>
      </c>
      <c r="E199" s="553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5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52">
        <v>4680115884014</v>
      </c>
      <c r="E200" s="553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58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52">
        <v>4680115884007</v>
      </c>
      <c r="E201" s="553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60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52">
        <v>4680115884038</v>
      </c>
      <c r="E202" s="553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56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52">
        <v>4680115884021</v>
      </c>
      <c r="E203" s="553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59" t="s">
        <v>71</v>
      </c>
      <c r="Q204" s="560"/>
      <c r="R204" s="560"/>
      <c r="S204" s="560"/>
      <c r="T204" s="560"/>
      <c r="U204" s="560"/>
      <c r="V204" s="561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59" t="s">
        <v>71</v>
      </c>
      <c r="Q205" s="560"/>
      <c r="R205" s="560"/>
      <c r="S205" s="560"/>
      <c r="T205" s="560"/>
      <c r="U205" s="560"/>
      <c r="V205" s="561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63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52">
        <v>4680115881594</v>
      </c>
      <c r="E207" s="553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1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52">
        <v>4680115881617</v>
      </c>
      <c r="E208" s="553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7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52">
        <v>4680115880573</v>
      </c>
      <c r="E209" s="553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83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52">
        <v>4680115882195</v>
      </c>
      <c r="E210" s="553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5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52">
        <v>4680115882607</v>
      </c>
      <c r="E211" s="553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52">
        <v>4680115880092</v>
      </c>
      <c r="E212" s="553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160</v>
      </c>
      <c r="Y212" s="544">
        <f t="shared" si="15"/>
        <v>160.79999999999998</v>
      </c>
      <c r="Z212" s="36">
        <f t="shared" si="20"/>
        <v>0.43617</v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176.80000000000004</v>
      </c>
      <c r="BN212" s="64">
        <f t="shared" si="17"/>
        <v>177.684</v>
      </c>
      <c r="BO212" s="64">
        <f t="shared" si="18"/>
        <v>0.36630036630036633</v>
      </c>
      <c r="BP212" s="64">
        <f t="shared" si="19"/>
        <v>0.36813186813186816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52">
        <v>4680115880221</v>
      </c>
      <c r="E213" s="553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140</v>
      </c>
      <c r="Y213" s="544">
        <f t="shared" si="15"/>
        <v>141.6</v>
      </c>
      <c r="Z213" s="36">
        <f t="shared" si="20"/>
        <v>0.38408999999999999</v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154.70000000000002</v>
      </c>
      <c r="BN213" s="64">
        <f t="shared" si="17"/>
        <v>156.46800000000002</v>
      </c>
      <c r="BO213" s="64">
        <f t="shared" si="18"/>
        <v>0.32051282051282054</v>
      </c>
      <c r="BP213" s="64">
        <f t="shared" si="19"/>
        <v>0.32417582417582419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52">
        <v>4680115880504</v>
      </c>
      <c r="E214" s="553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52">
        <v>4680115882164</v>
      </c>
      <c r="E215" s="553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8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59" t="s">
        <v>71</v>
      </c>
      <c r="Q216" s="560"/>
      <c r="R216" s="560"/>
      <c r="S216" s="560"/>
      <c r="T216" s="560"/>
      <c r="U216" s="560"/>
      <c r="V216" s="561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125</v>
      </c>
      <c r="Y216" s="545">
        <f>IFERROR(Y207/H207,"0")+IFERROR(Y208/H208,"0")+IFERROR(Y209/H209,"0")+IFERROR(Y210/H210,"0")+IFERROR(Y211/H211,"0")+IFERROR(Y212/H212,"0")+IFERROR(Y213/H213,"0")+IFERROR(Y214/H214,"0")+IFERROR(Y215/H215,"0")</f>
        <v>126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0.82025999999999999</v>
      </c>
      <c r="AA216" s="546"/>
      <c r="AB216" s="546"/>
      <c r="AC216" s="546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59" t="s">
        <v>71</v>
      </c>
      <c r="Q217" s="560"/>
      <c r="R217" s="560"/>
      <c r="S217" s="560"/>
      <c r="T217" s="560"/>
      <c r="U217" s="560"/>
      <c r="V217" s="561"/>
      <c r="W217" s="37" t="s">
        <v>69</v>
      </c>
      <c r="X217" s="545">
        <f>IFERROR(SUM(X207:X215),"0")</f>
        <v>300</v>
      </c>
      <c r="Y217" s="545">
        <f>IFERROR(SUM(Y207:Y215),"0")</f>
        <v>302.39999999999998</v>
      </c>
      <c r="Z217" s="37"/>
      <c r="AA217" s="546"/>
      <c r="AB217" s="546"/>
      <c r="AC217" s="546"/>
    </row>
    <row r="218" spans="1:68" ht="14.25" hidden="1" customHeight="1" x14ac:dyDescent="0.25">
      <c r="A218" s="563" t="s">
        <v>164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52">
        <v>4680115880818</v>
      </c>
      <c r="E219" s="553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5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52">
        <v>4680115880801</v>
      </c>
      <c r="E220" s="553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86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59" t="s">
        <v>71</v>
      </c>
      <c r="Q221" s="560"/>
      <c r="R221" s="560"/>
      <c r="S221" s="560"/>
      <c r="T221" s="560"/>
      <c r="U221" s="560"/>
      <c r="V221" s="561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59" t="s">
        <v>71</v>
      </c>
      <c r="Q222" s="560"/>
      <c r="R222" s="560"/>
      <c r="S222" s="560"/>
      <c r="T222" s="560"/>
      <c r="U222" s="560"/>
      <c r="V222" s="561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98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8"/>
      <c r="AB223" s="538"/>
      <c r="AC223" s="538"/>
    </row>
    <row r="224" spans="1:68" ht="14.25" hidden="1" customHeight="1" x14ac:dyDescent="0.25">
      <c r="A224" s="563" t="s">
        <v>101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52">
        <v>4680115884137</v>
      </c>
      <c r="E225" s="553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66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52">
        <v>4680115884236</v>
      </c>
      <c r="E226" s="553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65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52">
        <v>4680115884175</v>
      </c>
      <c r="E227" s="553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6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52">
        <v>4680115884144</v>
      </c>
      <c r="E228" s="553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58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120</v>
      </c>
      <c r="Y228" s="544">
        <f t="shared" si="21"/>
        <v>120</v>
      </c>
      <c r="Z228" s="36">
        <f>IFERROR(IF(Y228=0,"",ROUNDUP(Y228/H228,0)*0.00902),"")</f>
        <v>0.27060000000000001</v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125.70000000000002</v>
      </c>
      <c r="BN228" s="64">
        <f t="shared" si="23"/>
        <v>125.70000000000002</v>
      </c>
      <c r="BO228" s="64">
        <f t="shared" si="24"/>
        <v>0.22727272727272729</v>
      </c>
      <c r="BP228" s="64">
        <f t="shared" si="25"/>
        <v>0.22727272727272729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52">
        <v>4680115884144</v>
      </c>
      <c r="E229" s="553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1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52">
        <v>4680115886551</v>
      </c>
      <c r="E230" s="553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8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52">
        <v>4680115884182</v>
      </c>
      <c r="E231" s="553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52">
        <v>4680115887282</v>
      </c>
      <c r="E232" s="553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8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52">
        <v>4680115884205</v>
      </c>
      <c r="E233" s="553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0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120</v>
      </c>
      <c r="Y233" s="544">
        <f t="shared" si="21"/>
        <v>120</v>
      </c>
      <c r="Z233" s="36">
        <f>IFERROR(IF(Y233=0,"",ROUNDUP(Y233/H233,0)*0.00902),"")</f>
        <v>0.27060000000000001</v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125.70000000000002</v>
      </c>
      <c r="BN233" s="64">
        <f t="shared" si="23"/>
        <v>125.70000000000002</v>
      </c>
      <c r="BO233" s="64">
        <f t="shared" si="24"/>
        <v>0.22727272727272729</v>
      </c>
      <c r="BP233" s="64">
        <f t="shared" si="25"/>
        <v>0.22727272727272729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52">
        <v>4680115884205</v>
      </c>
      <c r="E234" s="553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59" t="s">
        <v>71</v>
      </c>
      <c r="Q235" s="560"/>
      <c r="R235" s="560"/>
      <c r="S235" s="560"/>
      <c r="T235" s="560"/>
      <c r="U235" s="560"/>
      <c r="V235" s="561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60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546"/>
      <c r="AB235" s="546"/>
      <c r="AC235" s="546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59" t="s">
        <v>71</v>
      </c>
      <c r="Q236" s="560"/>
      <c r="R236" s="560"/>
      <c r="S236" s="560"/>
      <c r="T236" s="560"/>
      <c r="U236" s="560"/>
      <c r="V236" s="561"/>
      <c r="W236" s="37" t="s">
        <v>69</v>
      </c>
      <c r="X236" s="545">
        <f>IFERROR(SUM(X225:X234),"0")</f>
        <v>240</v>
      </c>
      <c r="Y236" s="545">
        <f>IFERROR(SUM(Y225:Y234),"0")</f>
        <v>240</v>
      </c>
      <c r="Z236" s="37"/>
      <c r="AA236" s="546"/>
      <c r="AB236" s="546"/>
      <c r="AC236" s="546"/>
    </row>
    <row r="237" spans="1:68" ht="14.25" hidden="1" customHeight="1" x14ac:dyDescent="0.25">
      <c r="A237" s="563" t="s">
        <v>136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52">
        <v>4680115885981</v>
      </c>
      <c r="E238" s="553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59" t="s">
        <v>71</v>
      </c>
      <c r="Q239" s="560"/>
      <c r="R239" s="560"/>
      <c r="S239" s="560"/>
      <c r="T239" s="560"/>
      <c r="U239" s="560"/>
      <c r="V239" s="561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59" t="s">
        <v>71</v>
      </c>
      <c r="Q240" s="560"/>
      <c r="R240" s="560"/>
      <c r="S240" s="560"/>
      <c r="T240" s="560"/>
      <c r="U240" s="560"/>
      <c r="V240" s="561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63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52">
        <v>4680115886803</v>
      </c>
      <c r="E242" s="553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81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59" t="s">
        <v>71</v>
      </c>
      <c r="Q243" s="560"/>
      <c r="R243" s="560"/>
      <c r="S243" s="560"/>
      <c r="T243" s="560"/>
      <c r="U243" s="560"/>
      <c r="V243" s="561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59" t="s">
        <v>71</v>
      </c>
      <c r="Q244" s="560"/>
      <c r="R244" s="560"/>
      <c r="S244" s="560"/>
      <c r="T244" s="560"/>
      <c r="U244" s="560"/>
      <c r="V244" s="561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63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52">
        <v>4680115886704</v>
      </c>
      <c r="E246" s="553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52">
        <v>4680115886681</v>
      </c>
      <c r="E247" s="553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60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52">
        <v>4680115886735</v>
      </c>
      <c r="E248" s="553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0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52">
        <v>4680115886728</v>
      </c>
      <c r="E249" s="553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86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52">
        <v>4680115886711</v>
      </c>
      <c r="E250" s="553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84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59" t="s">
        <v>71</v>
      </c>
      <c r="Q251" s="560"/>
      <c r="R251" s="560"/>
      <c r="S251" s="560"/>
      <c r="T251" s="560"/>
      <c r="U251" s="560"/>
      <c r="V251" s="561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59" t="s">
        <v>71</v>
      </c>
      <c r="Q252" s="560"/>
      <c r="R252" s="560"/>
      <c r="S252" s="560"/>
      <c r="T252" s="560"/>
      <c r="U252" s="560"/>
      <c r="V252" s="561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98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8"/>
      <c r="AB253" s="538"/>
      <c r="AC253" s="538"/>
    </row>
    <row r="254" spans="1:68" ht="14.25" hidden="1" customHeight="1" x14ac:dyDescent="0.25">
      <c r="A254" s="563" t="s">
        <v>101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52">
        <v>4680115885837</v>
      </c>
      <c r="E255" s="553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79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52">
        <v>4680115885851</v>
      </c>
      <c r="E256" s="553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66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52">
        <v>4680115885806</v>
      </c>
      <c r="E257" s="553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67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52">
        <v>4680115885844</v>
      </c>
      <c r="E258" s="553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78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52">
        <v>4680115885820</v>
      </c>
      <c r="E259" s="553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2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120</v>
      </c>
      <c r="Y259" s="544">
        <f>IFERROR(IF(X259="",0,CEILING((X259/$H259),1)*$H259),"")</f>
        <v>120</v>
      </c>
      <c r="Z259" s="36">
        <f>IFERROR(IF(Y259=0,"",ROUNDUP(Y259/H259,0)*0.00902),"")</f>
        <v>0.27060000000000001</v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125.70000000000002</v>
      </c>
      <c r="BN259" s="64">
        <f>IFERROR(Y259*I259/H259,"0")</f>
        <v>125.70000000000002</v>
      </c>
      <c r="BO259" s="64">
        <f>IFERROR(1/J259*(X259/H259),"0")</f>
        <v>0.22727272727272729</v>
      </c>
      <c r="BP259" s="64">
        <f>IFERROR(1/J259*(Y259/H259),"0")</f>
        <v>0.22727272727272729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59" t="s">
        <v>71</v>
      </c>
      <c r="Q260" s="560"/>
      <c r="R260" s="560"/>
      <c r="S260" s="560"/>
      <c r="T260" s="560"/>
      <c r="U260" s="560"/>
      <c r="V260" s="561"/>
      <c r="W260" s="37" t="s">
        <v>72</v>
      </c>
      <c r="X260" s="545">
        <f>IFERROR(X255/H255,"0")+IFERROR(X256/H256,"0")+IFERROR(X257/H257,"0")+IFERROR(X258/H258,"0")+IFERROR(X259/H259,"0")</f>
        <v>30</v>
      </c>
      <c r="Y260" s="545">
        <f>IFERROR(Y255/H255,"0")+IFERROR(Y256/H256,"0")+IFERROR(Y257/H257,"0")+IFERROR(Y258/H258,"0")+IFERROR(Y259/H259,"0")</f>
        <v>30</v>
      </c>
      <c r="Z260" s="545">
        <f>IFERROR(IF(Z255="",0,Z255),"0")+IFERROR(IF(Z256="",0,Z256),"0")+IFERROR(IF(Z257="",0,Z257),"0")+IFERROR(IF(Z258="",0,Z258),"0")+IFERROR(IF(Z259="",0,Z259),"0")</f>
        <v>0.27060000000000001</v>
      </c>
      <c r="AA260" s="546"/>
      <c r="AB260" s="546"/>
      <c r="AC260" s="546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59" t="s">
        <v>71</v>
      </c>
      <c r="Q261" s="560"/>
      <c r="R261" s="560"/>
      <c r="S261" s="560"/>
      <c r="T261" s="560"/>
      <c r="U261" s="560"/>
      <c r="V261" s="561"/>
      <c r="W261" s="37" t="s">
        <v>69</v>
      </c>
      <c r="X261" s="545">
        <f>IFERROR(SUM(X255:X259),"0")</f>
        <v>120</v>
      </c>
      <c r="Y261" s="545">
        <f>IFERROR(SUM(Y255:Y259),"0")</f>
        <v>120</v>
      </c>
      <c r="Z261" s="37"/>
      <c r="AA261" s="546"/>
      <c r="AB261" s="546"/>
      <c r="AC261" s="546"/>
    </row>
    <row r="262" spans="1:68" ht="16.5" hidden="1" customHeight="1" x14ac:dyDescent="0.25">
      <c r="A262" s="598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8"/>
      <c r="AB262" s="538"/>
      <c r="AC262" s="538"/>
    </row>
    <row r="263" spans="1:68" ht="14.25" hidden="1" customHeight="1" x14ac:dyDescent="0.25">
      <c r="A263" s="563" t="s">
        <v>101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52">
        <v>4607091383423</v>
      </c>
      <c r="E264" s="553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78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52">
        <v>4680115886957</v>
      </c>
      <c r="E265" s="553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81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52">
        <v>4680115885660</v>
      </c>
      <c r="E266" s="553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8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52">
        <v>4680115886773</v>
      </c>
      <c r="E267" s="553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3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59" t="s">
        <v>71</v>
      </c>
      <c r="Q268" s="560"/>
      <c r="R268" s="560"/>
      <c r="S268" s="560"/>
      <c r="T268" s="560"/>
      <c r="U268" s="560"/>
      <c r="V268" s="561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59" t="s">
        <v>71</v>
      </c>
      <c r="Q269" s="560"/>
      <c r="R269" s="560"/>
      <c r="S269" s="560"/>
      <c r="T269" s="560"/>
      <c r="U269" s="560"/>
      <c r="V269" s="561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98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8"/>
      <c r="AB270" s="538"/>
      <c r="AC270" s="538"/>
    </row>
    <row r="271" spans="1:68" ht="14.25" hidden="1" customHeight="1" x14ac:dyDescent="0.25">
      <c r="A271" s="563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52">
        <v>4680115886186</v>
      </c>
      <c r="E272" s="553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5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52">
        <v>4680115881228</v>
      </c>
      <c r="E273" s="553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8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120</v>
      </c>
      <c r="Y273" s="544">
        <f>IFERROR(IF(X273="",0,CEILING((X273/$H273),1)*$H273),"")</f>
        <v>120</v>
      </c>
      <c r="Z273" s="36">
        <f>IFERROR(IF(Y273=0,"",ROUNDUP(Y273/H273,0)*0.00651),"")</f>
        <v>0.32550000000000001</v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132.60000000000002</v>
      </c>
      <c r="BN273" s="64">
        <f>IFERROR(Y273*I273/H273,"0")</f>
        <v>132.60000000000002</v>
      </c>
      <c r="BO273" s="64">
        <f>IFERROR(1/J273*(X273/H273),"0")</f>
        <v>0.27472527472527475</v>
      </c>
      <c r="BP273" s="64">
        <f>IFERROR(1/J273*(Y273/H273),"0")</f>
        <v>0.27472527472527475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52">
        <v>4680115881211</v>
      </c>
      <c r="E274" s="553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6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140</v>
      </c>
      <c r="Y274" s="544">
        <f>IFERROR(IF(X274="",0,CEILING((X274/$H274),1)*$H274),"")</f>
        <v>141.6</v>
      </c>
      <c r="Z274" s="36">
        <f>IFERROR(IF(Y274=0,"",ROUNDUP(Y274/H274,0)*0.00651),"")</f>
        <v>0.38408999999999999</v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150.5</v>
      </c>
      <c r="BN274" s="64">
        <f>IFERROR(Y274*I274/H274,"0")</f>
        <v>152.22</v>
      </c>
      <c r="BO274" s="64">
        <f>IFERROR(1/J274*(X274/H274),"0")</f>
        <v>0.32051282051282054</v>
      </c>
      <c r="BP274" s="64">
        <f>IFERROR(1/J274*(Y274/H274),"0")</f>
        <v>0.32417582417582419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59" t="s">
        <v>71</v>
      </c>
      <c r="Q275" s="560"/>
      <c r="R275" s="560"/>
      <c r="S275" s="560"/>
      <c r="T275" s="560"/>
      <c r="U275" s="560"/>
      <c r="V275" s="561"/>
      <c r="W275" s="37" t="s">
        <v>72</v>
      </c>
      <c r="X275" s="545">
        <f>IFERROR(X272/H272,"0")+IFERROR(X273/H273,"0")+IFERROR(X274/H274,"0")</f>
        <v>108.33333333333334</v>
      </c>
      <c r="Y275" s="545">
        <f>IFERROR(Y272/H272,"0")+IFERROR(Y273/H273,"0")+IFERROR(Y274/H274,"0")</f>
        <v>109</v>
      </c>
      <c r="Z275" s="545">
        <f>IFERROR(IF(Z272="",0,Z272),"0")+IFERROR(IF(Z273="",0,Z273),"0")+IFERROR(IF(Z274="",0,Z274),"0")</f>
        <v>0.70958999999999994</v>
      </c>
      <c r="AA275" s="546"/>
      <c r="AB275" s="546"/>
      <c r="AC275" s="546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59" t="s">
        <v>71</v>
      </c>
      <c r="Q276" s="560"/>
      <c r="R276" s="560"/>
      <c r="S276" s="560"/>
      <c r="T276" s="560"/>
      <c r="U276" s="560"/>
      <c r="V276" s="561"/>
      <c r="W276" s="37" t="s">
        <v>69</v>
      </c>
      <c r="X276" s="545">
        <f>IFERROR(SUM(X272:X274),"0")</f>
        <v>260</v>
      </c>
      <c r="Y276" s="545">
        <f>IFERROR(SUM(Y272:Y274),"0")</f>
        <v>261.60000000000002</v>
      </c>
      <c r="Z276" s="37"/>
      <c r="AA276" s="546"/>
      <c r="AB276" s="546"/>
      <c r="AC276" s="546"/>
    </row>
    <row r="277" spans="1:68" ht="16.5" hidden="1" customHeight="1" x14ac:dyDescent="0.25">
      <c r="A277" s="598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8"/>
      <c r="AB277" s="538"/>
      <c r="AC277" s="538"/>
    </row>
    <row r="278" spans="1:68" ht="14.25" hidden="1" customHeight="1" x14ac:dyDescent="0.25">
      <c r="A278" s="563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52">
        <v>4680115880344</v>
      </c>
      <c r="E279" s="553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6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52">
        <v>4680115886919</v>
      </c>
      <c r="E280" s="553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76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59" t="s">
        <v>71</v>
      </c>
      <c r="Q281" s="560"/>
      <c r="R281" s="560"/>
      <c r="S281" s="560"/>
      <c r="T281" s="560"/>
      <c r="U281" s="560"/>
      <c r="V281" s="561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59" t="s">
        <v>71</v>
      </c>
      <c r="Q282" s="560"/>
      <c r="R282" s="560"/>
      <c r="S282" s="560"/>
      <c r="T282" s="560"/>
      <c r="U282" s="560"/>
      <c r="V282" s="561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63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52">
        <v>4680115887114</v>
      </c>
      <c r="E284" s="553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801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52">
        <v>4680115884618</v>
      </c>
      <c r="E285" s="553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210</v>
      </c>
      <c r="Y285" s="544">
        <f>IFERROR(IF(X285="",0,CEILING((X285/$H285),1)*$H285),"")</f>
        <v>212.4</v>
      </c>
      <c r="Z285" s="36">
        <f>IFERROR(IF(Y285=0,"",ROUNDUP(Y285/H285,0)*0.00902),"")</f>
        <v>0.53217999999999999</v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221.08333333333331</v>
      </c>
      <c r="BN285" s="64">
        <f>IFERROR(Y285*I285/H285,"0")</f>
        <v>223.60999999999999</v>
      </c>
      <c r="BO285" s="64">
        <f>IFERROR(1/J285*(X285/H285),"0")</f>
        <v>0.44191919191919188</v>
      </c>
      <c r="BP285" s="64">
        <f>IFERROR(1/J285*(Y285/H285),"0")</f>
        <v>0.44696969696969696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59" t="s">
        <v>71</v>
      </c>
      <c r="Q286" s="560"/>
      <c r="R286" s="560"/>
      <c r="S286" s="560"/>
      <c r="T286" s="560"/>
      <c r="U286" s="560"/>
      <c r="V286" s="561"/>
      <c r="W286" s="37" t="s">
        <v>72</v>
      </c>
      <c r="X286" s="545">
        <f>IFERROR(X284/H284,"0")+IFERROR(X285/H285,"0")</f>
        <v>58.333333333333329</v>
      </c>
      <c r="Y286" s="545">
        <f>IFERROR(Y284/H284,"0")+IFERROR(Y285/H285,"0")</f>
        <v>59</v>
      </c>
      <c r="Z286" s="545">
        <f>IFERROR(IF(Z284="",0,Z284),"0")+IFERROR(IF(Z285="",0,Z285),"0")</f>
        <v>0.53217999999999999</v>
      </c>
      <c r="AA286" s="546"/>
      <c r="AB286" s="546"/>
      <c r="AC286" s="546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59" t="s">
        <v>71</v>
      </c>
      <c r="Q287" s="560"/>
      <c r="R287" s="560"/>
      <c r="S287" s="560"/>
      <c r="T287" s="560"/>
      <c r="U287" s="560"/>
      <c r="V287" s="561"/>
      <c r="W287" s="37" t="s">
        <v>69</v>
      </c>
      <c r="X287" s="545">
        <f>IFERROR(SUM(X284:X285),"0")</f>
        <v>210</v>
      </c>
      <c r="Y287" s="545">
        <f>IFERROR(SUM(Y284:Y285),"0")</f>
        <v>212.4</v>
      </c>
      <c r="Z287" s="37"/>
      <c r="AA287" s="546"/>
      <c r="AB287" s="546"/>
      <c r="AC287" s="546"/>
    </row>
    <row r="288" spans="1:68" ht="16.5" hidden="1" customHeight="1" x14ac:dyDescent="0.25">
      <c r="A288" s="598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8"/>
      <c r="AB288" s="538"/>
      <c r="AC288" s="538"/>
    </row>
    <row r="289" spans="1:68" ht="14.25" hidden="1" customHeight="1" x14ac:dyDescent="0.25">
      <c r="A289" s="563" t="s">
        <v>101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52">
        <v>4607091386004</v>
      </c>
      <c r="E290" s="553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8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52">
        <v>4680115885615</v>
      </c>
      <c r="E291" s="553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58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52">
        <v>4680115885646</v>
      </c>
      <c r="E292" s="553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59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52">
        <v>4680115885554</v>
      </c>
      <c r="E293" s="553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58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52">
        <v>4680115885622</v>
      </c>
      <c r="E294" s="553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59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customHeight="1" x14ac:dyDescent="0.25">
      <c r="A295" s="54" t="s">
        <v>468</v>
      </c>
      <c r="B295" s="54" t="s">
        <v>469</v>
      </c>
      <c r="C295" s="31">
        <v>4301011859</v>
      </c>
      <c r="D295" s="552">
        <v>4680115885608</v>
      </c>
      <c r="E295" s="553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6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120</v>
      </c>
      <c r="Y295" s="544">
        <f t="shared" si="26"/>
        <v>120</v>
      </c>
      <c r="Z295" s="36">
        <f>IFERROR(IF(Y295=0,"",ROUNDUP(Y295/H295,0)*0.00902),"")</f>
        <v>0.27060000000000001</v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125.70000000000002</v>
      </c>
      <c r="BN295" s="64">
        <f t="shared" si="28"/>
        <v>125.70000000000002</v>
      </c>
      <c r="BO295" s="64">
        <f t="shared" si="29"/>
        <v>0.22727272727272729</v>
      </c>
      <c r="BP295" s="64">
        <f t="shared" si="30"/>
        <v>0.22727272727272729</v>
      </c>
    </row>
    <row r="296" spans="1:68" x14ac:dyDescent="0.2">
      <c r="A296" s="554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59" t="s">
        <v>71</v>
      </c>
      <c r="Q296" s="560"/>
      <c r="R296" s="560"/>
      <c r="S296" s="560"/>
      <c r="T296" s="560"/>
      <c r="U296" s="560"/>
      <c r="V296" s="561"/>
      <c r="W296" s="37" t="s">
        <v>72</v>
      </c>
      <c r="X296" s="545">
        <f>IFERROR(X290/H290,"0")+IFERROR(X291/H291,"0")+IFERROR(X292/H292,"0")+IFERROR(X293/H293,"0")+IFERROR(X294/H294,"0")+IFERROR(X295/H295,"0")</f>
        <v>30</v>
      </c>
      <c r="Y296" s="545">
        <f>IFERROR(Y290/H290,"0")+IFERROR(Y291/H291,"0")+IFERROR(Y292/H292,"0")+IFERROR(Y293/H293,"0")+IFERROR(Y294/H294,"0")+IFERROR(Y295/H295,"0")</f>
        <v>30</v>
      </c>
      <c r="Z296" s="545">
        <f>IFERROR(IF(Z290="",0,Z290),"0")+IFERROR(IF(Z291="",0,Z291),"0")+IFERROR(IF(Z292="",0,Z292),"0")+IFERROR(IF(Z293="",0,Z293),"0")+IFERROR(IF(Z294="",0,Z294),"0")+IFERROR(IF(Z295="",0,Z295),"0")</f>
        <v>0.27060000000000001</v>
      </c>
      <c r="AA296" s="546"/>
      <c r="AB296" s="546"/>
      <c r="AC296" s="546"/>
    </row>
    <row r="297" spans="1:68" x14ac:dyDescent="0.2">
      <c r="A297" s="555"/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6"/>
      <c r="P297" s="559" t="s">
        <v>71</v>
      </c>
      <c r="Q297" s="560"/>
      <c r="R297" s="560"/>
      <c r="S297" s="560"/>
      <c r="T297" s="560"/>
      <c r="U297" s="560"/>
      <c r="V297" s="561"/>
      <c r="W297" s="37" t="s">
        <v>69</v>
      </c>
      <c r="X297" s="545">
        <f>IFERROR(SUM(X290:X295),"0")</f>
        <v>120</v>
      </c>
      <c r="Y297" s="545">
        <f>IFERROR(SUM(Y290:Y295),"0")</f>
        <v>120</v>
      </c>
      <c r="Z297" s="37"/>
      <c r="AA297" s="546"/>
      <c r="AB297" s="546"/>
      <c r="AC297" s="546"/>
    </row>
    <row r="298" spans="1:68" ht="14.25" hidden="1" customHeight="1" x14ac:dyDescent="0.25">
      <c r="A298" s="563" t="s">
        <v>64</v>
      </c>
      <c r="B298" s="555"/>
      <c r="C298" s="555"/>
      <c r="D298" s="555"/>
      <c r="E298" s="555"/>
      <c r="F298" s="555"/>
      <c r="G298" s="555"/>
      <c r="H298" s="555"/>
      <c r="I298" s="555"/>
      <c r="J298" s="555"/>
      <c r="K298" s="555"/>
      <c r="L298" s="555"/>
      <c r="M298" s="555"/>
      <c r="N298" s="555"/>
      <c r="O298" s="555"/>
      <c r="P298" s="555"/>
      <c r="Q298" s="555"/>
      <c r="R298" s="555"/>
      <c r="S298" s="555"/>
      <c r="T298" s="555"/>
      <c r="U298" s="555"/>
      <c r="V298" s="555"/>
      <c r="W298" s="555"/>
      <c r="X298" s="555"/>
      <c r="Y298" s="555"/>
      <c r="Z298" s="555"/>
      <c r="AA298" s="539"/>
      <c r="AB298" s="539"/>
      <c r="AC298" s="539"/>
    </row>
    <row r="299" spans="1:68" ht="27" hidden="1" customHeight="1" x14ac:dyDescent="0.25">
      <c r="A299" s="54" t="s">
        <v>471</v>
      </c>
      <c r="B299" s="54" t="s">
        <v>472</v>
      </c>
      <c r="C299" s="31">
        <v>4301030878</v>
      </c>
      <c r="D299" s="552">
        <v>4607091387193</v>
      </c>
      <c r="E299" s="553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75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52">
        <v>4607091387230</v>
      </c>
      <c r="E300" s="553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76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52">
        <v>4607091387292</v>
      </c>
      <c r="E301" s="553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6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52">
        <v>4607091387285</v>
      </c>
      <c r="E302" s="553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4301031305</v>
      </c>
      <c r="D303" s="552">
        <v>4607091389845</v>
      </c>
      <c r="E303" s="553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105</v>
      </c>
      <c r="Y303" s="544">
        <f t="shared" si="31"/>
        <v>105</v>
      </c>
      <c r="Z303" s="36">
        <f>IFERROR(IF(Y303=0,"",ROUNDUP(Y303/H303,0)*0.00502),"")</f>
        <v>0.251</v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110.00000000000001</v>
      </c>
      <c r="BN303" s="64">
        <f t="shared" si="33"/>
        <v>110.00000000000001</v>
      </c>
      <c r="BO303" s="64">
        <f t="shared" si="34"/>
        <v>0.21367521367521369</v>
      </c>
      <c r="BP303" s="64">
        <f t="shared" si="35"/>
        <v>0.21367521367521369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52">
        <v>4680115882881</v>
      </c>
      <c r="E304" s="553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0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4301031066</v>
      </c>
      <c r="D305" s="552">
        <v>4607091383836</v>
      </c>
      <c r="E305" s="553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75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90</v>
      </c>
      <c r="Y305" s="544">
        <f t="shared" si="31"/>
        <v>90</v>
      </c>
      <c r="Z305" s="36">
        <f>IFERROR(IF(Y305=0,"",ROUNDUP(Y305/H305,0)*0.00651),"")</f>
        <v>0.32550000000000001</v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101.4</v>
      </c>
      <c r="BN305" s="64">
        <f t="shared" si="33"/>
        <v>101.4</v>
      </c>
      <c r="BO305" s="64">
        <f t="shared" si="34"/>
        <v>0.27472527472527475</v>
      </c>
      <c r="BP305" s="64">
        <f t="shared" si="35"/>
        <v>0.27472527472527475</v>
      </c>
    </row>
    <row r="306" spans="1:68" x14ac:dyDescent="0.2">
      <c r="A306" s="554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59" t="s">
        <v>71</v>
      </c>
      <c r="Q306" s="560"/>
      <c r="R306" s="560"/>
      <c r="S306" s="560"/>
      <c r="T306" s="560"/>
      <c r="U306" s="560"/>
      <c r="V306" s="561"/>
      <c r="W306" s="37" t="s">
        <v>72</v>
      </c>
      <c r="X306" s="545">
        <f>IFERROR(X299/H299,"0")+IFERROR(X300/H300,"0")+IFERROR(X301/H301,"0")+IFERROR(X302/H302,"0")+IFERROR(X303/H303,"0")+IFERROR(X304/H304,"0")+IFERROR(X305/H305,"0")</f>
        <v>100</v>
      </c>
      <c r="Y306" s="545">
        <f>IFERROR(Y299/H299,"0")+IFERROR(Y300/H300,"0")+IFERROR(Y301/H301,"0")+IFERROR(Y302/H302,"0")+IFERROR(Y303/H303,"0")+IFERROR(Y304/H304,"0")+IFERROR(Y305/H305,"0")</f>
        <v>100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0.57650000000000001</v>
      </c>
      <c r="AA306" s="546"/>
      <c r="AB306" s="546"/>
      <c r="AC306" s="546"/>
    </row>
    <row r="307" spans="1:68" x14ac:dyDescent="0.2">
      <c r="A307" s="555"/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6"/>
      <c r="P307" s="559" t="s">
        <v>71</v>
      </c>
      <c r="Q307" s="560"/>
      <c r="R307" s="560"/>
      <c r="S307" s="560"/>
      <c r="T307" s="560"/>
      <c r="U307" s="560"/>
      <c r="V307" s="561"/>
      <c r="W307" s="37" t="s">
        <v>69</v>
      </c>
      <c r="X307" s="545">
        <f>IFERROR(SUM(X299:X305),"0")</f>
        <v>195</v>
      </c>
      <c r="Y307" s="545">
        <f>IFERROR(SUM(Y299:Y305),"0")</f>
        <v>195</v>
      </c>
      <c r="Z307" s="37"/>
      <c r="AA307" s="546"/>
      <c r="AB307" s="546"/>
      <c r="AC307" s="546"/>
    </row>
    <row r="308" spans="1:68" ht="14.25" hidden="1" customHeight="1" x14ac:dyDescent="0.25">
      <c r="A308" s="563" t="s">
        <v>73</v>
      </c>
      <c r="B308" s="555"/>
      <c r="C308" s="555"/>
      <c r="D308" s="555"/>
      <c r="E308" s="555"/>
      <c r="F308" s="555"/>
      <c r="G308" s="555"/>
      <c r="H308" s="555"/>
      <c r="I308" s="555"/>
      <c r="J308" s="555"/>
      <c r="K308" s="555"/>
      <c r="L308" s="555"/>
      <c r="M308" s="555"/>
      <c r="N308" s="555"/>
      <c r="O308" s="555"/>
      <c r="P308" s="555"/>
      <c r="Q308" s="555"/>
      <c r="R308" s="555"/>
      <c r="S308" s="555"/>
      <c r="T308" s="555"/>
      <c r="U308" s="555"/>
      <c r="V308" s="555"/>
      <c r="W308" s="555"/>
      <c r="X308" s="555"/>
      <c r="Y308" s="555"/>
      <c r="Z308" s="555"/>
      <c r="AA308" s="539"/>
      <c r="AB308" s="539"/>
      <c r="AC308" s="539"/>
    </row>
    <row r="309" spans="1:68" ht="27" hidden="1" customHeight="1" x14ac:dyDescent="0.25">
      <c r="A309" s="54" t="s">
        <v>490</v>
      </c>
      <c r="B309" s="54" t="s">
        <v>491</v>
      </c>
      <c r="C309" s="31">
        <v>4301051100</v>
      </c>
      <c r="D309" s="552">
        <v>4607091387766</v>
      </c>
      <c r="E309" s="553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52">
        <v>4607091387957</v>
      </c>
      <c r="E310" s="553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4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52">
        <v>4607091387964</v>
      </c>
      <c r="E311" s="553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52">
        <v>4680115884588</v>
      </c>
      <c r="E312" s="553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77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4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59" t="s">
        <v>71</v>
      </c>
      <c r="Q313" s="560"/>
      <c r="R313" s="560"/>
      <c r="S313" s="560"/>
      <c r="T313" s="560"/>
      <c r="U313" s="560"/>
      <c r="V313" s="561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5"/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6"/>
      <c r="P314" s="559" t="s">
        <v>71</v>
      </c>
      <c r="Q314" s="560"/>
      <c r="R314" s="560"/>
      <c r="S314" s="560"/>
      <c r="T314" s="560"/>
      <c r="U314" s="560"/>
      <c r="V314" s="561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63" t="s">
        <v>164</v>
      </c>
      <c r="B315" s="555"/>
      <c r="C315" s="555"/>
      <c r="D315" s="555"/>
      <c r="E315" s="555"/>
      <c r="F315" s="555"/>
      <c r="G315" s="555"/>
      <c r="H315" s="555"/>
      <c r="I315" s="555"/>
      <c r="J315" s="555"/>
      <c r="K315" s="555"/>
      <c r="L315" s="555"/>
      <c r="M315" s="555"/>
      <c r="N315" s="555"/>
      <c r="O315" s="555"/>
      <c r="P315" s="555"/>
      <c r="Q315" s="555"/>
      <c r="R315" s="555"/>
      <c r="S315" s="555"/>
      <c r="T315" s="555"/>
      <c r="U315" s="555"/>
      <c r="V315" s="555"/>
      <c r="W315" s="555"/>
      <c r="X315" s="555"/>
      <c r="Y315" s="555"/>
      <c r="Z315" s="555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52">
        <v>4607091380880</v>
      </c>
      <c r="E316" s="553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84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505</v>
      </c>
      <c r="B317" s="54" t="s">
        <v>506</v>
      </c>
      <c r="C317" s="31">
        <v>4301060406</v>
      </c>
      <c r="D317" s="552">
        <v>4607091384482</v>
      </c>
      <c r="E317" s="553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6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52">
        <v>4607091380897</v>
      </c>
      <c r="E318" s="553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54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59" t="s">
        <v>71</v>
      </c>
      <c r="Q319" s="560"/>
      <c r="R319" s="560"/>
      <c r="S319" s="560"/>
      <c r="T319" s="560"/>
      <c r="U319" s="560"/>
      <c r="V319" s="561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5"/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6"/>
      <c r="P320" s="559" t="s">
        <v>71</v>
      </c>
      <c r="Q320" s="560"/>
      <c r="R320" s="560"/>
      <c r="S320" s="560"/>
      <c r="T320" s="560"/>
      <c r="U320" s="560"/>
      <c r="V320" s="561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63" t="s">
        <v>93</v>
      </c>
      <c r="B321" s="555"/>
      <c r="C321" s="555"/>
      <c r="D321" s="555"/>
      <c r="E321" s="555"/>
      <c r="F321" s="555"/>
      <c r="G321" s="555"/>
      <c r="H321" s="555"/>
      <c r="I321" s="555"/>
      <c r="J321" s="555"/>
      <c r="K321" s="555"/>
      <c r="L321" s="555"/>
      <c r="M321" s="555"/>
      <c r="N321" s="555"/>
      <c r="O321" s="555"/>
      <c r="P321" s="555"/>
      <c r="Q321" s="555"/>
      <c r="R321" s="555"/>
      <c r="S321" s="555"/>
      <c r="T321" s="555"/>
      <c r="U321" s="555"/>
      <c r="V321" s="555"/>
      <c r="W321" s="555"/>
      <c r="X321" s="555"/>
      <c r="Y321" s="555"/>
      <c r="Z321" s="555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52">
        <v>4607091388381</v>
      </c>
      <c r="E322" s="553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52">
        <v>4607091388374</v>
      </c>
      <c r="E323" s="553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642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52">
        <v>4607091383102</v>
      </c>
      <c r="E324" s="553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52">
        <v>4607091388404</v>
      </c>
      <c r="E325" s="553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6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4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59" t="s">
        <v>71</v>
      </c>
      <c r="Q326" s="560"/>
      <c r="R326" s="560"/>
      <c r="S326" s="560"/>
      <c r="T326" s="560"/>
      <c r="U326" s="560"/>
      <c r="V326" s="561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5"/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6"/>
      <c r="P327" s="559" t="s">
        <v>71</v>
      </c>
      <c r="Q327" s="560"/>
      <c r="R327" s="560"/>
      <c r="S327" s="560"/>
      <c r="T327" s="560"/>
      <c r="U327" s="560"/>
      <c r="V327" s="561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63" t="s">
        <v>522</v>
      </c>
      <c r="B328" s="555"/>
      <c r="C328" s="555"/>
      <c r="D328" s="555"/>
      <c r="E328" s="555"/>
      <c r="F328" s="555"/>
      <c r="G328" s="555"/>
      <c r="H328" s="555"/>
      <c r="I328" s="555"/>
      <c r="J328" s="555"/>
      <c r="K328" s="555"/>
      <c r="L328" s="555"/>
      <c r="M328" s="555"/>
      <c r="N328" s="555"/>
      <c r="O328" s="555"/>
      <c r="P328" s="555"/>
      <c r="Q328" s="555"/>
      <c r="R328" s="555"/>
      <c r="S328" s="555"/>
      <c r="T328" s="555"/>
      <c r="U328" s="555"/>
      <c r="V328" s="555"/>
      <c r="W328" s="555"/>
      <c r="X328" s="555"/>
      <c r="Y328" s="555"/>
      <c r="Z328" s="555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52">
        <v>4680115881808</v>
      </c>
      <c r="E329" s="553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52">
        <v>4680115881822</v>
      </c>
      <c r="E330" s="553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529</v>
      </c>
      <c r="B331" s="54" t="s">
        <v>530</v>
      </c>
      <c r="C331" s="31">
        <v>4301180001</v>
      </c>
      <c r="D331" s="552">
        <v>4680115880016</v>
      </c>
      <c r="E331" s="553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8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38</v>
      </c>
      <c r="Y331" s="544">
        <f>IFERROR(IF(X331="",0,CEILING((X331/$H331),1)*$H331),"")</f>
        <v>38</v>
      </c>
      <c r="Z331" s="36">
        <f>IFERROR(IF(Y331=0,"",ROUNDUP(Y331/H331,0)*0.00474),"")</f>
        <v>9.0060000000000001E-2</v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42.56</v>
      </c>
      <c r="BN331" s="64">
        <f>IFERROR(Y331*I331/H331,"0")</f>
        <v>42.56</v>
      </c>
      <c r="BO331" s="64">
        <f>IFERROR(1/J331*(X331/H331),"0")</f>
        <v>7.9831932773109238E-2</v>
      </c>
      <c r="BP331" s="64">
        <f>IFERROR(1/J331*(Y331/H331),"0")</f>
        <v>7.9831932773109238E-2</v>
      </c>
    </row>
    <row r="332" spans="1:68" x14ac:dyDescent="0.2">
      <c r="A332" s="554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59" t="s">
        <v>71</v>
      </c>
      <c r="Q332" s="560"/>
      <c r="R332" s="560"/>
      <c r="S332" s="560"/>
      <c r="T332" s="560"/>
      <c r="U332" s="560"/>
      <c r="V332" s="561"/>
      <c r="W332" s="37" t="s">
        <v>72</v>
      </c>
      <c r="X332" s="545">
        <f>IFERROR(X329/H329,"0")+IFERROR(X330/H330,"0")+IFERROR(X331/H331,"0")</f>
        <v>19</v>
      </c>
      <c r="Y332" s="545">
        <f>IFERROR(Y329/H329,"0")+IFERROR(Y330/H330,"0")+IFERROR(Y331/H331,"0")</f>
        <v>19</v>
      </c>
      <c r="Z332" s="545">
        <f>IFERROR(IF(Z329="",0,Z329),"0")+IFERROR(IF(Z330="",0,Z330),"0")+IFERROR(IF(Z331="",0,Z331),"0")</f>
        <v>9.0060000000000001E-2</v>
      </c>
      <c r="AA332" s="546"/>
      <c r="AB332" s="546"/>
      <c r="AC332" s="546"/>
    </row>
    <row r="333" spans="1:68" x14ac:dyDescent="0.2">
      <c r="A333" s="555"/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6"/>
      <c r="P333" s="559" t="s">
        <v>71</v>
      </c>
      <c r="Q333" s="560"/>
      <c r="R333" s="560"/>
      <c r="S333" s="560"/>
      <c r="T333" s="560"/>
      <c r="U333" s="560"/>
      <c r="V333" s="561"/>
      <c r="W333" s="37" t="s">
        <v>69</v>
      </c>
      <c r="X333" s="545">
        <f>IFERROR(SUM(X329:X331),"0")</f>
        <v>38</v>
      </c>
      <c r="Y333" s="545">
        <f>IFERROR(SUM(Y329:Y331),"0")</f>
        <v>38</v>
      </c>
      <c r="Z333" s="37"/>
      <c r="AA333" s="546"/>
      <c r="AB333" s="546"/>
      <c r="AC333" s="546"/>
    </row>
    <row r="334" spans="1:68" ht="16.5" hidden="1" customHeight="1" x14ac:dyDescent="0.25">
      <c r="A334" s="598" t="s">
        <v>531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8"/>
      <c r="AB334" s="538"/>
      <c r="AC334" s="538"/>
    </row>
    <row r="335" spans="1:68" ht="14.25" hidden="1" customHeight="1" x14ac:dyDescent="0.25">
      <c r="A335" s="563" t="s">
        <v>73</v>
      </c>
      <c r="B335" s="555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5"/>
      <c r="O335" s="555"/>
      <c r="P335" s="555"/>
      <c r="Q335" s="555"/>
      <c r="R335" s="555"/>
      <c r="S335" s="555"/>
      <c r="T335" s="555"/>
      <c r="U335" s="555"/>
      <c r="V335" s="555"/>
      <c r="W335" s="555"/>
      <c r="X335" s="555"/>
      <c r="Y335" s="555"/>
      <c r="Z335" s="555"/>
      <c r="AA335" s="539"/>
      <c r="AB335" s="539"/>
      <c r="AC335" s="539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52">
        <v>4607091387919</v>
      </c>
      <c r="E336" s="553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6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4301051461</v>
      </c>
      <c r="D337" s="552">
        <v>4680115883604</v>
      </c>
      <c r="E337" s="553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105</v>
      </c>
      <c r="Y337" s="544">
        <f>IFERROR(IF(X337="",0,CEILING((X337/$H337),1)*$H337),"")</f>
        <v>105</v>
      </c>
      <c r="Z337" s="36">
        <f>IFERROR(IF(Y337=0,"",ROUNDUP(Y337/H337,0)*0.00651),"")</f>
        <v>0.32550000000000001</v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117.59999999999998</v>
      </c>
      <c r="BN337" s="64">
        <f>IFERROR(Y337*I337/H337,"0")</f>
        <v>117.59999999999998</v>
      </c>
      <c r="BO337" s="64">
        <f>IFERROR(1/J337*(X337/H337),"0")</f>
        <v>0.27472527472527475</v>
      </c>
      <c r="BP337" s="64">
        <f>IFERROR(1/J337*(Y337/H337),"0")</f>
        <v>0.27472527472527475</v>
      </c>
    </row>
    <row r="338" spans="1:68" ht="27" customHeight="1" x14ac:dyDescent="0.25">
      <c r="A338" s="54" t="s">
        <v>538</v>
      </c>
      <c r="B338" s="54" t="s">
        <v>539</v>
      </c>
      <c r="C338" s="31">
        <v>4301051864</v>
      </c>
      <c r="D338" s="552">
        <v>4680115883567</v>
      </c>
      <c r="E338" s="553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56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122.5</v>
      </c>
      <c r="Y338" s="544">
        <f>IFERROR(IF(X338="",0,CEILING((X338/$H338),1)*$H338),"")</f>
        <v>123.9</v>
      </c>
      <c r="Z338" s="36">
        <f>IFERROR(IF(Y338=0,"",ROUNDUP(Y338/H338,0)*0.00651),"")</f>
        <v>0.38408999999999999</v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136.49999999999997</v>
      </c>
      <c r="BN338" s="64">
        <f>IFERROR(Y338*I338/H338,"0")</f>
        <v>138.06</v>
      </c>
      <c r="BO338" s="64">
        <f>IFERROR(1/J338*(X338/H338),"0")</f>
        <v>0.32051282051282048</v>
      </c>
      <c r="BP338" s="64">
        <f>IFERROR(1/J338*(Y338/H338),"0")</f>
        <v>0.32417582417582419</v>
      </c>
    </row>
    <row r="339" spans="1:68" x14ac:dyDescent="0.2">
      <c r="A339" s="554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59" t="s">
        <v>71</v>
      </c>
      <c r="Q339" s="560"/>
      <c r="R339" s="560"/>
      <c r="S339" s="560"/>
      <c r="T339" s="560"/>
      <c r="U339" s="560"/>
      <c r="V339" s="561"/>
      <c r="W339" s="37" t="s">
        <v>72</v>
      </c>
      <c r="X339" s="545">
        <f>IFERROR(X336/H336,"0")+IFERROR(X337/H337,"0")+IFERROR(X338/H338,"0")</f>
        <v>108.33333333333333</v>
      </c>
      <c r="Y339" s="545">
        <f>IFERROR(Y336/H336,"0")+IFERROR(Y337/H337,"0")+IFERROR(Y338/H338,"0")</f>
        <v>109</v>
      </c>
      <c r="Z339" s="545">
        <f>IFERROR(IF(Z336="",0,Z336),"0")+IFERROR(IF(Z337="",0,Z337),"0")+IFERROR(IF(Z338="",0,Z338),"0")</f>
        <v>0.70958999999999994</v>
      </c>
      <c r="AA339" s="546"/>
      <c r="AB339" s="546"/>
      <c r="AC339" s="546"/>
    </row>
    <row r="340" spans="1:68" x14ac:dyDescent="0.2">
      <c r="A340" s="555"/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6"/>
      <c r="P340" s="559" t="s">
        <v>71</v>
      </c>
      <c r="Q340" s="560"/>
      <c r="R340" s="560"/>
      <c r="S340" s="560"/>
      <c r="T340" s="560"/>
      <c r="U340" s="560"/>
      <c r="V340" s="561"/>
      <c r="W340" s="37" t="s">
        <v>69</v>
      </c>
      <c r="X340" s="545">
        <f>IFERROR(SUM(X336:X338),"0")</f>
        <v>227.5</v>
      </c>
      <c r="Y340" s="545">
        <f>IFERROR(SUM(Y336:Y338),"0")</f>
        <v>228.9</v>
      </c>
      <c r="Z340" s="37"/>
      <c r="AA340" s="546"/>
      <c r="AB340" s="546"/>
      <c r="AC340" s="546"/>
    </row>
    <row r="341" spans="1:68" ht="27.75" hidden="1" customHeight="1" x14ac:dyDescent="0.2">
      <c r="A341" s="638" t="s">
        <v>541</v>
      </c>
      <c r="B341" s="639"/>
      <c r="C341" s="639"/>
      <c r="D341" s="639"/>
      <c r="E341" s="639"/>
      <c r="F341" s="639"/>
      <c r="G341" s="639"/>
      <c r="H341" s="639"/>
      <c r="I341" s="639"/>
      <c r="J341" s="639"/>
      <c r="K341" s="639"/>
      <c r="L341" s="639"/>
      <c r="M341" s="639"/>
      <c r="N341" s="639"/>
      <c r="O341" s="639"/>
      <c r="P341" s="639"/>
      <c r="Q341" s="639"/>
      <c r="R341" s="639"/>
      <c r="S341" s="639"/>
      <c r="T341" s="639"/>
      <c r="U341" s="639"/>
      <c r="V341" s="639"/>
      <c r="W341" s="639"/>
      <c r="X341" s="639"/>
      <c r="Y341" s="639"/>
      <c r="Z341" s="639"/>
      <c r="AA341" s="48"/>
      <c r="AB341" s="48"/>
      <c r="AC341" s="48"/>
    </row>
    <row r="342" spans="1:68" ht="16.5" hidden="1" customHeight="1" x14ac:dyDescent="0.25">
      <c r="A342" s="598" t="s">
        <v>542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8"/>
      <c r="AB342" s="538"/>
      <c r="AC342" s="538"/>
    </row>
    <row r="343" spans="1:68" ht="14.25" hidden="1" customHeight="1" x14ac:dyDescent="0.25">
      <c r="A343" s="563" t="s">
        <v>101</v>
      </c>
      <c r="B343" s="555"/>
      <c r="C343" s="555"/>
      <c r="D343" s="555"/>
      <c r="E343" s="555"/>
      <c r="F343" s="555"/>
      <c r="G343" s="555"/>
      <c r="H343" s="555"/>
      <c r="I343" s="555"/>
      <c r="J343" s="555"/>
      <c r="K343" s="555"/>
      <c r="L343" s="555"/>
      <c r="M343" s="555"/>
      <c r="N343" s="555"/>
      <c r="O343" s="555"/>
      <c r="P343" s="555"/>
      <c r="Q343" s="555"/>
      <c r="R343" s="555"/>
      <c r="S343" s="555"/>
      <c r="T343" s="555"/>
      <c r="U343" s="555"/>
      <c r="V343" s="555"/>
      <c r="W343" s="555"/>
      <c r="X343" s="555"/>
      <c r="Y343" s="555"/>
      <c r="Z343" s="555"/>
      <c r="AA343" s="539"/>
      <c r="AB343" s="539"/>
      <c r="AC343" s="539"/>
    </row>
    <row r="344" spans="1:68" ht="37.5" hidden="1" customHeight="1" x14ac:dyDescent="0.25">
      <c r="A344" s="54" t="s">
        <v>543</v>
      </c>
      <c r="B344" s="54" t="s">
        <v>544</v>
      </c>
      <c r="C344" s="31">
        <v>4301011869</v>
      </c>
      <c r="D344" s="552">
        <v>4680115884847</v>
      </c>
      <c r="E344" s="553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hidden="1" customHeight="1" x14ac:dyDescent="0.25">
      <c r="A345" s="54" t="s">
        <v>546</v>
      </c>
      <c r="B345" s="54" t="s">
        <v>547</v>
      </c>
      <c r="C345" s="31">
        <v>4301011870</v>
      </c>
      <c r="D345" s="552">
        <v>4680115884854</v>
      </c>
      <c r="E345" s="553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67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52">
        <v>4680115884830</v>
      </c>
      <c r="E346" s="553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64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4301012215</v>
      </c>
      <c r="D347" s="552">
        <v>4680115887046</v>
      </c>
      <c r="E347" s="553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625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52">
        <v>4680115882638</v>
      </c>
      <c r="E348" s="553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6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52">
        <v>4680115884922</v>
      </c>
      <c r="E349" s="553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561</v>
      </c>
      <c r="B350" s="54" t="s">
        <v>562</v>
      </c>
      <c r="C350" s="31">
        <v>4301011868</v>
      </c>
      <c r="D350" s="552">
        <v>4680115884861</v>
      </c>
      <c r="E350" s="553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175</v>
      </c>
      <c r="Y350" s="544">
        <f t="shared" si="36"/>
        <v>175</v>
      </c>
      <c r="Z350" s="36">
        <f>IFERROR(IF(Y350=0,"",ROUNDUP(Y350/H350,0)*0.00902),"")</f>
        <v>0.31569999999999998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181.65000000000003</v>
      </c>
      <c r="BN350" s="64">
        <f t="shared" si="38"/>
        <v>181.65000000000003</v>
      </c>
      <c r="BO350" s="64">
        <f t="shared" si="39"/>
        <v>0.26515151515151514</v>
      </c>
      <c r="BP350" s="64">
        <f t="shared" si="40"/>
        <v>0.26515151515151514</v>
      </c>
    </row>
    <row r="351" spans="1:68" x14ac:dyDescent="0.2">
      <c r="A351" s="554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59" t="s">
        <v>71</v>
      </c>
      <c r="Q351" s="560"/>
      <c r="R351" s="560"/>
      <c r="S351" s="560"/>
      <c r="T351" s="560"/>
      <c r="U351" s="560"/>
      <c r="V351" s="561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35</v>
      </c>
      <c r="Y351" s="545">
        <f>IFERROR(Y344/H344,"0")+IFERROR(Y345/H345,"0")+IFERROR(Y346/H346,"0")+IFERROR(Y347/H347,"0")+IFERROR(Y348/H348,"0")+IFERROR(Y349/H349,"0")+IFERROR(Y350/H350,"0")</f>
        <v>35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0.31569999999999998</v>
      </c>
      <c r="AA351" s="546"/>
      <c r="AB351" s="546"/>
      <c r="AC351" s="546"/>
    </row>
    <row r="352" spans="1:68" x14ac:dyDescent="0.2">
      <c r="A352" s="555"/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6"/>
      <c r="P352" s="559" t="s">
        <v>71</v>
      </c>
      <c r="Q352" s="560"/>
      <c r="R352" s="560"/>
      <c r="S352" s="560"/>
      <c r="T352" s="560"/>
      <c r="U352" s="560"/>
      <c r="V352" s="561"/>
      <c r="W352" s="37" t="s">
        <v>69</v>
      </c>
      <c r="X352" s="545">
        <f>IFERROR(SUM(X344:X350),"0")</f>
        <v>175</v>
      </c>
      <c r="Y352" s="545">
        <f>IFERROR(SUM(Y344:Y350),"0")</f>
        <v>175</v>
      </c>
      <c r="Z352" s="37"/>
      <c r="AA352" s="546"/>
      <c r="AB352" s="546"/>
      <c r="AC352" s="546"/>
    </row>
    <row r="353" spans="1:68" ht="14.25" hidden="1" customHeight="1" x14ac:dyDescent="0.25">
      <c r="A353" s="563" t="s">
        <v>136</v>
      </c>
      <c r="B353" s="555"/>
      <c r="C353" s="555"/>
      <c r="D353" s="555"/>
      <c r="E353" s="555"/>
      <c r="F353" s="555"/>
      <c r="G353" s="555"/>
      <c r="H353" s="555"/>
      <c r="I353" s="555"/>
      <c r="J353" s="555"/>
      <c r="K353" s="555"/>
      <c r="L353" s="555"/>
      <c r="M353" s="555"/>
      <c r="N353" s="555"/>
      <c r="O353" s="555"/>
      <c r="P353" s="555"/>
      <c r="Q353" s="555"/>
      <c r="R353" s="555"/>
      <c r="S353" s="555"/>
      <c r="T353" s="555"/>
      <c r="U353" s="555"/>
      <c r="V353" s="555"/>
      <c r="W353" s="555"/>
      <c r="X353" s="555"/>
      <c r="Y353" s="555"/>
      <c r="Z353" s="555"/>
      <c r="AA353" s="539"/>
      <c r="AB353" s="539"/>
      <c r="AC353" s="539"/>
    </row>
    <row r="354" spans="1:68" ht="27" hidden="1" customHeight="1" x14ac:dyDescent="0.25">
      <c r="A354" s="54" t="s">
        <v>563</v>
      </c>
      <c r="B354" s="54" t="s">
        <v>564</v>
      </c>
      <c r="C354" s="31">
        <v>4301020178</v>
      </c>
      <c r="D354" s="552">
        <v>4607091383980</v>
      </c>
      <c r="E354" s="553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63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0</v>
      </c>
      <c r="Y354" s="544">
        <f>IFERROR(IF(X354="",0,CEILING((X354/$H354),1)*$H354),"")</f>
        <v>0</v>
      </c>
      <c r="Z354" s="36" t="str">
        <f>IFERROR(IF(Y354=0,"",ROUNDUP(Y354/H354,0)*0.02175),"")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16.5" customHeight="1" x14ac:dyDescent="0.25">
      <c r="A355" s="54" t="s">
        <v>566</v>
      </c>
      <c r="B355" s="54" t="s">
        <v>567</v>
      </c>
      <c r="C355" s="31">
        <v>4301020179</v>
      </c>
      <c r="D355" s="552">
        <v>4607091384178</v>
      </c>
      <c r="E355" s="553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5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120</v>
      </c>
      <c r="Y355" s="544">
        <f>IFERROR(IF(X355="",0,CEILING((X355/$H355),1)*$H355),"")</f>
        <v>120</v>
      </c>
      <c r="Z355" s="36">
        <f>IFERROR(IF(Y355=0,"",ROUNDUP(Y355/H355,0)*0.00902),"")</f>
        <v>0.27060000000000001</v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125.70000000000002</v>
      </c>
      <c r="BN355" s="64">
        <f>IFERROR(Y355*I355/H355,"0")</f>
        <v>125.70000000000002</v>
      </c>
      <c r="BO355" s="64">
        <f>IFERROR(1/J355*(X355/H355),"0")</f>
        <v>0.22727272727272729</v>
      </c>
      <c r="BP355" s="64">
        <f>IFERROR(1/J355*(Y355/H355),"0")</f>
        <v>0.22727272727272729</v>
      </c>
    </row>
    <row r="356" spans="1:68" x14ac:dyDescent="0.2">
      <c r="A356" s="554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59" t="s">
        <v>71</v>
      </c>
      <c r="Q356" s="560"/>
      <c r="R356" s="560"/>
      <c r="S356" s="560"/>
      <c r="T356" s="560"/>
      <c r="U356" s="560"/>
      <c r="V356" s="561"/>
      <c r="W356" s="37" t="s">
        <v>72</v>
      </c>
      <c r="X356" s="545">
        <f>IFERROR(X354/H354,"0")+IFERROR(X355/H355,"0")</f>
        <v>30</v>
      </c>
      <c r="Y356" s="545">
        <f>IFERROR(Y354/H354,"0")+IFERROR(Y355/H355,"0")</f>
        <v>30</v>
      </c>
      <c r="Z356" s="545">
        <f>IFERROR(IF(Z354="",0,Z354),"0")+IFERROR(IF(Z355="",0,Z355),"0")</f>
        <v>0.27060000000000001</v>
      </c>
      <c r="AA356" s="546"/>
      <c r="AB356" s="546"/>
      <c r="AC356" s="546"/>
    </row>
    <row r="357" spans="1:68" x14ac:dyDescent="0.2">
      <c r="A357" s="555"/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6"/>
      <c r="P357" s="559" t="s">
        <v>71</v>
      </c>
      <c r="Q357" s="560"/>
      <c r="R357" s="560"/>
      <c r="S357" s="560"/>
      <c r="T357" s="560"/>
      <c r="U357" s="560"/>
      <c r="V357" s="561"/>
      <c r="W357" s="37" t="s">
        <v>69</v>
      </c>
      <c r="X357" s="545">
        <f>IFERROR(SUM(X354:X355),"0")</f>
        <v>120</v>
      </c>
      <c r="Y357" s="545">
        <f>IFERROR(SUM(Y354:Y355),"0")</f>
        <v>120</v>
      </c>
      <c r="Z357" s="37"/>
      <c r="AA357" s="546"/>
      <c r="AB357" s="546"/>
      <c r="AC357" s="546"/>
    </row>
    <row r="358" spans="1:68" ht="14.25" hidden="1" customHeight="1" x14ac:dyDescent="0.25">
      <c r="A358" s="563" t="s">
        <v>73</v>
      </c>
      <c r="B358" s="555"/>
      <c r="C358" s="555"/>
      <c r="D358" s="555"/>
      <c r="E358" s="555"/>
      <c r="F358" s="555"/>
      <c r="G358" s="555"/>
      <c r="H358" s="555"/>
      <c r="I358" s="555"/>
      <c r="J358" s="555"/>
      <c r="K358" s="555"/>
      <c r="L358" s="555"/>
      <c r="M358" s="555"/>
      <c r="N358" s="555"/>
      <c r="O358" s="555"/>
      <c r="P358" s="555"/>
      <c r="Q358" s="555"/>
      <c r="R358" s="555"/>
      <c r="S358" s="555"/>
      <c r="T358" s="555"/>
      <c r="U358" s="555"/>
      <c r="V358" s="555"/>
      <c r="W358" s="555"/>
      <c r="X358" s="555"/>
      <c r="Y358" s="555"/>
      <c r="Z358" s="555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52">
        <v>4607091383928</v>
      </c>
      <c r="E359" s="553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52">
        <v>4607091384260</v>
      </c>
      <c r="E360" s="553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6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4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59" t="s">
        <v>71</v>
      </c>
      <c r="Q361" s="560"/>
      <c r="R361" s="560"/>
      <c r="S361" s="560"/>
      <c r="T361" s="560"/>
      <c r="U361" s="560"/>
      <c r="V361" s="561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5"/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6"/>
      <c r="P362" s="559" t="s">
        <v>71</v>
      </c>
      <c r="Q362" s="560"/>
      <c r="R362" s="560"/>
      <c r="S362" s="560"/>
      <c r="T362" s="560"/>
      <c r="U362" s="560"/>
      <c r="V362" s="561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63" t="s">
        <v>164</v>
      </c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5"/>
      <c r="P363" s="555"/>
      <c r="Q363" s="555"/>
      <c r="R363" s="555"/>
      <c r="S363" s="555"/>
      <c r="T363" s="555"/>
      <c r="U363" s="555"/>
      <c r="V363" s="555"/>
      <c r="W363" s="555"/>
      <c r="X363" s="555"/>
      <c r="Y363" s="555"/>
      <c r="Z363" s="555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52">
        <v>4607091384673</v>
      </c>
      <c r="E364" s="553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6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4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59" t="s">
        <v>71</v>
      </c>
      <c r="Q365" s="560"/>
      <c r="R365" s="560"/>
      <c r="S365" s="560"/>
      <c r="T365" s="560"/>
      <c r="U365" s="560"/>
      <c r="V365" s="561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5"/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6"/>
      <c r="P366" s="559" t="s">
        <v>71</v>
      </c>
      <c r="Q366" s="560"/>
      <c r="R366" s="560"/>
      <c r="S366" s="560"/>
      <c r="T366" s="560"/>
      <c r="U366" s="560"/>
      <c r="V366" s="561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98" t="s">
        <v>577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8"/>
      <c r="AB367" s="538"/>
      <c r="AC367" s="538"/>
    </row>
    <row r="368" spans="1:68" ht="14.25" hidden="1" customHeight="1" x14ac:dyDescent="0.25">
      <c r="A368" s="563" t="s">
        <v>101</v>
      </c>
      <c r="B368" s="555"/>
      <c r="C368" s="555"/>
      <c r="D368" s="555"/>
      <c r="E368" s="555"/>
      <c r="F368" s="555"/>
      <c r="G368" s="555"/>
      <c r="H368" s="555"/>
      <c r="I368" s="555"/>
      <c r="J368" s="555"/>
      <c r="K368" s="555"/>
      <c r="L368" s="555"/>
      <c r="M368" s="555"/>
      <c r="N368" s="555"/>
      <c r="O368" s="555"/>
      <c r="P368" s="555"/>
      <c r="Q368" s="555"/>
      <c r="R368" s="555"/>
      <c r="S368" s="555"/>
      <c r="T368" s="555"/>
      <c r="U368" s="555"/>
      <c r="V368" s="555"/>
      <c r="W368" s="555"/>
      <c r="X368" s="555"/>
      <c r="Y368" s="555"/>
      <c r="Z368" s="555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52">
        <v>4680115884885</v>
      </c>
      <c r="E369" s="553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6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52">
        <v>4680115884908</v>
      </c>
      <c r="E370" s="553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5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4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59" t="s">
        <v>71</v>
      </c>
      <c r="Q371" s="560"/>
      <c r="R371" s="560"/>
      <c r="S371" s="560"/>
      <c r="T371" s="560"/>
      <c r="U371" s="560"/>
      <c r="V371" s="561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5"/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6"/>
      <c r="P372" s="559" t="s">
        <v>71</v>
      </c>
      <c r="Q372" s="560"/>
      <c r="R372" s="560"/>
      <c r="S372" s="560"/>
      <c r="T372" s="560"/>
      <c r="U372" s="560"/>
      <c r="V372" s="561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63" t="s">
        <v>64</v>
      </c>
      <c r="B373" s="555"/>
      <c r="C373" s="555"/>
      <c r="D373" s="555"/>
      <c r="E373" s="555"/>
      <c r="F373" s="555"/>
      <c r="G373" s="555"/>
      <c r="H373" s="555"/>
      <c r="I373" s="555"/>
      <c r="J373" s="555"/>
      <c r="K373" s="555"/>
      <c r="L373" s="555"/>
      <c r="M373" s="555"/>
      <c r="N373" s="555"/>
      <c r="O373" s="555"/>
      <c r="P373" s="555"/>
      <c r="Q373" s="555"/>
      <c r="R373" s="555"/>
      <c r="S373" s="555"/>
      <c r="T373" s="555"/>
      <c r="U373" s="555"/>
      <c r="V373" s="555"/>
      <c r="W373" s="555"/>
      <c r="X373" s="555"/>
      <c r="Y373" s="555"/>
      <c r="Z373" s="555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52">
        <v>4607091384802</v>
      </c>
      <c r="E374" s="553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52">
        <v>4607091384802</v>
      </c>
      <c r="E375" s="553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4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59" t="s">
        <v>71</v>
      </c>
      <c r="Q376" s="560"/>
      <c r="R376" s="560"/>
      <c r="S376" s="560"/>
      <c r="T376" s="560"/>
      <c r="U376" s="560"/>
      <c r="V376" s="561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5"/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6"/>
      <c r="P377" s="559" t="s">
        <v>71</v>
      </c>
      <c r="Q377" s="560"/>
      <c r="R377" s="560"/>
      <c r="S377" s="560"/>
      <c r="T377" s="560"/>
      <c r="U377" s="560"/>
      <c r="V377" s="561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63" t="s">
        <v>73</v>
      </c>
      <c r="B378" s="555"/>
      <c r="C378" s="555"/>
      <c r="D378" s="555"/>
      <c r="E378" s="555"/>
      <c r="F378" s="555"/>
      <c r="G378" s="555"/>
      <c r="H378" s="555"/>
      <c r="I378" s="555"/>
      <c r="J378" s="555"/>
      <c r="K378" s="555"/>
      <c r="L378" s="555"/>
      <c r="M378" s="555"/>
      <c r="N378" s="555"/>
      <c r="O378" s="555"/>
      <c r="P378" s="555"/>
      <c r="Q378" s="555"/>
      <c r="R378" s="555"/>
      <c r="S378" s="555"/>
      <c r="T378" s="555"/>
      <c r="U378" s="555"/>
      <c r="V378" s="555"/>
      <c r="W378" s="555"/>
      <c r="X378" s="555"/>
      <c r="Y378" s="555"/>
      <c r="Z378" s="555"/>
      <c r="AA378" s="539"/>
      <c r="AB378" s="539"/>
      <c r="AC378" s="539"/>
    </row>
    <row r="379" spans="1:68" ht="27" hidden="1" customHeight="1" x14ac:dyDescent="0.25">
      <c r="A379" s="54" t="s">
        <v>588</v>
      </c>
      <c r="B379" s="54" t="s">
        <v>589</v>
      </c>
      <c r="C379" s="31">
        <v>4301051899</v>
      </c>
      <c r="D379" s="552">
        <v>4607091384246</v>
      </c>
      <c r="E379" s="553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84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52">
        <v>4607091384253</v>
      </c>
      <c r="E380" s="553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1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4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59" t="s">
        <v>71</v>
      </c>
      <c r="Q381" s="560"/>
      <c r="R381" s="560"/>
      <c r="S381" s="560"/>
      <c r="T381" s="560"/>
      <c r="U381" s="560"/>
      <c r="V381" s="561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5"/>
      <c r="B382" s="555"/>
      <c r="C382" s="555"/>
      <c r="D382" s="555"/>
      <c r="E382" s="555"/>
      <c r="F382" s="555"/>
      <c r="G382" s="555"/>
      <c r="H382" s="555"/>
      <c r="I382" s="555"/>
      <c r="J382" s="555"/>
      <c r="K382" s="555"/>
      <c r="L382" s="555"/>
      <c r="M382" s="555"/>
      <c r="N382" s="555"/>
      <c r="O382" s="556"/>
      <c r="P382" s="559" t="s">
        <v>71</v>
      </c>
      <c r="Q382" s="560"/>
      <c r="R382" s="560"/>
      <c r="S382" s="560"/>
      <c r="T382" s="560"/>
      <c r="U382" s="560"/>
      <c r="V382" s="561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638" t="s">
        <v>593</v>
      </c>
      <c r="B383" s="639"/>
      <c r="C383" s="639"/>
      <c r="D383" s="639"/>
      <c r="E383" s="639"/>
      <c r="F383" s="639"/>
      <c r="G383" s="639"/>
      <c r="H383" s="639"/>
      <c r="I383" s="639"/>
      <c r="J383" s="639"/>
      <c r="K383" s="639"/>
      <c r="L383" s="639"/>
      <c r="M383" s="639"/>
      <c r="N383" s="639"/>
      <c r="O383" s="639"/>
      <c r="P383" s="639"/>
      <c r="Q383" s="639"/>
      <c r="R383" s="639"/>
      <c r="S383" s="639"/>
      <c r="T383" s="639"/>
      <c r="U383" s="639"/>
      <c r="V383" s="639"/>
      <c r="W383" s="639"/>
      <c r="X383" s="639"/>
      <c r="Y383" s="639"/>
      <c r="Z383" s="639"/>
      <c r="AA383" s="48"/>
      <c r="AB383" s="48"/>
      <c r="AC383" s="48"/>
    </row>
    <row r="384" spans="1:68" ht="16.5" hidden="1" customHeight="1" x14ac:dyDescent="0.25">
      <c r="A384" s="598" t="s">
        <v>594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8"/>
      <c r="AB384" s="538"/>
      <c r="AC384" s="538"/>
    </row>
    <row r="385" spans="1:68" ht="14.25" hidden="1" customHeight="1" x14ac:dyDescent="0.25">
      <c r="A385" s="563" t="s">
        <v>64</v>
      </c>
      <c r="B385" s="555"/>
      <c r="C385" s="555"/>
      <c r="D385" s="555"/>
      <c r="E385" s="555"/>
      <c r="F385" s="555"/>
      <c r="G385" s="555"/>
      <c r="H385" s="555"/>
      <c r="I385" s="555"/>
      <c r="J385" s="555"/>
      <c r="K385" s="555"/>
      <c r="L385" s="555"/>
      <c r="M385" s="555"/>
      <c r="N385" s="555"/>
      <c r="O385" s="555"/>
      <c r="P385" s="555"/>
      <c r="Q385" s="555"/>
      <c r="R385" s="555"/>
      <c r="S385" s="555"/>
      <c r="T385" s="555"/>
      <c r="U385" s="555"/>
      <c r="V385" s="555"/>
      <c r="W385" s="555"/>
      <c r="X385" s="555"/>
      <c r="Y385" s="555"/>
      <c r="Z385" s="555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52">
        <v>4680115886100</v>
      </c>
      <c r="E386" s="553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8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52">
        <v>4680115886117</v>
      </c>
      <c r="E387" s="553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3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52">
        <v>4680115886124</v>
      </c>
      <c r="E388" s="553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69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52">
        <v>4680115883147</v>
      </c>
      <c r="E389" s="553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606</v>
      </c>
      <c r="B390" s="54" t="s">
        <v>607</v>
      </c>
      <c r="C390" s="31">
        <v>4301031362</v>
      </c>
      <c r="D390" s="552">
        <v>4607091384338</v>
      </c>
      <c r="E390" s="553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105</v>
      </c>
      <c r="Y390" s="544">
        <f t="shared" si="41"/>
        <v>105</v>
      </c>
      <c r="Z390" s="36">
        <f t="shared" si="46"/>
        <v>0.251</v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37.5" customHeight="1" x14ac:dyDescent="0.25">
      <c r="A391" s="54" t="s">
        <v>608</v>
      </c>
      <c r="B391" s="54" t="s">
        <v>609</v>
      </c>
      <c r="C391" s="31">
        <v>4301031361</v>
      </c>
      <c r="D391" s="552">
        <v>4607091389524</v>
      </c>
      <c r="E391" s="553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105</v>
      </c>
      <c r="Y391" s="544">
        <f t="shared" si="41"/>
        <v>105</v>
      </c>
      <c r="Z391" s="36">
        <f t="shared" si="46"/>
        <v>0.251</v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111.5</v>
      </c>
      <c r="BN391" s="64">
        <f t="shared" si="43"/>
        <v>111.5</v>
      </c>
      <c r="BO391" s="64">
        <f t="shared" si="44"/>
        <v>0.21367521367521369</v>
      </c>
      <c r="BP391" s="64">
        <f t="shared" si="45"/>
        <v>0.21367521367521369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52">
        <v>4680115883161</v>
      </c>
      <c r="E392" s="553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614</v>
      </c>
      <c r="B393" s="54" t="s">
        <v>615</v>
      </c>
      <c r="C393" s="31">
        <v>4301031358</v>
      </c>
      <c r="D393" s="552">
        <v>4607091389531</v>
      </c>
      <c r="E393" s="553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8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122.5</v>
      </c>
      <c r="Y393" s="544">
        <f t="shared" si="41"/>
        <v>123.9</v>
      </c>
      <c r="Z393" s="36">
        <f t="shared" si="46"/>
        <v>0.29618</v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130.08333333333334</v>
      </c>
      <c r="BN393" s="64">
        <f t="shared" si="43"/>
        <v>131.57</v>
      </c>
      <c r="BO393" s="64">
        <f t="shared" si="44"/>
        <v>0.2492877492877493</v>
      </c>
      <c r="BP393" s="64">
        <f t="shared" si="45"/>
        <v>0.25213675213675218</v>
      </c>
    </row>
    <row r="394" spans="1:68" ht="37.5" customHeight="1" x14ac:dyDescent="0.25">
      <c r="A394" s="54" t="s">
        <v>617</v>
      </c>
      <c r="B394" s="54" t="s">
        <v>618</v>
      </c>
      <c r="C394" s="31">
        <v>4301031360</v>
      </c>
      <c r="D394" s="552">
        <v>4607091384345</v>
      </c>
      <c r="E394" s="553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105</v>
      </c>
      <c r="Y394" s="544">
        <f t="shared" si="41"/>
        <v>105</v>
      </c>
      <c r="Z394" s="36">
        <f t="shared" si="46"/>
        <v>0.251</v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111.5</v>
      </c>
      <c r="BN394" s="64">
        <f t="shared" si="43"/>
        <v>111.5</v>
      </c>
      <c r="BO394" s="64">
        <f t="shared" si="44"/>
        <v>0.21367521367521369</v>
      </c>
      <c r="BP394" s="64">
        <f t="shared" si="45"/>
        <v>0.21367521367521369</v>
      </c>
    </row>
    <row r="395" spans="1:68" x14ac:dyDescent="0.2">
      <c r="A395" s="554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59" t="s">
        <v>71</v>
      </c>
      <c r="Q395" s="560"/>
      <c r="R395" s="560"/>
      <c r="S395" s="560"/>
      <c r="T395" s="560"/>
      <c r="U395" s="560"/>
      <c r="V395" s="561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208.33333333333331</v>
      </c>
      <c r="Y395" s="545">
        <f>IFERROR(Y386/H386,"0")+IFERROR(Y387/H387,"0")+IFERROR(Y388/H388,"0")+IFERROR(Y389/H389,"0")+IFERROR(Y390/H390,"0")+IFERROR(Y391/H391,"0")+IFERROR(Y392/H392,"0")+IFERROR(Y393/H393,"0")+IFERROR(Y394/H394,"0")</f>
        <v>209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1.04918</v>
      </c>
      <c r="AA395" s="546"/>
      <c r="AB395" s="546"/>
      <c r="AC395" s="546"/>
    </row>
    <row r="396" spans="1:68" x14ac:dyDescent="0.2">
      <c r="A396" s="555"/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6"/>
      <c r="P396" s="559" t="s">
        <v>71</v>
      </c>
      <c r="Q396" s="560"/>
      <c r="R396" s="560"/>
      <c r="S396" s="560"/>
      <c r="T396" s="560"/>
      <c r="U396" s="560"/>
      <c r="V396" s="561"/>
      <c r="W396" s="37" t="s">
        <v>69</v>
      </c>
      <c r="X396" s="545">
        <f>IFERROR(SUM(X386:X394),"0")</f>
        <v>437.5</v>
      </c>
      <c r="Y396" s="545">
        <f>IFERROR(SUM(Y386:Y394),"0")</f>
        <v>438.9</v>
      </c>
      <c r="Z396" s="37"/>
      <c r="AA396" s="546"/>
      <c r="AB396" s="546"/>
      <c r="AC396" s="546"/>
    </row>
    <row r="397" spans="1:68" ht="14.25" hidden="1" customHeight="1" x14ac:dyDescent="0.25">
      <c r="A397" s="563" t="s">
        <v>73</v>
      </c>
      <c r="B397" s="555"/>
      <c r="C397" s="555"/>
      <c r="D397" s="555"/>
      <c r="E397" s="555"/>
      <c r="F397" s="555"/>
      <c r="G397" s="555"/>
      <c r="H397" s="555"/>
      <c r="I397" s="555"/>
      <c r="J397" s="555"/>
      <c r="K397" s="555"/>
      <c r="L397" s="555"/>
      <c r="M397" s="555"/>
      <c r="N397" s="555"/>
      <c r="O397" s="555"/>
      <c r="P397" s="555"/>
      <c r="Q397" s="555"/>
      <c r="R397" s="555"/>
      <c r="S397" s="555"/>
      <c r="T397" s="555"/>
      <c r="U397" s="555"/>
      <c r="V397" s="555"/>
      <c r="W397" s="555"/>
      <c r="X397" s="555"/>
      <c r="Y397" s="555"/>
      <c r="Z397" s="555"/>
      <c r="AA397" s="539"/>
      <c r="AB397" s="539"/>
      <c r="AC397" s="539"/>
    </row>
    <row r="398" spans="1:68" ht="27" customHeight="1" x14ac:dyDescent="0.25">
      <c r="A398" s="54" t="s">
        <v>619</v>
      </c>
      <c r="B398" s="54" t="s">
        <v>620</v>
      </c>
      <c r="C398" s="31">
        <v>4301051284</v>
      </c>
      <c r="D398" s="552">
        <v>4607091384352</v>
      </c>
      <c r="E398" s="553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68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180</v>
      </c>
      <c r="Y398" s="544">
        <f>IFERROR(IF(X398="",0,CEILING((X398/$H398),1)*$H398),"")</f>
        <v>180</v>
      </c>
      <c r="Z398" s="36">
        <f>IFERROR(IF(Y398=0,"",ROUNDUP(Y398/H398,0)*0.00902),"")</f>
        <v>0.67649999999999999</v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196.95000000000002</v>
      </c>
      <c r="BN398" s="64">
        <f>IFERROR(Y398*I398/H398,"0")</f>
        <v>196.95000000000002</v>
      </c>
      <c r="BO398" s="64">
        <f>IFERROR(1/J398*(X398/H398),"0")</f>
        <v>0.56818181818181823</v>
      </c>
      <c r="BP398" s="64">
        <f>IFERROR(1/J398*(Y398/H398),"0")</f>
        <v>0.56818181818181823</v>
      </c>
    </row>
    <row r="399" spans="1:68" ht="27" customHeight="1" x14ac:dyDescent="0.25">
      <c r="A399" s="54" t="s">
        <v>622</v>
      </c>
      <c r="B399" s="54" t="s">
        <v>623</v>
      </c>
      <c r="C399" s="31">
        <v>4301051431</v>
      </c>
      <c r="D399" s="552">
        <v>4607091389654</v>
      </c>
      <c r="E399" s="553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65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99</v>
      </c>
      <c r="Y399" s="544">
        <f>IFERROR(IF(X399="",0,CEILING((X399/$H399),1)*$H399),"")</f>
        <v>99</v>
      </c>
      <c r="Z399" s="36">
        <f>IFERROR(IF(Y399=0,"",ROUNDUP(Y399/H399,0)*0.00651),"")</f>
        <v>0.32550000000000001</v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111.9</v>
      </c>
      <c r="BN399" s="64">
        <f>IFERROR(Y399*I399/H399,"0")</f>
        <v>111.9</v>
      </c>
      <c r="BO399" s="64">
        <f>IFERROR(1/J399*(X399/H399),"0")</f>
        <v>0.27472527472527475</v>
      </c>
      <c r="BP399" s="64">
        <f>IFERROR(1/J399*(Y399/H399),"0")</f>
        <v>0.27472527472527475</v>
      </c>
    </row>
    <row r="400" spans="1:68" x14ac:dyDescent="0.2">
      <c r="A400" s="554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59" t="s">
        <v>71</v>
      </c>
      <c r="Q400" s="560"/>
      <c r="R400" s="560"/>
      <c r="S400" s="560"/>
      <c r="T400" s="560"/>
      <c r="U400" s="560"/>
      <c r="V400" s="561"/>
      <c r="W400" s="37" t="s">
        <v>72</v>
      </c>
      <c r="X400" s="545">
        <f>IFERROR(X398/H398,"0")+IFERROR(X399/H399,"0")</f>
        <v>125</v>
      </c>
      <c r="Y400" s="545">
        <f>IFERROR(Y398/H398,"0")+IFERROR(Y399/H399,"0")</f>
        <v>125</v>
      </c>
      <c r="Z400" s="545">
        <f>IFERROR(IF(Z398="",0,Z398),"0")+IFERROR(IF(Z399="",0,Z399),"0")</f>
        <v>1.002</v>
      </c>
      <c r="AA400" s="546"/>
      <c r="AB400" s="546"/>
      <c r="AC400" s="546"/>
    </row>
    <row r="401" spans="1:68" x14ac:dyDescent="0.2">
      <c r="A401" s="555"/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6"/>
      <c r="P401" s="559" t="s">
        <v>71</v>
      </c>
      <c r="Q401" s="560"/>
      <c r="R401" s="560"/>
      <c r="S401" s="560"/>
      <c r="T401" s="560"/>
      <c r="U401" s="560"/>
      <c r="V401" s="561"/>
      <c r="W401" s="37" t="s">
        <v>69</v>
      </c>
      <c r="X401" s="545">
        <f>IFERROR(SUM(X398:X399),"0")</f>
        <v>279</v>
      </c>
      <c r="Y401" s="545">
        <f>IFERROR(SUM(Y398:Y399),"0")</f>
        <v>279</v>
      </c>
      <c r="Z401" s="37"/>
      <c r="AA401" s="546"/>
      <c r="AB401" s="546"/>
      <c r="AC401" s="546"/>
    </row>
    <row r="402" spans="1:68" ht="16.5" hidden="1" customHeight="1" x14ac:dyDescent="0.25">
      <c r="A402" s="598" t="s">
        <v>625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8"/>
      <c r="AB402" s="538"/>
      <c r="AC402" s="538"/>
    </row>
    <row r="403" spans="1:68" ht="14.25" hidden="1" customHeight="1" x14ac:dyDescent="0.25">
      <c r="A403" s="563" t="s">
        <v>136</v>
      </c>
      <c r="B403" s="555"/>
      <c r="C403" s="555"/>
      <c r="D403" s="555"/>
      <c r="E403" s="555"/>
      <c r="F403" s="555"/>
      <c r="G403" s="555"/>
      <c r="H403" s="555"/>
      <c r="I403" s="555"/>
      <c r="J403" s="555"/>
      <c r="K403" s="555"/>
      <c r="L403" s="555"/>
      <c r="M403" s="555"/>
      <c r="N403" s="555"/>
      <c r="O403" s="555"/>
      <c r="P403" s="555"/>
      <c r="Q403" s="555"/>
      <c r="R403" s="555"/>
      <c r="S403" s="555"/>
      <c r="T403" s="555"/>
      <c r="U403" s="555"/>
      <c r="V403" s="555"/>
      <c r="W403" s="555"/>
      <c r="X403" s="555"/>
      <c r="Y403" s="555"/>
      <c r="Z403" s="555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52">
        <v>4680115885240</v>
      </c>
      <c r="E404" s="553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8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4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59" t="s">
        <v>71</v>
      </c>
      <c r="Q405" s="560"/>
      <c r="R405" s="560"/>
      <c r="S405" s="560"/>
      <c r="T405" s="560"/>
      <c r="U405" s="560"/>
      <c r="V405" s="561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5"/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6"/>
      <c r="P406" s="559" t="s">
        <v>71</v>
      </c>
      <c r="Q406" s="560"/>
      <c r="R406" s="560"/>
      <c r="S406" s="560"/>
      <c r="T406" s="560"/>
      <c r="U406" s="560"/>
      <c r="V406" s="561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63" t="s">
        <v>64</v>
      </c>
      <c r="B407" s="555"/>
      <c r="C407" s="555"/>
      <c r="D407" s="555"/>
      <c r="E407" s="555"/>
      <c r="F407" s="555"/>
      <c r="G407" s="555"/>
      <c r="H407" s="555"/>
      <c r="I407" s="555"/>
      <c r="J407" s="555"/>
      <c r="K407" s="555"/>
      <c r="L407" s="555"/>
      <c r="M407" s="555"/>
      <c r="N407" s="555"/>
      <c r="O407" s="555"/>
      <c r="P407" s="555"/>
      <c r="Q407" s="555"/>
      <c r="R407" s="555"/>
      <c r="S407" s="555"/>
      <c r="T407" s="555"/>
      <c r="U407" s="555"/>
      <c r="V407" s="555"/>
      <c r="W407" s="555"/>
      <c r="X407" s="555"/>
      <c r="Y407" s="555"/>
      <c r="Z407" s="555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52">
        <v>4680115886094</v>
      </c>
      <c r="E408" s="553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52">
        <v>4607091389425</v>
      </c>
      <c r="E409" s="553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52">
        <v>4680115880771</v>
      </c>
      <c r="E410" s="553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6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52">
        <v>4607091389500</v>
      </c>
      <c r="E411" s="553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7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4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59" t="s">
        <v>71</v>
      </c>
      <c r="Q412" s="560"/>
      <c r="R412" s="560"/>
      <c r="S412" s="560"/>
      <c r="T412" s="560"/>
      <c r="U412" s="560"/>
      <c r="V412" s="561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5"/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6"/>
      <c r="P413" s="559" t="s">
        <v>71</v>
      </c>
      <c r="Q413" s="560"/>
      <c r="R413" s="560"/>
      <c r="S413" s="560"/>
      <c r="T413" s="560"/>
      <c r="U413" s="560"/>
      <c r="V413" s="561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98" t="s">
        <v>640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8"/>
      <c r="AB414" s="538"/>
      <c r="AC414" s="538"/>
    </row>
    <row r="415" spans="1:68" ht="14.25" hidden="1" customHeight="1" x14ac:dyDescent="0.25">
      <c r="A415" s="563" t="s">
        <v>64</v>
      </c>
      <c r="B415" s="555"/>
      <c r="C415" s="555"/>
      <c r="D415" s="555"/>
      <c r="E415" s="555"/>
      <c r="F415" s="555"/>
      <c r="G415" s="555"/>
      <c r="H415" s="555"/>
      <c r="I415" s="555"/>
      <c r="J415" s="555"/>
      <c r="K415" s="555"/>
      <c r="L415" s="555"/>
      <c r="M415" s="555"/>
      <c r="N415" s="555"/>
      <c r="O415" s="555"/>
      <c r="P415" s="555"/>
      <c r="Q415" s="555"/>
      <c r="R415" s="555"/>
      <c r="S415" s="555"/>
      <c r="T415" s="555"/>
      <c r="U415" s="555"/>
      <c r="V415" s="555"/>
      <c r="W415" s="555"/>
      <c r="X415" s="555"/>
      <c r="Y415" s="555"/>
      <c r="Z415" s="555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52">
        <v>4680115885110</v>
      </c>
      <c r="E416" s="553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4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59" t="s">
        <v>71</v>
      </c>
      <c r="Q417" s="560"/>
      <c r="R417" s="560"/>
      <c r="S417" s="560"/>
      <c r="T417" s="560"/>
      <c r="U417" s="560"/>
      <c r="V417" s="561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5"/>
      <c r="B418" s="555"/>
      <c r="C418" s="555"/>
      <c r="D418" s="555"/>
      <c r="E418" s="555"/>
      <c r="F418" s="555"/>
      <c r="G418" s="555"/>
      <c r="H418" s="555"/>
      <c r="I418" s="555"/>
      <c r="J418" s="555"/>
      <c r="K418" s="555"/>
      <c r="L418" s="555"/>
      <c r="M418" s="555"/>
      <c r="N418" s="555"/>
      <c r="O418" s="556"/>
      <c r="P418" s="559" t="s">
        <v>71</v>
      </c>
      <c r="Q418" s="560"/>
      <c r="R418" s="560"/>
      <c r="S418" s="560"/>
      <c r="T418" s="560"/>
      <c r="U418" s="560"/>
      <c r="V418" s="561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638" t="s">
        <v>644</v>
      </c>
      <c r="B419" s="639"/>
      <c r="C419" s="639"/>
      <c r="D419" s="639"/>
      <c r="E419" s="639"/>
      <c r="F419" s="639"/>
      <c r="G419" s="639"/>
      <c r="H419" s="639"/>
      <c r="I419" s="639"/>
      <c r="J419" s="639"/>
      <c r="K419" s="639"/>
      <c r="L419" s="639"/>
      <c r="M419" s="639"/>
      <c r="N419" s="639"/>
      <c r="O419" s="639"/>
      <c r="P419" s="639"/>
      <c r="Q419" s="639"/>
      <c r="R419" s="639"/>
      <c r="S419" s="639"/>
      <c r="T419" s="639"/>
      <c r="U419" s="639"/>
      <c r="V419" s="639"/>
      <c r="W419" s="639"/>
      <c r="X419" s="639"/>
      <c r="Y419" s="639"/>
      <c r="Z419" s="639"/>
      <c r="AA419" s="48"/>
      <c r="AB419" s="48"/>
      <c r="AC419" s="48"/>
    </row>
    <row r="420" spans="1:68" ht="16.5" hidden="1" customHeight="1" x14ac:dyDescent="0.25">
      <c r="A420" s="598" t="s">
        <v>644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8"/>
      <c r="AB420" s="538"/>
      <c r="AC420" s="538"/>
    </row>
    <row r="421" spans="1:68" ht="14.25" hidden="1" customHeight="1" x14ac:dyDescent="0.25">
      <c r="A421" s="563" t="s">
        <v>101</v>
      </c>
      <c r="B421" s="555"/>
      <c r="C421" s="555"/>
      <c r="D421" s="555"/>
      <c r="E421" s="555"/>
      <c r="F421" s="555"/>
      <c r="G421" s="555"/>
      <c r="H421" s="555"/>
      <c r="I421" s="555"/>
      <c r="J421" s="555"/>
      <c r="K421" s="555"/>
      <c r="L421" s="555"/>
      <c r="M421" s="555"/>
      <c r="N421" s="555"/>
      <c r="O421" s="555"/>
      <c r="P421" s="555"/>
      <c r="Q421" s="555"/>
      <c r="R421" s="555"/>
      <c r="S421" s="555"/>
      <c r="T421" s="555"/>
      <c r="U421" s="555"/>
      <c r="V421" s="555"/>
      <c r="W421" s="555"/>
      <c r="X421" s="555"/>
      <c r="Y421" s="555"/>
      <c r="Z421" s="555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52">
        <v>4607091389067</v>
      </c>
      <c r="E422" s="553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78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52">
        <v>4680115885271</v>
      </c>
      <c r="E423" s="553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52">
        <v>4680115885226</v>
      </c>
      <c r="E424" s="553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52">
        <v>4607091383522</v>
      </c>
      <c r="E425" s="553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52">
        <v>4680115884502</v>
      </c>
      <c r="E426" s="553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7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4301011771</v>
      </c>
      <c r="D427" s="552">
        <v>4607091389104</v>
      </c>
      <c r="E427" s="553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52">
        <v>4680115886391</v>
      </c>
      <c r="E428" s="553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8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52">
        <v>4680115880603</v>
      </c>
      <c r="E429" s="553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7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52">
        <v>4680115882782</v>
      </c>
      <c r="E430" s="553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63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52">
        <v>4680115885479</v>
      </c>
      <c r="E431" s="553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76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4301012034</v>
      </c>
      <c r="D432" s="552">
        <v>4607091389982</v>
      </c>
      <c r="E432" s="553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8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150</v>
      </c>
      <c r="Y432" s="544">
        <f t="shared" si="47"/>
        <v>153.6</v>
      </c>
      <c r="Z432" s="36">
        <f>IFERROR(IF(Y432=0,"",ROUNDUP(Y432/H432,0)*0.00902),"")</f>
        <v>0.28864000000000001</v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215.9375</v>
      </c>
      <c r="BN432" s="64">
        <f t="shared" si="50"/>
        <v>221.12</v>
      </c>
      <c r="BO432" s="64">
        <f t="shared" si="51"/>
        <v>0.23674242424242425</v>
      </c>
      <c r="BP432" s="64">
        <f t="shared" si="52"/>
        <v>0.24242424242424243</v>
      </c>
    </row>
    <row r="433" spans="1:68" x14ac:dyDescent="0.2">
      <c r="A433" s="554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59" t="s">
        <v>71</v>
      </c>
      <c r="Q433" s="560"/>
      <c r="R433" s="560"/>
      <c r="S433" s="560"/>
      <c r="T433" s="560"/>
      <c r="U433" s="560"/>
      <c r="V433" s="561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31.25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32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0.28864000000000001</v>
      </c>
      <c r="AA433" s="546"/>
      <c r="AB433" s="546"/>
      <c r="AC433" s="546"/>
    </row>
    <row r="434" spans="1:68" x14ac:dyDescent="0.2">
      <c r="A434" s="555"/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6"/>
      <c r="P434" s="559" t="s">
        <v>71</v>
      </c>
      <c r="Q434" s="560"/>
      <c r="R434" s="560"/>
      <c r="S434" s="560"/>
      <c r="T434" s="560"/>
      <c r="U434" s="560"/>
      <c r="V434" s="561"/>
      <c r="W434" s="37" t="s">
        <v>69</v>
      </c>
      <c r="X434" s="545">
        <f>IFERROR(SUM(X422:X432),"0")</f>
        <v>150</v>
      </c>
      <c r="Y434" s="545">
        <f>IFERROR(SUM(Y422:Y432),"0")</f>
        <v>153.6</v>
      </c>
      <c r="Z434" s="37"/>
      <c r="AA434" s="546"/>
      <c r="AB434" s="546"/>
      <c r="AC434" s="546"/>
    </row>
    <row r="435" spans="1:68" ht="14.25" hidden="1" customHeight="1" x14ac:dyDescent="0.25">
      <c r="A435" s="563" t="s">
        <v>136</v>
      </c>
      <c r="B435" s="555"/>
      <c r="C435" s="555"/>
      <c r="D435" s="555"/>
      <c r="E435" s="555"/>
      <c r="F435" s="555"/>
      <c r="G435" s="555"/>
      <c r="H435" s="555"/>
      <c r="I435" s="555"/>
      <c r="J435" s="555"/>
      <c r="K435" s="555"/>
      <c r="L435" s="555"/>
      <c r="M435" s="555"/>
      <c r="N435" s="555"/>
      <c r="O435" s="555"/>
      <c r="P435" s="555"/>
      <c r="Q435" s="555"/>
      <c r="R435" s="555"/>
      <c r="S435" s="555"/>
      <c r="T435" s="555"/>
      <c r="U435" s="555"/>
      <c r="V435" s="555"/>
      <c r="W435" s="555"/>
      <c r="X435" s="555"/>
      <c r="Y435" s="555"/>
      <c r="Z435" s="555"/>
      <c r="AA435" s="539"/>
      <c r="AB435" s="539"/>
      <c r="AC435" s="539"/>
    </row>
    <row r="436" spans="1:68" ht="16.5" hidden="1" customHeight="1" x14ac:dyDescent="0.25">
      <c r="A436" s="54" t="s">
        <v>673</v>
      </c>
      <c r="B436" s="54" t="s">
        <v>674</v>
      </c>
      <c r="C436" s="31">
        <v>4301020334</v>
      </c>
      <c r="D436" s="552">
        <v>4607091388930</v>
      </c>
      <c r="E436" s="553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5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52">
        <v>4680115886407</v>
      </c>
      <c r="E437" s="553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8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52">
        <v>4680115880054</v>
      </c>
      <c r="E438" s="553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54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59" t="s">
        <v>71</v>
      </c>
      <c r="Q439" s="560"/>
      <c r="R439" s="560"/>
      <c r="S439" s="560"/>
      <c r="T439" s="560"/>
      <c r="U439" s="560"/>
      <c r="V439" s="561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5"/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6"/>
      <c r="P440" s="559" t="s">
        <v>71</v>
      </c>
      <c r="Q440" s="560"/>
      <c r="R440" s="560"/>
      <c r="S440" s="560"/>
      <c r="T440" s="560"/>
      <c r="U440" s="560"/>
      <c r="V440" s="561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63" t="s">
        <v>64</v>
      </c>
      <c r="B441" s="555"/>
      <c r="C441" s="555"/>
      <c r="D441" s="555"/>
      <c r="E441" s="555"/>
      <c r="F441" s="555"/>
      <c r="G441" s="555"/>
      <c r="H441" s="555"/>
      <c r="I441" s="555"/>
      <c r="J441" s="555"/>
      <c r="K441" s="555"/>
      <c r="L441" s="555"/>
      <c r="M441" s="555"/>
      <c r="N441" s="555"/>
      <c r="O441" s="555"/>
      <c r="P441" s="555"/>
      <c r="Q441" s="555"/>
      <c r="R441" s="555"/>
      <c r="S441" s="555"/>
      <c r="T441" s="555"/>
      <c r="U441" s="555"/>
      <c r="V441" s="555"/>
      <c r="W441" s="555"/>
      <c r="X441" s="555"/>
      <c r="Y441" s="555"/>
      <c r="Z441" s="555"/>
      <c r="AA441" s="539"/>
      <c r="AB441" s="539"/>
      <c r="AC441" s="539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52">
        <v>4680115883116</v>
      </c>
      <c r="E442" s="553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77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52">
        <v>4680115883093</v>
      </c>
      <c r="E443" s="553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83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4301031353</v>
      </c>
      <c r="D444" s="552">
        <v>4680115883109</v>
      </c>
      <c r="E444" s="553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54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52">
        <v>4680115882072</v>
      </c>
      <c r="E445" s="553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8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52">
        <v>4680115882102</v>
      </c>
      <c r="E446" s="553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52">
        <v>4680115882096</v>
      </c>
      <c r="E447" s="553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59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54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59" t="s">
        <v>71</v>
      </c>
      <c r="Q448" s="560"/>
      <c r="R448" s="560"/>
      <c r="S448" s="560"/>
      <c r="T448" s="560"/>
      <c r="U448" s="560"/>
      <c r="V448" s="561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5"/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6"/>
      <c r="P449" s="559" t="s">
        <v>71</v>
      </c>
      <c r="Q449" s="560"/>
      <c r="R449" s="560"/>
      <c r="S449" s="560"/>
      <c r="T449" s="560"/>
      <c r="U449" s="560"/>
      <c r="V449" s="561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63" t="s">
        <v>73</v>
      </c>
      <c r="B450" s="555"/>
      <c r="C450" s="555"/>
      <c r="D450" s="555"/>
      <c r="E450" s="555"/>
      <c r="F450" s="555"/>
      <c r="G450" s="555"/>
      <c r="H450" s="555"/>
      <c r="I450" s="555"/>
      <c r="J450" s="555"/>
      <c r="K450" s="555"/>
      <c r="L450" s="555"/>
      <c r="M450" s="555"/>
      <c r="N450" s="555"/>
      <c r="O450" s="555"/>
      <c r="P450" s="555"/>
      <c r="Q450" s="555"/>
      <c r="R450" s="555"/>
      <c r="S450" s="555"/>
      <c r="T450" s="555"/>
      <c r="U450" s="555"/>
      <c r="V450" s="555"/>
      <c r="W450" s="555"/>
      <c r="X450" s="555"/>
      <c r="Y450" s="555"/>
      <c r="Z450" s="555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52">
        <v>4607091383409</v>
      </c>
      <c r="E451" s="553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52">
        <v>4607091383416</v>
      </c>
      <c r="E452" s="553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86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52">
        <v>4680115883536</v>
      </c>
      <c r="E453" s="553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82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4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59" t="s">
        <v>71</v>
      </c>
      <c r="Q454" s="560"/>
      <c r="R454" s="560"/>
      <c r="S454" s="560"/>
      <c r="T454" s="560"/>
      <c r="U454" s="560"/>
      <c r="V454" s="561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5"/>
      <c r="B455" s="555"/>
      <c r="C455" s="555"/>
      <c r="D455" s="555"/>
      <c r="E455" s="555"/>
      <c r="F455" s="555"/>
      <c r="G455" s="555"/>
      <c r="H455" s="555"/>
      <c r="I455" s="555"/>
      <c r="J455" s="555"/>
      <c r="K455" s="555"/>
      <c r="L455" s="555"/>
      <c r="M455" s="555"/>
      <c r="N455" s="555"/>
      <c r="O455" s="556"/>
      <c r="P455" s="559" t="s">
        <v>71</v>
      </c>
      <c r="Q455" s="560"/>
      <c r="R455" s="560"/>
      <c r="S455" s="560"/>
      <c r="T455" s="560"/>
      <c r="U455" s="560"/>
      <c r="V455" s="561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638" t="s">
        <v>704</v>
      </c>
      <c r="B456" s="639"/>
      <c r="C456" s="639"/>
      <c r="D456" s="639"/>
      <c r="E456" s="639"/>
      <c r="F456" s="639"/>
      <c r="G456" s="639"/>
      <c r="H456" s="639"/>
      <c r="I456" s="639"/>
      <c r="J456" s="639"/>
      <c r="K456" s="639"/>
      <c r="L456" s="639"/>
      <c r="M456" s="639"/>
      <c r="N456" s="639"/>
      <c r="O456" s="639"/>
      <c r="P456" s="639"/>
      <c r="Q456" s="639"/>
      <c r="R456" s="639"/>
      <c r="S456" s="639"/>
      <c r="T456" s="639"/>
      <c r="U456" s="639"/>
      <c r="V456" s="639"/>
      <c r="W456" s="639"/>
      <c r="X456" s="639"/>
      <c r="Y456" s="639"/>
      <c r="Z456" s="639"/>
      <c r="AA456" s="48"/>
      <c r="AB456" s="48"/>
      <c r="AC456" s="48"/>
    </row>
    <row r="457" spans="1:68" ht="16.5" hidden="1" customHeight="1" x14ac:dyDescent="0.25">
      <c r="A457" s="598" t="s">
        <v>704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8"/>
      <c r="AB457" s="538"/>
      <c r="AC457" s="538"/>
    </row>
    <row r="458" spans="1:68" ht="14.25" hidden="1" customHeight="1" x14ac:dyDescent="0.25">
      <c r="A458" s="563" t="s">
        <v>101</v>
      </c>
      <c r="B458" s="555"/>
      <c r="C458" s="555"/>
      <c r="D458" s="555"/>
      <c r="E458" s="555"/>
      <c r="F458" s="555"/>
      <c r="G458" s="555"/>
      <c r="H458" s="555"/>
      <c r="I458" s="555"/>
      <c r="J458" s="555"/>
      <c r="K458" s="555"/>
      <c r="L458" s="555"/>
      <c r="M458" s="555"/>
      <c r="N458" s="555"/>
      <c r="O458" s="555"/>
      <c r="P458" s="555"/>
      <c r="Q458" s="555"/>
      <c r="R458" s="555"/>
      <c r="S458" s="555"/>
      <c r="T458" s="555"/>
      <c r="U458" s="555"/>
      <c r="V458" s="555"/>
      <c r="W458" s="555"/>
      <c r="X458" s="555"/>
      <c r="Y458" s="555"/>
      <c r="Z458" s="555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52">
        <v>4640242181011</v>
      </c>
      <c r="E459" s="553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6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52">
        <v>4640242180441</v>
      </c>
      <c r="E460" s="553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8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52">
        <v>4640242180564</v>
      </c>
      <c r="E461" s="553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52">
        <v>4640242181189</v>
      </c>
      <c r="E462" s="553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6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4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59" t="s">
        <v>71</v>
      </c>
      <c r="Q463" s="560"/>
      <c r="R463" s="560"/>
      <c r="S463" s="560"/>
      <c r="T463" s="560"/>
      <c r="U463" s="560"/>
      <c r="V463" s="561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5"/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6"/>
      <c r="P464" s="559" t="s">
        <v>71</v>
      </c>
      <c r="Q464" s="560"/>
      <c r="R464" s="560"/>
      <c r="S464" s="560"/>
      <c r="T464" s="560"/>
      <c r="U464" s="560"/>
      <c r="V464" s="561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63" t="s">
        <v>136</v>
      </c>
      <c r="B465" s="555"/>
      <c r="C465" s="555"/>
      <c r="D465" s="555"/>
      <c r="E465" s="555"/>
      <c r="F465" s="555"/>
      <c r="G465" s="555"/>
      <c r="H465" s="555"/>
      <c r="I465" s="555"/>
      <c r="J465" s="555"/>
      <c r="K465" s="555"/>
      <c r="L465" s="555"/>
      <c r="M465" s="555"/>
      <c r="N465" s="555"/>
      <c r="O465" s="555"/>
      <c r="P465" s="555"/>
      <c r="Q465" s="555"/>
      <c r="R465" s="555"/>
      <c r="S465" s="555"/>
      <c r="T465" s="555"/>
      <c r="U465" s="555"/>
      <c r="V465" s="555"/>
      <c r="W465" s="555"/>
      <c r="X465" s="555"/>
      <c r="Y465" s="555"/>
      <c r="Z465" s="555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52">
        <v>4640242180519</v>
      </c>
      <c r="E466" s="553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7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52">
        <v>4640242180526</v>
      </c>
      <c r="E467" s="553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7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52">
        <v>4640242181363</v>
      </c>
      <c r="E468" s="553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84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4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59" t="s">
        <v>71</v>
      </c>
      <c r="Q469" s="560"/>
      <c r="R469" s="560"/>
      <c r="S469" s="560"/>
      <c r="T469" s="560"/>
      <c r="U469" s="560"/>
      <c r="V469" s="561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5"/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6"/>
      <c r="P470" s="559" t="s">
        <v>71</v>
      </c>
      <c r="Q470" s="560"/>
      <c r="R470" s="560"/>
      <c r="S470" s="560"/>
      <c r="T470" s="560"/>
      <c r="U470" s="560"/>
      <c r="V470" s="561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63" t="s">
        <v>64</v>
      </c>
      <c r="B471" s="555"/>
      <c r="C471" s="555"/>
      <c r="D471" s="555"/>
      <c r="E471" s="555"/>
      <c r="F471" s="555"/>
      <c r="G471" s="555"/>
      <c r="H471" s="555"/>
      <c r="I471" s="555"/>
      <c r="J471" s="555"/>
      <c r="K471" s="555"/>
      <c r="L471" s="555"/>
      <c r="M471" s="555"/>
      <c r="N471" s="555"/>
      <c r="O471" s="555"/>
      <c r="P471" s="555"/>
      <c r="Q471" s="555"/>
      <c r="R471" s="555"/>
      <c r="S471" s="555"/>
      <c r="T471" s="555"/>
      <c r="U471" s="555"/>
      <c r="V471" s="555"/>
      <c r="W471" s="555"/>
      <c r="X471" s="555"/>
      <c r="Y471" s="555"/>
      <c r="Z471" s="555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52">
        <v>4640242180816</v>
      </c>
      <c r="E472" s="553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68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728</v>
      </c>
      <c r="B473" s="54" t="s">
        <v>729</v>
      </c>
      <c r="C473" s="31">
        <v>4301031244</v>
      </c>
      <c r="D473" s="552">
        <v>4640242180595</v>
      </c>
      <c r="E473" s="553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81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4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59" t="s">
        <v>71</v>
      </c>
      <c r="Q474" s="560"/>
      <c r="R474" s="560"/>
      <c r="S474" s="560"/>
      <c r="T474" s="560"/>
      <c r="U474" s="560"/>
      <c r="V474" s="561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5"/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6"/>
      <c r="P475" s="559" t="s">
        <v>71</v>
      </c>
      <c r="Q475" s="560"/>
      <c r="R475" s="560"/>
      <c r="S475" s="560"/>
      <c r="T475" s="560"/>
      <c r="U475" s="560"/>
      <c r="V475" s="561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63" t="s">
        <v>73</v>
      </c>
      <c r="B476" s="555"/>
      <c r="C476" s="555"/>
      <c r="D476" s="555"/>
      <c r="E476" s="555"/>
      <c r="F476" s="555"/>
      <c r="G476" s="555"/>
      <c r="H476" s="555"/>
      <c r="I476" s="555"/>
      <c r="J476" s="555"/>
      <c r="K476" s="555"/>
      <c r="L476" s="555"/>
      <c r="M476" s="555"/>
      <c r="N476" s="555"/>
      <c r="O476" s="555"/>
      <c r="P476" s="555"/>
      <c r="Q476" s="555"/>
      <c r="R476" s="555"/>
      <c r="S476" s="555"/>
      <c r="T476" s="555"/>
      <c r="U476" s="555"/>
      <c r="V476" s="555"/>
      <c r="W476" s="555"/>
      <c r="X476" s="555"/>
      <c r="Y476" s="555"/>
      <c r="Z476" s="555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52">
        <v>4640242180533</v>
      </c>
      <c r="E477" s="553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0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4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59" t="s">
        <v>71</v>
      </c>
      <c r="Q478" s="560"/>
      <c r="R478" s="560"/>
      <c r="S478" s="560"/>
      <c r="T478" s="560"/>
      <c r="U478" s="560"/>
      <c r="V478" s="561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5"/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6"/>
      <c r="P479" s="559" t="s">
        <v>71</v>
      </c>
      <c r="Q479" s="560"/>
      <c r="R479" s="560"/>
      <c r="S479" s="560"/>
      <c r="T479" s="560"/>
      <c r="U479" s="560"/>
      <c r="V479" s="561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63" t="s">
        <v>164</v>
      </c>
      <c r="B480" s="555"/>
      <c r="C480" s="555"/>
      <c r="D480" s="555"/>
      <c r="E480" s="555"/>
      <c r="F480" s="555"/>
      <c r="G480" s="555"/>
      <c r="H480" s="555"/>
      <c r="I480" s="555"/>
      <c r="J480" s="555"/>
      <c r="K480" s="555"/>
      <c r="L480" s="555"/>
      <c r="M480" s="555"/>
      <c r="N480" s="555"/>
      <c r="O480" s="555"/>
      <c r="P480" s="555"/>
      <c r="Q480" s="555"/>
      <c r="R480" s="555"/>
      <c r="S480" s="555"/>
      <c r="T480" s="555"/>
      <c r="U480" s="555"/>
      <c r="V480" s="555"/>
      <c r="W480" s="555"/>
      <c r="X480" s="555"/>
      <c r="Y480" s="555"/>
      <c r="Z480" s="555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52">
        <v>4640242180120</v>
      </c>
      <c r="E481" s="553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78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52">
        <v>4640242180137</v>
      </c>
      <c r="E482" s="553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4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59" t="s">
        <v>71</v>
      </c>
      <c r="Q483" s="560"/>
      <c r="R483" s="560"/>
      <c r="S483" s="560"/>
      <c r="T483" s="560"/>
      <c r="U483" s="560"/>
      <c r="V483" s="561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5"/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6"/>
      <c r="P484" s="559" t="s">
        <v>71</v>
      </c>
      <c r="Q484" s="560"/>
      <c r="R484" s="560"/>
      <c r="S484" s="560"/>
      <c r="T484" s="560"/>
      <c r="U484" s="560"/>
      <c r="V484" s="561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98" t="s">
        <v>740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8"/>
      <c r="AB485" s="538"/>
      <c r="AC485" s="538"/>
    </row>
    <row r="486" spans="1:68" ht="14.25" hidden="1" customHeight="1" x14ac:dyDescent="0.25">
      <c r="A486" s="563" t="s">
        <v>136</v>
      </c>
      <c r="B486" s="555"/>
      <c r="C486" s="555"/>
      <c r="D486" s="555"/>
      <c r="E486" s="555"/>
      <c r="F486" s="555"/>
      <c r="G486" s="555"/>
      <c r="H486" s="555"/>
      <c r="I486" s="555"/>
      <c r="J486" s="555"/>
      <c r="K486" s="555"/>
      <c r="L486" s="555"/>
      <c r="M486" s="555"/>
      <c r="N486" s="555"/>
      <c r="O486" s="555"/>
      <c r="P486" s="555"/>
      <c r="Q486" s="555"/>
      <c r="R486" s="555"/>
      <c r="S486" s="555"/>
      <c r="T486" s="555"/>
      <c r="U486" s="555"/>
      <c r="V486" s="555"/>
      <c r="W486" s="555"/>
      <c r="X486" s="555"/>
      <c r="Y486" s="555"/>
      <c r="Z486" s="555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52">
        <v>4640242180090</v>
      </c>
      <c r="E487" s="553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66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4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59" t="s">
        <v>71</v>
      </c>
      <c r="Q488" s="560"/>
      <c r="R488" s="560"/>
      <c r="S488" s="560"/>
      <c r="T488" s="560"/>
      <c r="U488" s="560"/>
      <c r="V488" s="561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556"/>
      <c r="P489" s="559" t="s">
        <v>71</v>
      </c>
      <c r="Q489" s="560"/>
      <c r="R489" s="560"/>
      <c r="S489" s="560"/>
      <c r="T489" s="560"/>
      <c r="U489" s="560"/>
      <c r="V489" s="561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22"/>
      <c r="P490" s="601" t="s">
        <v>744</v>
      </c>
      <c r="Q490" s="602"/>
      <c r="R490" s="602"/>
      <c r="S490" s="602"/>
      <c r="T490" s="602"/>
      <c r="U490" s="602"/>
      <c r="V490" s="577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3909.9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3929.42</v>
      </c>
      <c r="Z490" s="37"/>
      <c r="AA490" s="546"/>
      <c r="AB490" s="546"/>
      <c r="AC490" s="546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22"/>
      <c r="P491" s="601" t="s">
        <v>745</v>
      </c>
      <c r="Q491" s="602"/>
      <c r="R491" s="602"/>
      <c r="S491" s="602"/>
      <c r="T491" s="602"/>
      <c r="U491" s="602"/>
      <c r="V491" s="577"/>
      <c r="W491" s="37" t="s">
        <v>69</v>
      </c>
      <c r="X491" s="545">
        <f>IFERROR(SUM(BM22:BM487),"0")</f>
        <v>4337.5041666666666</v>
      </c>
      <c r="Y491" s="545">
        <f>IFERROR(SUM(BN22:BN487),"0")</f>
        <v>4360.0479999999998</v>
      </c>
      <c r="Z491" s="37"/>
      <c r="AA491" s="546"/>
      <c r="AB491" s="546"/>
      <c r="AC491" s="546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22"/>
      <c r="P492" s="601" t="s">
        <v>746</v>
      </c>
      <c r="Q492" s="602"/>
      <c r="R492" s="602"/>
      <c r="S492" s="602"/>
      <c r="T492" s="602"/>
      <c r="U492" s="602"/>
      <c r="V492" s="577"/>
      <c r="W492" s="37" t="s">
        <v>747</v>
      </c>
      <c r="X492" s="38">
        <f>ROUNDUP(SUM(BO22:BO487),0)</f>
        <v>10</v>
      </c>
      <c r="Y492" s="38">
        <f>ROUNDUP(SUM(BP22:BP487),0)</f>
        <v>10</v>
      </c>
      <c r="Z492" s="37"/>
      <c r="AA492" s="546"/>
      <c r="AB492" s="546"/>
      <c r="AC492" s="546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22"/>
      <c r="P493" s="601" t="s">
        <v>748</v>
      </c>
      <c r="Q493" s="602"/>
      <c r="R493" s="602"/>
      <c r="S493" s="602"/>
      <c r="T493" s="602"/>
      <c r="U493" s="602"/>
      <c r="V493" s="577"/>
      <c r="W493" s="37" t="s">
        <v>69</v>
      </c>
      <c r="X493" s="545">
        <f>GrossWeightTotal+PalletQtyTotal*25</f>
        <v>4587.5041666666666</v>
      </c>
      <c r="Y493" s="545">
        <f>GrossWeightTotalR+PalletQtyTotalR*25</f>
        <v>4610.0479999999998</v>
      </c>
      <c r="Z493" s="37"/>
      <c r="AA493" s="546"/>
      <c r="AB493" s="546"/>
      <c r="AC493" s="546"/>
    </row>
    <row r="494" spans="1:68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22"/>
      <c r="P494" s="601" t="s">
        <v>749</v>
      </c>
      <c r="Q494" s="602"/>
      <c r="R494" s="602"/>
      <c r="S494" s="602"/>
      <c r="T494" s="602"/>
      <c r="U494" s="602"/>
      <c r="V494" s="577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1550.2499999999998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1558</v>
      </c>
      <c r="Z494" s="37"/>
      <c r="AA494" s="546"/>
      <c r="AB494" s="546"/>
      <c r="AC494" s="546"/>
    </row>
    <row r="495" spans="1:68" ht="14.25" hidden="1" customHeight="1" x14ac:dyDescent="0.2">
      <c r="A495" s="555"/>
      <c r="B495" s="555"/>
      <c r="C495" s="555"/>
      <c r="D495" s="555"/>
      <c r="E495" s="555"/>
      <c r="F495" s="555"/>
      <c r="G495" s="555"/>
      <c r="H495" s="555"/>
      <c r="I495" s="555"/>
      <c r="J495" s="555"/>
      <c r="K495" s="555"/>
      <c r="L495" s="555"/>
      <c r="M495" s="555"/>
      <c r="N495" s="555"/>
      <c r="O495" s="722"/>
      <c r="P495" s="601" t="s">
        <v>750</v>
      </c>
      <c r="Q495" s="602"/>
      <c r="R495" s="602"/>
      <c r="S495" s="602"/>
      <c r="T495" s="602"/>
      <c r="U495" s="602"/>
      <c r="V495" s="577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10.817400000000003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547" t="s">
        <v>99</v>
      </c>
      <c r="D497" s="596"/>
      <c r="E497" s="596"/>
      <c r="F497" s="596"/>
      <c r="G497" s="596"/>
      <c r="H497" s="597"/>
      <c r="I497" s="547" t="s">
        <v>255</v>
      </c>
      <c r="J497" s="596"/>
      <c r="K497" s="596"/>
      <c r="L497" s="596"/>
      <c r="M497" s="596"/>
      <c r="N497" s="596"/>
      <c r="O497" s="596"/>
      <c r="P497" s="596"/>
      <c r="Q497" s="596"/>
      <c r="R497" s="597"/>
      <c r="S497" s="547" t="s">
        <v>541</v>
      </c>
      <c r="T497" s="597"/>
      <c r="U497" s="547" t="s">
        <v>593</v>
      </c>
      <c r="V497" s="596"/>
      <c r="W497" s="597"/>
      <c r="X497" s="540" t="s">
        <v>644</v>
      </c>
      <c r="Y497" s="547" t="s">
        <v>704</v>
      </c>
      <c r="Z497" s="597"/>
      <c r="AB497" s="52"/>
      <c r="AC497" s="52"/>
      <c r="AF497" s="541"/>
    </row>
    <row r="498" spans="1:32" ht="14.25" customHeight="1" thickTop="1" x14ac:dyDescent="0.2">
      <c r="A498" s="812" t="s">
        <v>753</v>
      </c>
      <c r="B498" s="547" t="s">
        <v>63</v>
      </c>
      <c r="C498" s="547" t="s">
        <v>100</v>
      </c>
      <c r="D498" s="547" t="s">
        <v>117</v>
      </c>
      <c r="E498" s="547" t="s">
        <v>171</v>
      </c>
      <c r="F498" s="547" t="s">
        <v>190</v>
      </c>
      <c r="G498" s="547" t="s">
        <v>220</v>
      </c>
      <c r="H498" s="547" t="s">
        <v>99</v>
      </c>
      <c r="I498" s="547" t="s">
        <v>256</v>
      </c>
      <c r="J498" s="547" t="s">
        <v>301</v>
      </c>
      <c r="K498" s="547" t="s">
        <v>361</v>
      </c>
      <c r="L498" s="547" t="s">
        <v>403</v>
      </c>
      <c r="M498" s="547" t="s">
        <v>419</v>
      </c>
      <c r="N498" s="541"/>
      <c r="O498" s="547" t="s">
        <v>430</v>
      </c>
      <c r="P498" s="547" t="s">
        <v>439</v>
      </c>
      <c r="Q498" s="547" t="s">
        <v>453</v>
      </c>
      <c r="R498" s="547" t="s">
        <v>531</v>
      </c>
      <c r="S498" s="547" t="s">
        <v>542</v>
      </c>
      <c r="T498" s="547" t="s">
        <v>577</v>
      </c>
      <c r="U498" s="547" t="s">
        <v>594</v>
      </c>
      <c r="V498" s="547" t="s">
        <v>625</v>
      </c>
      <c r="W498" s="547" t="s">
        <v>640</v>
      </c>
      <c r="X498" s="547" t="s">
        <v>644</v>
      </c>
      <c r="Y498" s="547" t="s">
        <v>704</v>
      </c>
      <c r="Z498" s="547" t="s">
        <v>740</v>
      </c>
      <c r="AB498" s="52"/>
      <c r="AC498" s="52"/>
      <c r="AF498" s="541"/>
    </row>
    <row r="499" spans="1:32" ht="13.5" customHeight="1" thickBot="1" x14ac:dyDescent="0.25">
      <c r="A499" s="813"/>
      <c r="B499" s="548"/>
      <c r="C499" s="548"/>
      <c r="D499" s="548"/>
      <c r="E499" s="548"/>
      <c r="F499" s="548"/>
      <c r="G499" s="548"/>
      <c r="H499" s="548"/>
      <c r="I499" s="548"/>
      <c r="J499" s="548"/>
      <c r="K499" s="548"/>
      <c r="L499" s="548"/>
      <c r="M499" s="548"/>
      <c r="N499" s="541"/>
      <c r="O499" s="548"/>
      <c r="P499" s="548"/>
      <c r="Q499" s="548"/>
      <c r="R499" s="548"/>
      <c r="S499" s="548"/>
      <c r="T499" s="548"/>
      <c r="U499" s="548"/>
      <c r="V499" s="548"/>
      <c r="W499" s="548"/>
      <c r="X499" s="548"/>
      <c r="Y499" s="548"/>
      <c r="Z499" s="548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90</v>
      </c>
      <c r="C500" s="46">
        <f>IFERROR(Y40*1,"0")+IFERROR(Y41*1,"0")+IFERROR(Y42*1,"0")+IFERROR(Y46*1,"0")</f>
        <v>246.2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475.5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232.92000000000002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302.39999999999998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240</v>
      </c>
      <c r="L500" s="46">
        <f>IFERROR(Y255*1,"0")+IFERROR(Y256*1,"0")+IFERROR(Y257*1,"0")+IFERROR(Y258*1,"0")+IFERROR(Y259*1,"0")</f>
        <v>120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261.60000000000002</v>
      </c>
      <c r="P500" s="46">
        <f>IFERROR(Y279*1,"0")+IFERROR(Y280*1,"0")+IFERROR(Y284*1,"0")+IFERROR(Y285*1,"0")</f>
        <v>212.4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353</v>
      </c>
      <c r="R500" s="46">
        <f>IFERROR(Y336*1,"0")+IFERROR(Y337*1,"0")+IFERROR(Y338*1,"0")</f>
        <v>228.9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295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717.9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153.6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50,25"/>
        <filter val="10"/>
        <filter val="100,00"/>
        <filter val="105,00"/>
        <filter val="108,33"/>
        <filter val="120,00"/>
        <filter val="122,50"/>
        <filter val="125,00"/>
        <filter val="125,40"/>
        <filter val="140,00"/>
        <filter val="150,00"/>
        <filter val="157,50"/>
        <filter val="160,00"/>
        <filter val="175,00"/>
        <filter val="180,00"/>
        <filter val="19,00"/>
        <filter val="195,00"/>
        <filter val="208,33"/>
        <filter val="210,00"/>
        <filter val="227,50"/>
        <filter val="240,00"/>
        <filter val="260,00"/>
        <filter val="279,00"/>
        <filter val="3 909,90"/>
        <filter val="30,00"/>
        <filter val="300,00"/>
        <filter val="31,25"/>
        <filter val="35,00"/>
        <filter val="38,00"/>
        <filter val="4 337,50"/>
        <filter val="4 587,50"/>
        <filter val="437,50"/>
        <filter val="50,00"/>
        <filter val="58,33"/>
        <filter val="60,00"/>
        <filter val="63,33"/>
        <filter val="90,00"/>
        <filter val="99,00"/>
      </filters>
    </filterColumn>
    <filterColumn colId="29" showButton="0"/>
    <filterColumn colId="30" showButton="0"/>
  </autoFilter>
  <mergeCells count="876">
    <mergeCell ref="P452:T452"/>
    <mergeCell ref="P448:V448"/>
    <mergeCell ref="P404:T404"/>
    <mergeCell ref="A469:O470"/>
    <mergeCell ref="P187:T187"/>
    <mergeCell ref="D375:E375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158:E158"/>
    <mergeCell ref="D229:E229"/>
    <mergeCell ref="P79:T79"/>
    <mergeCell ref="D60:E60"/>
    <mergeCell ref="P73:T73"/>
    <mergeCell ref="D187:E187"/>
    <mergeCell ref="P231:T231"/>
    <mergeCell ref="P302:T302"/>
    <mergeCell ref="A83:Z83"/>
    <mergeCell ref="A270:Z270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T498:T499"/>
    <mergeCell ref="P443:T443"/>
    <mergeCell ref="D197:E197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D53:E53"/>
    <mergeCell ref="A84:Z84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A498:A499"/>
    <mergeCell ref="P265:T265"/>
    <mergeCell ref="P94:T94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354:E354"/>
    <mergeCell ref="A332:O333"/>
    <mergeCell ref="D379:E379"/>
    <mergeCell ref="D208:E208"/>
    <mergeCell ref="P170:T170"/>
    <mergeCell ref="P316:T316"/>
    <mergeCell ref="D66:E66"/>
    <mergeCell ref="D329:E329"/>
    <mergeCell ref="A402:Z402"/>
    <mergeCell ref="A361:O362"/>
    <mergeCell ref="D423:E423"/>
    <mergeCell ref="D410:E410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81:T481"/>
    <mergeCell ref="P258:T258"/>
    <mergeCell ref="D369:E369"/>
    <mergeCell ref="P423:T423"/>
    <mergeCell ref="A182:O183"/>
    <mergeCell ref="P482:T482"/>
    <mergeCell ref="P468:T468"/>
    <mergeCell ref="D473:E473"/>
    <mergeCell ref="P437:T437"/>
    <mergeCell ref="D472:E472"/>
    <mergeCell ref="A441:Z441"/>
    <mergeCell ref="A368:Z368"/>
    <mergeCell ref="P391:T391"/>
    <mergeCell ref="D426:E426"/>
    <mergeCell ref="P464:V464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153:O154"/>
    <mergeCell ref="A133:Z133"/>
    <mergeCell ref="D125:E125"/>
    <mergeCell ref="P207:T207"/>
    <mergeCell ref="P15:T16"/>
    <mergeCell ref="A275:O276"/>
    <mergeCell ref="P219:T219"/>
    <mergeCell ref="A335:Z335"/>
    <mergeCell ref="D162:E162"/>
    <mergeCell ref="P272:T272"/>
    <mergeCell ref="P210:T210"/>
    <mergeCell ref="D91:E91"/>
    <mergeCell ref="A69:O70"/>
    <mergeCell ref="D106:E10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419:Z419"/>
    <mergeCell ref="D477:E477"/>
    <mergeCell ref="P375:T375"/>
    <mergeCell ref="P446:T446"/>
    <mergeCell ref="D460:E460"/>
    <mergeCell ref="P439:V439"/>
    <mergeCell ref="D398:E398"/>
    <mergeCell ref="P433:V433"/>
    <mergeCell ref="D416:E416"/>
    <mergeCell ref="P427:T427"/>
    <mergeCell ref="D264:E264"/>
    <mergeCell ref="D93:E93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J9:M9"/>
    <mergeCell ref="A296:O297"/>
    <mergeCell ref="D112:E112"/>
    <mergeCell ref="D348:E348"/>
    <mergeCell ref="P141:T141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