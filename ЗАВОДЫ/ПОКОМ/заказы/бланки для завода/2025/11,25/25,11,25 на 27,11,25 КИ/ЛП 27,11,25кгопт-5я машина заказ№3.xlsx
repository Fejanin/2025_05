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13B54C0-B1E5-4EAF-B0BC-7E8107AEC6F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Z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100" i="1" l="1"/>
  <c r="BN100" i="1"/>
  <c r="Z100" i="1"/>
  <c r="BP135" i="1"/>
  <c r="BN135" i="1"/>
  <c r="Z135" i="1"/>
  <c r="BP140" i="1"/>
  <c r="BN140" i="1"/>
  <c r="Z140" i="1"/>
  <c r="BP166" i="1"/>
  <c r="BN166" i="1"/>
  <c r="Z166" i="1"/>
  <c r="BP199" i="1"/>
  <c r="BN199" i="1"/>
  <c r="Z199" i="1"/>
  <c r="BP227" i="1"/>
  <c r="BN227" i="1"/>
  <c r="Z227" i="1"/>
  <c r="BP256" i="1"/>
  <c r="BN256" i="1"/>
  <c r="Z256" i="1"/>
  <c r="BP293" i="1"/>
  <c r="BN293" i="1"/>
  <c r="Z293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Z22" i="1"/>
  <c r="Z23" i="1" s="1"/>
  <c r="BN22" i="1"/>
  <c r="BP22" i="1"/>
  <c r="Z26" i="1"/>
  <c r="BN26" i="1"/>
  <c r="Z42" i="1"/>
  <c r="BN42" i="1"/>
  <c r="Y57" i="1"/>
  <c r="Z61" i="1"/>
  <c r="BN61" i="1"/>
  <c r="BP68" i="1"/>
  <c r="BN68" i="1"/>
  <c r="BP80" i="1"/>
  <c r="BN80" i="1"/>
  <c r="Z80" i="1"/>
  <c r="BP85" i="1"/>
  <c r="BN85" i="1"/>
  <c r="Z85" i="1"/>
  <c r="BP112" i="1"/>
  <c r="BN112" i="1"/>
  <c r="Z112" i="1"/>
  <c r="BP163" i="1"/>
  <c r="BN163" i="1"/>
  <c r="Z163" i="1"/>
  <c r="BP176" i="1"/>
  <c r="BN176" i="1"/>
  <c r="Z176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309" i="1"/>
  <c r="BN309" i="1"/>
  <c r="Z309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4" i="1"/>
  <c r="Z66" i="1"/>
  <c r="Z69" i="1" s="1"/>
  <c r="BN66" i="1"/>
  <c r="BP66" i="1"/>
  <c r="Z74" i="1"/>
  <c r="BN74" i="1"/>
  <c r="BP93" i="1"/>
  <c r="BN93" i="1"/>
  <c r="Z93" i="1"/>
  <c r="BP108" i="1"/>
  <c r="BN108" i="1"/>
  <c r="Z108" i="1"/>
  <c r="Y131" i="1"/>
  <c r="BP129" i="1"/>
  <c r="BN129" i="1"/>
  <c r="Z129" i="1"/>
  <c r="Y153" i="1"/>
  <c r="Y152" i="1"/>
  <c r="BP151" i="1"/>
  <c r="BN151" i="1"/>
  <c r="Z151" i="1"/>
  <c r="Z152" i="1" s="1"/>
  <c r="Y158" i="1"/>
  <c r="BP157" i="1"/>
  <c r="BN157" i="1"/>
  <c r="Z157" i="1"/>
  <c r="Z158" i="1" s="1"/>
  <c r="Y172" i="1"/>
  <c r="BP161" i="1"/>
  <c r="BN161" i="1"/>
  <c r="Z161" i="1"/>
  <c r="BP174" i="1"/>
  <c r="BN174" i="1"/>
  <c r="Z174" i="1"/>
  <c r="BP197" i="1"/>
  <c r="BN197" i="1"/>
  <c r="Z197" i="1"/>
  <c r="BP210" i="1"/>
  <c r="BN210" i="1"/>
  <c r="Z210" i="1"/>
  <c r="BP225" i="1"/>
  <c r="BN225" i="1"/>
  <c r="Z225" i="1"/>
  <c r="BP233" i="1"/>
  <c r="BN233" i="1"/>
  <c r="Z233" i="1"/>
  <c r="Y260" i="1"/>
  <c r="BP254" i="1"/>
  <c r="BN254" i="1"/>
  <c r="Z254" i="1"/>
  <c r="BP265" i="1"/>
  <c r="BN265" i="1"/>
  <c r="Z265" i="1"/>
  <c r="Y69" i="1"/>
  <c r="BP87" i="1"/>
  <c r="BN87" i="1"/>
  <c r="Z87" i="1"/>
  <c r="BP102" i="1"/>
  <c r="BN102" i="1"/>
  <c r="Z102" i="1"/>
  <c r="BP114" i="1"/>
  <c r="BN114" i="1"/>
  <c r="Z114" i="1"/>
  <c r="BP146" i="1"/>
  <c r="BN146" i="1"/>
  <c r="Z146" i="1"/>
  <c r="BP168" i="1"/>
  <c r="BN168" i="1"/>
  <c r="Z168" i="1"/>
  <c r="Y182" i="1"/>
  <c r="Y181" i="1"/>
  <c r="BP180" i="1"/>
  <c r="BN180" i="1"/>
  <c r="Z180" i="1"/>
  <c r="Z181" i="1" s="1"/>
  <c r="BP185" i="1"/>
  <c r="BN185" i="1"/>
  <c r="Z185" i="1"/>
  <c r="BP201" i="1"/>
  <c r="BN201" i="1"/>
  <c r="Z201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116" i="1"/>
  <c r="Y251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19" i="1"/>
  <c r="Y318" i="1"/>
  <c r="Y380" i="1"/>
  <c r="Y454" i="1"/>
  <c r="Y453" i="1"/>
  <c r="Y31" i="1"/>
  <c r="Y43" i="1"/>
  <c r="Y58" i="1"/>
  <c r="BP73" i="1"/>
  <c r="BN73" i="1"/>
  <c r="Z73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2" i="1" s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BP175" i="1"/>
  <c r="BN175" i="1"/>
  <c r="Z175" i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Y63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482" i="1" l="1"/>
  <c r="Z131" i="1"/>
  <c r="Z116" i="1"/>
  <c r="Z63" i="1"/>
  <c r="Z177" i="1"/>
  <c r="Z109" i="1"/>
  <c r="Z325" i="1"/>
  <c r="Y491" i="1"/>
  <c r="Y492" i="1" s="1"/>
  <c r="Z57" i="1"/>
  <c r="Z31" i="1"/>
  <c r="Y493" i="1"/>
  <c r="Z171" i="1"/>
  <c r="Y490" i="1"/>
  <c r="Z295" i="1"/>
  <c r="Z203" i="1"/>
  <c r="Z76" i="1"/>
  <c r="Z394" i="1"/>
  <c r="Z338" i="1"/>
  <c r="Z234" i="1"/>
  <c r="X492" i="1"/>
  <c r="Z305" i="1"/>
  <c r="Z274" i="1"/>
  <c r="Z148" i="1"/>
  <c r="Z447" i="1"/>
  <c r="Z432" i="1"/>
  <c r="Z350" i="1"/>
  <c r="Z215" i="1"/>
  <c r="Y489" i="1"/>
  <c r="Z103" i="1"/>
  <c r="Z494" i="1" s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<sst xmlns="http://schemas.openxmlformats.org/spreadsheetml/2006/main" count="2338" uniqueCount="764">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</sst>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8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31" t="s">
        <v>8</v>
      </c>
      <c r="B5" s="632"/>
      <c r="C5" s="633"/>
      <c r="D5" s="615"/>
      <c r="E5" s="616"/>
      <c r="F5" s="835" t="s">
        <v>9</v>
      </c>
      <c r="G5" s="633"/>
      <c r="H5" s="615" t="s">
        <v>763</v>
      </c>
      <c r="I5" s="773"/>
      <c r="J5" s="773"/>
      <c r="K5" s="773"/>
      <c r="L5" s="773"/>
      <c r="M5" s="616"/>
      <c r="N5" s="58"/>
      <c r="P5" s="24" t="s">
        <v>10</v>
      </c>
      <c r="Q5" s="841">
        <v>45988</v>
      </c>
      <c r="R5" s="630"/>
      <c r="T5" s="704" t="s">
        <v>11</v>
      </c>
      <c r="U5" s="705"/>
      <c r="V5" s="706" t="s">
        <v>12</v>
      </c>
      <c r="W5" s="630"/>
      <c r="AB5" s="51"/>
      <c r="AC5" s="51"/>
      <c r="AD5" s="51"/>
      <c r="AE5" s="51"/>
    </row>
    <row r="6" spans="1:32" s="538" customFormat="1" ht="24" customHeight="1" x14ac:dyDescent="0.2">
      <c r="A6" s="631" t="s">
        <v>13</v>
      </c>
      <c r="B6" s="632"/>
      <c r="C6" s="633"/>
      <c r="D6" s="775" t="s">
        <v>14</v>
      </c>
      <c r="E6" s="776"/>
      <c r="F6" s="776"/>
      <c r="G6" s="776"/>
      <c r="H6" s="776"/>
      <c r="I6" s="776"/>
      <c r="J6" s="776"/>
      <c r="K6" s="776"/>
      <c r="L6" s="776"/>
      <c r="M6" s="630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Четверг</v>
      </c>
      <c r="R6" s="550"/>
      <c r="T6" s="710" t="s">
        <v>16</v>
      </c>
      <c r="U6" s="705"/>
      <c r="V6" s="754" t="s">
        <v>17</v>
      </c>
      <c r="W6" s="584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617" t="str">
        <f>IFERROR(VLOOKUP(DeliveryAddress,Table,3,0),1)</f>
        <v>1</v>
      </c>
      <c r="E7" s="618"/>
      <c r="F7" s="618"/>
      <c r="G7" s="618"/>
      <c r="H7" s="618"/>
      <c r="I7" s="618"/>
      <c r="J7" s="618"/>
      <c r="K7" s="618"/>
      <c r="L7" s="618"/>
      <c r="M7" s="619"/>
      <c r="N7" s="60"/>
      <c r="P7" s="24"/>
      <c r="Q7" s="42"/>
      <c r="R7" s="42"/>
      <c r="T7" s="553"/>
      <c r="U7" s="705"/>
      <c r="V7" s="755"/>
      <c r="W7" s="756"/>
      <c r="AB7" s="51"/>
      <c r="AC7" s="51"/>
      <c r="AD7" s="51"/>
      <c r="AE7" s="51"/>
    </row>
    <row r="8" spans="1:32" s="538" customFormat="1" ht="25.5" customHeight="1" x14ac:dyDescent="0.2">
      <c r="A8" s="859" t="s">
        <v>18</v>
      </c>
      <c r="B8" s="558"/>
      <c r="C8" s="559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34">
        <v>0.54166666666666663</v>
      </c>
      <c r="R8" s="619"/>
      <c r="T8" s="553"/>
      <c r="U8" s="705"/>
      <c r="V8" s="755"/>
      <c r="W8" s="756"/>
      <c r="AB8" s="51"/>
      <c r="AC8" s="51"/>
      <c r="AD8" s="51"/>
      <c r="AE8" s="51"/>
    </row>
    <row r="9" spans="1:32" s="538" customFormat="1" ht="39.950000000000003" customHeight="1" x14ac:dyDescent="0.2">
      <c r="A9" s="6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3"/>
      <c r="E9" s="563"/>
      <c r="F9" s="6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27"/>
      <c r="R9" s="628"/>
      <c r="T9" s="553"/>
      <c r="U9" s="705"/>
      <c r="V9" s="757"/>
      <c r="W9" s="758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3"/>
      <c r="E10" s="563"/>
      <c r="F10" s="6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7"/>
      <c r="P10" s="26" t="s">
        <v>22</v>
      </c>
      <c r="Q10" s="711"/>
      <c r="R10" s="712"/>
      <c r="U10" s="24" t="s">
        <v>23</v>
      </c>
      <c r="V10" s="583" t="s">
        <v>24</v>
      </c>
      <c r="W10" s="584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29"/>
      <c r="R11" s="630"/>
      <c r="U11" s="24" t="s">
        <v>27</v>
      </c>
      <c r="V11" s="789" t="s">
        <v>28</v>
      </c>
      <c r="W11" s="628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89" t="s">
        <v>29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3"/>
      <c r="N12" s="62"/>
      <c r="P12" s="24" t="s">
        <v>30</v>
      </c>
      <c r="Q12" s="634"/>
      <c r="R12" s="619"/>
      <c r="S12" s="23"/>
      <c r="U12" s="24"/>
      <c r="V12" s="574"/>
      <c r="W12" s="553"/>
      <c r="AB12" s="51"/>
      <c r="AC12" s="51"/>
      <c r="AD12" s="51"/>
      <c r="AE12" s="51"/>
    </row>
    <row r="13" spans="1:32" s="538" customFormat="1" ht="23.25" customHeight="1" x14ac:dyDescent="0.2">
      <c r="A13" s="689" t="s">
        <v>31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3"/>
      <c r="N13" s="62"/>
      <c r="O13" s="26"/>
      <c r="P13" s="26" t="s">
        <v>32</v>
      </c>
      <c r="Q13" s="789"/>
      <c r="R13" s="62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89" t="s">
        <v>33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697" t="s">
        <v>34</v>
      </c>
      <c r="B15" s="632"/>
      <c r="C15" s="632"/>
      <c r="D15" s="632"/>
      <c r="E15" s="632"/>
      <c r="F15" s="632"/>
      <c r="G15" s="632"/>
      <c r="H15" s="632"/>
      <c r="I15" s="632"/>
      <c r="J15" s="632"/>
      <c r="K15" s="632"/>
      <c r="L15" s="632"/>
      <c r="M15" s="633"/>
      <c r="N15" s="63"/>
      <c r="P15" s="679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0"/>
      <c r="Q16" s="680"/>
      <c r="R16" s="680"/>
      <c r="S16" s="680"/>
      <c r="T16" s="6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6" t="s">
        <v>36</v>
      </c>
      <c r="B17" s="566" t="s">
        <v>37</v>
      </c>
      <c r="C17" s="667" t="s">
        <v>38</v>
      </c>
      <c r="D17" s="566" t="s">
        <v>39</v>
      </c>
      <c r="E17" s="643"/>
      <c r="F17" s="566" t="s">
        <v>40</v>
      </c>
      <c r="G17" s="566" t="s">
        <v>41</v>
      </c>
      <c r="H17" s="566" t="s">
        <v>42</v>
      </c>
      <c r="I17" s="566" t="s">
        <v>43</v>
      </c>
      <c r="J17" s="566" t="s">
        <v>44</v>
      </c>
      <c r="K17" s="566" t="s">
        <v>45</v>
      </c>
      <c r="L17" s="566" t="s">
        <v>46</v>
      </c>
      <c r="M17" s="566" t="s">
        <v>47</v>
      </c>
      <c r="N17" s="566" t="s">
        <v>48</v>
      </c>
      <c r="O17" s="566" t="s">
        <v>49</v>
      </c>
      <c r="P17" s="566" t="s">
        <v>50</v>
      </c>
      <c r="Q17" s="642"/>
      <c r="R17" s="642"/>
      <c r="S17" s="642"/>
      <c r="T17" s="643"/>
      <c r="U17" s="856" t="s">
        <v>51</v>
      </c>
      <c r="V17" s="633"/>
      <c r="W17" s="566" t="s">
        <v>52</v>
      </c>
      <c r="X17" s="566" t="s">
        <v>53</v>
      </c>
      <c r="Y17" s="857" t="s">
        <v>54</v>
      </c>
      <c r="Z17" s="767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67"/>
      <c r="B18" s="567"/>
      <c r="C18" s="567"/>
      <c r="D18" s="644"/>
      <c r="E18" s="646"/>
      <c r="F18" s="567"/>
      <c r="G18" s="567"/>
      <c r="H18" s="567"/>
      <c r="I18" s="567"/>
      <c r="J18" s="567"/>
      <c r="K18" s="567"/>
      <c r="L18" s="567"/>
      <c r="M18" s="567"/>
      <c r="N18" s="567"/>
      <c r="O18" s="567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67"/>
      <c r="X18" s="567"/>
      <c r="Y18" s="858"/>
      <c r="Z18" s="768"/>
      <c r="AA18" s="743"/>
      <c r="AB18" s="743"/>
      <c r="AC18" s="743"/>
      <c r="AD18" s="832"/>
      <c r="AE18" s="833"/>
      <c r="AF18" s="834"/>
      <c r="AG18" s="66"/>
      <c r="BD18" s="65"/>
    </row>
    <row r="19" spans="1:68" ht="27.75" hidden="1" customHeight="1" x14ac:dyDescent="0.2">
      <c r="A19" s="637" t="s">
        <v>63</v>
      </c>
      <c r="B19" s="638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  <c r="AA19" s="48"/>
      <c r="AB19" s="48"/>
      <c r="AC19" s="48"/>
    </row>
    <row r="20" spans="1:68" ht="16.5" hidden="1" customHeight="1" x14ac:dyDescent="0.25">
      <c r="A20" s="556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6"/>
      <c r="AB20" s="536"/>
      <c r="AC20" s="536"/>
    </row>
    <row r="21" spans="1:68" ht="14.25" hidden="1" customHeight="1" x14ac:dyDescent="0.25">
      <c r="A21" s="555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9">
        <v>4680115886643</v>
      </c>
      <c r="E22" s="55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54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54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9">
        <v>4680115885912</v>
      </c>
      <c r="E26" s="55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9">
        <v>4607091388237</v>
      </c>
      <c r="E27" s="55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9">
        <v>4680115887350</v>
      </c>
      <c r="E28" s="55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9">
        <v>4680115885905</v>
      </c>
      <c r="E29" s="55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9">
        <v>4607091388244</v>
      </c>
      <c r="E30" s="55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54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54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9">
        <v>4607091388503</v>
      </c>
      <c r="E34" s="55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54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54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7" t="s">
        <v>99</v>
      </c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8"/>
      <c r="P37" s="638"/>
      <c r="Q37" s="638"/>
      <c r="R37" s="638"/>
      <c r="S37" s="638"/>
      <c r="T37" s="638"/>
      <c r="U37" s="638"/>
      <c r="V37" s="638"/>
      <c r="W37" s="638"/>
      <c r="X37" s="638"/>
      <c r="Y37" s="638"/>
      <c r="Z37" s="638"/>
      <c r="AA37" s="48"/>
      <c r="AB37" s="48"/>
      <c r="AC37" s="48"/>
    </row>
    <row r="38" spans="1:68" ht="16.5" hidden="1" customHeight="1" x14ac:dyDescent="0.25">
      <c r="A38" s="556" t="s">
        <v>100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6"/>
      <c r="AB38" s="536"/>
      <c r="AC38" s="536"/>
    </row>
    <row r="39" spans="1:68" ht="14.25" hidden="1" customHeight="1" x14ac:dyDescent="0.25">
      <c r="A39" s="555" t="s">
        <v>101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9">
        <v>4607091385670</v>
      </c>
      <c r="E40" s="55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9">
        <v>4607091385687</v>
      </c>
      <c r="E41" s="55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9">
        <v>4680115882539</v>
      </c>
      <c r="E42" s="55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79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2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54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54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9">
        <v>4680115884915</v>
      </c>
      <c r="E46" s="55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54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54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6" t="s">
        <v>117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6"/>
      <c r="AB49" s="536"/>
      <c r="AC49" s="536"/>
    </row>
    <row r="50" spans="1:68" ht="14.25" hidden="1" customHeight="1" x14ac:dyDescent="0.25">
      <c r="A50" s="555" t="s">
        <v>101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9">
        <v>4680115885882</v>
      </c>
      <c r="E51" s="55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9">
        <v>4680115881426</v>
      </c>
      <c r="E52" s="55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80</v>
      </c>
      <c r="Y52" s="542">
        <f t="shared" si="0"/>
        <v>86.4</v>
      </c>
      <c r="Z52" s="36">
        <f>IFERROR(IF(Y52=0,"",ROUNDUP(Y52/H52,0)*0.01898),"")</f>
        <v>0.15184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83.037037037037038</v>
      </c>
      <c r="BN52" s="64">
        <f t="shared" si="2"/>
        <v>89.68</v>
      </c>
      <c r="BO52" s="64">
        <f t="shared" si="3"/>
        <v>0.11574074074074073</v>
      </c>
      <c r="BP52" s="64">
        <f t="shared" si="4"/>
        <v>0.125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9">
        <v>4680115880283</v>
      </c>
      <c r="E53" s="55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9">
        <v>4680115881525</v>
      </c>
      <c r="E54" s="55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9">
        <v>4680115885899</v>
      </c>
      <c r="E55" s="55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9">
        <v>4680115881419</v>
      </c>
      <c r="E56" s="55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2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54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7.4074074074074066</v>
      </c>
      <c r="Y57" s="543">
        <f>IFERROR(Y51/H51,"0")+IFERROR(Y52/H52,"0")+IFERROR(Y53/H53,"0")+IFERROR(Y54/H54,"0")+IFERROR(Y55/H55,"0")+IFERROR(Y56/H56,"0")</f>
        <v>8</v>
      </c>
      <c r="Z57" s="543">
        <f>IFERROR(IF(Z51="",0,Z51),"0")+IFERROR(IF(Z52="",0,Z52),"0")+IFERROR(IF(Z53="",0,Z53),"0")+IFERROR(IF(Z54="",0,Z54),"0")+IFERROR(IF(Z55="",0,Z55),"0")+IFERROR(IF(Z56="",0,Z56),"0")</f>
        <v>0.15184</v>
      </c>
      <c r="AA57" s="544"/>
      <c r="AB57" s="544"/>
      <c r="AC57" s="544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54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80</v>
      </c>
      <c r="Y58" s="543">
        <f>IFERROR(SUM(Y51:Y56),"0")</f>
        <v>86.4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9">
        <v>4680115881440</v>
      </c>
      <c r="E60" s="55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9">
        <v>4680115885950</v>
      </c>
      <c r="E61" s="55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9">
        <v>4680115881433</v>
      </c>
      <c r="E62" s="55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2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54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18.518518518518519</v>
      </c>
      <c r="Y63" s="543">
        <f>IFERROR(Y60/H60,"0")+IFERROR(Y61/H61,"0")+IFERROR(Y62/H62,"0")</f>
        <v>19</v>
      </c>
      <c r="Z63" s="543">
        <f>IFERROR(IF(Z60="",0,Z60),"0")+IFERROR(IF(Z61="",0,Z61),"0")+IFERROR(IF(Z62="",0,Z62),"0")</f>
        <v>0.36062</v>
      </c>
      <c r="AA63" s="544"/>
      <c r="AB63" s="544"/>
      <c r="AC63" s="544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54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200</v>
      </c>
      <c r="Y64" s="543">
        <f>IFERROR(SUM(Y60:Y62),"0")</f>
        <v>205.20000000000002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9">
        <v>4680115885073</v>
      </c>
      <c r="E66" s="55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9">
        <v>4680115885059</v>
      </c>
      <c r="E67" s="55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9">
        <v>4680115885097</v>
      </c>
      <c r="E68" s="55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54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54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9">
        <v>4680115885769</v>
      </c>
      <c r="E72" s="55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0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9">
        <v>4680115884311</v>
      </c>
      <c r="E73" s="55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6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9">
        <v>4680115885929</v>
      </c>
      <c r="E74" s="55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9">
        <v>4680115884403</v>
      </c>
      <c r="E75" s="55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2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54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54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9">
        <v>4680115881532</v>
      </c>
      <c r="E79" s="55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1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9">
        <v>4680115881464</v>
      </c>
      <c r="E80" s="55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2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54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54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6" t="s">
        <v>171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6"/>
      <c r="AB83" s="536"/>
      <c r="AC83" s="536"/>
    </row>
    <row r="84" spans="1:68" ht="14.25" hidden="1" customHeight="1" x14ac:dyDescent="0.25">
      <c r="A84" s="555" t="s">
        <v>101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9">
        <v>4680115881327</v>
      </c>
      <c r="E85" s="55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110</v>
      </c>
      <c r="Y85" s="542">
        <f>IFERROR(IF(X85="",0,CEILING((X85/$H85),1)*$H85),"")</f>
        <v>118.80000000000001</v>
      </c>
      <c r="Z85" s="36">
        <f>IFERROR(IF(Y85=0,"",ROUNDUP(Y85/H85,0)*0.01898),"")</f>
        <v>0.20877999999999999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114.17592592592594</v>
      </c>
      <c r="BN85" s="64">
        <f>IFERROR(Y85*I85/H85,"0")</f>
        <v>123.31000000000002</v>
      </c>
      <c r="BO85" s="64">
        <f>IFERROR(1/J85*(X85/H85),"0")</f>
        <v>0.15914351851851852</v>
      </c>
      <c r="BP85" s="64">
        <f>IFERROR(1/J85*(Y85/H85),"0")</f>
        <v>0.171875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9">
        <v>4680115881518</v>
      </c>
      <c r="E86" s="55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9">
        <v>4680115881303</v>
      </c>
      <c r="E87" s="55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2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54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10.185185185185185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0.20877999999999999</v>
      </c>
      <c r="AA88" s="544"/>
      <c r="AB88" s="544"/>
      <c r="AC88" s="544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54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110</v>
      </c>
      <c r="Y89" s="543">
        <f>IFERROR(SUM(Y85:Y87),"0")</f>
        <v>118.80000000000001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9">
        <v>4607091386967</v>
      </c>
      <c r="E91" s="55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60</v>
      </c>
      <c r="Y91" s="542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63.659259259259258</v>
      </c>
      <c r="BN91" s="64">
        <f>IFERROR(Y91*I91/H91,"0")</f>
        <v>68.751999999999995</v>
      </c>
      <c r="BO91" s="64">
        <f>IFERROR(1/J91*(X91/H91),"0")</f>
        <v>0.11574074074074074</v>
      </c>
      <c r="BP91" s="64">
        <f>IFERROR(1/J91*(Y91/H91),"0")</f>
        <v>0.125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9">
        <v>4680115884953</v>
      </c>
      <c r="E92" s="55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9">
        <v>4607091385731</v>
      </c>
      <c r="E93" s="55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9">
        <v>4680115880894</v>
      </c>
      <c r="E94" s="55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2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54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7.4074074074074074</v>
      </c>
      <c r="Y95" s="543">
        <f>IFERROR(Y91/H91,"0")+IFERROR(Y92/H92,"0")+IFERROR(Y93/H93,"0")+IFERROR(Y94/H94,"0")</f>
        <v>8</v>
      </c>
      <c r="Z95" s="543">
        <f>IFERROR(IF(Z91="",0,Z91),"0")+IFERROR(IF(Z92="",0,Z92),"0")+IFERROR(IF(Z93="",0,Z93),"0")+IFERROR(IF(Z94="",0,Z94),"0")</f>
        <v>0.15184</v>
      </c>
      <c r="AA95" s="544"/>
      <c r="AB95" s="544"/>
      <c r="AC95" s="544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54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60</v>
      </c>
      <c r="Y96" s="543">
        <f>IFERROR(SUM(Y91:Y94),"0")</f>
        <v>64.8</v>
      </c>
      <c r="Z96" s="37"/>
      <c r="AA96" s="544"/>
      <c r="AB96" s="544"/>
      <c r="AC96" s="544"/>
    </row>
    <row r="97" spans="1:68" ht="16.5" hidden="1" customHeight="1" x14ac:dyDescent="0.25">
      <c r="A97" s="556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6"/>
      <c r="AB97" s="536"/>
      <c r="AC97" s="536"/>
    </row>
    <row r="98" spans="1:68" ht="14.25" hidden="1" customHeight="1" x14ac:dyDescent="0.25">
      <c r="A98" s="555" t="s">
        <v>101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9">
        <v>4680115882133</v>
      </c>
      <c r="E99" s="55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9">
        <v>4680115880269</v>
      </c>
      <c r="E100" s="55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9">
        <v>4680115880429</v>
      </c>
      <c r="E101" s="55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9">
        <v>4680115881457</v>
      </c>
      <c r="E102" s="55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2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54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54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9">
        <v>4680115881488</v>
      </c>
      <c r="E106" s="55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9">
        <v>4680115882775</v>
      </c>
      <c r="E107" s="55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9">
        <v>4680115880658</v>
      </c>
      <c r="E108" s="55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2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54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54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9">
        <v>4607091385168</v>
      </c>
      <c r="E112" s="55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9">
        <v>4607091383256</v>
      </c>
      <c r="E113" s="55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9">
        <v>4607091385748</v>
      </c>
      <c r="E114" s="55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9">
        <v>4680115884533</v>
      </c>
      <c r="E115" s="55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69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2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54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12.345679012345679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54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100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9">
        <v>4680115880238</v>
      </c>
      <c r="E119" s="55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2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54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54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6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9">
        <v>4680115882577</v>
      </c>
      <c r="E124" s="55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9">
        <v>4680115882577</v>
      </c>
      <c r="E125" s="55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2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4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54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9">
        <v>4680115883444</v>
      </c>
      <c r="E129" s="55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9">
        <v>4680115883444</v>
      </c>
      <c r="E130" s="55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2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54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54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9">
        <v>4680115882584</v>
      </c>
      <c r="E134" s="55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9">
        <v>4680115882584</v>
      </c>
      <c r="E135" s="55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2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54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54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6" t="s">
        <v>99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9">
        <v>4680115887374</v>
      </c>
      <c r="E140" s="55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9">
        <v>4607091384604</v>
      </c>
      <c r="E141" s="55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2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4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54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9">
        <v>4607091387667</v>
      </c>
      <c r="E145" s="55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9">
        <v>4607091387636</v>
      </c>
      <c r="E146" s="55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9">
        <v>4607091382426</v>
      </c>
      <c r="E147" s="55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2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54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54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9">
        <v>4680115887459</v>
      </c>
      <c r="E151" s="55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1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2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54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54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7" t="s">
        <v>251</v>
      </c>
      <c r="B154" s="638"/>
      <c r="C154" s="638"/>
      <c r="D154" s="638"/>
      <c r="E154" s="638"/>
      <c r="F154" s="638"/>
      <c r="G154" s="638"/>
      <c r="H154" s="638"/>
      <c r="I154" s="638"/>
      <c r="J154" s="638"/>
      <c r="K154" s="638"/>
      <c r="L154" s="638"/>
      <c r="M154" s="638"/>
      <c r="N154" s="638"/>
      <c r="O154" s="638"/>
      <c r="P154" s="638"/>
      <c r="Q154" s="638"/>
      <c r="R154" s="638"/>
      <c r="S154" s="638"/>
      <c r="T154" s="638"/>
      <c r="U154" s="638"/>
      <c r="V154" s="638"/>
      <c r="W154" s="638"/>
      <c r="X154" s="638"/>
      <c r="Y154" s="638"/>
      <c r="Z154" s="638"/>
      <c r="AA154" s="48"/>
      <c r="AB154" s="48"/>
      <c r="AC154" s="48"/>
    </row>
    <row r="155" spans="1:68" ht="16.5" hidden="1" customHeight="1" x14ac:dyDescent="0.25">
      <c r="A155" s="556" t="s">
        <v>252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49">
        <v>4680115886223</v>
      </c>
      <c r="E157" s="55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2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54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54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49">
        <v>4680115880993</v>
      </c>
      <c r="E161" s="55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49">
        <v>4680115881761</v>
      </c>
      <c r="E162" s="55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49">
        <v>4680115881563</v>
      </c>
      <c r="E163" s="55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49">
        <v>4680115880986</v>
      </c>
      <c r="E164" s="55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49">
        <v>4680115887213</v>
      </c>
      <c r="E165" s="55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9">
        <v>4680115881785</v>
      </c>
      <c r="E166" s="55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9">
        <v>4680115886537</v>
      </c>
      <c r="E167" s="55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9">
        <v>4680115881679</v>
      </c>
      <c r="E168" s="55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9">
        <v>4680115880191</v>
      </c>
      <c r="E169" s="55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9">
        <v>4680115883963</v>
      </c>
      <c r="E170" s="55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2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54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54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9">
        <v>4680115886780</v>
      </c>
      <c r="E174" s="55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9">
        <v>4680115886742</v>
      </c>
      <c r="E175" s="55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9">
        <v>4680115886766</v>
      </c>
      <c r="E176" s="55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2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54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54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9">
        <v>4680115886797</v>
      </c>
      <c r="E180" s="55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2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54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54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6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9">
        <v>4680115881402</v>
      </c>
      <c r="E185" s="55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9">
        <v>4680115881396</v>
      </c>
      <c r="E186" s="55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2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54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54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9">
        <v>4680115882935</v>
      </c>
      <c r="E190" s="55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9">
        <v>4680115880764</v>
      </c>
      <c r="E191" s="55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2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54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54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9">
        <v>4680115882683</v>
      </c>
      <c r="E195" s="55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9">
        <v>4680115882690</v>
      </c>
      <c r="E196" s="55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9">
        <v>4680115882669</v>
      </c>
      <c r="E197" s="55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9">
        <v>4680115882676</v>
      </c>
      <c r="E198" s="55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9">
        <v>4680115884014</v>
      </c>
      <c r="E199" s="55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9">
        <v>4680115884007</v>
      </c>
      <c r="E200" s="55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9">
        <v>4680115884038</v>
      </c>
      <c r="E201" s="55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9">
        <v>4680115884021</v>
      </c>
      <c r="E202" s="55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2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54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54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9">
        <v>4680115881594</v>
      </c>
      <c r="E206" s="55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9">
        <v>4680115881617</v>
      </c>
      <c r="E207" s="55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9">
        <v>4680115880573</v>
      </c>
      <c r="E208" s="55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9">
        <v>4680115882195</v>
      </c>
      <c r="E209" s="55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9">
        <v>4680115882607</v>
      </c>
      <c r="E210" s="55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4301051666</v>
      </c>
      <c r="D211" s="549">
        <v>4680115880092</v>
      </c>
      <c r="E211" s="55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9">
        <v>4680115880221</v>
      </c>
      <c r="E212" s="55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49">
        <v>4680115880504</v>
      </c>
      <c r="E213" s="55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49">
        <v>4680115882164</v>
      </c>
      <c r="E214" s="55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2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54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54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49">
        <v>4680115880818</v>
      </c>
      <c r="E218" s="55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49">
        <v>4680115880801</v>
      </c>
      <c r="E219" s="55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2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54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54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6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49">
        <v>4680115884137</v>
      </c>
      <c r="E224" s="55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9">
        <v>4680115884236</v>
      </c>
      <c r="E225" s="55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49">
        <v>4680115884175</v>
      </c>
      <c r="E226" s="55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49">
        <v>4680115884144</v>
      </c>
      <c r="E227" s="55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9">
        <v>4680115884144</v>
      </c>
      <c r="E228" s="55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9">
        <v>4680115886551</v>
      </c>
      <c r="E229" s="55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9">
        <v>4680115884182</v>
      </c>
      <c r="E230" s="55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9">
        <v>4680115887282</v>
      </c>
      <c r="E231" s="55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49">
        <v>4680115884205</v>
      </c>
      <c r="E232" s="55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9">
        <v>4680115884205</v>
      </c>
      <c r="E233" s="55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2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54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54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49">
        <v>4680115885981</v>
      </c>
      <c r="E237" s="55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2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54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54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49">
        <v>4680115886803</v>
      </c>
      <c r="E241" s="55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2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54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54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9">
        <v>4680115886704</v>
      </c>
      <c r="E245" s="55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49">
        <v>4680115886681</v>
      </c>
      <c r="E246" s="55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49">
        <v>4680115886735</v>
      </c>
      <c r="E247" s="55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1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9">
        <v>4680115886728</v>
      </c>
      <c r="E248" s="55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9">
        <v>4680115886711</v>
      </c>
      <c r="E249" s="55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2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54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54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6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9">
        <v>4680115885837</v>
      </c>
      <c r="E254" s="55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9">
        <v>4680115885851</v>
      </c>
      <c r="E255" s="55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9">
        <v>4680115885806</v>
      </c>
      <c r="E256" s="55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9">
        <v>4680115885844</v>
      </c>
      <c r="E257" s="55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9">
        <v>4680115885820</v>
      </c>
      <c r="E258" s="55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2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54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4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6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9">
        <v>4607091383423</v>
      </c>
      <c r="E263" s="55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49">
        <v>4680115886957</v>
      </c>
      <c r="E264" s="55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9">
        <v>4680115885660</v>
      </c>
      <c r="E265" s="55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9">
        <v>4680115886773</v>
      </c>
      <c r="E266" s="55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2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54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54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6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9">
        <v>4680115886186</v>
      </c>
      <c r="E271" s="55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49">
        <v>4680115881228</v>
      </c>
      <c r="E272" s="55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49">
        <v>4680115881211</v>
      </c>
      <c r="E273" s="55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2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54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54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6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9">
        <v>4680115880344</v>
      </c>
      <c r="E278" s="55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49">
        <v>4680115886919</v>
      </c>
      <c r="E279" s="55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2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54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54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9">
        <v>4680115884618</v>
      </c>
      <c r="E283" s="55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49">
        <v>4680115887114</v>
      </c>
      <c r="E284" s="55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0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54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4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6" t="s">
        <v>448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49">
        <v>4607091386004</v>
      </c>
      <c r="E289" s="55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56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49">
        <v>4680115885615</v>
      </c>
      <c r="E290" s="55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49">
        <v>4680115885646</v>
      </c>
      <c r="E291" s="55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9">
        <v>4680115885554</v>
      </c>
      <c r="E292" s="55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280</v>
      </c>
      <c r="Y292" s="542">
        <f t="shared" si="26"/>
        <v>280.8</v>
      </c>
      <c r="Z292" s="36">
        <f>IFERROR(IF(Y292=0,"",ROUNDUP(Y292/H292,0)*0.01898),"")</f>
        <v>0.49348000000000003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290.62962962962962</v>
      </c>
      <c r="BN292" s="64">
        <f t="shared" si="28"/>
        <v>291.46000000000004</v>
      </c>
      <c r="BO292" s="64">
        <f t="shared" si="29"/>
        <v>0.40509259259259256</v>
      </c>
      <c r="BP292" s="64">
        <f t="shared" si="30"/>
        <v>0.40625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49">
        <v>4680115885622</v>
      </c>
      <c r="E293" s="55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49">
        <v>4680115885608</v>
      </c>
      <c r="E294" s="55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2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4"/>
      <c r="P295" s="557" t="s">
        <v>71</v>
      </c>
      <c r="Q295" s="558"/>
      <c r="R295" s="558"/>
      <c r="S295" s="558"/>
      <c r="T295" s="558"/>
      <c r="U295" s="558"/>
      <c r="V295" s="559"/>
      <c r="W295" s="37" t="s">
        <v>72</v>
      </c>
      <c r="X295" s="543">
        <f>IFERROR(X289/H289,"0")+IFERROR(X290/H290,"0")+IFERROR(X291/H291,"0")+IFERROR(X292/H292,"0")+IFERROR(X293/H293,"0")+IFERROR(X294/H294,"0")</f>
        <v>25.925925925925924</v>
      </c>
      <c r="Y295" s="543">
        <f>IFERROR(Y289/H289,"0")+IFERROR(Y290/H290,"0")+IFERROR(Y291/H291,"0")+IFERROR(Y292/H292,"0")+IFERROR(Y293/H293,"0")+IFERROR(Y294/H294,"0")</f>
        <v>26</v>
      </c>
      <c r="Z295" s="543">
        <f>IFERROR(IF(Z289="",0,Z289),"0")+IFERROR(IF(Z290="",0,Z290),"0")+IFERROR(IF(Z291="",0,Z291),"0")+IFERROR(IF(Z292="",0,Z292),"0")+IFERROR(IF(Z293="",0,Z293),"0")+IFERROR(IF(Z294="",0,Z294),"0")</f>
        <v>0.49348000000000003</v>
      </c>
      <c r="AA295" s="544"/>
      <c r="AB295" s="544"/>
      <c r="AC295" s="544"/>
    </row>
    <row r="296" spans="1:68" x14ac:dyDescent="0.2">
      <c r="A296" s="553"/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4"/>
      <c r="P296" s="557" t="s">
        <v>71</v>
      </c>
      <c r="Q296" s="558"/>
      <c r="R296" s="558"/>
      <c r="S296" s="558"/>
      <c r="T296" s="558"/>
      <c r="U296" s="558"/>
      <c r="V296" s="559"/>
      <c r="W296" s="37" t="s">
        <v>69</v>
      </c>
      <c r="X296" s="543">
        <f>IFERROR(SUM(X289:X294),"0")</f>
        <v>280</v>
      </c>
      <c r="Y296" s="543">
        <f>IFERROR(SUM(Y289:Y294),"0")</f>
        <v>280.8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3"/>
      <c r="C297" s="553"/>
      <c r="D297" s="553"/>
      <c r="E297" s="553"/>
      <c r="F297" s="553"/>
      <c r="G297" s="553"/>
      <c r="H297" s="553"/>
      <c r="I297" s="553"/>
      <c r="J297" s="553"/>
      <c r="K297" s="553"/>
      <c r="L297" s="553"/>
      <c r="M297" s="553"/>
      <c r="N297" s="553"/>
      <c r="O297" s="553"/>
      <c r="P297" s="553"/>
      <c r="Q297" s="553"/>
      <c r="R297" s="553"/>
      <c r="S297" s="553"/>
      <c r="T297" s="553"/>
      <c r="U297" s="553"/>
      <c r="V297" s="553"/>
      <c r="W297" s="553"/>
      <c r="X297" s="553"/>
      <c r="Y297" s="553"/>
      <c r="Z297" s="553"/>
      <c r="AA297" s="535"/>
      <c r="AB297" s="535"/>
      <c r="AC297" s="535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9">
        <v>4607091387193</v>
      </c>
      <c r="E298" s="55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50</v>
      </c>
      <c r="Y298" s="542">
        <f t="shared" ref="Y298:Y304" si="31">IFERROR(IF(X298="",0,CEILING((X298/$H298),1)*$H298),"")</f>
        <v>50.400000000000006</v>
      </c>
      <c r="Z298" s="36">
        <f>IFERROR(IF(Y298=0,"",ROUNDUP(Y298/H298,0)*0.00902),"")</f>
        <v>0.10824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52.976190476190474</v>
      </c>
      <c r="BN298" s="64">
        <f t="shared" ref="BN298:BN304" si="33">IFERROR(Y298*I298/H298,"0")</f>
        <v>53.400000000000006</v>
      </c>
      <c r="BO298" s="64">
        <f t="shared" ref="BO298:BO304" si="34">IFERROR(1/J298*(X298/H298),"0")</f>
        <v>9.0187590187590191E-2</v>
      </c>
      <c r="BP298" s="64">
        <f t="shared" ref="BP298:BP304" si="35">IFERROR(1/J298*(Y298/H298),"0")</f>
        <v>9.0909090909090912E-2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9">
        <v>4607091387230</v>
      </c>
      <c r="E299" s="55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100</v>
      </c>
      <c r="Y299" s="542">
        <f t="shared" si="31"/>
        <v>100.80000000000001</v>
      </c>
      <c r="Z299" s="36">
        <f>IFERROR(IF(Y299=0,"",ROUNDUP(Y299/H299,0)*0.00902),"")</f>
        <v>0.21648000000000001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105.95238095238095</v>
      </c>
      <c r="BN299" s="64">
        <f t="shared" si="33"/>
        <v>106.80000000000001</v>
      </c>
      <c r="BO299" s="64">
        <f t="shared" si="34"/>
        <v>0.18037518037518038</v>
      </c>
      <c r="BP299" s="64">
        <f t="shared" si="35"/>
        <v>0.18181818181818182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49">
        <v>4607091387292</v>
      </c>
      <c r="E300" s="55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49">
        <v>4607091387285</v>
      </c>
      <c r="E301" s="55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8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49">
        <v>4607091389845</v>
      </c>
      <c r="E302" s="55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49">
        <v>4680115882881</v>
      </c>
      <c r="E303" s="55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49">
        <v>4607091383836</v>
      </c>
      <c r="E304" s="55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2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4"/>
      <c r="P305" s="557" t="s">
        <v>71</v>
      </c>
      <c r="Q305" s="558"/>
      <c r="R305" s="558"/>
      <c r="S305" s="558"/>
      <c r="T305" s="558"/>
      <c r="U305" s="558"/>
      <c r="V305" s="55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35.714285714285715</v>
      </c>
      <c r="Y305" s="543">
        <f>IFERROR(Y298/H298,"0")+IFERROR(Y299/H299,"0")+IFERROR(Y300/H300,"0")+IFERROR(Y301/H301,"0")+IFERROR(Y302/H302,"0")+IFERROR(Y303/H303,"0")+IFERROR(Y304/H304,"0")</f>
        <v>36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0.32472000000000001</v>
      </c>
      <c r="AA305" s="544"/>
      <c r="AB305" s="544"/>
      <c r="AC305" s="544"/>
    </row>
    <row r="306" spans="1:68" x14ac:dyDescent="0.2">
      <c r="A306" s="553"/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4"/>
      <c r="P306" s="557" t="s">
        <v>71</v>
      </c>
      <c r="Q306" s="558"/>
      <c r="R306" s="558"/>
      <c r="S306" s="558"/>
      <c r="T306" s="558"/>
      <c r="U306" s="558"/>
      <c r="V306" s="559"/>
      <c r="W306" s="37" t="s">
        <v>69</v>
      </c>
      <c r="X306" s="543">
        <f>IFERROR(SUM(X298:X304),"0")</f>
        <v>150</v>
      </c>
      <c r="Y306" s="543">
        <f>IFERROR(SUM(Y298:Y304),"0")</f>
        <v>151.20000000000002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3"/>
      <c r="C307" s="553"/>
      <c r="D307" s="553"/>
      <c r="E307" s="553"/>
      <c r="F307" s="553"/>
      <c r="G307" s="553"/>
      <c r="H307" s="553"/>
      <c r="I307" s="553"/>
      <c r="J307" s="553"/>
      <c r="K307" s="553"/>
      <c r="L307" s="553"/>
      <c r="M307" s="553"/>
      <c r="N307" s="553"/>
      <c r="O307" s="553"/>
      <c r="P307" s="553"/>
      <c r="Q307" s="553"/>
      <c r="R307" s="553"/>
      <c r="S307" s="553"/>
      <c r="T307" s="553"/>
      <c r="U307" s="553"/>
      <c r="V307" s="553"/>
      <c r="W307" s="553"/>
      <c r="X307" s="553"/>
      <c r="Y307" s="553"/>
      <c r="Z307" s="553"/>
      <c r="AA307" s="535"/>
      <c r="AB307" s="535"/>
      <c r="AC307" s="535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9">
        <v>4607091387766</v>
      </c>
      <c r="E308" s="55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1100</v>
      </c>
      <c r="Y308" s="542">
        <f>IFERROR(IF(X308="",0,CEILING((X308/$H308),1)*$H308),"")</f>
        <v>1107.5999999999999</v>
      </c>
      <c r="Z308" s="36">
        <f>IFERROR(IF(Y308=0,"",ROUNDUP(Y308/H308,0)*0.01898),"")</f>
        <v>2.69516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1168.8205128205129</v>
      </c>
      <c r="BN308" s="64">
        <f>IFERROR(Y308*I308/H308,"0")</f>
        <v>1176.896</v>
      </c>
      <c r="BO308" s="64">
        <f>IFERROR(1/J308*(X308/H308),"0")</f>
        <v>2.203525641025641</v>
      </c>
      <c r="BP308" s="64">
        <f>IFERROR(1/J308*(Y308/H308),"0")</f>
        <v>2.21875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49">
        <v>4607091387957</v>
      </c>
      <c r="E309" s="55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49">
        <v>4607091387964</v>
      </c>
      <c r="E310" s="55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49">
        <v>4680115884588</v>
      </c>
      <c r="E311" s="55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2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54"/>
      <c r="P312" s="557" t="s">
        <v>71</v>
      </c>
      <c r="Q312" s="558"/>
      <c r="R312" s="558"/>
      <c r="S312" s="558"/>
      <c r="T312" s="558"/>
      <c r="U312" s="558"/>
      <c r="V312" s="559"/>
      <c r="W312" s="37" t="s">
        <v>72</v>
      </c>
      <c r="X312" s="543">
        <f>IFERROR(X308/H308,"0")+IFERROR(X309/H309,"0")+IFERROR(X310/H310,"0")+IFERROR(X311/H311,"0")</f>
        <v>141.02564102564102</v>
      </c>
      <c r="Y312" s="543">
        <f>IFERROR(Y308/H308,"0")+IFERROR(Y309/H309,"0")+IFERROR(Y310/H310,"0")+IFERROR(Y311/H311,"0")</f>
        <v>142</v>
      </c>
      <c r="Z312" s="543">
        <f>IFERROR(IF(Z308="",0,Z308),"0")+IFERROR(IF(Z309="",0,Z309),"0")+IFERROR(IF(Z310="",0,Z310),"0")+IFERROR(IF(Z311="",0,Z311),"0")</f>
        <v>2.69516</v>
      </c>
      <c r="AA312" s="544"/>
      <c r="AB312" s="544"/>
      <c r="AC312" s="544"/>
    </row>
    <row r="313" spans="1:68" x14ac:dyDescent="0.2">
      <c r="A313" s="553"/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4"/>
      <c r="P313" s="557" t="s">
        <v>71</v>
      </c>
      <c r="Q313" s="558"/>
      <c r="R313" s="558"/>
      <c r="S313" s="558"/>
      <c r="T313" s="558"/>
      <c r="U313" s="558"/>
      <c r="V313" s="559"/>
      <c r="W313" s="37" t="s">
        <v>69</v>
      </c>
      <c r="X313" s="543">
        <f>IFERROR(SUM(X308:X311),"0")</f>
        <v>1100</v>
      </c>
      <c r="Y313" s="543">
        <f>IFERROR(SUM(Y308:Y311),"0")</f>
        <v>1107.5999999999999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3"/>
      <c r="C314" s="553"/>
      <c r="D314" s="553"/>
      <c r="E314" s="553"/>
      <c r="F314" s="553"/>
      <c r="G314" s="553"/>
      <c r="H314" s="553"/>
      <c r="I314" s="553"/>
      <c r="J314" s="553"/>
      <c r="K314" s="553"/>
      <c r="L314" s="553"/>
      <c r="M314" s="553"/>
      <c r="N314" s="553"/>
      <c r="O314" s="553"/>
      <c r="P314" s="553"/>
      <c r="Q314" s="553"/>
      <c r="R314" s="553"/>
      <c r="S314" s="553"/>
      <c r="T314" s="553"/>
      <c r="U314" s="553"/>
      <c r="V314" s="553"/>
      <c r="W314" s="553"/>
      <c r="X314" s="553"/>
      <c r="Y314" s="553"/>
      <c r="Z314" s="553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9">
        <v>4607091380880</v>
      </c>
      <c r="E315" s="55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6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49">
        <v>4607091384482</v>
      </c>
      <c r="E316" s="55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49">
        <v>4607091380897</v>
      </c>
      <c r="E317" s="55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2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54"/>
      <c r="P318" s="557" t="s">
        <v>71</v>
      </c>
      <c r="Q318" s="558"/>
      <c r="R318" s="558"/>
      <c r="S318" s="558"/>
      <c r="T318" s="558"/>
      <c r="U318" s="558"/>
      <c r="V318" s="559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3"/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4"/>
      <c r="P319" s="557" t="s">
        <v>71</v>
      </c>
      <c r="Q319" s="558"/>
      <c r="R319" s="558"/>
      <c r="S319" s="558"/>
      <c r="T319" s="558"/>
      <c r="U319" s="558"/>
      <c r="V319" s="559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3"/>
      <c r="C320" s="553"/>
      <c r="D320" s="553"/>
      <c r="E320" s="553"/>
      <c r="F320" s="553"/>
      <c r="G320" s="553"/>
      <c r="H320" s="553"/>
      <c r="I320" s="553"/>
      <c r="J320" s="553"/>
      <c r="K320" s="553"/>
      <c r="L320" s="553"/>
      <c r="M320" s="553"/>
      <c r="N320" s="553"/>
      <c r="O320" s="553"/>
      <c r="P320" s="553"/>
      <c r="Q320" s="553"/>
      <c r="R320" s="553"/>
      <c r="S320" s="553"/>
      <c r="T320" s="553"/>
      <c r="U320" s="553"/>
      <c r="V320" s="553"/>
      <c r="W320" s="553"/>
      <c r="X320" s="553"/>
      <c r="Y320" s="553"/>
      <c r="Z320" s="553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9">
        <v>4607091388381</v>
      </c>
      <c r="E321" s="55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6</v>
      </c>
      <c r="Y321" s="542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6.5328947368421053</v>
      </c>
      <c r="BN321" s="64">
        <f>IFERROR(Y321*I321/H321,"0")</f>
        <v>6.62</v>
      </c>
      <c r="BO321" s="64">
        <f>IFERROR(1/J321*(X321/H321),"0")</f>
        <v>1.4952153110047847E-2</v>
      </c>
      <c r="BP321" s="64">
        <f>IFERROR(1/J321*(Y321/H321),"0")</f>
        <v>1.5151515151515152E-2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9">
        <v>4607091388374</v>
      </c>
      <c r="E322" s="55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49">
        <v>4607091383102</v>
      </c>
      <c r="E323" s="55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49">
        <v>4607091388404</v>
      </c>
      <c r="E324" s="55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2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54"/>
      <c r="P325" s="557" t="s">
        <v>71</v>
      </c>
      <c r="Q325" s="558"/>
      <c r="R325" s="558"/>
      <c r="S325" s="558"/>
      <c r="T325" s="558"/>
      <c r="U325" s="558"/>
      <c r="V325" s="559"/>
      <c r="W325" s="37" t="s">
        <v>72</v>
      </c>
      <c r="X325" s="543">
        <f>IFERROR(X321/H321,"0")+IFERROR(X322/H322,"0")+IFERROR(X323/H323,"0")+IFERROR(X324/H324,"0")</f>
        <v>1.9736842105263157</v>
      </c>
      <c r="Y325" s="543">
        <f>IFERROR(Y321/H321,"0")+IFERROR(Y322/H322,"0")+IFERROR(Y323/H323,"0")+IFERROR(Y324/H324,"0")</f>
        <v>2</v>
      </c>
      <c r="Z325" s="543">
        <f>IFERROR(IF(Z321="",0,Z321),"0")+IFERROR(IF(Z322="",0,Z322),"0")+IFERROR(IF(Z323="",0,Z323),"0")+IFERROR(IF(Z324="",0,Z324),"0")</f>
        <v>1.804E-2</v>
      </c>
      <c r="AA325" s="544"/>
      <c r="AB325" s="544"/>
      <c r="AC325" s="544"/>
    </row>
    <row r="326" spans="1:68" x14ac:dyDescent="0.2">
      <c r="A326" s="553"/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4"/>
      <c r="P326" s="557" t="s">
        <v>71</v>
      </c>
      <c r="Q326" s="558"/>
      <c r="R326" s="558"/>
      <c r="S326" s="558"/>
      <c r="T326" s="558"/>
      <c r="U326" s="558"/>
      <c r="V326" s="559"/>
      <c r="W326" s="37" t="s">
        <v>69</v>
      </c>
      <c r="X326" s="543">
        <f>IFERROR(SUM(X321:X324),"0")</f>
        <v>6</v>
      </c>
      <c r="Y326" s="543">
        <f>IFERROR(SUM(Y321:Y324),"0")</f>
        <v>6.08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3"/>
      <c r="C327" s="553"/>
      <c r="D327" s="553"/>
      <c r="E327" s="553"/>
      <c r="F327" s="553"/>
      <c r="G327" s="553"/>
      <c r="H327" s="553"/>
      <c r="I327" s="553"/>
      <c r="J327" s="553"/>
      <c r="K327" s="553"/>
      <c r="L327" s="553"/>
      <c r="M327" s="553"/>
      <c r="N327" s="553"/>
      <c r="O327" s="553"/>
      <c r="P327" s="553"/>
      <c r="Q327" s="553"/>
      <c r="R327" s="553"/>
      <c r="S327" s="553"/>
      <c r="T327" s="553"/>
      <c r="U327" s="553"/>
      <c r="V327" s="553"/>
      <c r="W327" s="553"/>
      <c r="X327" s="553"/>
      <c r="Y327" s="553"/>
      <c r="Z327" s="553"/>
      <c r="AA327" s="535"/>
      <c r="AB327" s="535"/>
      <c r="AC327" s="535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49">
        <v>4680115881808</v>
      </c>
      <c r="E328" s="55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7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49">
        <v>4680115881822</v>
      </c>
      <c r="E329" s="55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49">
        <v>4680115880016</v>
      </c>
      <c r="E330" s="55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54"/>
      <c r="P331" s="557" t="s">
        <v>71</v>
      </c>
      <c r="Q331" s="558"/>
      <c r="R331" s="558"/>
      <c r="S331" s="558"/>
      <c r="T331" s="558"/>
      <c r="U331" s="558"/>
      <c r="V331" s="55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3"/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4"/>
      <c r="P332" s="557" t="s">
        <v>71</v>
      </c>
      <c r="Q332" s="558"/>
      <c r="R332" s="558"/>
      <c r="S332" s="558"/>
      <c r="T332" s="558"/>
      <c r="U332" s="558"/>
      <c r="V332" s="55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6" t="s">
        <v>525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3"/>
      <c r="C334" s="553"/>
      <c r="D334" s="553"/>
      <c r="E334" s="553"/>
      <c r="F334" s="553"/>
      <c r="G334" s="553"/>
      <c r="H334" s="553"/>
      <c r="I334" s="553"/>
      <c r="J334" s="553"/>
      <c r="K334" s="553"/>
      <c r="L334" s="553"/>
      <c r="M334" s="553"/>
      <c r="N334" s="553"/>
      <c r="O334" s="553"/>
      <c r="P334" s="553"/>
      <c r="Q334" s="553"/>
      <c r="R334" s="553"/>
      <c r="S334" s="553"/>
      <c r="T334" s="553"/>
      <c r="U334" s="553"/>
      <c r="V334" s="553"/>
      <c r="W334" s="553"/>
      <c r="X334" s="553"/>
      <c r="Y334" s="553"/>
      <c r="Z334" s="553"/>
      <c r="AA334" s="535"/>
      <c r="AB334" s="535"/>
      <c r="AC334" s="535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9">
        <v>4607091387919</v>
      </c>
      <c r="E335" s="55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50</v>
      </c>
      <c r="Y335" s="542">
        <f>IFERROR(IF(X335="",0,CEILING((X335/$H335),1)*$H335),"")</f>
        <v>56.699999999999996</v>
      </c>
      <c r="Z335" s="36">
        <f>IFERROR(IF(Y335=0,"",ROUNDUP(Y335/H335,0)*0.01898),"")</f>
        <v>0.13286000000000001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53.049382716049386</v>
      </c>
      <c r="BN335" s="64">
        <f>IFERROR(Y335*I335/H335,"0")</f>
        <v>60.157999999999994</v>
      </c>
      <c r="BO335" s="64">
        <f>IFERROR(1/J335*(X335/H335),"0")</f>
        <v>9.6450617283950615E-2</v>
      </c>
      <c r="BP335" s="64">
        <f>IFERROR(1/J335*(Y335/H335),"0")</f>
        <v>0.109375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49">
        <v>4680115883604</v>
      </c>
      <c r="E336" s="55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49">
        <v>4680115883567</v>
      </c>
      <c r="E337" s="55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5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2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54"/>
      <c r="P338" s="557" t="s">
        <v>71</v>
      </c>
      <c r="Q338" s="558"/>
      <c r="R338" s="558"/>
      <c r="S338" s="558"/>
      <c r="T338" s="558"/>
      <c r="U338" s="558"/>
      <c r="V338" s="559"/>
      <c r="W338" s="37" t="s">
        <v>72</v>
      </c>
      <c r="X338" s="543">
        <f>IFERROR(X335/H335,"0")+IFERROR(X336/H336,"0")+IFERROR(X337/H337,"0")</f>
        <v>6.1728395061728394</v>
      </c>
      <c r="Y338" s="543">
        <f>IFERROR(Y335/H335,"0")+IFERROR(Y336/H336,"0")+IFERROR(Y337/H337,"0")</f>
        <v>7</v>
      </c>
      <c r="Z338" s="543">
        <f>IFERROR(IF(Z335="",0,Z335),"0")+IFERROR(IF(Z336="",0,Z336),"0")+IFERROR(IF(Z337="",0,Z337),"0")</f>
        <v>0.13286000000000001</v>
      </c>
      <c r="AA338" s="544"/>
      <c r="AB338" s="544"/>
      <c r="AC338" s="544"/>
    </row>
    <row r="339" spans="1:68" x14ac:dyDescent="0.2">
      <c r="A339" s="553"/>
      <c r="B339" s="553"/>
      <c r="C339" s="553"/>
      <c r="D339" s="553"/>
      <c r="E339" s="553"/>
      <c r="F339" s="553"/>
      <c r="G339" s="553"/>
      <c r="H339" s="553"/>
      <c r="I339" s="553"/>
      <c r="J339" s="553"/>
      <c r="K339" s="553"/>
      <c r="L339" s="553"/>
      <c r="M339" s="553"/>
      <c r="N339" s="553"/>
      <c r="O339" s="554"/>
      <c r="P339" s="557" t="s">
        <v>71</v>
      </c>
      <c r="Q339" s="558"/>
      <c r="R339" s="558"/>
      <c r="S339" s="558"/>
      <c r="T339" s="558"/>
      <c r="U339" s="558"/>
      <c r="V339" s="559"/>
      <c r="W339" s="37" t="s">
        <v>69</v>
      </c>
      <c r="X339" s="543">
        <f>IFERROR(SUM(X335:X337),"0")</f>
        <v>50</v>
      </c>
      <c r="Y339" s="543">
        <f>IFERROR(SUM(Y335:Y337),"0")</f>
        <v>56.699999999999996</v>
      </c>
      <c r="Z339" s="37"/>
      <c r="AA339" s="544"/>
      <c r="AB339" s="544"/>
      <c r="AC339" s="544"/>
    </row>
    <row r="340" spans="1:68" ht="27.75" hidden="1" customHeight="1" x14ac:dyDescent="0.2">
      <c r="A340" s="637" t="s">
        <v>535</v>
      </c>
      <c r="B340" s="63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48"/>
      <c r="AB340" s="48"/>
      <c r="AC340" s="48"/>
    </row>
    <row r="341" spans="1:68" ht="16.5" hidden="1" customHeight="1" x14ac:dyDescent="0.25">
      <c r="A341" s="556" t="s">
        <v>536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3"/>
      <c r="C342" s="553"/>
      <c r="D342" s="553"/>
      <c r="E342" s="553"/>
      <c r="F342" s="553"/>
      <c r="G342" s="553"/>
      <c r="H342" s="553"/>
      <c r="I342" s="553"/>
      <c r="J342" s="553"/>
      <c r="K342" s="553"/>
      <c r="L342" s="553"/>
      <c r="M342" s="553"/>
      <c r="N342" s="553"/>
      <c r="O342" s="553"/>
      <c r="P342" s="553"/>
      <c r="Q342" s="553"/>
      <c r="R342" s="553"/>
      <c r="S342" s="553"/>
      <c r="T342" s="553"/>
      <c r="U342" s="553"/>
      <c r="V342" s="553"/>
      <c r="W342" s="553"/>
      <c r="X342" s="553"/>
      <c r="Y342" s="553"/>
      <c r="Z342" s="553"/>
      <c r="AA342" s="535"/>
      <c r="AB342" s="535"/>
      <c r="AC342" s="535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9">
        <v>4680115884847</v>
      </c>
      <c r="E343" s="55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60</v>
      </c>
      <c r="Y343" s="542">
        <f t="shared" ref="Y343:Y349" si="36">IFERROR(IF(X343="",0,CEILING((X343/$H343),1)*$H343),"")</f>
        <v>60</v>
      </c>
      <c r="Z343" s="36">
        <f>IFERROR(IF(Y343=0,"",ROUNDUP(Y343/H343,0)*0.02175),"")</f>
        <v>8.6999999999999994E-2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61.88</v>
      </c>
      <c r="BN343" s="64">
        <f t="shared" ref="BN343:BN349" si="38">IFERROR(Y343*I343/H343,"0")</f>
        <v>61.88</v>
      </c>
      <c r="BO343" s="64">
        <f t="shared" ref="BO343:BO349" si="39">IFERROR(1/J343*(X343/H343),"0")</f>
        <v>8.3333333333333329E-2</v>
      </c>
      <c r="BP343" s="64">
        <f t="shared" ref="BP343:BP349" si="40">IFERROR(1/J343*(Y343/H343),"0")</f>
        <v>8.3333333333333329E-2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9">
        <v>4680115884854</v>
      </c>
      <c r="E344" s="55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30</v>
      </c>
      <c r="Y344" s="542">
        <f t="shared" si="36"/>
        <v>30</v>
      </c>
      <c r="Z344" s="36">
        <f>IFERROR(IF(Y344=0,"",ROUNDUP(Y344/H344,0)*0.02175),"")</f>
        <v>4.3499999999999997E-2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30.94</v>
      </c>
      <c r="BN344" s="64">
        <f t="shared" si="38"/>
        <v>30.94</v>
      </c>
      <c r="BO344" s="64">
        <f t="shared" si="39"/>
        <v>4.1666666666666664E-2</v>
      </c>
      <c r="BP344" s="64">
        <f t="shared" si="40"/>
        <v>4.1666666666666664E-2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49">
        <v>4680115884830</v>
      </c>
      <c r="E345" s="55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9">
        <v>4680115887046</v>
      </c>
      <c r="E346" s="55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600</v>
      </c>
      <c r="Y346" s="542">
        <f t="shared" si="36"/>
        <v>600</v>
      </c>
      <c r="Z346" s="36">
        <f>IFERROR(IF(Y346=0,"",ROUNDUP(Y346/H346,0)*0.02175),"")</f>
        <v>0.86999999999999988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618.79999999999995</v>
      </c>
      <c r="BN346" s="64">
        <f t="shared" si="38"/>
        <v>618.79999999999995</v>
      </c>
      <c r="BO346" s="64">
        <f t="shared" si="39"/>
        <v>0.83333333333333326</v>
      </c>
      <c r="BP346" s="64">
        <f t="shared" si="40"/>
        <v>0.83333333333333326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49">
        <v>4680115882638</v>
      </c>
      <c r="E347" s="55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49">
        <v>4680115884922</v>
      </c>
      <c r="E348" s="55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49">
        <v>4680115884861</v>
      </c>
      <c r="E349" s="55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2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54"/>
      <c r="P350" s="557" t="s">
        <v>71</v>
      </c>
      <c r="Q350" s="558"/>
      <c r="R350" s="558"/>
      <c r="S350" s="558"/>
      <c r="T350" s="558"/>
      <c r="U350" s="558"/>
      <c r="V350" s="55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46</v>
      </c>
      <c r="Y350" s="543">
        <f>IFERROR(Y343/H343,"0")+IFERROR(Y344/H344,"0")+IFERROR(Y345/H345,"0")+IFERROR(Y346/H346,"0")+IFERROR(Y347/H347,"0")+IFERROR(Y348/H348,"0")+IFERROR(Y349/H349,"0")</f>
        <v>46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1.0004999999999999</v>
      </c>
      <c r="AA350" s="544"/>
      <c r="AB350" s="544"/>
      <c r="AC350" s="544"/>
    </row>
    <row r="351" spans="1:68" x14ac:dyDescent="0.2">
      <c r="A351" s="553"/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4"/>
      <c r="P351" s="557" t="s">
        <v>71</v>
      </c>
      <c r="Q351" s="558"/>
      <c r="R351" s="558"/>
      <c r="S351" s="558"/>
      <c r="T351" s="558"/>
      <c r="U351" s="558"/>
      <c r="V351" s="559"/>
      <c r="W351" s="37" t="s">
        <v>69</v>
      </c>
      <c r="X351" s="543">
        <f>IFERROR(SUM(X343:X349),"0")</f>
        <v>690</v>
      </c>
      <c r="Y351" s="543">
        <f>IFERROR(SUM(Y343:Y349),"0")</f>
        <v>690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3"/>
      <c r="C352" s="553"/>
      <c r="D352" s="553"/>
      <c r="E352" s="553"/>
      <c r="F352" s="553"/>
      <c r="G352" s="553"/>
      <c r="H352" s="553"/>
      <c r="I352" s="553"/>
      <c r="J352" s="553"/>
      <c r="K352" s="553"/>
      <c r="L352" s="553"/>
      <c r="M352" s="553"/>
      <c r="N352" s="553"/>
      <c r="O352" s="553"/>
      <c r="P352" s="553"/>
      <c r="Q352" s="553"/>
      <c r="R352" s="553"/>
      <c r="S352" s="553"/>
      <c r="T352" s="553"/>
      <c r="U352" s="553"/>
      <c r="V352" s="553"/>
      <c r="W352" s="553"/>
      <c r="X352" s="553"/>
      <c r="Y352" s="553"/>
      <c r="Z352" s="553"/>
      <c r="AA352" s="535"/>
      <c r="AB352" s="535"/>
      <c r="AC352" s="535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9">
        <v>4607091383980</v>
      </c>
      <c r="E353" s="55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7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300</v>
      </c>
      <c r="Y353" s="542">
        <f>IFERROR(IF(X353="",0,CEILING((X353/$H353),1)*$H353),"")</f>
        <v>300</v>
      </c>
      <c r="Z353" s="36">
        <f>IFERROR(IF(Y353=0,"",ROUNDUP(Y353/H353,0)*0.02175),"")</f>
        <v>0.43499999999999994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309.39999999999998</v>
      </c>
      <c r="BN353" s="64">
        <f>IFERROR(Y353*I353/H353,"0")</f>
        <v>309.39999999999998</v>
      </c>
      <c r="BO353" s="64">
        <f>IFERROR(1/J353*(X353/H353),"0")</f>
        <v>0.41666666666666663</v>
      </c>
      <c r="BP353" s="64">
        <f>IFERROR(1/J353*(Y353/H353),"0")</f>
        <v>0.41666666666666663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49">
        <v>4607091384178</v>
      </c>
      <c r="E354" s="55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54"/>
      <c r="P355" s="557" t="s">
        <v>71</v>
      </c>
      <c r="Q355" s="558"/>
      <c r="R355" s="558"/>
      <c r="S355" s="558"/>
      <c r="T355" s="558"/>
      <c r="U355" s="558"/>
      <c r="V355" s="559"/>
      <c r="W355" s="37" t="s">
        <v>72</v>
      </c>
      <c r="X355" s="543">
        <f>IFERROR(X353/H353,"0")+IFERROR(X354/H354,"0")</f>
        <v>20</v>
      </c>
      <c r="Y355" s="543">
        <f>IFERROR(Y353/H353,"0")+IFERROR(Y354/H354,"0")</f>
        <v>20</v>
      </c>
      <c r="Z355" s="543">
        <f>IFERROR(IF(Z353="",0,Z353),"0")+IFERROR(IF(Z354="",0,Z354),"0")</f>
        <v>0.43499999999999994</v>
      </c>
      <c r="AA355" s="544"/>
      <c r="AB355" s="544"/>
      <c r="AC355" s="544"/>
    </row>
    <row r="356" spans="1:68" x14ac:dyDescent="0.2">
      <c r="A356" s="553"/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4"/>
      <c r="P356" s="557" t="s">
        <v>71</v>
      </c>
      <c r="Q356" s="558"/>
      <c r="R356" s="558"/>
      <c r="S356" s="558"/>
      <c r="T356" s="558"/>
      <c r="U356" s="558"/>
      <c r="V356" s="559"/>
      <c r="W356" s="37" t="s">
        <v>69</v>
      </c>
      <c r="X356" s="543">
        <f>IFERROR(SUM(X353:X354),"0")</f>
        <v>300</v>
      </c>
      <c r="Y356" s="543">
        <f>IFERROR(SUM(Y353:Y354),"0")</f>
        <v>300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3"/>
      <c r="C357" s="553"/>
      <c r="D357" s="553"/>
      <c r="E357" s="553"/>
      <c r="F357" s="553"/>
      <c r="G357" s="553"/>
      <c r="H357" s="553"/>
      <c r="I357" s="553"/>
      <c r="J357" s="553"/>
      <c r="K357" s="553"/>
      <c r="L357" s="553"/>
      <c r="M357" s="553"/>
      <c r="N357" s="553"/>
      <c r="O357" s="553"/>
      <c r="P357" s="553"/>
      <c r="Q357" s="553"/>
      <c r="R357" s="553"/>
      <c r="S357" s="553"/>
      <c r="T357" s="553"/>
      <c r="U357" s="553"/>
      <c r="V357" s="553"/>
      <c r="W357" s="553"/>
      <c r="X357" s="553"/>
      <c r="Y357" s="553"/>
      <c r="Z357" s="553"/>
      <c r="AA357" s="535"/>
      <c r="AB357" s="535"/>
      <c r="AC357" s="535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54"/>
      <c r="P360" s="557" t="s">
        <v>71</v>
      </c>
      <c r="Q360" s="558"/>
      <c r="R360" s="558"/>
      <c r="S360" s="558"/>
      <c r="T360" s="558"/>
      <c r="U360" s="558"/>
      <c r="V360" s="55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3"/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4"/>
      <c r="P361" s="557" t="s">
        <v>71</v>
      </c>
      <c r="Q361" s="558"/>
      <c r="R361" s="558"/>
      <c r="S361" s="558"/>
      <c r="T361" s="558"/>
      <c r="U361" s="558"/>
      <c r="V361" s="55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3"/>
      <c r="C362" s="553"/>
      <c r="D362" s="553"/>
      <c r="E362" s="553"/>
      <c r="F362" s="553"/>
      <c r="G362" s="553"/>
      <c r="H362" s="553"/>
      <c r="I362" s="553"/>
      <c r="J362" s="553"/>
      <c r="K362" s="553"/>
      <c r="L362" s="553"/>
      <c r="M362" s="553"/>
      <c r="N362" s="553"/>
      <c r="O362" s="553"/>
      <c r="P362" s="553"/>
      <c r="Q362" s="553"/>
      <c r="R362" s="553"/>
      <c r="S362" s="553"/>
      <c r="T362" s="553"/>
      <c r="U362" s="553"/>
      <c r="V362" s="553"/>
      <c r="W362" s="553"/>
      <c r="X362" s="553"/>
      <c r="Y362" s="553"/>
      <c r="Z362" s="553"/>
      <c r="AA362" s="535"/>
      <c r="AB362" s="535"/>
      <c r="AC362" s="535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2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54"/>
      <c r="P364" s="557" t="s">
        <v>71</v>
      </c>
      <c r="Q364" s="558"/>
      <c r="R364" s="558"/>
      <c r="S364" s="558"/>
      <c r="T364" s="558"/>
      <c r="U364" s="558"/>
      <c r="V364" s="55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3"/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4"/>
      <c r="P365" s="557" t="s">
        <v>71</v>
      </c>
      <c r="Q365" s="558"/>
      <c r="R365" s="558"/>
      <c r="S365" s="558"/>
      <c r="T365" s="558"/>
      <c r="U365" s="558"/>
      <c r="V365" s="55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6" t="s">
        <v>570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3"/>
      <c r="C367" s="553"/>
      <c r="D367" s="553"/>
      <c r="E367" s="553"/>
      <c r="F367" s="553"/>
      <c r="G367" s="553"/>
      <c r="H367" s="553"/>
      <c r="I367" s="553"/>
      <c r="J367" s="553"/>
      <c r="K367" s="553"/>
      <c r="L367" s="553"/>
      <c r="M367" s="553"/>
      <c r="N367" s="553"/>
      <c r="O367" s="553"/>
      <c r="P367" s="553"/>
      <c r="Q367" s="553"/>
      <c r="R367" s="553"/>
      <c r="S367" s="553"/>
      <c r="T367" s="553"/>
      <c r="U367" s="553"/>
      <c r="V367" s="553"/>
      <c r="W367" s="553"/>
      <c r="X367" s="553"/>
      <c r="Y367" s="553"/>
      <c r="Z367" s="553"/>
      <c r="AA367" s="535"/>
      <c r="AB367" s="535"/>
      <c r="AC367" s="535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54"/>
      <c r="P370" s="557" t="s">
        <v>71</v>
      </c>
      <c r="Q370" s="558"/>
      <c r="R370" s="558"/>
      <c r="S370" s="558"/>
      <c r="T370" s="558"/>
      <c r="U370" s="558"/>
      <c r="V370" s="55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3"/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4"/>
      <c r="P371" s="557" t="s">
        <v>71</v>
      </c>
      <c r="Q371" s="558"/>
      <c r="R371" s="558"/>
      <c r="S371" s="558"/>
      <c r="T371" s="558"/>
      <c r="U371" s="558"/>
      <c r="V371" s="55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3"/>
      <c r="C372" s="553"/>
      <c r="D372" s="553"/>
      <c r="E372" s="553"/>
      <c r="F372" s="553"/>
      <c r="G372" s="553"/>
      <c r="H372" s="553"/>
      <c r="I372" s="553"/>
      <c r="J372" s="553"/>
      <c r="K372" s="553"/>
      <c r="L372" s="553"/>
      <c r="M372" s="553"/>
      <c r="N372" s="553"/>
      <c r="O372" s="553"/>
      <c r="P372" s="553"/>
      <c r="Q372" s="553"/>
      <c r="R372" s="553"/>
      <c r="S372" s="553"/>
      <c r="T372" s="553"/>
      <c r="U372" s="553"/>
      <c r="V372" s="553"/>
      <c r="W372" s="553"/>
      <c r="X372" s="553"/>
      <c r="Y372" s="553"/>
      <c r="Z372" s="553"/>
      <c r="AA372" s="535"/>
      <c r="AB372" s="535"/>
      <c r="AC372" s="535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54"/>
      <c r="P375" s="557" t="s">
        <v>71</v>
      </c>
      <c r="Q375" s="558"/>
      <c r="R375" s="558"/>
      <c r="S375" s="558"/>
      <c r="T375" s="558"/>
      <c r="U375" s="558"/>
      <c r="V375" s="55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3"/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4"/>
      <c r="P376" s="557" t="s">
        <v>71</v>
      </c>
      <c r="Q376" s="558"/>
      <c r="R376" s="558"/>
      <c r="S376" s="558"/>
      <c r="T376" s="558"/>
      <c r="U376" s="558"/>
      <c r="V376" s="55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3"/>
      <c r="C377" s="553"/>
      <c r="D377" s="553"/>
      <c r="E377" s="553"/>
      <c r="F377" s="553"/>
      <c r="G377" s="553"/>
      <c r="H377" s="553"/>
      <c r="I377" s="553"/>
      <c r="J377" s="553"/>
      <c r="K377" s="553"/>
      <c r="L377" s="553"/>
      <c r="M377" s="553"/>
      <c r="N377" s="553"/>
      <c r="O377" s="553"/>
      <c r="P377" s="553"/>
      <c r="Q377" s="553"/>
      <c r="R377" s="553"/>
      <c r="S377" s="553"/>
      <c r="T377" s="553"/>
      <c r="U377" s="553"/>
      <c r="V377" s="553"/>
      <c r="W377" s="553"/>
      <c r="X377" s="553"/>
      <c r="Y377" s="553"/>
      <c r="Z377" s="553"/>
      <c r="AA377" s="535"/>
      <c r="AB377" s="535"/>
      <c r="AC377" s="535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470</v>
      </c>
      <c r="Y378" s="542">
        <f>IFERROR(IF(X378="",0,CEILING((X378/$H378),1)*$H378),"")</f>
        <v>477</v>
      </c>
      <c r="Z378" s="36">
        <f>IFERROR(IF(Y378=0,"",ROUNDUP(Y378/H378,0)*0.01898),"")</f>
        <v>1.0059400000000001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495.79777777777781</v>
      </c>
      <c r="BN378" s="64">
        <f>IFERROR(Y378*I378/H378,"0")</f>
        <v>503.18200000000002</v>
      </c>
      <c r="BO378" s="64">
        <f>IFERROR(1/J378*(X378/H378),"0")</f>
        <v>0.81597222222222221</v>
      </c>
      <c r="BP378" s="64">
        <f>IFERROR(1/J378*(Y378/H378),"0")</f>
        <v>0.828125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2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54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IFERROR(X378/H378,"0")+IFERROR(X379/H379,"0")</f>
        <v>52.222222222222221</v>
      </c>
      <c r="Y380" s="543">
        <f>IFERROR(Y378/H378,"0")+IFERROR(Y379/H379,"0")</f>
        <v>53</v>
      </c>
      <c r="Z380" s="543">
        <f>IFERROR(IF(Z378="",0,Z378),"0")+IFERROR(IF(Z379="",0,Z379),"0")</f>
        <v>1.0059400000000001</v>
      </c>
      <c r="AA380" s="544"/>
      <c r="AB380" s="544"/>
      <c r="AC380" s="544"/>
    </row>
    <row r="381" spans="1:68" x14ac:dyDescent="0.2">
      <c r="A381" s="553"/>
      <c r="B381" s="553"/>
      <c r="C381" s="553"/>
      <c r="D381" s="553"/>
      <c r="E381" s="553"/>
      <c r="F381" s="553"/>
      <c r="G381" s="553"/>
      <c r="H381" s="553"/>
      <c r="I381" s="553"/>
      <c r="J381" s="553"/>
      <c r="K381" s="553"/>
      <c r="L381" s="553"/>
      <c r="M381" s="553"/>
      <c r="N381" s="553"/>
      <c r="O381" s="554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IFERROR(SUM(X378:X379),"0")</f>
        <v>470</v>
      </c>
      <c r="Y381" s="543">
        <f>IFERROR(SUM(Y378:Y379),"0")</f>
        <v>477</v>
      </c>
      <c r="Z381" s="37"/>
      <c r="AA381" s="544"/>
      <c r="AB381" s="544"/>
      <c r="AC381" s="544"/>
    </row>
    <row r="382" spans="1:68" ht="27.75" hidden="1" customHeight="1" x14ac:dyDescent="0.2">
      <c r="A382" s="637" t="s">
        <v>586</v>
      </c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8"/>
      <c r="P382" s="638"/>
      <c r="Q382" s="638"/>
      <c r="R382" s="638"/>
      <c r="S382" s="638"/>
      <c r="T382" s="638"/>
      <c r="U382" s="638"/>
      <c r="V382" s="638"/>
      <c r="W382" s="638"/>
      <c r="X382" s="638"/>
      <c r="Y382" s="638"/>
      <c r="Z382" s="638"/>
      <c r="AA382" s="48"/>
      <c r="AB382" s="48"/>
      <c r="AC382" s="48"/>
    </row>
    <row r="383" spans="1:68" ht="16.5" hidden="1" customHeight="1" x14ac:dyDescent="0.25">
      <c r="A383" s="556" t="s">
        <v>587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3"/>
      <c r="C384" s="553"/>
      <c r="D384" s="553"/>
      <c r="E384" s="553"/>
      <c r="F384" s="553"/>
      <c r="G384" s="553"/>
      <c r="H384" s="553"/>
      <c r="I384" s="553"/>
      <c r="J384" s="553"/>
      <c r="K384" s="553"/>
      <c r="L384" s="553"/>
      <c r="M384" s="553"/>
      <c r="N384" s="553"/>
      <c r="O384" s="553"/>
      <c r="P384" s="553"/>
      <c r="Q384" s="553"/>
      <c r="R384" s="553"/>
      <c r="S384" s="553"/>
      <c r="T384" s="553"/>
      <c r="U384" s="553"/>
      <c r="V384" s="553"/>
      <c r="W384" s="553"/>
      <c r="X384" s="553"/>
      <c r="Y384" s="553"/>
      <c r="Z384" s="553"/>
      <c r="AA384" s="535"/>
      <c r="AB384" s="535"/>
      <c r="AC384" s="535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49">
        <v>4680115886100</v>
      </c>
      <c r="E385" s="55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9">
        <v>4680115886117</v>
      </c>
      <c r="E386" s="55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28</v>
      </c>
      <c r="Y386" s="542">
        <f t="shared" si="41"/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28.985185185185181</v>
      </c>
      <c r="BN386" s="64">
        <f t="shared" si="43"/>
        <v>33.54</v>
      </c>
      <c r="BO386" s="64">
        <f t="shared" si="44"/>
        <v>3.9281705948372617E-2</v>
      </c>
      <c r="BP386" s="64">
        <f t="shared" si="45"/>
        <v>4.5454545454545463E-2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9">
        <v>4680115886124</v>
      </c>
      <c r="E387" s="55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40</v>
      </c>
      <c r="Y387" s="542">
        <f t="shared" si="41"/>
        <v>43.2</v>
      </c>
      <c r="Z387" s="36">
        <f>IFERROR(IF(Y387=0,"",ROUNDUP(Y387/H387,0)*0.00902),"")</f>
        <v>7.2160000000000002E-2</v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41.407407407407405</v>
      </c>
      <c r="BN387" s="64">
        <f t="shared" si="43"/>
        <v>44.72</v>
      </c>
      <c r="BO387" s="64">
        <f t="shared" si="44"/>
        <v>5.6116722783389444E-2</v>
      </c>
      <c r="BP387" s="64">
        <f t="shared" si="45"/>
        <v>6.0606060606060608E-2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49">
        <v>4680115883147</v>
      </c>
      <c r="E388" s="55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49">
        <v>4607091384338</v>
      </c>
      <c r="E389" s="55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49">
        <v>4607091389524</v>
      </c>
      <c r="E390" s="55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49">
        <v>4680115883161</v>
      </c>
      <c r="E391" s="55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49">
        <v>4607091389531</v>
      </c>
      <c r="E392" s="55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49">
        <v>4607091384345</v>
      </c>
      <c r="E393" s="55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2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54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12.592592592592592</v>
      </c>
      <c r="Y394" s="543">
        <f>IFERROR(Y385/H385,"0")+IFERROR(Y386/H386,"0")+IFERROR(Y387/H387,"0")+IFERROR(Y388/H388,"0")+IFERROR(Y389/H389,"0")+IFERROR(Y390/H390,"0")+IFERROR(Y391/H391,"0")+IFERROR(Y392/H392,"0")+IFERROR(Y393/H393,"0")</f>
        <v>14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0.12628</v>
      </c>
      <c r="AA394" s="544"/>
      <c r="AB394" s="544"/>
      <c r="AC394" s="544"/>
    </row>
    <row r="395" spans="1:68" x14ac:dyDescent="0.2">
      <c r="A395" s="553"/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4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68</v>
      </c>
      <c r="Y395" s="543">
        <f>IFERROR(SUM(Y385:Y393),"0")</f>
        <v>75.600000000000009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3"/>
      <c r="C396" s="553"/>
      <c r="D396" s="553"/>
      <c r="E396" s="553"/>
      <c r="F396" s="553"/>
      <c r="G396" s="553"/>
      <c r="H396" s="553"/>
      <c r="I396" s="553"/>
      <c r="J396" s="553"/>
      <c r="K396" s="553"/>
      <c r="L396" s="553"/>
      <c r="M396" s="553"/>
      <c r="N396" s="553"/>
      <c r="O396" s="553"/>
      <c r="P396" s="553"/>
      <c r="Q396" s="553"/>
      <c r="R396" s="553"/>
      <c r="S396" s="553"/>
      <c r="T396" s="553"/>
      <c r="U396" s="553"/>
      <c r="V396" s="553"/>
      <c r="W396" s="553"/>
      <c r="X396" s="553"/>
      <c r="Y396" s="553"/>
      <c r="Z396" s="553"/>
      <c r="AA396" s="535"/>
      <c r="AB396" s="535"/>
      <c r="AC396" s="535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49">
        <v>4607091384352</v>
      </c>
      <c r="E397" s="55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49">
        <v>4607091389654</v>
      </c>
      <c r="E398" s="55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8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54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3"/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4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6" t="s">
        <v>618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3"/>
      <c r="C402" s="553"/>
      <c r="D402" s="553"/>
      <c r="E402" s="553"/>
      <c r="F402" s="553"/>
      <c r="G402" s="553"/>
      <c r="H402" s="553"/>
      <c r="I402" s="553"/>
      <c r="J402" s="553"/>
      <c r="K402" s="553"/>
      <c r="L402" s="553"/>
      <c r="M402" s="553"/>
      <c r="N402" s="553"/>
      <c r="O402" s="553"/>
      <c r="P402" s="553"/>
      <c r="Q402" s="553"/>
      <c r="R402" s="553"/>
      <c r="S402" s="553"/>
      <c r="T402" s="553"/>
      <c r="U402" s="553"/>
      <c r="V402" s="553"/>
      <c r="W402" s="553"/>
      <c r="X402" s="553"/>
      <c r="Y402" s="553"/>
      <c r="Z402" s="553"/>
      <c r="AA402" s="535"/>
      <c r="AB402" s="535"/>
      <c r="AC402" s="535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49">
        <v>4680115885240</v>
      </c>
      <c r="E403" s="55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54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3"/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4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3"/>
      <c r="C406" s="553"/>
      <c r="D406" s="553"/>
      <c r="E406" s="553"/>
      <c r="F406" s="553"/>
      <c r="G406" s="553"/>
      <c r="H406" s="553"/>
      <c r="I406" s="553"/>
      <c r="J406" s="553"/>
      <c r="K406" s="553"/>
      <c r="L406" s="553"/>
      <c r="M406" s="553"/>
      <c r="N406" s="553"/>
      <c r="O406" s="553"/>
      <c r="P406" s="553"/>
      <c r="Q406" s="553"/>
      <c r="R406" s="553"/>
      <c r="S406" s="553"/>
      <c r="T406" s="553"/>
      <c r="U406" s="553"/>
      <c r="V406" s="553"/>
      <c r="W406" s="553"/>
      <c r="X406" s="553"/>
      <c r="Y406" s="553"/>
      <c r="Z406" s="553"/>
      <c r="AA406" s="535"/>
      <c r="AB406" s="535"/>
      <c r="AC406" s="535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9">
        <v>4680115886094</v>
      </c>
      <c r="E407" s="55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100</v>
      </c>
      <c r="Y407" s="542">
        <f>IFERROR(IF(X407="",0,CEILING((X407/$H407),1)*$H407),"")</f>
        <v>102.60000000000001</v>
      </c>
      <c r="Z407" s="36">
        <f>IFERROR(IF(Y407=0,"",ROUNDUP(Y407/H407,0)*0.00902),"")</f>
        <v>0.17138</v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103.5185185185185</v>
      </c>
      <c r="BN407" s="64">
        <f>IFERROR(Y407*I407/H407,"0")</f>
        <v>106.21</v>
      </c>
      <c r="BO407" s="64">
        <f>IFERROR(1/J407*(X407/H407),"0")</f>
        <v>0.14029180695847362</v>
      </c>
      <c r="BP407" s="64">
        <f>IFERROR(1/J407*(Y407/H407),"0")</f>
        <v>0.14393939393939395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49">
        <v>4607091389425</v>
      </c>
      <c r="E408" s="55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49">
        <v>4680115880771</v>
      </c>
      <c r="E409" s="55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3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49">
        <v>4607091389500</v>
      </c>
      <c r="E410" s="55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2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54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18.518518518518519</v>
      </c>
      <c r="Y411" s="543">
        <f>IFERROR(Y407/H407,"0")+IFERROR(Y408/H408,"0")+IFERROR(Y409/H409,"0")+IFERROR(Y410/H410,"0")</f>
        <v>19</v>
      </c>
      <c r="Z411" s="543">
        <f>IFERROR(IF(Z407="",0,Z407),"0")+IFERROR(IF(Z408="",0,Z408),"0")+IFERROR(IF(Z409="",0,Z409),"0")+IFERROR(IF(Z410="",0,Z410),"0")</f>
        <v>0.17138</v>
      </c>
      <c r="AA411" s="544"/>
      <c r="AB411" s="544"/>
      <c r="AC411" s="544"/>
    </row>
    <row r="412" spans="1:68" x14ac:dyDescent="0.2">
      <c r="A412" s="553"/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4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100</v>
      </c>
      <c r="Y412" s="543">
        <f>IFERROR(SUM(Y407:Y410),"0")</f>
        <v>102.60000000000001</v>
      </c>
      <c r="Z412" s="37"/>
      <c r="AA412" s="544"/>
      <c r="AB412" s="544"/>
      <c r="AC412" s="544"/>
    </row>
    <row r="413" spans="1:68" ht="16.5" hidden="1" customHeight="1" x14ac:dyDescent="0.25">
      <c r="A413" s="556" t="s">
        <v>633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3"/>
      <c r="C414" s="553"/>
      <c r="D414" s="553"/>
      <c r="E414" s="553"/>
      <c r="F414" s="553"/>
      <c r="G414" s="553"/>
      <c r="H414" s="553"/>
      <c r="I414" s="553"/>
      <c r="J414" s="553"/>
      <c r="K414" s="553"/>
      <c r="L414" s="553"/>
      <c r="M414" s="553"/>
      <c r="N414" s="553"/>
      <c r="O414" s="553"/>
      <c r="P414" s="553"/>
      <c r="Q414" s="553"/>
      <c r="R414" s="553"/>
      <c r="S414" s="553"/>
      <c r="T414" s="553"/>
      <c r="U414" s="553"/>
      <c r="V414" s="553"/>
      <c r="W414" s="553"/>
      <c r="X414" s="553"/>
      <c r="Y414" s="553"/>
      <c r="Z414" s="553"/>
      <c r="AA414" s="535"/>
      <c r="AB414" s="535"/>
      <c r="AC414" s="535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49">
        <v>4680115885110</v>
      </c>
      <c r="E415" s="55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7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54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3"/>
      <c r="B417" s="553"/>
      <c r="C417" s="553"/>
      <c r="D417" s="553"/>
      <c r="E417" s="553"/>
      <c r="F417" s="553"/>
      <c r="G417" s="553"/>
      <c r="H417" s="553"/>
      <c r="I417" s="553"/>
      <c r="J417" s="553"/>
      <c r="K417" s="553"/>
      <c r="L417" s="553"/>
      <c r="M417" s="553"/>
      <c r="N417" s="553"/>
      <c r="O417" s="554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7" t="s">
        <v>637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48"/>
      <c r="AB418" s="48"/>
      <c r="AC418" s="48"/>
    </row>
    <row r="419" spans="1:68" ht="16.5" hidden="1" customHeight="1" x14ac:dyDescent="0.25">
      <c r="A419" s="556" t="s">
        <v>637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3"/>
      <c r="C420" s="553"/>
      <c r="D420" s="553"/>
      <c r="E420" s="553"/>
      <c r="F420" s="553"/>
      <c r="G420" s="553"/>
      <c r="H420" s="553"/>
      <c r="I420" s="553"/>
      <c r="J420" s="553"/>
      <c r="K420" s="553"/>
      <c r="L420" s="553"/>
      <c r="M420" s="553"/>
      <c r="N420" s="553"/>
      <c r="O420" s="553"/>
      <c r="P420" s="553"/>
      <c r="Q420" s="553"/>
      <c r="R420" s="553"/>
      <c r="S420" s="553"/>
      <c r="T420" s="553"/>
      <c r="U420" s="553"/>
      <c r="V420" s="553"/>
      <c r="W420" s="553"/>
      <c r="X420" s="553"/>
      <c r="Y420" s="553"/>
      <c r="Z420" s="553"/>
      <c r="AA420" s="535"/>
      <c r="AB420" s="535"/>
      <c r="AC420" s="535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49">
        <v>4607091389067</v>
      </c>
      <c r="E421" s="55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49">
        <v>4607091383522</v>
      </c>
      <c r="E422" s="55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5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49">
        <v>4680115885271</v>
      </c>
      <c r="E423" s="55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9">
        <v>4680115885226</v>
      </c>
      <c r="E424" s="55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20</v>
      </c>
      <c r="Y424" s="542">
        <f t="shared" si="47"/>
        <v>21.12</v>
      </c>
      <c r="Z424" s="36">
        <f t="shared" si="48"/>
        <v>4.7840000000000001E-2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21.325757575757574</v>
      </c>
      <c r="BN424" s="64">
        <f t="shared" si="50"/>
        <v>22.52</v>
      </c>
      <c r="BO424" s="64">
        <f t="shared" si="51"/>
        <v>3.6421911421911424E-2</v>
      </c>
      <c r="BP424" s="64">
        <f t="shared" si="52"/>
        <v>3.8461538461538464E-2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49">
        <v>4680115884502</v>
      </c>
      <c r="E425" s="55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9">
        <v>4607091389104</v>
      </c>
      <c r="E426" s="55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80</v>
      </c>
      <c r="Y426" s="542">
        <f t="shared" si="47"/>
        <v>84.48</v>
      </c>
      <c r="Z426" s="36">
        <f t="shared" si="48"/>
        <v>0.19136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85.303030303030297</v>
      </c>
      <c r="BN426" s="64">
        <f t="shared" si="50"/>
        <v>90.08</v>
      </c>
      <c r="BO426" s="64">
        <f t="shared" si="51"/>
        <v>0.14568764568764569</v>
      </c>
      <c r="BP426" s="64">
        <f t="shared" si="52"/>
        <v>0.15384615384615385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49">
        <v>4680115886391</v>
      </c>
      <c r="E427" s="55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49">
        <v>4680115880603</v>
      </c>
      <c r="E428" s="55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49">
        <v>4680115882782</v>
      </c>
      <c r="E429" s="55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49">
        <v>4680115885479</v>
      </c>
      <c r="E430" s="55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6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49">
        <v>4607091389982</v>
      </c>
      <c r="E431" s="55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2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54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18.939393939393938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0.2392</v>
      </c>
      <c r="AA432" s="544"/>
      <c r="AB432" s="544"/>
      <c r="AC432" s="544"/>
    </row>
    <row r="433" spans="1:68" x14ac:dyDescent="0.2">
      <c r="A433" s="553"/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4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100</v>
      </c>
      <c r="Y433" s="543">
        <f>IFERROR(SUM(Y421:Y431),"0")</f>
        <v>105.60000000000001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3"/>
      <c r="C434" s="553"/>
      <c r="D434" s="553"/>
      <c r="E434" s="553"/>
      <c r="F434" s="553"/>
      <c r="G434" s="553"/>
      <c r="H434" s="553"/>
      <c r="I434" s="553"/>
      <c r="J434" s="553"/>
      <c r="K434" s="553"/>
      <c r="L434" s="553"/>
      <c r="M434" s="553"/>
      <c r="N434" s="553"/>
      <c r="O434" s="553"/>
      <c r="P434" s="553"/>
      <c r="Q434" s="553"/>
      <c r="R434" s="553"/>
      <c r="S434" s="553"/>
      <c r="T434" s="553"/>
      <c r="U434" s="553"/>
      <c r="V434" s="553"/>
      <c r="W434" s="553"/>
      <c r="X434" s="553"/>
      <c r="Y434" s="553"/>
      <c r="Z434" s="553"/>
      <c r="AA434" s="535"/>
      <c r="AB434" s="535"/>
      <c r="AC434" s="535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9">
        <v>4607091388930</v>
      </c>
      <c r="E435" s="55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180</v>
      </c>
      <c r="Y435" s="542">
        <f>IFERROR(IF(X435="",0,CEILING((X435/$H435),1)*$H435),"")</f>
        <v>184.8</v>
      </c>
      <c r="Z435" s="36">
        <f>IFERROR(IF(Y435=0,"",ROUNDUP(Y435/H435,0)*0.01196),"")</f>
        <v>0.41860000000000003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191.93181818181816</v>
      </c>
      <c r="BN435" s="64">
        <f>IFERROR(Y435*I435/H435,"0")</f>
        <v>197.04999999999998</v>
      </c>
      <c r="BO435" s="64">
        <f>IFERROR(1/J435*(X435/H435),"0")</f>
        <v>0.32779720279720276</v>
      </c>
      <c r="BP435" s="64">
        <f>IFERROR(1/J435*(Y435/H435),"0")</f>
        <v>0.33653846153846156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49">
        <v>4680115886407</v>
      </c>
      <c r="E436" s="55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0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49">
        <v>4680115880054</v>
      </c>
      <c r="E437" s="55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2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54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34.090909090909086</v>
      </c>
      <c r="Y438" s="543">
        <f>IFERROR(Y435/H435,"0")+IFERROR(Y436/H436,"0")+IFERROR(Y437/H437,"0")</f>
        <v>35</v>
      </c>
      <c r="Z438" s="543">
        <f>IFERROR(IF(Z435="",0,Z435),"0")+IFERROR(IF(Z436="",0,Z436),"0")+IFERROR(IF(Z437="",0,Z437),"0")</f>
        <v>0.41860000000000003</v>
      </c>
      <c r="AA438" s="544"/>
      <c r="AB438" s="544"/>
      <c r="AC438" s="544"/>
    </row>
    <row r="439" spans="1:68" x14ac:dyDescent="0.2">
      <c r="A439" s="553"/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4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180</v>
      </c>
      <c r="Y439" s="543">
        <f>IFERROR(SUM(Y435:Y437),"0")</f>
        <v>184.8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3"/>
      <c r="C440" s="553"/>
      <c r="D440" s="553"/>
      <c r="E440" s="553"/>
      <c r="F440" s="553"/>
      <c r="G440" s="553"/>
      <c r="H440" s="553"/>
      <c r="I440" s="553"/>
      <c r="J440" s="553"/>
      <c r="K440" s="553"/>
      <c r="L440" s="553"/>
      <c r="M440" s="553"/>
      <c r="N440" s="553"/>
      <c r="O440" s="553"/>
      <c r="P440" s="553"/>
      <c r="Q440" s="553"/>
      <c r="R440" s="553"/>
      <c r="S440" s="553"/>
      <c r="T440" s="553"/>
      <c r="U440" s="553"/>
      <c r="V440" s="553"/>
      <c r="W440" s="553"/>
      <c r="X440" s="553"/>
      <c r="Y440" s="553"/>
      <c r="Z440" s="553"/>
      <c r="AA440" s="535"/>
      <c r="AB440" s="535"/>
      <c r="AC440" s="535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49">
        <v>4680115883116</v>
      </c>
      <c r="E441" s="55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9">
        <v>4680115883093</v>
      </c>
      <c r="E442" s="55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40</v>
      </c>
      <c r="Y442" s="542">
        <f t="shared" si="53"/>
        <v>42.24</v>
      </c>
      <c r="Z442" s="36">
        <f>IFERROR(IF(Y442=0,"",ROUNDUP(Y442/H442,0)*0.01196),"")</f>
        <v>9.5680000000000001E-2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42.651515151515149</v>
      </c>
      <c r="BN442" s="64">
        <f t="shared" si="55"/>
        <v>45.04</v>
      </c>
      <c r="BO442" s="64">
        <f t="shared" si="56"/>
        <v>7.2843822843822847E-2</v>
      </c>
      <c r="BP442" s="64">
        <f t="shared" si="57"/>
        <v>7.6923076923076927E-2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49">
        <v>4680115883109</v>
      </c>
      <c r="E443" s="55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49">
        <v>4680115882072</v>
      </c>
      <c r="E444" s="55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49">
        <v>4680115882102</v>
      </c>
      <c r="E445" s="55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49">
        <v>4680115882096</v>
      </c>
      <c r="E446" s="55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2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54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7.5757575757575752</v>
      </c>
      <c r="Y447" s="543">
        <f>IFERROR(Y441/H441,"0")+IFERROR(Y442/H442,"0")+IFERROR(Y443/H443,"0")+IFERROR(Y444/H444,"0")+IFERROR(Y445/H445,"0")+IFERROR(Y446/H446,"0")</f>
        <v>8</v>
      </c>
      <c r="Z447" s="543">
        <f>IFERROR(IF(Z441="",0,Z441),"0")+IFERROR(IF(Z442="",0,Z442),"0")+IFERROR(IF(Z443="",0,Z443),"0")+IFERROR(IF(Z444="",0,Z444),"0")+IFERROR(IF(Z445="",0,Z445),"0")+IFERROR(IF(Z446="",0,Z446),"0")</f>
        <v>9.5680000000000001E-2</v>
      </c>
      <c r="AA447" s="544"/>
      <c r="AB447" s="544"/>
      <c r="AC447" s="544"/>
    </row>
    <row r="448" spans="1:68" x14ac:dyDescent="0.2">
      <c r="A448" s="553"/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4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40</v>
      </c>
      <c r="Y448" s="543">
        <f>IFERROR(SUM(Y441:Y446),"0")</f>
        <v>42.24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3"/>
      <c r="C449" s="553"/>
      <c r="D449" s="553"/>
      <c r="E449" s="553"/>
      <c r="F449" s="553"/>
      <c r="G449" s="553"/>
      <c r="H449" s="553"/>
      <c r="I449" s="553"/>
      <c r="J449" s="553"/>
      <c r="K449" s="553"/>
      <c r="L449" s="553"/>
      <c r="M449" s="553"/>
      <c r="N449" s="553"/>
      <c r="O449" s="553"/>
      <c r="P449" s="553"/>
      <c r="Q449" s="553"/>
      <c r="R449" s="553"/>
      <c r="S449" s="553"/>
      <c r="T449" s="553"/>
      <c r="U449" s="553"/>
      <c r="V449" s="553"/>
      <c r="W449" s="553"/>
      <c r="X449" s="553"/>
      <c r="Y449" s="553"/>
      <c r="Z449" s="553"/>
      <c r="AA449" s="535"/>
      <c r="AB449" s="535"/>
      <c r="AC449" s="535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49">
        <v>4607091383409</v>
      </c>
      <c r="E450" s="55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49">
        <v>4607091383416</v>
      </c>
      <c r="E451" s="55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49">
        <v>4680115883536</v>
      </c>
      <c r="E452" s="55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54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3"/>
      <c r="B454" s="553"/>
      <c r="C454" s="553"/>
      <c r="D454" s="553"/>
      <c r="E454" s="553"/>
      <c r="F454" s="553"/>
      <c r="G454" s="553"/>
      <c r="H454" s="553"/>
      <c r="I454" s="553"/>
      <c r="J454" s="553"/>
      <c r="K454" s="553"/>
      <c r="L454" s="553"/>
      <c r="M454" s="553"/>
      <c r="N454" s="553"/>
      <c r="O454" s="554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7" t="s">
        <v>697</v>
      </c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8"/>
      <c r="P455" s="638"/>
      <c r="Q455" s="638"/>
      <c r="R455" s="638"/>
      <c r="S455" s="638"/>
      <c r="T455" s="638"/>
      <c r="U455" s="638"/>
      <c r="V455" s="638"/>
      <c r="W455" s="638"/>
      <c r="X455" s="638"/>
      <c r="Y455" s="638"/>
      <c r="Z455" s="638"/>
      <c r="AA455" s="48"/>
      <c r="AB455" s="48"/>
      <c r="AC455" s="48"/>
    </row>
    <row r="456" spans="1:68" ht="16.5" hidden="1" customHeight="1" x14ac:dyDescent="0.25">
      <c r="A456" s="556" t="s">
        <v>697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3"/>
      <c r="C457" s="553"/>
      <c r="D457" s="553"/>
      <c r="E457" s="553"/>
      <c r="F457" s="553"/>
      <c r="G457" s="553"/>
      <c r="H457" s="553"/>
      <c r="I457" s="553"/>
      <c r="J457" s="553"/>
      <c r="K457" s="553"/>
      <c r="L457" s="553"/>
      <c r="M457" s="553"/>
      <c r="N457" s="553"/>
      <c r="O457" s="553"/>
      <c r="P457" s="553"/>
      <c r="Q457" s="553"/>
      <c r="R457" s="553"/>
      <c r="S457" s="553"/>
      <c r="T457" s="553"/>
      <c r="U457" s="553"/>
      <c r="V457" s="553"/>
      <c r="W457" s="553"/>
      <c r="X457" s="553"/>
      <c r="Y457" s="553"/>
      <c r="Z457" s="553"/>
      <c r="AA457" s="535"/>
      <c r="AB457" s="535"/>
      <c r="AC457" s="535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49">
        <v>4640242181011</v>
      </c>
      <c r="E458" s="55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59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49">
        <v>4640242180441</v>
      </c>
      <c r="E459" s="55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49">
        <v>4640242180564</v>
      </c>
      <c r="E460" s="55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49">
        <v>4640242181189</v>
      </c>
      <c r="E461" s="55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54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3"/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4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3"/>
      <c r="C464" s="553"/>
      <c r="D464" s="553"/>
      <c r="E464" s="553"/>
      <c r="F464" s="553"/>
      <c r="G464" s="553"/>
      <c r="H464" s="553"/>
      <c r="I464" s="553"/>
      <c r="J464" s="553"/>
      <c r="K464" s="553"/>
      <c r="L464" s="553"/>
      <c r="M464" s="553"/>
      <c r="N464" s="553"/>
      <c r="O464" s="553"/>
      <c r="P464" s="553"/>
      <c r="Q464" s="553"/>
      <c r="R464" s="553"/>
      <c r="S464" s="553"/>
      <c r="T464" s="553"/>
      <c r="U464" s="553"/>
      <c r="V464" s="553"/>
      <c r="W464" s="553"/>
      <c r="X464" s="553"/>
      <c r="Y464" s="553"/>
      <c r="Z464" s="553"/>
      <c r="AA464" s="535"/>
      <c r="AB464" s="535"/>
      <c r="AC464" s="535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49">
        <v>4640242180519</v>
      </c>
      <c r="E465" s="55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1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49">
        <v>4640242180526</v>
      </c>
      <c r="E466" s="55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49">
        <v>4640242181363</v>
      </c>
      <c r="E467" s="55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54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3"/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4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3"/>
      <c r="C470" s="553"/>
      <c r="D470" s="553"/>
      <c r="E470" s="553"/>
      <c r="F470" s="553"/>
      <c r="G470" s="553"/>
      <c r="H470" s="553"/>
      <c r="I470" s="553"/>
      <c r="J470" s="553"/>
      <c r="K470" s="553"/>
      <c r="L470" s="553"/>
      <c r="M470" s="553"/>
      <c r="N470" s="553"/>
      <c r="O470" s="553"/>
      <c r="P470" s="553"/>
      <c r="Q470" s="553"/>
      <c r="R470" s="553"/>
      <c r="S470" s="553"/>
      <c r="T470" s="553"/>
      <c r="U470" s="553"/>
      <c r="V470" s="553"/>
      <c r="W470" s="553"/>
      <c r="X470" s="553"/>
      <c r="Y470" s="553"/>
      <c r="Z470" s="553"/>
      <c r="AA470" s="535"/>
      <c r="AB470" s="535"/>
      <c r="AC470" s="535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49">
        <v>4640242180816</v>
      </c>
      <c r="E471" s="55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59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9">
        <v>4640242180595</v>
      </c>
      <c r="E472" s="55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3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60</v>
      </c>
      <c r="Y472" s="542">
        <f>IFERROR(IF(X472="",0,CEILING((X472/$H472),1)*$H472),"")</f>
        <v>63</v>
      </c>
      <c r="Z472" s="36">
        <f>IFERROR(IF(Y472=0,"",ROUNDUP(Y472/H472,0)*0.00902),"")</f>
        <v>0.1353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63.571428571428569</v>
      </c>
      <c r="BN472" s="64">
        <f>IFERROR(Y472*I472/H472,"0")</f>
        <v>66.75</v>
      </c>
      <c r="BO472" s="64">
        <f>IFERROR(1/J472*(X472/H472),"0")</f>
        <v>0.10822510822510822</v>
      </c>
      <c r="BP472" s="64">
        <f>IFERROR(1/J472*(Y472/H472),"0")</f>
        <v>0.11363636363636365</v>
      </c>
    </row>
    <row r="473" spans="1:68" x14ac:dyDescent="0.2">
      <c r="A473" s="552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54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14.285714285714285</v>
      </c>
      <c r="Y473" s="543">
        <f>IFERROR(Y471/H471,"0")+IFERROR(Y472/H472,"0")</f>
        <v>15</v>
      </c>
      <c r="Z473" s="543">
        <f>IFERROR(IF(Z471="",0,Z471),"0")+IFERROR(IF(Z472="",0,Z472),"0")</f>
        <v>0.1353</v>
      </c>
      <c r="AA473" s="544"/>
      <c r="AB473" s="544"/>
      <c r="AC473" s="544"/>
    </row>
    <row r="474" spans="1:68" x14ac:dyDescent="0.2">
      <c r="A474" s="553"/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4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60</v>
      </c>
      <c r="Y474" s="543">
        <f>IFERROR(SUM(Y471:Y472),"0")</f>
        <v>63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3"/>
      <c r="C475" s="553"/>
      <c r="D475" s="553"/>
      <c r="E475" s="553"/>
      <c r="F475" s="553"/>
      <c r="G475" s="553"/>
      <c r="H475" s="553"/>
      <c r="I475" s="553"/>
      <c r="J475" s="553"/>
      <c r="K475" s="553"/>
      <c r="L475" s="553"/>
      <c r="M475" s="553"/>
      <c r="N475" s="553"/>
      <c r="O475" s="553"/>
      <c r="P475" s="553"/>
      <c r="Q475" s="553"/>
      <c r="R475" s="553"/>
      <c r="S475" s="553"/>
      <c r="T475" s="553"/>
      <c r="U475" s="553"/>
      <c r="V475" s="553"/>
      <c r="W475" s="553"/>
      <c r="X475" s="553"/>
      <c r="Y475" s="553"/>
      <c r="Z475" s="553"/>
      <c r="AA475" s="535"/>
      <c r="AB475" s="535"/>
      <c r="AC475" s="535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9">
        <v>4640242180533</v>
      </c>
      <c r="E476" s="55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5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16</v>
      </c>
      <c r="Y476" s="542">
        <f>IFERROR(IF(X476="",0,CEILING((X476/$H476),1)*$H476),"")</f>
        <v>18</v>
      </c>
      <c r="Z476" s="36">
        <f>IFERROR(IF(Y476=0,"",ROUNDUP(Y476/H476,0)*0.01898),"")</f>
        <v>3.7960000000000001E-2</v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16.87822222222222</v>
      </c>
      <c r="BN476" s="64">
        <f>IFERROR(Y476*I476/H476,"0")</f>
        <v>18.988</v>
      </c>
      <c r="BO476" s="64">
        <f>IFERROR(1/J476*(X476/H476),"0")</f>
        <v>2.7777777777777776E-2</v>
      </c>
      <c r="BP476" s="64">
        <f>IFERROR(1/J476*(Y476/H476),"0")</f>
        <v>3.125E-2</v>
      </c>
    </row>
    <row r="477" spans="1:68" x14ac:dyDescent="0.2">
      <c r="A477" s="552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54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1.7777777777777777</v>
      </c>
      <c r="Y477" s="543">
        <f>IFERROR(Y476/H476,"0")</f>
        <v>2</v>
      </c>
      <c r="Z477" s="543">
        <f>IFERROR(IF(Z476="",0,Z476),"0")</f>
        <v>3.7960000000000001E-2</v>
      </c>
      <c r="AA477" s="544"/>
      <c r="AB477" s="544"/>
      <c r="AC477" s="544"/>
    </row>
    <row r="478" spans="1:68" x14ac:dyDescent="0.2">
      <c r="A478" s="553"/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4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16</v>
      </c>
      <c r="Y478" s="543">
        <f>IFERROR(SUM(Y476:Y476),"0")</f>
        <v>18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3"/>
      <c r="C479" s="553"/>
      <c r="D479" s="553"/>
      <c r="E479" s="553"/>
      <c r="F479" s="553"/>
      <c r="G479" s="553"/>
      <c r="H479" s="553"/>
      <c r="I479" s="553"/>
      <c r="J479" s="553"/>
      <c r="K479" s="553"/>
      <c r="L479" s="553"/>
      <c r="M479" s="553"/>
      <c r="N479" s="553"/>
      <c r="O479" s="553"/>
      <c r="P479" s="553"/>
      <c r="Q479" s="553"/>
      <c r="R479" s="553"/>
      <c r="S479" s="553"/>
      <c r="T479" s="553"/>
      <c r="U479" s="553"/>
      <c r="V479" s="553"/>
      <c r="W479" s="553"/>
      <c r="X479" s="553"/>
      <c r="Y479" s="553"/>
      <c r="Z479" s="553"/>
      <c r="AA479" s="535"/>
      <c r="AB479" s="535"/>
      <c r="AC479" s="535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49">
        <v>4640242180120</v>
      </c>
      <c r="E480" s="55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49">
        <v>4640242180137</v>
      </c>
      <c r="E481" s="55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54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3"/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4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6" t="s">
        <v>733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3"/>
      <c r="C485" s="553"/>
      <c r="D485" s="553"/>
      <c r="E485" s="553"/>
      <c r="F485" s="553"/>
      <c r="G485" s="553"/>
      <c r="H485" s="553"/>
      <c r="I485" s="553"/>
      <c r="J485" s="553"/>
      <c r="K485" s="553"/>
      <c r="L485" s="553"/>
      <c r="M485" s="553"/>
      <c r="N485" s="553"/>
      <c r="O485" s="553"/>
      <c r="P485" s="553"/>
      <c r="Q485" s="553"/>
      <c r="R485" s="553"/>
      <c r="S485" s="553"/>
      <c r="T485" s="553"/>
      <c r="U485" s="553"/>
      <c r="V485" s="553"/>
      <c r="W485" s="553"/>
      <c r="X485" s="553"/>
      <c r="Y485" s="553"/>
      <c r="Z485" s="553"/>
      <c r="AA485" s="535"/>
      <c r="AB485" s="535"/>
      <c r="AC485" s="535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49">
        <v>4640242180090</v>
      </c>
      <c r="E486" s="55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54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3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554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01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5"/>
      <c r="P489" s="636" t="s">
        <v>737</v>
      </c>
      <c r="Q489" s="632"/>
      <c r="R489" s="632"/>
      <c r="S489" s="632"/>
      <c r="T489" s="632"/>
      <c r="U489" s="632"/>
      <c r="V489" s="633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4160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4241.7199999999993</v>
      </c>
      <c r="Z489" s="37"/>
      <c r="AA489" s="544"/>
      <c r="AB489" s="544"/>
      <c r="AC489" s="544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5"/>
      <c r="P490" s="636" t="s">
        <v>738</v>
      </c>
      <c r="Q490" s="632"/>
      <c r="R490" s="632"/>
      <c r="S490" s="632"/>
      <c r="T490" s="632"/>
      <c r="U490" s="632"/>
      <c r="V490" s="633"/>
      <c r="W490" s="37" t="s">
        <v>69</v>
      </c>
      <c r="X490" s="543">
        <f>IFERROR(SUM(BM22:BM486),"0")</f>
        <v>4364.8411583991065</v>
      </c>
      <c r="Y490" s="543">
        <f>IFERROR(SUM(BN22:BN486),"0")</f>
        <v>4450.8100000000004</v>
      </c>
      <c r="Z490" s="37"/>
      <c r="AA490" s="544"/>
      <c r="AB490" s="544"/>
      <c r="AC490" s="544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5"/>
      <c r="P491" s="636" t="s">
        <v>739</v>
      </c>
      <c r="Q491" s="632"/>
      <c r="R491" s="632"/>
      <c r="S491" s="632"/>
      <c r="T491" s="632"/>
      <c r="U491" s="632"/>
      <c r="V491" s="633"/>
      <c r="W491" s="37" t="s">
        <v>740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5"/>
      <c r="P492" s="636" t="s">
        <v>741</v>
      </c>
      <c r="Q492" s="632"/>
      <c r="R492" s="632"/>
      <c r="S492" s="632"/>
      <c r="T492" s="632"/>
      <c r="U492" s="632"/>
      <c r="V492" s="633"/>
      <c r="W492" s="37" t="s">
        <v>69</v>
      </c>
      <c r="X492" s="543">
        <f>GrossWeightTotal+PalletQtyTotal*25</f>
        <v>4564.8411583991065</v>
      </c>
      <c r="Y492" s="543">
        <f>GrossWeightTotalR+PalletQtyTotalR*25</f>
        <v>4650.8100000000004</v>
      </c>
      <c r="Z492" s="37"/>
      <c r="AA492" s="544"/>
      <c r="AB492" s="544"/>
      <c r="AC492" s="544"/>
    </row>
    <row r="493" spans="1:68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5"/>
      <c r="P493" s="636" t="s">
        <v>742</v>
      </c>
      <c r="Q493" s="632"/>
      <c r="R493" s="632"/>
      <c r="S493" s="632"/>
      <c r="T493" s="632"/>
      <c r="U493" s="632"/>
      <c r="V493" s="633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492.67945991630199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504</v>
      </c>
      <c r="Z493" s="37"/>
      <c r="AA493" s="544"/>
      <c r="AB493" s="544"/>
      <c r="AC493" s="544"/>
    </row>
    <row r="494" spans="1:68" ht="14.25" hidden="1" customHeight="1" x14ac:dyDescent="0.2">
      <c r="A494" s="553"/>
      <c r="B494" s="553"/>
      <c r="C494" s="553"/>
      <c r="D494" s="553"/>
      <c r="E494" s="553"/>
      <c r="F494" s="553"/>
      <c r="G494" s="553"/>
      <c r="H494" s="553"/>
      <c r="I494" s="553"/>
      <c r="J494" s="553"/>
      <c r="K494" s="553"/>
      <c r="L494" s="553"/>
      <c r="M494" s="553"/>
      <c r="N494" s="553"/>
      <c r="O494" s="705"/>
      <c r="P494" s="636" t="s">
        <v>743</v>
      </c>
      <c r="Q494" s="632"/>
      <c r="R494" s="632"/>
      <c r="S494" s="632"/>
      <c r="T494" s="632"/>
      <c r="U494" s="632"/>
      <c r="V494" s="633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8.4499200000000005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3" t="s">
        <v>63</v>
      </c>
      <c r="C496" s="593" t="s">
        <v>99</v>
      </c>
      <c r="D496" s="655"/>
      <c r="E496" s="655"/>
      <c r="F496" s="655"/>
      <c r="G496" s="655"/>
      <c r="H496" s="621"/>
      <c r="I496" s="593" t="s">
        <v>251</v>
      </c>
      <c r="J496" s="655"/>
      <c r="K496" s="655"/>
      <c r="L496" s="655"/>
      <c r="M496" s="655"/>
      <c r="N496" s="655"/>
      <c r="O496" s="655"/>
      <c r="P496" s="655"/>
      <c r="Q496" s="655"/>
      <c r="R496" s="621"/>
      <c r="S496" s="593" t="s">
        <v>535</v>
      </c>
      <c r="T496" s="621"/>
      <c r="U496" s="593" t="s">
        <v>586</v>
      </c>
      <c r="V496" s="655"/>
      <c r="W496" s="621"/>
      <c r="X496" s="533" t="s">
        <v>637</v>
      </c>
      <c r="Y496" s="593" t="s">
        <v>697</v>
      </c>
      <c r="Z496" s="621"/>
      <c r="AB496" s="52"/>
      <c r="AC496" s="52"/>
      <c r="AF496" s="534"/>
    </row>
    <row r="497" spans="1:32" ht="14.25" customHeight="1" thickTop="1" x14ac:dyDescent="0.2">
      <c r="A497" s="798" t="s">
        <v>746</v>
      </c>
      <c r="B497" s="593" t="s">
        <v>63</v>
      </c>
      <c r="C497" s="593" t="s">
        <v>100</v>
      </c>
      <c r="D497" s="593" t="s">
        <v>117</v>
      </c>
      <c r="E497" s="593" t="s">
        <v>171</v>
      </c>
      <c r="F497" s="593" t="s">
        <v>190</v>
      </c>
      <c r="G497" s="593" t="s">
        <v>220</v>
      </c>
      <c r="H497" s="593" t="s">
        <v>99</v>
      </c>
      <c r="I497" s="593" t="s">
        <v>252</v>
      </c>
      <c r="J497" s="593" t="s">
        <v>297</v>
      </c>
      <c r="K497" s="593" t="s">
        <v>356</v>
      </c>
      <c r="L497" s="593" t="s">
        <v>398</v>
      </c>
      <c r="M497" s="593" t="s">
        <v>414</v>
      </c>
      <c r="N497" s="534"/>
      <c r="O497" s="593" t="s">
        <v>425</v>
      </c>
      <c r="P497" s="593" t="s">
        <v>434</v>
      </c>
      <c r="Q497" s="593" t="s">
        <v>448</v>
      </c>
      <c r="R497" s="593" t="s">
        <v>525</v>
      </c>
      <c r="S497" s="593" t="s">
        <v>536</v>
      </c>
      <c r="T497" s="593" t="s">
        <v>570</v>
      </c>
      <c r="U497" s="593" t="s">
        <v>587</v>
      </c>
      <c r="V497" s="593" t="s">
        <v>618</v>
      </c>
      <c r="W497" s="593" t="s">
        <v>633</v>
      </c>
      <c r="X497" s="593" t="s">
        <v>637</v>
      </c>
      <c r="Y497" s="593" t="s">
        <v>697</v>
      </c>
      <c r="Z497" s="593" t="s">
        <v>733</v>
      </c>
      <c r="AB497" s="52"/>
      <c r="AC497" s="52"/>
      <c r="AF497" s="534"/>
    </row>
    <row r="498" spans="1:32" ht="13.5" customHeight="1" thickBot="1" x14ac:dyDescent="0.25">
      <c r="A498" s="799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4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4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291.60000000000002</v>
      </c>
      <c r="E499" s="46">
        <f>IFERROR(Y85*1,"0")+IFERROR(Y86*1,"0")+IFERROR(Y87*1,"0")+IFERROR(Y91*1,"0")+IFERROR(Y92*1,"0")+IFERROR(Y93*1,"0")+IFERROR(Y94*1,"0")</f>
        <v>183.60000000000002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1545.6799999999998</v>
      </c>
      <c r="R499" s="46">
        <f>IFERROR(Y335*1,"0")+IFERROR(Y336*1,"0")+IFERROR(Y337*1,"0")</f>
        <v>56.699999999999996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990</v>
      </c>
      <c r="T499" s="46">
        <f>IFERROR(Y368*1,"0")+IFERROR(Y369*1,"0")+IFERROR(Y373*1,"0")+IFERROR(Y374*1,"0")+IFERROR(Y378*1,"0")+IFERROR(Y379*1,"0")</f>
        <v>477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75.600000000000009</v>
      </c>
      <c r="V499" s="46">
        <f>IFERROR(Y403*1,"0")+IFERROR(Y407*1,"0")+IFERROR(Y408*1,"0")+IFERROR(Y409*1,"0")+IFERROR(Y410*1,"0")</f>
        <v>102.60000000000001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332.64000000000004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81</v>
      </c>
      <c r="Z499" s="46">
        <f>IFERROR(Y486*1,"0")</f>
        <v>0</v>
      </c>
      <c r="AB499" s="52"/>
      <c r="AC499" s="52"/>
      <c r="AF499" s="534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,78"/>
        <filter val="1,97"/>
        <filter val="10,19"/>
        <filter val="100,00"/>
        <filter val="110,00"/>
        <filter val="12,35"/>
        <filter val="12,59"/>
        <filter val="14,29"/>
        <filter val="141,03"/>
        <filter val="150,00"/>
        <filter val="16,00"/>
        <filter val="18,52"/>
        <filter val="18,94"/>
        <filter val="180,00"/>
        <filter val="20,00"/>
        <filter val="200,00"/>
        <filter val="25,93"/>
        <filter val="28,00"/>
        <filter val="280,00"/>
        <filter val="30,00"/>
        <filter val="300,00"/>
        <filter val="34,09"/>
        <filter val="35,71"/>
        <filter val="4 160,00"/>
        <filter val="4 364,84"/>
        <filter val="4 564,84"/>
        <filter val="40,00"/>
        <filter val="46,00"/>
        <filter val="470,00"/>
        <filter val="492,68"/>
        <filter val="50,00"/>
        <filter val="52,22"/>
        <filter val="6,00"/>
        <filter val="6,17"/>
        <filter val="60,00"/>
        <filter val="600,00"/>
        <filter val="68,00"/>
        <filter val="690,00"/>
        <filter val="7,41"/>
        <filter val="7,58"/>
        <filter val="8"/>
        <filter val="80,00"/>
      </filters>
    </filterColumn>
    <filterColumn colId="29" showButton="0"/>
    <filterColumn colId="30" showButton="0"/>
  </autoFilter>
  <mergeCells count="874">
    <mergeCell ref="A479:Z479"/>
    <mergeCell ref="D471:E471"/>
    <mergeCell ref="I497:I498"/>
    <mergeCell ref="X17:X18"/>
    <mergeCell ref="P202:T202"/>
    <mergeCell ref="P373:T373"/>
    <mergeCell ref="D421:E421"/>
    <mergeCell ref="P444:T444"/>
    <mergeCell ref="D408:E408"/>
    <mergeCell ref="P216:V216"/>
    <mergeCell ref="P23:V23"/>
    <mergeCell ref="P381:V381"/>
    <mergeCell ref="A262:Z262"/>
    <mergeCell ref="A333:Z333"/>
    <mergeCell ref="D54:E54"/>
    <mergeCell ref="D271:E271"/>
    <mergeCell ref="W497:W498"/>
    <mergeCell ref="P469:V469"/>
    <mergeCell ref="P486:T486"/>
    <mergeCell ref="P493:V493"/>
    <mergeCell ref="A453:O454"/>
    <mergeCell ref="P430:T430"/>
    <mergeCell ref="P494:V494"/>
    <mergeCell ref="P350:V350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D42:E42"/>
    <mergeCell ref="P356:V356"/>
    <mergeCell ref="P363:T363"/>
    <mergeCell ref="A468:O469"/>
    <mergeCell ref="D17:E18"/>
    <mergeCell ref="D344:E344"/>
    <mergeCell ref="P60:T60"/>
    <mergeCell ref="D291:E291"/>
    <mergeCell ref="P174:T174"/>
    <mergeCell ref="D266:E266"/>
    <mergeCell ref="U17:V17"/>
    <mergeCell ref="Y17:Y18"/>
    <mergeCell ref="D397:E397"/>
    <mergeCell ref="P376:V376"/>
    <mergeCell ref="D430:E430"/>
    <mergeCell ref="P371:V371"/>
    <mergeCell ref="Q5:R5"/>
    <mergeCell ref="F17:F18"/>
    <mergeCell ref="P132:V132"/>
    <mergeCell ref="P199:T199"/>
    <mergeCell ref="P435:T435"/>
    <mergeCell ref="D107:E107"/>
    <mergeCell ref="D163:E163"/>
    <mergeCell ref="D278:E278"/>
    <mergeCell ref="P291:T291"/>
    <mergeCell ref="P263:T263"/>
    <mergeCell ref="P305:V305"/>
    <mergeCell ref="P228:T228"/>
    <mergeCell ref="P293:T293"/>
    <mergeCell ref="D336:E336"/>
    <mergeCell ref="D407:E407"/>
    <mergeCell ref="Q6:R6"/>
    <mergeCell ref="P200:T200"/>
    <mergeCell ref="P134:T134"/>
    <mergeCell ref="P292:T292"/>
    <mergeCell ref="A360:O361"/>
    <mergeCell ref="D102:E102"/>
    <mergeCell ref="P81:V81"/>
    <mergeCell ref="A33:Z33"/>
    <mergeCell ref="D196:E196"/>
    <mergeCell ref="AD17:AF18"/>
    <mergeCell ref="D101:E101"/>
    <mergeCell ref="P142:V142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P317:T317"/>
    <mergeCell ref="A136:O137"/>
    <mergeCell ref="A192:O193"/>
    <mergeCell ref="D279:E279"/>
    <mergeCell ref="D323:E323"/>
    <mergeCell ref="F10:G10"/>
    <mergeCell ref="P135:T135"/>
    <mergeCell ref="D34:E34"/>
    <mergeCell ref="A181:O182"/>
    <mergeCell ref="P191:T191"/>
    <mergeCell ref="D99:E99"/>
    <mergeCell ref="P349:T349"/>
    <mergeCell ref="D310:E310"/>
    <mergeCell ref="D29:E29"/>
    <mergeCell ref="D265:E265"/>
    <mergeCell ref="P344:T344"/>
    <mergeCell ref="A20:Z20"/>
    <mergeCell ref="M17:M18"/>
    <mergeCell ref="O17:O18"/>
    <mergeCell ref="P336:T336"/>
    <mergeCell ref="P131:V131"/>
    <mergeCell ref="P187:V187"/>
    <mergeCell ref="A297:Z297"/>
    <mergeCell ref="P102:T102"/>
    <mergeCell ref="P196:T196"/>
    <mergeCell ref="P281:V281"/>
    <mergeCell ref="D226:E226"/>
    <mergeCell ref="V12:W12"/>
    <mergeCell ref="D191:E191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D170:E170"/>
    <mergeCell ref="P465:T465"/>
    <mergeCell ref="P250:V250"/>
    <mergeCell ref="A364:O365"/>
    <mergeCell ref="P47:V47"/>
    <mergeCell ref="P247:T247"/>
    <mergeCell ref="P241:T241"/>
    <mergeCell ref="P41:T41"/>
    <mergeCell ref="D22:E22"/>
    <mergeCell ref="A35:O36"/>
    <mergeCell ref="A455:Z455"/>
    <mergeCell ref="A222:Z222"/>
    <mergeCell ref="P301:T301"/>
    <mergeCell ref="D385:E385"/>
    <mergeCell ref="A23:O24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P85:T85"/>
    <mergeCell ref="A142:O143"/>
    <mergeCell ref="B497:B498"/>
    <mergeCell ref="A103:O104"/>
    <mergeCell ref="P286:V286"/>
    <mergeCell ref="P415:T415"/>
    <mergeCell ref="S496:T496"/>
    <mergeCell ref="U497:U498"/>
    <mergeCell ref="I496:R496"/>
    <mergeCell ref="A497:A498"/>
    <mergeCell ref="T497:T498"/>
    <mergeCell ref="A440:Z440"/>
    <mergeCell ref="V497:V498"/>
    <mergeCell ref="A126:O127"/>
    <mergeCell ref="P294:T294"/>
    <mergeCell ref="A489:O494"/>
    <mergeCell ref="P385:T385"/>
    <mergeCell ref="P410:T410"/>
    <mergeCell ref="A484:Z484"/>
    <mergeCell ref="G497:G498"/>
    <mergeCell ref="Q497:Q498"/>
    <mergeCell ref="L497:L498"/>
    <mergeCell ref="A318:O319"/>
    <mergeCell ref="P176:T176"/>
    <mergeCell ref="P114:T114"/>
    <mergeCell ref="P354:T354"/>
    <mergeCell ref="Q13:R13"/>
    <mergeCell ref="A155:Z155"/>
    <mergeCell ref="P34:T34"/>
    <mergeCell ref="D86:E86"/>
    <mergeCell ref="P214:T214"/>
    <mergeCell ref="D257:E257"/>
    <mergeCell ref="D213:E213"/>
    <mergeCell ref="D151:E151"/>
    <mergeCell ref="P192:V192"/>
    <mergeCell ref="P107:T107"/>
    <mergeCell ref="P126:V126"/>
    <mergeCell ref="A138:Z138"/>
    <mergeCell ref="A183:Z183"/>
    <mergeCell ref="A133:Z133"/>
    <mergeCell ref="D52:E52"/>
    <mergeCell ref="P110:V110"/>
    <mergeCell ref="P168:T168"/>
    <mergeCell ref="P193:V193"/>
    <mergeCell ref="P42:T42"/>
    <mergeCell ref="P92:T92"/>
    <mergeCell ref="D164:E164"/>
    <mergeCell ref="P62:T62"/>
    <mergeCell ref="A31:O32"/>
    <mergeCell ref="N17:N18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474:V474"/>
    <mergeCell ref="P103:V103"/>
    <mergeCell ref="A457:Z457"/>
    <mergeCell ref="P278:T278"/>
    <mergeCell ref="D427:E427"/>
    <mergeCell ref="D442:E442"/>
    <mergeCell ref="D429:E429"/>
    <mergeCell ref="P416:V416"/>
    <mergeCell ref="P492:V492"/>
    <mergeCell ref="P72:T72"/>
    <mergeCell ref="A447:O448"/>
    <mergeCell ref="P436:T436"/>
    <mergeCell ref="A487:O488"/>
    <mergeCell ref="A456:Z456"/>
    <mergeCell ref="D304:E304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125:T125"/>
    <mergeCell ref="P321:T321"/>
    <mergeCell ref="D202:E202"/>
    <mergeCell ref="D373:E373"/>
    <mergeCell ref="A242:O243"/>
    <mergeCell ref="P112:T112"/>
    <mergeCell ref="A179:Z179"/>
    <mergeCell ref="A269:Z269"/>
    <mergeCell ref="D386:E386"/>
    <mergeCell ref="D450:E450"/>
    <mergeCell ref="D452:E452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P93:T93"/>
    <mergeCell ref="P226:T226"/>
    <mergeCell ref="D85:E85"/>
    <mergeCell ref="P164:T164"/>
    <mergeCell ref="D207:E207"/>
    <mergeCell ref="P120:V120"/>
    <mergeCell ref="D256:E256"/>
    <mergeCell ref="P335:T335"/>
    <mergeCell ref="D481:E481"/>
    <mergeCell ref="D299:E299"/>
    <mergeCell ref="P405:V405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A401:Z401"/>
    <mergeCell ref="G17:G18"/>
    <mergeCell ref="P57:V57"/>
    <mergeCell ref="A81:O82"/>
    <mergeCell ref="A152:O153"/>
    <mergeCell ref="P171:V171"/>
    <mergeCell ref="P242:V242"/>
    <mergeCell ref="D80:E80"/>
    <mergeCell ref="P121:V121"/>
    <mergeCell ref="P148:V148"/>
    <mergeCell ref="P130:T130"/>
    <mergeCell ref="P190:T190"/>
    <mergeCell ref="AA17:AA18"/>
    <mergeCell ref="P212:T212"/>
    <mergeCell ref="AC17:AC18"/>
    <mergeCell ref="A377:Z377"/>
    <mergeCell ref="A122:Z122"/>
    <mergeCell ref="P108:T108"/>
    <mergeCell ref="P279:T279"/>
    <mergeCell ref="D393:E393"/>
    <mergeCell ref="P254:T254"/>
    <mergeCell ref="P343:T343"/>
    <mergeCell ref="A288:Z288"/>
    <mergeCell ref="P46:T46"/>
    <mergeCell ref="D225:E225"/>
    <mergeCell ref="P61:T61"/>
    <mergeCell ref="D200:E200"/>
    <mergeCell ref="P359:T359"/>
    <mergeCell ref="D292:E292"/>
    <mergeCell ref="A305:O306"/>
    <mergeCell ref="P346:T346"/>
    <mergeCell ref="D227:E227"/>
    <mergeCell ref="P268:V268"/>
    <mergeCell ref="P339:V339"/>
    <mergeCell ref="P201:T201"/>
    <mergeCell ref="P31:V31"/>
    <mergeCell ref="P483:V483"/>
    <mergeCell ref="D298:E298"/>
    <mergeCell ref="P91:T91"/>
    <mergeCell ref="P404:V404"/>
    <mergeCell ref="D273:E273"/>
    <mergeCell ref="P468:V468"/>
    <mergeCell ref="A160:Z160"/>
    <mergeCell ref="A464:Z464"/>
    <mergeCell ref="A420:Z420"/>
    <mergeCell ref="P472:T472"/>
    <mergeCell ref="A462:O463"/>
    <mergeCell ref="D459:E459"/>
    <mergeCell ref="P482:V482"/>
    <mergeCell ref="P409:T409"/>
    <mergeCell ref="A399:O400"/>
    <mergeCell ref="D461:E461"/>
    <mergeCell ref="D436:E436"/>
    <mergeCell ref="D389:E389"/>
    <mergeCell ref="D321:E321"/>
    <mergeCell ref="P451:T451"/>
    <mergeCell ref="P473:V473"/>
    <mergeCell ref="P158:V158"/>
    <mergeCell ref="A154:Z154"/>
    <mergeCell ref="D212:E212"/>
    <mergeCell ref="C497:C498"/>
    <mergeCell ref="E497:E498"/>
    <mergeCell ref="P220:V220"/>
    <mergeCell ref="P248:T248"/>
    <mergeCell ref="P441:T441"/>
    <mergeCell ref="D51:E51"/>
    <mergeCell ref="D349:E349"/>
    <mergeCell ref="D476:E476"/>
    <mergeCell ref="A38:Z38"/>
    <mergeCell ref="P207:T207"/>
    <mergeCell ref="A131:O132"/>
    <mergeCell ref="A372:Z372"/>
    <mergeCell ref="P172:V172"/>
    <mergeCell ref="P299:T299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A340:Z340"/>
    <mergeCell ref="A418:Z418"/>
    <mergeCell ref="D348:E348"/>
    <mergeCell ref="D62:E62"/>
    <mergeCell ref="P141:T141"/>
    <mergeCell ref="P454:V454"/>
    <mergeCell ref="D56:E56"/>
    <mergeCell ref="P206:T206"/>
    <mergeCell ref="P233:T233"/>
    <mergeCell ref="D176:E176"/>
    <mergeCell ref="P304:T304"/>
    <mergeCell ref="D114:E114"/>
    <mergeCell ref="D347:E347"/>
    <mergeCell ref="D425:E425"/>
    <mergeCell ref="D359:E359"/>
    <mergeCell ref="A220:O221"/>
    <mergeCell ref="P161:T161"/>
    <mergeCell ref="P388:T388"/>
    <mergeCell ref="D198:E198"/>
    <mergeCell ref="P104:V104"/>
    <mergeCell ref="A252:Z252"/>
    <mergeCell ref="D75:E75"/>
    <mergeCell ref="D206:E206"/>
    <mergeCell ref="P390:T390"/>
    <mergeCell ref="D146:E146"/>
    <mergeCell ref="A470:Z470"/>
    <mergeCell ref="D424:E424"/>
    <mergeCell ref="P224:T224"/>
    <mergeCell ref="A285:O286"/>
    <mergeCell ref="P322:T322"/>
    <mergeCell ref="P211:T211"/>
    <mergeCell ref="P309:T309"/>
    <mergeCell ref="P324:T324"/>
    <mergeCell ref="A261:Z261"/>
    <mergeCell ref="P338:V338"/>
    <mergeCell ref="P313:V313"/>
    <mergeCell ref="D254:E254"/>
    <mergeCell ref="A367:Z367"/>
    <mergeCell ref="D346:E346"/>
    <mergeCell ref="P229:T229"/>
    <mergeCell ref="A419:Z419"/>
    <mergeCell ref="P446:T446"/>
    <mergeCell ref="P459:T459"/>
    <mergeCell ref="D465:E465"/>
    <mergeCell ref="P230:T230"/>
    <mergeCell ref="D211:E211"/>
    <mergeCell ref="D214:E214"/>
    <mergeCell ref="D284:E284"/>
    <mergeCell ref="A380:O381"/>
    <mergeCell ref="T5:U5"/>
    <mergeCell ref="D119:E119"/>
    <mergeCell ref="V5:W5"/>
    <mergeCell ref="D190:E190"/>
    <mergeCell ref="D46:E46"/>
    <mergeCell ref="D246:E246"/>
    <mergeCell ref="P374:T374"/>
    <mergeCell ref="D40:E40"/>
    <mergeCell ref="D233:E233"/>
    <mergeCell ref="A295:O296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201:E201"/>
    <mergeCell ref="P74:T74"/>
    <mergeCell ref="P243:V243"/>
    <mergeCell ref="A19:Z19"/>
    <mergeCell ref="P310:T310"/>
    <mergeCell ref="D335:E335"/>
    <mergeCell ref="A375:O376"/>
    <mergeCell ref="P245:T245"/>
    <mergeCell ref="P51:T51"/>
    <mergeCell ref="P26:T26"/>
    <mergeCell ref="P58:V58"/>
    <mergeCell ref="D61:E61"/>
    <mergeCell ref="P115:T115"/>
    <mergeCell ref="A88:O89"/>
    <mergeCell ref="D125:E125"/>
    <mergeCell ref="P275:V275"/>
    <mergeCell ref="P63:V63"/>
    <mergeCell ref="P101:T101"/>
    <mergeCell ref="D112:E112"/>
    <mergeCell ref="D283:E283"/>
    <mergeCell ref="P27:T27"/>
    <mergeCell ref="P225:T225"/>
    <mergeCell ref="D317:E317"/>
    <mergeCell ref="A341:Z341"/>
    <mergeCell ref="P32:V32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D445:E445"/>
    <mergeCell ref="D224:E224"/>
    <mergeCell ref="P355:V355"/>
    <mergeCell ref="A240:Z240"/>
    <mergeCell ref="D343:E34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181:V181"/>
    <mergeCell ref="A98:Z98"/>
    <mergeCell ref="A396:Z396"/>
    <mergeCell ref="P306:V306"/>
    <mergeCell ref="D460:E460"/>
    <mergeCell ref="D93:E93"/>
    <mergeCell ref="D264:E264"/>
    <mergeCell ref="D391:E391"/>
    <mergeCell ref="P370:V370"/>
    <mergeCell ref="A394:O395"/>
    <mergeCell ref="D157:E157"/>
    <mergeCell ref="D328:E328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U496:W496"/>
    <mergeCell ref="P180:T180"/>
    <mergeCell ref="P167:T167"/>
    <mergeCell ref="D26:E26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A203:O204"/>
    <mergeCell ref="P169:T169"/>
    <mergeCell ref="A274:O275"/>
    <mergeCell ref="D388:E388"/>
    <mergeCell ref="P442:T442"/>
    <mergeCell ref="P467:T467"/>
    <mergeCell ref="P489:V489"/>
    <mergeCell ref="P119:T119"/>
    <mergeCell ref="A43:O44"/>
    <mergeCell ref="P246:T246"/>
    <mergeCell ref="P127:V127"/>
    <mergeCell ref="P497:P498"/>
    <mergeCell ref="D229:E229"/>
    <mergeCell ref="A402:Z402"/>
    <mergeCell ref="R497:R498"/>
    <mergeCell ref="D108:E108"/>
    <mergeCell ref="P258:T258"/>
    <mergeCell ref="P429:T429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D322:E322"/>
    <mergeCell ref="O497:O498"/>
    <mergeCell ref="D309:E309"/>
    <mergeCell ref="P490:V490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D329:E329"/>
    <mergeCell ref="P52:T52"/>
    <mergeCell ref="I17:I18"/>
    <mergeCell ref="D72:E72"/>
    <mergeCell ref="P36:V36"/>
    <mergeCell ref="A97:Z97"/>
    <mergeCell ref="D113:E113"/>
    <mergeCell ref="A123:Z123"/>
    <mergeCell ref="D390:E390"/>
    <mergeCell ref="P197:T197"/>
    <mergeCell ref="P53:T53"/>
    <mergeCell ref="D167:E167"/>
    <mergeCell ref="D1:F1"/>
    <mergeCell ref="P466:T466"/>
    <mergeCell ref="A71:Z71"/>
    <mergeCell ref="P488:V488"/>
    <mergeCell ref="A307:Z307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A6:C6"/>
    <mergeCell ref="Q12:R12"/>
    <mergeCell ref="F9:G9"/>
    <mergeCell ref="D161:E161"/>
    <mergeCell ref="H1:Q1"/>
    <mergeCell ref="P109:V109"/>
    <mergeCell ref="P280:V280"/>
    <mergeCell ref="P274:V274"/>
    <mergeCell ref="A366:Z366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D145:E145"/>
    <mergeCell ref="P273:T273"/>
    <mergeCell ref="D316:E316"/>
    <mergeCell ref="D272:E272"/>
    <mergeCell ref="D387:E387"/>
    <mergeCell ref="D210:E210"/>
    <mergeCell ref="D443:E443"/>
    <mergeCell ref="A250:O251"/>
    <mergeCell ref="Y496:Z496"/>
    <mergeCell ref="D308:E308"/>
    <mergeCell ref="D87:E87"/>
    <mergeCell ref="P166:T166"/>
    <mergeCell ref="D147:E147"/>
    <mergeCell ref="P188:V188"/>
    <mergeCell ref="A187:O188"/>
    <mergeCell ref="D67:E67"/>
    <mergeCell ref="D5:E5"/>
    <mergeCell ref="D303:E303"/>
    <mergeCell ref="A238:O239"/>
    <mergeCell ref="D290:E290"/>
    <mergeCell ref="D94:E94"/>
    <mergeCell ref="A109:O110"/>
    <mergeCell ref="A47:O48"/>
    <mergeCell ref="D209:E209"/>
    <mergeCell ref="D7:M7"/>
    <mergeCell ref="D129:E129"/>
    <mergeCell ref="D79:E79"/>
    <mergeCell ref="D302:E302"/>
    <mergeCell ref="D27:E27"/>
    <mergeCell ref="A12:M12"/>
    <mergeCell ref="A13:M13"/>
    <mergeCell ref="A15:M15"/>
    <mergeCell ref="J9:M9"/>
    <mergeCell ref="H17:H18"/>
    <mergeCell ref="H10:M10"/>
    <mergeCell ref="H5:M5"/>
    <mergeCell ref="D6:M6"/>
    <mergeCell ref="A9:C9"/>
    <mergeCell ref="D10:E1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329:T329"/>
    <mergeCell ref="A148:O149"/>
    <mergeCell ref="P251:V251"/>
    <mergeCell ref="P266:T266"/>
    <mergeCell ref="P79:T79"/>
    <mergeCell ref="D60:E60"/>
    <mergeCell ref="P73:T73"/>
    <mergeCell ref="P315:T315"/>
    <mergeCell ref="D28:E28"/>
    <mergeCell ref="D92:E92"/>
    <mergeCell ref="D55:E55"/>
    <mergeCell ref="D30:E30"/>
    <mergeCell ref="A95:O96"/>
    <mergeCell ref="D353:E353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449:Z449"/>
    <mergeCell ref="P325:V325"/>
    <mergeCell ref="A150:Z150"/>
    <mergeCell ref="A144:Z144"/>
    <mergeCell ref="A120:O121"/>
    <mergeCell ref="D378:E378"/>
    <mergeCell ref="P458:T458"/>
    <mergeCell ref="P487:V487"/>
    <mergeCell ref="P182:V182"/>
    <mergeCell ref="P476:T476"/>
    <mergeCell ref="P407:T407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145:T145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1:T471"/>
    <mergeCell ref="D245:E245"/>
    <mergeCell ref="A282:Z282"/>
    <mergeCell ref="D301:E301"/>
    <mergeCell ref="P337:T337"/>
    <mergeCell ref="D486:E486"/>
    <mergeCell ref="P86:T86"/>
    <mergeCell ref="P157:T157"/>
    <mergeCell ref="D134:E134"/>
    <mergeCell ref="P213:T213"/>
    <mergeCell ref="P328:T328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P30:T30"/>
    <mergeCell ref="D73:E73"/>
    <mergeCell ref="P77:V77"/>
    <mergeCell ref="A76:O77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143:V143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A171:O172"/>
    <mergeCell ref="P235:V235"/>
    <mergeCell ref="D258:E258"/>
    <mergeCell ref="A105:Z105"/>
    <mergeCell ref="P289:T289"/>
    <mergeCell ref="D232:E232"/>
    <mergeCell ref="D403:E403"/>
    <mergeCell ref="P422:T422"/>
    <mergeCell ref="P136:V136"/>
    <mergeCell ref="A253:Z253"/>
    <mergeCell ref="D315:E315"/>
    <mergeCell ref="A338:O339"/>
    <mergeCell ref="P208:T208"/>
    <mergeCell ref="P397:T39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2025-11-25T10:48:28Z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