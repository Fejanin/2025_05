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AFEC04F-EC8F-41AC-A79F-D7EBCCAD714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O460" i="1"/>
  <c r="BM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Z423" i="1" s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1" i="1"/>
  <c r="Y380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O353" i="1"/>
  <c r="BM353" i="1"/>
  <c r="Y353" i="1"/>
  <c r="Y355" i="1" s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X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BP254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BP206" i="1" s="1"/>
  <c r="P206" i="1"/>
  <c r="X204" i="1"/>
  <c r="X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J499" i="1" s="1"/>
  <c r="P185" i="1"/>
  <c r="X182" i="1"/>
  <c r="X181" i="1"/>
  <c r="BO180" i="1"/>
  <c r="BM180" i="1"/>
  <c r="Y180" i="1"/>
  <c r="Y181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Y152" i="1" s="1"/>
  <c r="X149" i="1"/>
  <c r="X148" i="1"/>
  <c r="BO147" i="1"/>
  <c r="BM147" i="1"/>
  <c r="Y147" i="1"/>
  <c r="P147" i="1"/>
  <c r="BO146" i="1"/>
  <c r="BM146" i="1"/>
  <c r="Y146" i="1"/>
  <c r="BP146" i="1" s="1"/>
  <c r="P146" i="1"/>
  <c r="BO145" i="1"/>
  <c r="BM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E499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P26" i="1" s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BP92" i="1" l="1"/>
  <c r="BN92" i="1"/>
  <c r="Z92" i="1"/>
  <c r="BP130" i="1"/>
  <c r="BN130" i="1"/>
  <c r="Z130" i="1"/>
  <c r="BP162" i="1"/>
  <c r="BN162" i="1"/>
  <c r="Z162" i="1"/>
  <c r="BP190" i="1"/>
  <c r="BN190" i="1"/>
  <c r="Z190" i="1"/>
  <c r="BP212" i="1"/>
  <c r="BN212" i="1"/>
  <c r="Z212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72" i="1"/>
  <c r="BN272" i="1"/>
  <c r="Z272" i="1"/>
  <c r="BP309" i="1"/>
  <c r="BN309" i="1"/>
  <c r="Z309" i="1"/>
  <c r="BP344" i="1"/>
  <c r="BN344" i="1"/>
  <c r="Z344" i="1"/>
  <c r="BP389" i="1"/>
  <c r="BN389" i="1"/>
  <c r="Z389" i="1"/>
  <c r="BP424" i="1"/>
  <c r="BN424" i="1"/>
  <c r="Z424" i="1"/>
  <c r="BP450" i="1"/>
  <c r="BN450" i="1"/>
  <c r="Z450" i="1"/>
  <c r="Z22" i="1"/>
  <c r="Z23" i="1" s="1"/>
  <c r="BN22" i="1"/>
  <c r="BP22" i="1"/>
  <c r="Z26" i="1"/>
  <c r="BN26" i="1"/>
  <c r="Z42" i="1"/>
  <c r="BN42" i="1"/>
  <c r="Z61" i="1"/>
  <c r="BN61" i="1"/>
  <c r="BP73" i="1"/>
  <c r="BN73" i="1"/>
  <c r="Z73" i="1"/>
  <c r="BP107" i="1"/>
  <c r="BN107" i="1"/>
  <c r="Z107" i="1"/>
  <c r="BP147" i="1"/>
  <c r="BN147" i="1"/>
  <c r="Z147" i="1"/>
  <c r="BP167" i="1"/>
  <c r="BN167" i="1"/>
  <c r="Z167" i="1"/>
  <c r="BP202" i="1"/>
  <c r="BN202" i="1"/>
  <c r="Z202" i="1"/>
  <c r="BP227" i="1"/>
  <c r="BN227" i="1"/>
  <c r="Z227" i="1"/>
  <c r="BP256" i="1"/>
  <c r="BN256" i="1"/>
  <c r="Z256" i="1"/>
  <c r="BP293" i="1"/>
  <c r="BN293" i="1"/>
  <c r="Z293" i="1"/>
  <c r="BP321" i="1"/>
  <c r="BN321" i="1"/>
  <c r="Z321" i="1"/>
  <c r="BP369" i="1"/>
  <c r="BN369" i="1"/>
  <c r="Z369" i="1"/>
  <c r="BP408" i="1"/>
  <c r="BN408" i="1"/>
  <c r="Z408" i="1"/>
  <c r="BP436" i="1"/>
  <c r="BN436" i="1"/>
  <c r="Z436" i="1"/>
  <c r="BP466" i="1"/>
  <c r="BN466" i="1"/>
  <c r="Z466" i="1"/>
  <c r="Y204" i="1"/>
  <c r="O499" i="1"/>
  <c r="BP265" i="1"/>
  <c r="BN265" i="1"/>
  <c r="BP279" i="1"/>
  <c r="BN279" i="1"/>
  <c r="Z279" i="1"/>
  <c r="BP299" i="1"/>
  <c r="BN299" i="1"/>
  <c r="Z299" i="1"/>
  <c r="BP311" i="1"/>
  <c r="BN311" i="1"/>
  <c r="Z311" i="1"/>
  <c r="BP323" i="1"/>
  <c r="BN323" i="1"/>
  <c r="Z323" i="1"/>
  <c r="BP346" i="1"/>
  <c r="BN346" i="1"/>
  <c r="Z346" i="1"/>
  <c r="Y375" i="1"/>
  <c r="BP373" i="1"/>
  <c r="BN373" i="1"/>
  <c r="Z373" i="1"/>
  <c r="BP391" i="1"/>
  <c r="BN391" i="1"/>
  <c r="Z391" i="1"/>
  <c r="BP410" i="1"/>
  <c r="BN410" i="1"/>
  <c r="Z410" i="1"/>
  <c r="BP426" i="1"/>
  <c r="BN426" i="1"/>
  <c r="Z426" i="1"/>
  <c r="BP442" i="1"/>
  <c r="BN442" i="1"/>
  <c r="Z442" i="1"/>
  <c r="BP452" i="1"/>
  <c r="BN452" i="1"/>
  <c r="Z452" i="1"/>
  <c r="BP472" i="1"/>
  <c r="BN472" i="1"/>
  <c r="Z472" i="1"/>
  <c r="Y478" i="1"/>
  <c r="Y477" i="1"/>
  <c r="BP476" i="1"/>
  <c r="BN476" i="1"/>
  <c r="Z476" i="1"/>
  <c r="Z477" i="1" s="1"/>
  <c r="BP480" i="1"/>
  <c r="BN480" i="1"/>
  <c r="Z480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Y63" i="1"/>
  <c r="Z67" i="1"/>
  <c r="BN67" i="1"/>
  <c r="Y77" i="1"/>
  <c r="Z75" i="1"/>
  <c r="BN75" i="1"/>
  <c r="Y81" i="1"/>
  <c r="Z86" i="1"/>
  <c r="BN86" i="1"/>
  <c r="Y96" i="1"/>
  <c r="Z94" i="1"/>
  <c r="BN94" i="1"/>
  <c r="F499" i="1"/>
  <c r="Z101" i="1"/>
  <c r="BN101" i="1"/>
  <c r="Y109" i="1"/>
  <c r="Z113" i="1"/>
  <c r="BN113" i="1"/>
  <c r="Z119" i="1"/>
  <c r="Z120" i="1" s="1"/>
  <c r="BN119" i="1"/>
  <c r="BP119" i="1"/>
  <c r="Y120" i="1"/>
  <c r="Z124" i="1"/>
  <c r="BN124" i="1"/>
  <c r="Z134" i="1"/>
  <c r="BN134" i="1"/>
  <c r="BP134" i="1"/>
  <c r="H499" i="1"/>
  <c r="Z145" i="1"/>
  <c r="BN145" i="1"/>
  <c r="BP145" i="1"/>
  <c r="I499" i="1"/>
  <c r="Y171" i="1"/>
  <c r="Z164" i="1"/>
  <c r="BN164" i="1"/>
  <c r="Z165" i="1"/>
  <c r="BN165" i="1"/>
  <c r="Z169" i="1"/>
  <c r="BN169" i="1"/>
  <c r="Y177" i="1"/>
  <c r="Z186" i="1"/>
  <c r="BN186" i="1"/>
  <c r="Y192" i="1"/>
  <c r="Z196" i="1"/>
  <c r="BN196" i="1"/>
  <c r="Z200" i="1"/>
  <c r="BN200" i="1"/>
  <c r="Z206" i="1"/>
  <c r="BN206" i="1"/>
  <c r="Z210" i="1"/>
  <c r="BN210" i="1"/>
  <c r="Z214" i="1"/>
  <c r="BN214" i="1"/>
  <c r="Z225" i="1"/>
  <c r="BN225" i="1"/>
  <c r="Z229" i="1"/>
  <c r="BN229" i="1"/>
  <c r="Z233" i="1"/>
  <c r="BN233" i="1"/>
  <c r="Y251" i="1"/>
  <c r="Z247" i="1"/>
  <c r="BN247" i="1"/>
  <c r="Z254" i="1"/>
  <c r="BN254" i="1"/>
  <c r="Z258" i="1"/>
  <c r="BN258" i="1"/>
  <c r="Z265" i="1"/>
  <c r="BP291" i="1"/>
  <c r="BN291" i="1"/>
  <c r="Z291" i="1"/>
  <c r="BP303" i="1"/>
  <c r="BN303" i="1"/>
  <c r="Z303" i="1"/>
  <c r="BP317" i="1"/>
  <c r="BN317" i="1"/>
  <c r="Z317" i="1"/>
  <c r="BP336" i="1"/>
  <c r="BN336" i="1"/>
  <c r="Z336" i="1"/>
  <c r="BP354" i="1"/>
  <c r="BN354" i="1"/>
  <c r="Z354" i="1"/>
  <c r="BP358" i="1"/>
  <c r="BN358" i="1"/>
  <c r="Z358" i="1"/>
  <c r="BP387" i="1"/>
  <c r="BN387" i="1"/>
  <c r="Z387" i="1"/>
  <c r="BP397" i="1"/>
  <c r="BN397" i="1"/>
  <c r="Z397" i="1"/>
  <c r="BP430" i="1"/>
  <c r="BN430" i="1"/>
  <c r="Z430" i="1"/>
  <c r="BP446" i="1"/>
  <c r="BN446" i="1"/>
  <c r="Z446" i="1"/>
  <c r="BP460" i="1"/>
  <c r="BN460" i="1"/>
  <c r="Z460" i="1"/>
  <c r="Q499" i="1"/>
  <c r="Y325" i="1"/>
  <c r="Y462" i="1"/>
  <c r="W499" i="1"/>
  <c r="F9" i="1"/>
  <c r="J9" i="1"/>
  <c r="F10" i="1"/>
  <c r="Y31" i="1"/>
  <c r="Y43" i="1"/>
  <c r="Y58" i="1"/>
  <c r="Y64" i="1"/>
  <c r="Y70" i="1"/>
  <c r="Y76" i="1"/>
  <c r="Y82" i="1"/>
  <c r="Y89" i="1"/>
  <c r="Y95" i="1"/>
  <c r="Y104" i="1"/>
  <c r="Y110" i="1"/>
  <c r="Y116" i="1"/>
  <c r="Y127" i="1"/>
  <c r="Y131" i="1"/>
  <c r="Y137" i="1"/>
  <c r="Y142" i="1"/>
  <c r="Y148" i="1"/>
  <c r="Y153" i="1"/>
  <c r="Y159" i="1"/>
  <c r="Y172" i="1"/>
  <c r="Y178" i="1"/>
  <c r="Y182" i="1"/>
  <c r="Y187" i="1"/>
  <c r="Y193" i="1"/>
  <c r="Y203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BP386" i="1"/>
  <c r="BN386" i="1"/>
  <c r="Z386" i="1"/>
  <c r="BP390" i="1"/>
  <c r="BN390" i="1"/>
  <c r="Z390" i="1"/>
  <c r="Y394" i="1"/>
  <c r="BP398" i="1"/>
  <c r="BN398" i="1"/>
  <c r="Z398" i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Y411" i="1"/>
  <c r="BP422" i="1"/>
  <c r="BN422" i="1"/>
  <c r="Z422" i="1"/>
  <c r="Y433" i="1"/>
  <c r="H9" i="1"/>
  <c r="B499" i="1"/>
  <c r="X490" i="1"/>
  <c r="X491" i="1"/>
  <c r="X493" i="1"/>
  <c r="Y24" i="1"/>
  <c r="Z27" i="1"/>
  <c r="BN27" i="1"/>
  <c r="Z29" i="1"/>
  <c r="BN29" i="1"/>
  <c r="C499" i="1"/>
  <c r="Z41" i="1"/>
  <c r="BN41" i="1"/>
  <c r="Y44" i="1"/>
  <c r="D499" i="1"/>
  <c r="Z52" i="1"/>
  <c r="BN52" i="1"/>
  <c r="Z54" i="1"/>
  <c r="BN54" i="1"/>
  <c r="Z56" i="1"/>
  <c r="BN56" i="1"/>
  <c r="Y57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88" i="1"/>
  <c r="Z91" i="1"/>
  <c r="BN91" i="1"/>
  <c r="BP91" i="1"/>
  <c r="Z93" i="1"/>
  <c r="BN93" i="1"/>
  <c r="Z100" i="1"/>
  <c r="BN100" i="1"/>
  <c r="Z102" i="1"/>
  <c r="BN102" i="1"/>
  <c r="Y103" i="1"/>
  <c r="Z106" i="1"/>
  <c r="BN106" i="1"/>
  <c r="BP106" i="1"/>
  <c r="Z108" i="1"/>
  <c r="BN108" i="1"/>
  <c r="Z112" i="1"/>
  <c r="BN112" i="1"/>
  <c r="BP112" i="1"/>
  <c r="Z114" i="1"/>
  <c r="BN114" i="1"/>
  <c r="G499" i="1"/>
  <c r="Z125" i="1"/>
  <c r="Z126" i="1" s="1"/>
  <c r="BN125" i="1"/>
  <c r="Y126" i="1"/>
  <c r="Z129" i="1"/>
  <c r="BN129" i="1"/>
  <c r="BP129" i="1"/>
  <c r="Z135" i="1"/>
  <c r="Z136" i="1" s="1"/>
  <c r="BN135" i="1"/>
  <c r="Z140" i="1"/>
  <c r="Z142" i="1" s="1"/>
  <c r="BN140" i="1"/>
  <c r="BP140" i="1"/>
  <c r="Y143" i="1"/>
  <c r="Z146" i="1"/>
  <c r="Z148" i="1" s="1"/>
  <c r="BN146" i="1"/>
  <c r="Z151" i="1"/>
  <c r="Z152" i="1" s="1"/>
  <c r="BN151" i="1"/>
  <c r="BP151" i="1"/>
  <c r="Z157" i="1"/>
  <c r="Z158" i="1" s="1"/>
  <c r="BN157" i="1"/>
  <c r="BP157" i="1"/>
  <c r="Y158" i="1"/>
  <c r="Z161" i="1"/>
  <c r="BN161" i="1"/>
  <c r="BP161" i="1"/>
  <c r="Z163" i="1"/>
  <c r="BN163" i="1"/>
  <c r="Z166" i="1"/>
  <c r="BN166" i="1"/>
  <c r="Z168" i="1"/>
  <c r="BN168" i="1"/>
  <c r="Z170" i="1"/>
  <c r="BN170" i="1"/>
  <c r="Z174" i="1"/>
  <c r="BN174" i="1"/>
  <c r="BP174" i="1"/>
  <c r="Z176" i="1"/>
  <c r="BN176" i="1"/>
  <c r="Z180" i="1"/>
  <c r="Z181" i="1" s="1"/>
  <c r="BN180" i="1"/>
  <c r="BP180" i="1"/>
  <c r="Z185" i="1"/>
  <c r="Z187" i="1" s="1"/>
  <c r="BN185" i="1"/>
  <c r="BP185" i="1"/>
  <c r="Y188" i="1"/>
  <c r="Z191" i="1"/>
  <c r="Z192" i="1" s="1"/>
  <c r="BN191" i="1"/>
  <c r="Z195" i="1"/>
  <c r="BN195" i="1"/>
  <c r="BP195" i="1"/>
  <c r="Z197" i="1"/>
  <c r="BN197" i="1"/>
  <c r="Z199" i="1"/>
  <c r="BN199" i="1"/>
  <c r="Z201" i="1"/>
  <c r="BN201" i="1"/>
  <c r="Y216" i="1"/>
  <c r="Z207" i="1"/>
  <c r="BN207" i="1"/>
  <c r="Z209" i="1"/>
  <c r="BN209" i="1"/>
  <c r="BP213" i="1"/>
  <c r="BN213" i="1"/>
  <c r="Z213" i="1"/>
  <c r="Y220" i="1"/>
  <c r="BP226" i="1"/>
  <c r="BN226" i="1"/>
  <c r="Z226" i="1"/>
  <c r="BP230" i="1"/>
  <c r="BN230" i="1"/>
  <c r="Z230" i="1"/>
  <c r="Y234" i="1"/>
  <c r="BP246" i="1"/>
  <c r="BN246" i="1"/>
  <c r="Z246" i="1"/>
  <c r="Y250" i="1"/>
  <c r="BP255" i="1"/>
  <c r="BN255" i="1"/>
  <c r="Z255" i="1"/>
  <c r="Y259" i="1"/>
  <c r="BP264" i="1"/>
  <c r="BN264" i="1"/>
  <c r="Z264" i="1"/>
  <c r="BP273" i="1"/>
  <c r="BN273" i="1"/>
  <c r="Z273" i="1"/>
  <c r="Y275" i="1"/>
  <c r="P499" i="1"/>
  <c r="Y281" i="1"/>
  <c r="BP278" i="1"/>
  <c r="BN278" i="1"/>
  <c r="Z278" i="1"/>
  <c r="Y280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Y350" i="1"/>
  <c r="BP343" i="1"/>
  <c r="BN343" i="1"/>
  <c r="Z343" i="1"/>
  <c r="S499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499" i="1"/>
  <c r="Y371" i="1"/>
  <c r="BP368" i="1"/>
  <c r="BN368" i="1"/>
  <c r="Z368" i="1"/>
  <c r="Z370" i="1" s="1"/>
  <c r="Y370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Y483" i="1"/>
  <c r="Z499" i="1"/>
  <c r="Y487" i="1"/>
  <c r="BP486" i="1"/>
  <c r="BN486" i="1"/>
  <c r="Z486" i="1"/>
  <c r="Z487" i="1" s="1"/>
  <c r="Y488" i="1"/>
  <c r="L499" i="1"/>
  <c r="Y260" i="1"/>
  <c r="M499" i="1"/>
  <c r="Y267" i="1"/>
  <c r="BP266" i="1"/>
  <c r="BN266" i="1"/>
  <c r="Z266" i="1"/>
  <c r="Y268" i="1"/>
  <c r="Y274" i="1"/>
  <c r="BP271" i="1"/>
  <c r="BN271" i="1"/>
  <c r="Z271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499" i="1"/>
  <c r="Y338" i="1"/>
  <c r="BP335" i="1"/>
  <c r="BN335" i="1"/>
  <c r="Z335" i="1"/>
  <c r="BP345" i="1"/>
  <c r="BN345" i="1"/>
  <c r="Z345" i="1"/>
  <c r="BP349" i="1"/>
  <c r="BN349" i="1"/>
  <c r="Z349" i="1"/>
  <c r="Y356" i="1"/>
  <c r="BP353" i="1"/>
  <c r="BN353" i="1"/>
  <c r="Z353" i="1"/>
  <c r="Y360" i="1"/>
  <c r="BP374" i="1"/>
  <c r="BN374" i="1"/>
  <c r="Z374" i="1"/>
  <c r="Y376" i="1"/>
  <c r="Y381" i="1"/>
  <c r="BP378" i="1"/>
  <c r="BN378" i="1"/>
  <c r="Z378" i="1"/>
  <c r="Z380" i="1" s="1"/>
  <c r="U499" i="1"/>
  <c r="BP388" i="1"/>
  <c r="BN388" i="1"/>
  <c r="Z388" i="1"/>
  <c r="BP392" i="1"/>
  <c r="BN392" i="1"/>
  <c r="Z392" i="1"/>
  <c r="Y399" i="1"/>
  <c r="BP409" i="1"/>
  <c r="BN409" i="1"/>
  <c r="Z409" i="1"/>
  <c r="BP427" i="1"/>
  <c r="BN427" i="1"/>
  <c r="Z427" i="1"/>
  <c r="BP431" i="1"/>
  <c r="BN431" i="1"/>
  <c r="Z431" i="1"/>
  <c r="Y438" i="1"/>
  <c r="BP435" i="1"/>
  <c r="BN435" i="1"/>
  <c r="Z435" i="1"/>
  <c r="Y439" i="1"/>
  <c r="BP443" i="1"/>
  <c r="BN443" i="1"/>
  <c r="Z443" i="1"/>
  <c r="Y447" i="1"/>
  <c r="BP451" i="1"/>
  <c r="BN451" i="1"/>
  <c r="Z451" i="1"/>
  <c r="Z453" i="1" s="1"/>
  <c r="Y453" i="1"/>
  <c r="Y295" i="1"/>
  <c r="Y395" i="1"/>
  <c r="X499" i="1"/>
  <c r="Y432" i="1"/>
  <c r="BP423" i="1"/>
  <c r="BN423" i="1"/>
  <c r="BP425" i="1"/>
  <c r="BN425" i="1"/>
  <c r="Z425" i="1"/>
  <c r="Z432" i="1" s="1"/>
  <c r="BP429" i="1"/>
  <c r="BN429" i="1"/>
  <c r="Z429" i="1"/>
  <c r="BP437" i="1"/>
  <c r="BN437" i="1"/>
  <c r="Z437" i="1"/>
  <c r="Y448" i="1"/>
  <c r="BP441" i="1"/>
  <c r="BN441" i="1"/>
  <c r="Z441" i="1"/>
  <c r="BP445" i="1"/>
  <c r="BN445" i="1"/>
  <c r="Z445" i="1"/>
  <c r="Y454" i="1"/>
  <c r="BP459" i="1"/>
  <c r="BN459" i="1"/>
  <c r="Z459" i="1"/>
  <c r="BP467" i="1"/>
  <c r="BN467" i="1"/>
  <c r="Z467" i="1"/>
  <c r="Y474" i="1"/>
  <c r="BP471" i="1"/>
  <c r="BN471" i="1"/>
  <c r="Z471" i="1"/>
  <c r="Z473" i="1" s="1"/>
  <c r="Y482" i="1"/>
  <c r="Y499" i="1"/>
  <c r="Z274" i="1" l="1"/>
  <c r="Z259" i="1"/>
  <c r="Z250" i="1"/>
  <c r="Z131" i="1"/>
  <c r="Z43" i="1"/>
  <c r="Z399" i="1"/>
  <c r="Z215" i="1"/>
  <c r="Z103" i="1"/>
  <c r="Y491" i="1"/>
  <c r="Z31" i="1"/>
  <c r="Z394" i="1"/>
  <c r="Y493" i="1"/>
  <c r="Z462" i="1"/>
  <c r="Z438" i="1"/>
  <c r="Z375" i="1"/>
  <c r="Z355" i="1"/>
  <c r="Z338" i="1"/>
  <c r="Z305" i="1"/>
  <c r="Z295" i="1"/>
  <c r="Z267" i="1"/>
  <c r="Z482" i="1"/>
  <c r="Z280" i="1"/>
  <c r="Z171" i="1"/>
  <c r="Z109" i="1"/>
  <c r="Z95" i="1"/>
  <c r="Z88" i="1"/>
  <c r="Z69" i="1"/>
  <c r="Z57" i="1"/>
  <c r="Y490" i="1"/>
  <c r="Y492" i="1" s="1"/>
  <c r="Z447" i="1"/>
  <c r="Z350" i="1"/>
  <c r="Z203" i="1"/>
  <c r="Z177" i="1"/>
  <c r="Z116" i="1"/>
  <c r="Z76" i="1"/>
  <c r="Z63" i="1"/>
  <c r="X492" i="1"/>
  <c r="Z468" i="1"/>
  <c r="Z331" i="1"/>
  <c r="Y489" i="1"/>
  <c r="Z411" i="1"/>
  <c r="Z312" i="1"/>
  <c r="Z234" i="1"/>
  <c r="Z494" i="1" l="1"/>
</calcChain>
</file>

<file path=xl/sharedStrings.xml><?xml version="1.0" encoding="utf-8"?>
<sst xmlns="http://schemas.openxmlformats.org/spreadsheetml/2006/main" count="2338" uniqueCount="764">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</sst>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1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60" sqref="AA6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20" t="s">
        <v>0</v>
      </c>
      <c r="E1" s="572"/>
      <c r="F1" s="572"/>
      <c r="G1" s="12" t="s">
        <v>1</v>
      </c>
      <c r="H1" s="620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30"/>
      <c r="C5" s="631"/>
      <c r="D5" s="621"/>
      <c r="E5" s="622"/>
      <c r="F5" s="826" t="s">
        <v>9</v>
      </c>
      <c r="G5" s="631"/>
      <c r="H5" s="621" t="s">
        <v>763</v>
      </c>
      <c r="I5" s="780"/>
      <c r="J5" s="780"/>
      <c r="K5" s="780"/>
      <c r="L5" s="780"/>
      <c r="M5" s="622"/>
      <c r="N5" s="58"/>
      <c r="P5" s="24" t="s">
        <v>10</v>
      </c>
      <c r="Q5" s="832">
        <v>45988</v>
      </c>
      <c r="R5" s="655"/>
      <c r="T5" s="714" t="s">
        <v>11</v>
      </c>
      <c r="U5" s="715"/>
      <c r="V5" s="71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30"/>
      <c r="C6" s="631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55"/>
      <c r="N6" s="59"/>
      <c r="P6" s="24" t="s">
        <v>15</v>
      </c>
      <c r="Q6" s="838" t="str">
        <f>IF(Q5=0," ",CHOOSE(WEEKDAY(Q5,2),"Понедельник","Вторник","Среда","Четверг","Пятница","Суббота","Воскресенье"))</f>
        <v>Четверг</v>
      </c>
      <c r="R6" s="560"/>
      <c r="T6" s="720" t="s">
        <v>16</v>
      </c>
      <c r="U6" s="715"/>
      <c r="V6" s="737" t="s">
        <v>17</v>
      </c>
      <c r="W6" s="58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1"/>
      <c r="U7" s="715"/>
      <c r="V7" s="738"/>
      <c r="W7" s="739"/>
      <c r="AB7" s="51"/>
      <c r="AC7" s="51"/>
      <c r="AD7" s="51"/>
      <c r="AE7" s="51"/>
    </row>
    <row r="8" spans="1:32" s="535" customFormat="1" ht="25.5" customHeight="1" x14ac:dyDescent="0.2">
      <c r="A8" s="864" t="s">
        <v>18</v>
      </c>
      <c r="B8" s="548"/>
      <c r="C8" s="549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0">
        <v>0.41666666666666669</v>
      </c>
      <c r="R8" s="607"/>
      <c r="T8" s="551"/>
      <c r="U8" s="715"/>
      <c r="V8" s="738"/>
      <c r="W8" s="739"/>
      <c r="AB8" s="51"/>
      <c r="AC8" s="51"/>
      <c r="AD8" s="51"/>
      <c r="AE8" s="51"/>
    </row>
    <row r="9" spans="1:32" s="535" customFormat="1" ht="39.950000000000003" customHeight="1" x14ac:dyDescent="0.2">
      <c r="A9" s="6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80"/>
      <c r="E9" s="546"/>
      <c r="F9" s="6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545" t="str">
        <f>IF(AND($A$9="Тип доверенности/получателя при получении в адресе перегруза:",$D$9="Разовая доверенность"),"Введите ФИО","")</f>
        <v/>
      </c>
      <c r="I9" s="546"/>
      <c r="J9" s="5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6"/>
      <c r="L9" s="546"/>
      <c r="M9" s="546"/>
      <c r="N9" s="533"/>
      <c r="P9" s="26" t="s">
        <v>21</v>
      </c>
      <c r="Q9" s="652"/>
      <c r="R9" s="653"/>
      <c r="T9" s="551"/>
      <c r="U9" s="715"/>
      <c r="V9" s="740"/>
      <c r="W9" s="74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80"/>
      <c r="E10" s="546"/>
      <c r="F10" s="6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759" t="str">
        <f>IFERROR(VLOOKUP($D$10,Proxy,2,FALSE),"")</f>
        <v/>
      </c>
      <c r="I10" s="551"/>
      <c r="J10" s="551"/>
      <c r="K10" s="551"/>
      <c r="L10" s="551"/>
      <c r="M10" s="551"/>
      <c r="N10" s="534"/>
      <c r="P10" s="26" t="s">
        <v>22</v>
      </c>
      <c r="Q10" s="721"/>
      <c r="R10" s="722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91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8" t="s">
        <v>29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1"/>
      <c r="N12" s="62"/>
      <c r="P12" s="24" t="s">
        <v>30</v>
      </c>
      <c r="Q12" s="670"/>
      <c r="R12" s="607"/>
      <c r="S12" s="23"/>
      <c r="U12" s="24"/>
      <c r="V12" s="572"/>
      <c r="W12" s="551"/>
      <c r="AB12" s="51"/>
      <c r="AC12" s="51"/>
      <c r="AD12" s="51"/>
      <c r="AE12" s="51"/>
    </row>
    <row r="13" spans="1:32" s="535" customFormat="1" ht="23.25" customHeight="1" x14ac:dyDescent="0.2">
      <c r="A13" s="698" t="s">
        <v>31</v>
      </c>
      <c r="B13" s="630"/>
      <c r="C13" s="630"/>
      <c r="D13" s="630"/>
      <c r="E13" s="630"/>
      <c r="F13" s="630"/>
      <c r="G13" s="630"/>
      <c r="H13" s="630"/>
      <c r="I13" s="630"/>
      <c r="J13" s="630"/>
      <c r="K13" s="630"/>
      <c r="L13" s="630"/>
      <c r="M13" s="631"/>
      <c r="N13" s="62"/>
      <c r="O13" s="26"/>
      <c r="P13" s="26" t="s">
        <v>32</v>
      </c>
      <c r="Q13" s="791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8" t="s">
        <v>33</v>
      </c>
      <c r="B14" s="630"/>
      <c r="C14" s="630"/>
      <c r="D14" s="630"/>
      <c r="E14" s="630"/>
      <c r="F14" s="630"/>
      <c r="G14" s="630"/>
      <c r="H14" s="630"/>
      <c r="I14" s="630"/>
      <c r="J14" s="630"/>
      <c r="K14" s="630"/>
      <c r="L14" s="630"/>
      <c r="M14" s="63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04" t="s">
        <v>34</v>
      </c>
      <c r="B15" s="630"/>
      <c r="C15" s="630"/>
      <c r="D15" s="630"/>
      <c r="E15" s="630"/>
      <c r="F15" s="630"/>
      <c r="G15" s="630"/>
      <c r="H15" s="630"/>
      <c r="I15" s="630"/>
      <c r="J15" s="630"/>
      <c r="K15" s="630"/>
      <c r="L15" s="630"/>
      <c r="M15" s="631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7" t="s">
        <v>38</v>
      </c>
      <c r="D17" s="581" t="s">
        <v>39</v>
      </c>
      <c r="E17" s="641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0"/>
      <c r="R17" s="640"/>
      <c r="S17" s="640"/>
      <c r="T17" s="641"/>
      <c r="U17" s="859" t="s">
        <v>51</v>
      </c>
      <c r="V17" s="631"/>
      <c r="W17" s="581" t="s">
        <v>52</v>
      </c>
      <c r="X17" s="581" t="s">
        <v>53</v>
      </c>
      <c r="Y17" s="862" t="s">
        <v>54</v>
      </c>
      <c r="Z17" s="768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2"/>
      <c r="E18" s="644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2"/>
      <c r="Q18" s="643"/>
      <c r="R18" s="643"/>
      <c r="S18" s="643"/>
      <c r="T18" s="644"/>
      <c r="U18" s="67" t="s">
        <v>61</v>
      </c>
      <c r="V18" s="67" t="s">
        <v>62</v>
      </c>
      <c r="W18" s="582"/>
      <c r="X18" s="582"/>
      <c r="Y18" s="863"/>
      <c r="Z18" s="769"/>
      <c r="AA18" s="758"/>
      <c r="AB18" s="758"/>
      <c r="AC18" s="758"/>
      <c r="AD18" s="823"/>
      <c r="AE18" s="824"/>
      <c r="AF18" s="825"/>
      <c r="AG18" s="66"/>
      <c r="BD18" s="65"/>
    </row>
    <row r="19" spans="1:68" ht="27.75" hidden="1" customHeight="1" x14ac:dyDescent="0.2">
      <c r="A19" s="635" t="s">
        <v>63</v>
      </c>
      <c r="B19" s="636"/>
      <c r="C19" s="636"/>
      <c r="D19" s="636"/>
      <c r="E19" s="636"/>
      <c r="F19" s="636"/>
      <c r="G19" s="636"/>
      <c r="H19" s="636"/>
      <c r="I19" s="636"/>
      <c r="J19" s="636"/>
      <c r="K19" s="636"/>
      <c r="L19" s="636"/>
      <c r="M19" s="636"/>
      <c r="N19" s="636"/>
      <c r="O19" s="636"/>
      <c r="P19" s="636"/>
      <c r="Q19" s="636"/>
      <c r="R19" s="636"/>
      <c r="S19" s="636"/>
      <c r="T19" s="636"/>
      <c r="U19" s="636"/>
      <c r="V19" s="636"/>
      <c r="W19" s="636"/>
      <c r="X19" s="636"/>
      <c r="Y19" s="636"/>
      <c r="Z19" s="636"/>
      <c r="AA19" s="48"/>
      <c r="AB19" s="48"/>
      <c r="AC19" s="48"/>
    </row>
    <row r="20" spans="1:68" ht="16.5" hidden="1" customHeight="1" x14ac:dyDescent="0.25">
      <c r="A20" s="550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hidden="1" customHeight="1" x14ac:dyDescent="0.25">
      <c r="A21" s="555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9">
        <v>4680115886643</v>
      </c>
      <c r="E22" s="560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3"/>
      <c r="R22" s="553"/>
      <c r="S22" s="553"/>
      <c r="T22" s="554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6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7"/>
      <c r="P23" s="547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7"/>
      <c r="P24" s="547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5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9">
        <v>4680115885912</v>
      </c>
      <c r="E26" s="560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3"/>
      <c r="R26" s="553"/>
      <c r="S26" s="553"/>
      <c r="T26" s="554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59">
        <v>4607091388237</v>
      </c>
      <c r="E27" s="560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3"/>
      <c r="R27" s="553"/>
      <c r="S27" s="553"/>
      <c r="T27" s="554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59">
        <v>4680115887350</v>
      </c>
      <c r="E28" s="560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3"/>
      <c r="R28" s="553"/>
      <c r="S28" s="553"/>
      <c r="T28" s="554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59">
        <v>4680115885905</v>
      </c>
      <c r="E29" s="560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3"/>
      <c r="R29" s="553"/>
      <c r="S29" s="553"/>
      <c r="T29" s="554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59">
        <v>4607091388244</v>
      </c>
      <c r="E30" s="560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3"/>
      <c r="R30" s="553"/>
      <c r="S30" s="553"/>
      <c r="T30" s="554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7"/>
      <c r="P31" s="547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7"/>
      <c r="P32" s="547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5" t="s">
        <v>93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7"/>
      <c r="AB33" s="537"/>
      <c r="AC33" s="53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9">
        <v>4607091388503</v>
      </c>
      <c r="E34" s="560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3"/>
      <c r="R34" s="553"/>
      <c r="S34" s="553"/>
      <c r="T34" s="554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7"/>
      <c r="P35" s="547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7"/>
      <c r="P36" s="547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5" t="s">
        <v>99</v>
      </c>
      <c r="B37" s="636"/>
      <c r="C37" s="636"/>
      <c r="D37" s="636"/>
      <c r="E37" s="636"/>
      <c r="F37" s="636"/>
      <c r="G37" s="636"/>
      <c r="H37" s="636"/>
      <c r="I37" s="636"/>
      <c r="J37" s="636"/>
      <c r="K37" s="636"/>
      <c r="L37" s="636"/>
      <c r="M37" s="636"/>
      <c r="N37" s="636"/>
      <c r="O37" s="636"/>
      <c r="P37" s="636"/>
      <c r="Q37" s="636"/>
      <c r="R37" s="636"/>
      <c r="S37" s="636"/>
      <c r="T37" s="636"/>
      <c r="U37" s="636"/>
      <c r="V37" s="636"/>
      <c r="W37" s="636"/>
      <c r="X37" s="636"/>
      <c r="Y37" s="636"/>
      <c r="Z37" s="636"/>
      <c r="AA37" s="48"/>
      <c r="AB37" s="48"/>
      <c r="AC37" s="48"/>
    </row>
    <row r="38" spans="1:68" ht="16.5" hidden="1" customHeight="1" x14ac:dyDescent="0.25">
      <c r="A38" s="550" t="s">
        <v>100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hidden="1" customHeight="1" x14ac:dyDescent="0.25">
      <c r="A39" s="555" t="s">
        <v>101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7"/>
      <c r="AB39" s="537"/>
      <c r="AC39" s="537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59">
        <v>4607091385670</v>
      </c>
      <c r="E40" s="560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3"/>
      <c r="R40" s="553"/>
      <c r="S40" s="553"/>
      <c r="T40" s="554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59">
        <v>4607091385687</v>
      </c>
      <c r="E41" s="560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3"/>
      <c r="R41" s="553"/>
      <c r="S41" s="553"/>
      <c r="T41" s="554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9">
        <v>4680115882539</v>
      </c>
      <c r="E42" s="560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3"/>
      <c r="R42" s="553"/>
      <c r="S42" s="553"/>
      <c r="T42" s="554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6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7"/>
      <c r="P43" s="547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7"/>
      <c r="P44" s="547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55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7"/>
      <c r="AB45" s="537"/>
      <c r="AC45" s="53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9">
        <v>4680115884915</v>
      </c>
      <c r="E46" s="560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5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3"/>
      <c r="R46" s="553"/>
      <c r="S46" s="553"/>
      <c r="T46" s="554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7"/>
      <c r="P47" s="547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7"/>
      <c r="P48" s="547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50" t="s">
        <v>117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hidden="1" customHeight="1" x14ac:dyDescent="0.25">
      <c r="A50" s="555" t="s">
        <v>101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7"/>
      <c r="AB50" s="537"/>
      <c r="AC50" s="53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9">
        <v>4680115885882</v>
      </c>
      <c r="E51" s="560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3"/>
      <c r="R51" s="553"/>
      <c r="S51" s="553"/>
      <c r="T51" s="554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59">
        <v>4680115881426</v>
      </c>
      <c r="E52" s="560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58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3"/>
      <c r="R52" s="553"/>
      <c r="S52" s="553"/>
      <c r="T52" s="554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9">
        <v>4680115880283</v>
      </c>
      <c r="E53" s="560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3"/>
      <c r="R53" s="553"/>
      <c r="S53" s="553"/>
      <c r="T53" s="554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59">
        <v>4680115881525</v>
      </c>
      <c r="E54" s="560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3"/>
      <c r="R54" s="553"/>
      <c r="S54" s="553"/>
      <c r="T54" s="554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9">
        <v>4680115885899</v>
      </c>
      <c r="E55" s="560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3"/>
      <c r="R55" s="553"/>
      <c r="S55" s="553"/>
      <c r="T55" s="554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59">
        <v>4680115881419</v>
      </c>
      <c r="E56" s="560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3"/>
      <c r="R56" s="553"/>
      <c r="S56" s="553"/>
      <c r="T56" s="554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6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7"/>
      <c r="P57" s="547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7"/>
      <c r="P58" s="547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55" t="s">
        <v>136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9">
        <v>4680115881440</v>
      </c>
      <c r="E60" s="560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3"/>
      <c r="R60" s="553"/>
      <c r="S60" s="553"/>
      <c r="T60" s="554"/>
      <c r="U60" s="34"/>
      <c r="V60" s="34"/>
      <c r="W60" s="35" t="s">
        <v>69</v>
      </c>
      <c r="X60" s="541">
        <v>20</v>
      </c>
      <c r="Y60" s="542">
        <f>IFERROR(IF(X60="",0,CEILING((X60/$H60),1)*$H60),"")</f>
        <v>21.6</v>
      </c>
      <c r="Z60" s="36">
        <f>IFERROR(IF(Y60=0,"",ROUNDUP(Y60/H60,0)*0.01898),"")</f>
        <v>3.7960000000000001E-2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20.75925925925926</v>
      </c>
      <c r="BN60" s="64">
        <f>IFERROR(Y60*I60/H60,"0")</f>
        <v>22.42</v>
      </c>
      <c r="BO60" s="64">
        <f>IFERROR(1/J60*(X60/H60),"0")</f>
        <v>2.8935185185185182E-2</v>
      </c>
      <c r="BP60" s="64">
        <f>IFERROR(1/J60*(Y60/H60),"0")</f>
        <v>3.125E-2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9">
        <v>4680115885950</v>
      </c>
      <c r="E61" s="560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3"/>
      <c r="R61" s="553"/>
      <c r="S61" s="553"/>
      <c r="T61" s="554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9">
        <v>4680115881433</v>
      </c>
      <c r="E62" s="560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3"/>
      <c r="R62" s="553"/>
      <c r="S62" s="553"/>
      <c r="T62" s="554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6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7"/>
      <c r="P63" s="547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3">
        <f>IFERROR(X60/H60,"0")+IFERROR(X61/H61,"0")+IFERROR(X62/H62,"0")</f>
        <v>1.8518518518518516</v>
      </c>
      <c r="Y63" s="543">
        <f>IFERROR(Y60/H60,"0")+IFERROR(Y61/H61,"0")+IFERROR(Y62/H62,"0")</f>
        <v>2</v>
      </c>
      <c r="Z63" s="543">
        <f>IFERROR(IF(Z60="",0,Z60),"0")+IFERROR(IF(Z61="",0,Z61),"0")+IFERROR(IF(Z62="",0,Z62),"0")</f>
        <v>3.7960000000000001E-2</v>
      </c>
      <c r="AA63" s="544"/>
      <c r="AB63" s="544"/>
      <c r="AC63" s="544"/>
    </row>
    <row r="64" spans="1:68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7"/>
      <c r="P64" s="547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3">
        <f>IFERROR(SUM(X60:X62),"0")</f>
        <v>20</v>
      </c>
      <c r="Y64" s="543">
        <f>IFERROR(SUM(Y60:Y62),"0")</f>
        <v>21.6</v>
      </c>
      <c r="Z64" s="37"/>
      <c r="AA64" s="544"/>
      <c r="AB64" s="544"/>
      <c r="AC64" s="544"/>
    </row>
    <row r="65" spans="1:68" ht="14.25" hidden="1" customHeight="1" x14ac:dyDescent="0.25">
      <c r="A65" s="555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7"/>
      <c r="AB65" s="537"/>
      <c r="AC65" s="53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9">
        <v>4680115885073</v>
      </c>
      <c r="E66" s="560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3"/>
      <c r="R66" s="553"/>
      <c r="S66" s="553"/>
      <c r="T66" s="554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59">
        <v>4680115885059</v>
      </c>
      <c r="E67" s="560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3"/>
      <c r="R67" s="553"/>
      <c r="S67" s="553"/>
      <c r="T67" s="554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59">
        <v>4680115885097</v>
      </c>
      <c r="E68" s="560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58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3"/>
      <c r="R68" s="553"/>
      <c r="S68" s="553"/>
      <c r="T68" s="554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6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7"/>
      <c r="P69" s="547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7"/>
      <c r="P70" s="547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5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7"/>
      <c r="AB71" s="537"/>
      <c r="AC71" s="537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59">
        <v>4680115885769</v>
      </c>
      <c r="E72" s="560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3"/>
      <c r="R72" s="553"/>
      <c r="S72" s="553"/>
      <c r="T72" s="554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59">
        <v>4680115884311</v>
      </c>
      <c r="E73" s="560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3"/>
      <c r="R73" s="553"/>
      <c r="S73" s="553"/>
      <c r="T73" s="554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59">
        <v>4680115885929</v>
      </c>
      <c r="E74" s="560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3"/>
      <c r="R74" s="553"/>
      <c r="S74" s="553"/>
      <c r="T74" s="554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59">
        <v>4680115884403</v>
      </c>
      <c r="E75" s="560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3"/>
      <c r="R75" s="553"/>
      <c r="S75" s="553"/>
      <c r="T75" s="554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6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7"/>
      <c r="P76" s="547" t="s">
        <v>71</v>
      </c>
      <c r="Q76" s="548"/>
      <c r="R76" s="548"/>
      <c r="S76" s="548"/>
      <c r="T76" s="548"/>
      <c r="U76" s="548"/>
      <c r="V76" s="54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7"/>
      <c r="P77" s="547" t="s">
        <v>71</v>
      </c>
      <c r="Q77" s="548"/>
      <c r="R77" s="548"/>
      <c r="S77" s="548"/>
      <c r="T77" s="548"/>
      <c r="U77" s="548"/>
      <c r="V77" s="54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5" t="s">
        <v>164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7"/>
      <c r="AB78" s="537"/>
      <c r="AC78" s="537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9">
        <v>4680115881532</v>
      </c>
      <c r="E79" s="560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3"/>
      <c r="R79" s="553"/>
      <c r="S79" s="553"/>
      <c r="T79" s="554"/>
      <c r="U79" s="34"/>
      <c r="V79" s="34"/>
      <c r="W79" s="35" t="s">
        <v>69</v>
      </c>
      <c r="X79" s="541">
        <v>15</v>
      </c>
      <c r="Y79" s="542">
        <f>IFERROR(IF(X79="",0,CEILING((X79/$H79),1)*$H79),"")</f>
        <v>15.6</v>
      </c>
      <c r="Z79" s="36">
        <f>IFERROR(IF(Y79=0,"",ROUNDUP(Y79/H79,0)*0.01898),"")</f>
        <v>3.7960000000000001E-2</v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15.78846153846154</v>
      </c>
      <c r="BN79" s="64">
        <f>IFERROR(Y79*I79/H79,"0")</f>
        <v>16.420000000000002</v>
      </c>
      <c r="BO79" s="64">
        <f>IFERROR(1/J79*(X79/H79),"0")</f>
        <v>3.0048076923076924E-2</v>
      </c>
      <c r="BP79" s="64">
        <f>IFERROR(1/J79*(Y79/H79),"0")</f>
        <v>3.125E-2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59">
        <v>4680115881464</v>
      </c>
      <c r="E80" s="560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3"/>
      <c r="R80" s="553"/>
      <c r="S80" s="553"/>
      <c r="T80" s="554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6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7"/>
      <c r="P81" s="547" t="s">
        <v>71</v>
      </c>
      <c r="Q81" s="548"/>
      <c r="R81" s="548"/>
      <c r="S81" s="548"/>
      <c r="T81" s="548"/>
      <c r="U81" s="548"/>
      <c r="V81" s="549"/>
      <c r="W81" s="37" t="s">
        <v>72</v>
      </c>
      <c r="X81" s="543">
        <f>IFERROR(X79/H79,"0")+IFERROR(X80/H80,"0")</f>
        <v>1.9230769230769231</v>
      </c>
      <c r="Y81" s="543">
        <f>IFERROR(Y79/H79,"0")+IFERROR(Y80/H80,"0")</f>
        <v>2</v>
      </c>
      <c r="Z81" s="543">
        <f>IFERROR(IF(Z79="",0,Z79),"0")+IFERROR(IF(Z80="",0,Z80),"0")</f>
        <v>3.7960000000000001E-2</v>
      </c>
      <c r="AA81" s="544"/>
      <c r="AB81" s="544"/>
      <c r="AC81" s="544"/>
    </row>
    <row r="82" spans="1:68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7"/>
      <c r="P82" s="547" t="s">
        <v>71</v>
      </c>
      <c r="Q82" s="548"/>
      <c r="R82" s="548"/>
      <c r="S82" s="548"/>
      <c r="T82" s="548"/>
      <c r="U82" s="548"/>
      <c r="V82" s="549"/>
      <c r="W82" s="37" t="s">
        <v>69</v>
      </c>
      <c r="X82" s="543">
        <f>IFERROR(SUM(X79:X80),"0")</f>
        <v>15</v>
      </c>
      <c r="Y82" s="543">
        <f>IFERROR(SUM(Y79:Y80),"0")</f>
        <v>15.6</v>
      </c>
      <c r="Z82" s="37"/>
      <c r="AA82" s="544"/>
      <c r="AB82" s="544"/>
      <c r="AC82" s="544"/>
    </row>
    <row r="83" spans="1:68" ht="16.5" hidden="1" customHeight="1" x14ac:dyDescent="0.25">
      <c r="A83" s="550" t="s">
        <v>171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hidden="1" customHeight="1" x14ac:dyDescent="0.25">
      <c r="A84" s="555" t="s">
        <v>101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7"/>
      <c r="AB84" s="537"/>
      <c r="AC84" s="537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59">
        <v>4680115881327</v>
      </c>
      <c r="E85" s="560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3"/>
      <c r="R85" s="553"/>
      <c r="S85" s="553"/>
      <c r="T85" s="554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9">
        <v>4680115881518</v>
      </c>
      <c r="E86" s="560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3"/>
      <c r="R86" s="553"/>
      <c r="S86" s="553"/>
      <c r="T86" s="554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9">
        <v>4680115881303</v>
      </c>
      <c r="E87" s="560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3"/>
      <c r="R87" s="553"/>
      <c r="S87" s="553"/>
      <c r="T87" s="554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6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7"/>
      <c r="P88" s="547" t="s">
        <v>71</v>
      </c>
      <c r="Q88" s="548"/>
      <c r="R88" s="548"/>
      <c r="S88" s="548"/>
      <c r="T88" s="548"/>
      <c r="U88" s="548"/>
      <c r="V88" s="549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7"/>
      <c r="P89" s="547" t="s">
        <v>71</v>
      </c>
      <c r="Q89" s="548"/>
      <c r="R89" s="548"/>
      <c r="S89" s="548"/>
      <c r="T89" s="548"/>
      <c r="U89" s="548"/>
      <c r="V89" s="549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55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7"/>
      <c r="AB90" s="537"/>
      <c r="AC90" s="537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59">
        <v>4607091386967</v>
      </c>
      <c r="E91" s="560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9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3"/>
      <c r="R91" s="553"/>
      <c r="S91" s="553"/>
      <c r="T91" s="554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9">
        <v>4680115884953</v>
      </c>
      <c r="E92" s="560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3"/>
      <c r="R92" s="553"/>
      <c r="S92" s="553"/>
      <c r="T92" s="554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9">
        <v>4607091385731</v>
      </c>
      <c r="E93" s="560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3"/>
      <c r="R93" s="553"/>
      <c r="S93" s="553"/>
      <c r="T93" s="554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9">
        <v>4680115880894</v>
      </c>
      <c r="E94" s="560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3"/>
      <c r="R94" s="553"/>
      <c r="S94" s="553"/>
      <c r="T94" s="554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6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7"/>
      <c r="P95" s="547" t="s">
        <v>71</v>
      </c>
      <c r="Q95" s="548"/>
      <c r="R95" s="548"/>
      <c r="S95" s="548"/>
      <c r="T95" s="548"/>
      <c r="U95" s="548"/>
      <c r="V95" s="549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hidden="1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7"/>
      <c r="P96" s="547" t="s">
        <v>71</v>
      </c>
      <c r="Q96" s="548"/>
      <c r="R96" s="548"/>
      <c r="S96" s="548"/>
      <c r="T96" s="548"/>
      <c r="U96" s="548"/>
      <c r="V96" s="549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hidden="1" customHeight="1" x14ac:dyDescent="0.25">
      <c r="A97" s="550" t="s">
        <v>190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hidden="1" customHeight="1" x14ac:dyDescent="0.25">
      <c r="A98" s="555" t="s">
        <v>101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9">
        <v>4680115882133</v>
      </c>
      <c r="E99" s="560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3"/>
      <c r="R99" s="553"/>
      <c r="S99" s="553"/>
      <c r="T99" s="554"/>
      <c r="U99" s="34"/>
      <c r="V99" s="34"/>
      <c r="W99" s="35" t="s">
        <v>69</v>
      </c>
      <c r="X99" s="541">
        <v>630</v>
      </c>
      <c r="Y99" s="542">
        <f>IFERROR(IF(X99="",0,CEILING((X99/$H99),1)*$H99),"")</f>
        <v>637.20000000000005</v>
      </c>
      <c r="Z99" s="36">
        <f>IFERROR(IF(Y99=0,"",ROUNDUP(Y99/H99,0)*0.01898),"")</f>
        <v>1.11982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653.91666666666663</v>
      </c>
      <c r="BN99" s="64">
        <f>IFERROR(Y99*I99/H99,"0")</f>
        <v>661.39</v>
      </c>
      <c r="BO99" s="64">
        <f>IFERROR(1/J99*(X99/H99),"0")</f>
        <v>0.91145833333333326</v>
      </c>
      <c r="BP99" s="64">
        <f>IFERROR(1/J99*(Y99/H99),"0")</f>
        <v>0.921875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59">
        <v>4680115880269</v>
      </c>
      <c r="E100" s="560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3"/>
      <c r="R100" s="553"/>
      <c r="S100" s="553"/>
      <c r="T100" s="554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9">
        <v>4680115880429</v>
      </c>
      <c r="E101" s="560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3"/>
      <c r="R101" s="553"/>
      <c r="S101" s="553"/>
      <c r="T101" s="554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9">
        <v>4680115881457</v>
      </c>
      <c r="E102" s="560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6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3"/>
      <c r="R102" s="553"/>
      <c r="S102" s="553"/>
      <c r="T102" s="554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6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7"/>
      <c r="P103" s="547" t="s">
        <v>71</v>
      </c>
      <c r="Q103" s="548"/>
      <c r="R103" s="548"/>
      <c r="S103" s="548"/>
      <c r="T103" s="548"/>
      <c r="U103" s="548"/>
      <c r="V103" s="549"/>
      <c r="W103" s="37" t="s">
        <v>72</v>
      </c>
      <c r="X103" s="543">
        <f>IFERROR(X99/H99,"0")+IFERROR(X100/H100,"0")+IFERROR(X101/H101,"0")+IFERROR(X102/H102,"0")</f>
        <v>58.333333333333329</v>
      </c>
      <c r="Y103" s="543">
        <f>IFERROR(Y99/H99,"0")+IFERROR(Y100/H100,"0")+IFERROR(Y101/H101,"0")+IFERROR(Y102/H102,"0")</f>
        <v>59</v>
      </c>
      <c r="Z103" s="543">
        <f>IFERROR(IF(Z99="",0,Z99),"0")+IFERROR(IF(Z100="",0,Z100),"0")+IFERROR(IF(Z101="",0,Z101),"0")+IFERROR(IF(Z102="",0,Z102),"0")</f>
        <v>1.11982</v>
      </c>
      <c r="AA103" s="544"/>
      <c r="AB103" s="544"/>
      <c r="AC103" s="544"/>
    </row>
    <row r="104" spans="1:68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7"/>
      <c r="P104" s="547" t="s">
        <v>71</v>
      </c>
      <c r="Q104" s="548"/>
      <c r="R104" s="548"/>
      <c r="S104" s="548"/>
      <c r="T104" s="548"/>
      <c r="U104" s="548"/>
      <c r="V104" s="549"/>
      <c r="W104" s="37" t="s">
        <v>69</v>
      </c>
      <c r="X104" s="543">
        <f>IFERROR(SUM(X99:X102),"0")</f>
        <v>630</v>
      </c>
      <c r="Y104" s="543">
        <f>IFERROR(SUM(Y99:Y102),"0")</f>
        <v>637.20000000000005</v>
      </c>
      <c r="Z104" s="37"/>
      <c r="AA104" s="544"/>
      <c r="AB104" s="544"/>
      <c r="AC104" s="544"/>
    </row>
    <row r="105" spans="1:68" ht="14.25" hidden="1" customHeight="1" x14ac:dyDescent="0.25">
      <c r="A105" s="555" t="s">
        <v>136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9">
        <v>4680115881488</v>
      </c>
      <c r="E106" s="560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3"/>
      <c r="R106" s="553"/>
      <c r="S106" s="553"/>
      <c r="T106" s="554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59">
        <v>4680115882775</v>
      </c>
      <c r="E107" s="560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3"/>
      <c r="R107" s="553"/>
      <c r="S107" s="553"/>
      <c r="T107" s="554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9">
        <v>4680115880658</v>
      </c>
      <c r="E108" s="560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3"/>
      <c r="R108" s="553"/>
      <c r="S108" s="553"/>
      <c r="T108" s="554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6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7"/>
      <c r="P109" s="547" t="s">
        <v>71</v>
      </c>
      <c r="Q109" s="548"/>
      <c r="R109" s="548"/>
      <c r="S109" s="548"/>
      <c r="T109" s="548"/>
      <c r="U109" s="548"/>
      <c r="V109" s="54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7"/>
      <c r="P110" s="547" t="s">
        <v>71</v>
      </c>
      <c r="Q110" s="548"/>
      <c r="R110" s="548"/>
      <c r="S110" s="548"/>
      <c r="T110" s="548"/>
      <c r="U110" s="548"/>
      <c r="V110" s="54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5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7"/>
      <c r="AB111" s="537"/>
      <c r="AC111" s="537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59">
        <v>4607091385168</v>
      </c>
      <c r="E112" s="560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3"/>
      <c r="R112" s="553"/>
      <c r="S112" s="553"/>
      <c r="T112" s="554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9">
        <v>4607091383256</v>
      </c>
      <c r="E113" s="560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3"/>
      <c r="R113" s="553"/>
      <c r="S113" s="553"/>
      <c r="T113" s="554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59">
        <v>4607091385748</v>
      </c>
      <c r="E114" s="560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3"/>
      <c r="R114" s="553"/>
      <c r="S114" s="553"/>
      <c r="T114" s="554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59">
        <v>4680115884533</v>
      </c>
      <c r="E115" s="560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3"/>
      <c r="R115" s="553"/>
      <c r="S115" s="553"/>
      <c r="T115" s="554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6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7"/>
      <c r="P116" s="547" t="s">
        <v>71</v>
      </c>
      <c r="Q116" s="548"/>
      <c r="R116" s="548"/>
      <c r="S116" s="548"/>
      <c r="T116" s="548"/>
      <c r="U116" s="548"/>
      <c r="V116" s="549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hidden="1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7"/>
      <c r="P117" s="547" t="s">
        <v>71</v>
      </c>
      <c r="Q117" s="548"/>
      <c r="R117" s="548"/>
      <c r="S117" s="548"/>
      <c r="T117" s="548"/>
      <c r="U117" s="548"/>
      <c r="V117" s="549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hidden="1" customHeight="1" x14ac:dyDescent="0.25">
      <c r="A118" s="555" t="s">
        <v>164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59">
        <v>4680115880238</v>
      </c>
      <c r="E119" s="560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3"/>
      <c r="R119" s="553"/>
      <c r="S119" s="553"/>
      <c r="T119" s="554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6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7"/>
      <c r="P120" s="547" t="s">
        <v>71</v>
      </c>
      <c r="Q120" s="548"/>
      <c r="R120" s="548"/>
      <c r="S120" s="548"/>
      <c r="T120" s="548"/>
      <c r="U120" s="548"/>
      <c r="V120" s="54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7"/>
      <c r="P121" s="547" t="s">
        <v>71</v>
      </c>
      <c r="Q121" s="548"/>
      <c r="R121" s="548"/>
      <c r="S121" s="548"/>
      <c r="T121" s="548"/>
      <c r="U121" s="548"/>
      <c r="V121" s="54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50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hidden="1" customHeight="1" x14ac:dyDescent="0.25">
      <c r="A123" s="555" t="s">
        <v>101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59">
        <v>4680115882577</v>
      </c>
      <c r="E124" s="560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3"/>
      <c r="R124" s="553"/>
      <c r="S124" s="553"/>
      <c r="T124" s="554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9">
        <v>4680115882577</v>
      </c>
      <c r="E125" s="560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3"/>
      <c r="R125" s="553"/>
      <c r="S125" s="553"/>
      <c r="T125" s="554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6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7"/>
      <c r="P126" s="547" t="s">
        <v>71</v>
      </c>
      <c r="Q126" s="548"/>
      <c r="R126" s="548"/>
      <c r="S126" s="548"/>
      <c r="T126" s="548"/>
      <c r="U126" s="548"/>
      <c r="V126" s="54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7"/>
      <c r="P127" s="547" t="s">
        <v>71</v>
      </c>
      <c r="Q127" s="548"/>
      <c r="R127" s="548"/>
      <c r="S127" s="548"/>
      <c r="T127" s="548"/>
      <c r="U127" s="548"/>
      <c r="V127" s="54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55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9">
        <v>4680115883444</v>
      </c>
      <c r="E129" s="560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3"/>
      <c r="R129" s="553"/>
      <c r="S129" s="553"/>
      <c r="T129" s="554"/>
      <c r="U129" s="34"/>
      <c r="V129" s="34"/>
      <c r="W129" s="35" t="s">
        <v>69</v>
      </c>
      <c r="X129" s="541">
        <v>8</v>
      </c>
      <c r="Y129" s="542">
        <f>IFERROR(IF(X129="",0,CEILING((X129/$H129),1)*$H129),"")</f>
        <v>8.3999999999999986</v>
      </c>
      <c r="Z129" s="36">
        <f>IFERROR(IF(Y129=0,"",ROUNDUP(Y129/H129,0)*0.00651),"")</f>
        <v>1.9529999999999999E-2</v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8.7657142857142869</v>
      </c>
      <c r="BN129" s="64">
        <f>IFERROR(Y129*I129/H129,"0")</f>
        <v>9.2039999999999988</v>
      </c>
      <c r="BO129" s="64">
        <f>IFERROR(1/J129*(X129/H129),"0")</f>
        <v>1.5698587127158558E-2</v>
      </c>
      <c r="BP129" s="64">
        <f>IFERROR(1/J129*(Y129/H129),"0")</f>
        <v>1.6483516483516484E-2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9">
        <v>4680115883444</v>
      </c>
      <c r="E130" s="560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6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7"/>
      <c r="P131" s="547" t="s">
        <v>71</v>
      </c>
      <c r="Q131" s="548"/>
      <c r="R131" s="548"/>
      <c r="S131" s="548"/>
      <c r="T131" s="548"/>
      <c r="U131" s="548"/>
      <c r="V131" s="549"/>
      <c r="W131" s="37" t="s">
        <v>72</v>
      </c>
      <c r="X131" s="543">
        <f>IFERROR(X129/H129,"0")+IFERROR(X130/H130,"0")</f>
        <v>2.8571428571428572</v>
      </c>
      <c r="Y131" s="543">
        <f>IFERROR(Y129/H129,"0")+IFERROR(Y130/H130,"0")</f>
        <v>2.9999999999999996</v>
      </c>
      <c r="Z131" s="543">
        <f>IFERROR(IF(Z129="",0,Z129),"0")+IFERROR(IF(Z130="",0,Z130),"0")</f>
        <v>1.9529999999999999E-2</v>
      </c>
      <c r="AA131" s="544"/>
      <c r="AB131" s="544"/>
      <c r="AC131" s="544"/>
    </row>
    <row r="132" spans="1:68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7"/>
      <c r="P132" s="547" t="s">
        <v>71</v>
      </c>
      <c r="Q132" s="548"/>
      <c r="R132" s="548"/>
      <c r="S132" s="548"/>
      <c r="T132" s="548"/>
      <c r="U132" s="548"/>
      <c r="V132" s="549"/>
      <c r="W132" s="37" t="s">
        <v>69</v>
      </c>
      <c r="X132" s="543">
        <f>IFERROR(SUM(X129:X130),"0")</f>
        <v>8</v>
      </c>
      <c r="Y132" s="543">
        <f>IFERROR(SUM(Y129:Y130),"0")</f>
        <v>8.3999999999999986</v>
      </c>
      <c r="Z132" s="37"/>
      <c r="AA132" s="544"/>
      <c r="AB132" s="544"/>
      <c r="AC132" s="544"/>
    </row>
    <row r="133" spans="1:68" ht="14.25" hidden="1" customHeight="1" x14ac:dyDescent="0.25">
      <c r="A133" s="555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9">
        <v>4680115882584</v>
      </c>
      <c r="E134" s="560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3"/>
      <c r="R134" s="553"/>
      <c r="S134" s="553"/>
      <c r="T134" s="554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9">
        <v>4680115882584</v>
      </c>
      <c r="E135" s="560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3"/>
      <c r="R135" s="553"/>
      <c r="S135" s="553"/>
      <c r="T135" s="554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6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7"/>
      <c r="P136" s="547" t="s">
        <v>71</v>
      </c>
      <c r="Q136" s="548"/>
      <c r="R136" s="548"/>
      <c r="S136" s="548"/>
      <c r="T136" s="548"/>
      <c r="U136" s="548"/>
      <c r="V136" s="54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7"/>
      <c r="P137" s="547" t="s">
        <v>71</v>
      </c>
      <c r="Q137" s="548"/>
      <c r="R137" s="548"/>
      <c r="S137" s="548"/>
      <c r="T137" s="548"/>
      <c r="U137" s="548"/>
      <c r="V137" s="54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50" t="s">
        <v>99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hidden="1" customHeight="1" x14ac:dyDescent="0.25">
      <c r="A139" s="555" t="s">
        <v>101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9">
        <v>4680115887374</v>
      </c>
      <c r="E140" s="560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3"/>
      <c r="R140" s="553"/>
      <c r="S140" s="553"/>
      <c r="T140" s="554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9">
        <v>4607091384604</v>
      </c>
      <c r="E141" s="560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3"/>
      <c r="R141" s="553"/>
      <c r="S141" s="553"/>
      <c r="T141" s="554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6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1"/>
      <c r="M142" s="551"/>
      <c r="N142" s="551"/>
      <c r="O142" s="557"/>
      <c r="P142" s="547" t="s">
        <v>71</v>
      </c>
      <c r="Q142" s="548"/>
      <c r="R142" s="548"/>
      <c r="S142" s="548"/>
      <c r="T142" s="548"/>
      <c r="U142" s="548"/>
      <c r="V142" s="54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1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7"/>
      <c r="P143" s="547" t="s">
        <v>71</v>
      </c>
      <c r="Q143" s="548"/>
      <c r="R143" s="548"/>
      <c r="S143" s="548"/>
      <c r="T143" s="548"/>
      <c r="U143" s="548"/>
      <c r="V143" s="54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55" t="s">
        <v>64</v>
      </c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1"/>
      <c r="P144" s="551"/>
      <c r="Q144" s="551"/>
      <c r="R144" s="551"/>
      <c r="S144" s="551"/>
      <c r="T144" s="551"/>
      <c r="U144" s="551"/>
      <c r="V144" s="551"/>
      <c r="W144" s="551"/>
      <c r="X144" s="551"/>
      <c r="Y144" s="551"/>
      <c r="Z144" s="551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59">
        <v>4607091387667</v>
      </c>
      <c r="E145" s="560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3"/>
      <c r="R145" s="553"/>
      <c r="S145" s="553"/>
      <c r="T145" s="554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59">
        <v>4607091387636</v>
      </c>
      <c r="E146" s="560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59">
        <v>4607091382426</v>
      </c>
      <c r="E147" s="560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6"/>
      <c r="B148" s="551"/>
      <c r="C148" s="551"/>
      <c r="D148" s="551"/>
      <c r="E148" s="551"/>
      <c r="F148" s="551"/>
      <c r="G148" s="551"/>
      <c r="H148" s="551"/>
      <c r="I148" s="551"/>
      <c r="J148" s="551"/>
      <c r="K148" s="551"/>
      <c r="L148" s="551"/>
      <c r="M148" s="551"/>
      <c r="N148" s="551"/>
      <c r="O148" s="557"/>
      <c r="P148" s="547" t="s">
        <v>71</v>
      </c>
      <c r="Q148" s="548"/>
      <c r="R148" s="548"/>
      <c r="S148" s="548"/>
      <c r="T148" s="548"/>
      <c r="U148" s="548"/>
      <c r="V148" s="54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1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7"/>
      <c r="P149" s="547" t="s">
        <v>71</v>
      </c>
      <c r="Q149" s="548"/>
      <c r="R149" s="548"/>
      <c r="S149" s="548"/>
      <c r="T149" s="548"/>
      <c r="U149" s="548"/>
      <c r="V149" s="54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55" t="s">
        <v>73</v>
      </c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1"/>
      <c r="P150" s="551"/>
      <c r="Q150" s="551"/>
      <c r="R150" s="551"/>
      <c r="S150" s="551"/>
      <c r="T150" s="551"/>
      <c r="U150" s="551"/>
      <c r="V150" s="551"/>
      <c r="W150" s="551"/>
      <c r="X150" s="551"/>
      <c r="Y150" s="551"/>
      <c r="Z150" s="551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59">
        <v>4680115887459</v>
      </c>
      <c r="E151" s="560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6" t="s">
        <v>249</v>
      </c>
      <c r="Q151" s="553"/>
      <c r="R151" s="553"/>
      <c r="S151" s="553"/>
      <c r="T151" s="554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6"/>
      <c r="B152" s="551"/>
      <c r="C152" s="551"/>
      <c r="D152" s="551"/>
      <c r="E152" s="551"/>
      <c r="F152" s="551"/>
      <c r="G152" s="551"/>
      <c r="H152" s="551"/>
      <c r="I152" s="551"/>
      <c r="J152" s="551"/>
      <c r="K152" s="551"/>
      <c r="L152" s="551"/>
      <c r="M152" s="551"/>
      <c r="N152" s="551"/>
      <c r="O152" s="557"/>
      <c r="P152" s="547" t="s">
        <v>71</v>
      </c>
      <c r="Q152" s="548"/>
      <c r="R152" s="548"/>
      <c r="S152" s="548"/>
      <c r="T152" s="548"/>
      <c r="U152" s="548"/>
      <c r="V152" s="54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1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7"/>
      <c r="P153" s="547" t="s">
        <v>71</v>
      </c>
      <c r="Q153" s="548"/>
      <c r="R153" s="548"/>
      <c r="S153" s="548"/>
      <c r="T153" s="548"/>
      <c r="U153" s="548"/>
      <c r="V153" s="54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5" t="s">
        <v>251</v>
      </c>
      <c r="B154" s="636"/>
      <c r="C154" s="636"/>
      <c r="D154" s="636"/>
      <c r="E154" s="636"/>
      <c r="F154" s="636"/>
      <c r="G154" s="636"/>
      <c r="H154" s="636"/>
      <c r="I154" s="636"/>
      <c r="J154" s="636"/>
      <c r="K154" s="636"/>
      <c r="L154" s="636"/>
      <c r="M154" s="636"/>
      <c r="N154" s="636"/>
      <c r="O154" s="636"/>
      <c r="P154" s="636"/>
      <c r="Q154" s="636"/>
      <c r="R154" s="636"/>
      <c r="S154" s="636"/>
      <c r="T154" s="636"/>
      <c r="U154" s="636"/>
      <c r="V154" s="636"/>
      <c r="W154" s="636"/>
      <c r="X154" s="636"/>
      <c r="Y154" s="636"/>
      <c r="Z154" s="636"/>
      <c r="AA154" s="48"/>
      <c r="AB154" s="48"/>
      <c r="AC154" s="48"/>
    </row>
    <row r="155" spans="1:68" ht="16.5" hidden="1" customHeight="1" x14ac:dyDescent="0.25">
      <c r="A155" s="550" t="s">
        <v>252</v>
      </c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1"/>
      <c r="S155" s="551"/>
      <c r="T155" s="551"/>
      <c r="U155" s="551"/>
      <c r="V155" s="551"/>
      <c r="W155" s="551"/>
      <c r="X155" s="551"/>
      <c r="Y155" s="551"/>
      <c r="Z155" s="551"/>
      <c r="AA155" s="536"/>
      <c r="AB155" s="536"/>
      <c r="AC155" s="536"/>
    </row>
    <row r="156" spans="1:68" ht="14.25" hidden="1" customHeight="1" x14ac:dyDescent="0.25">
      <c r="A156" s="555" t="s">
        <v>136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7"/>
      <c r="AB156" s="537"/>
      <c r="AC156" s="537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59">
        <v>4680115886223</v>
      </c>
      <c r="E157" s="560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3"/>
      <c r="R157" s="553"/>
      <c r="S157" s="553"/>
      <c r="T157" s="554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6"/>
      <c r="B158" s="551"/>
      <c r="C158" s="551"/>
      <c r="D158" s="551"/>
      <c r="E158" s="551"/>
      <c r="F158" s="551"/>
      <c r="G158" s="551"/>
      <c r="H158" s="551"/>
      <c r="I158" s="551"/>
      <c r="J158" s="551"/>
      <c r="K158" s="551"/>
      <c r="L158" s="551"/>
      <c r="M158" s="551"/>
      <c r="N158" s="551"/>
      <c r="O158" s="557"/>
      <c r="P158" s="547" t="s">
        <v>71</v>
      </c>
      <c r="Q158" s="548"/>
      <c r="R158" s="548"/>
      <c r="S158" s="548"/>
      <c r="T158" s="548"/>
      <c r="U158" s="548"/>
      <c r="V158" s="54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1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7"/>
      <c r="P159" s="547" t="s">
        <v>71</v>
      </c>
      <c r="Q159" s="548"/>
      <c r="R159" s="548"/>
      <c r="S159" s="548"/>
      <c r="T159" s="548"/>
      <c r="U159" s="548"/>
      <c r="V159" s="54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55" t="s">
        <v>64</v>
      </c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1"/>
      <c r="P160" s="551"/>
      <c r="Q160" s="551"/>
      <c r="R160" s="551"/>
      <c r="S160" s="551"/>
      <c r="T160" s="551"/>
      <c r="U160" s="551"/>
      <c r="V160" s="551"/>
      <c r="W160" s="551"/>
      <c r="X160" s="551"/>
      <c r="Y160" s="551"/>
      <c r="Z160" s="551"/>
      <c r="AA160" s="537"/>
      <c r="AB160" s="537"/>
      <c r="AC160" s="537"/>
    </row>
    <row r="161" spans="1:68" ht="27" hidden="1" customHeight="1" x14ac:dyDescent="0.25">
      <c r="A161" s="54" t="s">
        <v>256</v>
      </c>
      <c r="B161" s="54" t="s">
        <v>257</v>
      </c>
      <c r="C161" s="31">
        <v>4301031191</v>
      </c>
      <c r="D161" s="559">
        <v>4680115880993</v>
      </c>
      <c r="E161" s="560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3"/>
      <c r="R161" s="553"/>
      <c r="S161" s="553"/>
      <c r="T161" s="554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259</v>
      </c>
      <c r="B162" s="54" t="s">
        <v>260</v>
      </c>
      <c r="C162" s="31">
        <v>4301031204</v>
      </c>
      <c r="D162" s="559">
        <v>4680115881761</v>
      </c>
      <c r="E162" s="560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3"/>
      <c r="R162" s="553"/>
      <c r="S162" s="553"/>
      <c r="T162" s="554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59">
        <v>4680115881563</v>
      </c>
      <c r="E163" s="560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69</v>
      </c>
      <c r="X163" s="541">
        <v>40</v>
      </c>
      <c r="Y163" s="542">
        <f t="shared" si="5"/>
        <v>42</v>
      </c>
      <c r="Z163" s="36">
        <f>IFERROR(IF(Y163=0,"",ROUNDUP(Y163/H163,0)*0.00902),"")</f>
        <v>9.0200000000000002E-2</v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41.809523809523803</v>
      </c>
      <c r="BN163" s="64">
        <f t="shared" si="7"/>
        <v>43.9</v>
      </c>
      <c r="BO163" s="64">
        <f t="shared" si="8"/>
        <v>7.2150072150072145E-2</v>
      </c>
      <c r="BP163" s="64">
        <f t="shared" si="9"/>
        <v>7.575757575757576E-2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4301031199</v>
      </c>
      <c r="D164" s="559">
        <v>4680115880986</v>
      </c>
      <c r="E164" s="560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3"/>
      <c r="R164" s="553"/>
      <c r="S164" s="553"/>
      <c r="T164" s="554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59">
        <v>4680115887213</v>
      </c>
      <c r="E165" s="560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6" t="s">
        <v>270</v>
      </c>
      <c r="Q165" s="553"/>
      <c r="R165" s="553"/>
      <c r="S165" s="553"/>
      <c r="T165" s="554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59">
        <v>4680115881785</v>
      </c>
      <c r="E166" s="560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3"/>
      <c r="R166" s="553"/>
      <c r="S166" s="553"/>
      <c r="T166" s="554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59">
        <v>4680115886537</v>
      </c>
      <c r="E167" s="560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3"/>
      <c r="R167" s="553"/>
      <c r="S167" s="553"/>
      <c r="T167" s="554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59">
        <v>4680115881679</v>
      </c>
      <c r="E168" s="560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3"/>
      <c r="R168" s="553"/>
      <c r="S168" s="553"/>
      <c r="T168" s="554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59">
        <v>4680115880191</v>
      </c>
      <c r="E169" s="560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3"/>
      <c r="R169" s="553"/>
      <c r="S169" s="553"/>
      <c r="T169" s="554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59">
        <v>4680115883963</v>
      </c>
      <c r="E170" s="560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3"/>
      <c r="R170" s="553"/>
      <c r="S170" s="553"/>
      <c r="T170" s="554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6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7"/>
      <c r="P171" s="547" t="s">
        <v>71</v>
      </c>
      <c r="Q171" s="548"/>
      <c r="R171" s="548"/>
      <c r="S171" s="548"/>
      <c r="T171" s="548"/>
      <c r="U171" s="548"/>
      <c r="V171" s="54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9.5238095238095237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10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9.0200000000000002E-2</v>
      </c>
      <c r="AA171" s="544"/>
      <c r="AB171" s="544"/>
      <c r="AC171" s="544"/>
    </row>
    <row r="172" spans="1:68" x14ac:dyDescent="0.2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7"/>
      <c r="P172" s="547" t="s">
        <v>71</v>
      </c>
      <c r="Q172" s="548"/>
      <c r="R172" s="548"/>
      <c r="S172" s="548"/>
      <c r="T172" s="548"/>
      <c r="U172" s="548"/>
      <c r="V172" s="549"/>
      <c r="W172" s="37" t="s">
        <v>69</v>
      </c>
      <c r="X172" s="543">
        <f>IFERROR(SUM(X161:X170),"0")</f>
        <v>40</v>
      </c>
      <c r="Y172" s="543">
        <f>IFERROR(SUM(Y161:Y170),"0")</f>
        <v>42</v>
      </c>
      <c r="Z172" s="37"/>
      <c r="AA172" s="544"/>
      <c r="AB172" s="544"/>
      <c r="AC172" s="544"/>
    </row>
    <row r="173" spans="1:68" ht="14.25" hidden="1" customHeight="1" x14ac:dyDescent="0.25">
      <c r="A173" s="555" t="s">
        <v>93</v>
      </c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37"/>
      <c r="AB173" s="537"/>
      <c r="AC173" s="537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59">
        <v>4680115886780</v>
      </c>
      <c r="E174" s="560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3"/>
      <c r="R174" s="553"/>
      <c r="S174" s="553"/>
      <c r="T174" s="554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59">
        <v>4680115886742</v>
      </c>
      <c r="E175" s="560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59">
        <v>4680115886766</v>
      </c>
      <c r="E176" s="560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6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7"/>
      <c r="P177" s="547" t="s">
        <v>71</v>
      </c>
      <c r="Q177" s="548"/>
      <c r="R177" s="548"/>
      <c r="S177" s="548"/>
      <c r="T177" s="548"/>
      <c r="U177" s="548"/>
      <c r="V177" s="54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7"/>
      <c r="P178" s="547" t="s">
        <v>71</v>
      </c>
      <c r="Q178" s="548"/>
      <c r="R178" s="548"/>
      <c r="S178" s="548"/>
      <c r="T178" s="548"/>
      <c r="U178" s="548"/>
      <c r="V178" s="54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5" t="s">
        <v>294</v>
      </c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37"/>
      <c r="AB179" s="537"/>
      <c r="AC179" s="537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59">
        <v>4680115886797</v>
      </c>
      <c r="E180" s="560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3"/>
      <c r="R180" s="553"/>
      <c r="S180" s="553"/>
      <c r="T180" s="554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6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7"/>
      <c r="P181" s="547" t="s">
        <v>71</v>
      </c>
      <c r="Q181" s="548"/>
      <c r="R181" s="548"/>
      <c r="S181" s="548"/>
      <c r="T181" s="548"/>
      <c r="U181" s="548"/>
      <c r="V181" s="54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7"/>
      <c r="P182" s="547" t="s">
        <v>71</v>
      </c>
      <c r="Q182" s="548"/>
      <c r="R182" s="548"/>
      <c r="S182" s="548"/>
      <c r="T182" s="548"/>
      <c r="U182" s="548"/>
      <c r="V182" s="54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50" t="s">
        <v>297</v>
      </c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36"/>
      <c r="AB183" s="536"/>
      <c r="AC183" s="536"/>
    </row>
    <row r="184" spans="1:68" ht="14.25" hidden="1" customHeight="1" x14ac:dyDescent="0.25">
      <c r="A184" s="555" t="s">
        <v>101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7"/>
      <c r="AB184" s="537"/>
      <c r="AC184" s="537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59">
        <v>4680115881402</v>
      </c>
      <c r="E185" s="560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3"/>
      <c r="R185" s="553"/>
      <c r="S185" s="553"/>
      <c r="T185" s="554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59">
        <v>4680115881396</v>
      </c>
      <c r="E186" s="560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3"/>
      <c r="R186" s="553"/>
      <c r="S186" s="553"/>
      <c r="T186" s="554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6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7"/>
      <c r="P187" s="547" t="s">
        <v>71</v>
      </c>
      <c r="Q187" s="548"/>
      <c r="R187" s="548"/>
      <c r="S187" s="548"/>
      <c r="T187" s="548"/>
      <c r="U187" s="548"/>
      <c r="V187" s="54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7"/>
      <c r="P188" s="547" t="s">
        <v>71</v>
      </c>
      <c r="Q188" s="548"/>
      <c r="R188" s="548"/>
      <c r="S188" s="548"/>
      <c r="T188" s="548"/>
      <c r="U188" s="548"/>
      <c r="V188" s="54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5" t="s">
        <v>136</v>
      </c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37"/>
      <c r="AB189" s="537"/>
      <c r="AC189" s="537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59">
        <v>4680115882935</v>
      </c>
      <c r="E190" s="560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80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3"/>
      <c r="R190" s="553"/>
      <c r="S190" s="553"/>
      <c r="T190" s="554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59">
        <v>4680115880764</v>
      </c>
      <c r="E191" s="560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3"/>
      <c r="R191" s="553"/>
      <c r="S191" s="553"/>
      <c r="T191" s="554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6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7"/>
      <c r="P192" s="547" t="s">
        <v>71</v>
      </c>
      <c r="Q192" s="548"/>
      <c r="R192" s="548"/>
      <c r="S192" s="548"/>
      <c r="T192" s="548"/>
      <c r="U192" s="548"/>
      <c r="V192" s="54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7"/>
      <c r="P193" s="547" t="s">
        <v>71</v>
      </c>
      <c r="Q193" s="548"/>
      <c r="R193" s="548"/>
      <c r="S193" s="548"/>
      <c r="T193" s="548"/>
      <c r="U193" s="548"/>
      <c r="V193" s="54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5" t="s">
        <v>64</v>
      </c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59">
        <v>4680115882683</v>
      </c>
      <c r="E195" s="560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3"/>
      <c r="R195" s="553"/>
      <c r="S195" s="553"/>
      <c r="T195" s="554"/>
      <c r="U195" s="34"/>
      <c r="V195" s="34"/>
      <c r="W195" s="35" t="s">
        <v>69</v>
      </c>
      <c r="X195" s="541">
        <v>150</v>
      </c>
      <c r="Y195" s="542">
        <f t="shared" ref="Y195:Y202" si="10">IFERROR(IF(X195="",0,CEILING((X195/$H195),1)*$H195),"")</f>
        <v>151.20000000000002</v>
      </c>
      <c r="Z195" s="36">
        <f>IFERROR(IF(Y195=0,"",ROUNDUP(Y195/H195,0)*0.00902),"")</f>
        <v>0.25256000000000001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155.27777777777777</v>
      </c>
      <c r="BN195" s="64">
        <f t="shared" ref="BN195:BN202" si="12">IFERROR(Y195*I195/H195,"0")</f>
        <v>156.52000000000001</v>
      </c>
      <c r="BO195" s="64">
        <f t="shared" ref="BO195:BO202" si="13">IFERROR(1/J195*(X195/H195),"0")</f>
        <v>0.21043771043771042</v>
      </c>
      <c r="BP195" s="64">
        <f t="shared" ref="BP195:BP202" si="14">IFERROR(1/J195*(Y195/H195),"0")</f>
        <v>0.21212121212121213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59">
        <v>4680115882690</v>
      </c>
      <c r="E196" s="560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69</v>
      </c>
      <c r="X196" s="541">
        <v>20</v>
      </c>
      <c r="Y196" s="542">
        <f t="shared" si="10"/>
        <v>21.6</v>
      </c>
      <c r="Z196" s="36">
        <f>IFERROR(IF(Y196=0,"",ROUNDUP(Y196/H196,0)*0.00902),"")</f>
        <v>3.6080000000000001E-2</v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20.703703703703702</v>
      </c>
      <c r="BN196" s="64">
        <f t="shared" si="12"/>
        <v>22.36</v>
      </c>
      <c r="BO196" s="64">
        <f t="shared" si="13"/>
        <v>2.8058361391694722E-2</v>
      </c>
      <c r="BP196" s="64">
        <f t="shared" si="14"/>
        <v>3.0303030303030304E-2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59">
        <v>4680115882669</v>
      </c>
      <c r="E197" s="560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69</v>
      </c>
      <c r="X197" s="541">
        <v>150</v>
      </c>
      <c r="Y197" s="542">
        <f t="shared" si="10"/>
        <v>151.20000000000002</v>
      </c>
      <c r="Z197" s="36">
        <f>IFERROR(IF(Y197=0,"",ROUNDUP(Y197/H197,0)*0.00902),"")</f>
        <v>0.25256000000000001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155.27777777777777</v>
      </c>
      <c r="BN197" s="64">
        <f t="shared" si="12"/>
        <v>156.52000000000001</v>
      </c>
      <c r="BO197" s="64">
        <f t="shared" si="13"/>
        <v>0.21043771043771042</v>
      </c>
      <c r="BP197" s="64">
        <f t="shared" si="14"/>
        <v>0.21212121212121213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59">
        <v>4680115882676</v>
      </c>
      <c r="E198" s="560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69</v>
      </c>
      <c r="X198" s="541">
        <v>200</v>
      </c>
      <c r="Y198" s="542">
        <f t="shared" si="10"/>
        <v>205.20000000000002</v>
      </c>
      <c r="Z198" s="36">
        <f>IFERROR(IF(Y198=0,"",ROUNDUP(Y198/H198,0)*0.00902),"")</f>
        <v>0.34276000000000001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207.03703703703701</v>
      </c>
      <c r="BN198" s="64">
        <f t="shared" si="12"/>
        <v>212.42</v>
      </c>
      <c r="BO198" s="64">
        <f t="shared" si="13"/>
        <v>0.28058361391694725</v>
      </c>
      <c r="BP198" s="64">
        <f t="shared" si="14"/>
        <v>0.2878787878787879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59">
        <v>4680115884014</v>
      </c>
      <c r="E199" s="560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3"/>
      <c r="R199" s="553"/>
      <c r="S199" s="553"/>
      <c r="T199" s="554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59">
        <v>4680115884007</v>
      </c>
      <c r="E200" s="560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59">
        <v>4680115884038</v>
      </c>
      <c r="E201" s="560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59">
        <v>4680115884021</v>
      </c>
      <c r="E202" s="560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6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7"/>
      <c r="P203" s="547" t="s">
        <v>71</v>
      </c>
      <c r="Q203" s="548"/>
      <c r="R203" s="548"/>
      <c r="S203" s="548"/>
      <c r="T203" s="548"/>
      <c r="U203" s="548"/>
      <c r="V203" s="54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96.296296296296291</v>
      </c>
      <c r="Y203" s="543">
        <f>IFERROR(Y195/H195,"0")+IFERROR(Y196/H196,"0")+IFERROR(Y197/H197,"0")+IFERROR(Y198/H198,"0")+IFERROR(Y199/H199,"0")+IFERROR(Y200/H200,"0")+IFERROR(Y201/H201,"0")+IFERROR(Y202/H202,"0")</f>
        <v>98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0.88396000000000008</v>
      </c>
      <c r="AA203" s="544"/>
      <c r="AB203" s="544"/>
      <c r="AC203" s="544"/>
    </row>
    <row r="204" spans="1:68" x14ac:dyDescent="0.2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7"/>
      <c r="P204" s="547" t="s">
        <v>71</v>
      </c>
      <c r="Q204" s="548"/>
      <c r="R204" s="548"/>
      <c r="S204" s="548"/>
      <c r="T204" s="548"/>
      <c r="U204" s="548"/>
      <c r="V204" s="549"/>
      <c r="W204" s="37" t="s">
        <v>69</v>
      </c>
      <c r="X204" s="543">
        <f>IFERROR(SUM(X195:X202),"0")</f>
        <v>520</v>
      </c>
      <c r="Y204" s="543">
        <f>IFERROR(SUM(Y195:Y202),"0")</f>
        <v>529.20000000000005</v>
      </c>
      <c r="Z204" s="37"/>
      <c r="AA204" s="544"/>
      <c r="AB204" s="544"/>
      <c r="AC204" s="544"/>
    </row>
    <row r="205" spans="1:68" ht="14.25" hidden="1" customHeight="1" x14ac:dyDescent="0.25">
      <c r="A205" s="555" t="s">
        <v>73</v>
      </c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37"/>
      <c r="AB205" s="537"/>
      <c r="AC205" s="537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59">
        <v>4680115881594</v>
      </c>
      <c r="E206" s="560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3"/>
      <c r="R206" s="553"/>
      <c r="S206" s="553"/>
      <c r="T206" s="554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59">
        <v>4680115881617</v>
      </c>
      <c r="E207" s="560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3"/>
      <c r="R207" s="553"/>
      <c r="S207" s="553"/>
      <c r="T207" s="554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59">
        <v>4680115880573</v>
      </c>
      <c r="E208" s="560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3"/>
      <c r="R208" s="553"/>
      <c r="S208" s="553"/>
      <c r="T208" s="554"/>
      <c r="U208" s="34"/>
      <c r="V208" s="34"/>
      <c r="W208" s="35" t="s">
        <v>69</v>
      </c>
      <c r="X208" s="541">
        <v>170</v>
      </c>
      <c r="Y208" s="542">
        <f t="shared" si="15"/>
        <v>174</v>
      </c>
      <c r="Z208" s="36">
        <f>IFERROR(IF(Y208=0,"",ROUNDUP(Y208/H208,0)*0.01898),"")</f>
        <v>0.37959999999999999</v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179.65287356321844</v>
      </c>
      <c r="BN208" s="64">
        <f t="shared" si="17"/>
        <v>183.88000000000002</v>
      </c>
      <c r="BO208" s="64">
        <f t="shared" si="18"/>
        <v>0.30531609195402304</v>
      </c>
      <c r="BP208" s="64">
        <f t="shared" si="19"/>
        <v>0.3125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59">
        <v>4680115882195</v>
      </c>
      <c r="E209" s="560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3"/>
      <c r="R209" s="553"/>
      <c r="S209" s="553"/>
      <c r="T209" s="554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59">
        <v>4680115882607</v>
      </c>
      <c r="E210" s="560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3"/>
      <c r="R210" s="553"/>
      <c r="S210" s="553"/>
      <c r="T210" s="554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59">
        <v>4680115880092</v>
      </c>
      <c r="E211" s="560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3"/>
      <c r="R211" s="553"/>
      <c r="S211" s="553"/>
      <c r="T211" s="554"/>
      <c r="U211" s="34"/>
      <c r="V211" s="34"/>
      <c r="W211" s="35" t="s">
        <v>69</v>
      </c>
      <c r="X211" s="541">
        <v>96</v>
      </c>
      <c r="Y211" s="542">
        <f t="shared" si="15"/>
        <v>96</v>
      </c>
      <c r="Z211" s="36">
        <f t="shared" si="20"/>
        <v>0.26040000000000002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106.08000000000001</v>
      </c>
      <c r="BN211" s="64">
        <f t="shared" si="17"/>
        <v>106.08000000000001</v>
      </c>
      <c r="BO211" s="64">
        <f t="shared" si="18"/>
        <v>0.2197802197802198</v>
      </c>
      <c r="BP211" s="64">
        <f t="shared" si="19"/>
        <v>0.2197802197802198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4301051668</v>
      </c>
      <c r="D212" s="559">
        <v>4680115880221</v>
      </c>
      <c r="E212" s="560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59">
        <v>4680115880504</v>
      </c>
      <c r="E213" s="560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3"/>
      <c r="R213" s="553"/>
      <c r="S213" s="553"/>
      <c r="T213" s="554"/>
      <c r="U213" s="34"/>
      <c r="V213" s="34"/>
      <c r="W213" s="35" t="s">
        <v>69</v>
      </c>
      <c r="X213" s="541">
        <v>55</v>
      </c>
      <c r="Y213" s="542">
        <f t="shared" si="15"/>
        <v>55.199999999999996</v>
      </c>
      <c r="Z213" s="36">
        <f t="shared" si="20"/>
        <v>0.14973</v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60.775000000000006</v>
      </c>
      <c r="BN213" s="64">
        <f t="shared" si="17"/>
        <v>60.996000000000002</v>
      </c>
      <c r="BO213" s="64">
        <f t="shared" si="18"/>
        <v>0.12591575091575094</v>
      </c>
      <c r="BP213" s="64">
        <f t="shared" si="19"/>
        <v>0.1263736263736264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59">
        <v>4680115882164</v>
      </c>
      <c r="E214" s="560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3"/>
      <c r="R214" s="553"/>
      <c r="S214" s="553"/>
      <c r="T214" s="554"/>
      <c r="U214" s="34"/>
      <c r="V214" s="34"/>
      <c r="W214" s="35" t="s">
        <v>69</v>
      </c>
      <c r="X214" s="541">
        <v>48</v>
      </c>
      <c r="Y214" s="542">
        <f t="shared" si="15"/>
        <v>48</v>
      </c>
      <c r="Z214" s="36">
        <f t="shared" si="20"/>
        <v>0.13020000000000001</v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53.160000000000004</v>
      </c>
      <c r="BN214" s="64">
        <f t="shared" si="17"/>
        <v>53.160000000000004</v>
      </c>
      <c r="BO214" s="64">
        <f t="shared" si="18"/>
        <v>0.1098901098901099</v>
      </c>
      <c r="BP214" s="64">
        <f t="shared" si="19"/>
        <v>0.1098901098901099</v>
      </c>
    </row>
    <row r="215" spans="1:68" x14ac:dyDescent="0.2">
      <c r="A215" s="556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7"/>
      <c r="P215" s="547" t="s">
        <v>71</v>
      </c>
      <c r="Q215" s="548"/>
      <c r="R215" s="548"/>
      <c r="S215" s="548"/>
      <c r="T215" s="548"/>
      <c r="U215" s="548"/>
      <c r="V215" s="54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102.45689655172414</v>
      </c>
      <c r="Y215" s="543">
        <f>IFERROR(Y206/H206,"0")+IFERROR(Y207/H207,"0")+IFERROR(Y208/H208,"0")+IFERROR(Y209/H209,"0")+IFERROR(Y210/H210,"0")+IFERROR(Y211/H211,"0")+IFERROR(Y212/H212,"0")+IFERROR(Y213/H213,"0")+IFERROR(Y214/H214,"0")</f>
        <v>103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0.91993000000000003</v>
      </c>
      <c r="AA215" s="544"/>
      <c r="AB215" s="544"/>
      <c r="AC215" s="544"/>
    </row>
    <row r="216" spans="1:68" x14ac:dyDescent="0.2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7"/>
      <c r="P216" s="547" t="s">
        <v>71</v>
      </c>
      <c r="Q216" s="548"/>
      <c r="R216" s="548"/>
      <c r="S216" s="548"/>
      <c r="T216" s="548"/>
      <c r="U216" s="548"/>
      <c r="V216" s="549"/>
      <c r="W216" s="37" t="s">
        <v>69</v>
      </c>
      <c r="X216" s="543">
        <f>IFERROR(SUM(X206:X214),"0")</f>
        <v>369</v>
      </c>
      <c r="Y216" s="543">
        <f>IFERROR(SUM(Y206:Y214),"0")</f>
        <v>373.2</v>
      </c>
      <c r="Z216" s="37"/>
      <c r="AA216" s="544"/>
      <c r="AB216" s="544"/>
      <c r="AC216" s="544"/>
    </row>
    <row r="217" spans="1:68" ht="14.25" hidden="1" customHeight="1" x14ac:dyDescent="0.25">
      <c r="A217" s="555" t="s">
        <v>164</v>
      </c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37"/>
      <c r="AB217" s="537"/>
      <c r="AC217" s="537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59">
        <v>4680115880818</v>
      </c>
      <c r="E218" s="560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3"/>
      <c r="R218" s="553"/>
      <c r="S218" s="553"/>
      <c r="T218" s="554"/>
      <c r="U218" s="34"/>
      <c r="V218" s="34"/>
      <c r="W218" s="35" t="s">
        <v>69</v>
      </c>
      <c r="X218" s="541">
        <v>12</v>
      </c>
      <c r="Y218" s="542">
        <f>IFERROR(IF(X218="",0,CEILING((X218/$H218),1)*$H218),"")</f>
        <v>12</v>
      </c>
      <c r="Z218" s="36">
        <f>IFERROR(IF(Y218=0,"",ROUNDUP(Y218/H218,0)*0.00651),"")</f>
        <v>3.2550000000000003E-2</v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13.260000000000002</v>
      </c>
      <c r="BN218" s="64">
        <f>IFERROR(Y218*I218/H218,"0")</f>
        <v>13.260000000000002</v>
      </c>
      <c r="BO218" s="64">
        <f>IFERROR(1/J218*(X218/H218),"0")</f>
        <v>2.7472527472527476E-2</v>
      </c>
      <c r="BP218" s="64">
        <f>IFERROR(1/J218*(Y218/H218),"0")</f>
        <v>2.7472527472527476E-2</v>
      </c>
    </row>
    <row r="219" spans="1:68" ht="37.5" hidden="1" customHeight="1" x14ac:dyDescent="0.25">
      <c r="A219" s="54" t="s">
        <v>353</v>
      </c>
      <c r="B219" s="54" t="s">
        <v>354</v>
      </c>
      <c r="C219" s="31">
        <v>4301060389</v>
      </c>
      <c r="D219" s="559">
        <v>4680115880801</v>
      </c>
      <c r="E219" s="560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6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7"/>
      <c r="P220" s="547" t="s">
        <v>71</v>
      </c>
      <c r="Q220" s="548"/>
      <c r="R220" s="548"/>
      <c r="S220" s="548"/>
      <c r="T220" s="548"/>
      <c r="U220" s="548"/>
      <c r="V220" s="549"/>
      <c r="W220" s="37" t="s">
        <v>72</v>
      </c>
      <c r="X220" s="543">
        <f>IFERROR(X218/H218,"0")+IFERROR(X219/H219,"0")</f>
        <v>5</v>
      </c>
      <c r="Y220" s="543">
        <f>IFERROR(Y218/H218,"0")+IFERROR(Y219/H219,"0")</f>
        <v>5</v>
      </c>
      <c r="Z220" s="543">
        <f>IFERROR(IF(Z218="",0,Z218),"0")+IFERROR(IF(Z219="",0,Z219),"0")</f>
        <v>3.2550000000000003E-2</v>
      </c>
      <c r="AA220" s="544"/>
      <c r="AB220" s="544"/>
      <c r="AC220" s="544"/>
    </row>
    <row r="221" spans="1:68" x14ac:dyDescent="0.2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7"/>
      <c r="P221" s="547" t="s">
        <v>71</v>
      </c>
      <c r="Q221" s="548"/>
      <c r="R221" s="548"/>
      <c r="S221" s="548"/>
      <c r="T221" s="548"/>
      <c r="U221" s="548"/>
      <c r="V221" s="549"/>
      <c r="W221" s="37" t="s">
        <v>69</v>
      </c>
      <c r="X221" s="543">
        <f>IFERROR(SUM(X218:X219),"0")</f>
        <v>12</v>
      </c>
      <c r="Y221" s="543">
        <f>IFERROR(SUM(Y218:Y219),"0")</f>
        <v>12</v>
      </c>
      <c r="Z221" s="37"/>
      <c r="AA221" s="544"/>
      <c r="AB221" s="544"/>
      <c r="AC221" s="544"/>
    </row>
    <row r="222" spans="1:68" ht="16.5" hidden="1" customHeight="1" x14ac:dyDescent="0.25">
      <c r="A222" s="550" t="s">
        <v>356</v>
      </c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36"/>
      <c r="AB222" s="536"/>
      <c r="AC222" s="536"/>
    </row>
    <row r="223" spans="1:68" ht="14.25" hidden="1" customHeight="1" x14ac:dyDescent="0.25">
      <c r="A223" s="555" t="s">
        <v>101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7"/>
      <c r="AB223" s="537"/>
      <c r="AC223" s="537"/>
    </row>
    <row r="224" spans="1:68" ht="27" hidden="1" customHeight="1" x14ac:dyDescent="0.25">
      <c r="A224" s="54" t="s">
        <v>357</v>
      </c>
      <c r="B224" s="54" t="s">
        <v>358</v>
      </c>
      <c r="C224" s="31">
        <v>4301011826</v>
      </c>
      <c r="D224" s="559">
        <v>4680115884137</v>
      </c>
      <c r="E224" s="560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3"/>
      <c r="R224" s="553"/>
      <c r="S224" s="553"/>
      <c r="T224" s="554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59">
        <v>4680115884236</v>
      </c>
      <c r="E225" s="560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4301011721</v>
      </c>
      <c r="D226" s="559">
        <v>4680115884175</v>
      </c>
      <c r="E226" s="560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4301011824</v>
      </c>
      <c r="D227" s="559">
        <v>4680115884144</v>
      </c>
      <c r="E227" s="560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3"/>
      <c r="R227" s="553"/>
      <c r="S227" s="553"/>
      <c r="T227" s="554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59">
        <v>4680115884144</v>
      </c>
      <c r="E228" s="560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3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3"/>
      <c r="R228" s="553"/>
      <c r="S228" s="553"/>
      <c r="T228" s="554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59">
        <v>4680115886551</v>
      </c>
      <c r="E229" s="560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0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59">
        <v>4680115884182</v>
      </c>
      <c r="E230" s="560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3"/>
      <c r="R230" s="553"/>
      <c r="S230" s="553"/>
      <c r="T230" s="554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59">
        <v>4680115887282</v>
      </c>
      <c r="E231" s="560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3"/>
      <c r="R231" s="553"/>
      <c r="S231" s="553"/>
      <c r="T231" s="554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4301011722</v>
      </c>
      <c r="D232" s="559">
        <v>4680115884205</v>
      </c>
      <c r="E232" s="560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3"/>
      <c r="R232" s="553"/>
      <c r="S232" s="553"/>
      <c r="T232" s="554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59">
        <v>4680115884205</v>
      </c>
      <c r="E233" s="560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3"/>
      <c r="R233" s="553"/>
      <c r="S233" s="553"/>
      <c r="T233" s="554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6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7"/>
      <c r="P234" s="547" t="s">
        <v>71</v>
      </c>
      <c r="Q234" s="548"/>
      <c r="R234" s="548"/>
      <c r="S234" s="548"/>
      <c r="T234" s="548"/>
      <c r="U234" s="548"/>
      <c r="V234" s="54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7"/>
      <c r="P235" s="547" t="s">
        <v>71</v>
      </c>
      <c r="Q235" s="548"/>
      <c r="R235" s="548"/>
      <c r="S235" s="548"/>
      <c r="T235" s="548"/>
      <c r="U235" s="548"/>
      <c r="V235" s="54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5" t="s">
        <v>136</v>
      </c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37"/>
      <c r="AB236" s="537"/>
      <c r="AC236" s="537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59">
        <v>4680115885981</v>
      </c>
      <c r="E237" s="560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3"/>
      <c r="R237" s="553"/>
      <c r="S237" s="553"/>
      <c r="T237" s="554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6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7"/>
      <c r="P238" s="547" t="s">
        <v>71</v>
      </c>
      <c r="Q238" s="548"/>
      <c r="R238" s="548"/>
      <c r="S238" s="548"/>
      <c r="T238" s="548"/>
      <c r="U238" s="548"/>
      <c r="V238" s="54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7"/>
      <c r="P239" s="547" t="s">
        <v>71</v>
      </c>
      <c r="Q239" s="548"/>
      <c r="R239" s="548"/>
      <c r="S239" s="548"/>
      <c r="T239" s="548"/>
      <c r="U239" s="548"/>
      <c r="V239" s="54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5" t="s">
        <v>382</v>
      </c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37"/>
      <c r="AB240" s="537"/>
      <c r="AC240" s="537"/>
    </row>
    <row r="241" spans="1:68" ht="27" hidden="1" customHeight="1" x14ac:dyDescent="0.25">
      <c r="A241" s="54" t="s">
        <v>383</v>
      </c>
      <c r="B241" s="54" t="s">
        <v>384</v>
      </c>
      <c r="C241" s="31">
        <v>4301040362</v>
      </c>
      <c r="D241" s="559">
        <v>4680115886803</v>
      </c>
      <c r="E241" s="560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3"/>
      <c r="R241" s="553"/>
      <c r="S241" s="553"/>
      <c r="T241" s="554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6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7"/>
      <c r="P242" s="547" t="s">
        <v>71</v>
      </c>
      <c r="Q242" s="548"/>
      <c r="R242" s="548"/>
      <c r="S242" s="548"/>
      <c r="T242" s="548"/>
      <c r="U242" s="548"/>
      <c r="V242" s="54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7"/>
      <c r="P243" s="547" t="s">
        <v>71</v>
      </c>
      <c r="Q243" s="548"/>
      <c r="R243" s="548"/>
      <c r="S243" s="548"/>
      <c r="T243" s="548"/>
      <c r="U243" s="548"/>
      <c r="V243" s="54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5" t="s">
        <v>386</v>
      </c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37"/>
      <c r="AB244" s="537"/>
      <c r="AC244" s="537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59">
        <v>4680115886704</v>
      </c>
      <c r="E245" s="560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3"/>
      <c r="R245" s="553"/>
      <c r="S245" s="553"/>
      <c r="T245" s="554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4301041008</v>
      </c>
      <c r="D246" s="559">
        <v>4680115886681</v>
      </c>
      <c r="E246" s="560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3"/>
      <c r="R246" s="553"/>
      <c r="S246" s="553"/>
      <c r="T246" s="554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59">
        <v>4680115886735</v>
      </c>
      <c r="E247" s="560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3"/>
      <c r="R247" s="553"/>
      <c r="S247" s="553"/>
      <c r="T247" s="554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59">
        <v>4680115886728</v>
      </c>
      <c r="E248" s="560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3"/>
      <c r="R248" s="553"/>
      <c r="S248" s="553"/>
      <c r="T248" s="554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59">
        <v>4680115886711</v>
      </c>
      <c r="E249" s="560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6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7"/>
      <c r="P250" s="547" t="s">
        <v>71</v>
      </c>
      <c r="Q250" s="548"/>
      <c r="R250" s="548"/>
      <c r="S250" s="548"/>
      <c r="T250" s="548"/>
      <c r="U250" s="548"/>
      <c r="V250" s="54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7"/>
      <c r="P251" s="547" t="s">
        <v>71</v>
      </c>
      <c r="Q251" s="548"/>
      <c r="R251" s="548"/>
      <c r="S251" s="548"/>
      <c r="T251" s="548"/>
      <c r="U251" s="548"/>
      <c r="V251" s="54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50" t="s">
        <v>398</v>
      </c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36"/>
      <c r="AB252" s="536"/>
      <c r="AC252" s="536"/>
    </row>
    <row r="253" spans="1:68" ht="14.25" hidden="1" customHeight="1" x14ac:dyDescent="0.25">
      <c r="A253" s="555" t="s">
        <v>101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7"/>
      <c r="AB253" s="537"/>
      <c r="AC253" s="537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59">
        <v>4680115885837</v>
      </c>
      <c r="E254" s="560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3"/>
      <c r="R254" s="553"/>
      <c r="S254" s="553"/>
      <c r="T254" s="554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59">
        <v>4680115885851</v>
      </c>
      <c r="E255" s="560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405</v>
      </c>
      <c r="B256" s="54" t="s">
        <v>406</v>
      </c>
      <c r="C256" s="31">
        <v>4301011850</v>
      </c>
      <c r="D256" s="559">
        <v>4680115885806</v>
      </c>
      <c r="E256" s="560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59">
        <v>4680115885844</v>
      </c>
      <c r="E257" s="560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3"/>
      <c r="R257" s="553"/>
      <c r="S257" s="553"/>
      <c r="T257" s="554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59">
        <v>4680115885820</v>
      </c>
      <c r="E258" s="560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6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7"/>
      <c r="P259" s="547" t="s">
        <v>71</v>
      </c>
      <c r="Q259" s="548"/>
      <c r="R259" s="548"/>
      <c r="S259" s="548"/>
      <c r="T259" s="548"/>
      <c r="U259" s="548"/>
      <c r="V259" s="54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7"/>
      <c r="P260" s="547" t="s">
        <v>71</v>
      </c>
      <c r="Q260" s="548"/>
      <c r="R260" s="548"/>
      <c r="S260" s="548"/>
      <c r="T260" s="548"/>
      <c r="U260" s="548"/>
      <c r="V260" s="54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50" t="s">
        <v>414</v>
      </c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36"/>
      <c r="AB261" s="536"/>
      <c r="AC261" s="536"/>
    </row>
    <row r="262" spans="1:68" ht="14.25" hidden="1" customHeight="1" x14ac:dyDescent="0.25">
      <c r="A262" s="555" t="s">
        <v>101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7"/>
      <c r="AB262" s="537"/>
      <c r="AC262" s="537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59">
        <v>4607091383423</v>
      </c>
      <c r="E263" s="560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3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3"/>
      <c r="R263" s="553"/>
      <c r="S263" s="553"/>
      <c r="T263" s="554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59">
        <v>4680115886957</v>
      </c>
      <c r="E264" s="560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3"/>
      <c r="R264" s="553"/>
      <c r="S264" s="553"/>
      <c r="T264" s="554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59">
        <v>4680115885660</v>
      </c>
      <c r="E265" s="560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1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59">
        <v>4680115886773</v>
      </c>
      <c r="E266" s="560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3"/>
      <c r="R266" s="553"/>
      <c r="S266" s="553"/>
      <c r="T266" s="554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6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7"/>
      <c r="P267" s="547" t="s">
        <v>71</v>
      </c>
      <c r="Q267" s="548"/>
      <c r="R267" s="548"/>
      <c r="S267" s="548"/>
      <c r="T267" s="548"/>
      <c r="U267" s="548"/>
      <c r="V267" s="54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7"/>
      <c r="P268" s="547" t="s">
        <v>71</v>
      </c>
      <c r="Q268" s="548"/>
      <c r="R268" s="548"/>
      <c r="S268" s="548"/>
      <c r="T268" s="548"/>
      <c r="U268" s="548"/>
      <c r="V268" s="54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0" t="s">
        <v>425</v>
      </c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36"/>
      <c r="AB269" s="536"/>
      <c r="AC269" s="536"/>
    </row>
    <row r="270" spans="1:68" ht="14.25" hidden="1" customHeight="1" x14ac:dyDescent="0.25">
      <c r="A270" s="555" t="s">
        <v>73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7"/>
      <c r="AB270" s="537"/>
      <c r="AC270" s="537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59">
        <v>4680115886186</v>
      </c>
      <c r="E271" s="560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3"/>
      <c r="R271" s="553"/>
      <c r="S271" s="553"/>
      <c r="T271" s="554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429</v>
      </c>
      <c r="B272" s="54" t="s">
        <v>430</v>
      </c>
      <c r="C272" s="31">
        <v>4301051795</v>
      </c>
      <c r="D272" s="559">
        <v>4680115881228</v>
      </c>
      <c r="E272" s="560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3"/>
      <c r="R272" s="553"/>
      <c r="S272" s="553"/>
      <c r="T272" s="554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4301051388</v>
      </c>
      <c r="D273" s="559">
        <v>4680115881211</v>
      </c>
      <c r="E273" s="560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59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3"/>
      <c r="R273" s="553"/>
      <c r="S273" s="553"/>
      <c r="T273" s="554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6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7"/>
      <c r="P274" s="547" t="s">
        <v>71</v>
      </c>
      <c r="Q274" s="548"/>
      <c r="R274" s="548"/>
      <c r="S274" s="548"/>
      <c r="T274" s="548"/>
      <c r="U274" s="548"/>
      <c r="V274" s="54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7"/>
      <c r="P275" s="547" t="s">
        <v>71</v>
      </c>
      <c r="Q275" s="548"/>
      <c r="R275" s="548"/>
      <c r="S275" s="548"/>
      <c r="T275" s="548"/>
      <c r="U275" s="548"/>
      <c r="V275" s="54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50" t="s">
        <v>434</v>
      </c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36"/>
      <c r="AB276" s="536"/>
      <c r="AC276" s="536"/>
    </row>
    <row r="277" spans="1:68" ht="14.25" hidden="1" customHeight="1" x14ac:dyDescent="0.25">
      <c r="A277" s="555" t="s">
        <v>64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7"/>
      <c r="AB277" s="537"/>
      <c r="AC277" s="537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59">
        <v>4680115880344</v>
      </c>
      <c r="E278" s="560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3"/>
      <c r="R278" s="553"/>
      <c r="S278" s="553"/>
      <c r="T278" s="554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59">
        <v>4680115886919</v>
      </c>
      <c r="E279" s="560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3"/>
      <c r="R279" s="553"/>
      <c r="S279" s="553"/>
      <c r="T279" s="554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6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7"/>
      <c r="P280" s="547" t="s">
        <v>71</v>
      </c>
      <c r="Q280" s="548"/>
      <c r="R280" s="548"/>
      <c r="S280" s="548"/>
      <c r="T280" s="548"/>
      <c r="U280" s="548"/>
      <c r="V280" s="54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7"/>
      <c r="P281" s="547" t="s">
        <v>71</v>
      </c>
      <c r="Q281" s="548"/>
      <c r="R281" s="548"/>
      <c r="S281" s="548"/>
      <c r="T281" s="548"/>
      <c r="U281" s="548"/>
      <c r="V281" s="54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5" t="s">
        <v>73</v>
      </c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37"/>
      <c r="AB282" s="537"/>
      <c r="AC282" s="537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59">
        <v>4680115884618</v>
      </c>
      <c r="E283" s="560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3"/>
      <c r="R283" s="553"/>
      <c r="S283" s="553"/>
      <c r="T283" s="554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59">
        <v>4680115887114</v>
      </c>
      <c r="E284" s="560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8" t="s">
        <v>446</v>
      </c>
      <c r="Q284" s="553"/>
      <c r="R284" s="553"/>
      <c r="S284" s="553"/>
      <c r="T284" s="554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6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7"/>
      <c r="P285" s="547" t="s">
        <v>71</v>
      </c>
      <c r="Q285" s="548"/>
      <c r="R285" s="548"/>
      <c r="S285" s="548"/>
      <c r="T285" s="548"/>
      <c r="U285" s="548"/>
      <c r="V285" s="54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1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7"/>
      <c r="P286" s="547" t="s">
        <v>71</v>
      </c>
      <c r="Q286" s="548"/>
      <c r="R286" s="548"/>
      <c r="S286" s="548"/>
      <c r="T286" s="548"/>
      <c r="U286" s="548"/>
      <c r="V286" s="54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50" t="s">
        <v>448</v>
      </c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36"/>
      <c r="AB287" s="536"/>
      <c r="AC287" s="536"/>
    </row>
    <row r="288" spans="1:68" ht="14.25" hidden="1" customHeight="1" x14ac:dyDescent="0.25">
      <c r="A288" s="555" t="s">
        <v>101</v>
      </c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551"/>
      <c r="N288" s="551"/>
      <c r="O288" s="551"/>
      <c r="P288" s="551"/>
      <c r="Q288" s="551"/>
      <c r="R288" s="551"/>
      <c r="S288" s="551"/>
      <c r="T288" s="551"/>
      <c r="U288" s="551"/>
      <c r="V288" s="551"/>
      <c r="W288" s="551"/>
      <c r="X288" s="551"/>
      <c r="Y288" s="551"/>
      <c r="Z288" s="551"/>
      <c r="AA288" s="537"/>
      <c r="AB288" s="537"/>
      <c r="AC288" s="537"/>
    </row>
    <row r="289" spans="1:68" ht="27" hidden="1" customHeight="1" x14ac:dyDescent="0.25">
      <c r="A289" s="54" t="s">
        <v>449</v>
      </c>
      <c r="B289" s="54" t="s">
        <v>450</v>
      </c>
      <c r="C289" s="31">
        <v>4301012126</v>
      </c>
      <c r="D289" s="559">
        <v>4607091386004</v>
      </c>
      <c r="E289" s="560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3"/>
      <c r="R289" s="553"/>
      <c r="S289" s="553"/>
      <c r="T289" s="554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4301012024</v>
      </c>
      <c r="D290" s="559">
        <v>4680115885615</v>
      </c>
      <c r="E290" s="560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455</v>
      </c>
      <c r="B291" s="54" t="s">
        <v>456</v>
      </c>
      <c r="C291" s="31">
        <v>4301011858</v>
      </c>
      <c r="D291" s="559">
        <v>4680115885646</v>
      </c>
      <c r="E291" s="560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3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4301012016</v>
      </c>
      <c r="D292" s="559">
        <v>4680115885554</v>
      </c>
      <c r="E292" s="560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6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461</v>
      </c>
      <c r="B293" s="54" t="s">
        <v>462</v>
      </c>
      <c r="C293" s="31">
        <v>4301011857</v>
      </c>
      <c r="D293" s="559">
        <v>4680115885622</v>
      </c>
      <c r="E293" s="560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463</v>
      </c>
      <c r="B294" s="54" t="s">
        <v>464</v>
      </c>
      <c r="C294" s="31">
        <v>4301011859</v>
      </c>
      <c r="D294" s="559">
        <v>4680115885608</v>
      </c>
      <c r="E294" s="560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idden="1" x14ac:dyDescent="0.2">
      <c r="A295" s="556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7"/>
      <c r="P295" s="547" t="s">
        <v>71</v>
      </c>
      <c r="Q295" s="548"/>
      <c r="R295" s="548"/>
      <c r="S295" s="548"/>
      <c r="T295" s="548"/>
      <c r="U295" s="548"/>
      <c r="V295" s="549"/>
      <c r="W295" s="37" t="s">
        <v>72</v>
      </c>
      <c r="X295" s="543">
        <f>IFERROR(X289/H289,"0")+IFERROR(X290/H290,"0")+IFERROR(X291/H291,"0")+IFERROR(X292/H292,"0")+IFERROR(X293/H293,"0")+IFERROR(X294/H294,"0")</f>
        <v>0</v>
      </c>
      <c r="Y295" s="543">
        <f>IFERROR(Y289/H289,"0")+IFERROR(Y290/H290,"0")+IFERROR(Y291/H291,"0")+IFERROR(Y292/H292,"0")+IFERROR(Y293/H293,"0")+IFERROR(Y294/H294,"0")</f>
        <v>0</v>
      </c>
      <c r="Z295" s="543">
        <f>IFERROR(IF(Z289="",0,Z289),"0")+IFERROR(IF(Z290="",0,Z290),"0")+IFERROR(IF(Z291="",0,Z291),"0")+IFERROR(IF(Z292="",0,Z292),"0")+IFERROR(IF(Z293="",0,Z293),"0")+IFERROR(IF(Z294="",0,Z294),"0")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1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7"/>
      <c r="P296" s="547" t="s">
        <v>71</v>
      </c>
      <c r="Q296" s="548"/>
      <c r="R296" s="548"/>
      <c r="S296" s="548"/>
      <c r="T296" s="548"/>
      <c r="U296" s="548"/>
      <c r="V296" s="549"/>
      <c r="W296" s="37" t="s">
        <v>69</v>
      </c>
      <c r="X296" s="543">
        <f>IFERROR(SUM(X289:X294),"0")</f>
        <v>0</v>
      </c>
      <c r="Y296" s="543">
        <f>IFERROR(SUM(Y289:Y294),"0")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55" t="s">
        <v>64</v>
      </c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1"/>
      <c r="M297" s="551"/>
      <c r="N297" s="551"/>
      <c r="O297" s="551"/>
      <c r="P297" s="551"/>
      <c r="Q297" s="551"/>
      <c r="R297" s="551"/>
      <c r="S297" s="551"/>
      <c r="T297" s="551"/>
      <c r="U297" s="551"/>
      <c r="V297" s="551"/>
      <c r="W297" s="551"/>
      <c r="X297" s="551"/>
      <c r="Y297" s="551"/>
      <c r="Z297" s="551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59">
        <v>4607091387193</v>
      </c>
      <c r="E298" s="560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69</v>
      </c>
      <c r="X298" s="541">
        <v>20</v>
      </c>
      <c r="Y298" s="542">
        <f t="shared" ref="Y298:Y304" si="31">IFERROR(IF(X298="",0,CEILING((X298/$H298),1)*$H298),"")</f>
        <v>21</v>
      </c>
      <c r="Z298" s="36">
        <f>IFERROR(IF(Y298=0,"",ROUNDUP(Y298/H298,0)*0.00902),"")</f>
        <v>4.5100000000000001E-2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21.19047619047619</v>
      </c>
      <c r="BN298" s="64">
        <f t="shared" ref="BN298:BN304" si="33">IFERROR(Y298*I298/H298,"0")</f>
        <v>22.25</v>
      </c>
      <c r="BO298" s="64">
        <f t="shared" ref="BO298:BO304" si="34">IFERROR(1/J298*(X298/H298),"0")</f>
        <v>3.6075036075036072E-2</v>
      </c>
      <c r="BP298" s="64">
        <f t="shared" ref="BP298:BP304" si="35">IFERROR(1/J298*(Y298/H298),"0")</f>
        <v>3.787878787878788E-2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59">
        <v>4607091387230</v>
      </c>
      <c r="E299" s="560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69</v>
      </c>
      <c r="X299" s="541">
        <v>20</v>
      </c>
      <c r="Y299" s="542">
        <f t="shared" si="31"/>
        <v>21</v>
      </c>
      <c r="Z299" s="36">
        <f>IFERROR(IF(Y299=0,"",ROUNDUP(Y299/H299,0)*0.00902),"")</f>
        <v>4.5100000000000001E-2</v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21.19047619047619</v>
      </c>
      <c r="BN299" s="64">
        <f t="shared" si="33"/>
        <v>22.25</v>
      </c>
      <c r="BO299" s="64">
        <f t="shared" si="34"/>
        <v>3.6075036075036072E-2</v>
      </c>
      <c r="BP299" s="64">
        <f t="shared" si="35"/>
        <v>3.787878787878788E-2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4301031154</v>
      </c>
      <c r="D300" s="559">
        <v>4607091387292</v>
      </c>
      <c r="E300" s="560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475</v>
      </c>
      <c r="B301" s="54" t="s">
        <v>476</v>
      </c>
      <c r="C301" s="31">
        <v>4301031152</v>
      </c>
      <c r="D301" s="559">
        <v>4607091387285</v>
      </c>
      <c r="E301" s="560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4301031305</v>
      </c>
      <c r="D302" s="559">
        <v>4607091389845</v>
      </c>
      <c r="E302" s="560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480</v>
      </c>
      <c r="B303" s="54" t="s">
        <v>481</v>
      </c>
      <c r="C303" s="31">
        <v>4301031306</v>
      </c>
      <c r="D303" s="559">
        <v>4680115882881</v>
      </c>
      <c r="E303" s="560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58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3"/>
      <c r="R303" s="553"/>
      <c r="S303" s="553"/>
      <c r="T303" s="554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482</v>
      </c>
      <c r="B304" s="54" t="s">
        <v>483</v>
      </c>
      <c r="C304" s="31">
        <v>4301031066</v>
      </c>
      <c r="D304" s="559">
        <v>4607091383836</v>
      </c>
      <c r="E304" s="560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3"/>
      <c r="R304" s="553"/>
      <c r="S304" s="553"/>
      <c r="T304" s="554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6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7"/>
      <c r="P305" s="547" t="s">
        <v>71</v>
      </c>
      <c r="Q305" s="548"/>
      <c r="R305" s="548"/>
      <c r="S305" s="548"/>
      <c r="T305" s="548"/>
      <c r="U305" s="548"/>
      <c r="V305" s="549"/>
      <c r="W305" s="37" t="s">
        <v>72</v>
      </c>
      <c r="X305" s="543">
        <f>IFERROR(X298/H298,"0")+IFERROR(X299/H299,"0")+IFERROR(X300/H300,"0")+IFERROR(X301/H301,"0")+IFERROR(X302/H302,"0")+IFERROR(X303/H303,"0")+IFERROR(X304/H304,"0")</f>
        <v>9.5238095238095237</v>
      </c>
      <c r="Y305" s="543">
        <f>IFERROR(Y298/H298,"0")+IFERROR(Y299/H299,"0")+IFERROR(Y300/H300,"0")+IFERROR(Y301/H301,"0")+IFERROR(Y302/H302,"0")+IFERROR(Y303/H303,"0")+IFERROR(Y304/H304,"0")</f>
        <v>10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9.0200000000000002E-2</v>
      </c>
      <c r="AA305" s="544"/>
      <c r="AB305" s="544"/>
      <c r="AC305" s="544"/>
    </row>
    <row r="306" spans="1:68" x14ac:dyDescent="0.2">
      <c r="A306" s="551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7"/>
      <c r="P306" s="547" t="s">
        <v>71</v>
      </c>
      <c r="Q306" s="548"/>
      <c r="R306" s="548"/>
      <c r="S306" s="548"/>
      <c r="T306" s="548"/>
      <c r="U306" s="548"/>
      <c r="V306" s="549"/>
      <c r="W306" s="37" t="s">
        <v>69</v>
      </c>
      <c r="X306" s="543">
        <f>IFERROR(SUM(X298:X304),"0")</f>
        <v>40</v>
      </c>
      <c r="Y306" s="543">
        <f>IFERROR(SUM(Y298:Y304),"0")</f>
        <v>42</v>
      </c>
      <c r="Z306" s="37"/>
      <c r="AA306" s="544"/>
      <c r="AB306" s="544"/>
      <c r="AC306" s="544"/>
    </row>
    <row r="307" spans="1:68" ht="14.25" hidden="1" customHeight="1" x14ac:dyDescent="0.25">
      <c r="A307" s="555" t="s">
        <v>73</v>
      </c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1"/>
      <c r="M307" s="551"/>
      <c r="N307" s="551"/>
      <c r="O307" s="551"/>
      <c r="P307" s="551"/>
      <c r="Q307" s="551"/>
      <c r="R307" s="551"/>
      <c r="S307" s="551"/>
      <c r="T307" s="551"/>
      <c r="U307" s="551"/>
      <c r="V307" s="551"/>
      <c r="W307" s="551"/>
      <c r="X307" s="551"/>
      <c r="Y307" s="551"/>
      <c r="Z307" s="551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59">
        <v>4607091387766</v>
      </c>
      <c r="E308" s="560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3"/>
      <c r="R308" s="553"/>
      <c r="S308" s="553"/>
      <c r="T308" s="554"/>
      <c r="U308" s="34"/>
      <c r="V308" s="34"/>
      <c r="W308" s="35" t="s">
        <v>69</v>
      </c>
      <c r="X308" s="541">
        <v>4400</v>
      </c>
      <c r="Y308" s="542">
        <f>IFERROR(IF(X308="",0,CEILING((X308/$H308),1)*$H308),"")</f>
        <v>4407</v>
      </c>
      <c r="Z308" s="36">
        <f>IFERROR(IF(Y308=0,"",ROUNDUP(Y308/H308,0)*0.01898),"")</f>
        <v>10.723700000000001</v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4675.2820512820517</v>
      </c>
      <c r="BN308" s="64">
        <f>IFERROR(Y308*I308/H308,"0")</f>
        <v>4682.72</v>
      </c>
      <c r="BO308" s="64">
        <f>IFERROR(1/J308*(X308/H308),"0")</f>
        <v>8.8141025641025639</v>
      </c>
      <c r="BP308" s="64">
        <f>IFERROR(1/J308*(Y308/H308),"0")</f>
        <v>8.828125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4301051818</v>
      </c>
      <c r="D309" s="559">
        <v>4607091387957</v>
      </c>
      <c r="E309" s="560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4301051819</v>
      </c>
      <c r="D310" s="559">
        <v>4607091387964</v>
      </c>
      <c r="E310" s="560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3"/>
      <c r="R310" s="553"/>
      <c r="S310" s="553"/>
      <c r="T310" s="554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4301051734</v>
      </c>
      <c r="D311" s="559">
        <v>4680115884588</v>
      </c>
      <c r="E311" s="560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3"/>
      <c r="R311" s="553"/>
      <c r="S311" s="553"/>
      <c r="T311" s="554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6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7"/>
      <c r="P312" s="547" t="s">
        <v>71</v>
      </c>
      <c r="Q312" s="548"/>
      <c r="R312" s="548"/>
      <c r="S312" s="548"/>
      <c r="T312" s="548"/>
      <c r="U312" s="548"/>
      <c r="V312" s="549"/>
      <c r="W312" s="37" t="s">
        <v>72</v>
      </c>
      <c r="X312" s="543">
        <f>IFERROR(X308/H308,"0")+IFERROR(X309/H309,"0")+IFERROR(X310/H310,"0")+IFERROR(X311/H311,"0")</f>
        <v>564.10256410256409</v>
      </c>
      <c r="Y312" s="543">
        <f>IFERROR(Y308/H308,"0")+IFERROR(Y309/H309,"0")+IFERROR(Y310/H310,"0")+IFERROR(Y311/H311,"0")</f>
        <v>565</v>
      </c>
      <c r="Z312" s="543">
        <f>IFERROR(IF(Z308="",0,Z308),"0")+IFERROR(IF(Z309="",0,Z309),"0")+IFERROR(IF(Z310="",0,Z310),"0")+IFERROR(IF(Z311="",0,Z311),"0")</f>
        <v>10.723700000000001</v>
      </c>
      <c r="AA312" s="544"/>
      <c r="AB312" s="544"/>
      <c r="AC312" s="544"/>
    </row>
    <row r="313" spans="1:68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7"/>
      <c r="P313" s="547" t="s">
        <v>71</v>
      </c>
      <c r="Q313" s="548"/>
      <c r="R313" s="548"/>
      <c r="S313" s="548"/>
      <c r="T313" s="548"/>
      <c r="U313" s="548"/>
      <c r="V313" s="549"/>
      <c r="W313" s="37" t="s">
        <v>69</v>
      </c>
      <c r="X313" s="543">
        <f>IFERROR(SUM(X308:X311),"0")</f>
        <v>4400</v>
      </c>
      <c r="Y313" s="543">
        <f>IFERROR(SUM(Y308:Y311),"0")</f>
        <v>4407</v>
      </c>
      <c r="Z313" s="37"/>
      <c r="AA313" s="544"/>
      <c r="AB313" s="544"/>
      <c r="AC313" s="544"/>
    </row>
    <row r="314" spans="1:68" ht="14.25" hidden="1" customHeight="1" x14ac:dyDescent="0.25">
      <c r="A314" s="555" t="s">
        <v>164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7"/>
      <c r="AB314" s="537"/>
      <c r="AC314" s="537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59">
        <v>4607091380880</v>
      </c>
      <c r="E315" s="560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6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3"/>
      <c r="R315" s="553"/>
      <c r="S315" s="553"/>
      <c r="T315" s="554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59">
        <v>4607091384482</v>
      </c>
      <c r="E316" s="560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3"/>
      <c r="R316" s="553"/>
      <c r="S316" s="553"/>
      <c r="T316" s="554"/>
      <c r="U316" s="34"/>
      <c r="V316" s="34"/>
      <c r="W316" s="35" t="s">
        <v>69</v>
      </c>
      <c r="X316" s="541">
        <v>430</v>
      </c>
      <c r="Y316" s="542">
        <f>IFERROR(IF(X316="",0,CEILING((X316/$H316),1)*$H316),"")</f>
        <v>436.8</v>
      </c>
      <c r="Z316" s="36">
        <f>IFERROR(IF(Y316=0,"",ROUNDUP(Y316/H316,0)*0.01898),"")</f>
        <v>1.06288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457.23333333333335</v>
      </c>
      <c r="BN316" s="64">
        <f>IFERROR(Y316*I316/H316,"0")</f>
        <v>464.46400000000006</v>
      </c>
      <c r="BO316" s="64">
        <f>IFERROR(1/J316*(X316/H316),"0")</f>
        <v>0.86137820512820518</v>
      </c>
      <c r="BP316" s="64">
        <f>IFERROR(1/J316*(Y316/H316),"0")</f>
        <v>0.875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59">
        <v>4607091380897</v>
      </c>
      <c r="E317" s="560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3"/>
      <c r="R317" s="553"/>
      <c r="S317" s="553"/>
      <c r="T317" s="554"/>
      <c r="U317" s="34"/>
      <c r="V317" s="34"/>
      <c r="W317" s="35" t="s">
        <v>69</v>
      </c>
      <c r="X317" s="541">
        <v>100</v>
      </c>
      <c r="Y317" s="542">
        <f>IFERROR(IF(X317="",0,CEILING((X317/$H317),1)*$H317),"")</f>
        <v>100.80000000000001</v>
      </c>
      <c r="Z317" s="36">
        <f>IFERROR(IF(Y317=0,"",ROUNDUP(Y317/H317,0)*0.01898),"")</f>
        <v>0.22776000000000002</v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105.88095238095238</v>
      </c>
      <c r="BN317" s="64">
        <f>IFERROR(Y317*I317/H317,"0")</f>
        <v>106.72800000000001</v>
      </c>
      <c r="BO317" s="64">
        <f>IFERROR(1/J317*(X317/H317),"0")</f>
        <v>0.18601190476190477</v>
      </c>
      <c r="BP317" s="64">
        <f>IFERROR(1/J317*(Y317/H317),"0")</f>
        <v>0.1875</v>
      </c>
    </row>
    <row r="318" spans="1:68" x14ac:dyDescent="0.2">
      <c r="A318" s="556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7"/>
      <c r="P318" s="547" t="s">
        <v>71</v>
      </c>
      <c r="Q318" s="548"/>
      <c r="R318" s="548"/>
      <c r="S318" s="548"/>
      <c r="T318" s="548"/>
      <c r="U318" s="548"/>
      <c r="V318" s="549"/>
      <c r="W318" s="37" t="s">
        <v>72</v>
      </c>
      <c r="X318" s="543">
        <f>IFERROR(X315/H315,"0")+IFERROR(X316/H316,"0")+IFERROR(X317/H317,"0")</f>
        <v>67.032967032967036</v>
      </c>
      <c r="Y318" s="543">
        <f>IFERROR(Y315/H315,"0")+IFERROR(Y316/H316,"0")+IFERROR(Y317/H317,"0")</f>
        <v>68</v>
      </c>
      <c r="Z318" s="543">
        <f>IFERROR(IF(Z315="",0,Z315),"0")+IFERROR(IF(Z316="",0,Z316),"0")+IFERROR(IF(Z317="",0,Z317),"0")</f>
        <v>1.29064</v>
      </c>
      <c r="AA318" s="544"/>
      <c r="AB318" s="544"/>
      <c r="AC318" s="544"/>
    </row>
    <row r="319" spans="1:68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7"/>
      <c r="P319" s="547" t="s">
        <v>71</v>
      </c>
      <c r="Q319" s="548"/>
      <c r="R319" s="548"/>
      <c r="S319" s="548"/>
      <c r="T319" s="548"/>
      <c r="U319" s="548"/>
      <c r="V319" s="549"/>
      <c r="W319" s="37" t="s">
        <v>69</v>
      </c>
      <c r="X319" s="543">
        <f>IFERROR(SUM(X315:X317),"0")</f>
        <v>530</v>
      </c>
      <c r="Y319" s="543">
        <f>IFERROR(SUM(Y315:Y317),"0")</f>
        <v>537.6</v>
      </c>
      <c r="Z319" s="37"/>
      <c r="AA319" s="544"/>
      <c r="AB319" s="544"/>
      <c r="AC319" s="544"/>
    </row>
    <row r="320" spans="1:68" ht="14.25" hidden="1" customHeight="1" x14ac:dyDescent="0.25">
      <c r="A320" s="555" t="s">
        <v>93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7"/>
      <c r="AB320" s="537"/>
      <c r="AC320" s="537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59">
        <v>4607091388381</v>
      </c>
      <c r="E321" s="560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3"/>
      <c r="R321" s="553"/>
      <c r="S321" s="553"/>
      <c r="T321" s="554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59">
        <v>4607091388374</v>
      </c>
      <c r="E322" s="560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3"/>
      <c r="R322" s="553"/>
      <c r="S322" s="553"/>
      <c r="T322" s="554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59">
        <v>4607091383102</v>
      </c>
      <c r="E323" s="560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3"/>
      <c r="R323" s="553"/>
      <c r="S323" s="553"/>
      <c r="T323" s="554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4301030233</v>
      </c>
      <c r="D324" s="559">
        <v>4607091388404</v>
      </c>
      <c r="E324" s="560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3"/>
      <c r="R324" s="553"/>
      <c r="S324" s="553"/>
      <c r="T324" s="554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6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7"/>
      <c r="P325" s="547" t="s">
        <v>71</v>
      </c>
      <c r="Q325" s="548"/>
      <c r="R325" s="548"/>
      <c r="S325" s="548"/>
      <c r="T325" s="548"/>
      <c r="U325" s="548"/>
      <c r="V325" s="549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7"/>
      <c r="P326" s="547" t="s">
        <v>71</v>
      </c>
      <c r="Q326" s="548"/>
      <c r="R326" s="548"/>
      <c r="S326" s="548"/>
      <c r="T326" s="548"/>
      <c r="U326" s="548"/>
      <c r="V326" s="549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55" t="s">
        <v>516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59">
        <v>4680115881808</v>
      </c>
      <c r="E328" s="560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59">
        <v>4680115881822</v>
      </c>
      <c r="E329" s="560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3"/>
      <c r="R329" s="553"/>
      <c r="S329" s="553"/>
      <c r="T329" s="554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523</v>
      </c>
      <c r="B330" s="54" t="s">
        <v>524</v>
      </c>
      <c r="C330" s="31">
        <v>4301180001</v>
      </c>
      <c r="D330" s="559">
        <v>4680115880016</v>
      </c>
      <c r="E330" s="560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3"/>
      <c r="R330" s="553"/>
      <c r="S330" s="553"/>
      <c r="T330" s="554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6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7"/>
      <c r="P331" s="547" t="s">
        <v>71</v>
      </c>
      <c r="Q331" s="548"/>
      <c r="R331" s="548"/>
      <c r="S331" s="548"/>
      <c r="T331" s="548"/>
      <c r="U331" s="548"/>
      <c r="V331" s="549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7"/>
      <c r="P332" s="547" t="s">
        <v>71</v>
      </c>
      <c r="Q332" s="548"/>
      <c r="R332" s="548"/>
      <c r="S332" s="548"/>
      <c r="T332" s="548"/>
      <c r="U332" s="548"/>
      <c r="V332" s="549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50" t="s">
        <v>525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hidden="1" customHeight="1" x14ac:dyDescent="0.25">
      <c r="A334" s="555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59">
        <v>4607091387919</v>
      </c>
      <c r="E335" s="560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3"/>
      <c r="R335" s="553"/>
      <c r="S335" s="553"/>
      <c r="T335" s="554"/>
      <c r="U335" s="34"/>
      <c r="V335" s="34"/>
      <c r="W335" s="35" t="s">
        <v>69</v>
      </c>
      <c r="X335" s="541">
        <v>40</v>
      </c>
      <c r="Y335" s="542">
        <f>IFERROR(IF(X335="",0,CEILING((X335/$H335),1)*$H335),"")</f>
        <v>40.5</v>
      </c>
      <c r="Z335" s="36">
        <f>IFERROR(IF(Y335=0,"",ROUNDUP(Y335/H335,0)*0.01898),"")</f>
        <v>9.4899999999999998E-2</v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42.439506172839508</v>
      </c>
      <c r="BN335" s="64">
        <f>IFERROR(Y335*I335/H335,"0")</f>
        <v>42.97</v>
      </c>
      <c r="BO335" s="64">
        <f>IFERROR(1/J335*(X335/H335),"0")</f>
        <v>7.7160493827160503E-2</v>
      </c>
      <c r="BP335" s="64">
        <f>IFERROR(1/J335*(Y335/H335),"0")</f>
        <v>7.8125E-2</v>
      </c>
    </row>
    <row r="336" spans="1:68" ht="27" hidden="1" customHeight="1" x14ac:dyDescent="0.25">
      <c r="A336" s="54" t="s">
        <v>529</v>
      </c>
      <c r="B336" s="54" t="s">
        <v>530</v>
      </c>
      <c r="C336" s="31">
        <v>4301051461</v>
      </c>
      <c r="D336" s="559">
        <v>4680115883604</v>
      </c>
      <c r="E336" s="560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4301051864</v>
      </c>
      <c r="D337" s="559">
        <v>4680115883567</v>
      </c>
      <c r="E337" s="560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3"/>
      <c r="R337" s="553"/>
      <c r="S337" s="553"/>
      <c r="T337" s="554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6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7"/>
      <c r="P338" s="547" t="s">
        <v>71</v>
      </c>
      <c r="Q338" s="548"/>
      <c r="R338" s="548"/>
      <c r="S338" s="548"/>
      <c r="T338" s="548"/>
      <c r="U338" s="548"/>
      <c r="V338" s="549"/>
      <c r="W338" s="37" t="s">
        <v>72</v>
      </c>
      <c r="X338" s="543">
        <f>IFERROR(X335/H335,"0")+IFERROR(X336/H336,"0")+IFERROR(X337/H337,"0")</f>
        <v>4.9382716049382722</v>
      </c>
      <c r="Y338" s="543">
        <f>IFERROR(Y335/H335,"0")+IFERROR(Y336/H336,"0")+IFERROR(Y337/H337,"0")</f>
        <v>5</v>
      </c>
      <c r="Z338" s="543">
        <f>IFERROR(IF(Z335="",0,Z335),"0")+IFERROR(IF(Z336="",0,Z336),"0")+IFERROR(IF(Z337="",0,Z337),"0")</f>
        <v>9.4899999999999998E-2</v>
      </c>
      <c r="AA338" s="544"/>
      <c r="AB338" s="544"/>
      <c r="AC338" s="544"/>
    </row>
    <row r="339" spans="1:68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7"/>
      <c r="P339" s="547" t="s">
        <v>71</v>
      </c>
      <c r="Q339" s="548"/>
      <c r="R339" s="548"/>
      <c r="S339" s="548"/>
      <c r="T339" s="548"/>
      <c r="U339" s="548"/>
      <c r="V339" s="549"/>
      <c r="W339" s="37" t="s">
        <v>69</v>
      </c>
      <c r="X339" s="543">
        <f>IFERROR(SUM(X335:X337),"0")</f>
        <v>40</v>
      </c>
      <c r="Y339" s="543">
        <f>IFERROR(SUM(Y335:Y337),"0")</f>
        <v>40.5</v>
      </c>
      <c r="Z339" s="37"/>
      <c r="AA339" s="544"/>
      <c r="AB339" s="544"/>
      <c r="AC339" s="544"/>
    </row>
    <row r="340" spans="1:68" ht="27.75" hidden="1" customHeight="1" x14ac:dyDescent="0.2">
      <c r="A340" s="635" t="s">
        <v>535</v>
      </c>
      <c r="B340" s="636"/>
      <c r="C340" s="636"/>
      <c r="D340" s="636"/>
      <c r="E340" s="636"/>
      <c r="F340" s="636"/>
      <c r="G340" s="636"/>
      <c r="H340" s="636"/>
      <c r="I340" s="636"/>
      <c r="J340" s="636"/>
      <c r="K340" s="636"/>
      <c r="L340" s="636"/>
      <c r="M340" s="636"/>
      <c r="N340" s="636"/>
      <c r="O340" s="636"/>
      <c r="P340" s="636"/>
      <c r="Q340" s="636"/>
      <c r="R340" s="636"/>
      <c r="S340" s="636"/>
      <c r="T340" s="636"/>
      <c r="U340" s="636"/>
      <c r="V340" s="636"/>
      <c r="W340" s="636"/>
      <c r="X340" s="636"/>
      <c r="Y340" s="636"/>
      <c r="Z340" s="636"/>
      <c r="AA340" s="48"/>
      <c r="AB340" s="48"/>
      <c r="AC340" s="48"/>
    </row>
    <row r="341" spans="1:68" ht="16.5" hidden="1" customHeight="1" x14ac:dyDescent="0.25">
      <c r="A341" s="550" t="s">
        <v>536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hidden="1" customHeight="1" x14ac:dyDescent="0.25">
      <c r="A342" s="555" t="s">
        <v>101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59">
        <v>4680115884847</v>
      </c>
      <c r="E343" s="560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3"/>
      <c r="R343" s="553"/>
      <c r="S343" s="553"/>
      <c r="T343" s="554"/>
      <c r="U343" s="34"/>
      <c r="V343" s="34"/>
      <c r="W343" s="35" t="s">
        <v>69</v>
      </c>
      <c r="X343" s="541">
        <v>1500</v>
      </c>
      <c r="Y343" s="542">
        <f t="shared" ref="Y343:Y349" si="36">IFERROR(IF(X343="",0,CEILING((X343/$H343),1)*$H343),"")</f>
        <v>1500</v>
      </c>
      <c r="Z343" s="36">
        <f>IFERROR(IF(Y343=0,"",ROUNDUP(Y343/H343,0)*0.02175),"")</f>
        <v>2.1749999999999998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1547</v>
      </c>
      <c r="BN343" s="64">
        <f t="shared" ref="BN343:BN349" si="38">IFERROR(Y343*I343/H343,"0")</f>
        <v>1547</v>
      </c>
      <c r="BO343" s="64">
        <f t="shared" ref="BO343:BO349" si="39">IFERROR(1/J343*(X343/H343),"0")</f>
        <v>2.083333333333333</v>
      </c>
      <c r="BP343" s="64">
        <f t="shared" ref="BP343:BP349" si="40">IFERROR(1/J343*(Y343/H343),"0")</f>
        <v>2.083333333333333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59">
        <v>4680115884854</v>
      </c>
      <c r="E344" s="560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69</v>
      </c>
      <c r="X344" s="541">
        <v>750</v>
      </c>
      <c r="Y344" s="542">
        <f t="shared" si="36"/>
        <v>750</v>
      </c>
      <c r="Z344" s="36">
        <f>IFERROR(IF(Y344=0,"",ROUNDUP(Y344/H344,0)*0.02175),"")</f>
        <v>1.0874999999999999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773.5</v>
      </c>
      <c r="BN344" s="64">
        <f t="shared" si="38"/>
        <v>773.5</v>
      </c>
      <c r="BO344" s="64">
        <f t="shared" si="39"/>
        <v>1.0416666666666665</v>
      </c>
      <c r="BP344" s="64">
        <f t="shared" si="40"/>
        <v>1.0416666666666665</v>
      </c>
    </row>
    <row r="345" spans="1:68" ht="37.5" hidden="1" customHeight="1" x14ac:dyDescent="0.25">
      <c r="A345" s="54" t="s">
        <v>543</v>
      </c>
      <c r="B345" s="54" t="s">
        <v>544</v>
      </c>
      <c r="C345" s="31">
        <v>4301011867</v>
      </c>
      <c r="D345" s="559">
        <v>4680115884830</v>
      </c>
      <c r="E345" s="560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3"/>
      <c r="R345" s="553"/>
      <c r="S345" s="553"/>
      <c r="T345" s="554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59">
        <v>4680115887046</v>
      </c>
      <c r="E346" s="560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5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3"/>
      <c r="R346" s="553"/>
      <c r="S346" s="553"/>
      <c r="T346" s="554"/>
      <c r="U346" s="34"/>
      <c r="V346" s="34"/>
      <c r="W346" s="35" t="s">
        <v>69</v>
      </c>
      <c r="X346" s="541">
        <v>7000</v>
      </c>
      <c r="Y346" s="542">
        <f t="shared" si="36"/>
        <v>7005</v>
      </c>
      <c r="Z346" s="36">
        <f>IFERROR(IF(Y346=0,"",ROUNDUP(Y346/H346,0)*0.02175),"")</f>
        <v>10.157249999999999</v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7219.333333333333</v>
      </c>
      <c r="BN346" s="64">
        <f t="shared" si="38"/>
        <v>7224.4900000000007</v>
      </c>
      <c r="BO346" s="64">
        <f t="shared" si="39"/>
        <v>9.7222222222222214</v>
      </c>
      <c r="BP346" s="64">
        <f t="shared" si="40"/>
        <v>9.7291666666666661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59">
        <v>4680115882638</v>
      </c>
      <c r="E347" s="560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3"/>
      <c r="R347" s="553"/>
      <c r="S347" s="553"/>
      <c r="T347" s="554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59">
        <v>4680115884922</v>
      </c>
      <c r="E348" s="560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3"/>
      <c r="R348" s="553"/>
      <c r="S348" s="553"/>
      <c r="T348" s="554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554</v>
      </c>
      <c r="B349" s="54" t="s">
        <v>555</v>
      </c>
      <c r="C349" s="31">
        <v>4301011868</v>
      </c>
      <c r="D349" s="559">
        <v>4680115884861</v>
      </c>
      <c r="E349" s="560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3"/>
      <c r="R349" s="553"/>
      <c r="S349" s="553"/>
      <c r="T349" s="554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6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7"/>
      <c r="P350" s="547" t="s">
        <v>71</v>
      </c>
      <c r="Q350" s="548"/>
      <c r="R350" s="548"/>
      <c r="S350" s="548"/>
      <c r="T350" s="548"/>
      <c r="U350" s="548"/>
      <c r="V350" s="549"/>
      <c r="W350" s="37" t="s">
        <v>72</v>
      </c>
      <c r="X350" s="543">
        <f>IFERROR(X343/H343,"0")+IFERROR(X344/H344,"0")+IFERROR(X345/H345,"0")+IFERROR(X346/H346,"0")+IFERROR(X347/H347,"0")+IFERROR(X348/H348,"0")+IFERROR(X349/H349,"0")</f>
        <v>616.66666666666674</v>
      </c>
      <c r="Y350" s="543">
        <f>IFERROR(Y343/H343,"0")+IFERROR(Y344/H344,"0")+IFERROR(Y345/H345,"0")+IFERROR(Y346/H346,"0")+IFERROR(Y347/H347,"0")+IFERROR(Y348/H348,"0")+IFERROR(Y349/H349,"0")</f>
        <v>617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13.419749999999999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7"/>
      <c r="P351" s="547" t="s">
        <v>71</v>
      </c>
      <c r="Q351" s="548"/>
      <c r="R351" s="548"/>
      <c r="S351" s="548"/>
      <c r="T351" s="548"/>
      <c r="U351" s="548"/>
      <c r="V351" s="549"/>
      <c r="W351" s="37" t="s">
        <v>69</v>
      </c>
      <c r="X351" s="543">
        <f>IFERROR(SUM(X343:X349),"0")</f>
        <v>9250</v>
      </c>
      <c r="Y351" s="543">
        <f>IFERROR(SUM(Y343:Y349),"0")</f>
        <v>9255</v>
      </c>
      <c r="Z351" s="37"/>
      <c r="AA351" s="544"/>
      <c r="AB351" s="544"/>
      <c r="AC351" s="544"/>
    </row>
    <row r="352" spans="1:68" ht="14.25" hidden="1" customHeight="1" x14ac:dyDescent="0.25">
      <c r="A352" s="555" t="s">
        <v>136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59">
        <v>4607091383980</v>
      </c>
      <c r="E353" s="560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3"/>
      <c r="R353" s="553"/>
      <c r="S353" s="553"/>
      <c r="T353" s="554"/>
      <c r="U353" s="34"/>
      <c r="V353" s="34"/>
      <c r="W353" s="35" t="s">
        <v>69</v>
      </c>
      <c r="X353" s="541">
        <v>750</v>
      </c>
      <c r="Y353" s="542">
        <f>IFERROR(IF(X353="",0,CEILING((X353/$H353),1)*$H353),"")</f>
        <v>750</v>
      </c>
      <c r="Z353" s="36">
        <f>IFERROR(IF(Y353=0,"",ROUNDUP(Y353/H353,0)*0.02175),"")</f>
        <v>1.0874999999999999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773.5</v>
      </c>
      <c r="BN353" s="64">
        <f>IFERROR(Y353*I353/H353,"0")</f>
        <v>773.5</v>
      </c>
      <c r="BO353" s="64">
        <f>IFERROR(1/J353*(X353/H353),"0")</f>
        <v>1.0416666666666665</v>
      </c>
      <c r="BP353" s="64">
        <f>IFERROR(1/J353*(Y353/H353),"0")</f>
        <v>1.0416666666666665</v>
      </c>
    </row>
    <row r="354" spans="1:68" ht="16.5" hidden="1" customHeight="1" x14ac:dyDescent="0.25">
      <c r="A354" s="54" t="s">
        <v>559</v>
      </c>
      <c r="B354" s="54" t="s">
        <v>560</v>
      </c>
      <c r="C354" s="31">
        <v>4301020179</v>
      </c>
      <c r="D354" s="559">
        <v>4607091384178</v>
      </c>
      <c r="E354" s="560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3"/>
      <c r="R354" s="553"/>
      <c r="S354" s="553"/>
      <c r="T354" s="554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6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7"/>
      <c r="P355" s="547" t="s">
        <v>71</v>
      </c>
      <c r="Q355" s="548"/>
      <c r="R355" s="548"/>
      <c r="S355" s="548"/>
      <c r="T355" s="548"/>
      <c r="U355" s="548"/>
      <c r="V355" s="549"/>
      <c r="W355" s="37" t="s">
        <v>72</v>
      </c>
      <c r="X355" s="543">
        <f>IFERROR(X353/H353,"0")+IFERROR(X354/H354,"0")</f>
        <v>50</v>
      </c>
      <c r="Y355" s="543">
        <f>IFERROR(Y353/H353,"0")+IFERROR(Y354/H354,"0")</f>
        <v>50</v>
      </c>
      <c r="Z355" s="543">
        <f>IFERROR(IF(Z353="",0,Z353),"0")+IFERROR(IF(Z354="",0,Z354),"0")</f>
        <v>1.0874999999999999</v>
      </c>
      <c r="AA355" s="544"/>
      <c r="AB355" s="544"/>
      <c r="AC355" s="544"/>
    </row>
    <row r="356" spans="1:68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7"/>
      <c r="P356" s="547" t="s">
        <v>71</v>
      </c>
      <c r="Q356" s="548"/>
      <c r="R356" s="548"/>
      <c r="S356" s="548"/>
      <c r="T356" s="548"/>
      <c r="U356" s="548"/>
      <c r="V356" s="549"/>
      <c r="W356" s="37" t="s">
        <v>69</v>
      </c>
      <c r="X356" s="543">
        <f>IFERROR(SUM(X353:X354),"0")</f>
        <v>750</v>
      </c>
      <c r="Y356" s="543">
        <f>IFERROR(SUM(Y353:Y354),"0")</f>
        <v>750</v>
      </c>
      <c r="Z356" s="37"/>
      <c r="AA356" s="544"/>
      <c r="AB356" s="544"/>
      <c r="AC356" s="544"/>
    </row>
    <row r="357" spans="1:68" ht="14.25" hidden="1" customHeight="1" x14ac:dyDescent="0.25">
      <c r="A357" s="555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59">
        <v>4607091383928</v>
      </c>
      <c r="E358" s="560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69</v>
      </c>
      <c r="X358" s="541">
        <v>120</v>
      </c>
      <c r="Y358" s="542">
        <f>IFERROR(IF(X358="",0,CEILING((X358/$H358),1)*$H358),"")</f>
        <v>126</v>
      </c>
      <c r="Z358" s="36">
        <f>IFERROR(IF(Y358=0,"",ROUNDUP(Y358/H358,0)*0.01898),"")</f>
        <v>0.26572000000000001</v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126.66666666666667</v>
      </c>
      <c r="BN358" s="64">
        <f>IFERROR(Y358*I358/H358,"0")</f>
        <v>133</v>
      </c>
      <c r="BO358" s="64">
        <f>IFERROR(1/J358*(X358/H358),"0")</f>
        <v>0.20833333333333334</v>
      </c>
      <c r="BP358" s="64">
        <f>IFERROR(1/J358*(Y358/H358),"0")</f>
        <v>0.21875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59">
        <v>4607091384260</v>
      </c>
      <c r="E359" s="560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3"/>
      <c r="R359" s="553"/>
      <c r="S359" s="553"/>
      <c r="T359" s="554"/>
      <c r="U359" s="34"/>
      <c r="V359" s="34"/>
      <c r="W359" s="35" t="s">
        <v>69</v>
      </c>
      <c r="X359" s="541">
        <v>200</v>
      </c>
      <c r="Y359" s="542">
        <f>IFERROR(IF(X359="",0,CEILING((X359/$H359),1)*$H359),"")</f>
        <v>207</v>
      </c>
      <c r="Z359" s="36">
        <f>IFERROR(IF(Y359=0,"",ROUNDUP(Y359/H359,0)*0.01898),"")</f>
        <v>0.43653999999999998</v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210.97777777777776</v>
      </c>
      <c r="BN359" s="64">
        <f>IFERROR(Y359*I359/H359,"0")</f>
        <v>218.36199999999999</v>
      </c>
      <c r="BO359" s="64">
        <f>IFERROR(1/J359*(X359/H359),"0")</f>
        <v>0.34722222222222221</v>
      </c>
      <c r="BP359" s="64">
        <f>IFERROR(1/J359*(Y359/H359),"0")</f>
        <v>0.359375</v>
      </c>
    </row>
    <row r="360" spans="1:68" x14ac:dyDescent="0.2">
      <c r="A360" s="556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7"/>
      <c r="P360" s="547" t="s">
        <v>71</v>
      </c>
      <c r="Q360" s="548"/>
      <c r="R360" s="548"/>
      <c r="S360" s="548"/>
      <c r="T360" s="548"/>
      <c r="U360" s="548"/>
      <c r="V360" s="549"/>
      <c r="W360" s="37" t="s">
        <v>72</v>
      </c>
      <c r="X360" s="543">
        <f>IFERROR(X358/H358,"0")+IFERROR(X359/H359,"0")</f>
        <v>35.555555555555557</v>
      </c>
      <c r="Y360" s="543">
        <f>IFERROR(Y358/H358,"0")+IFERROR(Y359/H359,"0")</f>
        <v>37</v>
      </c>
      <c r="Z360" s="543">
        <f>IFERROR(IF(Z358="",0,Z358),"0")+IFERROR(IF(Z359="",0,Z359),"0")</f>
        <v>0.70226</v>
      </c>
      <c r="AA360" s="544"/>
      <c r="AB360" s="544"/>
      <c r="AC360" s="544"/>
    </row>
    <row r="361" spans="1:68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7"/>
      <c r="P361" s="547" t="s">
        <v>71</v>
      </c>
      <c r="Q361" s="548"/>
      <c r="R361" s="548"/>
      <c r="S361" s="548"/>
      <c r="T361" s="548"/>
      <c r="U361" s="548"/>
      <c r="V361" s="549"/>
      <c r="W361" s="37" t="s">
        <v>69</v>
      </c>
      <c r="X361" s="543">
        <f>IFERROR(SUM(X358:X359),"0")</f>
        <v>320</v>
      </c>
      <c r="Y361" s="543">
        <f>IFERROR(SUM(Y358:Y359),"0")</f>
        <v>333</v>
      </c>
      <c r="Z361" s="37"/>
      <c r="AA361" s="544"/>
      <c r="AB361" s="544"/>
      <c r="AC361" s="544"/>
    </row>
    <row r="362" spans="1:68" ht="14.25" hidden="1" customHeight="1" x14ac:dyDescent="0.25">
      <c r="A362" s="555" t="s">
        <v>164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59">
        <v>4607091384673</v>
      </c>
      <c r="E363" s="560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3"/>
      <c r="R363" s="553"/>
      <c r="S363" s="553"/>
      <c r="T363" s="554"/>
      <c r="U363" s="34"/>
      <c r="V363" s="34"/>
      <c r="W363" s="35" t="s">
        <v>69</v>
      </c>
      <c r="X363" s="541">
        <v>250</v>
      </c>
      <c r="Y363" s="542">
        <f>IFERROR(IF(X363="",0,CEILING((X363/$H363),1)*$H363),"")</f>
        <v>252</v>
      </c>
      <c r="Z363" s="36">
        <f>IFERROR(IF(Y363=0,"",ROUNDUP(Y363/H363,0)*0.01898),"")</f>
        <v>0.53144000000000002</v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263.72222222222223</v>
      </c>
      <c r="BN363" s="64">
        <f>IFERROR(Y363*I363/H363,"0")</f>
        <v>265.83199999999999</v>
      </c>
      <c r="BO363" s="64">
        <f>IFERROR(1/J363*(X363/H363),"0")</f>
        <v>0.43402777777777779</v>
      </c>
      <c r="BP363" s="64">
        <f>IFERROR(1/J363*(Y363/H363),"0")</f>
        <v>0.4375</v>
      </c>
    </row>
    <row r="364" spans="1:68" x14ac:dyDescent="0.2">
      <c r="A364" s="556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7"/>
      <c r="P364" s="547" t="s">
        <v>71</v>
      </c>
      <c r="Q364" s="548"/>
      <c r="R364" s="548"/>
      <c r="S364" s="548"/>
      <c r="T364" s="548"/>
      <c r="U364" s="548"/>
      <c r="V364" s="549"/>
      <c r="W364" s="37" t="s">
        <v>72</v>
      </c>
      <c r="X364" s="543">
        <f>IFERROR(X363/H363,"0")</f>
        <v>27.777777777777779</v>
      </c>
      <c r="Y364" s="543">
        <f>IFERROR(Y363/H363,"0")</f>
        <v>28</v>
      </c>
      <c r="Z364" s="543">
        <f>IFERROR(IF(Z363="",0,Z363),"0")</f>
        <v>0.53144000000000002</v>
      </c>
      <c r="AA364" s="544"/>
      <c r="AB364" s="544"/>
      <c r="AC364" s="544"/>
    </row>
    <row r="365" spans="1:68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7"/>
      <c r="P365" s="547" t="s">
        <v>71</v>
      </c>
      <c r="Q365" s="548"/>
      <c r="R365" s="548"/>
      <c r="S365" s="548"/>
      <c r="T365" s="548"/>
      <c r="U365" s="548"/>
      <c r="V365" s="549"/>
      <c r="W365" s="37" t="s">
        <v>69</v>
      </c>
      <c r="X365" s="543">
        <f>IFERROR(SUM(X363:X363),"0")</f>
        <v>250</v>
      </c>
      <c r="Y365" s="543">
        <f>IFERROR(SUM(Y363:Y363),"0")</f>
        <v>252</v>
      </c>
      <c r="Z365" s="37"/>
      <c r="AA365" s="544"/>
      <c r="AB365" s="544"/>
      <c r="AC365" s="544"/>
    </row>
    <row r="366" spans="1:68" ht="16.5" hidden="1" customHeight="1" x14ac:dyDescent="0.25">
      <c r="A366" s="550" t="s">
        <v>570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hidden="1" customHeight="1" x14ac:dyDescent="0.25">
      <c r="A367" s="555" t="s">
        <v>101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7"/>
      <c r="AB367" s="537"/>
      <c r="AC367" s="537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59">
        <v>4680115884885</v>
      </c>
      <c r="E368" s="560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3"/>
      <c r="R368" s="553"/>
      <c r="S368" s="553"/>
      <c r="T368" s="554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59">
        <v>4680115884908</v>
      </c>
      <c r="E369" s="560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3"/>
      <c r="R369" s="553"/>
      <c r="S369" s="553"/>
      <c r="T369" s="554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6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7"/>
      <c r="P370" s="547" t="s">
        <v>71</v>
      </c>
      <c r="Q370" s="548"/>
      <c r="R370" s="548"/>
      <c r="S370" s="548"/>
      <c r="T370" s="548"/>
      <c r="U370" s="548"/>
      <c r="V370" s="549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7"/>
      <c r="P371" s="547" t="s">
        <v>71</v>
      </c>
      <c r="Q371" s="548"/>
      <c r="R371" s="548"/>
      <c r="S371" s="548"/>
      <c r="T371" s="548"/>
      <c r="U371" s="548"/>
      <c r="V371" s="549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5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59">
        <v>4607091384802</v>
      </c>
      <c r="E373" s="560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3"/>
      <c r="R373" s="553"/>
      <c r="S373" s="553"/>
      <c r="T373" s="554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59">
        <v>4607091384802</v>
      </c>
      <c r="E374" s="560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3"/>
      <c r="R374" s="553"/>
      <c r="S374" s="553"/>
      <c r="T374" s="554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6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7"/>
      <c r="P375" s="547" t="s">
        <v>71</v>
      </c>
      <c r="Q375" s="548"/>
      <c r="R375" s="548"/>
      <c r="S375" s="548"/>
      <c r="T375" s="548"/>
      <c r="U375" s="548"/>
      <c r="V375" s="549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7"/>
      <c r="P376" s="547" t="s">
        <v>71</v>
      </c>
      <c r="Q376" s="548"/>
      <c r="R376" s="548"/>
      <c r="S376" s="548"/>
      <c r="T376" s="548"/>
      <c r="U376" s="548"/>
      <c r="V376" s="549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5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59">
        <v>4607091384246</v>
      </c>
      <c r="E378" s="560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3"/>
      <c r="R378" s="553"/>
      <c r="S378" s="553"/>
      <c r="T378" s="554"/>
      <c r="U378" s="34"/>
      <c r="V378" s="34"/>
      <c r="W378" s="35" t="s">
        <v>69</v>
      </c>
      <c r="X378" s="541">
        <v>80</v>
      </c>
      <c r="Y378" s="542">
        <f>IFERROR(IF(X378="",0,CEILING((X378/$H378),1)*$H378),"")</f>
        <v>81</v>
      </c>
      <c r="Z378" s="36">
        <f>IFERROR(IF(Y378=0,"",ROUNDUP(Y378/H378,0)*0.01898),"")</f>
        <v>0.17082</v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84.391111111111115</v>
      </c>
      <c r="BN378" s="64">
        <f>IFERROR(Y378*I378/H378,"0")</f>
        <v>85.445999999999998</v>
      </c>
      <c r="BO378" s="64">
        <f>IFERROR(1/J378*(X378/H378),"0")</f>
        <v>0.1388888888888889</v>
      </c>
      <c r="BP378" s="64">
        <f>IFERROR(1/J378*(Y378/H378),"0")</f>
        <v>0.140625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59">
        <v>4607091384253</v>
      </c>
      <c r="E379" s="560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3"/>
      <c r="R379" s="553"/>
      <c r="S379" s="553"/>
      <c r="T379" s="554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6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7"/>
      <c r="P380" s="547" t="s">
        <v>71</v>
      </c>
      <c r="Q380" s="548"/>
      <c r="R380" s="548"/>
      <c r="S380" s="548"/>
      <c r="T380" s="548"/>
      <c r="U380" s="548"/>
      <c r="V380" s="549"/>
      <c r="W380" s="37" t="s">
        <v>72</v>
      </c>
      <c r="X380" s="543">
        <f>IFERROR(X378/H378,"0")+IFERROR(X379/H379,"0")</f>
        <v>8.8888888888888893</v>
      </c>
      <c r="Y380" s="543">
        <f>IFERROR(Y378/H378,"0")+IFERROR(Y379/H379,"0")</f>
        <v>9</v>
      </c>
      <c r="Z380" s="543">
        <f>IFERROR(IF(Z378="",0,Z378),"0")+IFERROR(IF(Z379="",0,Z379),"0")</f>
        <v>0.17082</v>
      </c>
      <c r="AA380" s="544"/>
      <c r="AB380" s="544"/>
      <c r="AC380" s="544"/>
    </row>
    <row r="381" spans="1:68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7"/>
      <c r="P381" s="547" t="s">
        <v>71</v>
      </c>
      <c r="Q381" s="548"/>
      <c r="R381" s="548"/>
      <c r="S381" s="548"/>
      <c r="T381" s="548"/>
      <c r="U381" s="548"/>
      <c r="V381" s="549"/>
      <c r="W381" s="37" t="s">
        <v>69</v>
      </c>
      <c r="X381" s="543">
        <f>IFERROR(SUM(X378:X379),"0")</f>
        <v>80</v>
      </c>
      <c r="Y381" s="543">
        <f>IFERROR(SUM(Y378:Y379),"0")</f>
        <v>81</v>
      </c>
      <c r="Z381" s="37"/>
      <c r="AA381" s="544"/>
      <c r="AB381" s="544"/>
      <c r="AC381" s="544"/>
    </row>
    <row r="382" spans="1:68" ht="27.75" hidden="1" customHeight="1" x14ac:dyDescent="0.2">
      <c r="A382" s="635" t="s">
        <v>586</v>
      </c>
      <c r="B382" s="636"/>
      <c r="C382" s="636"/>
      <c r="D382" s="636"/>
      <c r="E382" s="636"/>
      <c r="F382" s="636"/>
      <c r="G382" s="636"/>
      <c r="H382" s="636"/>
      <c r="I382" s="636"/>
      <c r="J382" s="636"/>
      <c r="K382" s="636"/>
      <c r="L382" s="636"/>
      <c r="M382" s="636"/>
      <c r="N382" s="636"/>
      <c r="O382" s="636"/>
      <c r="P382" s="636"/>
      <c r="Q382" s="636"/>
      <c r="R382" s="636"/>
      <c r="S382" s="636"/>
      <c r="T382" s="636"/>
      <c r="U382" s="636"/>
      <c r="V382" s="636"/>
      <c r="W382" s="636"/>
      <c r="X382" s="636"/>
      <c r="Y382" s="636"/>
      <c r="Z382" s="636"/>
      <c r="AA382" s="48"/>
      <c r="AB382" s="48"/>
      <c r="AC382" s="48"/>
    </row>
    <row r="383" spans="1:68" ht="16.5" hidden="1" customHeight="1" x14ac:dyDescent="0.25">
      <c r="A383" s="550" t="s">
        <v>587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hidden="1" customHeight="1" x14ac:dyDescent="0.25">
      <c r="A384" s="555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59">
        <v>4680115886100</v>
      </c>
      <c r="E385" s="560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69</v>
      </c>
      <c r="X385" s="541">
        <v>40</v>
      </c>
      <c r="Y385" s="542">
        <f t="shared" ref="Y385:Y393" si="41">IFERROR(IF(X385="",0,CEILING((X385/$H385),1)*$H385),"")</f>
        <v>43.2</v>
      </c>
      <c r="Z385" s="36">
        <f>IFERROR(IF(Y385=0,"",ROUNDUP(Y385/H385,0)*0.00902),"")</f>
        <v>7.2160000000000002E-2</v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41.407407407407405</v>
      </c>
      <c r="BN385" s="64">
        <f t="shared" ref="BN385:BN393" si="43">IFERROR(Y385*I385/H385,"0")</f>
        <v>44.72</v>
      </c>
      <c r="BO385" s="64">
        <f t="shared" ref="BO385:BO393" si="44">IFERROR(1/J385*(X385/H385),"0")</f>
        <v>5.6116722783389444E-2</v>
      </c>
      <c r="BP385" s="64">
        <f t="shared" ref="BP385:BP393" si="45">IFERROR(1/J385*(Y385/H385),"0")</f>
        <v>6.0606060606060608E-2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59">
        <v>4680115886117</v>
      </c>
      <c r="E386" s="560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59">
        <v>4680115886124</v>
      </c>
      <c r="E387" s="560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69</v>
      </c>
      <c r="X387" s="541">
        <v>100</v>
      </c>
      <c r="Y387" s="542">
        <f t="shared" si="41"/>
        <v>102.60000000000001</v>
      </c>
      <c r="Z387" s="36">
        <f>IFERROR(IF(Y387=0,"",ROUNDUP(Y387/H387,0)*0.00902),"")</f>
        <v>0.17138</v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103.5185185185185</v>
      </c>
      <c r="BN387" s="64">
        <f t="shared" si="43"/>
        <v>106.21</v>
      </c>
      <c r="BO387" s="64">
        <f t="shared" si="44"/>
        <v>0.14029180695847362</v>
      </c>
      <c r="BP387" s="64">
        <f t="shared" si="45"/>
        <v>0.14393939393939395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59">
        <v>4680115883147</v>
      </c>
      <c r="E388" s="560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59">
        <v>4607091384338</v>
      </c>
      <c r="E389" s="560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601</v>
      </c>
      <c r="B390" s="54" t="s">
        <v>602</v>
      </c>
      <c r="C390" s="31">
        <v>4301031361</v>
      </c>
      <c r="D390" s="559">
        <v>4607091389524</v>
      </c>
      <c r="E390" s="560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59">
        <v>4680115883161</v>
      </c>
      <c r="E391" s="560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59">
        <v>4607091389531</v>
      </c>
      <c r="E392" s="560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59">
        <v>4607091384345</v>
      </c>
      <c r="E393" s="560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6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7"/>
      <c r="P394" s="547" t="s">
        <v>71</v>
      </c>
      <c r="Q394" s="548"/>
      <c r="R394" s="548"/>
      <c r="S394" s="548"/>
      <c r="T394" s="548"/>
      <c r="U394" s="548"/>
      <c r="V394" s="54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25.925925925925924</v>
      </c>
      <c r="Y394" s="543">
        <f>IFERROR(Y385/H385,"0")+IFERROR(Y386/H386,"0")+IFERROR(Y387/H387,"0")+IFERROR(Y388/H388,"0")+IFERROR(Y389/H389,"0")+IFERROR(Y390/H390,"0")+IFERROR(Y391/H391,"0")+IFERROR(Y392/H392,"0")+IFERROR(Y393/H393,"0")</f>
        <v>27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0.24354000000000001</v>
      </c>
      <c r="AA394" s="544"/>
      <c r="AB394" s="544"/>
      <c r="AC394" s="544"/>
    </row>
    <row r="395" spans="1:68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7"/>
      <c r="P395" s="547" t="s">
        <v>71</v>
      </c>
      <c r="Q395" s="548"/>
      <c r="R395" s="548"/>
      <c r="S395" s="548"/>
      <c r="T395" s="548"/>
      <c r="U395" s="548"/>
      <c r="V395" s="549"/>
      <c r="W395" s="37" t="s">
        <v>69</v>
      </c>
      <c r="X395" s="543">
        <f>IFERROR(SUM(X385:X393),"0")</f>
        <v>140</v>
      </c>
      <c r="Y395" s="543">
        <f>IFERROR(SUM(Y385:Y393),"0")</f>
        <v>145.80000000000001</v>
      </c>
      <c r="Z395" s="37"/>
      <c r="AA395" s="544"/>
      <c r="AB395" s="544"/>
      <c r="AC395" s="544"/>
    </row>
    <row r="396" spans="1:68" ht="14.25" hidden="1" customHeight="1" x14ac:dyDescent="0.25">
      <c r="A396" s="555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59">
        <v>4607091384352</v>
      </c>
      <c r="E397" s="560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59">
        <v>4607091389654</v>
      </c>
      <c r="E398" s="560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6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7"/>
      <c r="P399" s="547" t="s">
        <v>71</v>
      </c>
      <c r="Q399" s="548"/>
      <c r="R399" s="548"/>
      <c r="S399" s="548"/>
      <c r="T399" s="548"/>
      <c r="U399" s="548"/>
      <c r="V399" s="54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7"/>
      <c r="P400" s="547" t="s">
        <v>71</v>
      </c>
      <c r="Q400" s="548"/>
      <c r="R400" s="548"/>
      <c r="S400" s="548"/>
      <c r="T400" s="548"/>
      <c r="U400" s="548"/>
      <c r="V400" s="54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50" t="s">
        <v>618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hidden="1" customHeight="1" x14ac:dyDescent="0.25">
      <c r="A402" s="555" t="s">
        <v>136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59">
        <v>4680115885240</v>
      </c>
      <c r="E403" s="560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6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7"/>
      <c r="P404" s="547" t="s">
        <v>71</v>
      </c>
      <c r="Q404" s="548"/>
      <c r="R404" s="548"/>
      <c r="S404" s="548"/>
      <c r="T404" s="548"/>
      <c r="U404" s="548"/>
      <c r="V404" s="54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7"/>
      <c r="P405" s="547" t="s">
        <v>71</v>
      </c>
      <c r="Q405" s="548"/>
      <c r="R405" s="548"/>
      <c r="S405" s="548"/>
      <c r="T405" s="548"/>
      <c r="U405" s="548"/>
      <c r="V405" s="54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5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59">
        <v>4680115886094</v>
      </c>
      <c r="E407" s="560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69</v>
      </c>
      <c r="X407" s="541">
        <v>130</v>
      </c>
      <c r="Y407" s="542">
        <f>IFERROR(IF(X407="",0,CEILING((X407/$H407),1)*$H407),"")</f>
        <v>135</v>
      </c>
      <c r="Z407" s="36">
        <f>IFERROR(IF(Y407=0,"",ROUNDUP(Y407/H407,0)*0.00902),"")</f>
        <v>0.22550000000000001</v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134.57407407407405</v>
      </c>
      <c r="BN407" s="64">
        <f>IFERROR(Y407*I407/H407,"0")</f>
        <v>139.75</v>
      </c>
      <c r="BO407" s="64">
        <f>IFERROR(1/J407*(X407/H407),"0")</f>
        <v>0.18237934904601572</v>
      </c>
      <c r="BP407" s="64">
        <f>IFERROR(1/J407*(Y407/H407),"0")</f>
        <v>0.18939393939393939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59">
        <v>4607091389425</v>
      </c>
      <c r="E408" s="560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59">
        <v>4680115880771</v>
      </c>
      <c r="E409" s="560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59">
        <v>4607091389500</v>
      </c>
      <c r="E410" s="560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6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7"/>
      <c r="P411" s="547" t="s">
        <v>71</v>
      </c>
      <c r="Q411" s="548"/>
      <c r="R411" s="548"/>
      <c r="S411" s="548"/>
      <c r="T411" s="548"/>
      <c r="U411" s="548"/>
      <c r="V411" s="549"/>
      <c r="W411" s="37" t="s">
        <v>72</v>
      </c>
      <c r="X411" s="543">
        <f>IFERROR(X407/H407,"0")+IFERROR(X408/H408,"0")+IFERROR(X409/H409,"0")+IFERROR(X410/H410,"0")</f>
        <v>24.074074074074073</v>
      </c>
      <c r="Y411" s="543">
        <f>IFERROR(Y407/H407,"0")+IFERROR(Y408/H408,"0")+IFERROR(Y409/H409,"0")+IFERROR(Y410/H410,"0")</f>
        <v>25</v>
      </c>
      <c r="Z411" s="543">
        <f>IFERROR(IF(Z407="",0,Z407),"0")+IFERROR(IF(Z408="",0,Z408),"0")+IFERROR(IF(Z409="",0,Z409),"0")+IFERROR(IF(Z410="",0,Z410),"0")</f>
        <v>0.22550000000000001</v>
      </c>
      <c r="AA411" s="544"/>
      <c r="AB411" s="544"/>
      <c r="AC411" s="544"/>
    </row>
    <row r="412" spans="1:68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7"/>
      <c r="P412" s="547" t="s">
        <v>71</v>
      </c>
      <c r="Q412" s="548"/>
      <c r="R412" s="548"/>
      <c r="S412" s="548"/>
      <c r="T412" s="548"/>
      <c r="U412" s="548"/>
      <c r="V412" s="549"/>
      <c r="W412" s="37" t="s">
        <v>69</v>
      </c>
      <c r="X412" s="543">
        <f>IFERROR(SUM(X407:X410),"0")</f>
        <v>130</v>
      </c>
      <c r="Y412" s="543">
        <f>IFERROR(SUM(Y407:Y410),"0")</f>
        <v>135</v>
      </c>
      <c r="Z412" s="37"/>
      <c r="AA412" s="544"/>
      <c r="AB412" s="544"/>
      <c r="AC412" s="544"/>
    </row>
    <row r="413" spans="1:68" ht="16.5" hidden="1" customHeight="1" x14ac:dyDescent="0.25">
      <c r="A413" s="550" t="s">
        <v>633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hidden="1" customHeight="1" x14ac:dyDescent="0.25">
      <c r="A414" s="555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59">
        <v>4680115885110</v>
      </c>
      <c r="E415" s="560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6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7"/>
      <c r="P416" s="547" t="s">
        <v>71</v>
      </c>
      <c r="Q416" s="548"/>
      <c r="R416" s="548"/>
      <c r="S416" s="548"/>
      <c r="T416" s="548"/>
      <c r="U416" s="548"/>
      <c r="V416" s="54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7"/>
      <c r="P417" s="547" t="s">
        <v>71</v>
      </c>
      <c r="Q417" s="548"/>
      <c r="R417" s="548"/>
      <c r="S417" s="548"/>
      <c r="T417" s="548"/>
      <c r="U417" s="548"/>
      <c r="V417" s="54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5" t="s">
        <v>637</v>
      </c>
      <c r="B418" s="636"/>
      <c r="C418" s="636"/>
      <c r="D418" s="636"/>
      <c r="E418" s="636"/>
      <c r="F418" s="636"/>
      <c r="G418" s="636"/>
      <c r="H418" s="636"/>
      <c r="I418" s="636"/>
      <c r="J418" s="636"/>
      <c r="K418" s="636"/>
      <c r="L418" s="636"/>
      <c r="M418" s="636"/>
      <c r="N418" s="636"/>
      <c r="O418" s="636"/>
      <c r="P418" s="636"/>
      <c r="Q418" s="636"/>
      <c r="R418" s="636"/>
      <c r="S418" s="636"/>
      <c r="T418" s="636"/>
      <c r="U418" s="636"/>
      <c r="V418" s="636"/>
      <c r="W418" s="636"/>
      <c r="X418" s="636"/>
      <c r="Y418" s="636"/>
      <c r="Z418" s="636"/>
      <c r="AA418" s="48"/>
      <c r="AB418" s="48"/>
      <c r="AC418" s="48"/>
    </row>
    <row r="419" spans="1:68" ht="16.5" hidden="1" customHeight="1" x14ac:dyDescent="0.25">
      <c r="A419" s="550" t="s">
        <v>637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hidden="1" customHeight="1" x14ac:dyDescent="0.25">
      <c r="A420" s="555" t="s">
        <v>101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7"/>
      <c r="AB420" s="537"/>
      <c r="AC420" s="537"/>
    </row>
    <row r="421" spans="1:68" ht="27" hidden="1" customHeight="1" x14ac:dyDescent="0.25">
      <c r="A421" s="54" t="s">
        <v>638</v>
      </c>
      <c r="B421" s="54" t="s">
        <v>639</v>
      </c>
      <c r="C421" s="31">
        <v>4301011795</v>
      </c>
      <c r="D421" s="559">
        <v>4607091389067</v>
      </c>
      <c r="E421" s="560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4301012145</v>
      </c>
      <c r="D422" s="559">
        <v>4607091383522</v>
      </c>
      <c r="E422" s="560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69</v>
      </c>
      <c r="X422" s="541">
        <v>100</v>
      </c>
      <c r="Y422" s="542">
        <f t="shared" si="47"/>
        <v>100.32000000000001</v>
      </c>
      <c r="Z422" s="36">
        <f t="shared" si="48"/>
        <v>0.22724</v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106.62878787878788</v>
      </c>
      <c r="BN422" s="64">
        <f t="shared" si="50"/>
        <v>106.97</v>
      </c>
      <c r="BO422" s="64">
        <f t="shared" si="51"/>
        <v>0.18210955710955709</v>
      </c>
      <c r="BP422" s="64">
        <f t="shared" si="52"/>
        <v>0.18269230769230771</v>
      </c>
    </row>
    <row r="423" spans="1:68" ht="27" hidden="1" customHeight="1" x14ac:dyDescent="0.25">
      <c r="A423" s="54" t="s">
        <v>643</v>
      </c>
      <c r="B423" s="54" t="s">
        <v>644</v>
      </c>
      <c r="C423" s="31">
        <v>4301011961</v>
      </c>
      <c r="D423" s="559">
        <v>4680115885271</v>
      </c>
      <c r="E423" s="560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3"/>
      <c r="R423" s="553"/>
      <c r="S423" s="553"/>
      <c r="T423" s="554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4301011376</v>
      </c>
      <c r="D424" s="559">
        <v>4680115885226</v>
      </c>
      <c r="E424" s="560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3"/>
      <c r="R424" s="553"/>
      <c r="S424" s="553"/>
      <c r="T424" s="554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59">
        <v>4680115884502</v>
      </c>
      <c r="E425" s="560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3"/>
      <c r="R425" s="553"/>
      <c r="S425" s="553"/>
      <c r="T425" s="554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59">
        <v>4607091389104</v>
      </c>
      <c r="E426" s="560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3"/>
      <c r="R426" s="553"/>
      <c r="S426" s="553"/>
      <c r="T426" s="554"/>
      <c r="U426" s="34"/>
      <c r="V426" s="34"/>
      <c r="W426" s="35" t="s">
        <v>69</v>
      </c>
      <c r="X426" s="541">
        <v>80</v>
      </c>
      <c r="Y426" s="542">
        <f t="shared" si="47"/>
        <v>84.48</v>
      </c>
      <c r="Z426" s="36">
        <f t="shared" si="48"/>
        <v>0.19136</v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85.303030303030297</v>
      </c>
      <c r="BN426" s="64">
        <f t="shared" si="50"/>
        <v>90.08</v>
      </c>
      <c r="BO426" s="64">
        <f t="shared" si="51"/>
        <v>0.14568764568764569</v>
      </c>
      <c r="BP426" s="64">
        <f t="shared" si="52"/>
        <v>0.15384615384615385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59">
        <v>4680115886391</v>
      </c>
      <c r="E427" s="560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3"/>
      <c r="R427" s="553"/>
      <c r="S427" s="553"/>
      <c r="T427" s="554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59">
        <v>4680115880603</v>
      </c>
      <c r="E428" s="560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3"/>
      <c r="R428" s="553"/>
      <c r="S428" s="553"/>
      <c r="T428" s="554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59">
        <v>4680115882782</v>
      </c>
      <c r="E429" s="560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3"/>
      <c r="R429" s="553"/>
      <c r="S429" s="553"/>
      <c r="T429" s="554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59">
        <v>4680115885479</v>
      </c>
      <c r="E430" s="560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3"/>
      <c r="R430" s="553"/>
      <c r="S430" s="553"/>
      <c r="T430" s="554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59">
        <v>4607091389982</v>
      </c>
      <c r="E431" s="560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3"/>
      <c r="R431" s="553"/>
      <c r="S431" s="553"/>
      <c r="T431" s="554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6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7"/>
      <c r="P432" s="547" t="s">
        <v>71</v>
      </c>
      <c r="Q432" s="548"/>
      <c r="R432" s="548"/>
      <c r="S432" s="548"/>
      <c r="T432" s="548"/>
      <c r="U432" s="548"/>
      <c r="V432" s="54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34.090909090909086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0.41859999999999997</v>
      </c>
      <c r="AA432" s="544"/>
      <c r="AB432" s="544"/>
      <c r="AC432" s="544"/>
    </row>
    <row r="433" spans="1:68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7"/>
      <c r="P433" s="547" t="s">
        <v>71</v>
      </c>
      <c r="Q433" s="548"/>
      <c r="R433" s="548"/>
      <c r="S433" s="548"/>
      <c r="T433" s="548"/>
      <c r="U433" s="548"/>
      <c r="V433" s="549"/>
      <c r="W433" s="37" t="s">
        <v>69</v>
      </c>
      <c r="X433" s="543">
        <f>IFERROR(SUM(X421:X431),"0")</f>
        <v>180</v>
      </c>
      <c r="Y433" s="543">
        <f>IFERROR(SUM(Y421:Y431),"0")</f>
        <v>184.8</v>
      </c>
      <c r="Z433" s="37"/>
      <c r="AA433" s="544"/>
      <c r="AB433" s="544"/>
      <c r="AC433" s="544"/>
    </row>
    <row r="434" spans="1:68" ht="14.25" hidden="1" customHeight="1" x14ac:dyDescent="0.25">
      <c r="A434" s="555" t="s">
        <v>136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59">
        <v>4607091388930</v>
      </c>
      <c r="E435" s="560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3"/>
      <c r="R435" s="553"/>
      <c r="S435" s="553"/>
      <c r="T435" s="554"/>
      <c r="U435" s="34"/>
      <c r="V435" s="34"/>
      <c r="W435" s="35" t="s">
        <v>69</v>
      </c>
      <c r="X435" s="541">
        <v>80</v>
      </c>
      <c r="Y435" s="542">
        <f>IFERROR(IF(X435="",0,CEILING((X435/$H435),1)*$H435),"")</f>
        <v>84.48</v>
      </c>
      <c r="Z435" s="36">
        <f>IFERROR(IF(Y435=0,"",ROUNDUP(Y435/H435,0)*0.01196),"")</f>
        <v>0.19136</v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85.303030303030297</v>
      </c>
      <c r="BN435" s="64">
        <f>IFERROR(Y435*I435/H435,"0")</f>
        <v>90.08</v>
      </c>
      <c r="BO435" s="64">
        <f>IFERROR(1/J435*(X435/H435),"0")</f>
        <v>0.14568764568764569</v>
      </c>
      <c r="BP435" s="64">
        <f>IFERROR(1/J435*(Y435/H435),"0")</f>
        <v>0.15384615384615385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59">
        <v>4680115886407</v>
      </c>
      <c r="E436" s="560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6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3"/>
      <c r="R436" s="553"/>
      <c r="S436" s="553"/>
      <c r="T436" s="554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59">
        <v>4680115880054</v>
      </c>
      <c r="E437" s="560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3"/>
      <c r="R437" s="553"/>
      <c r="S437" s="553"/>
      <c r="T437" s="554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6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7"/>
      <c r="P438" s="547" t="s">
        <v>71</v>
      </c>
      <c r="Q438" s="548"/>
      <c r="R438" s="548"/>
      <c r="S438" s="548"/>
      <c r="T438" s="548"/>
      <c r="U438" s="548"/>
      <c r="V438" s="549"/>
      <c r="W438" s="37" t="s">
        <v>72</v>
      </c>
      <c r="X438" s="543">
        <f>IFERROR(X435/H435,"0")+IFERROR(X436/H436,"0")+IFERROR(X437/H437,"0")</f>
        <v>15.15151515151515</v>
      </c>
      <c r="Y438" s="543">
        <f>IFERROR(Y435/H435,"0")+IFERROR(Y436/H436,"0")+IFERROR(Y437/H437,"0")</f>
        <v>16</v>
      </c>
      <c r="Z438" s="543">
        <f>IFERROR(IF(Z435="",0,Z435),"0")+IFERROR(IF(Z436="",0,Z436),"0")+IFERROR(IF(Z437="",0,Z437),"0")</f>
        <v>0.19136</v>
      </c>
      <c r="AA438" s="544"/>
      <c r="AB438" s="544"/>
      <c r="AC438" s="544"/>
    </row>
    <row r="439" spans="1:68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7"/>
      <c r="P439" s="547" t="s">
        <v>71</v>
      </c>
      <c r="Q439" s="548"/>
      <c r="R439" s="548"/>
      <c r="S439" s="548"/>
      <c r="T439" s="548"/>
      <c r="U439" s="548"/>
      <c r="V439" s="549"/>
      <c r="W439" s="37" t="s">
        <v>69</v>
      </c>
      <c r="X439" s="543">
        <f>IFERROR(SUM(X435:X437),"0")</f>
        <v>80</v>
      </c>
      <c r="Y439" s="543">
        <f>IFERROR(SUM(Y435:Y437),"0")</f>
        <v>84.48</v>
      </c>
      <c r="Z439" s="37"/>
      <c r="AA439" s="544"/>
      <c r="AB439" s="544"/>
      <c r="AC439" s="544"/>
    </row>
    <row r="440" spans="1:68" ht="14.25" hidden="1" customHeight="1" x14ac:dyDescent="0.25">
      <c r="A440" s="555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59">
        <v>4680115883116</v>
      </c>
      <c r="E441" s="560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3"/>
      <c r="R441" s="553"/>
      <c r="S441" s="553"/>
      <c r="T441" s="554"/>
      <c r="U441" s="34"/>
      <c r="V441" s="34"/>
      <c r="W441" s="35" t="s">
        <v>69</v>
      </c>
      <c r="X441" s="541">
        <v>80</v>
      </c>
      <c r="Y441" s="542">
        <f t="shared" ref="Y441:Y446" si="53">IFERROR(IF(X441="",0,CEILING((X441/$H441),1)*$H441),"")</f>
        <v>84.48</v>
      </c>
      <c r="Z441" s="36">
        <f>IFERROR(IF(Y441=0,"",ROUNDUP(Y441/H441,0)*0.01196),"")</f>
        <v>0.19136</v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85.303030303030297</v>
      </c>
      <c r="BN441" s="64">
        <f t="shared" ref="BN441:BN446" si="55">IFERROR(Y441*I441/H441,"0")</f>
        <v>90.08</v>
      </c>
      <c r="BO441" s="64">
        <f t="shared" ref="BO441:BO446" si="56">IFERROR(1/J441*(X441/H441),"0")</f>
        <v>0.14568764568764569</v>
      </c>
      <c r="BP441" s="64">
        <f t="shared" ref="BP441:BP446" si="57">IFERROR(1/J441*(Y441/H441),"0")</f>
        <v>0.15384615384615385</v>
      </c>
    </row>
    <row r="442" spans="1:68" ht="27" hidden="1" customHeight="1" x14ac:dyDescent="0.25">
      <c r="A442" s="54" t="s">
        <v>676</v>
      </c>
      <c r="B442" s="54" t="s">
        <v>677</v>
      </c>
      <c r="C442" s="31">
        <v>4301031350</v>
      </c>
      <c r="D442" s="559">
        <v>4680115883093</v>
      </c>
      <c r="E442" s="560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3"/>
      <c r="R442" s="553"/>
      <c r="S442" s="553"/>
      <c r="T442" s="554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hidden="1" customHeight="1" x14ac:dyDescent="0.25">
      <c r="A443" s="54" t="s">
        <v>679</v>
      </c>
      <c r="B443" s="54" t="s">
        <v>680</v>
      </c>
      <c r="C443" s="31">
        <v>4301031353</v>
      </c>
      <c r="D443" s="559">
        <v>4680115883109</v>
      </c>
      <c r="E443" s="560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3"/>
      <c r="R443" s="553"/>
      <c r="S443" s="553"/>
      <c r="T443" s="554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59">
        <v>4680115882072</v>
      </c>
      <c r="E444" s="560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3"/>
      <c r="R444" s="553"/>
      <c r="S444" s="553"/>
      <c r="T444" s="554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59">
        <v>4680115882102</v>
      </c>
      <c r="E445" s="560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6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3"/>
      <c r="R445" s="553"/>
      <c r="S445" s="553"/>
      <c r="T445" s="554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59">
        <v>4680115882096</v>
      </c>
      <c r="E446" s="560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6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7"/>
      <c r="P447" s="547" t="s">
        <v>71</v>
      </c>
      <c r="Q447" s="548"/>
      <c r="R447" s="548"/>
      <c r="S447" s="548"/>
      <c r="T447" s="548"/>
      <c r="U447" s="548"/>
      <c r="V447" s="549"/>
      <c r="W447" s="37" t="s">
        <v>72</v>
      </c>
      <c r="X447" s="543">
        <f>IFERROR(X441/H441,"0")+IFERROR(X442/H442,"0")+IFERROR(X443/H443,"0")+IFERROR(X444/H444,"0")+IFERROR(X445/H445,"0")+IFERROR(X446/H446,"0")</f>
        <v>15.15151515151515</v>
      </c>
      <c r="Y447" s="543">
        <f>IFERROR(Y441/H441,"0")+IFERROR(Y442/H442,"0")+IFERROR(Y443/H443,"0")+IFERROR(Y444/H444,"0")+IFERROR(Y445/H445,"0")+IFERROR(Y446/H446,"0")</f>
        <v>16</v>
      </c>
      <c r="Z447" s="543">
        <f>IFERROR(IF(Z441="",0,Z441),"0")+IFERROR(IF(Z442="",0,Z442),"0")+IFERROR(IF(Z443="",0,Z443),"0")+IFERROR(IF(Z444="",0,Z444),"0")+IFERROR(IF(Z445="",0,Z445),"0")+IFERROR(IF(Z446="",0,Z446),"0")</f>
        <v>0.19136</v>
      </c>
      <c r="AA447" s="544"/>
      <c r="AB447" s="544"/>
      <c r="AC447" s="544"/>
    </row>
    <row r="448" spans="1:68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7"/>
      <c r="P448" s="547" t="s">
        <v>71</v>
      </c>
      <c r="Q448" s="548"/>
      <c r="R448" s="548"/>
      <c r="S448" s="548"/>
      <c r="T448" s="548"/>
      <c r="U448" s="548"/>
      <c r="V448" s="549"/>
      <c r="W448" s="37" t="s">
        <v>69</v>
      </c>
      <c r="X448" s="543">
        <f>IFERROR(SUM(X441:X446),"0")</f>
        <v>80</v>
      </c>
      <c r="Y448" s="543">
        <f>IFERROR(SUM(Y441:Y446),"0")</f>
        <v>84.48</v>
      </c>
      <c r="Z448" s="37"/>
      <c r="AA448" s="544"/>
      <c r="AB448" s="544"/>
      <c r="AC448" s="544"/>
    </row>
    <row r="449" spans="1:68" ht="14.25" hidden="1" customHeight="1" x14ac:dyDescent="0.25">
      <c r="A449" s="555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59">
        <v>4607091383409</v>
      </c>
      <c r="E450" s="560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3"/>
      <c r="R450" s="553"/>
      <c r="S450" s="553"/>
      <c r="T450" s="554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59">
        <v>4607091383416</v>
      </c>
      <c r="E451" s="560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3"/>
      <c r="R451" s="553"/>
      <c r="S451" s="553"/>
      <c r="T451" s="554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59">
        <v>4680115883536</v>
      </c>
      <c r="E452" s="560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3"/>
      <c r="R452" s="553"/>
      <c r="S452" s="553"/>
      <c r="T452" s="554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6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7"/>
      <c r="P453" s="547" t="s">
        <v>71</v>
      </c>
      <c r="Q453" s="548"/>
      <c r="R453" s="548"/>
      <c r="S453" s="548"/>
      <c r="T453" s="548"/>
      <c r="U453" s="548"/>
      <c r="V453" s="54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7"/>
      <c r="P454" s="547" t="s">
        <v>71</v>
      </c>
      <c r="Q454" s="548"/>
      <c r="R454" s="548"/>
      <c r="S454" s="548"/>
      <c r="T454" s="548"/>
      <c r="U454" s="548"/>
      <c r="V454" s="54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5" t="s">
        <v>697</v>
      </c>
      <c r="B455" s="636"/>
      <c r="C455" s="636"/>
      <c r="D455" s="636"/>
      <c r="E455" s="636"/>
      <c r="F455" s="636"/>
      <c r="G455" s="636"/>
      <c r="H455" s="636"/>
      <c r="I455" s="636"/>
      <c r="J455" s="636"/>
      <c r="K455" s="636"/>
      <c r="L455" s="636"/>
      <c r="M455" s="636"/>
      <c r="N455" s="636"/>
      <c r="O455" s="636"/>
      <c r="P455" s="636"/>
      <c r="Q455" s="636"/>
      <c r="R455" s="636"/>
      <c r="S455" s="636"/>
      <c r="T455" s="636"/>
      <c r="U455" s="636"/>
      <c r="V455" s="636"/>
      <c r="W455" s="636"/>
      <c r="X455" s="636"/>
      <c r="Y455" s="636"/>
      <c r="Z455" s="636"/>
      <c r="AA455" s="48"/>
      <c r="AB455" s="48"/>
      <c r="AC455" s="48"/>
    </row>
    <row r="456" spans="1:68" ht="16.5" hidden="1" customHeight="1" x14ac:dyDescent="0.25">
      <c r="A456" s="550" t="s">
        <v>697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hidden="1" customHeight="1" x14ac:dyDescent="0.25">
      <c r="A457" s="555" t="s">
        <v>101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59">
        <v>4640242181011</v>
      </c>
      <c r="E458" s="560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3"/>
      <c r="R458" s="553"/>
      <c r="S458" s="553"/>
      <c r="T458" s="554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59">
        <v>4640242180441</v>
      </c>
      <c r="E459" s="560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59">
        <v>4640242180564</v>
      </c>
      <c r="E460" s="560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3"/>
      <c r="R460" s="553"/>
      <c r="S460" s="553"/>
      <c r="T460" s="554"/>
      <c r="U460" s="34"/>
      <c r="V460" s="34"/>
      <c r="W460" s="35" t="s">
        <v>69</v>
      </c>
      <c r="X460" s="541">
        <v>200</v>
      </c>
      <c r="Y460" s="542">
        <f>IFERROR(IF(X460="",0,CEILING((X460/$H460),1)*$H460),"")</f>
        <v>204</v>
      </c>
      <c r="Z460" s="36">
        <f>IFERROR(IF(Y460=0,"",ROUNDUP(Y460/H460,0)*0.01898),"")</f>
        <v>0.32266</v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206.83333333333334</v>
      </c>
      <c r="BN460" s="64">
        <f>IFERROR(Y460*I460/H460,"0")</f>
        <v>210.97</v>
      </c>
      <c r="BO460" s="64">
        <f>IFERROR(1/J460*(X460/H460),"0")</f>
        <v>0.26041666666666669</v>
      </c>
      <c r="BP460" s="64">
        <f>IFERROR(1/J460*(Y460/H460),"0")</f>
        <v>0.265625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59">
        <v>4640242181189</v>
      </c>
      <c r="E461" s="560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8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3"/>
      <c r="R461" s="553"/>
      <c r="S461" s="553"/>
      <c r="T461" s="554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6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7"/>
      <c r="P462" s="547" t="s">
        <v>71</v>
      </c>
      <c r="Q462" s="548"/>
      <c r="R462" s="548"/>
      <c r="S462" s="548"/>
      <c r="T462" s="548"/>
      <c r="U462" s="548"/>
      <c r="V462" s="549"/>
      <c r="W462" s="37" t="s">
        <v>72</v>
      </c>
      <c r="X462" s="543">
        <f>IFERROR(X458/H458,"0")+IFERROR(X459/H459,"0")+IFERROR(X460/H460,"0")+IFERROR(X461/H461,"0")</f>
        <v>16.666666666666668</v>
      </c>
      <c r="Y462" s="543">
        <f>IFERROR(Y458/H458,"0")+IFERROR(Y459/H459,"0")+IFERROR(Y460/H460,"0")+IFERROR(Y461/H461,"0")</f>
        <v>17</v>
      </c>
      <c r="Z462" s="543">
        <f>IFERROR(IF(Z458="",0,Z458),"0")+IFERROR(IF(Z459="",0,Z459),"0")+IFERROR(IF(Z460="",0,Z460),"0")+IFERROR(IF(Z461="",0,Z461),"0")</f>
        <v>0.32266</v>
      </c>
      <c r="AA462" s="544"/>
      <c r="AB462" s="544"/>
      <c r="AC462" s="544"/>
    </row>
    <row r="463" spans="1:68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7"/>
      <c r="P463" s="547" t="s">
        <v>71</v>
      </c>
      <c r="Q463" s="548"/>
      <c r="R463" s="548"/>
      <c r="S463" s="548"/>
      <c r="T463" s="548"/>
      <c r="U463" s="548"/>
      <c r="V463" s="549"/>
      <c r="W463" s="37" t="s">
        <v>69</v>
      </c>
      <c r="X463" s="543">
        <f>IFERROR(SUM(X458:X461),"0")</f>
        <v>200</v>
      </c>
      <c r="Y463" s="543">
        <f>IFERROR(SUM(Y458:Y461),"0")</f>
        <v>204</v>
      </c>
      <c r="Z463" s="37"/>
      <c r="AA463" s="544"/>
      <c r="AB463" s="544"/>
      <c r="AC463" s="544"/>
    </row>
    <row r="464" spans="1:68" ht="14.25" hidden="1" customHeight="1" x14ac:dyDescent="0.25">
      <c r="A464" s="555" t="s">
        <v>136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59">
        <v>4640242180519</v>
      </c>
      <c r="E465" s="560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3"/>
      <c r="R465" s="553"/>
      <c r="S465" s="553"/>
      <c r="T465" s="554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59">
        <v>4640242180526</v>
      </c>
      <c r="E466" s="560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3"/>
      <c r="R466" s="553"/>
      <c r="S466" s="553"/>
      <c r="T466" s="554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59">
        <v>4640242181363</v>
      </c>
      <c r="E467" s="560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3"/>
      <c r="R467" s="553"/>
      <c r="S467" s="553"/>
      <c r="T467" s="554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6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7"/>
      <c r="P468" s="547" t="s">
        <v>71</v>
      </c>
      <c r="Q468" s="548"/>
      <c r="R468" s="548"/>
      <c r="S468" s="548"/>
      <c r="T468" s="548"/>
      <c r="U468" s="548"/>
      <c r="V468" s="54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7"/>
      <c r="P469" s="547" t="s">
        <v>71</v>
      </c>
      <c r="Q469" s="548"/>
      <c r="R469" s="548"/>
      <c r="S469" s="548"/>
      <c r="T469" s="548"/>
      <c r="U469" s="548"/>
      <c r="V469" s="54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5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7"/>
      <c r="AB470" s="537"/>
      <c r="AC470" s="537"/>
    </row>
    <row r="471" spans="1:68" ht="27" hidden="1" customHeight="1" x14ac:dyDescent="0.25">
      <c r="A471" s="54" t="s">
        <v>718</v>
      </c>
      <c r="B471" s="54" t="s">
        <v>719</v>
      </c>
      <c r="C471" s="31">
        <v>4301031280</v>
      </c>
      <c r="D471" s="559">
        <v>4640242180816</v>
      </c>
      <c r="E471" s="560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3"/>
      <c r="R471" s="553"/>
      <c r="S471" s="553"/>
      <c r="T471" s="554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721</v>
      </c>
      <c r="B472" s="54" t="s">
        <v>722</v>
      </c>
      <c r="C472" s="31">
        <v>4301031244</v>
      </c>
      <c r="D472" s="559">
        <v>4640242180595</v>
      </c>
      <c r="E472" s="560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3"/>
      <c r="R472" s="553"/>
      <c r="S472" s="553"/>
      <c r="T472" s="554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6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7"/>
      <c r="P473" s="547" t="s">
        <v>71</v>
      </c>
      <c r="Q473" s="548"/>
      <c r="R473" s="548"/>
      <c r="S473" s="548"/>
      <c r="T473" s="548"/>
      <c r="U473" s="548"/>
      <c r="V473" s="54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7"/>
      <c r="P474" s="547" t="s">
        <v>71</v>
      </c>
      <c r="Q474" s="548"/>
      <c r="R474" s="548"/>
      <c r="S474" s="548"/>
      <c r="T474" s="548"/>
      <c r="U474" s="548"/>
      <c r="V474" s="54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55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7"/>
      <c r="AB475" s="537"/>
      <c r="AC475" s="537"/>
    </row>
    <row r="476" spans="1:68" ht="27" hidden="1" customHeight="1" x14ac:dyDescent="0.25">
      <c r="A476" s="54" t="s">
        <v>724</v>
      </c>
      <c r="B476" s="54" t="s">
        <v>725</v>
      </c>
      <c r="C476" s="31">
        <v>4301052046</v>
      </c>
      <c r="D476" s="559">
        <v>4640242180533</v>
      </c>
      <c r="E476" s="560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3"/>
      <c r="R476" s="553"/>
      <c r="S476" s="553"/>
      <c r="T476" s="554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6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7"/>
      <c r="P477" s="547" t="s">
        <v>71</v>
      </c>
      <c r="Q477" s="548"/>
      <c r="R477" s="548"/>
      <c r="S477" s="548"/>
      <c r="T477" s="548"/>
      <c r="U477" s="548"/>
      <c r="V477" s="54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7"/>
      <c r="P478" s="547" t="s">
        <v>71</v>
      </c>
      <c r="Q478" s="548"/>
      <c r="R478" s="548"/>
      <c r="S478" s="548"/>
      <c r="T478" s="548"/>
      <c r="U478" s="548"/>
      <c r="V478" s="54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55" t="s">
        <v>164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59">
        <v>4640242180120</v>
      </c>
      <c r="E480" s="560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3"/>
      <c r="R480" s="553"/>
      <c r="S480" s="553"/>
      <c r="T480" s="554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59">
        <v>4640242180137</v>
      </c>
      <c r="E481" s="560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6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7"/>
      <c r="P482" s="547" t="s">
        <v>71</v>
      </c>
      <c r="Q482" s="548"/>
      <c r="R482" s="548"/>
      <c r="S482" s="548"/>
      <c r="T482" s="548"/>
      <c r="U482" s="548"/>
      <c r="V482" s="54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7"/>
      <c r="P483" s="547" t="s">
        <v>71</v>
      </c>
      <c r="Q483" s="548"/>
      <c r="R483" s="548"/>
      <c r="S483" s="548"/>
      <c r="T483" s="548"/>
      <c r="U483" s="548"/>
      <c r="V483" s="54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0" t="s">
        <v>733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hidden="1" customHeight="1" x14ac:dyDescent="0.25">
      <c r="A485" s="555" t="s">
        <v>136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59">
        <v>4640242180090</v>
      </c>
      <c r="E486" s="560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1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3"/>
      <c r="R486" s="553"/>
      <c r="S486" s="553"/>
      <c r="T486" s="554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6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7"/>
      <c r="P487" s="547" t="s">
        <v>71</v>
      </c>
      <c r="Q487" s="548"/>
      <c r="R487" s="548"/>
      <c r="S487" s="548"/>
      <c r="T487" s="548"/>
      <c r="U487" s="548"/>
      <c r="V487" s="54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7"/>
      <c r="P488" s="547" t="s">
        <v>71</v>
      </c>
      <c r="Q488" s="548"/>
      <c r="R488" s="548"/>
      <c r="S488" s="548"/>
      <c r="T488" s="548"/>
      <c r="U488" s="548"/>
      <c r="V488" s="54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715"/>
      <c r="P489" s="629" t="s">
        <v>737</v>
      </c>
      <c r="Q489" s="630"/>
      <c r="R489" s="630"/>
      <c r="S489" s="630"/>
      <c r="T489" s="630"/>
      <c r="U489" s="630"/>
      <c r="V489" s="631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18084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18175.859999999997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715"/>
      <c r="P490" s="629" t="s">
        <v>738</v>
      </c>
      <c r="Q490" s="630"/>
      <c r="R490" s="630"/>
      <c r="S490" s="630"/>
      <c r="T490" s="630"/>
      <c r="U490" s="630"/>
      <c r="V490" s="631"/>
      <c r="W490" s="37" t="s">
        <v>69</v>
      </c>
      <c r="X490" s="543">
        <f>IFERROR(SUM(BM22:BM486),"0")</f>
        <v>18863.442914201598</v>
      </c>
      <c r="Y490" s="543">
        <f>IFERROR(SUM(BN22:BN486),"0")</f>
        <v>18959.902000000009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715"/>
      <c r="P491" s="629" t="s">
        <v>739</v>
      </c>
      <c r="Q491" s="630"/>
      <c r="R491" s="630"/>
      <c r="S491" s="630"/>
      <c r="T491" s="630"/>
      <c r="U491" s="630"/>
      <c r="V491" s="631"/>
      <c r="W491" s="37" t="s">
        <v>740</v>
      </c>
      <c r="X491" s="38">
        <f>ROUNDUP(SUM(BO22:BO486),0)</f>
        <v>29</v>
      </c>
      <c r="Y491" s="38">
        <f>ROUNDUP(SUM(BP22:BP486),0)</f>
        <v>30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715"/>
      <c r="P492" s="629" t="s">
        <v>741</v>
      </c>
      <c r="Q492" s="630"/>
      <c r="R492" s="630"/>
      <c r="S492" s="630"/>
      <c r="T492" s="630"/>
      <c r="U492" s="630"/>
      <c r="V492" s="631"/>
      <c r="W492" s="37" t="s">
        <v>69</v>
      </c>
      <c r="X492" s="543">
        <f>GrossWeightTotal+PalletQtyTotal*25</f>
        <v>19588.442914201598</v>
      </c>
      <c r="Y492" s="543">
        <f>GrossWeightTotalR+PalletQtyTotalR*25</f>
        <v>19709.902000000009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715"/>
      <c r="P493" s="629" t="s">
        <v>742</v>
      </c>
      <c r="Q493" s="630"/>
      <c r="R493" s="630"/>
      <c r="S493" s="630"/>
      <c r="T493" s="630"/>
      <c r="U493" s="630"/>
      <c r="V493" s="631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1793.7895145510092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1807</v>
      </c>
      <c r="Z493" s="37"/>
      <c r="AA493" s="544"/>
      <c r="AB493" s="544"/>
      <c r="AC493" s="544"/>
    </row>
    <row r="494" spans="1:68" ht="14.25" hidden="1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715"/>
      <c r="P494" s="629" t="s">
        <v>743</v>
      </c>
      <c r="Q494" s="630"/>
      <c r="R494" s="630"/>
      <c r="S494" s="630"/>
      <c r="T494" s="630"/>
      <c r="U494" s="630"/>
      <c r="V494" s="631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32.846139999999998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6" t="s">
        <v>99</v>
      </c>
      <c r="D496" s="663"/>
      <c r="E496" s="663"/>
      <c r="F496" s="663"/>
      <c r="G496" s="663"/>
      <c r="H496" s="624"/>
      <c r="I496" s="596" t="s">
        <v>251</v>
      </c>
      <c r="J496" s="663"/>
      <c r="K496" s="663"/>
      <c r="L496" s="663"/>
      <c r="M496" s="663"/>
      <c r="N496" s="663"/>
      <c r="O496" s="663"/>
      <c r="P496" s="663"/>
      <c r="Q496" s="663"/>
      <c r="R496" s="624"/>
      <c r="S496" s="596" t="s">
        <v>535</v>
      </c>
      <c r="T496" s="624"/>
      <c r="U496" s="596" t="s">
        <v>586</v>
      </c>
      <c r="V496" s="663"/>
      <c r="W496" s="624"/>
      <c r="X496" s="538" t="s">
        <v>637</v>
      </c>
      <c r="Y496" s="596" t="s">
        <v>697</v>
      </c>
      <c r="Z496" s="624"/>
      <c r="AB496" s="52"/>
      <c r="AC496" s="52"/>
      <c r="AF496" s="539"/>
    </row>
    <row r="497" spans="1:32" ht="14.25" customHeight="1" thickTop="1" x14ac:dyDescent="0.2">
      <c r="A497" s="843" t="s">
        <v>746</v>
      </c>
      <c r="B497" s="596" t="s">
        <v>63</v>
      </c>
      <c r="C497" s="596" t="s">
        <v>100</v>
      </c>
      <c r="D497" s="596" t="s">
        <v>117</v>
      </c>
      <c r="E497" s="596" t="s">
        <v>171</v>
      </c>
      <c r="F497" s="596" t="s">
        <v>190</v>
      </c>
      <c r="G497" s="596" t="s">
        <v>220</v>
      </c>
      <c r="H497" s="596" t="s">
        <v>99</v>
      </c>
      <c r="I497" s="596" t="s">
        <v>252</v>
      </c>
      <c r="J497" s="596" t="s">
        <v>297</v>
      </c>
      <c r="K497" s="596" t="s">
        <v>356</v>
      </c>
      <c r="L497" s="596" t="s">
        <v>398</v>
      </c>
      <c r="M497" s="596" t="s">
        <v>414</v>
      </c>
      <c r="N497" s="539"/>
      <c r="O497" s="596" t="s">
        <v>425</v>
      </c>
      <c r="P497" s="596" t="s">
        <v>434</v>
      </c>
      <c r="Q497" s="596" t="s">
        <v>448</v>
      </c>
      <c r="R497" s="596" t="s">
        <v>525</v>
      </c>
      <c r="S497" s="596" t="s">
        <v>536</v>
      </c>
      <c r="T497" s="596" t="s">
        <v>570</v>
      </c>
      <c r="U497" s="596" t="s">
        <v>587</v>
      </c>
      <c r="V497" s="596" t="s">
        <v>618</v>
      </c>
      <c r="W497" s="596" t="s">
        <v>633</v>
      </c>
      <c r="X497" s="596" t="s">
        <v>637</v>
      </c>
      <c r="Y497" s="596" t="s">
        <v>697</v>
      </c>
      <c r="Z497" s="596" t="s">
        <v>733</v>
      </c>
      <c r="AB497" s="52"/>
      <c r="AC497" s="52"/>
      <c r="AF497" s="539"/>
    </row>
    <row r="498" spans="1:32" ht="13.5" customHeight="1" thickBot="1" x14ac:dyDescent="0.25">
      <c r="A498" s="844"/>
      <c r="B498" s="597"/>
      <c r="C498" s="597"/>
      <c r="D498" s="597"/>
      <c r="E498" s="597"/>
      <c r="F498" s="597"/>
      <c r="G498" s="597"/>
      <c r="H498" s="597"/>
      <c r="I498" s="597"/>
      <c r="J498" s="597"/>
      <c r="K498" s="597"/>
      <c r="L498" s="597"/>
      <c r="M498" s="597"/>
      <c r="N498" s="539"/>
      <c r="O498" s="597"/>
      <c r="P498" s="597"/>
      <c r="Q498" s="597"/>
      <c r="R498" s="597"/>
      <c r="S498" s="597"/>
      <c r="T498" s="597"/>
      <c r="U498" s="597"/>
      <c r="V498" s="597"/>
      <c r="W498" s="597"/>
      <c r="X498" s="597"/>
      <c r="Y498" s="597"/>
      <c r="Z498" s="597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37.200000000000003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637.20000000000005</v>
      </c>
      <c r="G499" s="46">
        <f>IFERROR(Y124*1,"0")+IFERROR(Y125*1,"0")+IFERROR(Y129*1,"0")+IFERROR(Y130*1,"0")+IFERROR(Y134*1,"0")+IFERROR(Y135*1,"0")</f>
        <v>8.3999999999999986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42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914.40000000000009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4986.6000000000004</v>
      </c>
      <c r="R499" s="46">
        <f>IFERROR(Y335*1,"0")+IFERROR(Y336*1,"0")+IFERROR(Y337*1,"0")</f>
        <v>40.5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10590</v>
      </c>
      <c r="T499" s="46">
        <f>IFERROR(Y368*1,"0")+IFERROR(Y369*1,"0")+IFERROR(Y373*1,"0")+IFERROR(Y374*1,"0")+IFERROR(Y378*1,"0")+IFERROR(Y379*1,"0")</f>
        <v>81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145.80000000000001</v>
      </c>
      <c r="V499" s="46">
        <f>IFERROR(Y403*1,"0")+IFERROR(Y407*1,"0")+IFERROR(Y408*1,"0")+IFERROR(Y409*1,"0")+IFERROR(Y410*1,"0")</f>
        <v>135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353.76000000000005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204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793,79"/>
        <filter val="1,85"/>
        <filter val="1,92"/>
        <filter val="100,00"/>
        <filter val="102,46"/>
        <filter val="12,00"/>
        <filter val="120,00"/>
        <filter val="130,00"/>
        <filter val="140,00"/>
        <filter val="15,00"/>
        <filter val="15,15"/>
        <filter val="150,00"/>
        <filter val="16,67"/>
        <filter val="170,00"/>
        <filter val="18 084,00"/>
        <filter val="18 863,44"/>
        <filter val="180,00"/>
        <filter val="19 588,44"/>
        <filter val="2,86"/>
        <filter val="20,00"/>
        <filter val="200,00"/>
        <filter val="24,07"/>
        <filter val="25,93"/>
        <filter val="250,00"/>
        <filter val="27,78"/>
        <filter val="29"/>
        <filter val="320,00"/>
        <filter val="34,09"/>
        <filter val="35,56"/>
        <filter val="369,00"/>
        <filter val="4 400,00"/>
        <filter val="4,94"/>
        <filter val="40,00"/>
        <filter val="430,00"/>
        <filter val="48,00"/>
        <filter val="5,00"/>
        <filter val="50,00"/>
        <filter val="520,00"/>
        <filter val="530,00"/>
        <filter val="55,00"/>
        <filter val="564,10"/>
        <filter val="58,33"/>
        <filter val="616,67"/>
        <filter val="630,00"/>
        <filter val="67,03"/>
        <filter val="7 000,00"/>
        <filter val="750,00"/>
        <filter val="8,00"/>
        <filter val="8,89"/>
        <filter val="80,00"/>
        <filter val="9 250,00"/>
        <filter val="9,52"/>
        <filter val="96,00"/>
        <filter val="96,30"/>
      </filters>
    </filterColumn>
    <filterColumn colId="29" showButton="0"/>
    <filterColumn colId="30" showButton="0"/>
  </autoFilter>
  <mergeCells count="874"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P410:T410"/>
    <mergeCell ref="P385:T385"/>
    <mergeCell ref="D408:E408"/>
    <mergeCell ref="P216:V216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344:E344"/>
    <mergeCell ref="D42:E42"/>
    <mergeCell ref="D471:E47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A447:O448"/>
    <mergeCell ref="I496:R496"/>
    <mergeCell ref="B497:B498"/>
    <mergeCell ref="P492:V492"/>
    <mergeCell ref="S496:T496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A484:Z484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Q6:R6"/>
    <mergeCell ref="P200:T200"/>
    <mergeCell ref="P134:T134"/>
    <mergeCell ref="D386:E386"/>
    <mergeCell ref="P250:V250"/>
    <mergeCell ref="A364:O365"/>
    <mergeCell ref="A103:O104"/>
    <mergeCell ref="P415:T415"/>
    <mergeCell ref="P286:V286"/>
    <mergeCell ref="P336:T336"/>
    <mergeCell ref="P131:V131"/>
    <mergeCell ref="P187:V187"/>
    <mergeCell ref="P493:V493"/>
    <mergeCell ref="D452:E452"/>
    <mergeCell ref="P465:T465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192:O193"/>
    <mergeCell ref="D279:E279"/>
    <mergeCell ref="A136:O137"/>
    <mergeCell ref="D421:E421"/>
    <mergeCell ref="A479:Z479"/>
    <mergeCell ref="D191:E191"/>
    <mergeCell ref="D458:E458"/>
    <mergeCell ref="P368:T368"/>
    <mergeCell ref="A362:Z36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A20:Z20"/>
    <mergeCell ref="D17:E18"/>
    <mergeCell ref="V12:W12"/>
    <mergeCell ref="U17:V17"/>
    <mergeCell ref="Y17:Y18"/>
    <mergeCell ref="X17:X18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A457:Z457"/>
    <mergeCell ref="S497:S498"/>
    <mergeCell ref="P468:V468"/>
    <mergeCell ref="A464:Z464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W497:W498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P192:V192"/>
    <mergeCell ref="D151:E151"/>
    <mergeCell ref="D321:E321"/>
    <mergeCell ref="P278:T278"/>
    <mergeCell ref="P107:T107"/>
    <mergeCell ref="P101:T101"/>
    <mergeCell ref="D428:E428"/>
    <mergeCell ref="P91:T91"/>
    <mergeCell ref="P404:V404"/>
    <mergeCell ref="D273:E273"/>
    <mergeCell ref="A160:Z160"/>
    <mergeCell ref="P212:T212"/>
    <mergeCell ref="P405:V405"/>
    <mergeCell ref="A401:Z401"/>
    <mergeCell ref="A152:O153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P483:V483"/>
    <mergeCell ref="D298:E298"/>
    <mergeCell ref="U497:U498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40:T40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461:E461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321:T321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140:E140"/>
    <mergeCell ref="P451:T451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63:V63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A419:Z419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P149:V149"/>
    <mergeCell ref="P125:T125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B17:B18"/>
    <mergeCell ref="P143:V143"/>
    <mergeCell ref="A171:O172"/>
    <mergeCell ref="M17:M18"/>
    <mergeCell ref="P210:T210"/>
    <mergeCell ref="P439:V439"/>
    <mergeCell ref="D398:E398"/>
    <mergeCell ref="A438:O439"/>
    <mergeCell ref="P433:V43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P477:V477"/>
    <mergeCell ref="D124:E124"/>
    <mergeCell ref="P56:T56"/>
    <mergeCell ref="D195:E195"/>
    <mergeCell ref="P379:T379"/>
    <mergeCell ref="P462:V462"/>
    <mergeCell ref="A105:Z105"/>
    <mergeCell ref="A396:Z396"/>
    <mergeCell ref="D472:E472"/>
    <mergeCell ref="D410:E410"/>
    <mergeCell ref="A432:O433"/>
    <mergeCell ref="D423:E423"/>
    <mergeCell ref="D426:E426"/>
    <mergeCell ref="P446:T446"/>
    <mergeCell ref="P110:V110"/>
    <mergeCell ref="A338:O339"/>
    <mergeCell ref="P208:T208"/>
    <mergeCell ref="D460:E460"/>
    <mergeCell ref="P308:T308"/>
    <mergeCell ref="A267:O268"/>
    <mergeCell ref="A69:O70"/>
    <mergeCell ref="P185:T185"/>
    <mergeCell ref="D106:E106"/>
    <mergeCell ref="P427:T427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52:Z352"/>
    <mergeCell ref="A276:Z276"/>
    <mergeCell ref="A83:Z83"/>
    <mergeCell ref="A270:Z270"/>
    <mergeCell ref="P302:T302"/>
    <mergeCell ref="D174:E174"/>
    <mergeCell ref="A63:O64"/>
    <mergeCell ref="P306:V306"/>
    <mergeCell ref="D258:E258"/>
    <mergeCell ref="P235:V235"/>
    <mergeCell ref="D52:E52"/>
    <mergeCell ref="D27:E27"/>
    <mergeCell ref="P283:T283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2025-11-25T09:45:11Z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