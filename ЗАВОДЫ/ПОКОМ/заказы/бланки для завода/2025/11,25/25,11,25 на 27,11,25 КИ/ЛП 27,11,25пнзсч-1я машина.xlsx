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70015A9-3486-4D37-BADB-7B53F80515C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Z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489" i="1" s="1"/>
  <c r="X23" i="1"/>
  <c r="BO22" i="1"/>
  <c r="BM22" i="1"/>
  <c r="Y22" i="1"/>
  <c r="Y23" i="1" s="1"/>
  <c r="P22" i="1"/>
  <c r="H10" i="1"/>
  <c r="A9" i="1"/>
  <c r="A10" i="1" s="1"/>
  <c r="D7" i="1"/>
  <c r="Q6" i="1"/>
  <c r="P2" i="1"/>
  <c r="BP55" i="1" l="1"/>
  <c r="BN55" i="1"/>
  <c r="Z55" i="1"/>
  <c r="BP100" i="1"/>
  <c r="BN100" i="1"/>
  <c r="Z100" i="1"/>
  <c r="BP135" i="1"/>
  <c r="BN135" i="1"/>
  <c r="Z135" i="1"/>
  <c r="BP140" i="1"/>
  <c r="BN140" i="1"/>
  <c r="Z140" i="1"/>
  <c r="BP166" i="1"/>
  <c r="BN166" i="1"/>
  <c r="Z166" i="1"/>
  <c r="BP199" i="1"/>
  <c r="BN199" i="1"/>
  <c r="Z199" i="1"/>
  <c r="BP227" i="1"/>
  <c r="BN227" i="1"/>
  <c r="Z227" i="1"/>
  <c r="BP256" i="1"/>
  <c r="BN256" i="1"/>
  <c r="Z256" i="1"/>
  <c r="BP293" i="1"/>
  <c r="BN293" i="1"/>
  <c r="Z293" i="1"/>
  <c r="BP323" i="1"/>
  <c r="BN323" i="1"/>
  <c r="Z323" i="1"/>
  <c r="BP378" i="1"/>
  <c r="BN378" i="1"/>
  <c r="Z378" i="1"/>
  <c r="BP424" i="1"/>
  <c r="BN424" i="1"/>
  <c r="Z424" i="1"/>
  <c r="BP450" i="1"/>
  <c r="BN450" i="1"/>
  <c r="Z450" i="1"/>
  <c r="Z28" i="1"/>
  <c r="BN28" i="1"/>
  <c r="BP40" i="1"/>
  <c r="BN40" i="1"/>
  <c r="Z40" i="1"/>
  <c r="BP74" i="1"/>
  <c r="BN74" i="1"/>
  <c r="Z74" i="1"/>
  <c r="BP112" i="1"/>
  <c r="BN112" i="1"/>
  <c r="Z112" i="1"/>
  <c r="BP163" i="1"/>
  <c r="BN163" i="1"/>
  <c r="Z163" i="1"/>
  <c r="BP176" i="1"/>
  <c r="BN176" i="1"/>
  <c r="Z176" i="1"/>
  <c r="BP212" i="1"/>
  <c r="BN212" i="1"/>
  <c r="Z212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Z250" i="1" s="1"/>
  <c r="BP309" i="1"/>
  <c r="BN309" i="1"/>
  <c r="Z309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BP93" i="1"/>
  <c r="BN93" i="1"/>
  <c r="Z93" i="1"/>
  <c r="BP108" i="1"/>
  <c r="BN108" i="1"/>
  <c r="Z108" i="1"/>
  <c r="Y131" i="1"/>
  <c r="BP129" i="1"/>
  <c r="BN129" i="1"/>
  <c r="Z129" i="1"/>
  <c r="Y153" i="1"/>
  <c r="Y152" i="1"/>
  <c r="BP151" i="1"/>
  <c r="BN151" i="1"/>
  <c r="Z151" i="1"/>
  <c r="Z152" i="1" s="1"/>
  <c r="Y158" i="1"/>
  <c r="BP157" i="1"/>
  <c r="BN157" i="1"/>
  <c r="Z157" i="1"/>
  <c r="Z158" i="1" s="1"/>
  <c r="Y172" i="1"/>
  <c r="BP161" i="1"/>
  <c r="BN161" i="1"/>
  <c r="Z161" i="1"/>
  <c r="BP174" i="1"/>
  <c r="BN174" i="1"/>
  <c r="Z174" i="1"/>
  <c r="BP197" i="1"/>
  <c r="BN197" i="1"/>
  <c r="Z197" i="1"/>
  <c r="BP210" i="1"/>
  <c r="BN210" i="1"/>
  <c r="Z210" i="1"/>
  <c r="BP225" i="1"/>
  <c r="BN225" i="1"/>
  <c r="Z225" i="1"/>
  <c r="BP233" i="1"/>
  <c r="BN233" i="1"/>
  <c r="Z233" i="1"/>
  <c r="Y260" i="1"/>
  <c r="BP254" i="1"/>
  <c r="BN254" i="1"/>
  <c r="Z254" i="1"/>
  <c r="BP265" i="1"/>
  <c r="BN265" i="1"/>
  <c r="Z265" i="1"/>
  <c r="J9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Y70" i="1"/>
  <c r="Z68" i="1"/>
  <c r="BN68" i="1"/>
  <c r="Y69" i="1"/>
  <c r="Z72" i="1"/>
  <c r="BN72" i="1"/>
  <c r="Z80" i="1"/>
  <c r="BN80" i="1"/>
  <c r="Z85" i="1"/>
  <c r="BN85" i="1"/>
  <c r="BP87" i="1"/>
  <c r="BN87" i="1"/>
  <c r="Z87" i="1"/>
  <c r="BP102" i="1"/>
  <c r="BN102" i="1"/>
  <c r="Z102" i="1"/>
  <c r="BP114" i="1"/>
  <c r="BN114" i="1"/>
  <c r="Z114" i="1"/>
  <c r="BP146" i="1"/>
  <c r="BN146" i="1"/>
  <c r="Z146" i="1"/>
  <c r="BP168" i="1"/>
  <c r="BN168" i="1"/>
  <c r="Z168" i="1"/>
  <c r="Y182" i="1"/>
  <c r="Y181" i="1"/>
  <c r="BP180" i="1"/>
  <c r="BN180" i="1"/>
  <c r="Z180" i="1"/>
  <c r="Z181" i="1" s="1"/>
  <c r="BP185" i="1"/>
  <c r="BN185" i="1"/>
  <c r="Z185" i="1"/>
  <c r="BP201" i="1"/>
  <c r="BN201" i="1"/>
  <c r="Z201" i="1"/>
  <c r="BP214" i="1"/>
  <c r="BN214" i="1"/>
  <c r="Z214" i="1"/>
  <c r="BP229" i="1"/>
  <c r="BN229" i="1"/>
  <c r="Z229" i="1"/>
  <c r="BP247" i="1"/>
  <c r="BN247" i="1"/>
  <c r="Z247" i="1"/>
  <c r="BP258" i="1"/>
  <c r="BN258" i="1"/>
  <c r="Z258" i="1"/>
  <c r="BP299" i="1"/>
  <c r="BN299" i="1"/>
  <c r="Z299" i="1"/>
  <c r="BP311" i="1"/>
  <c r="BN311" i="1"/>
  <c r="Z311" i="1"/>
  <c r="BP329" i="1"/>
  <c r="BN329" i="1"/>
  <c r="Z329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95" i="1"/>
  <c r="Y116" i="1"/>
  <c r="Y251" i="1"/>
  <c r="BP272" i="1"/>
  <c r="BN272" i="1"/>
  <c r="BP291" i="1"/>
  <c r="BN291" i="1"/>
  <c r="Z291" i="1"/>
  <c r="BP303" i="1"/>
  <c r="BN303" i="1"/>
  <c r="Z303" i="1"/>
  <c r="BP317" i="1"/>
  <c r="BN317" i="1"/>
  <c r="Z317" i="1"/>
  <c r="BP321" i="1"/>
  <c r="BN321" i="1"/>
  <c r="Z321" i="1"/>
  <c r="BP344" i="1"/>
  <c r="BN344" i="1"/>
  <c r="Z344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319" i="1"/>
  <c r="Y318" i="1"/>
  <c r="Y380" i="1"/>
  <c r="Y454" i="1"/>
  <c r="Y453" i="1"/>
  <c r="Y31" i="1"/>
  <c r="Y43" i="1"/>
  <c r="Y58" i="1"/>
  <c r="BP73" i="1"/>
  <c r="BN73" i="1"/>
  <c r="Z73" i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Z142" i="1" s="1"/>
  <c r="Y143" i="1"/>
  <c r="Y148" i="1"/>
  <c r="BP145" i="1"/>
  <c r="BN145" i="1"/>
  <c r="Z145" i="1"/>
  <c r="BP164" i="1"/>
  <c r="BN164" i="1"/>
  <c r="Z164" i="1"/>
  <c r="BP167" i="1"/>
  <c r="BN167" i="1"/>
  <c r="Z167" i="1"/>
  <c r="Y171" i="1"/>
  <c r="BP175" i="1"/>
  <c r="BN175" i="1"/>
  <c r="Z175" i="1"/>
  <c r="Z177" i="1" s="1"/>
  <c r="BP196" i="1"/>
  <c r="BN196" i="1"/>
  <c r="Z196" i="1"/>
  <c r="BP200" i="1"/>
  <c r="BN200" i="1"/>
  <c r="Z200" i="1"/>
  <c r="BP208" i="1"/>
  <c r="BN208" i="1"/>
  <c r="Z208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90" i="1"/>
  <c r="BN290" i="1"/>
  <c r="Z290" i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D499" i="1"/>
  <c r="H9" i="1"/>
  <c r="B499" i="1"/>
  <c r="X490" i="1"/>
  <c r="X492" i="1" s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Y63" i="1"/>
  <c r="Z69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BP165" i="1"/>
  <c r="BN165" i="1"/>
  <c r="Z165" i="1"/>
  <c r="BP169" i="1"/>
  <c r="BN169" i="1"/>
  <c r="Z169" i="1"/>
  <c r="Y178" i="1"/>
  <c r="Y177" i="1"/>
  <c r="BP186" i="1"/>
  <c r="BN186" i="1"/>
  <c r="Z186" i="1"/>
  <c r="Z187" i="1" s="1"/>
  <c r="Y188" i="1"/>
  <c r="Y193" i="1"/>
  <c r="BP190" i="1"/>
  <c r="BN190" i="1"/>
  <c r="Z190" i="1"/>
  <c r="Z192" i="1" s="1"/>
  <c r="Y203" i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2" i="1"/>
  <c r="BN322" i="1"/>
  <c r="Z322" i="1"/>
  <c r="Y326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2" i="1" s="1"/>
  <c r="Y312" i="1"/>
  <c r="BP316" i="1"/>
  <c r="BN316" i="1"/>
  <c r="Z316" i="1"/>
  <c r="Z318" i="1" s="1"/>
  <c r="Y325" i="1"/>
  <c r="BP324" i="1"/>
  <c r="BN324" i="1"/>
  <c r="Z324" i="1"/>
  <c r="Y331" i="1"/>
  <c r="BP328" i="1"/>
  <c r="BN328" i="1"/>
  <c r="Z328" i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M499" i="1"/>
  <c r="Y267" i="1"/>
  <c r="Y295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Z462" i="1" s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68" i="1" l="1"/>
  <c r="Z453" i="1"/>
  <c r="Z411" i="1"/>
  <c r="Z399" i="1"/>
  <c r="Z43" i="1"/>
  <c r="Z171" i="1"/>
  <c r="Z325" i="1"/>
  <c r="Y491" i="1"/>
  <c r="Z57" i="1"/>
  <c r="Y490" i="1"/>
  <c r="Y492" i="1" s="1"/>
  <c r="Z31" i="1"/>
  <c r="Z295" i="1"/>
  <c r="Z274" i="1"/>
  <c r="Z203" i="1"/>
  <c r="Z76" i="1"/>
  <c r="Y493" i="1"/>
  <c r="Z394" i="1"/>
  <c r="Z338" i="1"/>
  <c r="Z234" i="1"/>
  <c r="Z305" i="1"/>
  <c r="Z148" i="1"/>
  <c r="Z438" i="1"/>
  <c r="Z447" i="1"/>
  <c r="Z432" i="1"/>
  <c r="Z350" i="1"/>
  <c r="Z331" i="1"/>
  <c r="Z215" i="1"/>
  <c r="Y489" i="1"/>
  <c r="Z103" i="1"/>
  <c r="Z494" i="1" l="1"/>
</calcChain>
</file>

<file path=xl/sharedStrings.xml><?xml version="1.0" encoding="utf-8"?>
<sst xmlns="http://schemas.openxmlformats.org/spreadsheetml/2006/main" count="2338" uniqueCount="764">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</sst>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1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20" t="s">
        <v>0</v>
      </c>
      <c r="E1" s="572"/>
      <c r="F1" s="572"/>
      <c r="G1" s="12" t="s">
        <v>1</v>
      </c>
      <c r="H1" s="620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1"/>
      <c r="Q3" s="551"/>
      <c r="R3" s="551"/>
      <c r="S3" s="551"/>
      <c r="T3" s="551"/>
      <c r="U3" s="551"/>
      <c r="V3" s="551"/>
      <c r="W3" s="551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30"/>
      <c r="C5" s="631"/>
      <c r="D5" s="621"/>
      <c r="E5" s="622"/>
      <c r="F5" s="826" t="s">
        <v>9</v>
      </c>
      <c r="G5" s="631"/>
      <c r="H5" s="621" t="s">
        <v>763</v>
      </c>
      <c r="I5" s="780"/>
      <c r="J5" s="780"/>
      <c r="K5" s="780"/>
      <c r="L5" s="780"/>
      <c r="M5" s="622"/>
      <c r="N5" s="58"/>
      <c r="P5" s="24" t="s">
        <v>10</v>
      </c>
      <c r="Q5" s="832">
        <v>45988</v>
      </c>
      <c r="R5" s="655"/>
      <c r="T5" s="714" t="s">
        <v>11</v>
      </c>
      <c r="U5" s="715"/>
      <c r="V5" s="71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30"/>
      <c r="C6" s="631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55"/>
      <c r="N6" s="59"/>
      <c r="P6" s="24" t="s">
        <v>15</v>
      </c>
      <c r="Q6" s="838" t="str">
        <f>IF(Q5=0," ",CHOOSE(WEEKDAY(Q5,2),"Понедельник","Вторник","Среда","Четверг","Пятница","Суббота","Воскресенье"))</f>
        <v>Четверг</v>
      </c>
      <c r="R6" s="560"/>
      <c r="T6" s="720" t="s">
        <v>16</v>
      </c>
      <c r="U6" s="715"/>
      <c r="V6" s="737" t="s">
        <v>17</v>
      </c>
      <c r="W6" s="58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1"/>
      <c r="U7" s="715"/>
      <c r="V7" s="738"/>
      <c r="W7" s="739"/>
      <c r="AB7" s="51"/>
      <c r="AC7" s="51"/>
      <c r="AD7" s="51"/>
      <c r="AE7" s="51"/>
    </row>
    <row r="8" spans="1:32" s="535" customFormat="1" ht="25.5" customHeight="1" x14ac:dyDescent="0.2">
      <c r="A8" s="864" t="s">
        <v>18</v>
      </c>
      <c r="B8" s="548"/>
      <c r="C8" s="549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0">
        <v>0.375</v>
      </c>
      <c r="R8" s="607"/>
      <c r="T8" s="551"/>
      <c r="U8" s="715"/>
      <c r="V8" s="738"/>
      <c r="W8" s="739"/>
      <c r="AB8" s="51"/>
      <c r="AC8" s="51"/>
      <c r="AD8" s="51"/>
      <c r="AE8" s="51"/>
    </row>
    <row r="9" spans="1:32" s="535" customFormat="1" ht="39.950000000000003" customHeight="1" x14ac:dyDescent="0.2">
      <c r="A9" s="6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1"/>
      <c r="C9" s="551"/>
      <c r="D9" s="680"/>
      <c r="E9" s="546"/>
      <c r="F9" s="6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1"/>
      <c r="H9" s="545" t="str">
        <f>IF(AND($A$9="Тип доверенности/получателя при получении в адресе перегруза:",$D$9="Разовая доверенность"),"Введите ФИО","")</f>
        <v/>
      </c>
      <c r="I9" s="546"/>
      <c r="J9" s="5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6"/>
      <c r="L9" s="546"/>
      <c r="M9" s="546"/>
      <c r="N9" s="533"/>
      <c r="P9" s="26" t="s">
        <v>21</v>
      </c>
      <c r="Q9" s="652"/>
      <c r="R9" s="653"/>
      <c r="T9" s="551"/>
      <c r="U9" s="715"/>
      <c r="V9" s="740"/>
      <c r="W9" s="74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1"/>
      <c r="C10" s="551"/>
      <c r="D10" s="680"/>
      <c r="E10" s="546"/>
      <c r="F10" s="6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1"/>
      <c r="H10" s="759" t="str">
        <f>IFERROR(VLOOKUP($D$10,Proxy,2,FALSE),"")</f>
        <v/>
      </c>
      <c r="I10" s="551"/>
      <c r="J10" s="551"/>
      <c r="K10" s="551"/>
      <c r="L10" s="551"/>
      <c r="M10" s="551"/>
      <c r="N10" s="534"/>
      <c r="P10" s="26" t="s">
        <v>22</v>
      </c>
      <c r="Q10" s="721"/>
      <c r="R10" s="722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91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8" t="s">
        <v>29</v>
      </c>
      <c r="B12" s="630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1"/>
      <c r="N12" s="62"/>
      <c r="P12" s="24" t="s">
        <v>30</v>
      </c>
      <c r="Q12" s="670"/>
      <c r="R12" s="607"/>
      <c r="S12" s="23"/>
      <c r="U12" s="24"/>
      <c r="V12" s="572"/>
      <c r="W12" s="551"/>
      <c r="AB12" s="51"/>
      <c r="AC12" s="51"/>
      <c r="AD12" s="51"/>
      <c r="AE12" s="51"/>
    </row>
    <row r="13" spans="1:32" s="535" customFormat="1" ht="23.25" customHeight="1" x14ac:dyDescent="0.2">
      <c r="A13" s="698" t="s">
        <v>31</v>
      </c>
      <c r="B13" s="630"/>
      <c r="C13" s="630"/>
      <c r="D13" s="630"/>
      <c r="E13" s="630"/>
      <c r="F13" s="630"/>
      <c r="G13" s="630"/>
      <c r="H13" s="630"/>
      <c r="I13" s="630"/>
      <c r="J13" s="630"/>
      <c r="K13" s="630"/>
      <c r="L13" s="630"/>
      <c r="M13" s="631"/>
      <c r="N13" s="62"/>
      <c r="O13" s="26"/>
      <c r="P13" s="26" t="s">
        <v>32</v>
      </c>
      <c r="Q13" s="791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8" t="s">
        <v>33</v>
      </c>
      <c r="B14" s="630"/>
      <c r="C14" s="630"/>
      <c r="D14" s="630"/>
      <c r="E14" s="630"/>
      <c r="F14" s="630"/>
      <c r="G14" s="630"/>
      <c r="H14" s="630"/>
      <c r="I14" s="630"/>
      <c r="J14" s="630"/>
      <c r="K14" s="630"/>
      <c r="L14" s="630"/>
      <c r="M14" s="63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04" t="s">
        <v>34</v>
      </c>
      <c r="B15" s="630"/>
      <c r="C15" s="630"/>
      <c r="D15" s="630"/>
      <c r="E15" s="630"/>
      <c r="F15" s="630"/>
      <c r="G15" s="630"/>
      <c r="H15" s="630"/>
      <c r="I15" s="630"/>
      <c r="J15" s="630"/>
      <c r="K15" s="630"/>
      <c r="L15" s="630"/>
      <c r="M15" s="631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7" t="s">
        <v>38</v>
      </c>
      <c r="D17" s="581" t="s">
        <v>39</v>
      </c>
      <c r="E17" s="641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0"/>
      <c r="R17" s="640"/>
      <c r="S17" s="640"/>
      <c r="T17" s="641"/>
      <c r="U17" s="859" t="s">
        <v>51</v>
      </c>
      <c r="V17" s="631"/>
      <c r="W17" s="581" t="s">
        <v>52</v>
      </c>
      <c r="X17" s="581" t="s">
        <v>53</v>
      </c>
      <c r="Y17" s="862" t="s">
        <v>54</v>
      </c>
      <c r="Z17" s="768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2"/>
      <c r="E18" s="644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2"/>
      <c r="Q18" s="643"/>
      <c r="R18" s="643"/>
      <c r="S18" s="643"/>
      <c r="T18" s="644"/>
      <c r="U18" s="67" t="s">
        <v>61</v>
      </c>
      <c r="V18" s="67" t="s">
        <v>62</v>
      </c>
      <c r="W18" s="582"/>
      <c r="X18" s="582"/>
      <c r="Y18" s="863"/>
      <c r="Z18" s="769"/>
      <c r="AA18" s="758"/>
      <c r="AB18" s="758"/>
      <c r="AC18" s="758"/>
      <c r="AD18" s="823"/>
      <c r="AE18" s="824"/>
      <c r="AF18" s="825"/>
      <c r="AG18" s="66"/>
      <c r="BD18" s="65"/>
    </row>
    <row r="19" spans="1:68" ht="27.75" hidden="1" customHeight="1" x14ac:dyDescent="0.2">
      <c r="A19" s="635" t="s">
        <v>63</v>
      </c>
      <c r="B19" s="636"/>
      <c r="C19" s="636"/>
      <c r="D19" s="636"/>
      <c r="E19" s="636"/>
      <c r="F19" s="636"/>
      <c r="G19" s="636"/>
      <c r="H19" s="636"/>
      <c r="I19" s="636"/>
      <c r="J19" s="636"/>
      <c r="K19" s="636"/>
      <c r="L19" s="636"/>
      <c r="M19" s="636"/>
      <c r="N19" s="636"/>
      <c r="O19" s="636"/>
      <c r="P19" s="636"/>
      <c r="Q19" s="636"/>
      <c r="R19" s="636"/>
      <c r="S19" s="636"/>
      <c r="T19" s="636"/>
      <c r="U19" s="636"/>
      <c r="V19" s="636"/>
      <c r="W19" s="636"/>
      <c r="X19" s="636"/>
      <c r="Y19" s="636"/>
      <c r="Z19" s="636"/>
      <c r="AA19" s="48"/>
      <c r="AB19" s="48"/>
      <c r="AC19" s="48"/>
    </row>
    <row r="20" spans="1:68" ht="16.5" hidden="1" customHeight="1" x14ac:dyDescent="0.25">
      <c r="A20" s="550" t="s">
        <v>63</v>
      </c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36"/>
      <c r="AB20" s="536"/>
      <c r="AC20" s="536"/>
    </row>
    <row r="21" spans="1:68" ht="14.25" hidden="1" customHeight="1" x14ac:dyDescent="0.25">
      <c r="A21" s="555" t="s">
        <v>64</v>
      </c>
      <c r="B21" s="551"/>
      <c r="C21" s="55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9">
        <v>4680115886643</v>
      </c>
      <c r="E22" s="560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3"/>
      <c r="R22" s="553"/>
      <c r="S22" s="553"/>
      <c r="T22" s="554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6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7"/>
      <c r="P23" s="547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1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7"/>
      <c r="P24" s="547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5" t="s">
        <v>73</v>
      </c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9">
        <v>4680115885912</v>
      </c>
      <c r="E26" s="560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3"/>
      <c r="R26" s="553"/>
      <c r="S26" s="553"/>
      <c r="T26" s="554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59">
        <v>4607091388237</v>
      </c>
      <c r="E27" s="560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3"/>
      <c r="R27" s="553"/>
      <c r="S27" s="553"/>
      <c r="T27" s="554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59">
        <v>4680115887350</v>
      </c>
      <c r="E28" s="560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3"/>
      <c r="R28" s="553"/>
      <c r="S28" s="553"/>
      <c r="T28" s="554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59">
        <v>4680115885905</v>
      </c>
      <c r="E29" s="560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3"/>
      <c r="R29" s="553"/>
      <c r="S29" s="553"/>
      <c r="T29" s="554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59">
        <v>4607091388244</v>
      </c>
      <c r="E30" s="560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3"/>
      <c r="R30" s="553"/>
      <c r="S30" s="553"/>
      <c r="T30" s="554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6"/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7"/>
      <c r="P31" s="547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1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7"/>
      <c r="P32" s="547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5" t="s">
        <v>93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37"/>
      <c r="AB33" s="537"/>
      <c r="AC33" s="53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9">
        <v>4607091388503</v>
      </c>
      <c r="E34" s="560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3"/>
      <c r="R34" s="553"/>
      <c r="S34" s="553"/>
      <c r="T34" s="554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1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7"/>
      <c r="P35" s="547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1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7"/>
      <c r="P36" s="547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5" t="s">
        <v>99</v>
      </c>
      <c r="B37" s="636"/>
      <c r="C37" s="636"/>
      <c r="D37" s="636"/>
      <c r="E37" s="636"/>
      <c r="F37" s="636"/>
      <c r="G37" s="636"/>
      <c r="H37" s="636"/>
      <c r="I37" s="636"/>
      <c r="J37" s="636"/>
      <c r="K37" s="636"/>
      <c r="L37" s="636"/>
      <c r="M37" s="636"/>
      <c r="N37" s="636"/>
      <c r="O37" s="636"/>
      <c r="P37" s="636"/>
      <c r="Q37" s="636"/>
      <c r="R37" s="636"/>
      <c r="S37" s="636"/>
      <c r="T37" s="636"/>
      <c r="U37" s="636"/>
      <c r="V37" s="636"/>
      <c r="W37" s="636"/>
      <c r="X37" s="636"/>
      <c r="Y37" s="636"/>
      <c r="Z37" s="636"/>
      <c r="AA37" s="48"/>
      <c r="AB37" s="48"/>
      <c r="AC37" s="48"/>
    </row>
    <row r="38" spans="1:68" ht="16.5" hidden="1" customHeight="1" x14ac:dyDescent="0.25">
      <c r="A38" s="550" t="s">
        <v>100</v>
      </c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  <c r="AA38" s="536"/>
      <c r="AB38" s="536"/>
      <c r="AC38" s="536"/>
    </row>
    <row r="39" spans="1:68" ht="14.25" hidden="1" customHeight="1" x14ac:dyDescent="0.25">
      <c r="A39" s="555" t="s">
        <v>101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9">
        <v>4607091385670</v>
      </c>
      <c r="E40" s="560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3"/>
      <c r="R40" s="553"/>
      <c r="S40" s="553"/>
      <c r="T40" s="554"/>
      <c r="U40" s="34"/>
      <c r="V40" s="34"/>
      <c r="W40" s="35" t="s">
        <v>69</v>
      </c>
      <c r="X40" s="541">
        <v>900</v>
      </c>
      <c r="Y40" s="542">
        <f>IFERROR(IF(X40="",0,CEILING((X40/$H40),1)*$H40),"")</f>
        <v>907.2</v>
      </c>
      <c r="Z40" s="36">
        <f>IFERROR(IF(Y40=0,"",ROUNDUP(Y40/H40,0)*0.01898),"")</f>
        <v>1.59432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934.16666666666663</v>
      </c>
      <c r="BN40" s="64">
        <f>IFERROR(Y40*I40/H40,"0")</f>
        <v>941.6400000000001</v>
      </c>
      <c r="BO40" s="64">
        <f>IFERROR(1/J40*(X40/H40),"0")</f>
        <v>1.3020833333333333</v>
      </c>
      <c r="BP40" s="64">
        <f>IFERROR(1/J40*(Y40/H40),"0")</f>
        <v>1.3125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59">
        <v>4607091385687</v>
      </c>
      <c r="E41" s="560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3"/>
      <c r="R41" s="553"/>
      <c r="S41" s="553"/>
      <c r="T41" s="554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9">
        <v>4680115882539</v>
      </c>
      <c r="E42" s="560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3"/>
      <c r="R42" s="553"/>
      <c r="S42" s="553"/>
      <c r="T42" s="554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6"/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7"/>
      <c r="P43" s="547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3">
        <f>IFERROR(X40/H40,"0")+IFERROR(X41/H41,"0")+IFERROR(X42/H42,"0")</f>
        <v>83.333333333333329</v>
      </c>
      <c r="Y43" s="543">
        <f>IFERROR(Y40/H40,"0")+IFERROR(Y41/H41,"0")+IFERROR(Y42/H42,"0")</f>
        <v>84</v>
      </c>
      <c r="Z43" s="543">
        <f>IFERROR(IF(Z40="",0,Z40),"0")+IFERROR(IF(Z41="",0,Z41),"0")+IFERROR(IF(Z42="",0,Z42),"0")</f>
        <v>1.59432</v>
      </c>
      <c r="AA43" s="544"/>
      <c r="AB43" s="544"/>
      <c r="AC43" s="544"/>
    </row>
    <row r="44" spans="1:68" x14ac:dyDescent="0.2">
      <c r="A44" s="551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7"/>
      <c r="P44" s="547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3">
        <f>IFERROR(SUM(X40:X42),"0")</f>
        <v>900</v>
      </c>
      <c r="Y44" s="543">
        <f>IFERROR(SUM(Y40:Y42),"0")</f>
        <v>907.2</v>
      </c>
      <c r="Z44" s="37"/>
      <c r="AA44" s="544"/>
      <c r="AB44" s="544"/>
      <c r="AC44" s="544"/>
    </row>
    <row r="45" spans="1:68" ht="14.25" hidden="1" customHeight="1" x14ac:dyDescent="0.25">
      <c r="A45" s="555" t="s">
        <v>73</v>
      </c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37"/>
      <c r="AB45" s="537"/>
      <c r="AC45" s="53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9">
        <v>4680115884915</v>
      </c>
      <c r="E46" s="560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5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3"/>
      <c r="R46" s="553"/>
      <c r="S46" s="553"/>
      <c r="T46" s="554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6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7"/>
      <c r="P47" s="547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7"/>
      <c r="P48" s="547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50" t="s">
        <v>117</v>
      </c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36"/>
      <c r="AB49" s="536"/>
      <c r="AC49" s="536"/>
    </row>
    <row r="50" spans="1:68" ht="14.25" hidden="1" customHeight="1" x14ac:dyDescent="0.25">
      <c r="A50" s="555" t="s">
        <v>101</v>
      </c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37"/>
      <c r="AB50" s="537"/>
      <c r="AC50" s="53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9">
        <v>4680115885882</v>
      </c>
      <c r="E51" s="560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3"/>
      <c r="R51" s="553"/>
      <c r="S51" s="553"/>
      <c r="T51" s="554"/>
      <c r="U51" s="34"/>
      <c r="V51" s="34"/>
      <c r="W51" s="35" t="s">
        <v>69</v>
      </c>
      <c r="X51" s="541">
        <v>50</v>
      </c>
      <c r="Y51" s="542">
        <f t="shared" ref="Y51:Y56" si="0">IFERROR(IF(X51="",0,CEILING((X51/$H51),1)*$H51),"")</f>
        <v>56</v>
      </c>
      <c r="Z51" s="36">
        <f>IFERROR(IF(Y51=0,"",ROUNDUP(Y51/H51,0)*0.01898),"")</f>
        <v>9.4899999999999998E-2</v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51.830357142857146</v>
      </c>
      <c r="BN51" s="64">
        <f t="shared" ref="BN51:BN56" si="2">IFERROR(Y51*I51/H51,"0")</f>
        <v>58.050000000000004</v>
      </c>
      <c r="BO51" s="64">
        <f t="shared" ref="BO51:BO56" si="3">IFERROR(1/J51*(X51/H51),"0")</f>
        <v>6.9754464285714288E-2</v>
      </c>
      <c r="BP51" s="64">
        <f t="shared" ref="BP51:BP56" si="4">IFERROR(1/J51*(Y51/H51),"0")</f>
        <v>7.8125E-2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9">
        <v>4680115881426</v>
      </c>
      <c r="E52" s="560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58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3"/>
      <c r="R52" s="553"/>
      <c r="S52" s="553"/>
      <c r="T52" s="554"/>
      <c r="U52" s="34"/>
      <c r="V52" s="34"/>
      <c r="W52" s="35" t="s">
        <v>69</v>
      </c>
      <c r="X52" s="541">
        <v>600</v>
      </c>
      <c r="Y52" s="542">
        <f t="shared" si="0"/>
        <v>604.80000000000007</v>
      </c>
      <c r="Z52" s="36">
        <f>IFERROR(IF(Y52=0,"",ROUNDUP(Y52/H52,0)*0.01898),"")</f>
        <v>1.06288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622.77777777777783</v>
      </c>
      <c r="BN52" s="64">
        <f t="shared" si="2"/>
        <v>627.76</v>
      </c>
      <c r="BO52" s="64">
        <f t="shared" si="3"/>
        <v>0.86805555555555547</v>
      </c>
      <c r="BP52" s="64">
        <f t="shared" si="4"/>
        <v>0.875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9">
        <v>4680115880283</v>
      </c>
      <c r="E53" s="560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3"/>
      <c r="R53" s="553"/>
      <c r="S53" s="553"/>
      <c r="T53" s="554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59">
        <v>4680115881525</v>
      </c>
      <c r="E54" s="560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3"/>
      <c r="R54" s="553"/>
      <c r="S54" s="553"/>
      <c r="T54" s="554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9">
        <v>4680115885899</v>
      </c>
      <c r="E55" s="560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3"/>
      <c r="R55" s="553"/>
      <c r="S55" s="553"/>
      <c r="T55" s="554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59">
        <v>4680115881419</v>
      </c>
      <c r="E56" s="560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3"/>
      <c r="R56" s="553"/>
      <c r="S56" s="553"/>
      <c r="T56" s="554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6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7"/>
      <c r="P57" s="547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3">
        <f>IFERROR(X51/H51,"0")+IFERROR(X52/H52,"0")+IFERROR(X53/H53,"0")+IFERROR(X54/H54,"0")+IFERROR(X55/H55,"0")+IFERROR(X56/H56,"0")</f>
        <v>60.019841269841265</v>
      </c>
      <c r="Y57" s="543">
        <f>IFERROR(Y51/H51,"0")+IFERROR(Y52/H52,"0")+IFERROR(Y53/H53,"0")+IFERROR(Y54/H54,"0")+IFERROR(Y55/H55,"0")+IFERROR(Y56/H56,"0")</f>
        <v>61</v>
      </c>
      <c r="Z57" s="543">
        <f>IFERROR(IF(Z51="",0,Z51),"0")+IFERROR(IF(Z52="",0,Z52),"0")+IFERROR(IF(Z53="",0,Z53),"0")+IFERROR(IF(Z54="",0,Z54),"0")+IFERROR(IF(Z55="",0,Z55),"0")+IFERROR(IF(Z56="",0,Z56),"0")</f>
        <v>1.15778</v>
      </c>
      <c r="AA57" s="544"/>
      <c r="AB57" s="544"/>
      <c r="AC57" s="544"/>
    </row>
    <row r="58" spans="1:68" x14ac:dyDescent="0.2">
      <c r="A58" s="551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7"/>
      <c r="P58" s="547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3">
        <f>IFERROR(SUM(X51:X56),"0")</f>
        <v>650</v>
      </c>
      <c r="Y58" s="543">
        <f>IFERROR(SUM(Y51:Y56),"0")</f>
        <v>660.80000000000007</v>
      </c>
      <c r="Z58" s="37"/>
      <c r="AA58" s="544"/>
      <c r="AB58" s="544"/>
      <c r="AC58" s="544"/>
    </row>
    <row r="59" spans="1:68" ht="14.25" hidden="1" customHeight="1" x14ac:dyDescent="0.25">
      <c r="A59" s="555" t="s">
        <v>136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37"/>
      <c r="AB59" s="537"/>
      <c r="AC59" s="537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59">
        <v>4680115881440</v>
      </c>
      <c r="E60" s="560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3"/>
      <c r="R60" s="553"/>
      <c r="S60" s="553"/>
      <c r="T60" s="554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9">
        <v>4680115885950</v>
      </c>
      <c r="E61" s="560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3"/>
      <c r="R61" s="553"/>
      <c r="S61" s="553"/>
      <c r="T61" s="554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9">
        <v>4680115881433</v>
      </c>
      <c r="E62" s="560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3"/>
      <c r="R62" s="553"/>
      <c r="S62" s="553"/>
      <c r="T62" s="554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6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7"/>
      <c r="P63" s="547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7"/>
      <c r="P64" s="547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55" t="s">
        <v>64</v>
      </c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37"/>
      <c r="AB65" s="537"/>
      <c r="AC65" s="53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9">
        <v>4680115885073</v>
      </c>
      <c r="E66" s="560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3"/>
      <c r="R66" s="553"/>
      <c r="S66" s="553"/>
      <c r="T66" s="554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59">
        <v>4680115885059</v>
      </c>
      <c r="E67" s="560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3"/>
      <c r="R67" s="553"/>
      <c r="S67" s="553"/>
      <c r="T67" s="554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59">
        <v>4680115885097</v>
      </c>
      <c r="E68" s="560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58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3"/>
      <c r="R68" s="553"/>
      <c r="S68" s="553"/>
      <c r="T68" s="554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6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7"/>
      <c r="P69" s="547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7"/>
      <c r="P70" s="547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5" t="s">
        <v>73</v>
      </c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37"/>
      <c r="AB71" s="537"/>
      <c r="AC71" s="537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59">
        <v>4680115885769</v>
      </c>
      <c r="E72" s="560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3"/>
      <c r="R72" s="553"/>
      <c r="S72" s="553"/>
      <c r="T72" s="554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59">
        <v>4680115884311</v>
      </c>
      <c r="E73" s="560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3"/>
      <c r="R73" s="553"/>
      <c r="S73" s="553"/>
      <c r="T73" s="554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59">
        <v>4680115885929</v>
      </c>
      <c r="E74" s="560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3"/>
      <c r="R74" s="553"/>
      <c r="S74" s="553"/>
      <c r="T74" s="554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59">
        <v>4680115884403</v>
      </c>
      <c r="E75" s="560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3"/>
      <c r="R75" s="553"/>
      <c r="S75" s="553"/>
      <c r="T75" s="554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6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7"/>
      <c r="P76" s="547" t="s">
        <v>71</v>
      </c>
      <c r="Q76" s="548"/>
      <c r="R76" s="548"/>
      <c r="S76" s="548"/>
      <c r="T76" s="548"/>
      <c r="U76" s="548"/>
      <c r="V76" s="54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7"/>
      <c r="P77" s="547" t="s">
        <v>71</v>
      </c>
      <c r="Q77" s="548"/>
      <c r="R77" s="548"/>
      <c r="S77" s="548"/>
      <c r="T77" s="548"/>
      <c r="U77" s="548"/>
      <c r="V77" s="54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5" t="s">
        <v>164</v>
      </c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37"/>
      <c r="AB78" s="537"/>
      <c r="AC78" s="537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59">
        <v>4680115881532</v>
      </c>
      <c r="E79" s="560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3"/>
      <c r="R79" s="553"/>
      <c r="S79" s="553"/>
      <c r="T79" s="554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59">
        <v>4680115881464</v>
      </c>
      <c r="E80" s="560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3"/>
      <c r="R80" s="553"/>
      <c r="S80" s="553"/>
      <c r="T80" s="554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6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7"/>
      <c r="P81" s="547" t="s">
        <v>71</v>
      </c>
      <c r="Q81" s="548"/>
      <c r="R81" s="548"/>
      <c r="S81" s="548"/>
      <c r="T81" s="548"/>
      <c r="U81" s="548"/>
      <c r="V81" s="54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7"/>
      <c r="P82" s="547" t="s">
        <v>71</v>
      </c>
      <c r="Q82" s="548"/>
      <c r="R82" s="548"/>
      <c r="S82" s="548"/>
      <c r="T82" s="548"/>
      <c r="U82" s="548"/>
      <c r="V82" s="54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50" t="s">
        <v>171</v>
      </c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36"/>
      <c r="AB83" s="536"/>
      <c r="AC83" s="536"/>
    </row>
    <row r="84" spans="1:68" ht="14.25" hidden="1" customHeight="1" x14ac:dyDescent="0.25">
      <c r="A84" s="555" t="s">
        <v>101</v>
      </c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9">
        <v>4680115881327</v>
      </c>
      <c r="E85" s="560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3"/>
      <c r="R85" s="553"/>
      <c r="S85" s="553"/>
      <c r="T85" s="554"/>
      <c r="U85" s="34"/>
      <c r="V85" s="34"/>
      <c r="W85" s="35" t="s">
        <v>69</v>
      </c>
      <c r="X85" s="541">
        <v>400</v>
      </c>
      <c r="Y85" s="542">
        <f>IFERROR(IF(X85="",0,CEILING((X85/$H85),1)*$H85),"")</f>
        <v>410.40000000000003</v>
      </c>
      <c r="Z85" s="36">
        <f>IFERROR(IF(Y85=0,"",ROUNDUP(Y85/H85,0)*0.01898),"")</f>
        <v>0.72123999999999999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415.18518518518516</v>
      </c>
      <c r="BN85" s="64">
        <f>IFERROR(Y85*I85/H85,"0")</f>
        <v>425.98</v>
      </c>
      <c r="BO85" s="64">
        <f>IFERROR(1/J85*(X85/H85),"0")</f>
        <v>0.57870370370370372</v>
      </c>
      <c r="BP85" s="64">
        <f>IFERROR(1/J85*(Y85/H85),"0")</f>
        <v>0.59375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9">
        <v>4680115881518</v>
      </c>
      <c r="E86" s="560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3"/>
      <c r="R86" s="553"/>
      <c r="S86" s="553"/>
      <c r="T86" s="554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9">
        <v>4680115881303</v>
      </c>
      <c r="E87" s="560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3"/>
      <c r="R87" s="553"/>
      <c r="S87" s="553"/>
      <c r="T87" s="554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6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7"/>
      <c r="P88" s="547" t="s">
        <v>71</v>
      </c>
      <c r="Q88" s="548"/>
      <c r="R88" s="548"/>
      <c r="S88" s="548"/>
      <c r="T88" s="548"/>
      <c r="U88" s="548"/>
      <c r="V88" s="549"/>
      <c r="W88" s="37" t="s">
        <v>72</v>
      </c>
      <c r="X88" s="543">
        <f>IFERROR(X85/H85,"0")+IFERROR(X86/H86,"0")+IFERROR(X87/H87,"0")</f>
        <v>37.037037037037038</v>
      </c>
      <c r="Y88" s="543">
        <f>IFERROR(Y85/H85,"0")+IFERROR(Y86/H86,"0")+IFERROR(Y87/H87,"0")</f>
        <v>38</v>
      </c>
      <c r="Z88" s="543">
        <f>IFERROR(IF(Z85="",0,Z85),"0")+IFERROR(IF(Z86="",0,Z86),"0")+IFERROR(IF(Z87="",0,Z87),"0")</f>
        <v>0.72123999999999999</v>
      </c>
      <c r="AA88" s="544"/>
      <c r="AB88" s="544"/>
      <c r="AC88" s="544"/>
    </row>
    <row r="89" spans="1:68" x14ac:dyDescent="0.2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7"/>
      <c r="P89" s="547" t="s">
        <v>71</v>
      </c>
      <c r="Q89" s="548"/>
      <c r="R89" s="548"/>
      <c r="S89" s="548"/>
      <c r="T89" s="548"/>
      <c r="U89" s="548"/>
      <c r="V89" s="549"/>
      <c r="W89" s="37" t="s">
        <v>69</v>
      </c>
      <c r="X89" s="543">
        <f>IFERROR(SUM(X85:X87),"0")</f>
        <v>400</v>
      </c>
      <c r="Y89" s="543">
        <f>IFERROR(SUM(Y85:Y87),"0")</f>
        <v>410.40000000000003</v>
      </c>
      <c r="Z89" s="37"/>
      <c r="AA89" s="544"/>
      <c r="AB89" s="544"/>
      <c r="AC89" s="544"/>
    </row>
    <row r="90" spans="1:68" ht="14.25" hidden="1" customHeight="1" x14ac:dyDescent="0.25">
      <c r="A90" s="555" t="s">
        <v>73</v>
      </c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9">
        <v>4607091386967</v>
      </c>
      <c r="E91" s="560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9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3"/>
      <c r="R91" s="553"/>
      <c r="S91" s="553"/>
      <c r="T91" s="554"/>
      <c r="U91" s="34"/>
      <c r="V91" s="34"/>
      <c r="W91" s="35" t="s">
        <v>69</v>
      </c>
      <c r="X91" s="541">
        <v>500</v>
      </c>
      <c r="Y91" s="542">
        <f>IFERROR(IF(X91="",0,CEILING((X91/$H91),1)*$H91),"")</f>
        <v>502.2</v>
      </c>
      <c r="Z91" s="36">
        <f>IFERROR(IF(Y91=0,"",ROUNDUP(Y91/H91,0)*0.01898),"")</f>
        <v>1.17676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530.49382716049388</v>
      </c>
      <c r="BN91" s="64">
        <f>IFERROR(Y91*I91/H91,"0")</f>
        <v>532.82799999999997</v>
      </c>
      <c r="BO91" s="64">
        <f>IFERROR(1/J91*(X91/H91),"0")</f>
        <v>0.96450617283950624</v>
      </c>
      <c r="BP91" s="64">
        <f>IFERROR(1/J91*(Y91/H91),"0")</f>
        <v>0.96875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9">
        <v>4680115884953</v>
      </c>
      <c r="E92" s="560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3"/>
      <c r="R92" s="553"/>
      <c r="S92" s="553"/>
      <c r="T92" s="554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9">
        <v>4607091385731</v>
      </c>
      <c r="E93" s="560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3"/>
      <c r="R93" s="553"/>
      <c r="S93" s="553"/>
      <c r="T93" s="554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9">
        <v>4680115880894</v>
      </c>
      <c r="E94" s="560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3"/>
      <c r="R94" s="553"/>
      <c r="S94" s="553"/>
      <c r="T94" s="554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6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7"/>
      <c r="P95" s="547" t="s">
        <v>71</v>
      </c>
      <c r="Q95" s="548"/>
      <c r="R95" s="548"/>
      <c r="S95" s="548"/>
      <c r="T95" s="548"/>
      <c r="U95" s="548"/>
      <c r="V95" s="549"/>
      <c r="W95" s="37" t="s">
        <v>72</v>
      </c>
      <c r="X95" s="543">
        <f>IFERROR(X91/H91,"0")+IFERROR(X92/H92,"0")+IFERROR(X93/H93,"0")+IFERROR(X94/H94,"0")</f>
        <v>61.728395061728399</v>
      </c>
      <c r="Y95" s="543">
        <f>IFERROR(Y91/H91,"0")+IFERROR(Y92/H92,"0")+IFERROR(Y93/H93,"0")+IFERROR(Y94/H94,"0")</f>
        <v>62</v>
      </c>
      <c r="Z95" s="543">
        <f>IFERROR(IF(Z91="",0,Z91),"0")+IFERROR(IF(Z92="",0,Z92),"0")+IFERROR(IF(Z93="",0,Z93),"0")+IFERROR(IF(Z94="",0,Z94),"0")</f>
        <v>1.17676</v>
      </c>
      <c r="AA95" s="544"/>
      <c r="AB95" s="544"/>
      <c r="AC95" s="544"/>
    </row>
    <row r="96" spans="1:68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7"/>
      <c r="P96" s="547" t="s">
        <v>71</v>
      </c>
      <c r="Q96" s="548"/>
      <c r="R96" s="548"/>
      <c r="S96" s="548"/>
      <c r="T96" s="548"/>
      <c r="U96" s="548"/>
      <c r="V96" s="549"/>
      <c r="W96" s="37" t="s">
        <v>69</v>
      </c>
      <c r="X96" s="543">
        <f>IFERROR(SUM(X91:X94),"0")</f>
        <v>500</v>
      </c>
      <c r="Y96" s="543">
        <f>IFERROR(SUM(Y91:Y94),"0")</f>
        <v>502.2</v>
      </c>
      <c r="Z96" s="37"/>
      <c r="AA96" s="544"/>
      <c r="AB96" s="544"/>
      <c r="AC96" s="544"/>
    </row>
    <row r="97" spans="1:68" ht="16.5" hidden="1" customHeight="1" x14ac:dyDescent="0.25">
      <c r="A97" s="550" t="s">
        <v>190</v>
      </c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36"/>
      <c r="AB97" s="536"/>
      <c r="AC97" s="536"/>
    </row>
    <row r="98" spans="1:68" ht="14.25" hidden="1" customHeight="1" x14ac:dyDescent="0.25">
      <c r="A98" s="555" t="s">
        <v>101</v>
      </c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9">
        <v>4680115882133</v>
      </c>
      <c r="E99" s="560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3"/>
      <c r="R99" s="553"/>
      <c r="S99" s="553"/>
      <c r="T99" s="554"/>
      <c r="U99" s="34"/>
      <c r="V99" s="34"/>
      <c r="W99" s="35" t="s">
        <v>69</v>
      </c>
      <c r="X99" s="541">
        <v>300</v>
      </c>
      <c r="Y99" s="542">
        <f>IFERROR(IF(X99="",0,CEILING((X99/$H99),1)*$H99),"")</f>
        <v>302.40000000000003</v>
      </c>
      <c r="Z99" s="36">
        <f>IFERROR(IF(Y99=0,"",ROUNDUP(Y99/H99,0)*0.01898),"")</f>
        <v>0.53144000000000002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311.38888888888891</v>
      </c>
      <c r="BN99" s="64">
        <f>IFERROR(Y99*I99/H99,"0")</f>
        <v>313.88</v>
      </c>
      <c r="BO99" s="64">
        <f>IFERROR(1/J99*(X99/H99),"0")</f>
        <v>0.43402777777777773</v>
      </c>
      <c r="BP99" s="64">
        <f>IFERROR(1/J99*(Y99/H99),"0")</f>
        <v>0.4375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59">
        <v>4680115880269</v>
      </c>
      <c r="E100" s="560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3"/>
      <c r="R100" s="553"/>
      <c r="S100" s="553"/>
      <c r="T100" s="554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59">
        <v>4680115880429</v>
      </c>
      <c r="E101" s="560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3"/>
      <c r="R101" s="553"/>
      <c r="S101" s="553"/>
      <c r="T101" s="554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9">
        <v>4680115881457</v>
      </c>
      <c r="E102" s="560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6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3"/>
      <c r="R102" s="553"/>
      <c r="S102" s="553"/>
      <c r="T102" s="554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6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7"/>
      <c r="P103" s="547" t="s">
        <v>71</v>
      </c>
      <c r="Q103" s="548"/>
      <c r="R103" s="548"/>
      <c r="S103" s="548"/>
      <c r="T103" s="548"/>
      <c r="U103" s="548"/>
      <c r="V103" s="549"/>
      <c r="W103" s="37" t="s">
        <v>72</v>
      </c>
      <c r="X103" s="543">
        <f>IFERROR(X99/H99,"0")+IFERROR(X100/H100,"0")+IFERROR(X101/H101,"0")+IFERROR(X102/H102,"0")</f>
        <v>27.777777777777775</v>
      </c>
      <c r="Y103" s="543">
        <f>IFERROR(Y99/H99,"0")+IFERROR(Y100/H100,"0")+IFERROR(Y101/H101,"0")+IFERROR(Y102/H102,"0")</f>
        <v>28</v>
      </c>
      <c r="Z103" s="543">
        <f>IFERROR(IF(Z99="",0,Z99),"0")+IFERROR(IF(Z100="",0,Z100),"0")+IFERROR(IF(Z101="",0,Z101),"0")+IFERROR(IF(Z102="",0,Z102),"0")</f>
        <v>0.53144000000000002</v>
      </c>
      <c r="AA103" s="544"/>
      <c r="AB103" s="544"/>
      <c r="AC103" s="544"/>
    </row>
    <row r="104" spans="1:68" x14ac:dyDescent="0.2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7"/>
      <c r="P104" s="547" t="s">
        <v>71</v>
      </c>
      <c r="Q104" s="548"/>
      <c r="R104" s="548"/>
      <c r="S104" s="548"/>
      <c r="T104" s="548"/>
      <c r="U104" s="548"/>
      <c r="V104" s="549"/>
      <c r="W104" s="37" t="s">
        <v>69</v>
      </c>
      <c r="X104" s="543">
        <f>IFERROR(SUM(X99:X102),"0")</f>
        <v>300</v>
      </c>
      <c r="Y104" s="543">
        <f>IFERROR(SUM(Y99:Y102),"0")</f>
        <v>302.40000000000003</v>
      </c>
      <c r="Z104" s="37"/>
      <c r="AA104" s="544"/>
      <c r="AB104" s="544"/>
      <c r="AC104" s="544"/>
    </row>
    <row r="105" spans="1:68" ht="14.25" hidden="1" customHeight="1" x14ac:dyDescent="0.25">
      <c r="A105" s="555" t="s">
        <v>136</v>
      </c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59">
        <v>4680115881488</v>
      </c>
      <c r="E106" s="560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3"/>
      <c r="R106" s="553"/>
      <c r="S106" s="553"/>
      <c r="T106" s="554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59">
        <v>4680115882775</v>
      </c>
      <c r="E107" s="560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3"/>
      <c r="R107" s="553"/>
      <c r="S107" s="553"/>
      <c r="T107" s="554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59">
        <v>4680115880658</v>
      </c>
      <c r="E108" s="560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3"/>
      <c r="R108" s="553"/>
      <c r="S108" s="553"/>
      <c r="T108" s="554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6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7"/>
      <c r="P109" s="547" t="s">
        <v>71</v>
      </c>
      <c r="Q109" s="548"/>
      <c r="R109" s="548"/>
      <c r="S109" s="548"/>
      <c r="T109" s="548"/>
      <c r="U109" s="548"/>
      <c r="V109" s="54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7"/>
      <c r="P110" s="547" t="s">
        <v>71</v>
      </c>
      <c r="Q110" s="548"/>
      <c r="R110" s="548"/>
      <c r="S110" s="548"/>
      <c r="T110" s="548"/>
      <c r="U110" s="548"/>
      <c r="V110" s="54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5" t="s">
        <v>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9">
        <v>4607091385168</v>
      </c>
      <c r="E112" s="560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3"/>
      <c r="R112" s="553"/>
      <c r="S112" s="553"/>
      <c r="T112" s="554"/>
      <c r="U112" s="34"/>
      <c r="V112" s="34"/>
      <c r="W112" s="35" t="s">
        <v>69</v>
      </c>
      <c r="X112" s="541">
        <v>750</v>
      </c>
      <c r="Y112" s="542">
        <f>IFERROR(IF(X112="",0,CEILING((X112/$H112),1)*$H112),"")</f>
        <v>753.3</v>
      </c>
      <c r="Z112" s="36">
        <f>IFERROR(IF(Y112=0,"",ROUNDUP(Y112/H112,0)*0.01898),"")</f>
        <v>1.7651399999999999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795.18518518518511</v>
      </c>
      <c r="BN112" s="64">
        <f>IFERROR(Y112*I112/H112,"0")</f>
        <v>798.68399999999997</v>
      </c>
      <c r="BO112" s="64">
        <f>IFERROR(1/J112*(X112/H112),"0")</f>
        <v>1.4467592592592593</v>
      </c>
      <c r="BP112" s="64">
        <f>IFERROR(1/J112*(Y112/H112),"0")</f>
        <v>1.453125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59">
        <v>4607091383256</v>
      </c>
      <c r="E113" s="560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3"/>
      <c r="R113" s="553"/>
      <c r="S113" s="553"/>
      <c r="T113" s="554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9">
        <v>4607091385748</v>
      </c>
      <c r="E114" s="560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3"/>
      <c r="R114" s="553"/>
      <c r="S114" s="553"/>
      <c r="T114" s="554"/>
      <c r="U114" s="34"/>
      <c r="V114" s="34"/>
      <c r="W114" s="35" t="s">
        <v>69</v>
      </c>
      <c r="X114" s="541">
        <v>112.5</v>
      </c>
      <c r="Y114" s="542">
        <f>IFERROR(IF(X114="",0,CEILING((X114/$H114),1)*$H114),"")</f>
        <v>113.4</v>
      </c>
      <c r="Z114" s="36">
        <f>IFERROR(IF(Y114=0,"",ROUNDUP(Y114/H114,0)*0.00651),"")</f>
        <v>0.27342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123</v>
      </c>
      <c r="BN114" s="64">
        <f>IFERROR(Y114*I114/H114,"0")</f>
        <v>123.98399999999999</v>
      </c>
      <c r="BO114" s="64">
        <f>IFERROR(1/J114*(X114/H114),"0")</f>
        <v>0.22893772893772893</v>
      </c>
      <c r="BP114" s="64">
        <f>IFERROR(1/J114*(Y114/H114),"0")</f>
        <v>0.23076923076923078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59">
        <v>4680115884533</v>
      </c>
      <c r="E115" s="560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3"/>
      <c r="R115" s="553"/>
      <c r="S115" s="553"/>
      <c r="T115" s="554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6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7"/>
      <c r="P116" s="547" t="s">
        <v>71</v>
      </c>
      <c r="Q116" s="548"/>
      <c r="R116" s="548"/>
      <c r="S116" s="548"/>
      <c r="T116" s="548"/>
      <c r="U116" s="548"/>
      <c r="V116" s="549"/>
      <c r="W116" s="37" t="s">
        <v>72</v>
      </c>
      <c r="X116" s="543">
        <f>IFERROR(X112/H112,"0")+IFERROR(X113/H113,"0")+IFERROR(X114/H114,"0")+IFERROR(X115/H115,"0")</f>
        <v>134.25925925925927</v>
      </c>
      <c r="Y116" s="543">
        <f>IFERROR(Y112/H112,"0")+IFERROR(Y113/H113,"0")+IFERROR(Y114/H114,"0")+IFERROR(Y115/H115,"0")</f>
        <v>135</v>
      </c>
      <c r="Z116" s="543">
        <f>IFERROR(IF(Z112="",0,Z112),"0")+IFERROR(IF(Z113="",0,Z113),"0")+IFERROR(IF(Z114="",0,Z114),"0")+IFERROR(IF(Z115="",0,Z115),"0")</f>
        <v>2.0385599999999999</v>
      </c>
      <c r="AA116" s="544"/>
      <c r="AB116" s="544"/>
      <c r="AC116" s="544"/>
    </row>
    <row r="117" spans="1:68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7"/>
      <c r="P117" s="547" t="s">
        <v>71</v>
      </c>
      <c r="Q117" s="548"/>
      <c r="R117" s="548"/>
      <c r="S117" s="548"/>
      <c r="T117" s="548"/>
      <c r="U117" s="548"/>
      <c r="V117" s="549"/>
      <c r="W117" s="37" t="s">
        <v>69</v>
      </c>
      <c r="X117" s="543">
        <f>IFERROR(SUM(X112:X115),"0")</f>
        <v>862.5</v>
      </c>
      <c r="Y117" s="543">
        <f>IFERROR(SUM(Y112:Y115),"0")</f>
        <v>866.69999999999993</v>
      </c>
      <c r="Z117" s="37"/>
      <c r="AA117" s="544"/>
      <c r="AB117" s="544"/>
      <c r="AC117" s="544"/>
    </row>
    <row r="118" spans="1:68" ht="14.25" hidden="1" customHeight="1" x14ac:dyDescent="0.25">
      <c r="A118" s="555" t="s">
        <v>164</v>
      </c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59">
        <v>4680115880238</v>
      </c>
      <c r="E119" s="560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3"/>
      <c r="R119" s="553"/>
      <c r="S119" s="553"/>
      <c r="T119" s="554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6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7"/>
      <c r="P120" s="547" t="s">
        <v>71</v>
      </c>
      <c r="Q120" s="548"/>
      <c r="R120" s="548"/>
      <c r="S120" s="548"/>
      <c r="T120" s="548"/>
      <c r="U120" s="548"/>
      <c r="V120" s="54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7"/>
      <c r="P121" s="547" t="s">
        <v>71</v>
      </c>
      <c r="Q121" s="548"/>
      <c r="R121" s="548"/>
      <c r="S121" s="548"/>
      <c r="T121" s="548"/>
      <c r="U121" s="548"/>
      <c r="V121" s="54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50" t="s">
        <v>220</v>
      </c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36"/>
      <c r="AB122" s="536"/>
      <c r="AC122" s="536"/>
    </row>
    <row r="123" spans="1:68" ht="14.25" hidden="1" customHeight="1" x14ac:dyDescent="0.25">
      <c r="A123" s="555" t="s">
        <v>101</v>
      </c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59">
        <v>4680115882577</v>
      </c>
      <c r="E124" s="560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3"/>
      <c r="R124" s="553"/>
      <c r="S124" s="553"/>
      <c r="T124" s="554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9">
        <v>4680115882577</v>
      </c>
      <c r="E125" s="560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2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3"/>
      <c r="R125" s="553"/>
      <c r="S125" s="553"/>
      <c r="T125" s="554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6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7"/>
      <c r="P126" s="547" t="s">
        <v>71</v>
      </c>
      <c r="Q126" s="548"/>
      <c r="R126" s="548"/>
      <c r="S126" s="548"/>
      <c r="T126" s="548"/>
      <c r="U126" s="548"/>
      <c r="V126" s="54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7"/>
      <c r="P127" s="547" t="s">
        <v>71</v>
      </c>
      <c r="Q127" s="548"/>
      <c r="R127" s="548"/>
      <c r="S127" s="548"/>
      <c r="T127" s="548"/>
      <c r="U127" s="548"/>
      <c r="V127" s="54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55" t="s">
        <v>64</v>
      </c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59">
        <v>4680115883444</v>
      </c>
      <c r="E129" s="560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3"/>
      <c r="R129" s="553"/>
      <c r="S129" s="553"/>
      <c r="T129" s="554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59">
        <v>4680115883444</v>
      </c>
      <c r="E130" s="560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6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7"/>
      <c r="P131" s="547" t="s">
        <v>71</v>
      </c>
      <c r="Q131" s="548"/>
      <c r="R131" s="548"/>
      <c r="S131" s="548"/>
      <c r="T131" s="548"/>
      <c r="U131" s="548"/>
      <c r="V131" s="54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7"/>
      <c r="P132" s="547" t="s">
        <v>71</v>
      </c>
      <c r="Q132" s="548"/>
      <c r="R132" s="548"/>
      <c r="S132" s="548"/>
      <c r="T132" s="548"/>
      <c r="U132" s="548"/>
      <c r="V132" s="54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5" t="s">
        <v>73</v>
      </c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9">
        <v>4680115882584</v>
      </c>
      <c r="E134" s="560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3"/>
      <c r="R134" s="553"/>
      <c r="S134" s="553"/>
      <c r="T134" s="554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59">
        <v>4680115882584</v>
      </c>
      <c r="E135" s="560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3"/>
      <c r="R135" s="553"/>
      <c r="S135" s="553"/>
      <c r="T135" s="554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6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7"/>
      <c r="P136" s="547" t="s">
        <v>71</v>
      </c>
      <c r="Q136" s="548"/>
      <c r="R136" s="548"/>
      <c r="S136" s="548"/>
      <c r="T136" s="548"/>
      <c r="U136" s="548"/>
      <c r="V136" s="54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7"/>
      <c r="P137" s="547" t="s">
        <v>71</v>
      </c>
      <c r="Q137" s="548"/>
      <c r="R137" s="548"/>
      <c r="S137" s="548"/>
      <c r="T137" s="548"/>
      <c r="U137" s="548"/>
      <c r="V137" s="54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50" t="s">
        <v>99</v>
      </c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36"/>
      <c r="AB138" s="536"/>
      <c r="AC138" s="536"/>
    </row>
    <row r="139" spans="1:68" ht="14.25" hidden="1" customHeight="1" x14ac:dyDescent="0.25">
      <c r="A139" s="555" t="s">
        <v>101</v>
      </c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9">
        <v>4680115887374</v>
      </c>
      <c r="E140" s="560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3"/>
      <c r="R140" s="553"/>
      <c r="S140" s="553"/>
      <c r="T140" s="554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59">
        <v>4607091384604</v>
      </c>
      <c r="E141" s="560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3"/>
      <c r="R141" s="553"/>
      <c r="S141" s="553"/>
      <c r="T141" s="554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6"/>
      <c r="B142" s="551"/>
      <c r="C142" s="551"/>
      <c r="D142" s="551"/>
      <c r="E142" s="551"/>
      <c r="F142" s="551"/>
      <c r="G142" s="551"/>
      <c r="H142" s="551"/>
      <c r="I142" s="551"/>
      <c r="J142" s="551"/>
      <c r="K142" s="551"/>
      <c r="L142" s="551"/>
      <c r="M142" s="551"/>
      <c r="N142" s="551"/>
      <c r="O142" s="557"/>
      <c r="P142" s="547" t="s">
        <v>71</v>
      </c>
      <c r="Q142" s="548"/>
      <c r="R142" s="548"/>
      <c r="S142" s="548"/>
      <c r="T142" s="548"/>
      <c r="U142" s="548"/>
      <c r="V142" s="54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1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7"/>
      <c r="P143" s="547" t="s">
        <v>71</v>
      </c>
      <c r="Q143" s="548"/>
      <c r="R143" s="548"/>
      <c r="S143" s="548"/>
      <c r="T143" s="548"/>
      <c r="U143" s="548"/>
      <c r="V143" s="54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55" t="s">
        <v>64</v>
      </c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1"/>
      <c r="P144" s="551"/>
      <c r="Q144" s="551"/>
      <c r="R144" s="551"/>
      <c r="S144" s="551"/>
      <c r="T144" s="551"/>
      <c r="U144" s="551"/>
      <c r="V144" s="551"/>
      <c r="W144" s="551"/>
      <c r="X144" s="551"/>
      <c r="Y144" s="551"/>
      <c r="Z144" s="551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59">
        <v>4607091387667</v>
      </c>
      <c r="E145" s="560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3"/>
      <c r="R145" s="553"/>
      <c r="S145" s="553"/>
      <c r="T145" s="554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59">
        <v>4607091387636</v>
      </c>
      <c r="E146" s="560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59">
        <v>4607091382426</v>
      </c>
      <c r="E147" s="560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6"/>
      <c r="B148" s="551"/>
      <c r="C148" s="551"/>
      <c r="D148" s="551"/>
      <c r="E148" s="551"/>
      <c r="F148" s="551"/>
      <c r="G148" s="551"/>
      <c r="H148" s="551"/>
      <c r="I148" s="551"/>
      <c r="J148" s="551"/>
      <c r="K148" s="551"/>
      <c r="L148" s="551"/>
      <c r="M148" s="551"/>
      <c r="N148" s="551"/>
      <c r="O148" s="557"/>
      <c r="P148" s="547" t="s">
        <v>71</v>
      </c>
      <c r="Q148" s="548"/>
      <c r="R148" s="548"/>
      <c r="S148" s="548"/>
      <c r="T148" s="548"/>
      <c r="U148" s="548"/>
      <c r="V148" s="54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1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7"/>
      <c r="P149" s="547" t="s">
        <v>71</v>
      </c>
      <c r="Q149" s="548"/>
      <c r="R149" s="548"/>
      <c r="S149" s="548"/>
      <c r="T149" s="548"/>
      <c r="U149" s="548"/>
      <c r="V149" s="54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55" t="s">
        <v>73</v>
      </c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1"/>
      <c r="P150" s="551"/>
      <c r="Q150" s="551"/>
      <c r="R150" s="551"/>
      <c r="S150" s="551"/>
      <c r="T150" s="551"/>
      <c r="U150" s="551"/>
      <c r="V150" s="551"/>
      <c r="W150" s="551"/>
      <c r="X150" s="551"/>
      <c r="Y150" s="551"/>
      <c r="Z150" s="551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59">
        <v>4680115887459</v>
      </c>
      <c r="E151" s="560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6" t="s">
        <v>249</v>
      </c>
      <c r="Q151" s="553"/>
      <c r="R151" s="553"/>
      <c r="S151" s="553"/>
      <c r="T151" s="554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6"/>
      <c r="B152" s="551"/>
      <c r="C152" s="551"/>
      <c r="D152" s="551"/>
      <c r="E152" s="551"/>
      <c r="F152" s="551"/>
      <c r="G152" s="551"/>
      <c r="H152" s="551"/>
      <c r="I152" s="551"/>
      <c r="J152" s="551"/>
      <c r="K152" s="551"/>
      <c r="L152" s="551"/>
      <c r="M152" s="551"/>
      <c r="N152" s="551"/>
      <c r="O152" s="557"/>
      <c r="P152" s="547" t="s">
        <v>71</v>
      </c>
      <c r="Q152" s="548"/>
      <c r="R152" s="548"/>
      <c r="S152" s="548"/>
      <c r="T152" s="548"/>
      <c r="U152" s="548"/>
      <c r="V152" s="54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1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7"/>
      <c r="P153" s="547" t="s">
        <v>71</v>
      </c>
      <c r="Q153" s="548"/>
      <c r="R153" s="548"/>
      <c r="S153" s="548"/>
      <c r="T153" s="548"/>
      <c r="U153" s="548"/>
      <c r="V153" s="54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5" t="s">
        <v>251</v>
      </c>
      <c r="B154" s="636"/>
      <c r="C154" s="636"/>
      <c r="D154" s="636"/>
      <c r="E154" s="636"/>
      <c r="F154" s="636"/>
      <c r="G154" s="636"/>
      <c r="H154" s="636"/>
      <c r="I154" s="636"/>
      <c r="J154" s="636"/>
      <c r="K154" s="636"/>
      <c r="L154" s="636"/>
      <c r="M154" s="636"/>
      <c r="N154" s="636"/>
      <c r="O154" s="636"/>
      <c r="P154" s="636"/>
      <c r="Q154" s="636"/>
      <c r="R154" s="636"/>
      <c r="S154" s="636"/>
      <c r="T154" s="636"/>
      <c r="U154" s="636"/>
      <c r="V154" s="636"/>
      <c r="W154" s="636"/>
      <c r="X154" s="636"/>
      <c r="Y154" s="636"/>
      <c r="Z154" s="636"/>
      <c r="AA154" s="48"/>
      <c r="AB154" s="48"/>
      <c r="AC154" s="48"/>
    </row>
    <row r="155" spans="1:68" ht="16.5" hidden="1" customHeight="1" x14ac:dyDescent="0.25">
      <c r="A155" s="550" t="s">
        <v>252</v>
      </c>
      <c r="B155" s="551"/>
      <c r="C155" s="551"/>
      <c r="D155" s="551"/>
      <c r="E155" s="551"/>
      <c r="F155" s="551"/>
      <c r="G155" s="551"/>
      <c r="H155" s="551"/>
      <c r="I155" s="551"/>
      <c r="J155" s="551"/>
      <c r="K155" s="551"/>
      <c r="L155" s="551"/>
      <c r="M155" s="551"/>
      <c r="N155" s="551"/>
      <c r="O155" s="551"/>
      <c r="P155" s="551"/>
      <c r="Q155" s="551"/>
      <c r="R155" s="551"/>
      <c r="S155" s="551"/>
      <c r="T155" s="551"/>
      <c r="U155" s="551"/>
      <c r="V155" s="551"/>
      <c r="W155" s="551"/>
      <c r="X155" s="551"/>
      <c r="Y155" s="551"/>
      <c r="Z155" s="551"/>
      <c r="AA155" s="536"/>
      <c r="AB155" s="536"/>
      <c r="AC155" s="536"/>
    </row>
    <row r="156" spans="1:68" ht="14.25" hidden="1" customHeight="1" x14ac:dyDescent="0.25">
      <c r="A156" s="555" t="s">
        <v>136</v>
      </c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37"/>
      <c r="AB156" s="537"/>
      <c r="AC156" s="537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59">
        <v>4680115886223</v>
      </c>
      <c r="E157" s="560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3"/>
      <c r="R157" s="553"/>
      <c r="S157" s="553"/>
      <c r="T157" s="554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6"/>
      <c r="B158" s="551"/>
      <c r="C158" s="551"/>
      <c r="D158" s="551"/>
      <c r="E158" s="551"/>
      <c r="F158" s="551"/>
      <c r="G158" s="551"/>
      <c r="H158" s="551"/>
      <c r="I158" s="551"/>
      <c r="J158" s="551"/>
      <c r="K158" s="551"/>
      <c r="L158" s="551"/>
      <c r="M158" s="551"/>
      <c r="N158" s="551"/>
      <c r="O158" s="557"/>
      <c r="P158" s="547" t="s">
        <v>71</v>
      </c>
      <c r="Q158" s="548"/>
      <c r="R158" s="548"/>
      <c r="S158" s="548"/>
      <c r="T158" s="548"/>
      <c r="U158" s="548"/>
      <c r="V158" s="54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1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7"/>
      <c r="P159" s="547" t="s">
        <v>71</v>
      </c>
      <c r="Q159" s="548"/>
      <c r="R159" s="548"/>
      <c r="S159" s="548"/>
      <c r="T159" s="548"/>
      <c r="U159" s="548"/>
      <c r="V159" s="54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55" t="s">
        <v>64</v>
      </c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1"/>
      <c r="P160" s="551"/>
      <c r="Q160" s="551"/>
      <c r="R160" s="551"/>
      <c r="S160" s="551"/>
      <c r="T160" s="551"/>
      <c r="U160" s="551"/>
      <c r="V160" s="551"/>
      <c r="W160" s="551"/>
      <c r="X160" s="551"/>
      <c r="Y160" s="551"/>
      <c r="Z160" s="551"/>
      <c r="AA160" s="537"/>
      <c r="AB160" s="537"/>
      <c r="AC160" s="537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59">
        <v>4680115880993</v>
      </c>
      <c r="E161" s="560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3"/>
      <c r="R161" s="553"/>
      <c r="S161" s="553"/>
      <c r="T161" s="554"/>
      <c r="U161" s="34"/>
      <c r="V161" s="34"/>
      <c r="W161" s="35" t="s">
        <v>69</v>
      </c>
      <c r="X161" s="541">
        <v>100</v>
      </c>
      <c r="Y161" s="542">
        <f t="shared" ref="Y161:Y170" si="5">IFERROR(IF(X161="",0,CEILING((X161/$H161),1)*$H161),"")</f>
        <v>100.80000000000001</v>
      </c>
      <c r="Z161" s="36">
        <f>IFERROR(IF(Y161=0,"",ROUNDUP(Y161/H161,0)*0.00902),"")</f>
        <v>0.21648000000000001</v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105.95238095238095</v>
      </c>
      <c r="BN161" s="64">
        <f t="shared" ref="BN161:BN170" si="7">IFERROR(Y161*I161/H161,"0")</f>
        <v>106.80000000000001</v>
      </c>
      <c r="BO161" s="64">
        <f t="shared" ref="BO161:BO170" si="8">IFERROR(1/J161*(X161/H161),"0")</f>
        <v>0.18037518037518038</v>
      </c>
      <c r="BP161" s="64">
        <f t="shared" ref="BP161:BP170" si="9">IFERROR(1/J161*(Y161/H161),"0")</f>
        <v>0.18181818181818182</v>
      </c>
    </row>
    <row r="162" spans="1:68" ht="27" hidden="1" customHeight="1" x14ac:dyDescent="0.25">
      <c r="A162" s="54" t="s">
        <v>259</v>
      </c>
      <c r="B162" s="54" t="s">
        <v>260</v>
      </c>
      <c r="C162" s="31">
        <v>4301031204</v>
      </c>
      <c r="D162" s="559">
        <v>4680115881761</v>
      </c>
      <c r="E162" s="560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3"/>
      <c r="R162" s="553"/>
      <c r="S162" s="553"/>
      <c r="T162" s="554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4301031201</v>
      </c>
      <c r="D163" s="559">
        <v>4680115881563</v>
      </c>
      <c r="E163" s="560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4301031199</v>
      </c>
      <c r="D164" s="559">
        <v>4680115880986</v>
      </c>
      <c r="E164" s="560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3"/>
      <c r="R164" s="553"/>
      <c r="S164" s="553"/>
      <c r="T164" s="554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4301031443</v>
      </c>
      <c r="D165" s="559">
        <v>4680115887213</v>
      </c>
      <c r="E165" s="560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6" t="s">
        <v>270</v>
      </c>
      <c r="Q165" s="553"/>
      <c r="R165" s="553"/>
      <c r="S165" s="553"/>
      <c r="T165" s="554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59">
        <v>4680115881785</v>
      </c>
      <c r="E166" s="560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3"/>
      <c r="R166" s="553"/>
      <c r="S166" s="553"/>
      <c r="T166" s="554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59">
        <v>4680115886537</v>
      </c>
      <c r="E167" s="560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3"/>
      <c r="R167" s="553"/>
      <c r="S167" s="553"/>
      <c r="T167" s="554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59">
        <v>4680115881679</v>
      </c>
      <c r="E168" s="560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3"/>
      <c r="R168" s="553"/>
      <c r="S168" s="553"/>
      <c r="T168" s="554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59">
        <v>4680115880191</v>
      </c>
      <c r="E169" s="560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3"/>
      <c r="R169" s="553"/>
      <c r="S169" s="553"/>
      <c r="T169" s="554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59">
        <v>4680115883963</v>
      </c>
      <c r="E170" s="560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3"/>
      <c r="R170" s="553"/>
      <c r="S170" s="553"/>
      <c r="T170" s="554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6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7"/>
      <c r="P171" s="547" t="s">
        <v>71</v>
      </c>
      <c r="Q171" s="548"/>
      <c r="R171" s="548"/>
      <c r="S171" s="548"/>
      <c r="T171" s="548"/>
      <c r="U171" s="548"/>
      <c r="V171" s="54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23.80952380952381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24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0.21648000000000001</v>
      </c>
      <c r="AA171" s="544"/>
      <c r="AB171" s="544"/>
      <c r="AC171" s="544"/>
    </row>
    <row r="172" spans="1:68" x14ac:dyDescent="0.2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7"/>
      <c r="P172" s="547" t="s">
        <v>71</v>
      </c>
      <c r="Q172" s="548"/>
      <c r="R172" s="548"/>
      <c r="S172" s="548"/>
      <c r="T172" s="548"/>
      <c r="U172" s="548"/>
      <c r="V172" s="549"/>
      <c r="W172" s="37" t="s">
        <v>69</v>
      </c>
      <c r="X172" s="543">
        <f>IFERROR(SUM(X161:X170),"0")</f>
        <v>100</v>
      </c>
      <c r="Y172" s="543">
        <f>IFERROR(SUM(Y161:Y170),"0")</f>
        <v>100.80000000000001</v>
      </c>
      <c r="Z172" s="37"/>
      <c r="AA172" s="544"/>
      <c r="AB172" s="544"/>
      <c r="AC172" s="544"/>
    </row>
    <row r="173" spans="1:68" ht="14.25" hidden="1" customHeight="1" x14ac:dyDescent="0.25">
      <c r="A173" s="555" t="s">
        <v>93</v>
      </c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37"/>
      <c r="AB173" s="537"/>
      <c r="AC173" s="537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59">
        <v>4680115886780</v>
      </c>
      <c r="E174" s="560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3"/>
      <c r="R174" s="553"/>
      <c r="S174" s="553"/>
      <c r="T174" s="554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59">
        <v>4680115886742</v>
      </c>
      <c r="E175" s="560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59">
        <v>4680115886766</v>
      </c>
      <c r="E176" s="560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6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7"/>
      <c r="P177" s="547" t="s">
        <v>71</v>
      </c>
      <c r="Q177" s="548"/>
      <c r="R177" s="548"/>
      <c r="S177" s="548"/>
      <c r="T177" s="548"/>
      <c r="U177" s="548"/>
      <c r="V177" s="54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7"/>
      <c r="P178" s="547" t="s">
        <v>71</v>
      </c>
      <c r="Q178" s="548"/>
      <c r="R178" s="548"/>
      <c r="S178" s="548"/>
      <c r="T178" s="548"/>
      <c r="U178" s="548"/>
      <c r="V178" s="54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5" t="s">
        <v>294</v>
      </c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37"/>
      <c r="AB179" s="537"/>
      <c r="AC179" s="537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59">
        <v>4680115886797</v>
      </c>
      <c r="E180" s="560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3"/>
      <c r="R180" s="553"/>
      <c r="S180" s="553"/>
      <c r="T180" s="554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6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7"/>
      <c r="P181" s="547" t="s">
        <v>71</v>
      </c>
      <c r="Q181" s="548"/>
      <c r="R181" s="548"/>
      <c r="S181" s="548"/>
      <c r="T181" s="548"/>
      <c r="U181" s="548"/>
      <c r="V181" s="54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7"/>
      <c r="P182" s="547" t="s">
        <v>71</v>
      </c>
      <c r="Q182" s="548"/>
      <c r="R182" s="548"/>
      <c r="S182" s="548"/>
      <c r="T182" s="548"/>
      <c r="U182" s="548"/>
      <c r="V182" s="54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50" t="s">
        <v>297</v>
      </c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36"/>
      <c r="AB183" s="536"/>
      <c r="AC183" s="536"/>
    </row>
    <row r="184" spans="1:68" ht="14.25" hidden="1" customHeight="1" x14ac:dyDescent="0.25">
      <c r="A184" s="555" t="s">
        <v>101</v>
      </c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37"/>
      <c r="AB184" s="537"/>
      <c r="AC184" s="537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59">
        <v>4680115881402</v>
      </c>
      <c r="E185" s="560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3"/>
      <c r="R185" s="553"/>
      <c r="S185" s="553"/>
      <c r="T185" s="554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59">
        <v>4680115881396</v>
      </c>
      <c r="E186" s="560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3"/>
      <c r="R186" s="553"/>
      <c r="S186" s="553"/>
      <c r="T186" s="554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6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7"/>
      <c r="P187" s="547" t="s">
        <v>71</v>
      </c>
      <c r="Q187" s="548"/>
      <c r="R187" s="548"/>
      <c r="S187" s="548"/>
      <c r="T187" s="548"/>
      <c r="U187" s="548"/>
      <c r="V187" s="54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7"/>
      <c r="P188" s="547" t="s">
        <v>71</v>
      </c>
      <c r="Q188" s="548"/>
      <c r="R188" s="548"/>
      <c r="S188" s="548"/>
      <c r="T188" s="548"/>
      <c r="U188" s="548"/>
      <c r="V188" s="54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5" t="s">
        <v>136</v>
      </c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37"/>
      <c r="AB189" s="537"/>
      <c r="AC189" s="537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59">
        <v>4680115882935</v>
      </c>
      <c r="E190" s="560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80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3"/>
      <c r="R190" s="553"/>
      <c r="S190" s="553"/>
      <c r="T190" s="554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59">
        <v>4680115880764</v>
      </c>
      <c r="E191" s="560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3"/>
      <c r="R191" s="553"/>
      <c r="S191" s="553"/>
      <c r="T191" s="554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6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7"/>
      <c r="P192" s="547" t="s">
        <v>71</v>
      </c>
      <c r="Q192" s="548"/>
      <c r="R192" s="548"/>
      <c r="S192" s="548"/>
      <c r="T192" s="548"/>
      <c r="U192" s="548"/>
      <c r="V192" s="54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7"/>
      <c r="P193" s="547" t="s">
        <v>71</v>
      </c>
      <c r="Q193" s="548"/>
      <c r="R193" s="548"/>
      <c r="S193" s="548"/>
      <c r="T193" s="548"/>
      <c r="U193" s="548"/>
      <c r="V193" s="54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5" t="s">
        <v>64</v>
      </c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59">
        <v>4680115882683</v>
      </c>
      <c r="E195" s="560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3"/>
      <c r="R195" s="553"/>
      <c r="S195" s="553"/>
      <c r="T195" s="554"/>
      <c r="U195" s="34"/>
      <c r="V195" s="34"/>
      <c r="W195" s="35" t="s">
        <v>69</v>
      </c>
      <c r="X195" s="541">
        <v>100</v>
      </c>
      <c r="Y195" s="542">
        <f t="shared" ref="Y195:Y202" si="10">IFERROR(IF(X195="",0,CEILING((X195/$H195),1)*$H195),"")</f>
        <v>102.60000000000001</v>
      </c>
      <c r="Z195" s="36">
        <f>IFERROR(IF(Y195=0,"",ROUNDUP(Y195/H195,0)*0.00902),"")</f>
        <v>0.17138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103.5185185185185</v>
      </c>
      <c r="BN195" s="64">
        <f t="shared" ref="BN195:BN202" si="12">IFERROR(Y195*I195/H195,"0")</f>
        <v>106.21</v>
      </c>
      <c r="BO195" s="64">
        <f t="shared" ref="BO195:BO202" si="13">IFERROR(1/J195*(X195/H195),"0")</f>
        <v>0.14029180695847362</v>
      </c>
      <c r="BP195" s="64">
        <f t="shared" ref="BP195:BP202" si="14">IFERROR(1/J195*(Y195/H195),"0")</f>
        <v>0.14393939393939395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59">
        <v>4680115882690</v>
      </c>
      <c r="E196" s="560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69</v>
      </c>
      <c r="X196" s="541">
        <v>100</v>
      </c>
      <c r="Y196" s="542">
        <f t="shared" si="10"/>
        <v>102.60000000000001</v>
      </c>
      <c r="Z196" s="36">
        <f>IFERROR(IF(Y196=0,"",ROUNDUP(Y196/H196,0)*0.00902),"")</f>
        <v>0.17138</v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103.5185185185185</v>
      </c>
      <c r="BN196" s="64">
        <f t="shared" si="12"/>
        <v>106.21</v>
      </c>
      <c r="BO196" s="64">
        <f t="shared" si="13"/>
        <v>0.14029180695847362</v>
      </c>
      <c r="BP196" s="64">
        <f t="shared" si="14"/>
        <v>0.14393939393939395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59">
        <v>4680115882669</v>
      </c>
      <c r="E197" s="560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69</v>
      </c>
      <c r="X197" s="541">
        <v>100</v>
      </c>
      <c r="Y197" s="542">
        <f t="shared" si="10"/>
        <v>102.60000000000001</v>
      </c>
      <c r="Z197" s="36">
        <f>IFERROR(IF(Y197=0,"",ROUNDUP(Y197/H197,0)*0.00902),"")</f>
        <v>0.17138</v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103.5185185185185</v>
      </c>
      <c r="BN197" s="64">
        <f t="shared" si="12"/>
        <v>106.21</v>
      </c>
      <c r="BO197" s="64">
        <f t="shared" si="13"/>
        <v>0.14029180695847362</v>
      </c>
      <c r="BP197" s="64">
        <f t="shared" si="14"/>
        <v>0.14393939393939395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59">
        <v>4680115882676</v>
      </c>
      <c r="E198" s="560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69</v>
      </c>
      <c r="X198" s="541">
        <v>250</v>
      </c>
      <c r="Y198" s="542">
        <f t="shared" si="10"/>
        <v>253.8</v>
      </c>
      <c r="Z198" s="36">
        <f>IFERROR(IF(Y198=0,"",ROUNDUP(Y198/H198,0)*0.00902),"")</f>
        <v>0.42393999999999998</v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258.7962962962963</v>
      </c>
      <c r="BN198" s="64">
        <f t="shared" si="12"/>
        <v>262.72999999999996</v>
      </c>
      <c r="BO198" s="64">
        <f t="shared" si="13"/>
        <v>0.35072951739618402</v>
      </c>
      <c r="BP198" s="64">
        <f t="shared" si="14"/>
        <v>0.35606060606060608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59">
        <v>4680115884014</v>
      </c>
      <c r="E199" s="560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3"/>
      <c r="R199" s="553"/>
      <c r="S199" s="553"/>
      <c r="T199" s="554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59">
        <v>4680115884007</v>
      </c>
      <c r="E200" s="560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59">
        <v>4680115884038</v>
      </c>
      <c r="E201" s="560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59">
        <v>4680115884021</v>
      </c>
      <c r="E202" s="560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6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7"/>
      <c r="P203" s="547" t="s">
        <v>71</v>
      </c>
      <c r="Q203" s="548"/>
      <c r="R203" s="548"/>
      <c r="S203" s="548"/>
      <c r="T203" s="548"/>
      <c r="U203" s="548"/>
      <c r="V203" s="54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101.85185185185185</v>
      </c>
      <c r="Y203" s="543">
        <f>IFERROR(Y195/H195,"0")+IFERROR(Y196/H196,"0")+IFERROR(Y197/H197,"0")+IFERROR(Y198/H198,"0")+IFERROR(Y199/H199,"0")+IFERROR(Y200/H200,"0")+IFERROR(Y201/H201,"0")+IFERROR(Y202/H202,"0")</f>
        <v>104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0.93808000000000002</v>
      </c>
      <c r="AA203" s="544"/>
      <c r="AB203" s="544"/>
      <c r="AC203" s="544"/>
    </row>
    <row r="204" spans="1:68" x14ac:dyDescent="0.2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7"/>
      <c r="P204" s="547" t="s">
        <v>71</v>
      </c>
      <c r="Q204" s="548"/>
      <c r="R204" s="548"/>
      <c r="S204" s="548"/>
      <c r="T204" s="548"/>
      <c r="U204" s="548"/>
      <c r="V204" s="549"/>
      <c r="W204" s="37" t="s">
        <v>69</v>
      </c>
      <c r="X204" s="543">
        <f>IFERROR(SUM(X195:X202),"0")</f>
        <v>550</v>
      </c>
      <c r="Y204" s="543">
        <f>IFERROR(SUM(Y195:Y202),"0")</f>
        <v>561.6</v>
      </c>
      <c r="Z204" s="37"/>
      <c r="AA204" s="544"/>
      <c r="AB204" s="544"/>
      <c r="AC204" s="544"/>
    </row>
    <row r="205" spans="1:68" ht="14.25" hidden="1" customHeight="1" x14ac:dyDescent="0.25">
      <c r="A205" s="555" t="s">
        <v>73</v>
      </c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37"/>
      <c r="AB205" s="537"/>
      <c r="AC205" s="537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59">
        <v>4680115881594</v>
      </c>
      <c r="E206" s="560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3"/>
      <c r="R206" s="553"/>
      <c r="S206" s="553"/>
      <c r="T206" s="554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59">
        <v>4680115881617</v>
      </c>
      <c r="E207" s="560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3"/>
      <c r="R207" s="553"/>
      <c r="S207" s="553"/>
      <c r="T207" s="554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59">
        <v>4680115880573</v>
      </c>
      <c r="E208" s="560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3"/>
      <c r="R208" s="553"/>
      <c r="S208" s="553"/>
      <c r="T208" s="554"/>
      <c r="U208" s="34"/>
      <c r="V208" s="34"/>
      <c r="W208" s="35" t="s">
        <v>69</v>
      </c>
      <c r="X208" s="541">
        <v>100</v>
      </c>
      <c r="Y208" s="542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59">
        <v>4680115882195</v>
      </c>
      <c r="E209" s="560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3"/>
      <c r="R209" s="553"/>
      <c r="S209" s="553"/>
      <c r="T209" s="554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59">
        <v>4680115882607</v>
      </c>
      <c r="E210" s="560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3"/>
      <c r="R210" s="553"/>
      <c r="S210" s="553"/>
      <c r="T210" s="554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59">
        <v>4680115880092</v>
      </c>
      <c r="E211" s="560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3"/>
      <c r="R211" s="553"/>
      <c r="S211" s="553"/>
      <c r="T211" s="554"/>
      <c r="U211" s="34"/>
      <c r="V211" s="34"/>
      <c r="W211" s="35" t="s">
        <v>69</v>
      </c>
      <c r="X211" s="541">
        <v>100</v>
      </c>
      <c r="Y211" s="542">
        <f t="shared" si="15"/>
        <v>100.8</v>
      </c>
      <c r="Z211" s="36">
        <f t="shared" si="20"/>
        <v>0.27342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110.5</v>
      </c>
      <c r="BN211" s="64">
        <f t="shared" si="17"/>
        <v>111.384</v>
      </c>
      <c r="BO211" s="64">
        <f t="shared" si="18"/>
        <v>0.22893772893772898</v>
      </c>
      <c r="BP211" s="64">
        <f t="shared" si="19"/>
        <v>0.23076923076923078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4301051668</v>
      </c>
      <c r="D212" s="559">
        <v>4680115880221</v>
      </c>
      <c r="E212" s="560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4301051945</v>
      </c>
      <c r="D213" s="559">
        <v>4680115880504</v>
      </c>
      <c r="E213" s="560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3"/>
      <c r="R213" s="553"/>
      <c r="S213" s="553"/>
      <c r="T213" s="554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4301051410</v>
      </c>
      <c r="D214" s="559">
        <v>4680115882164</v>
      </c>
      <c r="E214" s="560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3"/>
      <c r="R214" s="553"/>
      <c r="S214" s="553"/>
      <c r="T214" s="554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6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7"/>
      <c r="P215" s="547" t="s">
        <v>71</v>
      </c>
      <c r="Q215" s="548"/>
      <c r="R215" s="548"/>
      <c r="S215" s="548"/>
      <c r="T215" s="548"/>
      <c r="U215" s="548"/>
      <c r="V215" s="54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53.160919540229891</v>
      </c>
      <c r="Y215" s="543">
        <f>IFERROR(Y206/H206,"0")+IFERROR(Y207/H207,"0")+IFERROR(Y208/H208,"0")+IFERROR(Y209/H209,"0")+IFERROR(Y210/H210,"0")+IFERROR(Y211/H211,"0")+IFERROR(Y212/H212,"0")+IFERROR(Y213/H213,"0")+IFERROR(Y214/H214,"0")</f>
        <v>54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0.50117999999999996</v>
      </c>
      <c r="AA215" s="544"/>
      <c r="AB215" s="544"/>
      <c r="AC215" s="544"/>
    </row>
    <row r="216" spans="1:68" x14ac:dyDescent="0.2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7"/>
      <c r="P216" s="547" t="s">
        <v>71</v>
      </c>
      <c r="Q216" s="548"/>
      <c r="R216" s="548"/>
      <c r="S216" s="548"/>
      <c r="T216" s="548"/>
      <c r="U216" s="548"/>
      <c r="V216" s="549"/>
      <c r="W216" s="37" t="s">
        <v>69</v>
      </c>
      <c r="X216" s="543">
        <f>IFERROR(SUM(X206:X214),"0")</f>
        <v>200</v>
      </c>
      <c r="Y216" s="543">
        <f>IFERROR(SUM(Y206:Y214),"0")</f>
        <v>205.2</v>
      </c>
      <c r="Z216" s="37"/>
      <c r="AA216" s="544"/>
      <c r="AB216" s="544"/>
      <c r="AC216" s="544"/>
    </row>
    <row r="217" spans="1:68" ht="14.25" hidden="1" customHeight="1" x14ac:dyDescent="0.25">
      <c r="A217" s="555" t="s">
        <v>164</v>
      </c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37"/>
      <c r="AB217" s="537"/>
      <c r="AC217" s="537"/>
    </row>
    <row r="218" spans="1:68" ht="27" hidden="1" customHeight="1" x14ac:dyDescent="0.25">
      <c r="A218" s="54" t="s">
        <v>350</v>
      </c>
      <c r="B218" s="54" t="s">
        <v>351</v>
      </c>
      <c r="C218" s="31">
        <v>4301060463</v>
      </c>
      <c r="D218" s="559">
        <v>4680115880818</v>
      </c>
      <c r="E218" s="560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3"/>
      <c r="R218" s="553"/>
      <c r="S218" s="553"/>
      <c r="T218" s="554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353</v>
      </c>
      <c r="B219" s="54" t="s">
        <v>354</v>
      </c>
      <c r="C219" s="31">
        <v>4301060389</v>
      </c>
      <c r="D219" s="559">
        <v>4680115880801</v>
      </c>
      <c r="E219" s="560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6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7"/>
      <c r="P220" s="547" t="s">
        <v>71</v>
      </c>
      <c r="Q220" s="548"/>
      <c r="R220" s="548"/>
      <c r="S220" s="548"/>
      <c r="T220" s="548"/>
      <c r="U220" s="548"/>
      <c r="V220" s="54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7"/>
      <c r="P221" s="547" t="s">
        <v>71</v>
      </c>
      <c r="Q221" s="548"/>
      <c r="R221" s="548"/>
      <c r="S221" s="548"/>
      <c r="T221" s="548"/>
      <c r="U221" s="548"/>
      <c r="V221" s="54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50" t="s">
        <v>356</v>
      </c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36"/>
      <c r="AB222" s="536"/>
      <c r="AC222" s="536"/>
    </row>
    <row r="223" spans="1:68" ht="14.25" hidden="1" customHeight="1" x14ac:dyDescent="0.25">
      <c r="A223" s="555" t="s">
        <v>101</v>
      </c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37"/>
      <c r="AB223" s="537"/>
      <c r="AC223" s="537"/>
    </row>
    <row r="224" spans="1:68" ht="27" hidden="1" customHeight="1" x14ac:dyDescent="0.25">
      <c r="A224" s="54" t="s">
        <v>357</v>
      </c>
      <c r="B224" s="54" t="s">
        <v>358</v>
      </c>
      <c r="C224" s="31">
        <v>4301011826</v>
      </c>
      <c r="D224" s="559">
        <v>4680115884137</v>
      </c>
      <c r="E224" s="560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3"/>
      <c r="R224" s="553"/>
      <c r="S224" s="553"/>
      <c r="T224" s="554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59">
        <v>4680115884236</v>
      </c>
      <c r="E225" s="560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4301011721</v>
      </c>
      <c r="D226" s="559">
        <v>4680115884175</v>
      </c>
      <c r="E226" s="560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4301011824</v>
      </c>
      <c r="D227" s="559">
        <v>4680115884144</v>
      </c>
      <c r="E227" s="560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3"/>
      <c r="R227" s="553"/>
      <c r="S227" s="553"/>
      <c r="T227" s="554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59">
        <v>4680115884144</v>
      </c>
      <c r="E228" s="560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3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3"/>
      <c r="R228" s="553"/>
      <c r="S228" s="553"/>
      <c r="T228" s="554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59">
        <v>4680115886551</v>
      </c>
      <c r="E229" s="560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0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59">
        <v>4680115884182</v>
      </c>
      <c r="E230" s="560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3"/>
      <c r="R230" s="553"/>
      <c r="S230" s="553"/>
      <c r="T230" s="554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59">
        <v>4680115887282</v>
      </c>
      <c r="E231" s="560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3"/>
      <c r="R231" s="553"/>
      <c r="S231" s="553"/>
      <c r="T231" s="554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4301011722</v>
      </c>
      <c r="D232" s="559">
        <v>4680115884205</v>
      </c>
      <c r="E232" s="560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3"/>
      <c r="R232" s="553"/>
      <c r="S232" s="553"/>
      <c r="T232" s="554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59">
        <v>4680115884205</v>
      </c>
      <c r="E233" s="560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3"/>
      <c r="R233" s="553"/>
      <c r="S233" s="553"/>
      <c r="T233" s="554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6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7"/>
      <c r="P234" s="547" t="s">
        <v>71</v>
      </c>
      <c r="Q234" s="548"/>
      <c r="R234" s="548"/>
      <c r="S234" s="548"/>
      <c r="T234" s="548"/>
      <c r="U234" s="548"/>
      <c r="V234" s="54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7"/>
      <c r="P235" s="547" t="s">
        <v>71</v>
      </c>
      <c r="Q235" s="548"/>
      <c r="R235" s="548"/>
      <c r="S235" s="548"/>
      <c r="T235" s="548"/>
      <c r="U235" s="548"/>
      <c r="V235" s="54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5" t="s">
        <v>136</v>
      </c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37"/>
      <c r="AB236" s="537"/>
      <c r="AC236" s="537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59">
        <v>4680115885981</v>
      </c>
      <c r="E237" s="560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3"/>
      <c r="R237" s="553"/>
      <c r="S237" s="553"/>
      <c r="T237" s="554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6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7"/>
      <c r="P238" s="547" t="s">
        <v>71</v>
      </c>
      <c r="Q238" s="548"/>
      <c r="R238" s="548"/>
      <c r="S238" s="548"/>
      <c r="T238" s="548"/>
      <c r="U238" s="548"/>
      <c r="V238" s="54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7"/>
      <c r="P239" s="547" t="s">
        <v>71</v>
      </c>
      <c r="Q239" s="548"/>
      <c r="R239" s="548"/>
      <c r="S239" s="548"/>
      <c r="T239" s="548"/>
      <c r="U239" s="548"/>
      <c r="V239" s="54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5" t="s">
        <v>382</v>
      </c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37"/>
      <c r="AB240" s="537"/>
      <c r="AC240" s="537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59">
        <v>4680115886803</v>
      </c>
      <c r="E241" s="560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3"/>
      <c r="R241" s="553"/>
      <c r="S241" s="553"/>
      <c r="T241" s="554"/>
      <c r="U241" s="34"/>
      <c r="V241" s="34"/>
      <c r="W241" s="35" t="s">
        <v>69</v>
      </c>
      <c r="X241" s="541">
        <v>30</v>
      </c>
      <c r="Y241" s="542">
        <f>IFERROR(IF(X241="",0,CEILING((X241/$H241),1)*$H241),"")</f>
        <v>30.6</v>
      </c>
      <c r="Z241" s="36">
        <f>IFERROR(IF(Y241=0,"",ROUNDUP(Y241/H241,0)*0.0059),"")</f>
        <v>0.1003</v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32.916666666666664</v>
      </c>
      <c r="BN241" s="64">
        <f>IFERROR(Y241*I241/H241,"0")</f>
        <v>33.575000000000003</v>
      </c>
      <c r="BO241" s="64">
        <f>IFERROR(1/J241*(X241/H241),"0")</f>
        <v>7.716049382716049E-2</v>
      </c>
      <c r="BP241" s="64">
        <f>IFERROR(1/J241*(Y241/H241),"0")</f>
        <v>7.8703703703703692E-2</v>
      </c>
    </row>
    <row r="242" spans="1:68" x14ac:dyDescent="0.2">
      <c r="A242" s="556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7"/>
      <c r="P242" s="547" t="s">
        <v>71</v>
      </c>
      <c r="Q242" s="548"/>
      <c r="R242" s="548"/>
      <c r="S242" s="548"/>
      <c r="T242" s="548"/>
      <c r="U242" s="548"/>
      <c r="V242" s="549"/>
      <c r="W242" s="37" t="s">
        <v>72</v>
      </c>
      <c r="X242" s="543">
        <f>IFERROR(X241/H241,"0")</f>
        <v>16.666666666666668</v>
      </c>
      <c r="Y242" s="543">
        <f>IFERROR(Y241/H241,"0")</f>
        <v>17</v>
      </c>
      <c r="Z242" s="543">
        <f>IFERROR(IF(Z241="",0,Z241),"0")</f>
        <v>0.1003</v>
      </c>
      <c r="AA242" s="544"/>
      <c r="AB242" s="544"/>
      <c r="AC242" s="544"/>
    </row>
    <row r="243" spans="1:68" x14ac:dyDescent="0.2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7"/>
      <c r="P243" s="547" t="s">
        <v>71</v>
      </c>
      <c r="Q243" s="548"/>
      <c r="R243" s="548"/>
      <c r="S243" s="548"/>
      <c r="T243" s="548"/>
      <c r="U243" s="548"/>
      <c r="V243" s="549"/>
      <c r="W243" s="37" t="s">
        <v>69</v>
      </c>
      <c r="X243" s="543">
        <f>IFERROR(SUM(X241:X241),"0")</f>
        <v>30</v>
      </c>
      <c r="Y243" s="543">
        <f>IFERROR(SUM(Y241:Y241),"0")</f>
        <v>30.6</v>
      </c>
      <c r="Z243" s="37"/>
      <c r="AA243" s="544"/>
      <c r="AB243" s="544"/>
      <c r="AC243" s="544"/>
    </row>
    <row r="244" spans="1:68" ht="14.25" hidden="1" customHeight="1" x14ac:dyDescent="0.25">
      <c r="A244" s="555" t="s">
        <v>386</v>
      </c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37"/>
      <c r="AB244" s="537"/>
      <c r="AC244" s="537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59">
        <v>4680115886704</v>
      </c>
      <c r="E245" s="560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3"/>
      <c r="R245" s="553"/>
      <c r="S245" s="553"/>
      <c r="T245" s="554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4301041008</v>
      </c>
      <c r="D246" s="559">
        <v>4680115886681</v>
      </c>
      <c r="E246" s="560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3"/>
      <c r="R246" s="553"/>
      <c r="S246" s="553"/>
      <c r="T246" s="554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4301041007</v>
      </c>
      <c r="D247" s="559">
        <v>4680115886735</v>
      </c>
      <c r="E247" s="560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3"/>
      <c r="R247" s="553"/>
      <c r="S247" s="553"/>
      <c r="T247" s="554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59">
        <v>4680115886728</v>
      </c>
      <c r="E248" s="560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3"/>
      <c r="R248" s="553"/>
      <c r="S248" s="553"/>
      <c r="T248" s="554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59">
        <v>4680115886711</v>
      </c>
      <c r="E249" s="560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69</v>
      </c>
      <c r="X249" s="541">
        <v>11</v>
      </c>
      <c r="Y249" s="542">
        <f>IFERROR(IF(X249="",0,CEILING((X249/$H249),1)*$H249),"")</f>
        <v>11.879999999999999</v>
      </c>
      <c r="Z249" s="36">
        <f>IFERROR(IF(Y249=0,"",ROUNDUP(Y249/H249,0)*0.0059),"")</f>
        <v>7.0800000000000002E-2</v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13.111111111111111</v>
      </c>
      <c r="BN249" s="64">
        <f>IFERROR(Y249*I249/H249,"0")</f>
        <v>14.159999999999998</v>
      </c>
      <c r="BO249" s="64">
        <f>IFERROR(1/J249*(X249/H249),"0")</f>
        <v>5.1440329218106991E-2</v>
      </c>
      <c r="BP249" s="64">
        <f>IFERROR(1/J249*(Y249/H249),"0")</f>
        <v>5.5555555555555546E-2</v>
      </c>
    </row>
    <row r="250" spans="1:68" x14ac:dyDescent="0.2">
      <c r="A250" s="556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7"/>
      <c r="P250" s="547" t="s">
        <v>71</v>
      </c>
      <c r="Q250" s="548"/>
      <c r="R250" s="548"/>
      <c r="S250" s="548"/>
      <c r="T250" s="548"/>
      <c r="U250" s="548"/>
      <c r="V250" s="549"/>
      <c r="W250" s="37" t="s">
        <v>72</v>
      </c>
      <c r="X250" s="543">
        <f>IFERROR(X245/H245,"0")+IFERROR(X246/H246,"0")+IFERROR(X247/H247,"0")+IFERROR(X248/H248,"0")+IFERROR(X249/H249,"0")</f>
        <v>11.111111111111111</v>
      </c>
      <c r="Y250" s="543">
        <f>IFERROR(Y245/H245,"0")+IFERROR(Y246/H246,"0")+IFERROR(Y247/H247,"0")+IFERROR(Y248/H248,"0")+IFERROR(Y249/H249,"0")</f>
        <v>11.999999999999998</v>
      </c>
      <c r="Z250" s="543">
        <f>IFERROR(IF(Z245="",0,Z245),"0")+IFERROR(IF(Z246="",0,Z246),"0")+IFERROR(IF(Z247="",0,Z247),"0")+IFERROR(IF(Z248="",0,Z248),"0")+IFERROR(IF(Z249="",0,Z249),"0")</f>
        <v>7.0800000000000002E-2</v>
      </c>
      <c r="AA250" s="544"/>
      <c r="AB250" s="544"/>
      <c r="AC250" s="544"/>
    </row>
    <row r="251" spans="1:68" x14ac:dyDescent="0.2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7"/>
      <c r="P251" s="547" t="s">
        <v>71</v>
      </c>
      <c r="Q251" s="548"/>
      <c r="R251" s="548"/>
      <c r="S251" s="548"/>
      <c r="T251" s="548"/>
      <c r="U251" s="548"/>
      <c r="V251" s="549"/>
      <c r="W251" s="37" t="s">
        <v>69</v>
      </c>
      <c r="X251" s="543">
        <f>IFERROR(SUM(X245:X249),"0")</f>
        <v>11</v>
      </c>
      <c r="Y251" s="543">
        <f>IFERROR(SUM(Y245:Y249),"0")</f>
        <v>11.879999999999999</v>
      </c>
      <c r="Z251" s="37"/>
      <c r="AA251" s="544"/>
      <c r="AB251" s="544"/>
      <c r="AC251" s="544"/>
    </row>
    <row r="252" spans="1:68" ht="16.5" hidden="1" customHeight="1" x14ac:dyDescent="0.25">
      <c r="A252" s="550" t="s">
        <v>398</v>
      </c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36"/>
      <c r="AB252" s="536"/>
      <c r="AC252" s="536"/>
    </row>
    <row r="253" spans="1:68" ht="14.25" hidden="1" customHeight="1" x14ac:dyDescent="0.25">
      <c r="A253" s="555" t="s">
        <v>101</v>
      </c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37"/>
      <c r="AB253" s="537"/>
      <c r="AC253" s="537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59">
        <v>4680115885837</v>
      </c>
      <c r="E254" s="560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3"/>
      <c r="R254" s="553"/>
      <c r="S254" s="553"/>
      <c r="T254" s="554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59">
        <v>4680115885851</v>
      </c>
      <c r="E255" s="560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405</v>
      </c>
      <c r="B256" s="54" t="s">
        <v>406</v>
      </c>
      <c r="C256" s="31">
        <v>4301011850</v>
      </c>
      <c r="D256" s="559">
        <v>4680115885806</v>
      </c>
      <c r="E256" s="560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59">
        <v>4680115885844</v>
      </c>
      <c r="E257" s="560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3"/>
      <c r="R257" s="553"/>
      <c r="S257" s="553"/>
      <c r="T257" s="554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411</v>
      </c>
      <c r="B258" s="54" t="s">
        <v>412</v>
      </c>
      <c r="C258" s="31">
        <v>4301011851</v>
      </c>
      <c r="D258" s="559">
        <v>4680115885820</v>
      </c>
      <c r="E258" s="560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6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7"/>
      <c r="P259" s="547" t="s">
        <v>71</v>
      </c>
      <c r="Q259" s="548"/>
      <c r="R259" s="548"/>
      <c r="S259" s="548"/>
      <c r="T259" s="548"/>
      <c r="U259" s="548"/>
      <c r="V259" s="54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7"/>
      <c r="P260" s="547" t="s">
        <v>71</v>
      </c>
      <c r="Q260" s="548"/>
      <c r="R260" s="548"/>
      <c r="S260" s="548"/>
      <c r="T260" s="548"/>
      <c r="U260" s="548"/>
      <c r="V260" s="54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50" t="s">
        <v>414</v>
      </c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36"/>
      <c r="AB261" s="536"/>
      <c r="AC261" s="536"/>
    </row>
    <row r="262" spans="1:68" ht="14.25" hidden="1" customHeight="1" x14ac:dyDescent="0.25">
      <c r="A262" s="555" t="s">
        <v>101</v>
      </c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37"/>
      <c r="AB262" s="537"/>
      <c r="AC262" s="537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59">
        <v>4607091383423</v>
      </c>
      <c r="E263" s="560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3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3"/>
      <c r="R263" s="553"/>
      <c r="S263" s="553"/>
      <c r="T263" s="554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59">
        <v>4680115886957</v>
      </c>
      <c r="E264" s="560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3"/>
      <c r="R264" s="553"/>
      <c r="S264" s="553"/>
      <c r="T264" s="554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59">
        <v>4680115885660</v>
      </c>
      <c r="E265" s="560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1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59">
        <v>4680115886773</v>
      </c>
      <c r="E266" s="560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3"/>
      <c r="R266" s="553"/>
      <c r="S266" s="553"/>
      <c r="T266" s="554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6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7"/>
      <c r="P267" s="547" t="s">
        <v>71</v>
      </c>
      <c r="Q267" s="548"/>
      <c r="R267" s="548"/>
      <c r="S267" s="548"/>
      <c r="T267" s="548"/>
      <c r="U267" s="548"/>
      <c r="V267" s="54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7"/>
      <c r="P268" s="547" t="s">
        <v>71</v>
      </c>
      <c r="Q268" s="548"/>
      <c r="R268" s="548"/>
      <c r="S268" s="548"/>
      <c r="T268" s="548"/>
      <c r="U268" s="548"/>
      <c r="V268" s="54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50" t="s">
        <v>425</v>
      </c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36"/>
      <c r="AB269" s="536"/>
      <c r="AC269" s="536"/>
    </row>
    <row r="270" spans="1:68" ht="14.25" hidden="1" customHeight="1" x14ac:dyDescent="0.25">
      <c r="A270" s="555" t="s">
        <v>73</v>
      </c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37"/>
      <c r="AB270" s="537"/>
      <c r="AC270" s="537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59">
        <v>4680115886186</v>
      </c>
      <c r="E271" s="560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3"/>
      <c r="R271" s="553"/>
      <c r="S271" s="553"/>
      <c r="T271" s="554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429</v>
      </c>
      <c r="B272" s="54" t="s">
        <v>430</v>
      </c>
      <c r="C272" s="31">
        <v>4301051795</v>
      </c>
      <c r="D272" s="559">
        <v>4680115881228</v>
      </c>
      <c r="E272" s="560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3"/>
      <c r="R272" s="553"/>
      <c r="S272" s="553"/>
      <c r="T272" s="554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4301051388</v>
      </c>
      <c r="D273" s="559">
        <v>4680115881211</v>
      </c>
      <c r="E273" s="560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59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3"/>
      <c r="R273" s="553"/>
      <c r="S273" s="553"/>
      <c r="T273" s="554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6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7"/>
      <c r="P274" s="547" t="s">
        <v>71</v>
      </c>
      <c r="Q274" s="548"/>
      <c r="R274" s="548"/>
      <c r="S274" s="548"/>
      <c r="T274" s="548"/>
      <c r="U274" s="548"/>
      <c r="V274" s="54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7"/>
      <c r="P275" s="547" t="s">
        <v>71</v>
      </c>
      <c r="Q275" s="548"/>
      <c r="R275" s="548"/>
      <c r="S275" s="548"/>
      <c r="T275" s="548"/>
      <c r="U275" s="548"/>
      <c r="V275" s="54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50" t="s">
        <v>434</v>
      </c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36"/>
      <c r="AB276" s="536"/>
      <c r="AC276" s="536"/>
    </row>
    <row r="277" spans="1:68" ht="14.25" hidden="1" customHeight="1" x14ac:dyDescent="0.25">
      <c r="A277" s="555" t="s">
        <v>64</v>
      </c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37"/>
      <c r="AB277" s="537"/>
      <c r="AC277" s="537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59">
        <v>4680115880344</v>
      </c>
      <c r="E278" s="560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3"/>
      <c r="R278" s="553"/>
      <c r="S278" s="553"/>
      <c r="T278" s="554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59">
        <v>4680115886919</v>
      </c>
      <c r="E279" s="560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3"/>
      <c r="R279" s="553"/>
      <c r="S279" s="553"/>
      <c r="T279" s="554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6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7"/>
      <c r="P280" s="547" t="s">
        <v>71</v>
      </c>
      <c r="Q280" s="548"/>
      <c r="R280" s="548"/>
      <c r="S280" s="548"/>
      <c r="T280" s="548"/>
      <c r="U280" s="548"/>
      <c r="V280" s="54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7"/>
      <c r="P281" s="547" t="s">
        <v>71</v>
      </c>
      <c r="Q281" s="548"/>
      <c r="R281" s="548"/>
      <c r="S281" s="548"/>
      <c r="T281" s="548"/>
      <c r="U281" s="548"/>
      <c r="V281" s="54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5" t="s">
        <v>73</v>
      </c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37"/>
      <c r="AB282" s="537"/>
      <c r="AC282" s="537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59">
        <v>4680115884618</v>
      </c>
      <c r="E283" s="560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3"/>
      <c r="R283" s="553"/>
      <c r="S283" s="553"/>
      <c r="T283" s="554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59">
        <v>4680115887114</v>
      </c>
      <c r="E284" s="560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8" t="s">
        <v>446</v>
      </c>
      <c r="Q284" s="553"/>
      <c r="R284" s="553"/>
      <c r="S284" s="553"/>
      <c r="T284" s="554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6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7"/>
      <c r="P285" s="547" t="s">
        <v>71</v>
      </c>
      <c r="Q285" s="548"/>
      <c r="R285" s="548"/>
      <c r="S285" s="548"/>
      <c r="T285" s="548"/>
      <c r="U285" s="548"/>
      <c r="V285" s="54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1"/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7"/>
      <c r="P286" s="547" t="s">
        <v>71</v>
      </c>
      <c r="Q286" s="548"/>
      <c r="R286" s="548"/>
      <c r="S286" s="548"/>
      <c r="T286" s="548"/>
      <c r="U286" s="548"/>
      <c r="V286" s="54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50" t="s">
        <v>448</v>
      </c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36"/>
      <c r="AB287" s="536"/>
      <c r="AC287" s="536"/>
    </row>
    <row r="288" spans="1:68" ht="14.25" hidden="1" customHeight="1" x14ac:dyDescent="0.25">
      <c r="A288" s="555" t="s">
        <v>101</v>
      </c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1"/>
      <c r="M288" s="551"/>
      <c r="N288" s="551"/>
      <c r="O288" s="551"/>
      <c r="P288" s="551"/>
      <c r="Q288" s="551"/>
      <c r="R288" s="551"/>
      <c r="S288" s="551"/>
      <c r="T288" s="551"/>
      <c r="U288" s="551"/>
      <c r="V288" s="551"/>
      <c r="W288" s="551"/>
      <c r="X288" s="551"/>
      <c r="Y288" s="551"/>
      <c r="Z288" s="551"/>
      <c r="AA288" s="537"/>
      <c r="AB288" s="537"/>
      <c r="AC288" s="537"/>
    </row>
    <row r="289" spans="1:68" ht="27" hidden="1" customHeight="1" x14ac:dyDescent="0.25">
      <c r="A289" s="54" t="s">
        <v>449</v>
      </c>
      <c r="B289" s="54" t="s">
        <v>450</v>
      </c>
      <c r="C289" s="31">
        <v>4301012126</v>
      </c>
      <c r="D289" s="559">
        <v>4607091386004</v>
      </c>
      <c r="E289" s="560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3"/>
      <c r="R289" s="553"/>
      <c r="S289" s="553"/>
      <c r="T289" s="554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4301012024</v>
      </c>
      <c r="D290" s="559">
        <v>4680115885615</v>
      </c>
      <c r="E290" s="560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455</v>
      </c>
      <c r="B291" s="54" t="s">
        <v>456</v>
      </c>
      <c r="C291" s="31">
        <v>4301011858</v>
      </c>
      <c r="D291" s="559">
        <v>4680115885646</v>
      </c>
      <c r="E291" s="560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3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4301012016</v>
      </c>
      <c r="D292" s="559">
        <v>4680115885554</v>
      </c>
      <c r="E292" s="560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6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461</v>
      </c>
      <c r="B293" s="54" t="s">
        <v>462</v>
      </c>
      <c r="C293" s="31">
        <v>4301011857</v>
      </c>
      <c r="D293" s="559">
        <v>4680115885622</v>
      </c>
      <c r="E293" s="560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463</v>
      </c>
      <c r="B294" s="54" t="s">
        <v>464</v>
      </c>
      <c r="C294" s="31">
        <v>4301011859</v>
      </c>
      <c r="D294" s="559">
        <v>4680115885608</v>
      </c>
      <c r="E294" s="560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idden="1" x14ac:dyDescent="0.2">
      <c r="A295" s="556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7"/>
      <c r="P295" s="547" t="s">
        <v>71</v>
      </c>
      <c r="Q295" s="548"/>
      <c r="R295" s="548"/>
      <c r="S295" s="548"/>
      <c r="T295" s="548"/>
      <c r="U295" s="548"/>
      <c r="V295" s="549"/>
      <c r="W295" s="37" t="s">
        <v>72</v>
      </c>
      <c r="X295" s="543">
        <f>IFERROR(X289/H289,"0")+IFERROR(X290/H290,"0")+IFERROR(X291/H291,"0")+IFERROR(X292/H292,"0")+IFERROR(X293/H293,"0")+IFERROR(X294/H294,"0")</f>
        <v>0</v>
      </c>
      <c r="Y295" s="543">
        <f>IFERROR(Y289/H289,"0")+IFERROR(Y290/H290,"0")+IFERROR(Y291/H291,"0")+IFERROR(Y292/H292,"0")+IFERROR(Y293/H293,"0")+IFERROR(Y294/H294,"0")</f>
        <v>0</v>
      </c>
      <c r="Z295" s="543">
        <f>IFERROR(IF(Z289="",0,Z289),"0")+IFERROR(IF(Z290="",0,Z290),"0")+IFERROR(IF(Z291="",0,Z291),"0")+IFERROR(IF(Z292="",0,Z292),"0")+IFERROR(IF(Z293="",0,Z293),"0")+IFERROR(IF(Z294="",0,Z294),"0")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1"/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7"/>
      <c r="P296" s="547" t="s">
        <v>71</v>
      </c>
      <c r="Q296" s="548"/>
      <c r="R296" s="548"/>
      <c r="S296" s="548"/>
      <c r="T296" s="548"/>
      <c r="U296" s="548"/>
      <c r="V296" s="549"/>
      <c r="W296" s="37" t="s">
        <v>69</v>
      </c>
      <c r="X296" s="543">
        <f>IFERROR(SUM(X289:X294),"0")</f>
        <v>0</v>
      </c>
      <c r="Y296" s="543">
        <f>IFERROR(SUM(Y289:Y294),"0")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55" t="s">
        <v>64</v>
      </c>
      <c r="B297" s="551"/>
      <c r="C297" s="551"/>
      <c r="D297" s="551"/>
      <c r="E297" s="551"/>
      <c r="F297" s="551"/>
      <c r="G297" s="551"/>
      <c r="H297" s="551"/>
      <c r="I297" s="551"/>
      <c r="J297" s="551"/>
      <c r="K297" s="551"/>
      <c r="L297" s="551"/>
      <c r="M297" s="551"/>
      <c r="N297" s="551"/>
      <c r="O297" s="551"/>
      <c r="P297" s="551"/>
      <c r="Q297" s="551"/>
      <c r="R297" s="551"/>
      <c r="S297" s="551"/>
      <c r="T297" s="551"/>
      <c r="U297" s="551"/>
      <c r="V297" s="551"/>
      <c r="W297" s="551"/>
      <c r="X297" s="551"/>
      <c r="Y297" s="551"/>
      <c r="Z297" s="551"/>
      <c r="AA297" s="537"/>
      <c r="AB297" s="537"/>
      <c r="AC297" s="537"/>
    </row>
    <row r="298" spans="1:68" ht="27" hidden="1" customHeight="1" x14ac:dyDescent="0.25">
      <c r="A298" s="54" t="s">
        <v>466</v>
      </c>
      <c r="B298" s="54" t="s">
        <v>467</v>
      </c>
      <c r="C298" s="31">
        <v>4301030878</v>
      </c>
      <c r="D298" s="559">
        <v>4607091387193</v>
      </c>
      <c r="E298" s="560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69</v>
      </c>
      <c r="X298" s="541">
        <v>0</v>
      </c>
      <c r="Y298" s="542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59">
        <v>4607091387230</v>
      </c>
      <c r="E299" s="560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69</v>
      </c>
      <c r="X299" s="541">
        <v>100</v>
      </c>
      <c r="Y299" s="542">
        <f t="shared" si="31"/>
        <v>100.80000000000001</v>
      </c>
      <c r="Z299" s="36">
        <f>IFERROR(IF(Y299=0,"",ROUNDUP(Y299/H299,0)*0.00902),"")</f>
        <v>0.21648000000000001</v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105.95238095238095</v>
      </c>
      <c r="BN299" s="64">
        <f t="shared" si="33"/>
        <v>106.80000000000001</v>
      </c>
      <c r="BO299" s="64">
        <f t="shared" si="34"/>
        <v>0.18037518037518038</v>
      </c>
      <c r="BP299" s="64">
        <f t="shared" si="35"/>
        <v>0.18181818181818182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4301031154</v>
      </c>
      <c r="D300" s="559">
        <v>4607091387292</v>
      </c>
      <c r="E300" s="560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475</v>
      </c>
      <c r="B301" s="54" t="s">
        <v>476</v>
      </c>
      <c r="C301" s="31">
        <v>4301031152</v>
      </c>
      <c r="D301" s="559">
        <v>4607091387285</v>
      </c>
      <c r="E301" s="560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4301031305</v>
      </c>
      <c r="D302" s="559">
        <v>4607091389845</v>
      </c>
      <c r="E302" s="560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480</v>
      </c>
      <c r="B303" s="54" t="s">
        <v>481</v>
      </c>
      <c r="C303" s="31">
        <v>4301031306</v>
      </c>
      <c r="D303" s="559">
        <v>4680115882881</v>
      </c>
      <c r="E303" s="560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58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3"/>
      <c r="R303" s="553"/>
      <c r="S303" s="553"/>
      <c r="T303" s="554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482</v>
      </c>
      <c r="B304" s="54" t="s">
        <v>483</v>
      </c>
      <c r="C304" s="31">
        <v>4301031066</v>
      </c>
      <c r="D304" s="559">
        <v>4607091383836</v>
      </c>
      <c r="E304" s="560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3"/>
      <c r="R304" s="553"/>
      <c r="S304" s="553"/>
      <c r="T304" s="554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6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7"/>
      <c r="P305" s="547" t="s">
        <v>71</v>
      </c>
      <c r="Q305" s="548"/>
      <c r="R305" s="548"/>
      <c r="S305" s="548"/>
      <c r="T305" s="548"/>
      <c r="U305" s="548"/>
      <c r="V305" s="549"/>
      <c r="W305" s="37" t="s">
        <v>72</v>
      </c>
      <c r="X305" s="543">
        <f>IFERROR(X298/H298,"0")+IFERROR(X299/H299,"0")+IFERROR(X300/H300,"0")+IFERROR(X301/H301,"0")+IFERROR(X302/H302,"0")+IFERROR(X303/H303,"0")+IFERROR(X304/H304,"0")</f>
        <v>23.80952380952381</v>
      </c>
      <c r="Y305" s="543">
        <f>IFERROR(Y298/H298,"0")+IFERROR(Y299/H299,"0")+IFERROR(Y300/H300,"0")+IFERROR(Y301/H301,"0")+IFERROR(Y302/H302,"0")+IFERROR(Y303/H303,"0")+IFERROR(Y304/H304,"0")</f>
        <v>24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0.21648000000000001</v>
      </c>
      <c r="AA305" s="544"/>
      <c r="AB305" s="544"/>
      <c r="AC305" s="544"/>
    </row>
    <row r="306" spans="1:68" x14ac:dyDescent="0.2">
      <c r="A306" s="551"/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7"/>
      <c r="P306" s="547" t="s">
        <v>71</v>
      </c>
      <c r="Q306" s="548"/>
      <c r="R306" s="548"/>
      <c r="S306" s="548"/>
      <c r="T306" s="548"/>
      <c r="U306" s="548"/>
      <c r="V306" s="549"/>
      <c r="W306" s="37" t="s">
        <v>69</v>
      </c>
      <c r="X306" s="543">
        <f>IFERROR(SUM(X298:X304),"0")</f>
        <v>100</v>
      </c>
      <c r="Y306" s="543">
        <f>IFERROR(SUM(Y298:Y304),"0")</f>
        <v>100.80000000000001</v>
      </c>
      <c r="Z306" s="37"/>
      <c r="AA306" s="544"/>
      <c r="AB306" s="544"/>
      <c r="AC306" s="544"/>
    </row>
    <row r="307" spans="1:68" ht="14.25" hidden="1" customHeight="1" x14ac:dyDescent="0.25">
      <c r="A307" s="555" t="s">
        <v>73</v>
      </c>
      <c r="B307" s="551"/>
      <c r="C307" s="551"/>
      <c r="D307" s="551"/>
      <c r="E307" s="551"/>
      <c r="F307" s="551"/>
      <c r="G307" s="551"/>
      <c r="H307" s="551"/>
      <c r="I307" s="551"/>
      <c r="J307" s="551"/>
      <c r="K307" s="551"/>
      <c r="L307" s="551"/>
      <c r="M307" s="551"/>
      <c r="N307" s="551"/>
      <c r="O307" s="551"/>
      <c r="P307" s="551"/>
      <c r="Q307" s="551"/>
      <c r="R307" s="551"/>
      <c r="S307" s="551"/>
      <c r="T307" s="551"/>
      <c r="U307" s="551"/>
      <c r="V307" s="551"/>
      <c r="W307" s="551"/>
      <c r="X307" s="551"/>
      <c r="Y307" s="551"/>
      <c r="Z307" s="551"/>
      <c r="AA307" s="537"/>
      <c r="AB307" s="537"/>
      <c r="AC307" s="537"/>
    </row>
    <row r="308" spans="1:68" ht="27" hidden="1" customHeight="1" x14ac:dyDescent="0.25">
      <c r="A308" s="54" t="s">
        <v>485</v>
      </c>
      <c r="B308" s="54" t="s">
        <v>486</v>
      </c>
      <c r="C308" s="31">
        <v>4301051100</v>
      </c>
      <c r="D308" s="559">
        <v>4607091387766</v>
      </c>
      <c r="E308" s="560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3"/>
      <c r="R308" s="553"/>
      <c r="S308" s="553"/>
      <c r="T308" s="554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4301051818</v>
      </c>
      <c r="D309" s="559">
        <v>4607091387957</v>
      </c>
      <c r="E309" s="560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4301051819</v>
      </c>
      <c r="D310" s="559">
        <v>4607091387964</v>
      </c>
      <c r="E310" s="560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3"/>
      <c r="R310" s="553"/>
      <c r="S310" s="553"/>
      <c r="T310" s="554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4301051734</v>
      </c>
      <c r="D311" s="559">
        <v>4680115884588</v>
      </c>
      <c r="E311" s="560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3"/>
      <c r="R311" s="553"/>
      <c r="S311" s="553"/>
      <c r="T311" s="554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6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7"/>
      <c r="P312" s="547" t="s">
        <v>71</v>
      </c>
      <c r="Q312" s="548"/>
      <c r="R312" s="548"/>
      <c r="S312" s="548"/>
      <c r="T312" s="548"/>
      <c r="U312" s="548"/>
      <c r="V312" s="549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7"/>
      <c r="P313" s="547" t="s">
        <v>71</v>
      </c>
      <c r="Q313" s="548"/>
      <c r="R313" s="548"/>
      <c r="S313" s="548"/>
      <c r="T313" s="548"/>
      <c r="U313" s="548"/>
      <c r="V313" s="549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55" t="s">
        <v>164</v>
      </c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37"/>
      <c r="AB314" s="537"/>
      <c r="AC314" s="537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59">
        <v>4607091380880</v>
      </c>
      <c r="E315" s="560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6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3"/>
      <c r="R315" s="553"/>
      <c r="S315" s="553"/>
      <c r="T315" s="554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59">
        <v>4607091384482</v>
      </c>
      <c r="E316" s="560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3"/>
      <c r="R316" s="553"/>
      <c r="S316" s="553"/>
      <c r="T316" s="554"/>
      <c r="U316" s="34"/>
      <c r="V316" s="34"/>
      <c r="W316" s="35" t="s">
        <v>69</v>
      </c>
      <c r="X316" s="541">
        <v>130</v>
      </c>
      <c r="Y316" s="542">
        <f>IFERROR(IF(X316="",0,CEILING((X316/$H316),1)*$H316),"")</f>
        <v>132.6</v>
      </c>
      <c r="Z316" s="36">
        <f>IFERROR(IF(Y316=0,"",ROUNDUP(Y316/H316,0)*0.01898),"")</f>
        <v>0.32266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138.23333333333335</v>
      </c>
      <c r="BN316" s="64">
        <f>IFERROR(Y316*I316/H316,"0")</f>
        <v>140.99799999999999</v>
      </c>
      <c r="BO316" s="64">
        <f>IFERROR(1/J316*(X316/H316),"0")</f>
        <v>0.26041666666666669</v>
      </c>
      <c r="BP316" s="64">
        <f>IFERROR(1/J316*(Y316/H316),"0")</f>
        <v>0.265625</v>
      </c>
    </row>
    <row r="317" spans="1:68" ht="16.5" hidden="1" customHeight="1" x14ac:dyDescent="0.25">
      <c r="A317" s="54" t="s">
        <v>503</v>
      </c>
      <c r="B317" s="54" t="s">
        <v>504</v>
      </c>
      <c r="C317" s="31">
        <v>4301060484</v>
      </c>
      <c r="D317" s="559">
        <v>4607091380897</v>
      </c>
      <c r="E317" s="560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3"/>
      <c r="R317" s="553"/>
      <c r="S317" s="553"/>
      <c r="T317" s="554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6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7"/>
      <c r="P318" s="547" t="s">
        <v>71</v>
      </c>
      <c r="Q318" s="548"/>
      <c r="R318" s="548"/>
      <c r="S318" s="548"/>
      <c r="T318" s="548"/>
      <c r="U318" s="548"/>
      <c r="V318" s="549"/>
      <c r="W318" s="37" t="s">
        <v>72</v>
      </c>
      <c r="X318" s="543">
        <f>IFERROR(X315/H315,"0")+IFERROR(X316/H316,"0")+IFERROR(X317/H317,"0")</f>
        <v>16.666666666666668</v>
      </c>
      <c r="Y318" s="543">
        <f>IFERROR(Y315/H315,"0")+IFERROR(Y316/H316,"0")+IFERROR(Y317/H317,"0")</f>
        <v>17</v>
      </c>
      <c r="Z318" s="543">
        <f>IFERROR(IF(Z315="",0,Z315),"0")+IFERROR(IF(Z316="",0,Z316),"0")+IFERROR(IF(Z317="",0,Z317),"0")</f>
        <v>0.32266</v>
      </c>
      <c r="AA318" s="544"/>
      <c r="AB318" s="544"/>
      <c r="AC318" s="544"/>
    </row>
    <row r="319" spans="1:68" x14ac:dyDescent="0.2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7"/>
      <c r="P319" s="547" t="s">
        <v>71</v>
      </c>
      <c r="Q319" s="548"/>
      <c r="R319" s="548"/>
      <c r="S319" s="548"/>
      <c r="T319" s="548"/>
      <c r="U319" s="548"/>
      <c r="V319" s="549"/>
      <c r="W319" s="37" t="s">
        <v>69</v>
      </c>
      <c r="X319" s="543">
        <f>IFERROR(SUM(X315:X317),"0")</f>
        <v>130</v>
      </c>
      <c r="Y319" s="543">
        <f>IFERROR(SUM(Y315:Y317),"0")</f>
        <v>132.6</v>
      </c>
      <c r="Z319" s="37"/>
      <c r="AA319" s="544"/>
      <c r="AB319" s="544"/>
      <c r="AC319" s="544"/>
    </row>
    <row r="320" spans="1:68" ht="14.25" hidden="1" customHeight="1" x14ac:dyDescent="0.25">
      <c r="A320" s="555" t="s">
        <v>93</v>
      </c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37"/>
      <c r="AB320" s="537"/>
      <c r="AC320" s="537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59">
        <v>4607091388381</v>
      </c>
      <c r="E321" s="560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3"/>
      <c r="R321" s="553"/>
      <c r="S321" s="553"/>
      <c r="T321" s="554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59">
        <v>4607091388374</v>
      </c>
      <c r="E322" s="560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3"/>
      <c r="R322" s="553"/>
      <c r="S322" s="553"/>
      <c r="T322" s="554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59">
        <v>4607091383102</v>
      </c>
      <c r="E323" s="560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3"/>
      <c r="R323" s="553"/>
      <c r="S323" s="553"/>
      <c r="T323" s="554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4301030233</v>
      </c>
      <c r="D324" s="559">
        <v>4607091388404</v>
      </c>
      <c r="E324" s="560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3"/>
      <c r="R324" s="553"/>
      <c r="S324" s="553"/>
      <c r="T324" s="554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6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7"/>
      <c r="P325" s="547" t="s">
        <v>71</v>
      </c>
      <c r="Q325" s="548"/>
      <c r="R325" s="548"/>
      <c r="S325" s="548"/>
      <c r="T325" s="548"/>
      <c r="U325" s="548"/>
      <c r="V325" s="549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7"/>
      <c r="P326" s="547" t="s">
        <v>71</v>
      </c>
      <c r="Q326" s="548"/>
      <c r="R326" s="548"/>
      <c r="S326" s="548"/>
      <c r="T326" s="548"/>
      <c r="U326" s="548"/>
      <c r="V326" s="549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55" t="s">
        <v>516</v>
      </c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37"/>
      <c r="AB327" s="537"/>
      <c r="AC327" s="537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59">
        <v>4680115881808</v>
      </c>
      <c r="E328" s="560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4301180006</v>
      </c>
      <c r="D329" s="559">
        <v>4680115881822</v>
      </c>
      <c r="E329" s="560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3"/>
      <c r="R329" s="553"/>
      <c r="S329" s="553"/>
      <c r="T329" s="554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523</v>
      </c>
      <c r="B330" s="54" t="s">
        <v>524</v>
      </c>
      <c r="C330" s="31">
        <v>4301180001</v>
      </c>
      <c r="D330" s="559">
        <v>4680115880016</v>
      </c>
      <c r="E330" s="560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3"/>
      <c r="R330" s="553"/>
      <c r="S330" s="553"/>
      <c r="T330" s="554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6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7"/>
      <c r="P331" s="547" t="s">
        <v>71</v>
      </c>
      <c r="Q331" s="548"/>
      <c r="R331" s="548"/>
      <c r="S331" s="548"/>
      <c r="T331" s="548"/>
      <c r="U331" s="548"/>
      <c r="V331" s="549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7"/>
      <c r="P332" s="547" t="s">
        <v>71</v>
      </c>
      <c r="Q332" s="548"/>
      <c r="R332" s="548"/>
      <c r="S332" s="548"/>
      <c r="T332" s="548"/>
      <c r="U332" s="548"/>
      <c r="V332" s="549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50" t="s">
        <v>525</v>
      </c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36"/>
      <c r="AB333" s="536"/>
      <c r="AC333" s="536"/>
    </row>
    <row r="334" spans="1:68" ht="14.25" hidden="1" customHeight="1" x14ac:dyDescent="0.25">
      <c r="A334" s="555" t="s">
        <v>73</v>
      </c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37"/>
      <c r="AB334" s="537"/>
      <c r="AC334" s="537"/>
    </row>
    <row r="335" spans="1:68" ht="27" hidden="1" customHeight="1" x14ac:dyDescent="0.25">
      <c r="A335" s="54" t="s">
        <v>526</v>
      </c>
      <c r="B335" s="54" t="s">
        <v>527</v>
      </c>
      <c r="C335" s="31">
        <v>4301051489</v>
      </c>
      <c r="D335" s="559">
        <v>4607091387919</v>
      </c>
      <c r="E335" s="560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3"/>
      <c r="R335" s="553"/>
      <c r="S335" s="553"/>
      <c r="T335" s="554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529</v>
      </c>
      <c r="B336" s="54" t="s">
        <v>530</v>
      </c>
      <c r="C336" s="31">
        <v>4301051461</v>
      </c>
      <c r="D336" s="559">
        <v>4680115883604</v>
      </c>
      <c r="E336" s="560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532</v>
      </c>
      <c r="B337" s="54" t="s">
        <v>533</v>
      </c>
      <c r="C337" s="31">
        <v>4301051864</v>
      </c>
      <c r="D337" s="559">
        <v>4680115883567</v>
      </c>
      <c r="E337" s="560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3"/>
      <c r="R337" s="553"/>
      <c r="S337" s="553"/>
      <c r="T337" s="554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6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7"/>
      <c r="P338" s="547" t="s">
        <v>71</v>
      </c>
      <c r="Q338" s="548"/>
      <c r="R338" s="548"/>
      <c r="S338" s="548"/>
      <c r="T338" s="548"/>
      <c r="U338" s="548"/>
      <c r="V338" s="549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7"/>
      <c r="P339" s="547" t="s">
        <v>71</v>
      </c>
      <c r="Q339" s="548"/>
      <c r="R339" s="548"/>
      <c r="S339" s="548"/>
      <c r="T339" s="548"/>
      <c r="U339" s="548"/>
      <c r="V339" s="549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35" t="s">
        <v>535</v>
      </c>
      <c r="B340" s="636"/>
      <c r="C340" s="636"/>
      <c r="D340" s="636"/>
      <c r="E340" s="636"/>
      <c r="F340" s="636"/>
      <c r="G340" s="636"/>
      <c r="H340" s="636"/>
      <c r="I340" s="636"/>
      <c r="J340" s="636"/>
      <c r="K340" s="636"/>
      <c r="L340" s="636"/>
      <c r="M340" s="636"/>
      <c r="N340" s="636"/>
      <c r="O340" s="636"/>
      <c r="P340" s="636"/>
      <c r="Q340" s="636"/>
      <c r="R340" s="636"/>
      <c r="S340" s="636"/>
      <c r="T340" s="636"/>
      <c r="U340" s="636"/>
      <c r="V340" s="636"/>
      <c r="W340" s="636"/>
      <c r="X340" s="636"/>
      <c r="Y340" s="636"/>
      <c r="Z340" s="636"/>
      <c r="AA340" s="48"/>
      <c r="AB340" s="48"/>
      <c r="AC340" s="48"/>
    </row>
    <row r="341" spans="1:68" ht="16.5" hidden="1" customHeight="1" x14ac:dyDescent="0.25">
      <c r="A341" s="550" t="s">
        <v>536</v>
      </c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36"/>
      <c r="AB341" s="536"/>
      <c r="AC341" s="536"/>
    </row>
    <row r="342" spans="1:68" ht="14.25" hidden="1" customHeight="1" x14ac:dyDescent="0.25">
      <c r="A342" s="555" t="s">
        <v>101</v>
      </c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59">
        <v>4680115884847</v>
      </c>
      <c r="E343" s="560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3"/>
      <c r="R343" s="553"/>
      <c r="S343" s="553"/>
      <c r="T343" s="554"/>
      <c r="U343" s="34"/>
      <c r="V343" s="34"/>
      <c r="W343" s="35" t="s">
        <v>69</v>
      </c>
      <c r="X343" s="541">
        <v>2000</v>
      </c>
      <c r="Y343" s="542">
        <f t="shared" ref="Y343:Y349" si="36">IFERROR(IF(X343="",0,CEILING((X343/$H343),1)*$H343),"")</f>
        <v>2010</v>
      </c>
      <c r="Z343" s="36">
        <f>IFERROR(IF(Y343=0,"",ROUNDUP(Y343/H343,0)*0.02175),"")</f>
        <v>2.9144999999999999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2062.6666666666665</v>
      </c>
      <c r="BN343" s="64">
        <f t="shared" ref="BN343:BN349" si="38">IFERROR(Y343*I343/H343,"0")</f>
        <v>2072.98</v>
      </c>
      <c r="BO343" s="64">
        <f t="shared" ref="BO343:BO349" si="39">IFERROR(1/J343*(X343/H343),"0")</f>
        <v>2.7777777777777777</v>
      </c>
      <c r="BP343" s="64">
        <f t="shared" ref="BP343:BP349" si="40">IFERROR(1/J343*(Y343/H343),"0")</f>
        <v>2.7916666666666665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59">
        <v>4680115884854</v>
      </c>
      <c r="E344" s="560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69</v>
      </c>
      <c r="X344" s="541">
        <v>1200</v>
      </c>
      <c r="Y344" s="542">
        <f t="shared" si="36"/>
        <v>1200</v>
      </c>
      <c r="Z344" s="36">
        <f>IFERROR(IF(Y344=0,"",ROUNDUP(Y344/H344,0)*0.02175),"")</f>
        <v>1.7399999999999998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1237.5999999999999</v>
      </c>
      <c r="BN344" s="64">
        <f t="shared" si="38"/>
        <v>1237.5999999999999</v>
      </c>
      <c r="BO344" s="64">
        <f t="shared" si="39"/>
        <v>1.6666666666666665</v>
      </c>
      <c r="BP344" s="64">
        <f t="shared" si="40"/>
        <v>1.6666666666666665</v>
      </c>
    </row>
    <row r="345" spans="1:68" ht="37.5" customHeight="1" x14ac:dyDescent="0.25">
      <c r="A345" s="54" t="s">
        <v>543</v>
      </c>
      <c r="B345" s="54" t="s">
        <v>544</v>
      </c>
      <c r="C345" s="31">
        <v>4301011867</v>
      </c>
      <c r="D345" s="559">
        <v>4680115884830</v>
      </c>
      <c r="E345" s="560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3"/>
      <c r="R345" s="553"/>
      <c r="S345" s="553"/>
      <c r="T345" s="554"/>
      <c r="U345" s="34"/>
      <c r="V345" s="34"/>
      <c r="W345" s="35" t="s">
        <v>69</v>
      </c>
      <c r="X345" s="541">
        <v>1500</v>
      </c>
      <c r="Y345" s="542">
        <f t="shared" si="36"/>
        <v>1500</v>
      </c>
      <c r="Z345" s="36">
        <f>IFERROR(IF(Y345=0,"",ROUNDUP(Y345/H345,0)*0.02175),"")</f>
        <v>2.1749999999999998</v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1547</v>
      </c>
      <c r="BN345" s="64">
        <f t="shared" si="38"/>
        <v>1547</v>
      </c>
      <c r="BO345" s="64">
        <f t="shared" si="39"/>
        <v>2.083333333333333</v>
      </c>
      <c r="BP345" s="64">
        <f t="shared" si="40"/>
        <v>2.083333333333333</v>
      </c>
    </row>
    <row r="346" spans="1:68" ht="27" hidden="1" customHeight="1" x14ac:dyDescent="0.25">
      <c r="A346" s="54" t="s">
        <v>546</v>
      </c>
      <c r="B346" s="54" t="s">
        <v>547</v>
      </c>
      <c r="C346" s="31">
        <v>4301012215</v>
      </c>
      <c r="D346" s="559">
        <v>4680115887046</v>
      </c>
      <c r="E346" s="560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5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3"/>
      <c r="R346" s="553"/>
      <c r="S346" s="553"/>
      <c r="T346" s="554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59">
        <v>4680115882638</v>
      </c>
      <c r="E347" s="560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3"/>
      <c r="R347" s="553"/>
      <c r="S347" s="553"/>
      <c r="T347" s="554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59">
        <v>4680115884922</v>
      </c>
      <c r="E348" s="560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3"/>
      <c r="R348" s="553"/>
      <c r="S348" s="553"/>
      <c r="T348" s="554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554</v>
      </c>
      <c r="B349" s="54" t="s">
        <v>555</v>
      </c>
      <c r="C349" s="31">
        <v>4301011868</v>
      </c>
      <c r="D349" s="559">
        <v>4680115884861</v>
      </c>
      <c r="E349" s="560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3"/>
      <c r="R349" s="553"/>
      <c r="S349" s="553"/>
      <c r="T349" s="554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6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7"/>
      <c r="P350" s="547" t="s">
        <v>71</v>
      </c>
      <c r="Q350" s="548"/>
      <c r="R350" s="548"/>
      <c r="S350" s="548"/>
      <c r="T350" s="548"/>
      <c r="U350" s="548"/>
      <c r="V350" s="549"/>
      <c r="W350" s="37" t="s">
        <v>72</v>
      </c>
      <c r="X350" s="543">
        <f>IFERROR(X343/H343,"0")+IFERROR(X344/H344,"0")+IFERROR(X345/H345,"0")+IFERROR(X346/H346,"0")+IFERROR(X347/H347,"0")+IFERROR(X348/H348,"0")+IFERROR(X349/H349,"0")</f>
        <v>313.33333333333337</v>
      </c>
      <c r="Y350" s="543">
        <f>IFERROR(Y343/H343,"0")+IFERROR(Y344/H344,"0")+IFERROR(Y345/H345,"0")+IFERROR(Y346/H346,"0")+IFERROR(Y347/H347,"0")+IFERROR(Y348/H348,"0")+IFERROR(Y349/H349,"0")</f>
        <v>314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6.8294999999999995</v>
      </c>
      <c r="AA350" s="544"/>
      <c r="AB350" s="544"/>
      <c r="AC350" s="544"/>
    </row>
    <row r="351" spans="1:68" x14ac:dyDescent="0.2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7"/>
      <c r="P351" s="547" t="s">
        <v>71</v>
      </c>
      <c r="Q351" s="548"/>
      <c r="R351" s="548"/>
      <c r="S351" s="548"/>
      <c r="T351" s="548"/>
      <c r="U351" s="548"/>
      <c r="V351" s="549"/>
      <c r="W351" s="37" t="s">
        <v>69</v>
      </c>
      <c r="X351" s="543">
        <f>IFERROR(SUM(X343:X349),"0")</f>
        <v>4700</v>
      </c>
      <c r="Y351" s="543">
        <f>IFERROR(SUM(Y343:Y349),"0")</f>
        <v>4710</v>
      </c>
      <c r="Z351" s="37"/>
      <c r="AA351" s="544"/>
      <c r="AB351" s="544"/>
      <c r="AC351" s="544"/>
    </row>
    <row r="352" spans="1:68" ht="14.25" hidden="1" customHeight="1" x14ac:dyDescent="0.25">
      <c r="A352" s="555" t="s">
        <v>136</v>
      </c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59">
        <v>4607091383980</v>
      </c>
      <c r="E353" s="560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3"/>
      <c r="R353" s="553"/>
      <c r="S353" s="553"/>
      <c r="T353" s="554"/>
      <c r="U353" s="34"/>
      <c r="V353" s="34"/>
      <c r="W353" s="35" t="s">
        <v>69</v>
      </c>
      <c r="X353" s="541">
        <v>2150</v>
      </c>
      <c r="Y353" s="542">
        <f>IFERROR(IF(X353="",0,CEILING((X353/$H353),1)*$H353),"")</f>
        <v>2160</v>
      </c>
      <c r="Z353" s="36">
        <f>IFERROR(IF(Y353=0,"",ROUNDUP(Y353/H353,0)*0.02175),"")</f>
        <v>3.1319999999999997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2217.3666666666668</v>
      </c>
      <c r="BN353" s="64">
        <f>IFERROR(Y353*I353/H353,"0")</f>
        <v>2227.6800000000003</v>
      </c>
      <c r="BO353" s="64">
        <f>IFERROR(1/J353*(X353/H353),"0")</f>
        <v>2.9861111111111112</v>
      </c>
      <c r="BP353" s="64">
        <f>IFERROR(1/J353*(Y353/H353),"0")</f>
        <v>3</v>
      </c>
    </row>
    <row r="354" spans="1:68" ht="16.5" hidden="1" customHeight="1" x14ac:dyDescent="0.25">
      <c r="A354" s="54" t="s">
        <v>559</v>
      </c>
      <c r="B354" s="54" t="s">
        <v>560</v>
      </c>
      <c r="C354" s="31">
        <v>4301020179</v>
      </c>
      <c r="D354" s="559">
        <v>4607091384178</v>
      </c>
      <c r="E354" s="560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3"/>
      <c r="R354" s="553"/>
      <c r="S354" s="553"/>
      <c r="T354" s="554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6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7"/>
      <c r="P355" s="547" t="s">
        <v>71</v>
      </c>
      <c r="Q355" s="548"/>
      <c r="R355" s="548"/>
      <c r="S355" s="548"/>
      <c r="T355" s="548"/>
      <c r="U355" s="548"/>
      <c r="V355" s="549"/>
      <c r="W355" s="37" t="s">
        <v>72</v>
      </c>
      <c r="X355" s="543">
        <f>IFERROR(X353/H353,"0")+IFERROR(X354/H354,"0")</f>
        <v>143.33333333333334</v>
      </c>
      <c r="Y355" s="543">
        <f>IFERROR(Y353/H353,"0")+IFERROR(Y354/H354,"0")</f>
        <v>144</v>
      </c>
      <c r="Z355" s="543">
        <f>IFERROR(IF(Z353="",0,Z353),"0")+IFERROR(IF(Z354="",0,Z354),"0")</f>
        <v>3.1319999999999997</v>
      </c>
      <c r="AA355" s="544"/>
      <c r="AB355" s="544"/>
      <c r="AC355" s="544"/>
    </row>
    <row r="356" spans="1:68" x14ac:dyDescent="0.2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7"/>
      <c r="P356" s="547" t="s">
        <v>71</v>
      </c>
      <c r="Q356" s="548"/>
      <c r="R356" s="548"/>
      <c r="S356" s="548"/>
      <c r="T356" s="548"/>
      <c r="U356" s="548"/>
      <c r="V356" s="549"/>
      <c r="W356" s="37" t="s">
        <v>69</v>
      </c>
      <c r="X356" s="543">
        <f>IFERROR(SUM(X353:X354),"0")</f>
        <v>2150</v>
      </c>
      <c r="Y356" s="543">
        <f>IFERROR(SUM(Y353:Y354),"0")</f>
        <v>2160</v>
      </c>
      <c r="Z356" s="37"/>
      <c r="AA356" s="544"/>
      <c r="AB356" s="544"/>
      <c r="AC356" s="544"/>
    </row>
    <row r="357" spans="1:68" ht="14.25" hidden="1" customHeight="1" x14ac:dyDescent="0.25">
      <c r="A357" s="555" t="s">
        <v>73</v>
      </c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37"/>
      <c r="AB357" s="537"/>
      <c r="AC357" s="537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59">
        <v>4607091383928</v>
      </c>
      <c r="E358" s="560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59">
        <v>4607091384260</v>
      </c>
      <c r="E359" s="560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3"/>
      <c r="R359" s="553"/>
      <c r="S359" s="553"/>
      <c r="T359" s="554"/>
      <c r="U359" s="34"/>
      <c r="V359" s="34"/>
      <c r="W359" s="35" t="s">
        <v>69</v>
      </c>
      <c r="X359" s="541">
        <v>80</v>
      </c>
      <c r="Y359" s="542">
        <f>IFERROR(IF(X359="",0,CEILING((X359/$H359),1)*$H359),"")</f>
        <v>81</v>
      </c>
      <c r="Z359" s="36">
        <f>IFERROR(IF(Y359=0,"",ROUNDUP(Y359/H359,0)*0.01898),"")</f>
        <v>0.17082</v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84.391111111111115</v>
      </c>
      <c r="BN359" s="64">
        <f>IFERROR(Y359*I359/H359,"0")</f>
        <v>85.445999999999998</v>
      </c>
      <c r="BO359" s="64">
        <f>IFERROR(1/J359*(X359/H359),"0")</f>
        <v>0.1388888888888889</v>
      </c>
      <c r="BP359" s="64">
        <f>IFERROR(1/J359*(Y359/H359),"0")</f>
        <v>0.140625</v>
      </c>
    </row>
    <row r="360" spans="1:68" x14ac:dyDescent="0.2">
      <c r="A360" s="556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7"/>
      <c r="P360" s="547" t="s">
        <v>71</v>
      </c>
      <c r="Q360" s="548"/>
      <c r="R360" s="548"/>
      <c r="S360" s="548"/>
      <c r="T360" s="548"/>
      <c r="U360" s="548"/>
      <c r="V360" s="549"/>
      <c r="W360" s="37" t="s">
        <v>72</v>
      </c>
      <c r="X360" s="543">
        <f>IFERROR(X358/H358,"0")+IFERROR(X359/H359,"0")</f>
        <v>8.8888888888888893</v>
      </c>
      <c r="Y360" s="543">
        <f>IFERROR(Y358/H358,"0")+IFERROR(Y359/H359,"0")</f>
        <v>9</v>
      </c>
      <c r="Z360" s="543">
        <f>IFERROR(IF(Z358="",0,Z358),"0")+IFERROR(IF(Z359="",0,Z359),"0")</f>
        <v>0.17082</v>
      </c>
      <c r="AA360" s="544"/>
      <c r="AB360" s="544"/>
      <c r="AC360" s="544"/>
    </row>
    <row r="361" spans="1:68" x14ac:dyDescent="0.2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7"/>
      <c r="P361" s="547" t="s">
        <v>71</v>
      </c>
      <c r="Q361" s="548"/>
      <c r="R361" s="548"/>
      <c r="S361" s="548"/>
      <c r="T361" s="548"/>
      <c r="U361" s="548"/>
      <c r="V361" s="549"/>
      <c r="W361" s="37" t="s">
        <v>69</v>
      </c>
      <c r="X361" s="543">
        <f>IFERROR(SUM(X358:X359),"0")</f>
        <v>80</v>
      </c>
      <c r="Y361" s="543">
        <f>IFERROR(SUM(Y358:Y359),"0")</f>
        <v>81</v>
      </c>
      <c r="Z361" s="37"/>
      <c r="AA361" s="544"/>
      <c r="AB361" s="544"/>
      <c r="AC361" s="544"/>
    </row>
    <row r="362" spans="1:68" ht="14.25" hidden="1" customHeight="1" x14ac:dyDescent="0.25">
      <c r="A362" s="555" t="s">
        <v>164</v>
      </c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37"/>
      <c r="AB362" s="537"/>
      <c r="AC362" s="537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59">
        <v>4607091384673</v>
      </c>
      <c r="E363" s="560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3"/>
      <c r="R363" s="553"/>
      <c r="S363" s="553"/>
      <c r="T363" s="554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6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7"/>
      <c r="P364" s="547" t="s">
        <v>71</v>
      </c>
      <c r="Q364" s="548"/>
      <c r="R364" s="548"/>
      <c r="S364" s="548"/>
      <c r="T364" s="548"/>
      <c r="U364" s="548"/>
      <c r="V364" s="549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7"/>
      <c r="P365" s="547" t="s">
        <v>71</v>
      </c>
      <c r="Q365" s="548"/>
      <c r="R365" s="548"/>
      <c r="S365" s="548"/>
      <c r="T365" s="548"/>
      <c r="U365" s="548"/>
      <c r="V365" s="549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50" t="s">
        <v>570</v>
      </c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36"/>
      <c r="AB366" s="536"/>
      <c r="AC366" s="536"/>
    </row>
    <row r="367" spans="1:68" ht="14.25" hidden="1" customHeight="1" x14ac:dyDescent="0.25">
      <c r="A367" s="555" t="s">
        <v>101</v>
      </c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37"/>
      <c r="AB367" s="537"/>
      <c r="AC367" s="537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59">
        <v>4680115884885</v>
      </c>
      <c r="E368" s="560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3"/>
      <c r="R368" s="553"/>
      <c r="S368" s="553"/>
      <c r="T368" s="554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59">
        <v>4680115884908</v>
      </c>
      <c r="E369" s="560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3"/>
      <c r="R369" s="553"/>
      <c r="S369" s="553"/>
      <c r="T369" s="554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6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7"/>
      <c r="P370" s="547" t="s">
        <v>71</v>
      </c>
      <c r="Q370" s="548"/>
      <c r="R370" s="548"/>
      <c r="S370" s="548"/>
      <c r="T370" s="548"/>
      <c r="U370" s="548"/>
      <c r="V370" s="549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7"/>
      <c r="P371" s="547" t="s">
        <v>71</v>
      </c>
      <c r="Q371" s="548"/>
      <c r="R371" s="548"/>
      <c r="S371" s="548"/>
      <c r="T371" s="548"/>
      <c r="U371" s="548"/>
      <c r="V371" s="549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5" t="s">
        <v>64</v>
      </c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59">
        <v>4607091384802</v>
      </c>
      <c r="E373" s="560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3"/>
      <c r="R373" s="553"/>
      <c r="S373" s="553"/>
      <c r="T373" s="554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59">
        <v>4607091384802</v>
      </c>
      <c r="E374" s="560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3"/>
      <c r="R374" s="553"/>
      <c r="S374" s="553"/>
      <c r="T374" s="554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6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7"/>
      <c r="P375" s="547" t="s">
        <v>71</v>
      </c>
      <c r="Q375" s="548"/>
      <c r="R375" s="548"/>
      <c r="S375" s="548"/>
      <c r="T375" s="548"/>
      <c r="U375" s="548"/>
      <c r="V375" s="549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7"/>
      <c r="P376" s="547" t="s">
        <v>71</v>
      </c>
      <c r="Q376" s="548"/>
      <c r="R376" s="548"/>
      <c r="S376" s="548"/>
      <c r="T376" s="548"/>
      <c r="U376" s="548"/>
      <c r="V376" s="549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5" t="s">
        <v>73</v>
      </c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59">
        <v>4607091384246</v>
      </c>
      <c r="E378" s="560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3"/>
      <c r="R378" s="553"/>
      <c r="S378" s="553"/>
      <c r="T378" s="554"/>
      <c r="U378" s="34"/>
      <c r="V378" s="34"/>
      <c r="W378" s="35" t="s">
        <v>69</v>
      </c>
      <c r="X378" s="541">
        <v>2200</v>
      </c>
      <c r="Y378" s="542">
        <f>IFERROR(IF(X378="",0,CEILING((X378/$H378),1)*$H378),"")</f>
        <v>2205</v>
      </c>
      <c r="Z378" s="36">
        <f>IFERROR(IF(Y378=0,"",ROUNDUP(Y378/H378,0)*0.01898),"")</f>
        <v>4.6501000000000001</v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2320.7555555555555</v>
      </c>
      <c r="BN378" s="64">
        <f>IFERROR(Y378*I378/H378,"0")</f>
        <v>2326.0300000000002</v>
      </c>
      <c r="BO378" s="64">
        <f>IFERROR(1/J378*(X378/H378),"0")</f>
        <v>3.8194444444444446</v>
      </c>
      <c r="BP378" s="64">
        <f>IFERROR(1/J378*(Y378/H378),"0")</f>
        <v>3.828125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59">
        <v>4607091384253</v>
      </c>
      <c r="E379" s="560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3"/>
      <c r="R379" s="553"/>
      <c r="S379" s="553"/>
      <c r="T379" s="554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6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7"/>
      <c r="P380" s="547" t="s">
        <v>71</v>
      </c>
      <c r="Q380" s="548"/>
      <c r="R380" s="548"/>
      <c r="S380" s="548"/>
      <c r="T380" s="548"/>
      <c r="U380" s="548"/>
      <c r="V380" s="549"/>
      <c r="W380" s="37" t="s">
        <v>72</v>
      </c>
      <c r="X380" s="543">
        <f>IFERROR(X378/H378,"0")+IFERROR(X379/H379,"0")</f>
        <v>244.44444444444446</v>
      </c>
      <c r="Y380" s="543">
        <f>IFERROR(Y378/H378,"0")+IFERROR(Y379/H379,"0")</f>
        <v>245</v>
      </c>
      <c r="Z380" s="543">
        <f>IFERROR(IF(Z378="",0,Z378),"0")+IFERROR(IF(Z379="",0,Z379),"0")</f>
        <v>4.6501000000000001</v>
      </c>
      <c r="AA380" s="544"/>
      <c r="AB380" s="544"/>
      <c r="AC380" s="544"/>
    </row>
    <row r="381" spans="1:68" x14ac:dyDescent="0.2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7"/>
      <c r="P381" s="547" t="s">
        <v>71</v>
      </c>
      <c r="Q381" s="548"/>
      <c r="R381" s="548"/>
      <c r="S381" s="548"/>
      <c r="T381" s="548"/>
      <c r="U381" s="548"/>
      <c r="V381" s="549"/>
      <c r="W381" s="37" t="s">
        <v>69</v>
      </c>
      <c r="X381" s="543">
        <f>IFERROR(SUM(X378:X379),"0")</f>
        <v>2200</v>
      </c>
      <c r="Y381" s="543">
        <f>IFERROR(SUM(Y378:Y379),"0")</f>
        <v>2205</v>
      </c>
      <c r="Z381" s="37"/>
      <c r="AA381" s="544"/>
      <c r="AB381" s="544"/>
      <c r="AC381" s="544"/>
    </row>
    <row r="382" spans="1:68" ht="27.75" hidden="1" customHeight="1" x14ac:dyDescent="0.2">
      <c r="A382" s="635" t="s">
        <v>586</v>
      </c>
      <c r="B382" s="636"/>
      <c r="C382" s="636"/>
      <c r="D382" s="636"/>
      <c r="E382" s="636"/>
      <c r="F382" s="636"/>
      <c r="G382" s="636"/>
      <c r="H382" s="636"/>
      <c r="I382" s="636"/>
      <c r="J382" s="636"/>
      <c r="K382" s="636"/>
      <c r="L382" s="636"/>
      <c r="M382" s="636"/>
      <c r="N382" s="636"/>
      <c r="O382" s="636"/>
      <c r="P382" s="636"/>
      <c r="Q382" s="636"/>
      <c r="R382" s="636"/>
      <c r="S382" s="636"/>
      <c r="T382" s="636"/>
      <c r="U382" s="636"/>
      <c r="V382" s="636"/>
      <c r="W382" s="636"/>
      <c r="X382" s="636"/>
      <c r="Y382" s="636"/>
      <c r="Z382" s="636"/>
      <c r="AA382" s="48"/>
      <c r="AB382" s="48"/>
      <c r="AC382" s="48"/>
    </row>
    <row r="383" spans="1:68" ht="16.5" hidden="1" customHeight="1" x14ac:dyDescent="0.25">
      <c r="A383" s="550" t="s">
        <v>587</v>
      </c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36"/>
      <c r="AB383" s="536"/>
      <c r="AC383" s="536"/>
    </row>
    <row r="384" spans="1:68" ht="14.25" hidden="1" customHeight="1" x14ac:dyDescent="0.25">
      <c r="A384" s="555" t="s">
        <v>64</v>
      </c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37"/>
      <c r="AB384" s="537"/>
      <c r="AC384" s="537"/>
    </row>
    <row r="385" spans="1:68" ht="27" hidden="1" customHeight="1" x14ac:dyDescent="0.25">
      <c r="A385" s="54" t="s">
        <v>588</v>
      </c>
      <c r="B385" s="54" t="s">
        <v>589</v>
      </c>
      <c r="C385" s="31">
        <v>4301031405</v>
      </c>
      <c r="D385" s="559">
        <v>4680115886100</v>
      </c>
      <c r="E385" s="560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4301031406</v>
      </c>
      <c r="D386" s="559">
        <v>4680115886117</v>
      </c>
      <c r="E386" s="560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4301031402</v>
      </c>
      <c r="D387" s="559">
        <v>4680115886124</v>
      </c>
      <c r="E387" s="560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59">
        <v>4680115883147</v>
      </c>
      <c r="E388" s="560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4301031362</v>
      </c>
      <c r="D389" s="559">
        <v>4607091384338</v>
      </c>
      <c r="E389" s="560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601</v>
      </c>
      <c r="B390" s="54" t="s">
        <v>602</v>
      </c>
      <c r="C390" s="31">
        <v>4301031361</v>
      </c>
      <c r="D390" s="559">
        <v>4607091389524</v>
      </c>
      <c r="E390" s="560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59">
        <v>4680115883161</v>
      </c>
      <c r="E391" s="560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4301031358</v>
      </c>
      <c r="D392" s="559">
        <v>4607091389531</v>
      </c>
      <c r="E392" s="560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610</v>
      </c>
      <c r="B393" s="54" t="s">
        <v>611</v>
      </c>
      <c r="C393" s="31">
        <v>4301031360</v>
      </c>
      <c r="D393" s="559">
        <v>4607091384345</v>
      </c>
      <c r="E393" s="560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idden="1" x14ac:dyDescent="0.2">
      <c r="A394" s="556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7"/>
      <c r="P394" s="547" t="s">
        <v>71</v>
      </c>
      <c r="Q394" s="548"/>
      <c r="R394" s="548"/>
      <c r="S394" s="548"/>
      <c r="T394" s="548"/>
      <c r="U394" s="548"/>
      <c r="V394" s="54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7"/>
      <c r="P395" s="547" t="s">
        <v>71</v>
      </c>
      <c r="Q395" s="548"/>
      <c r="R395" s="548"/>
      <c r="S395" s="548"/>
      <c r="T395" s="548"/>
      <c r="U395" s="548"/>
      <c r="V395" s="54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55" t="s">
        <v>73</v>
      </c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37"/>
      <c r="AB396" s="537"/>
      <c r="AC396" s="537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59">
        <v>4607091384352</v>
      </c>
      <c r="E397" s="560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59">
        <v>4607091389654</v>
      </c>
      <c r="E398" s="560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6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7"/>
      <c r="P399" s="547" t="s">
        <v>71</v>
      </c>
      <c r="Q399" s="548"/>
      <c r="R399" s="548"/>
      <c r="S399" s="548"/>
      <c r="T399" s="548"/>
      <c r="U399" s="548"/>
      <c r="V399" s="54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7"/>
      <c r="P400" s="547" t="s">
        <v>71</v>
      </c>
      <c r="Q400" s="548"/>
      <c r="R400" s="548"/>
      <c r="S400" s="548"/>
      <c r="T400" s="548"/>
      <c r="U400" s="548"/>
      <c r="V400" s="54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50" t="s">
        <v>618</v>
      </c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36"/>
      <c r="AB401" s="536"/>
      <c r="AC401" s="536"/>
    </row>
    <row r="402" spans="1:68" ht="14.25" hidden="1" customHeight="1" x14ac:dyDescent="0.25">
      <c r="A402" s="555" t="s">
        <v>136</v>
      </c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59">
        <v>4680115885240</v>
      </c>
      <c r="E403" s="560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6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7"/>
      <c r="P404" s="547" t="s">
        <v>71</v>
      </c>
      <c r="Q404" s="548"/>
      <c r="R404" s="548"/>
      <c r="S404" s="548"/>
      <c r="T404" s="548"/>
      <c r="U404" s="548"/>
      <c r="V404" s="54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7"/>
      <c r="P405" s="547" t="s">
        <v>71</v>
      </c>
      <c r="Q405" s="548"/>
      <c r="R405" s="548"/>
      <c r="S405" s="548"/>
      <c r="T405" s="548"/>
      <c r="U405" s="548"/>
      <c r="V405" s="54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5" t="s">
        <v>64</v>
      </c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37"/>
      <c r="AB406" s="537"/>
      <c r="AC406" s="537"/>
    </row>
    <row r="407" spans="1:68" ht="27" hidden="1" customHeight="1" x14ac:dyDescent="0.25">
      <c r="A407" s="54" t="s">
        <v>622</v>
      </c>
      <c r="B407" s="54" t="s">
        <v>623</v>
      </c>
      <c r="C407" s="31">
        <v>4301031403</v>
      </c>
      <c r="D407" s="559">
        <v>4680115886094</v>
      </c>
      <c r="E407" s="560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59">
        <v>4607091389425</v>
      </c>
      <c r="E408" s="560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59">
        <v>4680115880771</v>
      </c>
      <c r="E409" s="560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59">
        <v>4607091389500</v>
      </c>
      <c r="E410" s="560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6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7"/>
      <c r="P411" s="547" t="s">
        <v>71</v>
      </c>
      <c r="Q411" s="548"/>
      <c r="R411" s="548"/>
      <c r="S411" s="548"/>
      <c r="T411" s="548"/>
      <c r="U411" s="548"/>
      <c r="V411" s="54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7"/>
      <c r="P412" s="547" t="s">
        <v>71</v>
      </c>
      <c r="Q412" s="548"/>
      <c r="R412" s="548"/>
      <c r="S412" s="548"/>
      <c r="T412" s="548"/>
      <c r="U412" s="548"/>
      <c r="V412" s="54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50" t="s">
        <v>633</v>
      </c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36"/>
      <c r="AB413" s="536"/>
      <c r="AC413" s="536"/>
    </row>
    <row r="414" spans="1:68" ht="14.25" hidden="1" customHeight="1" x14ac:dyDescent="0.25">
      <c r="A414" s="555" t="s">
        <v>64</v>
      </c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59">
        <v>4680115885110</v>
      </c>
      <c r="E415" s="560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6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7"/>
      <c r="P416" s="547" t="s">
        <v>71</v>
      </c>
      <c r="Q416" s="548"/>
      <c r="R416" s="548"/>
      <c r="S416" s="548"/>
      <c r="T416" s="548"/>
      <c r="U416" s="548"/>
      <c r="V416" s="54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7"/>
      <c r="P417" s="547" t="s">
        <v>71</v>
      </c>
      <c r="Q417" s="548"/>
      <c r="R417" s="548"/>
      <c r="S417" s="548"/>
      <c r="T417" s="548"/>
      <c r="U417" s="548"/>
      <c r="V417" s="54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5" t="s">
        <v>637</v>
      </c>
      <c r="B418" s="636"/>
      <c r="C418" s="636"/>
      <c r="D418" s="636"/>
      <c r="E418" s="636"/>
      <c r="F418" s="636"/>
      <c r="G418" s="636"/>
      <c r="H418" s="636"/>
      <c r="I418" s="636"/>
      <c r="J418" s="636"/>
      <c r="K418" s="636"/>
      <c r="L418" s="636"/>
      <c r="M418" s="636"/>
      <c r="N418" s="636"/>
      <c r="O418" s="636"/>
      <c r="P418" s="636"/>
      <c r="Q418" s="636"/>
      <c r="R418" s="636"/>
      <c r="S418" s="636"/>
      <c r="T418" s="636"/>
      <c r="U418" s="636"/>
      <c r="V418" s="636"/>
      <c r="W418" s="636"/>
      <c r="X418" s="636"/>
      <c r="Y418" s="636"/>
      <c r="Z418" s="636"/>
      <c r="AA418" s="48"/>
      <c r="AB418" s="48"/>
      <c r="AC418" s="48"/>
    </row>
    <row r="419" spans="1:68" ht="16.5" hidden="1" customHeight="1" x14ac:dyDescent="0.25">
      <c r="A419" s="550" t="s">
        <v>637</v>
      </c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36"/>
      <c r="AB419" s="536"/>
      <c r="AC419" s="536"/>
    </row>
    <row r="420" spans="1:68" ht="14.25" hidden="1" customHeight="1" x14ac:dyDescent="0.25">
      <c r="A420" s="555" t="s">
        <v>101</v>
      </c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59">
        <v>4607091389067</v>
      </c>
      <c r="E421" s="560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69</v>
      </c>
      <c r="X421" s="541">
        <v>500</v>
      </c>
      <c r="Y421" s="542">
        <f t="shared" ref="Y421:Y431" si="47">IFERROR(IF(X421="",0,CEILING((X421/$H421),1)*$H421),"")</f>
        <v>501.6</v>
      </c>
      <c r="Z421" s="36">
        <f t="shared" ref="Z421:Z426" si="48">IFERROR(IF(Y421=0,"",ROUNDUP(Y421/H421,0)*0.01196),"")</f>
        <v>1.1362000000000001</v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533.14393939393938</v>
      </c>
      <c r="BN421" s="64">
        <f t="shared" ref="BN421:BN431" si="50">IFERROR(Y421*I421/H421,"0")</f>
        <v>534.85</v>
      </c>
      <c r="BO421" s="64">
        <f t="shared" ref="BO421:BO431" si="51">IFERROR(1/J421*(X421/H421),"0")</f>
        <v>0.91054778554778548</v>
      </c>
      <c r="BP421" s="64">
        <f t="shared" ref="BP421:BP431" si="52">IFERROR(1/J421*(Y421/H421),"0")</f>
        <v>0.91346153846153855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4301012145</v>
      </c>
      <c r="D422" s="559">
        <v>4607091383522</v>
      </c>
      <c r="E422" s="560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59">
        <v>4680115885271</v>
      </c>
      <c r="E423" s="560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3"/>
      <c r="R423" s="553"/>
      <c r="S423" s="553"/>
      <c r="T423" s="554"/>
      <c r="U423" s="34"/>
      <c r="V423" s="34"/>
      <c r="W423" s="35" t="s">
        <v>69</v>
      </c>
      <c r="X423" s="541">
        <v>300</v>
      </c>
      <c r="Y423" s="542">
        <f t="shared" si="47"/>
        <v>300.96000000000004</v>
      </c>
      <c r="Z423" s="36">
        <f t="shared" si="48"/>
        <v>0.68171999999999999</v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319.88636363636363</v>
      </c>
      <c r="BN423" s="64">
        <f t="shared" si="50"/>
        <v>320.91000000000003</v>
      </c>
      <c r="BO423" s="64">
        <f t="shared" si="51"/>
        <v>0.54632867132867136</v>
      </c>
      <c r="BP423" s="64">
        <f t="shared" si="52"/>
        <v>0.54807692307692313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59">
        <v>4680115885226</v>
      </c>
      <c r="E424" s="560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3"/>
      <c r="R424" s="553"/>
      <c r="S424" s="553"/>
      <c r="T424" s="554"/>
      <c r="U424" s="34"/>
      <c r="V424" s="34"/>
      <c r="W424" s="35" t="s">
        <v>69</v>
      </c>
      <c r="X424" s="541">
        <v>600</v>
      </c>
      <c r="Y424" s="542">
        <f t="shared" si="47"/>
        <v>601.92000000000007</v>
      </c>
      <c r="Z424" s="36">
        <f t="shared" si="48"/>
        <v>1.36344</v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639.77272727272725</v>
      </c>
      <c r="BN424" s="64">
        <f t="shared" si="50"/>
        <v>641.82000000000005</v>
      </c>
      <c r="BO424" s="64">
        <f t="shared" si="51"/>
        <v>1.0926573426573427</v>
      </c>
      <c r="BP424" s="64">
        <f t="shared" si="52"/>
        <v>1.0961538461538463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59">
        <v>4680115884502</v>
      </c>
      <c r="E425" s="560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3"/>
      <c r="R425" s="553"/>
      <c r="S425" s="553"/>
      <c r="T425" s="554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59">
        <v>4607091389104</v>
      </c>
      <c r="E426" s="560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3"/>
      <c r="R426" s="553"/>
      <c r="S426" s="553"/>
      <c r="T426" s="554"/>
      <c r="U426" s="34"/>
      <c r="V426" s="34"/>
      <c r="W426" s="35" t="s">
        <v>69</v>
      </c>
      <c r="X426" s="541">
        <v>400</v>
      </c>
      <c r="Y426" s="542">
        <f t="shared" si="47"/>
        <v>401.28000000000003</v>
      </c>
      <c r="Z426" s="36">
        <f t="shared" si="48"/>
        <v>0.90895999999999999</v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426.5151515151515</v>
      </c>
      <c r="BN426" s="64">
        <f t="shared" si="50"/>
        <v>427.88</v>
      </c>
      <c r="BO426" s="64">
        <f t="shared" si="51"/>
        <v>0.72843822843822836</v>
      </c>
      <c r="BP426" s="64">
        <f t="shared" si="52"/>
        <v>0.73076923076923084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59">
        <v>4680115886391</v>
      </c>
      <c r="E427" s="560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3"/>
      <c r="R427" s="553"/>
      <c r="S427" s="553"/>
      <c r="T427" s="554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4301012035</v>
      </c>
      <c r="D428" s="559">
        <v>4680115880603</v>
      </c>
      <c r="E428" s="560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3"/>
      <c r="R428" s="553"/>
      <c r="S428" s="553"/>
      <c r="T428" s="554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59">
        <v>4680115882782</v>
      </c>
      <c r="E429" s="560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3"/>
      <c r="R429" s="553"/>
      <c r="S429" s="553"/>
      <c r="T429" s="554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59">
        <v>4680115885479</v>
      </c>
      <c r="E430" s="560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3"/>
      <c r="R430" s="553"/>
      <c r="S430" s="553"/>
      <c r="T430" s="554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59">
        <v>4607091389982</v>
      </c>
      <c r="E431" s="560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3"/>
      <c r="R431" s="553"/>
      <c r="S431" s="553"/>
      <c r="T431" s="554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6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7"/>
      <c r="P432" s="547" t="s">
        <v>71</v>
      </c>
      <c r="Q432" s="548"/>
      <c r="R432" s="548"/>
      <c r="S432" s="548"/>
      <c r="T432" s="548"/>
      <c r="U432" s="548"/>
      <c r="V432" s="54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340.90909090909088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342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4.0903200000000002</v>
      </c>
      <c r="AA432" s="544"/>
      <c r="AB432" s="544"/>
      <c r="AC432" s="544"/>
    </row>
    <row r="433" spans="1:68" x14ac:dyDescent="0.2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7"/>
      <c r="P433" s="547" t="s">
        <v>71</v>
      </c>
      <c r="Q433" s="548"/>
      <c r="R433" s="548"/>
      <c r="S433" s="548"/>
      <c r="T433" s="548"/>
      <c r="U433" s="548"/>
      <c r="V433" s="549"/>
      <c r="W433" s="37" t="s">
        <v>69</v>
      </c>
      <c r="X433" s="543">
        <f>IFERROR(SUM(X421:X431),"0")</f>
        <v>1800</v>
      </c>
      <c r="Y433" s="543">
        <f>IFERROR(SUM(Y421:Y431),"0")</f>
        <v>1805.76</v>
      </c>
      <c r="Z433" s="37"/>
      <c r="AA433" s="544"/>
      <c r="AB433" s="544"/>
      <c r="AC433" s="544"/>
    </row>
    <row r="434" spans="1:68" ht="14.25" hidden="1" customHeight="1" x14ac:dyDescent="0.25">
      <c r="A434" s="555" t="s">
        <v>136</v>
      </c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59">
        <v>4607091388930</v>
      </c>
      <c r="E435" s="560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3"/>
      <c r="R435" s="553"/>
      <c r="S435" s="553"/>
      <c r="T435" s="554"/>
      <c r="U435" s="34"/>
      <c r="V435" s="34"/>
      <c r="W435" s="35" t="s">
        <v>69</v>
      </c>
      <c r="X435" s="541">
        <v>1000</v>
      </c>
      <c r="Y435" s="542">
        <f>IFERROR(IF(X435="",0,CEILING((X435/$H435),1)*$H435),"")</f>
        <v>1003.2</v>
      </c>
      <c r="Z435" s="36">
        <f>IFERROR(IF(Y435=0,"",ROUNDUP(Y435/H435,0)*0.01196),"")</f>
        <v>2.2724000000000002</v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1066.2878787878788</v>
      </c>
      <c r="BN435" s="64">
        <f>IFERROR(Y435*I435/H435,"0")</f>
        <v>1069.7</v>
      </c>
      <c r="BO435" s="64">
        <f>IFERROR(1/J435*(X435/H435),"0")</f>
        <v>1.821095571095571</v>
      </c>
      <c r="BP435" s="64">
        <f>IFERROR(1/J435*(Y435/H435),"0")</f>
        <v>1.8269230769230771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59">
        <v>4680115886407</v>
      </c>
      <c r="E436" s="560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6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3"/>
      <c r="R436" s="553"/>
      <c r="S436" s="553"/>
      <c r="T436" s="554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59">
        <v>4680115880054</v>
      </c>
      <c r="E437" s="560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3"/>
      <c r="R437" s="553"/>
      <c r="S437" s="553"/>
      <c r="T437" s="554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6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7"/>
      <c r="P438" s="547" t="s">
        <v>71</v>
      </c>
      <c r="Q438" s="548"/>
      <c r="R438" s="548"/>
      <c r="S438" s="548"/>
      <c r="T438" s="548"/>
      <c r="U438" s="548"/>
      <c r="V438" s="549"/>
      <c r="W438" s="37" t="s">
        <v>72</v>
      </c>
      <c r="X438" s="543">
        <f>IFERROR(X435/H435,"0")+IFERROR(X436/H436,"0")+IFERROR(X437/H437,"0")</f>
        <v>189.39393939393938</v>
      </c>
      <c r="Y438" s="543">
        <f>IFERROR(Y435/H435,"0")+IFERROR(Y436/H436,"0")+IFERROR(Y437/H437,"0")</f>
        <v>190</v>
      </c>
      <c r="Z438" s="543">
        <f>IFERROR(IF(Z435="",0,Z435),"0")+IFERROR(IF(Z436="",0,Z436),"0")+IFERROR(IF(Z437="",0,Z437),"0")</f>
        <v>2.2724000000000002</v>
      </c>
      <c r="AA438" s="544"/>
      <c r="AB438" s="544"/>
      <c r="AC438" s="544"/>
    </row>
    <row r="439" spans="1:68" x14ac:dyDescent="0.2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7"/>
      <c r="P439" s="547" t="s">
        <v>71</v>
      </c>
      <c r="Q439" s="548"/>
      <c r="R439" s="548"/>
      <c r="S439" s="548"/>
      <c r="T439" s="548"/>
      <c r="U439" s="548"/>
      <c r="V439" s="549"/>
      <c r="W439" s="37" t="s">
        <v>69</v>
      </c>
      <c r="X439" s="543">
        <f>IFERROR(SUM(X435:X437),"0")</f>
        <v>1000</v>
      </c>
      <c r="Y439" s="543">
        <f>IFERROR(SUM(Y435:Y437),"0")</f>
        <v>1003.2</v>
      </c>
      <c r="Z439" s="37"/>
      <c r="AA439" s="544"/>
      <c r="AB439" s="544"/>
      <c r="AC439" s="544"/>
    </row>
    <row r="440" spans="1:68" ht="14.25" hidden="1" customHeight="1" x14ac:dyDescent="0.25">
      <c r="A440" s="555" t="s">
        <v>64</v>
      </c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59">
        <v>4680115883116</v>
      </c>
      <c r="E441" s="560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3"/>
      <c r="R441" s="553"/>
      <c r="S441" s="553"/>
      <c r="T441" s="554"/>
      <c r="U441" s="34"/>
      <c r="V441" s="34"/>
      <c r="W441" s="35" t="s">
        <v>69</v>
      </c>
      <c r="X441" s="541">
        <v>400</v>
      </c>
      <c r="Y441" s="542">
        <f t="shared" ref="Y441:Y446" si="53">IFERROR(IF(X441="",0,CEILING((X441/$H441),1)*$H441),"")</f>
        <v>401.28000000000003</v>
      </c>
      <c r="Z441" s="36">
        <f>IFERROR(IF(Y441=0,"",ROUNDUP(Y441/H441,0)*0.01196),"")</f>
        <v>0.90895999999999999</v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426.5151515151515</v>
      </c>
      <c r="BN441" s="64">
        <f t="shared" ref="BN441:BN446" si="55">IFERROR(Y441*I441/H441,"0")</f>
        <v>427.88</v>
      </c>
      <c r="BO441" s="64">
        <f t="shared" ref="BO441:BO446" si="56">IFERROR(1/J441*(X441/H441),"0")</f>
        <v>0.72843822843822836</v>
      </c>
      <c r="BP441" s="64">
        <f t="shared" ref="BP441:BP446" si="57">IFERROR(1/J441*(Y441/H441),"0")</f>
        <v>0.73076923076923084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59">
        <v>4680115883093</v>
      </c>
      <c r="E442" s="560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3"/>
      <c r="R442" s="553"/>
      <c r="S442" s="553"/>
      <c r="T442" s="554"/>
      <c r="U442" s="34"/>
      <c r="V442" s="34"/>
      <c r="W442" s="35" t="s">
        <v>69</v>
      </c>
      <c r="X442" s="541">
        <v>500</v>
      </c>
      <c r="Y442" s="542">
        <f t="shared" si="53"/>
        <v>501.6</v>
      </c>
      <c r="Z442" s="36">
        <f>IFERROR(IF(Y442=0,"",ROUNDUP(Y442/H442,0)*0.01196),"")</f>
        <v>1.1362000000000001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533.14393939393938</v>
      </c>
      <c r="BN442" s="64">
        <f t="shared" si="55"/>
        <v>534.85</v>
      </c>
      <c r="BO442" s="64">
        <f t="shared" si="56"/>
        <v>0.91054778554778548</v>
      </c>
      <c r="BP442" s="64">
        <f t="shared" si="57"/>
        <v>0.91346153846153855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59">
        <v>4680115883109</v>
      </c>
      <c r="E443" s="560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3"/>
      <c r="R443" s="553"/>
      <c r="S443" s="553"/>
      <c r="T443" s="554"/>
      <c r="U443" s="34"/>
      <c r="V443" s="34"/>
      <c r="W443" s="35" t="s">
        <v>69</v>
      </c>
      <c r="X443" s="541">
        <v>500</v>
      </c>
      <c r="Y443" s="542">
        <f t="shared" si="53"/>
        <v>501.6</v>
      </c>
      <c r="Z443" s="36">
        <f>IFERROR(IF(Y443=0,"",ROUNDUP(Y443/H443,0)*0.01196),"")</f>
        <v>1.1362000000000001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533.14393939393938</v>
      </c>
      <c r="BN443" s="64">
        <f t="shared" si="55"/>
        <v>534.85</v>
      </c>
      <c r="BO443" s="64">
        <f t="shared" si="56"/>
        <v>0.91054778554778548</v>
      </c>
      <c r="BP443" s="64">
        <f t="shared" si="57"/>
        <v>0.91346153846153855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59">
        <v>4680115882072</v>
      </c>
      <c r="E444" s="560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3"/>
      <c r="R444" s="553"/>
      <c r="S444" s="553"/>
      <c r="T444" s="554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59">
        <v>4680115882102</v>
      </c>
      <c r="E445" s="560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6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3"/>
      <c r="R445" s="553"/>
      <c r="S445" s="553"/>
      <c r="T445" s="554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59">
        <v>4680115882096</v>
      </c>
      <c r="E446" s="560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6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7"/>
      <c r="P447" s="547" t="s">
        <v>71</v>
      </c>
      <c r="Q447" s="548"/>
      <c r="R447" s="548"/>
      <c r="S447" s="548"/>
      <c r="T447" s="548"/>
      <c r="U447" s="548"/>
      <c r="V447" s="549"/>
      <c r="W447" s="37" t="s">
        <v>72</v>
      </c>
      <c r="X447" s="543">
        <f>IFERROR(X441/H441,"0")+IFERROR(X442/H442,"0")+IFERROR(X443/H443,"0")+IFERROR(X444/H444,"0")+IFERROR(X445/H445,"0")+IFERROR(X446/H446,"0")</f>
        <v>265.15151515151513</v>
      </c>
      <c r="Y447" s="543">
        <f>IFERROR(Y441/H441,"0")+IFERROR(Y442/H442,"0")+IFERROR(Y443/H443,"0")+IFERROR(Y444/H444,"0")+IFERROR(Y445/H445,"0")+IFERROR(Y446/H446,"0")</f>
        <v>266</v>
      </c>
      <c r="Z447" s="543">
        <f>IFERROR(IF(Z441="",0,Z441),"0")+IFERROR(IF(Z442="",0,Z442),"0")+IFERROR(IF(Z443="",0,Z443),"0")+IFERROR(IF(Z444="",0,Z444),"0")+IFERROR(IF(Z445="",0,Z445),"0")+IFERROR(IF(Z446="",0,Z446),"0")</f>
        <v>3.1813600000000002</v>
      </c>
      <c r="AA447" s="544"/>
      <c r="AB447" s="544"/>
      <c r="AC447" s="544"/>
    </row>
    <row r="448" spans="1:68" x14ac:dyDescent="0.2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7"/>
      <c r="P448" s="547" t="s">
        <v>71</v>
      </c>
      <c r="Q448" s="548"/>
      <c r="R448" s="548"/>
      <c r="S448" s="548"/>
      <c r="T448" s="548"/>
      <c r="U448" s="548"/>
      <c r="V448" s="549"/>
      <c r="W448" s="37" t="s">
        <v>69</v>
      </c>
      <c r="X448" s="543">
        <f>IFERROR(SUM(X441:X446),"0")</f>
        <v>1400</v>
      </c>
      <c r="Y448" s="543">
        <f>IFERROR(SUM(Y441:Y446),"0")</f>
        <v>1404.48</v>
      </c>
      <c r="Z448" s="37"/>
      <c r="AA448" s="544"/>
      <c r="AB448" s="544"/>
      <c r="AC448" s="544"/>
    </row>
    <row r="449" spans="1:68" ht="14.25" hidden="1" customHeight="1" x14ac:dyDescent="0.25">
      <c r="A449" s="555" t="s">
        <v>73</v>
      </c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59">
        <v>4607091383409</v>
      </c>
      <c r="E450" s="560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3"/>
      <c r="R450" s="553"/>
      <c r="S450" s="553"/>
      <c r="T450" s="554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59">
        <v>4607091383416</v>
      </c>
      <c r="E451" s="560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3"/>
      <c r="R451" s="553"/>
      <c r="S451" s="553"/>
      <c r="T451" s="554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59">
        <v>4680115883536</v>
      </c>
      <c r="E452" s="560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3"/>
      <c r="R452" s="553"/>
      <c r="S452" s="553"/>
      <c r="T452" s="554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6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7"/>
      <c r="P453" s="547" t="s">
        <v>71</v>
      </c>
      <c r="Q453" s="548"/>
      <c r="R453" s="548"/>
      <c r="S453" s="548"/>
      <c r="T453" s="548"/>
      <c r="U453" s="548"/>
      <c r="V453" s="54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7"/>
      <c r="P454" s="547" t="s">
        <v>71</v>
      </c>
      <c r="Q454" s="548"/>
      <c r="R454" s="548"/>
      <c r="S454" s="548"/>
      <c r="T454" s="548"/>
      <c r="U454" s="548"/>
      <c r="V454" s="54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5" t="s">
        <v>697</v>
      </c>
      <c r="B455" s="636"/>
      <c r="C455" s="636"/>
      <c r="D455" s="636"/>
      <c r="E455" s="636"/>
      <c r="F455" s="636"/>
      <c r="G455" s="636"/>
      <c r="H455" s="636"/>
      <c r="I455" s="636"/>
      <c r="J455" s="636"/>
      <c r="K455" s="636"/>
      <c r="L455" s="636"/>
      <c r="M455" s="636"/>
      <c r="N455" s="636"/>
      <c r="O455" s="636"/>
      <c r="P455" s="636"/>
      <c r="Q455" s="636"/>
      <c r="R455" s="636"/>
      <c r="S455" s="636"/>
      <c r="T455" s="636"/>
      <c r="U455" s="636"/>
      <c r="V455" s="636"/>
      <c r="W455" s="636"/>
      <c r="X455" s="636"/>
      <c r="Y455" s="636"/>
      <c r="Z455" s="636"/>
      <c r="AA455" s="48"/>
      <c r="AB455" s="48"/>
      <c r="AC455" s="48"/>
    </row>
    <row r="456" spans="1:68" ht="16.5" hidden="1" customHeight="1" x14ac:dyDescent="0.25">
      <c r="A456" s="550" t="s">
        <v>697</v>
      </c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36"/>
      <c r="AB456" s="536"/>
      <c r="AC456" s="536"/>
    </row>
    <row r="457" spans="1:68" ht="14.25" hidden="1" customHeight="1" x14ac:dyDescent="0.25">
      <c r="A457" s="555" t="s">
        <v>101</v>
      </c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59">
        <v>4640242181011</v>
      </c>
      <c r="E458" s="560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3"/>
      <c r="R458" s="553"/>
      <c r="S458" s="553"/>
      <c r="T458" s="554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59">
        <v>4640242180441</v>
      </c>
      <c r="E459" s="560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4301011584</v>
      </c>
      <c r="D460" s="559">
        <v>4640242180564</v>
      </c>
      <c r="E460" s="560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3"/>
      <c r="R460" s="553"/>
      <c r="S460" s="553"/>
      <c r="T460" s="554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59">
        <v>4640242181189</v>
      </c>
      <c r="E461" s="560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8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3"/>
      <c r="R461" s="553"/>
      <c r="S461" s="553"/>
      <c r="T461" s="554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6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7"/>
      <c r="P462" s="547" t="s">
        <v>71</v>
      </c>
      <c r="Q462" s="548"/>
      <c r="R462" s="548"/>
      <c r="S462" s="548"/>
      <c r="T462" s="548"/>
      <c r="U462" s="548"/>
      <c r="V462" s="54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7"/>
      <c r="P463" s="547" t="s">
        <v>71</v>
      </c>
      <c r="Q463" s="548"/>
      <c r="R463" s="548"/>
      <c r="S463" s="548"/>
      <c r="T463" s="548"/>
      <c r="U463" s="548"/>
      <c r="V463" s="54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55" t="s">
        <v>136</v>
      </c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59">
        <v>4640242180519</v>
      </c>
      <c r="E465" s="560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3"/>
      <c r="R465" s="553"/>
      <c r="S465" s="553"/>
      <c r="T465" s="554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59">
        <v>4640242180526</v>
      </c>
      <c r="E466" s="560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3"/>
      <c r="R466" s="553"/>
      <c r="S466" s="553"/>
      <c r="T466" s="554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59">
        <v>4640242181363</v>
      </c>
      <c r="E467" s="560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3"/>
      <c r="R467" s="553"/>
      <c r="S467" s="553"/>
      <c r="T467" s="554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6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7"/>
      <c r="P468" s="547" t="s">
        <v>71</v>
      </c>
      <c r="Q468" s="548"/>
      <c r="R468" s="548"/>
      <c r="S468" s="548"/>
      <c r="T468" s="548"/>
      <c r="U468" s="548"/>
      <c r="V468" s="54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7"/>
      <c r="P469" s="547" t="s">
        <v>71</v>
      </c>
      <c r="Q469" s="548"/>
      <c r="R469" s="548"/>
      <c r="S469" s="548"/>
      <c r="T469" s="548"/>
      <c r="U469" s="548"/>
      <c r="V469" s="54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5" t="s">
        <v>64</v>
      </c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37"/>
      <c r="AB470" s="537"/>
      <c r="AC470" s="537"/>
    </row>
    <row r="471" spans="1:68" ht="27" hidden="1" customHeight="1" x14ac:dyDescent="0.25">
      <c r="A471" s="54" t="s">
        <v>718</v>
      </c>
      <c r="B471" s="54" t="s">
        <v>719</v>
      </c>
      <c r="C471" s="31">
        <v>4301031280</v>
      </c>
      <c r="D471" s="559">
        <v>4640242180816</v>
      </c>
      <c r="E471" s="560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3"/>
      <c r="R471" s="553"/>
      <c r="S471" s="553"/>
      <c r="T471" s="554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721</v>
      </c>
      <c r="B472" s="54" t="s">
        <v>722</v>
      </c>
      <c r="C472" s="31">
        <v>4301031244</v>
      </c>
      <c r="D472" s="559">
        <v>4640242180595</v>
      </c>
      <c r="E472" s="560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3"/>
      <c r="R472" s="553"/>
      <c r="S472" s="553"/>
      <c r="T472" s="554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6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7"/>
      <c r="P473" s="547" t="s">
        <v>71</v>
      </c>
      <c r="Q473" s="548"/>
      <c r="R473" s="548"/>
      <c r="S473" s="548"/>
      <c r="T473" s="548"/>
      <c r="U473" s="548"/>
      <c r="V473" s="54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7"/>
      <c r="P474" s="547" t="s">
        <v>71</v>
      </c>
      <c r="Q474" s="548"/>
      <c r="R474" s="548"/>
      <c r="S474" s="548"/>
      <c r="T474" s="548"/>
      <c r="U474" s="548"/>
      <c r="V474" s="54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55" t="s">
        <v>73</v>
      </c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37"/>
      <c r="AB475" s="537"/>
      <c r="AC475" s="537"/>
    </row>
    <row r="476" spans="1:68" ht="27" hidden="1" customHeight="1" x14ac:dyDescent="0.25">
      <c r="A476" s="54" t="s">
        <v>724</v>
      </c>
      <c r="B476" s="54" t="s">
        <v>725</v>
      </c>
      <c r="C476" s="31">
        <v>4301052046</v>
      </c>
      <c r="D476" s="559">
        <v>4640242180533</v>
      </c>
      <c r="E476" s="560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0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3"/>
      <c r="R476" s="553"/>
      <c r="S476" s="553"/>
      <c r="T476" s="554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6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7"/>
      <c r="P477" s="547" t="s">
        <v>71</v>
      </c>
      <c r="Q477" s="548"/>
      <c r="R477" s="548"/>
      <c r="S477" s="548"/>
      <c r="T477" s="548"/>
      <c r="U477" s="548"/>
      <c r="V477" s="54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7"/>
      <c r="P478" s="547" t="s">
        <v>71</v>
      </c>
      <c r="Q478" s="548"/>
      <c r="R478" s="548"/>
      <c r="S478" s="548"/>
      <c r="T478" s="548"/>
      <c r="U478" s="548"/>
      <c r="V478" s="54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55" t="s">
        <v>164</v>
      </c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59">
        <v>4640242180120</v>
      </c>
      <c r="E480" s="560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3"/>
      <c r="R480" s="553"/>
      <c r="S480" s="553"/>
      <c r="T480" s="554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59">
        <v>4640242180137</v>
      </c>
      <c r="E481" s="560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6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7"/>
      <c r="P482" s="547" t="s">
        <v>71</v>
      </c>
      <c r="Q482" s="548"/>
      <c r="R482" s="548"/>
      <c r="S482" s="548"/>
      <c r="T482" s="548"/>
      <c r="U482" s="548"/>
      <c r="V482" s="54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7"/>
      <c r="P483" s="547" t="s">
        <v>71</v>
      </c>
      <c r="Q483" s="548"/>
      <c r="R483" s="548"/>
      <c r="S483" s="548"/>
      <c r="T483" s="548"/>
      <c r="U483" s="548"/>
      <c r="V483" s="54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50" t="s">
        <v>733</v>
      </c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36"/>
      <c r="AB484" s="536"/>
      <c r="AC484" s="536"/>
    </row>
    <row r="485" spans="1:68" ht="14.25" hidden="1" customHeight="1" x14ac:dyDescent="0.25">
      <c r="A485" s="555" t="s">
        <v>136</v>
      </c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59">
        <v>4640242180090</v>
      </c>
      <c r="E486" s="560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1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3"/>
      <c r="R486" s="553"/>
      <c r="S486" s="553"/>
      <c r="T486" s="554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6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7"/>
      <c r="P487" s="547" t="s">
        <v>71</v>
      </c>
      <c r="Q487" s="548"/>
      <c r="R487" s="548"/>
      <c r="S487" s="548"/>
      <c r="T487" s="548"/>
      <c r="U487" s="548"/>
      <c r="V487" s="54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7"/>
      <c r="P488" s="547" t="s">
        <v>71</v>
      </c>
      <c r="Q488" s="548"/>
      <c r="R488" s="548"/>
      <c r="S488" s="548"/>
      <c r="T488" s="548"/>
      <c r="U488" s="548"/>
      <c r="V488" s="54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715"/>
      <c r="P489" s="629" t="s">
        <v>737</v>
      </c>
      <c r="Q489" s="630"/>
      <c r="R489" s="630"/>
      <c r="S489" s="630"/>
      <c r="T489" s="630"/>
      <c r="U489" s="630"/>
      <c r="V489" s="631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18063.5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18162.62</v>
      </c>
      <c r="Z489" s="37"/>
      <c r="AA489" s="544"/>
      <c r="AB489" s="544"/>
      <c r="AC489" s="544"/>
    </row>
    <row r="490" spans="1:68" x14ac:dyDescent="0.2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715"/>
      <c r="P490" s="629" t="s">
        <v>738</v>
      </c>
      <c r="Q490" s="630"/>
      <c r="R490" s="630"/>
      <c r="S490" s="630"/>
      <c r="T490" s="630"/>
      <c r="U490" s="630"/>
      <c r="V490" s="631"/>
      <c r="W490" s="37" t="s">
        <v>69</v>
      </c>
      <c r="X490" s="543">
        <f>IFERROR(SUM(BM22:BM486),"0")</f>
        <v>18913.912864703416</v>
      </c>
      <c r="Y490" s="543">
        <f>IFERROR(SUM(BN22:BN486),"0")</f>
        <v>19017.686999999998</v>
      </c>
      <c r="Z490" s="37"/>
      <c r="AA490" s="544"/>
      <c r="AB490" s="544"/>
      <c r="AC490" s="544"/>
    </row>
    <row r="491" spans="1:68" x14ac:dyDescent="0.2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715"/>
      <c r="P491" s="629" t="s">
        <v>739</v>
      </c>
      <c r="Q491" s="630"/>
      <c r="R491" s="630"/>
      <c r="S491" s="630"/>
      <c r="T491" s="630"/>
      <c r="U491" s="630"/>
      <c r="V491" s="631"/>
      <c r="W491" s="37" t="s">
        <v>740</v>
      </c>
      <c r="X491" s="38">
        <f>ROUNDUP(SUM(BO22:BO486),0)</f>
        <v>29</v>
      </c>
      <c r="Y491" s="38">
        <f>ROUNDUP(SUM(BP22:BP486),0)</f>
        <v>30</v>
      </c>
      <c r="Z491" s="37"/>
      <c r="AA491" s="544"/>
      <c r="AB491" s="544"/>
      <c r="AC491" s="544"/>
    </row>
    <row r="492" spans="1:68" x14ac:dyDescent="0.2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715"/>
      <c r="P492" s="629" t="s">
        <v>741</v>
      </c>
      <c r="Q492" s="630"/>
      <c r="R492" s="630"/>
      <c r="S492" s="630"/>
      <c r="T492" s="630"/>
      <c r="U492" s="630"/>
      <c r="V492" s="631"/>
      <c r="W492" s="37" t="s">
        <v>69</v>
      </c>
      <c r="X492" s="543">
        <f>GrossWeightTotal+PalletQtyTotal*25</f>
        <v>19638.912864703416</v>
      </c>
      <c r="Y492" s="543">
        <f>GrossWeightTotalR+PalletQtyTotalR*25</f>
        <v>19767.686999999998</v>
      </c>
      <c r="Z492" s="37"/>
      <c r="AA492" s="544"/>
      <c r="AB492" s="544"/>
      <c r="AC492" s="544"/>
    </row>
    <row r="493" spans="1:68" x14ac:dyDescent="0.2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715"/>
      <c r="P493" s="629" t="s">
        <v>742</v>
      </c>
      <c r="Q493" s="630"/>
      <c r="R493" s="630"/>
      <c r="S493" s="630"/>
      <c r="T493" s="630"/>
      <c r="U493" s="630"/>
      <c r="V493" s="631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2156.6864526490963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2170</v>
      </c>
      <c r="Z493" s="37"/>
      <c r="AA493" s="544"/>
      <c r="AB493" s="544"/>
      <c r="AC493" s="544"/>
    </row>
    <row r="494" spans="1:68" ht="14.25" hidden="1" customHeight="1" x14ac:dyDescent="0.2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715"/>
      <c r="P494" s="629" t="s">
        <v>743</v>
      </c>
      <c r="Q494" s="630"/>
      <c r="R494" s="630"/>
      <c r="S494" s="630"/>
      <c r="T494" s="630"/>
      <c r="U494" s="630"/>
      <c r="V494" s="631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33.912580000000005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6" t="s">
        <v>99</v>
      </c>
      <c r="D496" s="663"/>
      <c r="E496" s="663"/>
      <c r="F496" s="663"/>
      <c r="G496" s="663"/>
      <c r="H496" s="624"/>
      <c r="I496" s="596" t="s">
        <v>251</v>
      </c>
      <c r="J496" s="663"/>
      <c r="K496" s="663"/>
      <c r="L496" s="663"/>
      <c r="M496" s="663"/>
      <c r="N496" s="663"/>
      <c r="O496" s="663"/>
      <c r="P496" s="663"/>
      <c r="Q496" s="663"/>
      <c r="R496" s="624"/>
      <c r="S496" s="596" t="s">
        <v>535</v>
      </c>
      <c r="T496" s="624"/>
      <c r="U496" s="596" t="s">
        <v>586</v>
      </c>
      <c r="V496" s="663"/>
      <c r="W496" s="624"/>
      <c r="X496" s="538" t="s">
        <v>637</v>
      </c>
      <c r="Y496" s="596" t="s">
        <v>697</v>
      </c>
      <c r="Z496" s="624"/>
      <c r="AB496" s="52"/>
      <c r="AC496" s="52"/>
      <c r="AF496" s="539"/>
    </row>
    <row r="497" spans="1:32" ht="14.25" customHeight="1" thickTop="1" x14ac:dyDescent="0.2">
      <c r="A497" s="843" t="s">
        <v>746</v>
      </c>
      <c r="B497" s="596" t="s">
        <v>63</v>
      </c>
      <c r="C497" s="596" t="s">
        <v>100</v>
      </c>
      <c r="D497" s="596" t="s">
        <v>117</v>
      </c>
      <c r="E497" s="596" t="s">
        <v>171</v>
      </c>
      <c r="F497" s="596" t="s">
        <v>190</v>
      </c>
      <c r="G497" s="596" t="s">
        <v>220</v>
      </c>
      <c r="H497" s="596" t="s">
        <v>99</v>
      </c>
      <c r="I497" s="596" t="s">
        <v>252</v>
      </c>
      <c r="J497" s="596" t="s">
        <v>297</v>
      </c>
      <c r="K497" s="596" t="s">
        <v>356</v>
      </c>
      <c r="L497" s="596" t="s">
        <v>398</v>
      </c>
      <c r="M497" s="596" t="s">
        <v>414</v>
      </c>
      <c r="N497" s="539"/>
      <c r="O497" s="596" t="s">
        <v>425</v>
      </c>
      <c r="P497" s="596" t="s">
        <v>434</v>
      </c>
      <c r="Q497" s="596" t="s">
        <v>448</v>
      </c>
      <c r="R497" s="596" t="s">
        <v>525</v>
      </c>
      <c r="S497" s="596" t="s">
        <v>536</v>
      </c>
      <c r="T497" s="596" t="s">
        <v>570</v>
      </c>
      <c r="U497" s="596" t="s">
        <v>587</v>
      </c>
      <c r="V497" s="596" t="s">
        <v>618</v>
      </c>
      <c r="W497" s="596" t="s">
        <v>633</v>
      </c>
      <c r="X497" s="596" t="s">
        <v>637</v>
      </c>
      <c r="Y497" s="596" t="s">
        <v>697</v>
      </c>
      <c r="Z497" s="596" t="s">
        <v>733</v>
      </c>
      <c r="AB497" s="52"/>
      <c r="AC497" s="52"/>
      <c r="AF497" s="539"/>
    </row>
    <row r="498" spans="1:32" ht="13.5" customHeight="1" thickBot="1" x14ac:dyDescent="0.25">
      <c r="A498" s="844"/>
      <c r="B498" s="597"/>
      <c r="C498" s="597"/>
      <c r="D498" s="597"/>
      <c r="E498" s="597"/>
      <c r="F498" s="597"/>
      <c r="G498" s="597"/>
      <c r="H498" s="597"/>
      <c r="I498" s="597"/>
      <c r="J498" s="597"/>
      <c r="K498" s="597"/>
      <c r="L498" s="597"/>
      <c r="M498" s="597"/>
      <c r="N498" s="539"/>
      <c r="O498" s="597"/>
      <c r="P498" s="597"/>
      <c r="Q498" s="597"/>
      <c r="R498" s="597"/>
      <c r="S498" s="597"/>
      <c r="T498" s="597"/>
      <c r="U498" s="597"/>
      <c r="V498" s="597"/>
      <c r="W498" s="597"/>
      <c r="X498" s="597"/>
      <c r="Y498" s="597"/>
      <c r="Z498" s="597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907.2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660.80000000000007</v>
      </c>
      <c r="E499" s="46">
        <f>IFERROR(Y85*1,"0")+IFERROR(Y86*1,"0")+IFERROR(Y87*1,"0")+IFERROR(Y91*1,"0")+IFERROR(Y92*1,"0")+IFERROR(Y93*1,"0")+IFERROR(Y94*1,"0")</f>
        <v>912.6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1169.1000000000001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100.80000000000001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766.8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42.480000000000004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233.4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6951</v>
      </c>
      <c r="T499" s="46">
        <f>IFERROR(Y368*1,"0")+IFERROR(Y369*1,"0")+IFERROR(Y373*1,"0")+IFERROR(Y374*1,"0")+IFERROR(Y378*1,"0")+IFERROR(Y379*1,"0")</f>
        <v>2205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4213.4400000000005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400,00"/>
        <filter val="1 500,00"/>
        <filter val="1 800,00"/>
        <filter val="100,00"/>
        <filter val="101,85"/>
        <filter val="11,00"/>
        <filter val="11,11"/>
        <filter val="112,50"/>
        <filter val="130,00"/>
        <filter val="134,26"/>
        <filter val="143,33"/>
        <filter val="16,67"/>
        <filter val="18 063,50"/>
        <filter val="18 913,91"/>
        <filter val="189,39"/>
        <filter val="19 638,91"/>
        <filter val="2 000,00"/>
        <filter val="2 150,00"/>
        <filter val="2 156,69"/>
        <filter val="2 200,00"/>
        <filter val="200,00"/>
        <filter val="23,81"/>
        <filter val="244,44"/>
        <filter val="250,00"/>
        <filter val="265,15"/>
        <filter val="27,78"/>
        <filter val="29"/>
        <filter val="30,00"/>
        <filter val="300,00"/>
        <filter val="313,33"/>
        <filter val="340,91"/>
        <filter val="37,04"/>
        <filter val="4 700,00"/>
        <filter val="400,00"/>
        <filter val="50,00"/>
        <filter val="500,00"/>
        <filter val="53,16"/>
        <filter val="550,00"/>
        <filter val="60,02"/>
        <filter val="600,00"/>
        <filter val="61,73"/>
        <filter val="650,00"/>
        <filter val="750,00"/>
        <filter val="8,89"/>
        <filter val="80,00"/>
        <filter val="83,33"/>
        <filter val="862,50"/>
        <filter val="900,00"/>
      </filters>
    </filterColumn>
    <filterColumn colId="29" showButton="0"/>
    <filterColumn colId="30" showButton="0"/>
  </autoFilter>
  <mergeCells count="874"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P410:T410"/>
    <mergeCell ref="P385:T385"/>
    <mergeCell ref="D408:E408"/>
    <mergeCell ref="P216:V216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344:E344"/>
    <mergeCell ref="D42:E42"/>
    <mergeCell ref="D471:E47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A447:O448"/>
    <mergeCell ref="I496:R496"/>
    <mergeCell ref="B497:B498"/>
    <mergeCell ref="P492:V492"/>
    <mergeCell ref="S496:T496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A484:Z484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Q6:R6"/>
    <mergeCell ref="P200:T200"/>
    <mergeCell ref="P134:T134"/>
    <mergeCell ref="D386:E386"/>
    <mergeCell ref="P250:V250"/>
    <mergeCell ref="A364:O365"/>
    <mergeCell ref="A103:O104"/>
    <mergeCell ref="P415:T415"/>
    <mergeCell ref="P286:V286"/>
    <mergeCell ref="P336:T336"/>
    <mergeCell ref="P131:V131"/>
    <mergeCell ref="P187:V187"/>
    <mergeCell ref="P493:V493"/>
    <mergeCell ref="D452:E452"/>
    <mergeCell ref="P465:T465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192:O193"/>
    <mergeCell ref="D279:E279"/>
    <mergeCell ref="A136:O137"/>
    <mergeCell ref="D421:E421"/>
    <mergeCell ref="A479:Z479"/>
    <mergeCell ref="D191:E191"/>
    <mergeCell ref="D458:E458"/>
    <mergeCell ref="P368:T368"/>
    <mergeCell ref="A362:Z36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A20:Z20"/>
    <mergeCell ref="D17:E18"/>
    <mergeCell ref="V12:W12"/>
    <mergeCell ref="U17:V17"/>
    <mergeCell ref="Y17:Y18"/>
    <mergeCell ref="X17:X18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A457:Z457"/>
    <mergeCell ref="S497:S498"/>
    <mergeCell ref="P468:V468"/>
    <mergeCell ref="A464:Z464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W497:W498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P192:V192"/>
    <mergeCell ref="D151:E151"/>
    <mergeCell ref="D321:E321"/>
    <mergeCell ref="P278:T278"/>
    <mergeCell ref="P107:T107"/>
    <mergeCell ref="P101:T101"/>
    <mergeCell ref="D428:E428"/>
    <mergeCell ref="P91:T91"/>
    <mergeCell ref="P404:V404"/>
    <mergeCell ref="D273:E273"/>
    <mergeCell ref="A160:Z160"/>
    <mergeCell ref="P212:T212"/>
    <mergeCell ref="P405:V405"/>
    <mergeCell ref="A401:Z401"/>
    <mergeCell ref="A152:O153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P483:V483"/>
    <mergeCell ref="D298:E298"/>
    <mergeCell ref="U497:U498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40:T40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461:E461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321:T321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140:E140"/>
    <mergeCell ref="P451:T451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63:V63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A419:Z419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P149:V149"/>
    <mergeCell ref="P125:T125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B17:B18"/>
    <mergeCell ref="P143:V143"/>
    <mergeCell ref="A171:O172"/>
    <mergeCell ref="M17:M18"/>
    <mergeCell ref="P210:T210"/>
    <mergeCell ref="P439:V439"/>
    <mergeCell ref="D398:E398"/>
    <mergeCell ref="A438:O439"/>
    <mergeCell ref="P433:V43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P477:V477"/>
    <mergeCell ref="D124:E124"/>
    <mergeCell ref="P56:T56"/>
    <mergeCell ref="D195:E195"/>
    <mergeCell ref="P379:T379"/>
    <mergeCell ref="P462:V462"/>
    <mergeCell ref="A105:Z105"/>
    <mergeCell ref="A396:Z396"/>
    <mergeCell ref="D472:E472"/>
    <mergeCell ref="D410:E410"/>
    <mergeCell ref="A432:O433"/>
    <mergeCell ref="D423:E423"/>
    <mergeCell ref="D426:E426"/>
    <mergeCell ref="P446:T446"/>
    <mergeCell ref="P110:V110"/>
    <mergeCell ref="A338:O339"/>
    <mergeCell ref="P208:T208"/>
    <mergeCell ref="D460:E460"/>
    <mergeCell ref="P308:T308"/>
    <mergeCell ref="A267:O268"/>
    <mergeCell ref="A69:O70"/>
    <mergeCell ref="P185:T185"/>
    <mergeCell ref="D106:E106"/>
    <mergeCell ref="P427:T427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52:Z352"/>
    <mergeCell ref="A276:Z276"/>
    <mergeCell ref="A83:Z83"/>
    <mergeCell ref="A270:Z270"/>
    <mergeCell ref="P302:T302"/>
    <mergeCell ref="D174:E174"/>
    <mergeCell ref="A63:O64"/>
    <mergeCell ref="P306:V306"/>
    <mergeCell ref="D258:E258"/>
    <mergeCell ref="P235:V235"/>
    <mergeCell ref="D52:E52"/>
    <mergeCell ref="D27:E27"/>
    <mergeCell ref="P283:T283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2025-11-25T09:43:35Z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