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2B6EB7-261F-4403-8F78-91FF22536D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BP169" i="1" s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3" i="1"/>
  <c r="BN87" i="1"/>
  <c r="BN89" i="1"/>
  <c r="BN91" i="1"/>
  <c r="Y98" i="1"/>
  <c r="Y109" i="1"/>
  <c r="Z109" i="1"/>
  <c r="BN103" i="1"/>
  <c r="BN105" i="1"/>
  <c r="BN107" i="1"/>
  <c r="Z114" i="1"/>
  <c r="BN117" i="1"/>
  <c r="BP117" i="1"/>
  <c r="Y118" i="1"/>
  <c r="Z124" i="1"/>
  <c r="BN122" i="1"/>
  <c r="Z130" i="1"/>
  <c r="BN134" i="1"/>
  <c r="BN135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Z171" i="1"/>
  <c r="BN174" i="1"/>
  <c r="BP174" i="1"/>
  <c r="Y175" i="1"/>
  <c r="BN180" i="1"/>
  <c r="BP180" i="1"/>
  <c r="Y181" i="1"/>
  <c r="Z188" i="1"/>
  <c r="BN184" i="1"/>
  <c r="BN185" i="1"/>
  <c r="BN187" i="1"/>
  <c r="J9" i="1"/>
  <c r="X276" i="1"/>
  <c r="X277" i="1" s="1"/>
  <c r="Y172" i="1"/>
  <c r="Y213" i="1"/>
  <c r="Y260" i="1"/>
  <c r="F9" i="1"/>
  <c r="F10" i="1"/>
  <c r="BN22" i="1"/>
  <c r="BP22" i="1"/>
  <c r="Y23" i="1"/>
  <c r="Z30" i="1"/>
  <c r="BN28" i="1"/>
  <c r="BP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15" i="1"/>
  <c r="BN113" i="1"/>
  <c r="Y124" i="1"/>
  <c r="Y131" i="1"/>
  <c r="BN129" i="1"/>
  <c r="BN169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Y31" i="1"/>
  <c r="Y38" i="1"/>
  <c r="Y45" i="1"/>
  <c r="Y60" i="1"/>
  <c r="Y66" i="1"/>
  <c r="Y71" i="1"/>
  <c r="Y83" i="1"/>
  <c r="Y92" i="1"/>
  <c r="Y99" i="1"/>
  <c r="Y110" i="1"/>
  <c r="Y114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6" i="1" l="1"/>
  <c r="Y278" i="1"/>
  <c r="Y274" i="1"/>
  <c r="Y275" i="1"/>
  <c r="C287" i="1"/>
  <c r="Y277" i="1"/>
  <c r="B287" i="1"/>
  <c r="A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<sst xmlns="http://schemas.openxmlformats.org/spreadsheetml/2006/main" count="1230" uniqueCount="397">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</sst>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29" t="s">
        <v>7</v>
      </c>
      <c r="B5" s="318"/>
      <c r="C5" s="319"/>
      <c r="D5" s="325"/>
      <c r="E5" s="326"/>
      <c r="F5" s="443" t="s">
        <v>8</v>
      </c>
      <c r="G5" s="319"/>
      <c r="H5" s="325" t="s">
        <v>396</v>
      </c>
      <c r="I5" s="371"/>
      <c r="J5" s="371"/>
      <c r="K5" s="371"/>
      <c r="L5" s="371"/>
      <c r="M5" s="326"/>
      <c r="N5" s="61"/>
      <c r="P5" s="24" t="s">
        <v>9</v>
      </c>
      <c r="Q5" s="428">
        <v>45992</v>
      </c>
      <c r="R5" s="347"/>
      <c r="T5" s="364" t="s">
        <v>10</v>
      </c>
      <c r="U5" s="365"/>
      <c r="V5" s="366" t="s">
        <v>11</v>
      </c>
      <c r="W5" s="347"/>
      <c r="AB5" s="51"/>
      <c r="AC5" s="51"/>
      <c r="AD5" s="51"/>
      <c r="AE5" s="51"/>
    </row>
    <row r="6" spans="1:32" s="265" customFormat="1" ht="24" customHeight="1" x14ac:dyDescent="0.2">
      <c r="A6" s="329" t="s">
        <v>12</v>
      </c>
      <c r="B6" s="318"/>
      <c r="C6" s="319"/>
      <c r="D6" s="410" t="s">
        <v>13</v>
      </c>
      <c r="E6" s="411"/>
      <c r="F6" s="411"/>
      <c r="G6" s="411"/>
      <c r="H6" s="411"/>
      <c r="I6" s="411"/>
      <c r="J6" s="411"/>
      <c r="K6" s="411"/>
      <c r="L6" s="411"/>
      <c r="M6" s="347"/>
      <c r="N6" s="62"/>
      <c r="P6" s="24" t="s">
        <v>14</v>
      </c>
      <c r="Q6" s="42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5"/>
      <c r="V6" s="401" t="s">
        <v>16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65"/>
      <c r="V7" s="402"/>
      <c r="W7" s="403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7"/>
      <c r="C8" s="278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32">
        <v>0.45833333333333331</v>
      </c>
      <c r="R8" s="307"/>
      <c r="T8" s="280"/>
      <c r="U8" s="365"/>
      <c r="V8" s="402"/>
      <c r="W8" s="403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20</v>
      </c>
      <c r="Q9" s="344"/>
      <c r="R9" s="345"/>
      <c r="T9" s="280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0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21</v>
      </c>
      <c r="Q10" s="373"/>
      <c r="R10" s="374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0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43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32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43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20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43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5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2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35</v>
      </c>
      <c r="B17" s="297" t="s">
        <v>36</v>
      </c>
      <c r="C17" s="352" t="s">
        <v>37</v>
      </c>
      <c r="D17" s="297" t="s">
        <v>38</v>
      </c>
      <c r="E17" s="336"/>
      <c r="F17" s="297" t="s">
        <v>39</v>
      </c>
      <c r="G17" s="297" t="s">
        <v>40</v>
      </c>
      <c r="H17" s="297" t="s">
        <v>41</v>
      </c>
      <c r="I17" s="297" t="s">
        <v>42</v>
      </c>
      <c r="J17" s="297" t="s">
        <v>43</v>
      </c>
      <c r="K17" s="297" t="s">
        <v>44</v>
      </c>
      <c r="L17" s="297" t="s">
        <v>45</v>
      </c>
      <c r="M17" s="297" t="s">
        <v>46</v>
      </c>
      <c r="N17" s="297" t="s">
        <v>47</v>
      </c>
      <c r="O17" s="297" t="s">
        <v>48</v>
      </c>
      <c r="P17" s="297" t="s">
        <v>49</v>
      </c>
      <c r="Q17" s="335"/>
      <c r="R17" s="335"/>
      <c r="S17" s="335"/>
      <c r="T17" s="336"/>
      <c r="U17" s="449" t="s">
        <v>50</v>
      </c>
      <c r="V17" s="319"/>
      <c r="W17" s="297" t="s">
        <v>51</v>
      </c>
      <c r="X17" s="297" t="s">
        <v>52</v>
      </c>
      <c r="Y17" s="450" t="s">
        <v>53</v>
      </c>
      <c r="Z17" s="408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8"/>
      <c r="AF17" s="439"/>
      <c r="AG17" s="69"/>
      <c r="BD17" s="68" t="s">
        <v>59</v>
      </c>
    </row>
    <row r="18" spans="1:68" ht="14.25" customHeight="1" x14ac:dyDescent="0.2">
      <c r="A18" s="298"/>
      <c r="B18" s="298"/>
      <c r="C18" s="298"/>
      <c r="D18" s="337"/>
      <c r="E18" s="339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8"/>
      <c r="X18" s="298"/>
      <c r="Y18" s="451"/>
      <c r="Z18" s="409"/>
      <c r="AA18" s="398"/>
      <c r="AB18" s="398"/>
      <c r="AC18" s="398"/>
      <c r="AD18" s="440"/>
      <c r="AE18" s="441"/>
      <c r="AF18" s="442"/>
      <c r="AG18" s="69"/>
      <c r="BD18" s="68"/>
    </row>
    <row r="19" spans="1:68" ht="27.75" hidden="1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69</v>
      </c>
      <c r="X28" s="268">
        <v>28</v>
      </c>
      <c r="Y28" s="269">
        <f>IFERROR(IF(X28="","",X28),"")</f>
        <v>28</v>
      </c>
      <c r="Z28" s="36">
        <f>IFERROR(IF(X28="","",X28*0.00941),"")</f>
        <v>0.26347999999999999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53.810400000000001</v>
      </c>
      <c r="BN28" s="67">
        <f>IFERROR(Y28*I28,"0")</f>
        <v>53.810400000000001</v>
      </c>
      <c r="BO28" s="67">
        <f>IFERROR(X28/J28,"0")</f>
        <v>0.2</v>
      </c>
      <c r="BP28" s="67">
        <f>IFERROR(Y28/J28,"0")</f>
        <v>0.2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28</v>
      </c>
      <c r="Y30" s="270">
        <f>IFERROR(SUM(Y28:Y29),"0")</f>
        <v>28</v>
      </c>
      <c r="Z30" s="270">
        <f>IFERROR(IF(Z28="",0,Z28),"0")+IFERROR(IF(Z29="",0,Z29),"0")</f>
        <v>0.26347999999999999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42</v>
      </c>
      <c r="Y31" s="270">
        <f>IFERROR(SUMPRODUCT(Y28:Y29*H28:H29),"0")</f>
        <v>42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69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48</v>
      </c>
      <c r="Y37" s="270">
        <f>IFERROR(SUM(Y34:Y36),"0")</f>
        <v>48</v>
      </c>
      <c r="Z37" s="270">
        <f>IFERROR(IF(Z34="",0,Z34),"0")+IFERROR(IF(Z35="",0,Z35),"0")+IFERROR(IF(Z36="",0,Z36),"0")</f>
        <v>0.74399999999999999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268.79999999999995</v>
      </c>
      <c r="Y38" s="270">
        <f>IFERROR(SUMPRODUCT(Y34:Y36*H34:H36),"0")</f>
        <v>268.79999999999995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69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69</v>
      </c>
      <c r="X42" s="268">
        <v>12</v>
      </c>
      <c r="Y42" s="269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5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69</v>
      </c>
      <c r="X44" s="268">
        <v>24</v>
      </c>
      <c r="Y44" s="269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60</v>
      </c>
      <c r="Y45" s="270">
        <f>IFERROR(SUM(Y41:Y44),"0")</f>
        <v>60</v>
      </c>
      <c r="Z45" s="270">
        <f>IFERROR(IF(Z41="",0,Z41),"0")+IFERROR(IF(Z42="",0,Z42),"0")+IFERROR(IF(Z43="",0,Z43),"0")+IFERROR(IF(Z44="",0,Z44),"0")</f>
        <v>0.93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420</v>
      </c>
      <c r="Y46" s="270">
        <f>IFERROR(SUMPRODUCT(Y41:Y44*H41:H44),"0")</f>
        <v>420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69</v>
      </c>
      <c r="X70" s="268">
        <v>60</v>
      </c>
      <c r="Y70" s="269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60</v>
      </c>
      <c r="Y71" s="270">
        <f>IFERROR(SUM(Y69:Y70),"0")</f>
        <v>60</v>
      </c>
      <c r="Z71" s="270">
        <f>IFERROR(IF(Z69="",0,Z69),"0")+IFERROR(IF(Z70="",0,Z70),"0")</f>
        <v>0.51959999999999995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300</v>
      </c>
      <c r="Y72" s="270">
        <f>IFERROR(SUMPRODUCT(Y69:Y70*H69:H70),"0")</f>
        <v>300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hidden="1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3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69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69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98</v>
      </c>
      <c r="Y82" s="270">
        <f>IFERROR(SUM(Y80:Y81),"0")</f>
        <v>98</v>
      </c>
      <c r="Z82" s="270">
        <f>IFERROR(IF(Z80="",0,Z80),"0")+IFERROR(IF(Z81="",0,Z81),"0")</f>
        <v>1.75224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352.8</v>
      </c>
      <c r="Y83" s="270">
        <f>IFERROR(SUMPRODUCT(Y80:Y81*H80:H81),"0")</f>
        <v>352.8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69</v>
      </c>
      <c r="X86" s="268">
        <v>42</v>
      </c>
      <c r="Y86" s="269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69</v>
      </c>
      <c r="X88" s="268">
        <v>42</v>
      </c>
      <c r="Y88" s="269">
        <f t="shared" si="0"/>
        <v>42</v>
      </c>
      <c r="Z88" s="36">
        <f t="shared" si="1"/>
        <v>0.75095999999999996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150.5112</v>
      </c>
      <c r="BN88" s="67">
        <f t="shared" si="3"/>
        <v>150.5112</v>
      </c>
      <c r="BO88" s="67">
        <f t="shared" si="4"/>
        <v>0.6</v>
      </c>
      <c r="BP88" s="67">
        <f t="shared" si="5"/>
        <v>0.6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69</v>
      </c>
      <c r="X89" s="268">
        <v>28</v>
      </c>
      <c r="Y89" s="269">
        <f t="shared" si="0"/>
        <v>28</v>
      </c>
      <c r="Z89" s="36">
        <f t="shared" si="1"/>
        <v>0.50063999999999997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100.3408</v>
      </c>
      <c r="BN89" s="67">
        <f t="shared" si="3"/>
        <v>100.3408</v>
      </c>
      <c r="BO89" s="67">
        <f t="shared" si="4"/>
        <v>0.4</v>
      </c>
      <c r="BP89" s="67">
        <f t="shared" si="5"/>
        <v>0.4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69</v>
      </c>
      <c r="X90" s="268">
        <v>14</v>
      </c>
      <c r="Y90" s="269">
        <f t="shared" si="0"/>
        <v>14</v>
      </c>
      <c r="Z90" s="36">
        <f t="shared" si="1"/>
        <v>0.25031999999999999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62.283200000000008</v>
      </c>
      <c r="BN90" s="67">
        <f t="shared" si="3"/>
        <v>62.283200000000008</v>
      </c>
      <c r="BO90" s="67">
        <f t="shared" si="4"/>
        <v>0.2</v>
      </c>
      <c r="BP90" s="67">
        <f t="shared" si="5"/>
        <v>0.2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67</v>
      </c>
      <c r="M91" s="33" t="s">
        <v>68</v>
      </c>
      <c r="N91" s="33"/>
      <c r="O91" s="32">
        <v>180</v>
      </c>
      <c r="P91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71</v>
      </c>
      <c r="AK91" s="71">
        <v>1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3.2541599999999997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556.07999999999993</v>
      </c>
      <c r="Y93" s="270">
        <f>IFERROR(SUMPRODUCT(Y86:Y91*H86:H91),"0")</f>
        <v>556.07999999999993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69</v>
      </c>
      <c r="X104" s="268">
        <v>36</v>
      </c>
      <c r="Y104" s="269">
        <f t="shared" si="6"/>
        <v>36</v>
      </c>
      <c r="Z104" s="36">
        <f t="shared" si="7"/>
        <v>0.55800000000000005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262.8</v>
      </c>
      <c r="BN104" s="67">
        <f t="shared" si="9"/>
        <v>262.8</v>
      </c>
      <c r="BO104" s="67">
        <f t="shared" si="10"/>
        <v>0.42857142857142855</v>
      </c>
      <c r="BP104" s="67">
        <f t="shared" si="11"/>
        <v>0.42857142857142855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69</v>
      </c>
      <c r="X107" s="268">
        <v>108</v>
      </c>
      <c r="Y107" s="269">
        <f t="shared" si="6"/>
        <v>108</v>
      </c>
      <c r="Z107" s="36">
        <f t="shared" si="7"/>
        <v>1.6739999999999999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788.4</v>
      </c>
      <c r="BN107" s="67">
        <f t="shared" si="9"/>
        <v>788.4</v>
      </c>
      <c r="BO107" s="67">
        <f t="shared" si="10"/>
        <v>1.2857142857142858</v>
      </c>
      <c r="BP107" s="67">
        <f t="shared" si="11"/>
        <v>1.2857142857142858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7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156</v>
      </c>
      <c r="Y109" s="270">
        <f>IFERROR(SUM(Y102:Y108),"0")</f>
        <v>156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2.4180000000000001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1092</v>
      </c>
      <c r="Y110" s="270">
        <f>IFERROR(SUMPRODUCT(Y102:Y108*H102:H108),"0")</f>
        <v>1092</v>
      </c>
      <c r="Z110" s="37"/>
      <c r="AA110" s="271"/>
      <c r="AB110" s="271"/>
      <c r="AC110" s="271"/>
    </row>
    <row r="111" spans="1:68" ht="14.25" hidden="1" customHeight="1" x14ac:dyDescent="0.25">
      <c r="A111" s="304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2"/>
      <c r="AB111" s="262"/>
      <c r="AC111" s="262"/>
    </row>
    <row r="112" spans="1:68" ht="27" hidden="1" customHeight="1" x14ac:dyDescent="0.25">
      <c r="A112" s="54" t="s">
        <v>186</v>
      </c>
      <c r="B112" s="54" t="s">
        <v>187</v>
      </c>
      <c r="C112" s="31">
        <v>4301135670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2"/>
      <c r="R112" s="282"/>
      <c r="S112" s="282"/>
      <c r="T112" s="283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hidden="1" customHeight="1" x14ac:dyDescent="0.25">
      <c r="A113" s="54" t="s">
        <v>189</v>
      </c>
      <c r="B113" s="54" t="s">
        <v>190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72</v>
      </c>
      <c r="Q114" s="277"/>
      <c r="R114" s="277"/>
      <c r="S114" s="277"/>
      <c r="T114" s="277"/>
      <c r="U114" s="277"/>
      <c r="V114" s="278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hidden="1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72</v>
      </c>
      <c r="Q115" s="277"/>
      <c r="R115" s="277"/>
      <c r="S115" s="277"/>
      <c r="T115" s="277"/>
      <c r="U115" s="277"/>
      <c r="V115" s="278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192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193</v>
      </c>
      <c r="B117" s="54" t="s">
        <v>194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72</v>
      </c>
      <c r="Q118" s="277"/>
      <c r="R118" s="277"/>
      <c r="S118" s="277"/>
      <c r="T118" s="277"/>
      <c r="U118" s="277"/>
      <c r="V118" s="278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72</v>
      </c>
      <c r="Q119" s="277"/>
      <c r="R119" s="277"/>
      <c r="S119" s="277"/>
      <c r="T119" s="277"/>
      <c r="U119" s="277"/>
      <c r="V119" s="278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196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120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69</v>
      </c>
      <c r="X122" s="268">
        <v>42</v>
      </c>
      <c r="Y122" s="269">
        <f>IFERROR(IF(X122="","",X122),"")</f>
        <v>42</v>
      </c>
      <c r="Z122" s="36">
        <f>IFERROR(IF(X122="","",X122*0.01788),"")</f>
        <v>0.75095999999999996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155.55119999999999</v>
      </c>
      <c r="BN122" s="67">
        <f>IFERROR(Y122*I122,"0")</f>
        <v>155.55119999999999</v>
      </c>
      <c r="BO122" s="67">
        <f>IFERROR(X122/J122,"0")</f>
        <v>0.6</v>
      </c>
      <c r="BP122" s="67">
        <f>IFERROR(Y122/J122,"0")</f>
        <v>0.6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69</v>
      </c>
      <c r="X123" s="268">
        <v>56</v>
      </c>
      <c r="Y123" s="269">
        <f>IFERROR(IF(X123="","",X123),"")</f>
        <v>56</v>
      </c>
      <c r="Z123" s="36">
        <f>IFERROR(IF(X123="","",X123*0.01788),"")</f>
        <v>1.0012799999999999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207.40159999999997</v>
      </c>
      <c r="BN123" s="67">
        <f>IFERROR(Y123*I123,"0")</f>
        <v>207.40159999999997</v>
      </c>
      <c r="BO123" s="67">
        <f>IFERROR(X123/J123,"0")</f>
        <v>0.8</v>
      </c>
      <c r="BP123" s="67">
        <f>IFERROR(Y123/J123,"0")</f>
        <v>0.8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72</v>
      </c>
      <c r="Q124" s="277"/>
      <c r="R124" s="277"/>
      <c r="S124" s="277"/>
      <c r="T124" s="277"/>
      <c r="U124" s="277"/>
      <c r="V124" s="278"/>
      <c r="W124" s="37" t="s">
        <v>69</v>
      </c>
      <c r="X124" s="270">
        <f>IFERROR(SUM(X122:X123),"0")</f>
        <v>98</v>
      </c>
      <c r="Y124" s="270">
        <f>IFERROR(SUM(Y122:Y123),"0")</f>
        <v>98</v>
      </c>
      <c r="Z124" s="270">
        <f>IFERROR(IF(Z122="",0,Z122),"0")+IFERROR(IF(Z123="",0,Z123),"0")</f>
        <v>1.75224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72</v>
      </c>
      <c r="Q125" s="277"/>
      <c r="R125" s="277"/>
      <c r="S125" s="277"/>
      <c r="T125" s="277"/>
      <c r="U125" s="277"/>
      <c r="V125" s="278"/>
      <c r="W125" s="37" t="s">
        <v>73</v>
      </c>
      <c r="X125" s="270">
        <f>IFERROR(SUMPRODUCT(X122:X123*H122:H123),"0")</f>
        <v>294</v>
      </c>
      <c r="Y125" s="270">
        <f>IFERROR(SUMPRODUCT(Y122:Y123*H122:H123),"0")</f>
        <v>294</v>
      </c>
      <c r="Z125" s="37"/>
      <c r="AA125" s="271"/>
      <c r="AB125" s="271"/>
      <c r="AC125" s="271"/>
    </row>
    <row r="126" spans="1:68" ht="16.5" hidden="1" customHeight="1" x14ac:dyDescent="0.25">
      <c r="A126" s="279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120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hidden="1" customHeight="1" x14ac:dyDescent="0.25">
      <c r="A128" s="54" t="s">
        <v>205</v>
      </c>
      <c r="B128" s="54" t="s">
        <v>206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69</v>
      </c>
      <c r="X129" s="268">
        <v>28</v>
      </c>
      <c r="Y129" s="269">
        <f>IFERROR(IF(X129="","",X129),"")</f>
        <v>28</v>
      </c>
      <c r="Z129" s="36">
        <f>IFERROR(IF(X129="","",X129*0.01788),"")</f>
        <v>0.50063999999999997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103.70079999999999</v>
      </c>
      <c r="BN129" s="67">
        <f>IFERROR(Y129*I129,"0")</f>
        <v>103.70079999999999</v>
      </c>
      <c r="BO129" s="67">
        <f>IFERROR(X129/J129,"0")</f>
        <v>0.4</v>
      </c>
      <c r="BP129" s="67">
        <f>IFERROR(Y129/J129,"0")</f>
        <v>0.4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72</v>
      </c>
      <c r="Q130" s="277"/>
      <c r="R130" s="277"/>
      <c r="S130" s="277"/>
      <c r="T130" s="277"/>
      <c r="U130" s="277"/>
      <c r="V130" s="278"/>
      <c r="W130" s="37" t="s">
        <v>69</v>
      </c>
      <c r="X130" s="270">
        <f>IFERROR(SUM(X128:X129),"0")</f>
        <v>28</v>
      </c>
      <c r="Y130" s="270">
        <f>IFERROR(SUM(Y128:Y129),"0")</f>
        <v>28</v>
      </c>
      <c r="Z130" s="270">
        <f>IFERROR(IF(Z128="",0,Z128),"0")+IFERROR(IF(Z129="",0,Z129),"0")</f>
        <v>0.50063999999999997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72</v>
      </c>
      <c r="Q131" s="277"/>
      <c r="R131" s="277"/>
      <c r="S131" s="277"/>
      <c r="T131" s="277"/>
      <c r="U131" s="277"/>
      <c r="V131" s="278"/>
      <c r="W131" s="37" t="s">
        <v>73</v>
      </c>
      <c r="X131" s="270">
        <f>IFERROR(SUMPRODUCT(X128:X129*H128:H129),"0")</f>
        <v>84</v>
      </c>
      <c r="Y131" s="270">
        <f>IFERROR(SUMPRODUCT(Y128:Y129*H128:H129),"0")</f>
        <v>84</v>
      </c>
      <c r="Z131" s="37"/>
      <c r="AA131" s="271"/>
      <c r="AB131" s="271"/>
      <c r="AC131" s="271"/>
    </row>
    <row r="132" spans="1:68" ht="16.5" hidden="1" customHeight="1" x14ac:dyDescent="0.25">
      <c r="A132" s="279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120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3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45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69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199</v>
      </c>
      <c r="AG135" s="67"/>
      <c r="AJ135" s="71" t="s">
        <v>71</v>
      </c>
      <c r="AK135" s="71">
        <v>1</v>
      </c>
      <c r="BB135" s="163" t="s">
        <v>83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72</v>
      </c>
      <c r="Q136" s="277"/>
      <c r="R136" s="277"/>
      <c r="S136" s="277"/>
      <c r="T136" s="277"/>
      <c r="U136" s="277"/>
      <c r="V136" s="278"/>
      <c r="W136" s="37" t="s">
        <v>69</v>
      </c>
      <c r="X136" s="270">
        <f>IFERROR(SUM(X134:X135),"0")</f>
        <v>28</v>
      </c>
      <c r="Y136" s="270">
        <f>IFERROR(SUM(Y134:Y135),"0")</f>
        <v>28</v>
      </c>
      <c r="Z136" s="270">
        <f>IFERROR(IF(Z134="",0,Z134),"0")+IFERROR(IF(Z135="",0,Z135),"0")</f>
        <v>0.50063999999999997</v>
      </c>
      <c r="AA136" s="271"/>
      <c r="AB136" s="271"/>
      <c r="AC136" s="271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72</v>
      </c>
      <c r="Q137" s="277"/>
      <c r="R137" s="277"/>
      <c r="S137" s="277"/>
      <c r="T137" s="277"/>
      <c r="U137" s="277"/>
      <c r="V137" s="278"/>
      <c r="W137" s="37" t="s">
        <v>73</v>
      </c>
      <c r="X137" s="270">
        <f>IFERROR(SUMPRODUCT(X134:X135*H134:H135),"0")</f>
        <v>67.2</v>
      </c>
      <c r="Y137" s="270">
        <f>IFERROR(SUMPRODUCT(Y134:Y135*H134:H135),"0")</f>
        <v>67.2</v>
      </c>
      <c r="Z137" s="37"/>
      <c r="AA137" s="271"/>
      <c r="AB137" s="271"/>
      <c r="AC137" s="271"/>
    </row>
    <row r="138" spans="1:68" ht="16.5" hidden="1" customHeight="1" x14ac:dyDescent="0.25">
      <c r="A138" s="279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120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hidden="1" customHeight="1" x14ac:dyDescent="0.25">
      <c r="A140" s="54" t="s">
        <v>217</v>
      </c>
      <c r="B140" s="54" t="s">
        <v>218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72</v>
      </c>
      <c r="Q141" s="277"/>
      <c r="R141" s="277"/>
      <c r="S141" s="277"/>
      <c r="T141" s="277"/>
      <c r="U141" s="277"/>
      <c r="V141" s="278"/>
      <c r="W141" s="37" t="s">
        <v>69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hidden="1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72</v>
      </c>
      <c r="Q142" s="277"/>
      <c r="R142" s="277"/>
      <c r="S142" s="277"/>
      <c r="T142" s="277"/>
      <c r="U142" s="277"/>
      <c r="V142" s="278"/>
      <c r="W142" s="37" t="s">
        <v>73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79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120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71</v>
      </c>
      <c r="AK145" s="71">
        <v>1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72</v>
      </c>
      <c r="Q146" s="277"/>
      <c r="R146" s="277"/>
      <c r="S146" s="277"/>
      <c r="T146" s="277"/>
      <c r="U146" s="277"/>
      <c r="V146" s="278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72</v>
      </c>
      <c r="Q147" s="277"/>
      <c r="R147" s="277"/>
      <c r="S147" s="277"/>
      <c r="T147" s="277"/>
      <c r="U147" s="277"/>
      <c r="V147" s="278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192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67</v>
      </c>
      <c r="M150" s="33" t="s">
        <v>68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71</v>
      </c>
      <c r="AK150" s="71">
        <v>1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72</v>
      </c>
      <c r="Q151" s="277"/>
      <c r="R151" s="277"/>
      <c r="S151" s="277"/>
      <c r="T151" s="277"/>
      <c r="U151" s="277"/>
      <c r="V151" s="278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72</v>
      </c>
      <c r="Q152" s="277"/>
      <c r="R152" s="277"/>
      <c r="S152" s="277"/>
      <c r="T152" s="277"/>
      <c r="U152" s="277"/>
      <c r="V152" s="278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79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120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hidden="1" customHeight="1" x14ac:dyDescent="0.25">
      <c r="A155" s="54" t="s">
        <v>229</v>
      </c>
      <c r="B155" s="54" t="s">
        <v>230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69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72</v>
      </c>
      <c r="Q156" s="277"/>
      <c r="R156" s="277"/>
      <c r="S156" s="277"/>
      <c r="T156" s="277"/>
      <c r="U156" s="277"/>
      <c r="V156" s="278"/>
      <c r="W156" s="37" t="s">
        <v>69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hidden="1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72</v>
      </c>
      <c r="Q157" s="277"/>
      <c r="R157" s="277"/>
      <c r="S157" s="277"/>
      <c r="T157" s="277"/>
      <c r="U157" s="277"/>
      <c r="V157" s="278"/>
      <c r="W157" s="37" t="s">
        <v>73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hidden="1" customHeight="1" x14ac:dyDescent="0.2">
      <c r="A158" s="320" t="s">
        <v>232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63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69</v>
      </c>
      <c r="X162" s="268">
        <v>84</v>
      </c>
      <c r="Y162" s="269">
        <f>IFERROR(IF(X162="","",X162),"")</f>
        <v>84</v>
      </c>
      <c r="Z162" s="36">
        <f>IFERROR(IF(X162="","",X162*0.00866),"")</f>
        <v>0.72743999999999998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437.90879999999999</v>
      </c>
      <c r="BN162" s="67">
        <f>IFERROR(Y162*I162,"0")</f>
        <v>437.90879999999999</v>
      </c>
      <c r="BO162" s="67">
        <f>IFERROR(X162/J162,"0")</f>
        <v>0.58333333333333337</v>
      </c>
      <c r="BP162" s="67">
        <f>IFERROR(Y162/J162,"0")</f>
        <v>0.58333333333333337</v>
      </c>
    </row>
    <row r="163" spans="1:68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72</v>
      </c>
      <c r="Q163" s="277"/>
      <c r="R163" s="277"/>
      <c r="S163" s="277"/>
      <c r="T163" s="277"/>
      <c r="U163" s="277"/>
      <c r="V163" s="278"/>
      <c r="W163" s="37" t="s">
        <v>69</v>
      </c>
      <c r="X163" s="270">
        <f>IFERROR(SUM(X161:X162),"0")</f>
        <v>84</v>
      </c>
      <c r="Y163" s="270">
        <f>IFERROR(SUM(Y161:Y162),"0")</f>
        <v>84</v>
      </c>
      <c r="Z163" s="270">
        <f>IFERROR(IF(Z161="",0,Z161),"0")+IFERROR(IF(Z162="",0,Z162),"0")</f>
        <v>0.72743999999999998</v>
      </c>
      <c r="AA163" s="271"/>
      <c r="AB163" s="271"/>
      <c r="AC163" s="271"/>
    </row>
    <row r="164" spans="1:68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72</v>
      </c>
      <c r="Q164" s="277"/>
      <c r="R164" s="277"/>
      <c r="S164" s="277"/>
      <c r="T164" s="277"/>
      <c r="U164" s="277"/>
      <c r="V164" s="278"/>
      <c r="W164" s="37" t="s">
        <v>73</v>
      </c>
      <c r="X164" s="270">
        <f>IFERROR(SUMPRODUCT(X161:X162*H161:H162),"0")</f>
        <v>420</v>
      </c>
      <c r="Y164" s="270">
        <f>IFERROR(SUMPRODUCT(Y161:Y162*H161:H162),"0")</f>
        <v>420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240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76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9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69</v>
      </c>
      <c r="X168" s="268">
        <v>28</v>
      </c>
      <c r="Y168" s="269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72</v>
      </c>
      <c r="Q171" s="277"/>
      <c r="R171" s="277"/>
      <c r="S171" s="277"/>
      <c r="T171" s="277"/>
      <c r="U171" s="277"/>
      <c r="V171" s="278"/>
      <c r="W171" s="37" t="s">
        <v>69</v>
      </c>
      <c r="X171" s="270">
        <f>IFERROR(SUM(X168:X170),"0")</f>
        <v>70</v>
      </c>
      <c r="Y171" s="270">
        <f>IFERROR(SUM(Y168:Y170),"0")</f>
        <v>70</v>
      </c>
      <c r="Z171" s="270">
        <f>IFERROR(IF(Z168="",0,Z168),"0")+IFERROR(IF(Z169="",0,Z169),"0")+IFERROR(IF(Z170="",0,Z170),"0")</f>
        <v>1.2515999999999998</v>
      </c>
      <c r="AA171" s="271"/>
      <c r="AB171" s="271"/>
      <c r="AC171" s="271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72</v>
      </c>
      <c r="Q172" s="277"/>
      <c r="R172" s="277"/>
      <c r="S172" s="277"/>
      <c r="T172" s="277"/>
      <c r="U172" s="277"/>
      <c r="V172" s="278"/>
      <c r="W172" s="37" t="s">
        <v>73</v>
      </c>
      <c r="X172" s="270">
        <f>IFERROR(SUMPRODUCT(X168:X170*H168:H170),"0")</f>
        <v>210</v>
      </c>
      <c r="Y172" s="270">
        <f>IFERROR(SUMPRODUCT(Y168:Y170*H168:H170),"0")</f>
        <v>210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48" t="s">
        <v>256</v>
      </c>
      <c r="Q174" s="282"/>
      <c r="R174" s="282"/>
      <c r="S174" s="282"/>
      <c r="T174" s="283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72</v>
      </c>
      <c r="Q175" s="277"/>
      <c r="R175" s="277"/>
      <c r="S175" s="277"/>
      <c r="T175" s="277"/>
      <c r="U175" s="277"/>
      <c r="V175" s="278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72</v>
      </c>
      <c r="Q176" s="277"/>
      <c r="R176" s="277"/>
      <c r="S176" s="277"/>
      <c r="T176" s="277"/>
      <c r="U176" s="277"/>
      <c r="V176" s="278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259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76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72</v>
      </c>
      <c r="Q181" s="277"/>
      <c r="R181" s="277"/>
      <c r="S181" s="277"/>
      <c r="T181" s="277"/>
      <c r="U181" s="277"/>
      <c r="V181" s="278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72</v>
      </c>
      <c r="Q182" s="277"/>
      <c r="R182" s="277"/>
      <c r="S182" s="277"/>
      <c r="T182" s="277"/>
      <c r="U182" s="277"/>
      <c r="V182" s="278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120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54" t="s">
        <v>269</v>
      </c>
      <c r="Q185" s="282"/>
      <c r="R185" s="282"/>
      <c r="S185" s="282"/>
      <c r="T185" s="283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3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72</v>
      </c>
      <c r="Q188" s="277"/>
      <c r="R188" s="277"/>
      <c r="S188" s="277"/>
      <c r="T188" s="277"/>
      <c r="U188" s="277"/>
      <c r="V188" s="278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72</v>
      </c>
      <c r="Q189" s="277"/>
      <c r="R189" s="277"/>
      <c r="S189" s="277"/>
      <c r="T189" s="277"/>
      <c r="U189" s="277"/>
      <c r="V189" s="278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9" t="s">
        <v>276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63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9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7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286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69</v>
      </c>
      <c r="X200" s="268">
        <v>24</v>
      </c>
      <c r="Y200" s="269">
        <f>IFERROR(IF(X200="","",X200),"")</f>
        <v>24</v>
      </c>
      <c r="Z200" s="36">
        <f>IFERROR(IF(X200="","",X200*0.0155),"")</f>
        <v>0.372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125.52000000000001</v>
      </c>
      <c r="BN200" s="67">
        <f>IFERROR(Y200*I200,"0")</f>
        <v>125.52000000000001</v>
      </c>
      <c r="BO200" s="67">
        <f>IFERROR(X200/J200,"0")</f>
        <v>0.2857142857142857</v>
      </c>
      <c r="BP200" s="67">
        <f>IFERROR(Y200/J200,"0")</f>
        <v>0.2857142857142857</v>
      </c>
    </row>
    <row r="201" spans="1:68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24</v>
      </c>
      <c r="Y201" s="270">
        <f>IFERROR(SUM(Y200:Y200),"0")</f>
        <v>24</v>
      </c>
      <c r="Z201" s="270">
        <f>IFERROR(IF(Z200="",0,Z200),"0")</f>
        <v>0.372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120</v>
      </c>
      <c r="Y202" s="270">
        <f>IFERROR(SUMPRODUCT(Y200:Y200*H200:H200),"0")</f>
        <v>120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9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5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7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69</v>
      </c>
      <c r="X229" s="268">
        <v>24</v>
      </c>
      <c r="Y229" s="269">
        <f>IFERROR(IF(X229="","",X229),"")</f>
        <v>24</v>
      </c>
      <c r="Z229" s="36">
        <f>IFERROR(IF(X229="","",X229*0.0155),"")</f>
        <v>0.372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126.28799999999998</v>
      </c>
      <c r="BN229" s="67">
        <f>IFERROR(Y229*I229,"0")</f>
        <v>126.28799999999998</v>
      </c>
      <c r="BO229" s="67">
        <f>IFERROR(X229/J229,"0")</f>
        <v>0.2857142857142857</v>
      </c>
      <c r="BP229" s="67">
        <f>IFERROR(Y229/J229,"0")</f>
        <v>0.2857142857142857</v>
      </c>
    </row>
    <row r="230" spans="1:68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24</v>
      </c>
      <c r="Y230" s="270">
        <f>IFERROR(SUM(Y229:Y229),"0")</f>
        <v>24</v>
      </c>
      <c r="Z230" s="270">
        <f>IFERROR(IF(Z229="",0,Z229),"0")</f>
        <v>0.372</v>
      </c>
      <c r="AA230" s="271"/>
      <c r="AB230" s="271"/>
      <c r="AC230" s="271"/>
    </row>
    <row r="231" spans="1:68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120</v>
      </c>
      <c r="Y231" s="270">
        <f>IFERROR(SUMPRODUCT(Y229:Y229*H229:H229),"0")</f>
        <v>120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6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69</v>
      </c>
      <c r="X246" s="268">
        <v>24</v>
      </c>
      <c r="Y246" s="269">
        <f>IFERROR(IF(X246="","",X246),"")</f>
        <v>24</v>
      </c>
      <c r="Z246" s="36">
        <f>IFERROR(IF(X246="","",X246*0.0155),"")</f>
        <v>0.372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174.72</v>
      </c>
      <c r="BN246" s="67">
        <f>IFERROR(Y246*I246,"0")</f>
        <v>174.72</v>
      </c>
      <c r="BO246" s="67">
        <f>IFERROR(X246/J246,"0")</f>
        <v>0.2857142857142857</v>
      </c>
      <c r="BP246" s="67">
        <f>IFERROR(Y246/J246,"0")</f>
        <v>0.2857142857142857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24</v>
      </c>
      <c r="Y248" s="270">
        <f>IFERROR(SUM(Y245:Y247),"0")</f>
        <v>24</v>
      </c>
      <c r="Z248" s="270">
        <f>IFERROR(IF(Z245="",0,Z245),"0")+IFERROR(IF(Z246="",0,Z246),"0")+IFERROR(IF(Z247="",0,Z247),"0")</f>
        <v>0.372</v>
      </c>
      <c r="AA248" s="271"/>
      <c r="AB248" s="271"/>
      <c r="AC248" s="271"/>
    </row>
    <row r="249" spans="1:68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168</v>
      </c>
      <c r="Y249" s="270">
        <f>IFERROR(SUMPRODUCT(Y245:Y247*H245:H247),"0")</f>
        <v>168</v>
      </c>
      <c r="Z249" s="37"/>
      <c r="AA249" s="271"/>
      <c r="AB249" s="271"/>
      <c r="AC249" s="271"/>
    </row>
    <row r="250" spans="1:68" ht="14.25" hidden="1" customHeight="1" x14ac:dyDescent="0.25">
      <c r="A250" s="304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hidden="1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69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60</v>
      </c>
      <c r="Y259" s="270">
        <f>IFERROR(SUM(Y256:Y258),"0")</f>
        <v>60</v>
      </c>
      <c r="Z259" s="270">
        <f>IFERROR(IF(Z256="",0,Z256),"0")+IFERROR(IF(Z257="",0,Z257),"0")+IFERROR(IF(Z258="",0,Z258),"0")</f>
        <v>0.92999999999999994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300</v>
      </c>
      <c r="Y260" s="270">
        <f>IFERROR(SUMPRODUCT(Y256:Y258*H256:H258),"0")</f>
        <v>300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69</v>
      </c>
      <c r="X265" s="268">
        <v>28</v>
      </c>
      <c r="Y265" s="269">
        <f t="shared" si="12"/>
        <v>28</v>
      </c>
      <c r="Z265" s="36">
        <f t="shared" ref="Z265:Z270" si="17">IFERROR(IF(X265="","",X265*0.00936),"")</f>
        <v>0.26207999999999998</v>
      </c>
      <c r="AA265" s="56"/>
      <c r="AB265" s="57"/>
      <c r="AC265" s="246" t="s">
        <v>350</v>
      </c>
      <c r="AG265" s="67"/>
      <c r="AJ265" s="71" t="s">
        <v>71</v>
      </c>
      <c r="AK265" s="71">
        <v>1</v>
      </c>
      <c r="BB265" s="247" t="s">
        <v>83</v>
      </c>
      <c r="BM265" s="67">
        <f t="shared" si="13"/>
        <v>89.376000000000005</v>
      </c>
      <c r="BN265" s="67">
        <f t="shared" si="14"/>
        <v>89.376000000000005</v>
      </c>
      <c r="BO265" s="67">
        <f t="shared" si="15"/>
        <v>0.22222222222222221</v>
      </c>
      <c r="BP265" s="67">
        <f t="shared" si="16"/>
        <v>0.22222222222222221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71</v>
      </c>
      <c r="AK266" s="71">
        <v>1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28</v>
      </c>
      <c r="Y272" s="270">
        <f>IFERROR(SUM(Y262:Y271),"0")</f>
        <v>28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0.26207999999999998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84</v>
      </c>
      <c r="Y273" s="270">
        <f>IFERROR(SUMPRODUCT(Y262:Y271*H262:H271),"0")</f>
        <v>84</v>
      </c>
      <c r="Z273" s="37"/>
      <c r="AA273" s="271"/>
      <c r="AB273" s="271"/>
      <c r="AC273" s="271"/>
    </row>
    <row r="274" spans="1:32" ht="15" customHeight="1" x14ac:dyDescent="0.2">
      <c r="A274" s="427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5"/>
      <c r="P274" s="317" t="s">
        <v>367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4937.5199999999995</v>
      </c>
      <c r="Y274" s="270">
        <f>IFERROR(Y24+Y31+Y38+Y46+Y51+Y55+Y60+Y66+Y72+Y77+Y83+Y93+Y99+Y110+Y115+Y119+Y125+Y131+Y137+Y142+Y147+Y152+Y157+Y164+Y172+Y176+Y182+Y189+Y197+Y202+Y207+Y213+Y219+Y225+Y231+Y237+Y241+Y249+Y254+Y260+Y273,"0")</f>
        <v>4937.5199999999995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5"/>
      <c r="P275" s="317" t="s">
        <v>368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5422.304000000001</v>
      </c>
      <c r="Y275" s="270">
        <f>IFERROR(SUM(BN22:BN271),"0")</f>
        <v>5422.304000000001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5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14</v>
      </c>
      <c r="Y276" s="38">
        <f>ROUNDUP(SUM(BP22:BP271),0)</f>
        <v>14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5"/>
      <c r="P277" s="317" t="s">
        <v>371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5772.304000000001</v>
      </c>
      <c r="Y277" s="270">
        <f>GrossWeightTotalR+PalletQtyTotalR*25</f>
        <v>5772.304000000001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5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1114</v>
      </c>
      <c r="Y278" s="270">
        <f>IFERROR(Y23+Y30+Y37+Y45+Y50+Y54+Y59+Y65+Y71+Y76+Y82+Y92+Y98+Y109+Y114+Y118+Y124+Y130+Y136+Y141+Y146+Y151+Y156+Y163+Y171+Y175+Y181+Y188+Y196+Y201+Y206+Y212+Y218+Y224+Y230+Y236+Y240+Y248+Y253+Y259+Y272,"0")</f>
        <v>1114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5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17.172440000000002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2" t="s">
        <v>74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232</v>
      </c>
      <c r="V281" s="260" t="s">
        <v>240</v>
      </c>
      <c r="W281" s="272" t="s">
        <v>259</v>
      </c>
      <c r="X281" s="308"/>
      <c r="Y281" s="308"/>
      <c r="Z281" s="308"/>
      <c r="AA281" s="309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290" t="s">
        <v>376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196</v>
      </c>
      <c r="N282" s="261"/>
      <c r="O282" s="272" t="s">
        <v>204</v>
      </c>
      <c r="P282" s="272" t="s">
        <v>211</v>
      </c>
      <c r="Q282" s="272" t="s">
        <v>216</v>
      </c>
      <c r="R282" s="272" t="s">
        <v>220</v>
      </c>
      <c r="S282" s="272" t="s">
        <v>223</v>
      </c>
      <c r="T282" s="272" t="s">
        <v>228</v>
      </c>
      <c r="U282" s="272" t="s">
        <v>233</v>
      </c>
      <c r="V282" s="272" t="s">
        <v>241</v>
      </c>
      <c r="W282" s="272" t="s">
        <v>260</v>
      </c>
      <c r="X282" s="272" t="s">
        <v>276</v>
      </c>
      <c r="Y282" s="272" t="s">
        <v>286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42</v>
      </c>
      <c r="D284" s="46">
        <f>IFERROR(X34*H34,"0")+IFERROR(X35*H35,"0")+IFERROR(X36*H36,"0")</f>
        <v>268.79999999999995</v>
      </c>
      <c r="E284" s="46">
        <f>IFERROR(X41*H41,"0")+IFERROR(X42*H42,"0")+IFERROR(X43*H43,"0")+IFERROR(X44*H44,"0")</f>
        <v>420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300</v>
      </c>
      <c r="H284" s="46">
        <f>IFERROR(X75*H75,"0")</f>
        <v>0</v>
      </c>
      <c r="I284" s="46">
        <f>IFERROR(X80*H80,"0")+IFERROR(X81*H81,"0")</f>
        <v>352.8</v>
      </c>
      <c r="J284" s="46">
        <f>IFERROR(X86*H86,"0")+IFERROR(X87*H87,"0")+IFERROR(X88*H88,"0")+IFERROR(X89*H89,"0")+IFERROR(X90*H90,"0")+IFERROR(X91*H91,"0")</f>
        <v>556.07999999999993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1092</v>
      </c>
      <c r="M284" s="46">
        <f>IFERROR(X122*H122,"0")+IFERROR(X123*H123,"0")</f>
        <v>294</v>
      </c>
      <c r="N284" s="261"/>
      <c r="O284" s="46">
        <f>IFERROR(X128*H128,"0")+IFERROR(X129*H129,"0")</f>
        <v>84</v>
      </c>
      <c r="P284" s="46">
        <f>IFERROR(X134*H134,"0")+IFERROR(X135*H135,"0")</f>
        <v>67.2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420</v>
      </c>
      <c r="V284" s="46">
        <f>IFERROR(X168*H168,"0")+IFERROR(X169*H169,"0")+IFERROR(X170*H170,"0")+IFERROR(X174*H174,"0")</f>
        <v>210</v>
      </c>
      <c r="W284" s="46">
        <f>IFERROR(X180*H180,"0")+IFERROR(X184*H184,"0")+IFERROR(X185*H185,"0")+IFERROR(X186*H186,"0")+IFERROR(X187*H187,"0")</f>
        <v>38.64</v>
      </c>
      <c r="X284" s="46">
        <f>IFERROR(X192*H192,"0")+IFERROR(X193*H193,"0")+IFERROR(X194*H194,"0")+IFERROR(X195*H195,"0")</f>
        <v>0</v>
      </c>
      <c r="Y284" s="46">
        <f>IFERROR(X200*H200,"0")</f>
        <v>120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120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552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2908.8</v>
      </c>
      <c r="B287" s="60">
        <f>SUMPRODUCT(--(BB:BB="ПГП"),--(W:W="кор"),H:H,Y:Y)+SUMPRODUCT(--(BB:BB="ПГП"),--(W:W="кг"),Y:Y)</f>
        <v>2028.72</v>
      </c>
      <c r="C287" s="60">
        <f>SUMPRODUCT(--(BB:BB="КИЗ"),--(W:W="кор"),H:H,Y:Y)+SUMPRODUCT(--(BB:BB="КИЗ"),--(W:W="кг"),Y:Y)</f>
        <v>0</v>
      </c>
    </row>
  </sheetData>
  <sheetProtection algorithmName="SHA-512" hashValue="+lH4fr7cDfDukX1hmT+h9q4bHFSjFFMEzdUpJt90yLTbPflxfqVUk6lgB08XX5qKcSN7RvW8i8rs2uuqryfLEw==" saltValue="rACsCHWag8IS7iYeg3N3G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114,00"/>
        <filter val="108,00"/>
        <filter val="12,00"/>
        <filter val="120,00"/>
        <filter val="14"/>
        <filter val="14,00"/>
        <filter val="156,00"/>
        <filter val="168,00"/>
        <filter val="182,00"/>
        <filter val="210,00"/>
        <filter val="24,00"/>
        <filter val="268,80"/>
        <filter val="28,00"/>
        <filter val="294,00"/>
        <filter val="300,00"/>
        <filter val="352,80"/>
        <filter val="36,00"/>
        <filter val="38,64"/>
        <filter val="4 937,52"/>
        <filter val="42,00"/>
        <filter val="420,00"/>
        <filter val="48,00"/>
        <filter val="5 422,30"/>
        <filter val="5 772,30"/>
        <filter val="556,08"/>
        <filter val="56,00"/>
        <filter val="60,00"/>
        <filter val="67,20"/>
        <filter val="70,00"/>
        <filter val="84,00"/>
        <filter val="98,00"/>
      </filters>
    </filterColumn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164:V164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3 X117 X128 X134:X135 X145 X150 X161 X174 X184:X187 X192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12 X122 X129 X140 X155 X162 X168:X170 X180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kcBGxEkl4u1RyQc2vosPxBpeGAoNR122I7TFuxrNjVvqQraldMnS6q56fyVq1ZKhXMT7RdrnBHZpUV/QhlVAA==" saltValue="qQ5WW1MVisB+gYPr4maM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