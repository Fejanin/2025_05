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EAA7098-B094-4F38-9AC2-D03EEC94677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BO257" i="1"/>
  <c r="BM257" i="1"/>
  <c r="Z257" i="1"/>
  <c r="Z260" i="1" s="1"/>
  <c r="Y257" i="1"/>
  <c r="P257" i="1"/>
  <c r="X255" i="1"/>
  <c r="X254" i="1"/>
  <c r="BO253" i="1"/>
  <c r="BM253" i="1"/>
  <c r="Z253" i="1"/>
  <c r="Y253" i="1"/>
  <c r="P253" i="1"/>
  <c r="BP252" i="1"/>
  <c r="BO252" i="1"/>
  <c r="BN252" i="1"/>
  <c r="BM252" i="1"/>
  <c r="Z252" i="1"/>
  <c r="Z254" i="1" s="1"/>
  <c r="Y252" i="1"/>
  <c r="P252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BO246" i="1"/>
  <c r="BM246" i="1"/>
  <c r="Z246" i="1"/>
  <c r="Y246" i="1"/>
  <c r="BP246" i="1" s="1"/>
  <c r="P246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X214" i="1"/>
  <c r="X213" i="1"/>
  <c r="BO212" i="1"/>
  <c r="BM212" i="1"/>
  <c r="Z212" i="1"/>
  <c r="Y212" i="1"/>
  <c r="P212" i="1"/>
  <c r="BO211" i="1"/>
  <c r="BM211" i="1"/>
  <c r="Z211" i="1"/>
  <c r="Y211" i="1"/>
  <c r="BP211" i="1" s="1"/>
  <c r="P211" i="1"/>
  <c r="BO210" i="1"/>
  <c r="BM210" i="1"/>
  <c r="Z210" i="1"/>
  <c r="Z213" i="1" s="1"/>
  <c r="Y210" i="1"/>
  <c r="P210" i="1"/>
  <c r="X208" i="1"/>
  <c r="X207" i="1"/>
  <c r="BO206" i="1"/>
  <c r="BM206" i="1"/>
  <c r="Z206" i="1"/>
  <c r="Z207" i="1" s="1"/>
  <c r="Y206" i="1"/>
  <c r="P206" i="1"/>
  <c r="X203" i="1"/>
  <c r="X202" i="1"/>
  <c r="BO201" i="1"/>
  <c r="BM201" i="1"/>
  <c r="Z201" i="1"/>
  <c r="Z202" i="1" s="1"/>
  <c r="Y201" i="1"/>
  <c r="Y203" i="1" s="1"/>
  <c r="X198" i="1"/>
  <c r="X197" i="1"/>
  <c r="BO196" i="1"/>
  <c r="BM196" i="1"/>
  <c r="Z196" i="1"/>
  <c r="Y196" i="1"/>
  <c r="BP196" i="1" s="1"/>
  <c r="P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P184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BP170" i="1" s="1"/>
  <c r="P170" i="1"/>
  <c r="BO169" i="1"/>
  <c r="BM169" i="1"/>
  <c r="Z169" i="1"/>
  <c r="Y169" i="1"/>
  <c r="P169" i="1"/>
  <c r="BO168" i="1"/>
  <c r="BM168" i="1"/>
  <c r="Z168" i="1"/>
  <c r="Y168" i="1"/>
  <c r="BP168" i="1" s="1"/>
  <c r="P168" i="1"/>
  <c r="X164" i="1"/>
  <c r="X163" i="1"/>
  <c r="BO162" i="1"/>
  <c r="BM162" i="1"/>
  <c r="Z162" i="1"/>
  <c r="Y162" i="1"/>
  <c r="BP162" i="1" s="1"/>
  <c r="P162" i="1"/>
  <c r="BO161" i="1"/>
  <c r="BM161" i="1"/>
  <c r="Z161" i="1"/>
  <c r="Y161" i="1"/>
  <c r="P161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BP128" i="1" s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P122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Z114" i="1" s="1"/>
  <c r="Y113" i="1"/>
  <c r="Y114" i="1" s="1"/>
  <c r="P113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BP86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Y57" i="1"/>
  <c r="Y60" i="1" s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Z30" i="1" s="1"/>
  <c r="Y28" i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77" i="1" l="1"/>
  <c r="Z82" i="1"/>
  <c r="Z92" i="1"/>
  <c r="BN86" i="1"/>
  <c r="BN88" i="1"/>
  <c r="BN90" i="1"/>
  <c r="Z98" i="1"/>
  <c r="Z110" i="1"/>
  <c r="BN102" i="1"/>
  <c r="BN104" i="1"/>
  <c r="BN106" i="1"/>
  <c r="BN108" i="1"/>
  <c r="Z124" i="1"/>
  <c r="Z130" i="1"/>
  <c r="BN128" i="1"/>
  <c r="Z136" i="1"/>
  <c r="BN140" i="1"/>
  <c r="BP140" i="1"/>
  <c r="Y141" i="1"/>
  <c r="BN145" i="1"/>
  <c r="BP145" i="1"/>
  <c r="Y146" i="1"/>
  <c r="Z163" i="1"/>
  <c r="Z171" i="1"/>
  <c r="BN168" i="1"/>
  <c r="BN170" i="1"/>
  <c r="BN185" i="1"/>
  <c r="BN187" i="1"/>
  <c r="Y198" i="1"/>
  <c r="Y214" i="1"/>
  <c r="Y261" i="1"/>
  <c r="X276" i="1"/>
  <c r="X278" i="1" s="1"/>
  <c r="X279" i="1"/>
  <c r="Y31" i="1"/>
  <c r="BN29" i="1"/>
  <c r="X275" i="1"/>
  <c r="Y38" i="1"/>
  <c r="Z45" i="1"/>
  <c r="BN41" i="1"/>
  <c r="BP41" i="1"/>
  <c r="BN43" i="1"/>
  <c r="Z59" i="1"/>
  <c r="Z65" i="1"/>
  <c r="BN62" i="1"/>
  <c r="BP62" i="1"/>
  <c r="BN64" i="1"/>
  <c r="Y71" i="1"/>
  <c r="Y83" i="1"/>
  <c r="BN81" i="1"/>
  <c r="Y92" i="1"/>
  <c r="Y99" i="1"/>
  <c r="BN97" i="1"/>
  <c r="Y110" i="1"/>
  <c r="Y125" i="1"/>
  <c r="BN123" i="1"/>
  <c r="Y130" i="1"/>
  <c r="Y137" i="1"/>
  <c r="BN135" i="1"/>
  <c r="BN162" i="1"/>
  <c r="Y172" i="1"/>
  <c r="Z188" i="1"/>
  <c r="Z197" i="1"/>
  <c r="BN192" i="1"/>
  <c r="BP192" i="1"/>
  <c r="BN194" i="1"/>
  <c r="BN196" i="1"/>
  <c r="BN211" i="1"/>
  <c r="BN224" i="1"/>
  <c r="BP224" i="1"/>
  <c r="Y225" i="1"/>
  <c r="BN230" i="1"/>
  <c r="BP230" i="1"/>
  <c r="Y231" i="1"/>
  <c r="BN236" i="1"/>
  <c r="BP236" i="1"/>
  <c r="Y237" i="1"/>
  <c r="BN240" i="1"/>
  <c r="BP240" i="1"/>
  <c r="Y241" i="1"/>
  <c r="Z249" i="1"/>
  <c r="BN246" i="1"/>
  <c r="BN248" i="1"/>
  <c r="BN258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11" i="1"/>
  <c r="Y115" i="1"/>
  <c r="Y119" i="1"/>
  <c r="Y124" i="1"/>
  <c r="Y131" i="1"/>
  <c r="Y136" i="1"/>
  <c r="Y156" i="1"/>
  <c r="BP155" i="1"/>
  <c r="BN155" i="1"/>
  <c r="Y181" i="1"/>
  <c r="BP180" i="1"/>
  <c r="BN180" i="1"/>
  <c r="Y207" i="1"/>
  <c r="BP206" i="1"/>
  <c r="BN206" i="1"/>
  <c r="Y220" i="1"/>
  <c r="BP217" i="1"/>
  <c r="BN217" i="1"/>
  <c r="Y219" i="1"/>
  <c r="BP247" i="1"/>
  <c r="BN247" i="1"/>
  <c r="Y249" i="1"/>
  <c r="BP253" i="1"/>
  <c r="BN253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09" i="1"/>
  <c r="BN113" i="1"/>
  <c r="BP113" i="1"/>
  <c r="BN117" i="1"/>
  <c r="BP117" i="1"/>
  <c r="BN122" i="1"/>
  <c r="BP122" i="1"/>
  <c r="BN129" i="1"/>
  <c r="BN134" i="1"/>
  <c r="BP134" i="1"/>
  <c r="Y151" i="1"/>
  <c r="BP150" i="1"/>
  <c r="BN150" i="1"/>
  <c r="Y157" i="1"/>
  <c r="Y164" i="1"/>
  <c r="BP161" i="1"/>
  <c r="BN161" i="1"/>
  <c r="Y163" i="1"/>
  <c r="BP169" i="1"/>
  <c r="BN169" i="1"/>
  <c r="Y171" i="1"/>
  <c r="Y175" i="1"/>
  <c r="BP174" i="1"/>
  <c r="BN174" i="1"/>
  <c r="Y182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08" i="1"/>
  <c r="Y213" i="1"/>
  <c r="BP210" i="1"/>
  <c r="BN210" i="1"/>
  <c r="BP212" i="1"/>
  <c r="BN212" i="1"/>
  <c r="Z219" i="1"/>
  <c r="Y250" i="1"/>
  <c r="Y254" i="1"/>
  <c r="Y255" i="1"/>
  <c r="Y260" i="1"/>
  <c r="BP257" i="1"/>
  <c r="BN257" i="1"/>
  <c r="BP259" i="1"/>
  <c r="BN259" i="1"/>
  <c r="Z273" i="1"/>
  <c r="Z280" i="1" l="1"/>
  <c r="Y279" i="1"/>
  <c r="Y276" i="1"/>
  <c r="Y277" i="1"/>
  <c r="Y275" i="1"/>
  <c r="Y278" i="1" l="1"/>
  <c r="A288" i="1" s="1"/>
  <c r="B288" i="1"/>
  <c r="C288" i="1"/>
</calcChain>
</file>

<file path=xl/sharedStrings.xml><?xml version="1.0" encoding="utf-8"?>
<sst xmlns="http://schemas.openxmlformats.org/spreadsheetml/2006/main" count="1239" uniqueCount="400">
  <si>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</si>
  <si>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</si>
  <si>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</si>
  <si>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</si>
  <si>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</si>
  <si>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</si>
  <si>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</si>
  <si>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</si>
  <si>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</si>
  <si>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</si>
  <si>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</si>
  <si>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</si>
  <si>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</si>
  <si>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</si>
  <si>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</si>
  <si>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</si>
  <si>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</si>
  <si>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</si>
  <si>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</si>
  <si>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</si>
  <si>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</si>
  <si>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</si>
  <si>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</si>
  <si>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</si>
  <si>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</si>
  <si>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</si>
  <si>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</si>
  <si>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</si>
  <si>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</si>
  <si>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</si>
  <si>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</si>
  <si>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</si>
  <si>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</si>
  <si>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</si>
  <si>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</si>
  <si>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</si>
  <si>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</si>
  <si>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</si>
  <si>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</si>
  <si>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</si>
  <si>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</si>
  <si>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</si>
  <si>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</si>
  <si>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</si>
  <si>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</si>
  <si>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</si>
  <si>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</si>
  <si>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</si>
  <si>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</si>
  <si>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</si>
  <si>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</si>
  <si>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</si>
  <si>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</si>
  <si>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</si>
  <si>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</si>
  <si>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</si>
  <si>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</si>
  <si>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</si>
  <si>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</si>
  <si>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</si>
  <si>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</si>
  <si>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</si>
  <si>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</si>
  <si>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</si>
  <si>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</si>
  <si>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</si>
  <si>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</si>
  <si>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</si>
  <si>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</si>
  <si>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</si>
  <si>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</si>
  <si>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</si>
  <si>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</si>
  <si>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</si>
  <si>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</si>
  <si>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</si>
  <si>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</si>
  <si>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</si>
  <si>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</si>
  <si>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</si>
  <si>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</si>
  <si>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</si>
  <si>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</si>
  <si>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</si>
  <si>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</si>
  <si>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</si>
  <si>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</si>
  <si>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</si>
  <si>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</si>
  <si>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</si>
  <si>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</si>
  <si>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</si>
  <si>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</si>
  <si>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</si>
  <si>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</si>
  <si>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</si>
  <si>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</si>
  <si>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</si>
  <si>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</si>
  <si>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</si>
  <si>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</si>
  <si>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</si>
  <si>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</si>
  <si>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</si>
  <si>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</si>
  <si>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</si>
  <si>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</si>
  <si>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</si>
  <si>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</si>
  <si>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</si>
  <si>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</si>
  <si>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</si>
  <si>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</si>
  <si>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</si>
  <si>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</si>
  <si>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</si>
  <si>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</si>
  <si>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</si>
  <si>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</si>
  <si>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</si>
  <si>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</si>
  <si>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</si>
  <si>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</si>
  <si>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</si>
  <si>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</si>
  <si>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</si>
  <si>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</si>
  <si>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</si>
  <si>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</si>
  <si>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</si>
  <si>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</si>
  <si>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</si>
  <si>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</si>
  <si>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</si>
  <si>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</si>
  <si>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</si>
  <si>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</si>
  <si>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</si>
  <si>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</si>
  <si>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</si>
  <si>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</si>
  <si>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</si>
  <si>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</si>
  <si>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</si>
  <si>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</si>
  <si>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</si>
  <si>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</si>
  <si>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</si>
  <si>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</si>
  <si>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</si>
  <si>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</si>
  <si>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</si>
  <si>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</si>
  <si>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</si>
  <si>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</si>
  <si>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</si>
  <si>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</si>
  <si>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</si>
  <si>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</si>
  <si>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</si>
  <si>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</si>
  <si>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</si>
  <si>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</si>
  <si>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</si>
  <si>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</si>
  <si>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</si>
  <si>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</si>
  <si>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</si>
  <si>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</si>
  <si>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</si>
  <si>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</si>
  <si>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</si>
  <si>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</si>
  <si>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</si>
  <si>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</si>
  <si>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</si>
  <si>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</si>
  <si>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</si>
  <si>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</si>
  <si>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</si>
  <si>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</si>
  <si>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</si>
  <si>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</si>
  <si>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</si>
  <si>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</si>
  <si>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</si>
  <si>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</si>
  <si>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</si>
  <si>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</si>
  <si>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</si>
  <si>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</si>
  <si>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</si>
  <si>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</si>
  <si>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</si>
  <si>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</si>
  <si>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</si>
  <si>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</si>
  <si>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</si>
  <si>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</si>
  <si>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</si>
  <si>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</si>
  <si>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</si>
  <si>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</si>
  <si>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</si>
  <si>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</si>
  <si>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</si>
  <si>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</si>
  <si>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</si>
  <si>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</si>
  <si>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</si>
  <si>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</si>
  <si>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</si>
  <si>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</si>
  <si>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</si>
  <si>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</si>
  <si>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</si>
  <si>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</si>
  <si>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</si>
  <si>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</si>
  <si>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</si>
  <si>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</si>
  <si>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</si>
  <si>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</si>
  <si>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</si>
  <si>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</si>
  <si>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</si>
  <si>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</si>
  <si>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</si>
  <si>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</si>
  <si>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</si>
  <si>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</si>
  <si>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</si>
  <si>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</si>
  <si>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</si>
  <si>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</si>
  <si>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</si>
  <si>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</si>
  <si>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</si>
  <si>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</si>
  <si>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</si>
  <si>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</si>
  <si>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</si>
  <si>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</si>
  <si>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</si>
  <si>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</si>
  <si>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</si>
  <si>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</si>
  <si>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</si>
  <si>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</si>
  <si>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</si>
  <si>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</si>
  <si>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</si>
  <si>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</si>
  <si>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</si>
  <si>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</si>
  <si>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</si>
  <si>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</si>
  <si>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</si>
  <si>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</si>
  <si>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</si>
  <si>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</si>
  <si>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</si>
  <si>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</si>
  <si>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</si>
  <si>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</si>
  <si>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</si>
  <si>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</si>
  <si>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</si>
  <si>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</si>
  <si>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</si>
  <si>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</si>
  <si>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</si>
  <si>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</si>
  <si>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</si>
  <si>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</si>
  <si>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</si>
  <si>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</si>
  <si>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</si>
  <si>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</si>
  <si>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</si>
  <si>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</si>
  <si>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</si>
  <si>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</si>
  <si>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</si>
  <si>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</si>
  <si>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</si>
  <si>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</si>
  <si>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</si>
  <si>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</si>
  <si>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</si>
  <si>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</si>
  <si>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</si>
  <si>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</si>
  <si>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</si>
  <si>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</si>
  <si>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</si>
  <si>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</si>
  <si>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</si>
  <si>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</si>
  <si>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</si>
  <si>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</si>
  <si>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</si>
  <si>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</si>
  <si>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</si>
  <si>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</si>
  <si>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</si>
  <si>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</si>
  <si>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</si>
  <si>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</si>
  <si>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</si>
  <si>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</si>
  <si>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</si>
  <si>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</si>
  <si>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</si>
  <si>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</si>
  <si>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</si>
  <si>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</si>
  <si>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</si>
  <si>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</si>
  <si>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</si>
  <si>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</si>
  <si>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</si>
  <si>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</si>
  <si>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</si>
  <si>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</si>
  <si>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</si>
  <si>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</si>
  <si>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</si>
  <si>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</si>
  <si>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</si>
  <si>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</si>
  <si>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</si>
  <si>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</si>
  <si>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</si>
  <si>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</si>
  <si>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</si>
  <si>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</si>
  <si>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</si>
  <si>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</si>
  <si>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</si>
  <si>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</si>
  <si>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</si>
  <si>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</si>
  <si>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</si>
  <si>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</si>
  <si>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</si>
  <si>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</si>
  <si>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</si>
  <si>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</si>
  <si>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</si>
  <si>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</si>
  <si>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</si>
  <si>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</si>
  <si>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</si>
  <si>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</si>
  <si>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</si>
  <si>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</si>
  <si>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</si>
  <si>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</si>
  <si>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</si>
  <si>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</si>
  <si>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</si>
  <si>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</si>
  <si>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</si>
  <si>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</si>
  <si>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</si>
  <si>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</si>
  <si>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</si>
  <si>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</si>
  <si>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</si>
  <si>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</si>
  <si>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</si>
  <si>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</si>
  <si>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</si>
  <si>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</si>
  <si>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</si>
  <si>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</si>
  <si>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</si>
  <si>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</si>
  <si>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</si>
  <si>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</si>
  <si>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</si>
  <si>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</si>
  <si>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</si>
  <si>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</si>
  <si>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</si>
  <si>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</si>
  <si>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</si>
  <si>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</si>
  <si>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</si>
  <si>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</si>
  <si>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</si>
  <si>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</si>
  <si>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</si>
  <si>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</si>
  <si>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</si>
  <si>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</si>
  <si>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</si>
  <si>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</si>
  <si>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27 европалет, мультиреф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</si>
</sst>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8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8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5" t="s">
        <v>0</v>
      </c>
      <c r="E1" s="297"/>
      <c r="F1" s="297"/>
      <c r="G1" s="12" t="s">
        <v>1</v>
      </c>
      <c r="H1" s="325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39" t="s">
        <v>8</v>
      </c>
      <c r="B5" s="294"/>
      <c r="C5" s="295"/>
      <c r="D5" s="342"/>
      <c r="E5" s="343"/>
      <c r="F5" s="446" t="s">
        <v>9</v>
      </c>
      <c r="G5" s="295"/>
      <c r="H5" s="342" t="s">
        <v>399</v>
      </c>
      <c r="I5" s="436"/>
      <c r="J5" s="436"/>
      <c r="K5" s="436"/>
      <c r="L5" s="436"/>
      <c r="M5" s="343"/>
      <c r="N5" s="61"/>
      <c r="P5" s="24" t="s">
        <v>10</v>
      </c>
      <c r="Q5" s="447">
        <v>45970</v>
      </c>
      <c r="R5" s="338"/>
      <c r="T5" s="372" t="s">
        <v>11</v>
      </c>
      <c r="U5" s="362"/>
      <c r="V5" s="373" t="s">
        <v>12</v>
      </c>
      <c r="W5" s="338"/>
      <c r="AB5" s="51"/>
      <c r="AC5" s="51"/>
      <c r="AD5" s="51"/>
      <c r="AE5" s="51"/>
    </row>
    <row r="6" spans="1:32" s="264" customFormat="1" ht="24" customHeight="1" x14ac:dyDescent="0.2">
      <c r="A6" s="339" t="s">
        <v>13</v>
      </c>
      <c r="B6" s="294"/>
      <c r="C6" s="295"/>
      <c r="D6" s="437" t="s">
        <v>14</v>
      </c>
      <c r="E6" s="438"/>
      <c r="F6" s="438"/>
      <c r="G6" s="438"/>
      <c r="H6" s="438"/>
      <c r="I6" s="438"/>
      <c r="J6" s="438"/>
      <c r="K6" s="438"/>
      <c r="L6" s="438"/>
      <c r="M6" s="338"/>
      <c r="N6" s="62"/>
      <c r="P6" s="24" t="s">
        <v>15</v>
      </c>
      <c r="Q6" s="450" t="str">
        <f>IF(Q5=0," ",CHOOSE(WEEKDAY(Q5,2),"Понедельник","Вторник","Среда","Четверг","Пятница","Суббота","Воскресенье"))</f>
        <v>Воскресенье</v>
      </c>
      <c r="R6" s="288"/>
      <c r="T6" s="377" t="s">
        <v>16</v>
      </c>
      <c r="U6" s="362"/>
      <c r="V6" s="424" t="s">
        <v>17</v>
      </c>
      <c r="W6" s="305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08" t="str">
        <f>IFERROR(VLOOKUP(DeliveryAddress,Table,3,0),1)</f>
        <v>1</v>
      </c>
      <c r="E7" s="309"/>
      <c r="F7" s="309"/>
      <c r="G7" s="309"/>
      <c r="H7" s="309"/>
      <c r="I7" s="309"/>
      <c r="J7" s="309"/>
      <c r="K7" s="309"/>
      <c r="L7" s="309"/>
      <c r="M7" s="310"/>
      <c r="N7" s="63"/>
      <c r="P7" s="24"/>
      <c r="Q7" s="42"/>
      <c r="R7" s="42"/>
      <c r="T7" s="285"/>
      <c r="U7" s="362"/>
      <c r="V7" s="425"/>
      <c r="W7" s="426"/>
      <c r="AB7" s="51"/>
      <c r="AC7" s="51"/>
      <c r="AD7" s="51"/>
      <c r="AE7" s="51"/>
    </row>
    <row r="8" spans="1:32" s="264" customFormat="1" ht="25.5" customHeight="1" x14ac:dyDescent="0.2">
      <c r="A8" s="458" t="s">
        <v>18</v>
      </c>
      <c r="B8" s="277"/>
      <c r="C8" s="278"/>
      <c r="D8" s="315" t="s">
        <v>19</v>
      </c>
      <c r="E8" s="316"/>
      <c r="F8" s="316"/>
      <c r="G8" s="316"/>
      <c r="H8" s="316"/>
      <c r="I8" s="316"/>
      <c r="J8" s="316"/>
      <c r="K8" s="316"/>
      <c r="L8" s="316"/>
      <c r="M8" s="317"/>
      <c r="N8" s="64"/>
      <c r="P8" s="24" t="s">
        <v>20</v>
      </c>
      <c r="Q8" s="340">
        <v>0.33333333333333331</v>
      </c>
      <c r="R8" s="310"/>
      <c r="T8" s="285"/>
      <c r="U8" s="362"/>
      <c r="V8" s="425"/>
      <c r="W8" s="426"/>
      <c r="AB8" s="51"/>
      <c r="AC8" s="51"/>
      <c r="AD8" s="51"/>
      <c r="AE8" s="51"/>
    </row>
    <row r="9" spans="1:32" s="264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6"/>
      <c r="E9" s="275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2"/>
      <c r="P9" s="26" t="s">
        <v>21</v>
      </c>
      <c r="Q9" s="335"/>
      <c r="R9" s="336"/>
      <c r="T9" s="285"/>
      <c r="U9" s="362"/>
      <c r="V9" s="427"/>
      <c r="W9" s="428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6"/>
      <c r="E10" s="275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432" t="str">
        <f>IFERROR(VLOOKUP($D$10,Proxy,2,FALSE),"")</f>
        <v/>
      </c>
      <c r="I10" s="285"/>
      <c r="J10" s="285"/>
      <c r="K10" s="285"/>
      <c r="L10" s="285"/>
      <c r="M10" s="285"/>
      <c r="N10" s="263"/>
      <c r="P10" s="26" t="s">
        <v>22</v>
      </c>
      <c r="Q10" s="378"/>
      <c r="R10" s="379"/>
      <c r="U10" s="24" t="s">
        <v>23</v>
      </c>
      <c r="V10" s="304" t="s">
        <v>24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7"/>
      <c r="R11" s="338"/>
      <c r="U11" s="24" t="s">
        <v>27</v>
      </c>
      <c r="V11" s="422" t="s">
        <v>28</v>
      </c>
      <c r="W11" s="336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433" t="s">
        <v>29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5"/>
      <c r="N12" s="65"/>
      <c r="P12" s="24" t="s">
        <v>30</v>
      </c>
      <c r="Q12" s="340"/>
      <c r="R12" s="310"/>
      <c r="S12" s="23"/>
      <c r="U12" s="24"/>
      <c r="V12" s="297"/>
      <c r="W12" s="285"/>
      <c r="AB12" s="51"/>
      <c r="AC12" s="51"/>
      <c r="AD12" s="51"/>
      <c r="AE12" s="51"/>
    </row>
    <row r="13" spans="1:32" s="264" customFormat="1" ht="23.25" customHeight="1" x14ac:dyDescent="0.2">
      <c r="A13" s="433" t="s">
        <v>31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5"/>
      <c r="N13" s="65"/>
      <c r="O13" s="26"/>
      <c r="P13" s="26" t="s">
        <v>32</v>
      </c>
      <c r="Q13" s="422"/>
      <c r="R13" s="3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433" t="s">
        <v>33</v>
      </c>
      <c r="B14" s="294"/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67" t="s">
        <v>34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5"/>
      <c r="N15" s="66"/>
      <c r="P15" s="321" t="s">
        <v>35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22"/>
      <c r="Q16" s="322"/>
      <c r="R16" s="322"/>
      <c r="S16" s="322"/>
      <c r="T16" s="32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355" t="s">
        <v>38</v>
      </c>
      <c r="D17" s="301" t="s">
        <v>39</v>
      </c>
      <c r="E17" s="328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27"/>
      <c r="R17" s="327"/>
      <c r="S17" s="327"/>
      <c r="T17" s="328"/>
      <c r="U17" s="454" t="s">
        <v>51</v>
      </c>
      <c r="V17" s="295"/>
      <c r="W17" s="301" t="s">
        <v>52</v>
      </c>
      <c r="X17" s="301" t="s">
        <v>53</v>
      </c>
      <c r="Y17" s="455" t="s">
        <v>54</v>
      </c>
      <c r="Z17" s="430" t="s">
        <v>55</v>
      </c>
      <c r="AA17" s="395" t="s">
        <v>56</v>
      </c>
      <c r="AB17" s="395" t="s">
        <v>57</v>
      </c>
      <c r="AC17" s="395" t="s">
        <v>58</v>
      </c>
      <c r="AD17" s="395" t="s">
        <v>59</v>
      </c>
      <c r="AE17" s="400"/>
      <c r="AF17" s="401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29"/>
      <c r="E18" s="331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29"/>
      <c r="Q18" s="330"/>
      <c r="R18" s="330"/>
      <c r="S18" s="330"/>
      <c r="T18" s="331"/>
      <c r="U18" s="70" t="s">
        <v>61</v>
      </c>
      <c r="V18" s="70" t="s">
        <v>62</v>
      </c>
      <c r="W18" s="302"/>
      <c r="X18" s="302"/>
      <c r="Y18" s="456"/>
      <c r="Z18" s="431"/>
      <c r="AA18" s="396"/>
      <c r="AB18" s="396"/>
      <c r="AC18" s="396"/>
      <c r="AD18" s="402"/>
      <c r="AE18" s="403"/>
      <c r="AF18" s="404"/>
      <c r="AG18" s="69"/>
      <c r="BD18" s="68"/>
    </row>
    <row r="19" spans="1:68" ht="27.75" hidden="1" customHeight="1" x14ac:dyDescent="0.2">
      <c r="A19" s="323" t="s">
        <v>63</v>
      </c>
      <c r="B19" s="324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48"/>
      <c r="AB19" s="48"/>
      <c r="AC19" s="48"/>
    </row>
    <row r="20" spans="1:68" ht="16.5" hidden="1" customHeight="1" x14ac:dyDescent="0.25">
      <c r="A20" s="284" t="s">
        <v>63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5"/>
      <c r="AB20" s="265"/>
      <c r="AC20" s="265"/>
    </row>
    <row r="21" spans="1:68" ht="14.25" hidden="1" customHeight="1" x14ac:dyDescent="0.25">
      <c r="A21" s="286" t="s">
        <v>64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6"/>
      <c r="AB21" s="266"/>
      <c r="AC21" s="266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7">
        <v>4607111035752</v>
      </c>
      <c r="E22" s="288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0"/>
      <c r="R22" s="280"/>
      <c r="S22" s="280"/>
      <c r="T22" s="281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9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90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hidden="1" x14ac:dyDescent="0.2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90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hidden="1" customHeight="1" x14ac:dyDescent="0.2">
      <c r="A25" s="323" t="s">
        <v>75</v>
      </c>
      <c r="B25" s="324"/>
      <c r="C25" s="324"/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4"/>
      <c r="Z25" s="324"/>
      <c r="AA25" s="48"/>
      <c r="AB25" s="48"/>
      <c r="AC25" s="48"/>
    </row>
    <row r="26" spans="1:68" ht="16.5" hidden="1" customHeight="1" x14ac:dyDescent="0.25">
      <c r="A26" s="284" t="s">
        <v>76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65"/>
      <c r="AB26" s="265"/>
      <c r="AC26" s="265"/>
    </row>
    <row r="27" spans="1:68" ht="14.25" hidden="1" customHeight="1" x14ac:dyDescent="0.25">
      <c r="A27" s="286" t="s">
        <v>77</v>
      </c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66"/>
      <c r="AB27" s="266"/>
      <c r="AC27" s="266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7">
        <v>4607111036537</v>
      </c>
      <c r="E28" s="288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0"/>
      <c r="R28" s="280"/>
      <c r="S28" s="280"/>
      <c r="T28" s="281"/>
      <c r="U28" s="34"/>
      <c r="V28" s="34"/>
      <c r="W28" s="35" t="s">
        <v>70</v>
      </c>
      <c r="X28" s="270">
        <v>112</v>
      </c>
      <c r="Y28" s="271">
        <f>IFERROR(IF(X28="","",X28),"")</f>
        <v>112</v>
      </c>
      <c r="Z28" s="36">
        <f>IFERROR(IF(X28="","",X28*0.00941),"")</f>
        <v>1.05392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215.24160000000001</v>
      </c>
      <c r="BN28" s="67">
        <f>IFERROR(Y28*I28,"0")</f>
        <v>215.24160000000001</v>
      </c>
      <c r="BO28" s="67">
        <f>IFERROR(X28/J28,"0")</f>
        <v>0.8</v>
      </c>
      <c r="BP28" s="67">
        <f>IFERROR(Y28/J28,"0")</f>
        <v>0.8</v>
      </c>
    </row>
    <row r="29" spans="1:68" ht="27" hidden="1" customHeight="1" x14ac:dyDescent="0.25">
      <c r="A29" s="54" t="s">
        <v>85</v>
      </c>
      <c r="B29" s="54" t="s">
        <v>86</v>
      </c>
      <c r="C29" s="31">
        <v>4301132188</v>
      </c>
      <c r="D29" s="287">
        <v>4607111036605</v>
      </c>
      <c r="E29" s="288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0"/>
      <c r="R29" s="280"/>
      <c r="S29" s="280"/>
      <c r="T29" s="281"/>
      <c r="U29" s="34"/>
      <c r="V29" s="34"/>
      <c r="W29" s="35" t="s">
        <v>70</v>
      </c>
      <c r="X29" s="270">
        <v>0</v>
      </c>
      <c r="Y29" s="27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9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90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2">
        <f>IFERROR(SUM(X28:X29),"0")</f>
        <v>112</v>
      </c>
      <c r="Y30" s="272">
        <f>IFERROR(SUM(Y28:Y29),"0")</f>
        <v>112</v>
      </c>
      <c r="Z30" s="272">
        <f>IFERROR(IF(Z28="",0,Z28),"0")+IFERROR(IF(Z29="",0,Z29),"0")</f>
        <v>1.05392</v>
      </c>
      <c r="AA30" s="273"/>
      <c r="AB30" s="273"/>
      <c r="AC30" s="273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90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2">
        <f>IFERROR(SUMPRODUCT(X28:X29*H28:H29),"0")</f>
        <v>168</v>
      </c>
      <c r="Y31" s="272">
        <f>IFERROR(SUMPRODUCT(Y28:Y29*H28:H29),"0")</f>
        <v>168</v>
      </c>
      <c r="Z31" s="37"/>
      <c r="AA31" s="273"/>
      <c r="AB31" s="273"/>
      <c r="AC31" s="273"/>
    </row>
    <row r="32" spans="1:68" ht="16.5" hidden="1" customHeight="1" x14ac:dyDescent="0.25">
      <c r="A32" s="284" t="s">
        <v>87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65"/>
      <c r="AB32" s="265"/>
      <c r="AC32" s="265"/>
    </row>
    <row r="33" spans="1:68" ht="14.25" hidden="1" customHeight="1" x14ac:dyDescent="0.25">
      <c r="A33" s="286" t="s">
        <v>64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66"/>
      <c r="AB33" s="266"/>
      <c r="AC33" s="266"/>
    </row>
    <row r="34" spans="1:68" ht="27" hidden="1" customHeight="1" x14ac:dyDescent="0.25">
      <c r="A34" s="54" t="s">
        <v>88</v>
      </c>
      <c r="B34" s="54" t="s">
        <v>89</v>
      </c>
      <c r="C34" s="31">
        <v>4301071090</v>
      </c>
      <c r="D34" s="287">
        <v>4620207490075</v>
      </c>
      <c r="E34" s="288"/>
      <c r="F34" s="269">
        <v>0.7</v>
      </c>
      <c r="G34" s="32">
        <v>8</v>
      </c>
      <c r="H34" s="269">
        <v>5.6</v>
      </c>
      <c r="I34" s="269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0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0"/>
      <c r="R34" s="280"/>
      <c r="S34" s="280"/>
      <c r="T34" s="281"/>
      <c r="U34" s="34"/>
      <c r="V34" s="34"/>
      <c r="W34" s="35" t="s">
        <v>70</v>
      </c>
      <c r="X34" s="270">
        <v>0</v>
      </c>
      <c r="Y34" s="271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hidden="1" customHeight="1" x14ac:dyDescent="0.25">
      <c r="A35" s="54" t="s">
        <v>91</v>
      </c>
      <c r="B35" s="54" t="s">
        <v>92</v>
      </c>
      <c r="C35" s="31">
        <v>4301071092</v>
      </c>
      <c r="D35" s="287">
        <v>4620207490174</v>
      </c>
      <c r="E35" s="288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4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0"/>
      <c r="R35" s="280"/>
      <c r="S35" s="280"/>
      <c r="T35" s="281"/>
      <c r="U35" s="34"/>
      <c r="V35" s="34"/>
      <c r="W35" s="35" t="s">
        <v>70</v>
      </c>
      <c r="X35" s="270">
        <v>0</v>
      </c>
      <c r="Y35" s="27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96</v>
      </c>
      <c r="B36" s="54" t="s">
        <v>97</v>
      </c>
      <c r="C36" s="31">
        <v>4301071091</v>
      </c>
      <c r="D36" s="287">
        <v>4620207490044</v>
      </c>
      <c r="E36" s="288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1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0"/>
      <c r="R36" s="280"/>
      <c r="S36" s="280"/>
      <c r="T36" s="281"/>
      <c r="U36" s="34"/>
      <c r="V36" s="34"/>
      <c r="W36" s="35" t="s">
        <v>70</v>
      </c>
      <c r="X36" s="270">
        <v>0</v>
      </c>
      <c r="Y36" s="27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idden="1" x14ac:dyDescent="0.2">
      <c r="A37" s="289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90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2">
        <f>IFERROR(SUM(X34:X36),"0")</f>
        <v>0</v>
      </c>
      <c r="Y37" s="272">
        <f>IFERROR(SUM(Y34:Y36),"0")</f>
        <v>0</v>
      </c>
      <c r="Z37" s="272">
        <f>IFERROR(IF(Z34="",0,Z34),"0")+IFERROR(IF(Z35="",0,Z35),"0")+IFERROR(IF(Z36="",0,Z36),"0")</f>
        <v>0</v>
      </c>
      <c r="AA37" s="273"/>
      <c r="AB37" s="273"/>
      <c r="AC37" s="273"/>
    </row>
    <row r="38" spans="1:68" hidden="1" x14ac:dyDescent="0.2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90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2">
        <f>IFERROR(SUMPRODUCT(X34:X36*H34:H36),"0")</f>
        <v>0</v>
      </c>
      <c r="Y38" s="272">
        <f>IFERROR(SUMPRODUCT(Y34:Y36*H34:H36),"0")</f>
        <v>0</v>
      </c>
      <c r="Z38" s="37"/>
      <c r="AA38" s="273"/>
      <c r="AB38" s="273"/>
      <c r="AC38" s="273"/>
    </row>
    <row r="39" spans="1:68" ht="16.5" hidden="1" customHeight="1" x14ac:dyDescent="0.25">
      <c r="A39" s="284" t="s">
        <v>99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65"/>
      <c r="AB39" s="265"/>
      <c r="AC39" s="265"/>
    </row>
    <row r="40" spans="1:68" ht="14.25" hidden="1" customHeight="1" x14ac:dyDescent="0.25">
      <c r="A40" s="286" t="s">
        <v>64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66"/>
      <c r="AB40" s="266"/>
      <c r="AC40" s="266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87">
        <v>4607111039385</v>
      </c>
      <c r="E41" s="288"/>
      <c r="F41" s="269">
        <v>0.7</v>
      </c>
      <c r="G41" s="32">
        <v>10</v>
      </c>
      <c r="H41" s="269">
        <v>7</v>
      </c>
      <c r="I41" s="269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1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0"/>
      <c r="R41" s="280"/>
      <c r="S41" s="280"/>
      <c r="T41" s="281"/>
      <c r="U41" s="34"/>
      <c r="V41" s="34"/>
      <c r="W41" s="35" t="s">
        <v>70</v>
      </c>
      <c r="X41" s="270">
        <v>36</v>
      </c>
      <c r="Y41" s="271">
        <f>IFERROR(IF(X41="","",X41),"")</f>
        <v>36</v>
      </c>
      <c r="Z41" s="36">
        <f>IFERROR(IF(X41="","",X41*0.0155),"")</f>
        <v>0.55800000000000005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262.8</v>
      </c>
      <c r="BN41" s="67">
        <f>IFERROR(Y41*I41,"0")</f>
        <v>262.8</v>
      </c>
      <c r="BO41" s="67">
        <f>IFERROR(X41/J41,"0")</f>
        <v>0.42857142857142855</v>
      </c>
      <c r="BP41" s="67">
        <f>IFERROR(Y41/J41,"0")</f>
        <v>0.42857142857142855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87">
        <v>4607111038982</v>
      </c>
      <c r="E42" s="288"/>
      <c r="F42" s="269">
        <v>0.7</v>
      </c>
      <c r="G42" s="32">
        <v>10</v>
      </c>
      <c r="H42" s="269">
        <v>7</v>
      </c>
      <c r="I42" s="269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0"/>
      <c r="R42" s="280"/>
      <c r="S42" s="280"/>
      <c r="T42" s="281"/>
      <c r="U42" s="34"/>
      <c r="V42" s="34"/>
      <c r="W42" s="35" t="s">
        <v>70</v>
      </c>
      <c r="X42" s="270">
        <v>72</v>
      </c>
      <c r="Y42" s="271">
        <f>IFERROR(IF(X42="","",X42),"")</f>
        <v>72</v>
      </c>
      <c r="Z42" s="36">
        <f>IFERROR(IF(X42="","",X42*0.0155),"")</f>
        <v>1.1160000000000001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524.59199999999998</v>
      </c>
      <c r="BN42" s="67">
        <f>IFERROR(Y42*I42,"0")</f>
        <v>524.59199999999998</v>
      </c>
      <c r="BO42" s="67">
        <f>IFERROR(X42/J42,"0")</f>
        <v>0.8571428571428571</v>
      </c>
      <c r="BP42" s="67">
        <f>IFERROR(Y42/J42,"0")</f>
        <v>0.8571428571428571</v>
      </c>
    </row>
    <row r="43" spans="1:68" ht="27" hidden="1" customHeight="1" x14ac:dyDescent="0.25">
      <c r="A43" s="54" t="s">
        <v>106</v>
      </c>
      <c r="B43" s="54" t="s">
        <v>107</v>
      </c>
      <c r="C43" s="31">
        <v>4301071046</v>
      </c>
      <c r="D43" s="287">
        <v>4607111039354</v>
      </c>
      <c r="E43" s="288"/>
      <c r="F43" s="269">
        <v>0.4</v>
      </c>
      <c r="G43" s="32">
        <v>16</v>
      </c>
      <c r="H43" s="269">
        <v>6.4</v>
      </c>
      <c r="I43" s="269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9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0"/>
      <c r="R43" s="280"/>
      <c r="S43" s="280"/>
      <c r="T43" s="281"/>
      <c r="U43" s="34"/>
      <c r="V43" s="34"/>
      <c r="W43" s="35" t="s">
        <v>70</v>
      </c>
      <c r="X43" s="270">
        <v>0</v>
      </c>
      <c r="Y43" s="271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87">
        <v>4607111039330</v>
      </c>
      <c r="E44" s="288"/>
      <c r="F44" s="269">
        <v>0.7</v>
      </c>
      <c r="G44" s="32">
        <v>10</v>
      </c>
      <c r="H44" s="269">
        <v>7</v>
      </c>
      <c r="I44" s="269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0"/>
      <c r="R44" s="280"/>
      <c r="S44" s="280"/>
      <c r="T44" s="281"/>
      <c r="U44" s="34"/>
      <c r="V44" s="34"/>
      <c r="W44" s="35" t="s">
        <v>70</v>
      </c>
      <c r="X44" s="270">
        <v>24</v>
      </c>
      <c r="Y44" s="271">
        <f>IFERROR(IF(X44="","",X44),"")</f>
        <v>24</v>
      </c>
      <c r="Z44" s="36">
        <f>IFERROR(IF(X44="","",X44*0.0155),"")</f>
        <v>0.372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175.2</v>
      </c>
      <c r="BN44" s="67">
        <f>IFERROR(Y44*I44,"0")</f>
        <v>175.2</v>
      </c>
      <c r="BO44" s="67">
        <f>IFERROR(X44/J44,"0")</f>
        <v>0.2857142857142857</v>
      </c>
      <c r="BP44" s="67">
        <f>IFERROR(Y44/J44,"0")</f>
        <v>0.2857142857142857</v>
      </c>
    </row>
    <row r="45" spans="1:68" x14ac:dyDescent="0.2">
      <c r="A45" s="289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90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2">
        <f>IFERROR(SUM(X41:X44),"0")</f>
        <v>132</v>
      </c>
      <c r="Y45" s="272">
        <f>IFERROR(SUM(Y41:Y44),"0")</f>
        <v>132</v>
      </c>
      <c r="Z45" s="272">
        <f>IFERROR(IF(Z41="",0,Z41),"0")+IFERROR(IF(Z42="",0,Z42),"0")+IFERROR(IF(Z43="",0,Z43),"0")+IFERROR(IF(Z44="",0,Z44),"0")</f>
        <v>2.0460000000000003</v>
      </c>
      <c r="AA45" s="273"/>
      <c r="AB45" s="273"/>
      <c r="AC45" s="273"/>
    </row>
    <row r="46" spans="1:68" x14ac:dyDescent="0.2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90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2">
        <f>IFERROR(SUMPRODUCT(X41:X44*H41:H44),"0")</f>
        <v>924</v>
      </c>
      <c r="Y46" s="272">
        <f>IFERROR(SUMPRODUCT(Y41:Y44*H41:H44),"0")</f>
        <v>924</v>
      </c>
      <c r="Z46" s="37"/>
      <c r="AA46" s="273"/>
      <c r="AB46" s="273"/>
      <c r="AC46" s="273"/>
    </row>
    <row r="47" spans="1:68" ht="16.5" hidden="1" customHeight="1" x14ac:dyDescent="0.25">
      <c r="A47" s="284" t="s">
        <v>110</v>
      </c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65"/>
      <c r="AB47" s="265"/>
      <c r="AC47" s="265"/>
    </row>
    <row r="48" spans="1:68" ht="14.25" hidden="1" customHeight="1" x14ac:dyDescent="0.25">
      <c r="A48" s="286" t="s">
        <v>64</v>
      </c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66"/>
      <c r="AB48" s="266"/>
      <c r="AC48" s="266"/>
    </row>
    <row r="49" spans="1:68" ht="16.5" hidden="1" customHeight="1" x14ac:dyDescent="0.25">
      <c r="A49" s="54" t="s">
        <v>111</v>
      </c>
      <c r="B49" s="54" t="s">
        <v>112</v>
      </c>
      <c r="C49" s="31">
        <v>4301071073</v>
      </c>
      <c r="D49" s="287">
        <v>4620207490822</v>
      </c>
      <c r="E49" s="288"/>
      <c r="F49" s="269">
        <v>0.43</v>
      </c>
      <c r="G49" s="32">
        <v>8</v>
      </c>
      <c r="H49" s="269">
        <v>3.44</v>
      </c>
      <c r="I49" s="269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1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0"/>
      <c r="R49" s="280"/>
      <c r="S49" s="280"/>
      <c r="T49" s="281"/>
      <c r="U49" s="34"/>
      <c r="V49" s="34"/>
      <c r="W49" s="35" t="s">
        <v>70</v>
      </c>
      <c r="X49" s="270">
        <v>0</v>
      </c>
      <c r="Y49" s="271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9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90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2">
        <f>IFERROR(SUM(X49:X49),"0")</f>
        <v>0</v>
      </c>
      <c r="Y50" s="272">
        <f>IFERROR(SUM(Y49:Y49),"0")</f>
        <v>0</v>
      </c>
      <c r="Z50" s="272">
        <f>IFERROR(IF(Z49="",0,Z49),"0")</f>
        <v>0</v>
      </c>
      <c r="AA50" s="273"/>
      <c r="AB50" s="273"/>
      <c r="AC50" s="273"/>
    </row>
    <row r="51" spans="1:68" hidden="1" x14ac:dyDescent="0.2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90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2">
        <f>IFERROR(SUMPRODUCT(X49:X49*H49:H49),"0")</f>
        <v>0</v>
      </c>
      <c r="Y51" s="272">
        <f>IFERROR(SUMPRODUCT(Y49:Y49*H49:H49),"0")</f>
        <v>0</v>
      </c>
      <c r="Z51" s="37"/>
      <c r="AA51" s="273"/>
      <c r="AB51" s="273"/>
      <c r="AC51" s="273"/>
    </row>
    <row r="52" spans="1:68" ht="14.25" hidden="1" customHeight="1" x14ac:dyDescent="0.25">
      <c r="A52" s="286" t="s">
        <v>77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66"/>
      <c r="AB52" s="266"/>
      <c r="AC52" s="266"/>
    </row>
    <row r="53" spans="1:68" ht="27" hidden="1" customHeight="1" x14ac:dyDescent="0.25">
      <c r="A53" s="54" t="s">
        <v>114</v>
      </c>
      <c r="B53" s="54" t="s">
        <v>115</v>
      </c>
      <c r="C53" s="31">
        <v>4301132194</v>
      </c>
      <c r="D53" s="287">
        <v>4607111039712</v>
      </c>
      <c r="E53" s="288"/>
      <c r="F53" s="269">
        <v>0.2</v>
      </c>
      <c r="G53" s="32">
        <v>6</v>
      </c>
      <c r="H53" s="269">
        <v>1.2</v>
      </c>
      <c r="I53" s="269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5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0"/>
      <c r="R53" s="280"/>
      <c r="S53" s="280"/>
      <c r="T53" s="281"/>
      <c r="U53" s="34"/>
      <c r="V53" s="34"/>
      <c r="W53" s="35" t="s">
        <v>70</v>
      </c>
      <c r="X53" s="270">
        <v>0</v>
      </c>
      <c r="Y53" s="271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9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90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2">
        <f>IFERROR(SUM(X53:X53),"0")</f>
        <v>0</v>
      </c>
      <c r="Y54" s="272">
        <f>IFERROR(SUM(Y53:Y53),"0")</f>
        <v>0</v>
      </c>
      <c r="Z54" s="272">
        <f>IFERROR(IF(Z53="",0,Z53),"0")</f>
        <v>0</v>
      </c>
      <c r="AA54" s="273"/>
      <c r="AB54" s="273"/>
      <c r="AC54" s="273"/>
    </row>
    <row r="55" spans="1:68" hidden="1" x14ac:dyDescent="0.2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90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2">
        <f>IFERROR(SUMPRODUCT(X53:X53*H53:H53),"0")</f>
        <v>0</v>
      </c>
      <c r="Y55" s="272">
        <f>IFERROR(SUMPRODUCT(Y53:Y53*H53:H53),"0")</f>
        <v>0</v>
      </c>
      <c r="Z55" s="37"/>
      <c r="AA55" s="273"/>
      <c r="AB55" s="273"/>
      <c r="AC55" s="273"/>
    </row>
    <row r="56" spans="1:68" ht="14.25" hidden="1" customHeight="1" x14ac:dyDescent="0.25">
      <c r="A56" s="286" t="s">
        <v>117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66"/>
      <c r="AB56" s="266"/>
      <c r="AC56" s="266"/>
    </row>
    <row r="57" spans="1:68" ht="16.5" hidden="1" customHeight="1" x14ac:dyDescent="0.25">
      <c r="A57" s="54" t="s">
        <v>118</v>
      </c>
      <c r="B57" s="54" t="s">
        <v>119</v>
      </c>
      <c r="C57" s="31">
        <v>4301136018</v>
      </c>
      <c r="D57" s="287">
        <v>4607111037008</v>
      </c>
      <c r="E57" s="288"/>
      <c r="F57" s="269">
        <v>0.36</v>
      </c>
      <c r="G57" s="32">
        <v>4</v>
      </c>
      <c r="H57" s="269">
        <v>1.44</v>
      </c>
      <c r="I57" s="269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0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0"/>
      <c r="R57" s="280"/>
      <c r="S57" s="280"/>
      <c r="T57" s="281"/>
      <c r="U57" s="34"/>
      <c r="V57" s="34"/>
      <c r="W57" s="35" t="s">
        <v>70</v>
      </c>
      <c r="X57" s="270">
        <v>0</v>
      </c>
      <c r="Y57" s="271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121</v>
      </c>
      <c r="B58" s="54" t="s">
        <v>122</v>
      </c>
      <c r="C58" s="31">
        <v>4301136015</v>
      </c>
      <c r="D58" s="287">
        <v>4607111037398</v>
      </c>
      <c r="E58" s="288"/>
      <c r="F58" s="269">
        <v>0.09</v>
      </c>
      <c r="G58" s="32">
        <v>24</v>
      </c>
      <c r="H58" s="269">
        <v>2.16</v>
      </c>
      <c r="I58" s="269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0"/>
      <c r="R58" s="280"/>
      <c r="S58" s="280"/>
      <c r="T58" s="281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9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90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2">
        <f>IFERROR(SUM(X57:X58),"0")</f>
        <v>0</v>
      </c>
      <c r="Y59" s="272">
        <f>IFERROR(SUM(Y57:Y58),"0")</f>
        <v>0</v>
      </c>
      <c r="Z59" s="272">
        <f>IFERROR(IF(Z57="",0,Z57),"0")+IFERROR(IF(Z58="",0,Z58),"0")</f>
        <v>0</v>
      </c>
      <c r="AA59" s="273"/>
      <c r="AB59" s="273"/>
      <c r="AC59" s="273"/>
    </row>
    <row r="60" spans="1:68" hidden="1" x14ac:dyDescent="0.2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90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2">
        <f>IFERROR(SUMPRODUCT(X57:X58*H57:H58),"0")</f>
        <v>0</v>
      </c>
      <c r="Y60" s="272">
        <f>IFERROR(SUMPRODUCT(Y57:Y58*H57:H58),"0")</f>
        <v>0</v>
      </c>
      <c r="Z60" s="37"/>
      <c r="AA60" s="273"/>
      <c r="AB60" s="273"/>
      <c r="AC60" s="273"/>
    </row>
    <row r="61" spans="1:68" ht="14.25" hidden="1" customHeight="1" x14ac:dyDescent="0.25">
      <c r="A61" s="286" t="s">
        <v>123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66"/>
      <c r="AB61" s="266"/>
      <c r="AC61" s="266"/>
    </row>
    <row r="62" spans="1:68" ht="27" hidden="1" customHeight="1" x14ac:dyDescent="0.25">
      <c r="A62" s="54" t="s">
        <v>124</v>
      </c>
      <c r="B62" s="54" t="s">
        <v>125</v>
      </c>
      <c r="C62" s="31">
        <v>4301135664</v>
      </c>
      <c r="D62" s="287">
        <v>4607111039705</v>
      </c>
      <c r="E62" s="288"/>
      <c r="F62" s="269">
        <v>0.2</v>
      </c>
      <c r="G62" s="32">
        <v>6</v>
      </c>
      <c r="H62" s="269">
        <v>1.2</v>
      </c>
      <c r="I62" s="26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39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0"/>
      <c r="R62" s="280"/>
      <c r="S62" s="280"/>
      <c r="T62" s="281"/>
      <c r="U62" s="34"/>
      <c r="V62" s="34"/>
      <c r="W62" s="35" t="s">
        <v>70</v>
      </c>
      <c r="X62" s="270">
        <v>0</v>
      </c>
      <c r="Y62" s="271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87">
        <v>4607111039729</v>
      </c>
      <c r="E63" s="288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3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0"/>
      <c r="R63" s="280"/>
      <c r="S63" s="280"/>
      <c r="T63" s="281"/>
      <c r="U63" s="34"/>
      <c r="V63" s="34"/>
      <c r="W63" s="35" t="s">
        <v>70</v>
      </c>
      <c r="X63" s="270">
        <v>28</v>
      </c>
      <c r="Y63" s="271">
        <f>IFERROR(IF(X63="","",X63),"")</f>
        <v>28</v>
      </c>
      <c r="Z63" s="36">
        <f>IFERROR(IF(X63="","",X63*0.00941),"")</f>
        <v>0.26347999999999999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43.68</v>
      </c>
      <c r="BN63" s="67">
        <f>IFERROR(Y63*I63,"0")</f>
        <v>43.68</v>
      </c>
      <c r="BO63" s="67">
        <f>IFERROR(X63/J63,"0")</f>
        <v>0.2</v>
      </c>
      <c r="BP63" s="67">
        <f>IFERROR(Y63/J63,"0")</f>
        <v>0.2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87">
        <v>4620207490228</v>
      </c>
      <c r="E64" s="288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4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70</v>
      </c>
      <c r="X64" s="270">
        <v>14</v>
      </c>
      <c r="Y64" s="271">
        <f>IFERROR(IF(X64="","",X64),"")</f>
        <v>14</v>
      </c>
      <c r="Z64" s="36">
        <f>IFERROR(IF(X64="","",X64*0.00941),"")</f>
        <v>0.13174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21.84</v>
      </c>
      <c r="BN64" s="67">
        <f>IFERROR(Y64*I64,"0")</f>
        <v>21.84</v>
      </c>
      <c r="BO64" s="67">
        <f>IFERROR(X64/J64,"0")</f>
        <v>0.1</v>
      </c>
      <c r="BP64" s="67">
        <f>IFERROR(Y64/J64,"0")</f>
        <v>0.1</v>
      </c>
    </row>
    <row r="65" spans="1:68" x14ac:dyDescent="0.2">
      <c r="A65" s="289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90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2">
        <f>IFERROR(SUM(X62:X64),"0")</f>
        <v>42</v>
      </c>
      <c r="Y65" s="272">
        <f>IFERROR(SUM(Y62:Y64),"0")</f>
        <v>42</v>
      </c>
      <c r="Z65" s="272">
        <f>IFERROR(IF(Z62="",0,Z62),"0")+IFERROR(IF(Z63="",0,Z63),"0")+IFERROR(IF(Z64="",0,Z64),"0")</f>
        <v>0.39522000000000002</v>
      </c>
      <c r="AA65" s="273"/>
      <c r="AB65" s="273"/>
      <c r="AC65" s="273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90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2">
        <f>IFERROR(SUMPRODUCT(X62:X64*H62:H64),"0")</f>
        <v>50.400000000000006</v>
      </c>
      <c r="Y66" s="272">
        <f>IFERROR(SUMPRODUCT(Y62:Y64*H62:H64),"0")</f>
        <v>50.400000000000006</v>
      </c>
      <c r="Z66" s="37"/>
      <c r="AA66" s="273"/>
      <c r="AB66" s="273"/>
      <c r="AC66" s="273"/>
    </row>
    <row r="67" spans="1:68" ht="16.5" hidden="1" customHeight="1" x14ac:dyDescent="0.25">
      <c r="A67" s="284" t="s">
        <v>131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5"/>
      <c r="AB67" s="265"/>
      <c r="AC67" s="265"/>
    </row>
    <row r="68" spans="1:68" ht="14.25" hidden="1" customHeight="1" x14ac:dyDescent="0.25">
      <c r="A68" s="286" t="s">
        <v>64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66"/>
      <c r="AB68" s="266"/>
      <c r="AC68" s="266"/>
    </row>
    <row r="69" spans="1:68" ht="27" hidden="1" customHeight="1" x14ac:dyDescent="0.25">
      <c r="A69" s="54" t="s">
        <v>132</v>
      </c>
      <c r="B69" s="54" t="s">
        <v>133</v>
      </c>
      <c r="C69" s="31">
        <v>4301070977</v>
      </c>
      <c r="D69" s="287">
        <v>4607111037411</v>
      </c>
      <c r="E69" s="288"/>
      <c r="F69" s="269">
        <v>2.7</v>
      </c>
      <c r="G69" s="32">
        <v>1</v>
      </c>
      <c r="H69" s="269">
        <v>2.7</v>
      </c>
      <c r="I69" s="269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0"/>
      <c r="R69" s="280"/>
      <c r="S69" s="280"/>
      <c r="T69" s="281"/>
      <c r="U69" s="34"/>
      <c r="V69" s="34"/>
      <c r="W69" s="35" t="s">
        <v>70</v>
      </c>
      <c r="X69" s="270">
        <v>0</v>
      </c>
      <c r="Y69" s="271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87">
        <v>4607111036728</v>
      </c>
      <c r="E70" s="288"/>
      <c r="F70" s="269">
        <v>5</v>
      </c>
      <c r="G70" s="32">
        <v>1</v>
      </c>
      <c r="H70" s="269">
        <v>5</v>
      </c>
      <c r="I70" s="269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0"/>
      <c r="R70" s="280"/>
      <c r="S70" s="280"/>
      <c r="T70" s="281"/>
      <c r="U70" s="34"/>
      <c r="V70" s="34"/>
      <c r="W70" s="35" t="s">
        <v>70</v>
      </c>
      <c r="X70" s="270">
        <v>180</v>
      </c>
      <c r="Y70" s="271">
        <f>IFERROR(IF(X70="","",X70),"")</f>
        <v>180</v>
      </c>
      <c r="Z70" s="36">
        <f>IFERROR(IF(X70="","",X70*0.00866),"")</f>
        <v>1.5588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938.37599999999998</v>
      </c>
      <c r="BN70" s="67">
        <f>IFERROR(Y70*I70,"0")</f>
        <v>938.37599999999998</v>
      </c>
      <c r="BO70" s="67">
        <f>IFERROR(X70/J70,"0")</f>
        <v>1.25</v>
      </c>
      <c r="BP70" s="67">
        <f>IFERROR(Y70/J70,"0")</f>
        <v>1.25</v>
      </c>
    </row>
    <row r="71" spans="1:68" x14ac:dyDescent="0.2">
      <c r="A71" s="289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90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2">
        <f>IFERROR(SUM(X69:X70),"0")</f>
        <v>180</v>
      </c>
      <c r="Y71" s="272">
        <f>IFERROR(SUM(Y69:Y70),"0")</f>
        <v>180</v>
      </c>
      <c r="Z71" s="272">
        <f>IFERROR(IF(Z69="",0,Z69),"0")+IFERROR(IF(Z70="",0,Z70),"0")</f>
        <v>1.5588</v>
      </c>
      <c r="AA71" s="273"/>
      <c r="AB71" s="273"/>
      <c r="AC71" s="273"/>
    </row>
    <row r="72" spans="1:68" x14ac:dyDescent="0.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90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2">
        <f>IFERROR(SUMPRODUCT(X69:X70*H69:H70),"0")</f>
        <v>900</v>
      </c>
      <c r="Y72" s="272">
        <f>IFERROR(SUMPRODUCT(Y69:Y70*H69:H70),"0")</f>
        <v>900</v>
      </c>
      <c r="Z72" s="37"/>
      <c r="AA72" s="273"/>
      <c r="AB72" s="273"/>
      <c r="AC72" s="273"/>
    </row>
    <row r="73" spans="1:68" ht="16.5" hidden="1" customHeight="1" x14ac:dyDescent="0.25">
      <c r="A73" s="284" t="s">
        <v>138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65"/>
      <c r="AB73" s="265"/>
      <c r="AC73" s="265"/>
    </row>
    <row r="74" spans="1:68" ht="14.25" hidden="1" customHeight="1" x14ac:dyDescent="0.25">
      <c r="A74" s="286" t="s">
        <v>123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66"/>
      <c r="AB74" s="266"/>
      <c r="AC74" s="266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87">
        <v>4607111033659</v>
      </c>
      <c r="E75" s="288"/>
      <c r="F75" s="269">
        <v>0.3</v>
      </c>
      <c r="G75" s="32">
        <v>12</v>
      </c>
      <c r="H75" s="269">
        <v>3.6</v>
      </c>
      <c r="I75" s="269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5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0"/>
      <c r="R75" s="280"/>
      <c r="S75" s="280"/>
      <c r="T75" s="281"/>
      <c r="U75" s="34"/>
      <c r="V75" s="34"/>
      <c r="W75" s="35" t="s">
        <v>70</v>
      </c>
      <c r="X75" s="270">
        <v>14</v>
      </c>
      <c r="Y75" s="271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9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90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2">
        <f>IFERROR(SUM(X75:X75),"0")</f>
        <v>14</v>
      </c>
      <c r="Y76" s="272">
        <f>IFERROR(SUM(Y75:Y75),"0")</f>
        <v>14</v>
      </c>
      <c r="Z76" s="272">
        <f>IFERROR(IF(Z75="",0,Z75),"0")</f>
        <v>0.25031999999999999</v>
      </c>
      <c r="AA76" s="273"/>
      <c r="AB76" s="273"/>
      <c r="AC76" s="273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90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2">
        <f>IFERROR(SUMPRODUCT(X75:X75*H75:H75),"0")</f>
        <v>50.4</v>
      </c>
      <c r="Y77" s="272">
        <f>IFERROR(SUMPRODUCT(Y75:Y75*H75:H75),"0")</f>
        <v>50.4</v>
      </c>
      <c r="Z77" s="37"/>
      <c r="AA77" s="273"/>
      <c r="AB77" s="273"/>
      <c r="AC77" s="273"/>
    </row>
    <row r="78" spans="1:68" ht="16.5" hidden="1" customHeight="1" x14ac:dyDescent="0.25">
      <c r="A78" s="284" t="s">
        <v>142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5"/>
      <c r="AB78" s="265"/>
      <c r="AC78" s="265"/>
    </row>
    <row r="79" spans="1:68" ht="14.25" hidden="1" customHeight="1" x14ac:dyDescent="0.25">
      <c r="A79" s="286" t="s">
        <v>143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6"/>
      <c r="AB79" s="266"/>
      <c r="AC79" s="266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87">
        <v>4607111034120</v>
      </c>
      <c r="E80" s="288"/>
      <c r="F80" s="269">
        <v>0.3</v>
      </c>
      <c r="G80" s="32">
        <v>12</v>
      </c>
      <c r="H80" s="269">
        <v>3.6</v>
      </c>
      <c r="I80" s="269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1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0"/>
      <c r="R80" s="280"/>
      <c r="S80" s="280"/>
      <c r="T80" s="281"/>
      <c r="U80" s="34"/>
      <c r="V80" s="34"/>
      <c r="W80" s="35" t="s">
        <v>70</v>
      </c>
      <c r="X80" s="270">
        <v>28</v>
      </c>
      <c r="Y80" s="271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87">
        <v>4607111034137</v>
      </c>
      <c r="E81" s="288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30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0"/>
      <c r="R81" s="280"/>
      <c r="S81" s="280"/>
      <c r="T81" s="281"/>
      <c r="U81" s="34"/>
      <c r="V81" s="34"/>
      <c r="W81" s="35" t="s">
        <v>70</v>
      </c>
      <c r="X81" s="270">
        <v>28</v>
      </c>
      <c r="Y81" s="271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x14ac:dyDescent="0.2">
      <c r="A82" s="289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90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2">
        <f>IFERROR(SUM(X80:X81),"0")</f>
        <v>56</v>
      </c>
      <c r="Y82" s="272">
        <f>IFERROR(SUM(Y80:Y81),"0")</f>
        <v>56</v>
      </c>
      <c r="Z82" s="272">
        <f>IFERROR(IF(Z80="",0,Z80),"0")+IFERROR(IF(Z81="",0,Z81),"0")</f>
        <v>1.0012799999999999</v>
      </c>
      <c r="AA82" s="273"/>
      <c r="AB82" s="273"/>
      <c r="AC82" s="273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90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2">
        <f>IFERROR(SUMPRODUCT(X80:X81*H80:H81),"0")</f>
        <v>201.6</v>
      </c>
      <c r="Y83" s="272">
        <f>IFERROR(SUMPRODUCT(Y80:Y81*H80:H81),"0")</f>
        <v>201.6</v>
      </c>
      <c r="Z83" s="37"/>
      <c r="AA83" s="273"/>
      <c r="AB83" s="273"/>
      <c r="AC83" s="273"/>
    </row>
    <row r="84" spans="1:68" ht="16.5" hidden="1" customHeight="1" x14ac:dyDescent="0.25">
      <c r="A84" s="284" t="s">
        <v>150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5"/>
      <c r="AB84" s="265"/>
      <c r="AC84" s="265"/>
    </row>
    <row r="85" spans="1:68" ht="14.25" hidden="1" customHeight="1" x14ac:dyDescent="0.25">
      <c r="A85" s="286" t="s">
        <v>123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6"/>
      <c r="AB85" s="266"/>
      <c r="AC85" s="266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87">
        <v>4620207491027</v>
      </c>
      <c r="E86" s="288"/>
      <c r="F86" s="269">
        <v>0.24</v>
      </c>
      <c r="G86" s="32">
        <v>12</v>
      </c>
      <c r="H86" s="269">
        <v>2.88</v>
      </c>
      <c r="I86" s="269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9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0"/>
      <c r="R86" s="280"/>
      <c r="S86" s="280"/>
      <c r="T86" s="281"/>
      <c r="U86" s="34"/>
      <c r="V86" s="34"/>
      <c r="W86" s="35" t="s">
        <v>70</v>
      </c>
      <c r="X86" s="270">
        <v>14</v>
      </c>
      <c r="Y86" s="271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87">
        <v>4620207491003</v>
      </c>
      <c r="E87" s="288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0"/>
      <c r="R87" s="280"/>
      <c r="S87" s="280"/>
      <c r="T87" s="281"/>
      <c r="U87" s="34"/>
      <c r="V87" s="34"/>
      <c r="W87" s="35" t="s">
        <v>70</v>
      </c>
      <c r="X87" s="270">
        <v>56</v>
      </c>
      <c r="Y87" s="271">
        <f t="shared" si="0"/>
        <v>56</v>
      </c>
      <c r="Z87" s="36">
        <f t="shared" si="1"/>
        <v>1.0012799999999999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200.6816</v>
      </c>
      <c r="BN87" s="67">
        <f t="shared" si="3"/>
        <v>200.6816</v>
      </c>
      <c r="BO87" s="67">
        <f t="shared" si="4"/>
        <v>0.8</v>
      </c>
      <c r="BP87" s="67">
        <f t="shared" si="5"/>
        <v>0.8</v>
      </c>
    </row>
    <row r="88" spans="1:68" ht="27" hidden="1" customHeight="1" x14ac:dyDescent="0.25">
      <c r="A88" s="54" t="s">
        <v>155</v>
      </c>
      <c r="B88" s="54" t="s">
        <v>156</v>
      </c>
      <c r="C88" s="31">
        <v>4301135768</v>
      </c>
      <c r="D88" s="287">
        <v>4620207491034</v>
      </c>
      <c r="E88" s="288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4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0"/>
      <c r="R88" s="280"/>
      <c r="S88" s="280"/>
      <c r="T88" s="281"/>
      <c r="U88" s="34"/>
      <c r="V88" s="34"/>
      <c r="W88" s="35" t="s">
        <v>70</v>
      </c>
      <c r="X88" s="270">
        <v>0</v>
      </c>
      <c r="Y88" s="271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87">
        <v>4620207491010</v>
      </c>
      <c r="E89" s="288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0"/>
      <c r="R89" s="280"/>
      <c r="S89" s="280"/>
      <c r="T89" s="281"/>
      <c r="U89" s="34"/>
      <c r="V89" s="34"/>
      <c r="W89" s="35" t="s">
        <v>70</v>
      </c>
      <c r="X89" s="270">
        <v>56</v>
      </c>
      <c r="Y89" s="271">
        <f t="shared" si="0"/>
        <v>56</v>
      </c>
      <c r="Z89" s="36">
        <f t="shared" si="1"/>
        <v>1.0012799999999999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200.6816</v>
      </c>
      <c r="BN89" s="67">
        <f t="shared" si="3"/>
        <v>200.6816</v>
      </c>
      <c r="BO89" s="67">
        <f t="shared" si="4"/>
        <v>0.8</v>
      </c>
      <c r="BP89" s="67">
        <f t="shared" si="5"/>
        <v>0.8</v>
      </c>
    </row>
    <row r="90" spans="1:68" ht="27" hidden="1" customHeight="1" x14ac:dyDescent="0.25">
      <c r="A90" s="54" t="s">
        <v>160</v>
      </c>
      <c r="B90" s="54" t="s">
        <v>161</v>
      </c>
      <c r="C90" s="31">
        <v>4301135571</v>
      </c>
      <c r="D90" s="287">
        <v>4607111035028</v>
      </c>
      <c r="E90" s="288"/>
      <c r="F90" s="269">
        <v>0.48</v>
      </c>
      <c r="G90" s="32">
        <v>8</v>
      </c>
      <c r="H90" s="269">
        <v>3.84</v>
      </c>
      <c r="I90" s="269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8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0"/>
      <c r="R90" s="280"/>
      <c r="S90" s="280"/>
      <c r="T90" s="281"/>
      <c r="U90" s="34"/>
      <c r="V90" s="34"/>
      <c r="W90" s="35" t="s">
        <v>70</v>
      </c>
      <c r="X90" s="270">
        <v>0</v>
      </c>
      <c r="Y90" s="271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162</v>
      </c>
      <c r="B91" s="54" t="s">
        <v>163</v>
      </c>
      <c r="C91" s="31">
        <v>4301135285</v>
      </c>
      <c r="D91" s="287">
        <v>4607111036407</v>
      </c>
      <c r="E91" s="288"/>
      <c r="F91" s="269">
        <v>0.3</v>
      </c>
      <c r="G91" s="32">
        <v>14</v>
      </c>
      <c r="H91" s="269">
        <v>4.2</v>
      </c>
      <c r="I91" s="269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42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0"/>
      <c r="R91" s="280"/>
      <c r="S91" s="280"/>
      <c r="T91" s="281"/>
      <c r="U91" s="34"/>
      <c r="V91" s="34"/>
      <c r="W91" s="35" t="s">
        <v>70</v>
      </c>
      <c r="X91" s="270">
        <v>0</v>
      </c>
      <c r="Y91" s="271">
        <f t="shared" si="0"/>
        <v>0</v>
      </c>
      <c r="Z91" s="36">
        <f t="shared" si="1"/>
        <v>0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9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90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2">
        <f>IFERROR(SUM(X86:X91),"0")</f>
        <v>126</v>
      </c>
      <c r="Y92" s="272">
        <f>IFERROR(SUM(Y86:Y91),"0")</f>
        <v>126</v>
      </c>
      <c r="Z92" s="272">
        <f>IFERROR(IF(Z86="",0,Z86),"0")+IFERROR(IF(Z87="",0,Z87),"0")+IFERROR(IF(Z88="",0,Z88),"0")+IFERROR(IF(Z89="",0,Z89),"0")+IFERROR(IF(Z90="",0,Z90),"0")+IFERROR(IF(Z91="",0,Z91),"0")</f>
        <v>2.2528799999999998</v>
      </c>
      <c r="AA92" s="273"/>
      <c r="AB92" s="273"/>
      <c r="AC92" s="273"/>
    </row>
    <row r="93" spans="1:68" x14ac:dyDescent="0.2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90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2">
        <f>IFERROR(SUMPRODUCT(X86:X91*H86:H91),"0")</f>
        <v>362.88</v>
      </c>
      <c r="Y93" s="272">
        <f>IFERROR(SUMPRODUCT(Y86:Y91*H86:H91),"0")</f>
        <v>362.88</v>
      </c>
      <c r="Z93" s="37"/>
      <c r="AA93" s="273"/>
      <c r="AB93" s="273"/>
      <c r="AC93" s="273"/>
    </row>
    <row r="94" spans="1:68" ht="16.5" hidden="1" customHeight="1" x14ac:dyDescent="0.25">
      <c r="A94" s="284" t="s">
        <v>165</v>
      </c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65"/>
      <c r="AB94" s="265"/>
      <c r="AC94" s="265"/>
    </row>
    <row r="95" spans="1:68" ht="14.25" hidden="1" customHeight="1" x14ac:dyDescent="0.25">
      <c r="A95" s="286" t="s">
        <v>117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6"/>
      <c r="AB95" s="266"/>
      <c r="AC95" s="266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87">
        <v>4607025784012</v>
      </c>
      <c r="E96" s="288"/>
      <c r="F96" s="269">
        <v>0.09</v>
      </c>
      <c r="G96" s="32">
        <v>24</v>
      </c>
      <c r="H96" s="269">
        <v>2.16</v>
      </c>
      <c r="I96" s="269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0"/>
      <c r="R96" s="280"/>
      <c r="S96" s="280"/>
      <c r="T96" s="281"/>
      <c r="U96" s="34"/>
      <c r="V96" s="34"/>
      <c r="W96" s="35" t="s">
        <v>70</v>
      </c>
      <c r="X96" s="270">
        <v>14</v>
      </c>
      <c r="Y96" s="271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hidden="1" customHeight="1" x14ac:dyDescent="0.25">
      <c r="A97" s="54" t="s">
        <v>169</v>
      </c>
      <c r="B97" s="54" t="s">
        <v>170</v>
      </c>
      <c r="C97" s="31">
        <v>4301136079</v>
      </c>
      <c r="D97" s="287">
        <v>4607025784319</v>
      </c>
      <c r="E97" s="288"/>
      <c r="F97" s="269">
        <v>0.36</v>
      </c>
      <c r="G97" s="32">
        <v>10</v>
      </c>
      <c r="H97" s="269">
        <v>3.6</v>
      </c>
      <c r="I97" s="269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5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0"/>
      <c r="R97" s="280"/>
      <c r="S97" s="280"/>
      <c r="T97" s="281"/>
      <c r="U97" s="34"/>
      <c r="V97" s="34"/>
      <c r="W97" s="35" t="s">
        <v>70</v>
      </c>
      <c r="X97" s="270">
        <v>0</v>
      </c>
      <c r="Y97" s="271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9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90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2">
        <f>IFERROR(SUM(X96:X97),"0")</f>
        <v>14</v>
      </c>
      <c r="Y98" s="272">
        <f>IFERROR(SUM(Y96:Y97),"0")</f>
        <v>14</v>
      </c>
      <c r="Z98" s="272">
        <f>IFERROR(IF(Z96="",0,Z96),"0")+IFERROR(IF(Z97="",0,Z97),"0")</f>
        <v>0.13103999999999999</v>
      </c>
      <c r="AA98" s="273"/>
      <c r="AB98" s="273"/>
      <c r="AC98" s="273"/>
    </row>
    <row r="99" spans="1:68" x14ac:dyDescent="0.2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90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2">
        <f>IFERROR(SUMPRODUCT(X96:X97*H96:H97),"0")</f>
        <v>30.240000000000002</v>
      </c>
      <c r="Y99" s="272">
        <f>IFERROR(SUMPRODUCT(Y96:Y97*H96:H97),"0")</f>
        <v>30.240000000000002</v>
      </c>
      <c r="Z99" s="37"/>
      <c r="AA99" s="273"/>
      <c r="AB99" s="273"/>
      <c r="AC99" s="273"/>
    </row>
    <row r="100" spans="1:68" ht="16.5" hidden="1" customHeight="1" x14ac:dyDescent="0.25">
      <c r="A100" s="284" t="s">
        <v>171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65"/>
      <c r="AB100" s="265"/>
      <c r="AC100" s="265"/>
    </row>
    <row r="101" spans="1:68" ht="14.25" hidden="1" customHeight="1" x14ac:dyDescent="0.25">
      <c r="A101" s="286" t="s">
        <v>64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66"/>
      <c r="AB101" s="266"/>
      <c r="AC101" s="266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87">
        <v>4620207491157</v>
      </c>
      <c r="E102" s="288"/>
      <c r="F102" s="269">
        <v>0.7</v>
      </c>
      <c r="G102" s="32">
        <v>10</v>
      </c>
      <c r="H102" s="269">
        <v>7</v>
      </c>
      <c r="I102" s="269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39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0"/>
      <c r="R102" s="280"/>
      <c r="S102" s="280"/>
      <c r="T102" s="281"/>
      <c r="U102" s="34"/>
      <c r="V102" s="34"/>
      <c r="W102" s="35" t="s">
        <v>70</v>
      </c>
      <c r="X102" s="270">
        <v>24</v>
      </c>
      <c r="Y102" s="271">
        <f t="shared" ref="Y102:Y109" si="6">IFERROR(IF(X102="","",X102),"")</f>
        <v>24</v>
      </c>
      <c r="Z102" s="36">
        <f t="shared" ref="Z102:Z109" si="7">IFERROR(IF(X102="","",X102*0.0155),"")</f>
        <v>0.372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174.72</v>
      </c>
      <c r="BN102" s="67">
        <f t="shared" ref="BN102:BN109" si="9">IFERROR(Y102*I102,"0")</f>
        <v>174.72</v>
      </c>
      <c r="BO102" s="67">
        <f t="shared" ref="BO102:BO109" si="10">IFERROR(X102/J102,"0")</f>
        <v>0.2857142857142857</v>
      </c>
      <c r="BP102" s="67">
        <f t="shared" ref="BP102:BP109" si="11">IFERROR(Y102/J102,"0")</f>
        <v>0.2857142857142857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87">
        <v>4607111039262</v>
      </c>
      <c r="E103" s="288"/>
      <c r="F103" s="269">
        <v>0.4</v>
      </c>
      <c r="G103" s="32">
        <v>16</v>
      </c>
      <c r="H103" s="269">
        <v>6.4</v>
      </c>
      <c r="I103" s="269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4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0"/>
      <c r="R103" s="280"/>
      <c r="S103" s="280"/>
      <c r="T103" s="281"/>
      <c r="U103" s="34"/>
      <c r="V103" s="34"/>
      <c r="W103" s="35" t="s">
        <v>70</v>
      </c>
      <c r="X103" s="270">
        <v>36</v>
      </c>
      <c r="Y103" s="271">
        <f t="shared" si="6"/>
        <v>36</v>
      </c>
      <c r="Z103" s="36">
        <f t="shared" si="7"/>
        <v>0.55800000000000005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241.90559999999999</v>
      </c>
      <c r="BN103" s="67">
        <f t="shared" si="9"/>
        <v>241.90559999999999</v>
      </c>
      <c r="BO103" s="67">
        <f t="shared" si="10"/>
        <v>0.42857142857142855</v>
      </c>
      <c r="BP103" s="67">
        <f t="shared" si="11"/>
        <v>0.42857142857142855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87">
        <v>4607111039248</v>
      </c>
      <c r="E104" s="288"/>
      <c r="F104" s="269">
        <v>0.7</v>
      </c>
      <c r="G104" s="32">
        <v>10</v>
      </c>
      <c r="H104" s="269">
        <v>7</v>
      </c>
      <c r="I104" s="269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30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0"/>
      <c r="R104" s="280"/>
      <c r="S104" s="280"/>
      <c r="T104" s="281"/>
      <c r="U104" s="34"/>
      <c r="V104" s="34"/>
      <c r="W104" s="35" t="s">
        <v>70</v>
      </c>
      <c r="X104" s="270">
        <v>96</v>
      </c>
      <c r="Y104" s="271">
        <f t="shared" si="6"/>
        <v>96</v>
      </c>
      <c r="Z104" s="36">
        <f t="shared" si="7"/>
        <v>1.488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700.8</v>
      </c>
      <c r="BN104" s="67">
        <f t="shared" si="9"/>
        <v>700.8</v>
      </c>
      <c r="BO104" s="67">
        <f t="shared" si="10"/>
        <v>1.1428571428571428</v>
      </c>
      <c r="BP104" s="67">
        <f t="shared" si="11"/>
        <v>1.1428571428571428</v>
      </c>
    </row>
    <row r="105" spans="1:68" ht="27" hidden="1" customHeight="1" x14ac:dyDescent="0.25">
      <c r="A105" s="54" t="s">
        <v>179</v>
      </c>
      <c r="B105" s="54" t="s">
        <v>180</v>
      </c>
      <c r="C105" s="31">
        <v>4301070979</v>
      </c>
      <c r="D105" s="287">
        <v>4607111037145</v>
      </c>
      <c r="E105" s="288"/>
      <c r="F105" s="269">
        <v>0.8</v>
      </c>
      <c r="G105" s="32">
        <v>8</v>
      </c>
      <c r="H105" s="269">
        <v>6.4</v>
      </c>
      <c r="I105" s="269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0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0"/>
      <c r="R105" s="280"/>
      <c r="S105" s="280"/>
      <c r="T105" s="281"/>
      <c r="U105" s="34"/>
      <c r="V105" s="34"/>
      <c r="W105" s="35" t="s">
        <v>70</v>
      </c>
      <c r="X105" s="270">
        <v>0</v>
      </c>
      <c r="Y105" s="271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87">
        <v>4607111039293</v>
      </c>
      <c r="E106" s="288"/>
      <c r="F106" s="269">
        <v>0.4</v>
      </c>
      <c r="G106" s="32">
        <v>16</v>
      </c>
      <c r="H106" s="269">
        <v>6.4</v>
      </c>
      <c r="I106" s="269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4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0"/>
      <c r="R106" s="280"/>
      <c r="S106" s="280"/>
      <c r="T106" s="281"/>
      <c r="U106" s="34"/>
      <c r="V106" s="34"/>
      <c r="W106" s="35" t="s">
        <v>70</v>
      </c>
      <c r="X106" s="270">
        <v>36</v>
      </c>
      <c r="Y106" s="271">
        <f t="shared" si="6"/>
        <v>36</v>
      </c>
      <c r="Z106" s="36">
        <f t="shared" si="7"/>
        <v>0.55800000000000005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241.90559999999999</v>
      </c>
      <c r="BN106" s="67">
        <f t="shared" si="9"/>
        <v>241.90559999999999</v>
      </c>
      <c r="BO106" s="67">
        <f t="shared" si="10"/>
        <v>0.42857142857142855</v>
      </c>
      <c r="BP106" s="67">
        <f t="shared" si="11"/>
        <v>0.42857142857142855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87">
        <v>4607111039279</v>
      </c>
      <c r="E107" s="288"/>
      <c r="F107" s="269">
        <v>0.7</v>
      </c>
      <c r="G107" s="32">
        <v>10</v>
      </c>
      <c r="H107" s="269">
        <v>7</v>
      </c>
      <c r="I107" s="269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1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0"/>
      <c r="R107" s="280"/>
      <c r="S107" s="280"/>
      <c r="T107" s="281"/>
      <c r="U107" s="34"/>
      <c r="V107" s="34"/>
      <c r="W107" s="35" t="s">
        <v>70</v>
      </c>
      <c r="X107" s="270">
        <v>108</v>
      </c>
      <c r="Y107" s="271">
        <f t="shared" si="6"/>
        <v>108</v>
      </c>
      <c r="Z107" s="36">
        <f t="shared" si="7"/>
        <v>1.6739999999999999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788.4</v>
      </c>
      <c r="BN107" s="67">
        <f t="shared" si="9"/>
        <v>788.4</v>
      </c>
      <c r="BO107" s="67">
        <f t="shared" si="10"/>
        <v>1.2857142857142858</v>
      </c>
      <c r="BP107" s="67">
        <f t="shared" si="11"/>
        <v>1.2857142857142858</v>
      </c>
    </row>
    <row r="108" spans="1:68" ht="27" hidden="1" customHeight="1" x14ac:dyDescent="0.25">
      <c r="A108" s="54" t="s">
        <v>186</v>
      </c>
      <c r="B108" s="54" t="s">
        <v>187</v>
      </c>
      <c r="C108" s="31">
        <v>4301070978</v>
      </c>
      <c r="D108" s="287">
        <v>4607111037435</v>
      </c>
      <c r="E108" s="288"/>
      <c r="F108" s="269">
        <v>0.8</v>
      </c>
      <c r="G108" s="32">
        <v>8</v>
      </c>
      <c r="H108" s="269">
        <v>6.4</v>
      </c>
      <c r="I108" s="269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0"/>
      <c r="R108" s="280"/>
      <c r="S108" s="280"/>
      <c r="T108" s="281"/>
      <c r="U108" s="34"/>
      <c r="V108" s="34"/>
      <c r="W108" s="35" t="s">
        <v>70</v>
      </c>
      <c r="X108" s="270">
        <v>0</v>
      </c>
      <c r="Y108" s="271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87">
        <v>4620207491102</v>
      </c>
      <c r="E109" s="288"/>
      <c r="F109" s="269">
        <v>0.7</v>
      </c>
      <c r="G109" s="32">
        <v>10</v>
      </c>
      <c r="H109" s="269">
        <v>7</v>
      </c>
      <c r="I109" s="269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2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0"/>
      <c r="R109" s="280"/>
      <c r="S109" s="280"/>
      <c r="T109" s="281"/>
      <c r="U109" s="34"/>
      <c r="V109" s="34"/>
      <c r="W109" s="35" t="s">
        <v>70</v>
      </c>
      <c r="X109" s="270">
        <v>72</v>
      </c>
      <c r="Y109" s="271">
        <f t="shared" si="6"/>
        <v>72</v>
      </c>
      <c r="Z109" s="36">
        <f t="shared" si="7"/>
        <v>1.1160000000000001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520.56000000000006</v>
      </c>
      <c r="BN109" s="67">
        <f t="shared" si="9"/>
        <v>520.56000000000006</v>
      </c>
      <c r="BO109" s="67">
        <f t="shared" si="10"/>
        <v>0.8571428571428571</v>
      </c>
      <c r="BP109" s="67">
        <f t="shared" si="11"/>
        <v>0.8571428571428571</v>
      </c>
    </row>
    <row r="110" spans="1:68" x14ac:dyDescent="0.2">
      <c r="A110" s="289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90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2">
        <f>IFERROR(SUM(X102:X109),"0")</f>
        <v>372</v>
      </c>
      <c r="Y110" s="272">
        <f>IFERROR(SUM(Y102:Y109),"0")</f>
        <v>372</v>
      </c>
      <c r="Z110" s="272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5.766</v>
      </c>
      <c r="AA110" s="273"/>
      <c r="AB110" s="273"/>
      <c r="AC110" s="273"/>
    </row>
    <row r="111" spans="1:68" x14ac:dyDescent="0.2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90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2">
        <f>IFERROR(SUMPRODUCT(X102:X109*H102:H109),"0")</f>
        <v>2560.8000000000002</v>
      </c>
      <c r="Y111" s="272">
        <f>IFERROR(SUMPRODUCT(Y102:Y109*H102:H109),"0")</f>
        <v>2560.8000000000002</v>
      </c>
      <c r="Z111" s="37"/>
      <c r="AA111" s="273"/>
      <c r="AB111" s="273"/>
      <c r="AC111" s="273"/>
    </row>
    <row r="112" spans="1:68" ht="14.25" hidden="1" customHeight="1" x14ac:dyDescent="0.25">
      <c r="A112" s="286" t="s">
        <v>123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6"/>
      <c r="AB112" s="266"/>
      <c r="AC112" s="266"/>
    </row>
    <row r="113" spans="1:68" ht="27" hidden="1" customHeight="1" x14ac:dyDescent="0.25">
      <c r="A113" s="54" t="s">
        <v>192</v>
      </c>
      <c r="B113" s="54" t="s">
        <v>193</v>
      </c>
      <c r="C113" s="31">
        <v>4301135826</v>
      </c>
      <c r="D113" s="287">
        <v>4620207490983</v>
      </c>
      <c r="E113" s="288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0"/>
      <c r="R113" s="280"/>
      <c r="S113" s="280"/>
      <c r="T113" s="281"/>
      <c r="U113" s="34"/>
      <c r="V113" s="34"/>
      <c r="W113" s="35" t="s">
        <v>70</v>
      </c>
      <c r="X113" s="270">
        <v>0</v>
      </c>
      <c r="Y113" s="271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9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90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2">
        <f>IFERROR(SUM(X113:X113),"0")</f>
        <v>0</v>
      </c>
      <c r="Y114" s="272">
        <f>IFERROR(SUM(Y113:Y113),"0")</f>
        <v>0</v>
      </c>
      <c r="Z114" s="272">
        <f>IFERROR(IF(Z113="",0,Z113),"0")</f>
        <v>0</v>
      </c>
      <c r="AA114" s="273"/>
      <c r="AB114" s="273"/>
      <c r="AC114" s="273"/>
    </row>
    <row r="115" spans="1:68" hidden="1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90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2">
        <f>IFERROR(SUMPRODUCT(X113:X113*H113:H113),"0")</f>
        <v>0</v>
      </c>
      <c r="Y115" s="272">
        <f>IFERROR(SUMPRODUCT(Y113:Y113*H113:H113),"0")</f>
        <v>0</v>
      </c>
      <c r="Z115" s="37"/>
      <c r="AA115" s="273"/>
      <c r="AB115" s="273"/>
      <c r="AC115" s="273"/>
    </row>
    <row r="116" spans="1:68" ht="14.25" hidden="1" customHeight="1" x14ac:dyDescent="0.25">
      <c r="A116" s="286" t="s">
        <v>195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66"/>
      <c r="AB116" s="266"/>
      <c r="AC116" s="266"/>
    </row>
    <row r="117" spans="1:68" ht="27" hidden="1" customHeight="1" x14ac:dyDescent="0.25">
      <c r="A117" s="54" t="s">
        <v>196</v>
      </c>
      <c r="B117" s="54" t="s">
        <v>197</v>
      </c>
      <c r="C117" s="31">
        <v>4301071094</v>
      </c>
      <c r="D117" s="287">
        <v>4620207491140</v>
      </c>
      <c r="E117" s="288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7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0"/>
      <c r="R117" s="280"/>
      <c r="S117" s="280"/>
      <c r="T117" s="281"/>
      <c r="U117" s="34"/>
      <c r="V117" s="34"/>
      <c r="W117" s="35" t="s">
        <v>70</v>
      </c>
      <c r="X117" s="270">
        <v>0</v>
      </c>
      <c r="Y117" s="271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9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90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2">
        <f>IFERROR(SUM(X117:X117),"0")</f>
        <v>0</v>
      </c>
      <c r="Y118" s="272">
        <f>IFERROR(SUM(Y117:Y117),"0")</f>
        <v>0</v>
      </c>
      <c r="Z118" s="272">
        <f>IFERROR(IF(Z117="",0,Z117),"0")</f>
        <v>0</v>
      </c>
      <c r="AA118" s="273"/>
      <c r="AB118" s="273"/>
      <c r="AC118" s="273"/>
    </row>
    <row r="119" spans="1:68" hidden="1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90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2">
        <f>IFERROR(SUMPRODUCT(X117:X117*H117:H117),"0")</f>
        <v>0</v>
      </c>
      <c r="Y119" s="272">
        <f>IFERROR(SUMPRODUCT(Y117:Y117*H117:H117),"0")</f>
        <v>0</v>
      </c>
      <c r="Z119" s="37"/>
      <c r="AA119" s="273"/>
      <c r="AB119" s="273"/>
      <c r="AC119" s="273"/>
    </row>
    <row r="120" spans="1:68" ht="16.5" hidden="1" customHeight="1" x14ac:dyDescent="0.25">
      <c r="A120" s="284" t="s">
        <v>199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65"/>
      <c r="AB120" s="265"/>
      <c r="AC120" s="265"/>
    </row>
    <row r="121" spans="1:68" ht="14.25" hidden="1" customHeight="1" x14ac:dyDescent="0.25">
      <c r="A121" s="286" t="s">
        <v>123</v>
      </c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66"/>
      <c r="AB121" s="266"/>
      <c r="AC121" s="266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87">
        <v>4607111034014</v>
      </c>
      <c r="E122" s="288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9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0"/>
      <c r="R122" s="280"/>
      <c r="S122" s="280"/>
      <c r="T122" s="281"/>
      <c r="U122" s="34"/>
      <c r="V122" s="34"/>
      <c r="W122" s="35" t="s">
        <v>70</v>
      </c>
      <c r="X122" s="270">
        <v>84</v>
      </c>
      <c r="Y122" s="271">
        <f>IFERROR(IF(X122="","",X122),"")</f>
        <v>84</v>
      </c>
      <c r="Z122" s="36">
        <f>IFERROR(IF(X122="","",X122*0.01788),"")</f>
        <v>1.5019199999999999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311.10239999999999</v>
      </c>
      <c r="BN122" s="67">
        <f>IFERROR(Y122*I122,"0")</f>
        <v>311.10239999999999</v>
      </c>
      <c r="BO122" s="67">
        <f>IFERROR(X122/J122,"0")</f>
        <v>1.2</v>
      </c>
      <c r="BP122" s="67">
        <f>IFERROR(Y122/J122,"0")</f>
        <v>1.2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87">
        <v>4607111033994</v>
      </c>
      <c r="E123" s="288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5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0"/>
      <c r="R123" s="280"/>
      <c r="S123" s="280"/>
      <c r="T123" s="281"/>
      <c r="U123" s="34"/>
      <c r="V123" s="34"/>
      <c r="W123" s="35" t="s">
        <v>70</v>
      </c>
      <c r="X123" s="270">
        <v>126</v>
      </c>
      <c r="Y123" s="271">
        <f>IFERROR(IF(X123="","",X123),"")</f>
        <v>126</v>
      </c>
      <c r="Z123" s="36">
        <f>IFERROR(IF(X123="","",X123*0.01788),"")</f>
        <v>2.2528800000000002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466.65359999999998</v>
      </c>
      <c r="BN123" s="67">
        <f>IFERROR(Y123*I123,"0")</f>
        <v>466.65359999999998</v>
      </c>
      <c r="BO123" s="67">
        <f>IFERROR(X123/J123,"0")</f>
        <v>1.8</v>
      </c>
      <c r="BP123" s="67">
        <f>IFERROR(Y123/J123,"0")</f>
        <v>1.8</v>
      </c>
    </row>
    <row r="124" spans="1:68" x14ac:dyDescent="0.2">
      <c r="A124" s="289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90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2">
        <f>IFERROR(SUM(X122:X123),"0")</f>
        <v>210</v>
      </c>
      <c r="Y124" s="272">
        <f>IFERROR(SUM(Y122:Y123),"0")</f>
        <v>210</v>
      </c>
      <c r="Z124" s="272">
        <f>IFERROR(IF(Z122="",0,Z122),"0")+IFERROR(IF(Z123="",0,Z123),"0")</f>
        <v>3.7548000000000004</v>
      </c>
      <c r="AA124" s="273"/>
      <c r="AB124" s="273"/>
      <c r="AC124" s="273"/>
    </row>
    <row r="125" spans="1:68" x14ac:dyDescent="0.2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90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2">
        <f>IFERROR(SUMPRODUCT(X122:X123*H122:H123),"0")</f>
        <v>630</v>
      </c>
      <c r="Y125" s="272">
        <f>IFERROR(SUMPRODUCT(Y122:Y123*H122:H123),"0")</f>
        <v>630</v>
      </c>
      <c r="Z125" s="37"/>
      <c r="AA125" s="273"/>
      <c r="AB125" s="273"/>
      <c r="AC125" s="273"/>
    </row>
    <row r="126" spans="1:68" ht="16.5" hidden="1" customHeight="1" x14ac:dyDescent="0.25">
      <c r="A126" s="284" t="s">
        <v>205</v>
      </c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65"/>
      <c r="AB126" s="265"/>
      <c r="AC126" s="265"/>
    </row>
    <row r="127" spans="1:68" ht="14.25" hidden="1" customHeight="1" x14ac:dyDescent="0.25">
      <c r="A127" s="286" t="s">
        <v>123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6"/>
      <c r="AB127" s="266"/>
      <c r="AC127" s="266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87">
        <v>4607111039095</v>
      </c>
      <c r="E128" s="288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0"/>
      <c r="R128" s="280"/>
      <c r="S128" s="280"/>
      <c r="T128" s="281"/>
      <c r="U128" s="34"/>
      <c r="V128" s="34"/>
      <c r="W128" s="35" t="s">
        <v>70</v>
      </c>
      <c r="X128" s="270">
        <v>14</v>
      </c>
      <c r="Y128" s="271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87">
        <v>4607111034199</v>
      </c>
      <c r="E129" s="288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3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0"/>
      <c r="R129" s="280"/>
      <c r="S129" s="280"/>
      <c r="T129" s="281"/>
      <c r="U129" s="34"/>
      <c r="V129" s="34"/>
      <c r="W129" s="35" t="s">
        <v>70</v>
      </c>
      <c r="X129" s="270">
        <v>56</v>
      </c>
      <c r="Y129" s="271">
        <f>IFERROR(IF(X129="","",X129),"")</f>
        <v>56</v>
      </c>
      <c r="Z129" s="36">
        <f>IFERROR(IF(X129="","",X129*0.01788),"")</f>
        <v>1.0012799999999999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207.40159999999997</v>
      </c>
      <c r="BN129" s="67">
        <f>IFERROR(Y129*I129,"0")</f>
        <v>207.40159999999997</v>
      </c>
      <c r="BO129" s="67">
        <f>IFERROR(X129/J129,"0")</f>
        <v>0.8</v>
      </c>
      <c r="BP129" s="67">
        <f>IFERROR(Y129/J129,"0")</f>
        <v>0.8</v>
      </c>
    </row>
    <row r="130" spans="1:68" x14ac:dyDescent="0.2">
      <c r="A130" s="289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90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2">
        <f>IFERROR(SUM(X128:X129),"0")</f>
        <v>70</v>
      </c>
      <c r="Y130" s="272">
        <f>IFERROR(SUM(Y128:Y129),"0")</f>
        <v>70</v>
      </c>
      <c r="Z130" s="272">
        <f>IFERROR(IF(Z128="",0,Z128),"0")+IFERROR(IF(Z129="",0,Z129),"0")</f>
        <v>1.2515999999999998</v>
      </c>
      <c r="AA130" s="273"/>
      <c r="AB130" s="273"/>
      <c r="AC130" s="273"/>
    </row>
    <row r="131" spans="1:68" x14ac:dyDescent="0.2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90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2">
        <f>IFERROR(SUMPRODUCT(X128:X129*H128:H129),"0")</f>
        <v>210</v>
      </c>
      <c r="Y131" s="272">
        <f>IFERROR(SUMPRODUCT(Y128:Y129*H128:H129),"0")</f>
        <v>210</v>
      </c>
      <c r="Z131" s="37"/>
      <c r="AA131" s="273"/>
      <c r="AB131" s="273"/>
      <c r="AC131" s="273"/>
    </row>
    <row r="132" spans="1:68" ht="16.5" hidden="1" customHeight="1" x14ac:dyDescent="0.25">
      <c r="A132" s="284" t="s">
        <v>212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5"/>
      <c r="AB132" s="265"/>
      <c r="AC132" s="265"/>
    </row>
    <row r="133" spans="1:68" ht="14.25" hidden="1" customHeight="1" x14ac:dyDescent="0.25">
      <c r="A133" s="286" t="s">
        <v>123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66"/>
      <c r="AB133" s="266"/>
      <c r="AC133" s="266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87">
        <v>4620207490914</v>
      </c>
      <c r="E134" s="288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0"/>
      <c r="R134" s="280"/>
      <c r="S134" s="280"/>
      <c r="T134" s="281"/>
      <c r="U134" s="34"/>
      <c r="V134" s="34"/>
      <c r="W134" s="35" t="s">
        <v>70</v>
      </c>
      <c r="X134" s="270">
        <v>28</v>
      </c>
      <c r="Y134" s="271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87">
        <v>4620207490853</v>
      </c>
      <c r="E135" s="288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0"/>
      <c r="R135" s="280"/>
      <c r="S135" s="280"/>
      <c r="T135" s="281"/>
      <c r="U135" s="34"/>
      <c r="V135" s="34"/>
      <c r="W135" s="35" t="s">
        <v>70</v>
      </c>
      <c r="X135" s="270">
        <v>42</v>
      </c>
      <c r="Y135" s="271">
        <f>IFERROR(IF(X135="","",X135),"")</f>
        <v>42</v>
      </c>
      <c r="Z135" s="36">
        <f>IFERROR(IF(X135="","",X135*0.01788),"")</f>
        <v>0.75095999999999996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112.56</v>
      </c>
      <c r="BN135" s="67">
        <f>IFERROR(Y135*I135,"0")</f>
        <v>112.56</v>
      </c>
      <c r="BO135" s="67">
        <f>IFERROR(X135/J135,"0")</f>
        <v>0.6</v>
      </c>
      <c r="BP135" s="67">
        <f>IFERROR(Y135/J135,"0")</f>
        <v>0.6</v>
      </c>
    </row>
    <row r="136" spans="1:68" x14ac:dyDescent="0.2">
      <c r="A136" s="289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90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2">
        <f>IFERROR(SUM(X134:X135),"0")</f>
        <v>70</v>
      </c>
      <c r="Y136" s="272">
        <f>IFERROR(SUM(Y134:Y135),"0")</f>
        <v>70</v>
      </c>
      <c r="Z136" s="272">
        <f>IFERROR(IF(Z134="",0,Z134),"0")+IFERROR(IF(Z135="",0,Z135),"0")</f>
        <v>1.2515999999999998</v>
      </c>
      <c r="AA136" s="273"/>
      <c r="AB136" s="273"/>
      <c r="AC136" s="273"/>
    </row>
    <row r="137" spans="1:68" x14ac:dyDescent="0.2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90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2">
        <f>IFERROR(SUMPRODUCT(X134:X135*H134:H135),"0")</f>
        <v>168</v>
      </c>
      <c r="Y137" s="272">
        <f>IFERROR(SUMPRODUCT(Y134:Y135*H134:H135),"0")</f>
        <v>168</v>
      </c>
      <c r="Z137" s="37"/>
      <c r="AA137" s="273"/>
      <c r="AB137" s="273"/>
      <c r="AC137" s="273"/>
    </row>
    <row r="138" spans="1:68" ht="16.5" hidden="1" customHeight="1" x14ac:dyDescent="0.25">
      <c r="A138" s="284" t="s">
        <v>217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5"/>
      <c r="AB138" s="265"/>
      <c r="AC138" s="265"/>
    </row>
    <row r="139" spans="1:68" ht="14.25" hidden="1" customHeight="1" x14ac:dyDescent="0.25">
      <c r="A139" s="286" t="s">
        <v>123</v>
      </c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66"/>
      <c r="AB139" s="266"/>
      <c r="AC139" s="266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87">
        <v>4607111035806</v>
      </c>
      <c r="E140" s="288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0"/>
      <c r="R140" s="280"/>
      <c r="S140" s="280"/>
      <c r="T140" s="281"/>
      <c r="U140" s="34"/>
      <c r="V140" s="34"/>
      <c r="W140" s="35" t="s">
        <v>70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9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90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2">
        <f>IFERROR(SUM(X140:X140),"0")</f>
        <v>14</v>
      </c>
      <c r="Y141" s="272">
        <f>IFERROR(SUM(Y140:Y140),"0")</f>
        <v>14</v>
      </c>
      <c r="Z141" s="272">
        <f>IFERROR(IF(Z140="",0,Z140),"0")</f>
        <v>0.25031999999999999</v>
      </c>
      <c r="AA141" s="273"/>
      <c r="AB141" s="273"/>
      <c r="AC141" s="273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90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2">
        <f>IFERROR(SUMPRODUCT(X140:X140*H140:H140),"0")</f>
        <v>42</v>
      </c>
      <c r="Y142" s="272">
        <f>IFERROR(SUMPRODUCT(Y140:Y140*H140:H140),"0")</f>
        <v>42</v>
      </c>
      <c r="Z142" s="37"/>
      <c r="AA142" s="273"/>
      <c r="AB142" s="273"/>
      <c r="AC142" s="273"/>
    </row>
    <row r="143" spans="1:68" ht="16.5" hidden="1" customHeight="1" x14ac:dyDescent="0.25">
      <c r="A143" s="284" t="s">
        <v>221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5"/>
      <c r="AB143" s="265"/>
      <c r="AC143" s="265"/>
    </row>
    <row r="144" spans="1:68" ht="14.25" hidden="1" customHeight="1" x14ac:dyDescent="0.25">
      <c r="A144" s="286" t="s">
        <v>123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6"/>
      <c r="AB144" s="266"/>
      <c r="AC144" s="266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87">
        <v>4607111039613</v>
      </c>
      <c r="E145" s="288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0"/>
      <c r="R145" s="280"/>
      <c r="S145" s="280"/>
      <c r="T145" s="281"/>
      <c r="U145" s="34"/>
      <c r="V145" s="34"/>
      <c r="W145" s="35" t="s">
        <v>70</v>
      </c>
      <c r="X145" s="270">
        <v>14</v>
      </c>
      <c r="Y145" s="271">
        <f>IFERROR(IF(X145="","",X145),"")</f>
        <v>14</v>
      </c>
      <c r="Z145" s="36">
        <f>IFERROR(IF(X145="","",X145*0.00936),"")</f>
        <v>0.13103999999999999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43.26</v>
      </c>
      <c r="BN145" s="67">
        <f>IFERROR(Y145*I145,"0")</f>
        <v>43.26</v>
      </c>
      <c r="BO145" s="67">
        <f>IFERROR(X145/J145,"0")</f>
        <v>0.1111111111111111</v>
      </c>
      <c r="BP145" s="67">
        <f>IFERROR(Y145/J145,"0")</f>
        <v>0.1111111111111111</v>
      </c>
    </row>
    <row r="146" spans="1:68" x14ac:dyDescent="0.2">
      <c r="A146" s="289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90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2">
        <f>IFERROR(SUM(X145:X145),"0")</f>
        <v>14</v>
      </c>
      <c r="Y146" s="272">
        <f>IFERROR(SUM(Y145:Y145),"0")</f>
        <v>14</v>
      </c>
      <c r="Z146" s="272">
        <f>IFERROR(IF(Z145="",0,Z145),"0")</f>
        <v>0.13103999999999999</v>
      </c>
      <c r="AA146" s="273"/>
      <c r="AB146" s="273"/>
      <c r="AC146" s="273"/>
    </row>
    <row r="147" spans="1:68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90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2">
        <f>IFERROR(SUMPRODUCT(X145:X145*H145:H145),"0")</f>
        <v>37.800000000000004</v>
      </c>
      <c r="Y147" s="272">
        <f>IFERROR(SUMPRODUCT(Y145:Y145*H145:H145),"0")</f>
        <v>37.800000000000004</v>
      </c>
      <c r="Z147" s="37"/>
      <c r="AA147" s="273"/>
      <c r="AB147" s="273"/>
      <c r="AC147" s="273"/>
    </row>
    <row r="148" spans="1:68" ht="16.5" hidden="1" customHeight="1" x14ac:dyDescent="0.25">
      <c r="A148" s="284" t="s">
        <v>224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65"/>
      <c r="AB148" s="265"/>
      <c r="AC148" s="265"/>
    </row>
    <row r="149" spans="1:68" ht="14.25" hidden="1" customHeight="1" x14ac:dyDescent="0.25">
      <c r="A149" s="286" t="s">
        <v>195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6"/>
      <c r="AB149" s="266"/>
      <c r="AC149" s="266"/>
    </row>
    <row r="150" spans="1:68" ht="27" hidden="1" customHeight="1" x14ac:dyDescent="0.25">
      <c r="A150" s="54" t="s">
        <v>225</v>
      </c>
      <c r="B150" s="54" t="s">
        <v>226</v>
      </c>
      <c r="C150" s="31">
        <v>4301135540</v>
      </c>
      <c r="D150" s="287">
        <v>4607111035646</v>
      </c>
      <c r="E150" s="288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0"/>
      <c r="R150" s="280"/>
      <c r="S150" s="280"/>
      <c r="T150" s="281"/>
      <c r="U150" s="34"/>
      <c r="V150" s="34"/>
      <c r="W150" s="35" t="s">
        <v>70</v>
      </c>
      <c r="X150" s="270">
        <v>0</v>
      </c>
      <c r="Y150" s="271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9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90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2">
        <f>IFERROR(SUM(X150:X150),"0")</f>
        <v>0</v>
      </c>
      <c r="Y151" s="272">
        <f>IFERROR(SUM(Y150:Y150),"0")</f>
        <v>0</v>
      </c>
      <c r="Z151" s="272">
        <f>IFERROR(IF(Z150="",0,Z150),"0")</f>
        <v>0</v>
      </c>
      <c r="AA151" s="273"/>
      <c r="AB151" s="273"/>
      <c r="AC151" s="273"/>
    </row>
    <row r="152" spans="1:68" hidden="1" x14ac:dyDescent="0.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90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2">
        <f>IFERROR(SUMPRODUCT(X150:X150*H150:H150),"0")</f>
        <v>0</v>
      </c>
      <c r="Y152" s="272">
        <f>IFERROR(SUMPRODUCT(Y150:Y150*H150:H150),"0")</f>
        <v>0</v>
      </c>
      <c r="Z152" s="37"/>
      <c r="AA152" s="273"/>
      <c r="AB152" s="273"/>
      <c r="AC152" s="273"/>
    </row>
    <row r="153" spans="1:68" ht="16.5" hidden="1" customHeight="1" x14ac:dyDescent="0.25">
      <c r="A153" s="284" t="s">
        <v>229</v>
      </c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65"/>
      <c r="AB153" s="265"/>
      <c r="AC153" s="265"/>
    </row>
    <row r="154" spans="1:68" ht="14.25" hidden="1" customHeight="1" x14ac:dyDescent="0.25">
      <c r="A154" s="286" t="s">
        <v>123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6"/>
      <c r="AB154" s="266"/>
      <c r="AC154" s="266"/>
    </row>
    <row r="155" spans="1:68" ht="27" hidden="1" customHeight="1" x14ac:dyDescent="0.25">
      <c r="A155" s="54" t="s">
        <v>230</v>
      </c>
      <c r="B155" s="54" t="s">
        <v>231</v>
      </c>
      <c r="C155" s="31">
        <v>4301135591</v>
      </c>
      <c r="D155" s="287">
        <v>4607111036568</v>
      </c>
      <c r="E155" s="288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7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0"/>
      <c r="R155" s="280"/>
      <c r="S155" s="280"/>
      <c r="T155" s="281"/>
      <c r="U155" s="34"/>
      <c r="V155" s="34"/>
      <c r="W155" s="35" t="s">
        <v>70</v>
      </c>
      <c r="X155" s="270">
        <v>0</v>
      </c>
      <c r="Y155" s="271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9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90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2">
        <f>IFERROR(SUM(X155:X155),"0")</f>
        <v>0</v>
      </c>
      <c r="Y156" s="272">
        <f>IFERROR(SUM(Y155:Y155),"0")</f>
        <v>0</v>
      </c>
      <c r="Z156" s="272">
        <f>IFERROR(IF(Z155="",0,Z155),"0")</f>
        <v>0</v>
      </c>
      <c r="AA156" s="273"/>
      <c r="AB156" s="273"/>
      <c r="AC156" s="273"/>
    </row>
    <row r="157" spans="1:68" hidden="1" x14ac:dyDescent="0.2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90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2">
        <f>IFERROR(SUMPRODUCT(X155:X155*H155:H155),"0")</f>
        <v>0</v>
      </c>
      <c r="Y157" s="272">
        <f>IFERROR(SUMPRODUCT(Y155:Y155*H155:H155),"0")</f>
        <v>0</v>
      </c>
      <c r="Z157" s="37"/>
      <c r="AA157" s="273"/>
      <c r="AB157" s="273"/>
      <c r="AC157" s="273"/>
    </row>
    <row r="158" spans="1:68" ht="27.75" hidden="1" customHeight="1" x14ac:dyDescent="0.2">
      <c r="A158" s="323" t="s">
        <v>233</v>
      </c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  <c r="AA158" s="48"/>
      <c r="AB158" s="48"/>
      <c r="AC158" s="48"/>
    </row>
    <row r="159" spans="1:68" ht="16.5" hidden="1" customHeight="1" x14ac:dyDescent="0.25">
      <c r="A159" s="284" t="s">
        <v>234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5"/>
      <c r="AB159" s="265"/>
      <c r="AC159" s="265"/>
    </row>
    <row r="160" spans="1:68" ht="14.25" hidden="1" customHeight="1" x14ac:dyDescent="0.25">
      <c r="A160" s="286" t="s">
        <v>64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6"/>
      <c r="AB160" s="266"/>
      <c r="AC160" s="266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87">
        <v>4607111036384</v>
      </c>
      <c r="E161" s="288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0"/>
      <c r="R161" s="280"/>
      <c r="S161" s="280"/>
      <c r="T161" s="281"/>
      <c r="U161" s="34"/>
      <c r="V161" s="34"/>
      <c r="W161" s="35" t="s">
        <v>70</v>
      </c>
      <c r="X161" s="270">
        <v>12</v>
      </c>
      <c r="Y161" s="271">
        <f>IFERROR(IF(X161="","",X161),"")</f>
        <v>12</v>
      </c>
      <c r="Z161" s="36">
        <f>IFERROR(IF(X161="","",X161*0.00866),"")</f>
        <v>0.10391999999999998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62.527200000000008</v>
      </c>
      <c r="BN161" s="67">
        <f>IFERROR(Y161*I161,"0")</f>
        <v>62.527200000000008</v>
      </c>
      <c r="BO161" s="67">
        <f>IFERROR(X161/J161,"0")</f>
        <v>8.3333333333333329E-2</v>
      </c>
      <c r="BP161" s="67">
        <f>IFERROR(Y161/J161,"0")</f>
        <v>8.3333333333333329E-2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87">
        <v>4607111036216</v>
      </c>
      <c r="E162" s="288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0"/>
      <c r="R162" s="280"/>
      <c r="S162" s="280"/>
      <c r="T162" s="281"/>
      <c r="U162" s="34"/>
      <c r="V162" s="34"/>
      <c r="W162" s="35" t="s">
        <v>70</v>
      </c>
      <c r="X162" s="270">
        <v>60</v>
      </c>
      <c r="Y162" s="271">
        <f>IFERROR(IF(X162="","",X162),"")</f>
        <v>60</v>
      </c>
      <c r="Z162" s="36">
        <f>IFERROR(IF(X162="","",X162*0.00866),"")</f>
        <v>0.51959999999999995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312.79199999999997</v>
      </c>
      <c r="BN162" s="67">
        <f>IFERROR(Y162*I162,"0")</f>
        <v>312.79199999999997</v>
      </c>
      <c r="BO162" s="67">
        <f>IFERROR(X162/J162,"0")</f>
        <v>0.41666666666666669</v>
      </c>
      <c r="BP162" s="67">
        <f>IFERROR(Y162/J162,"0")</f>
        <v>0.41666666666666669</v>
      </c>
    </row>
    <row r="163" spans="1:68" x14ac:dyDescent="0.2">
      <c r="A163" s="289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90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2">
        <f>IFERROR(SUM(X161:X162),"0")</f>
        <v>72</v>
      </c>
      <c r="Y163" s="272">
        <f>IFERROR(SUM(Y161:Y162),"0")</f>
        <v>72</v>
      </c>
      <c r="Z163" s="272">
        <f>IFERROR(IF(Z161="",0,Z161),"0")+IFERROR(IF(Z162="",0,Z162),"0")</f>
        <v>0.62351999999999996</v>
      </c>
      <c r="AA163" s="273"/>
      <c r="AB163" s="273"/>
      <c r="AC163" s="273"/>
    </row>
    <row r="164" spans="1:68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90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2">
        <f>IFERROR(SUMPRODUCT(X161:X162*H161:H162),"0")</f>
        <v>360</v>
      </c>
      <c r="Y164" s="272">
        <f>IFERROR(SUMPRODUCT(Y161:Y162*H161:H162),"0")</f>
        <v>360</v>
      </c>
      <c r="Z164" s="37"/>
      <c r="AA164" s="273"/>
      <c r="AB164" s="273"/>
      <c r="AC164" s="273"/>
    </row>
    <row r="165" spans="1:68" ht="27.75" hidden="1" customHeight="1" x14ac:dyDescent="0.2">
      <c r="A165" s="323" t="s">
        <v>241</v>
      </c>
      <c r="B165" s="324"/>
      <c r="C165" s="324"/>
      <c r="D165" s="324"/>
      <c r="E165" s="324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  <c r="AA165" s="48"/>
      <c r="AB165" s="48"/>
      <c r="AC165" s="48"/>
    </row>
    <row r="166" spans="1:68" ht="16.5" hidden="1" customHeight="1" x14ac:dyDescent="0.25">
      <c r="A166" s="284" t="s">
        <v>242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65"/>
      <c r="AB166" s="265"/>
      <c r="AC166" s="265"/>
    </row>
    <row r="167" spans="1:68" ht="14.25" hidden="1" customHeight="1" x14ac:dyDescent="0.25">
      <c r="A167" s="286" t="s">
        <v>77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66"/>
      <c r="AB167" s="266"/>
      <c r="AC167" s="266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87">
        <v>4607111035691</v>
      </c>
      <c r="E168" s="288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5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0"/>
      <c r="R168" s="280"/>
      <c r="S168" s="280"/>
      <c r="T168" s="281"/>
      <c r="U168" s="34"/>
      <c r="V168" s="34"/>
      <c r="W168" s="35" t="s">
        <v>70</v>
      </c>
      <c r="X168" s="270">
        <v>84</v>
      </c>
      <c r="Y168" s="271">
        <f>IFERROR(IF(X168="","",X168),"")</f>
        <v>84</v>
      </c>
      <c r="Z168" s="36">
        <f>IFERROR(IF(X168="","",X168*0.01788),"")</f>
        <v>1.5019199999999999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284.59199999999998</v>
      </c>
      <c r="BN168" s="67">
        <f>IFERROR(Y168*I168,"0")</f>
        <v>284.59199999999998</v>
      </c>
      <c r="BO168" s="67">
        <f>IFERROR(X168/J168,"0")</f>
        <v>1.2</v>
      </c>
      <c r="BP168" s="67">
        <f>IFERROR(Y168/J168,"0")</f>
        <v>1.2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87">
        <v>4607111035721</v>
      </c>
      <c r="E169" s="288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0"/>
      <c r="R169" s="280"/>
      <c r="S169" s="280"/>
      <c r="T169" s="281"/>
      <c r="U169" s="34"/>
      <c r="V169" s="34"/>
      <c r="W169" s="35" t="s">
        <v>70</v>
      </c>
      <c r="X169" s="270">
        <v>56</v>
      </c>
      <c r="Y169" s="271">
        <f>IFERROR(IF(X169="","",X169),"")</f>
        <v>56</v>
      </c>
      <c r="Z169" s="36">
        <f>IFERROR(IF(X169="","",X169*0.01788),"")</f>
        <v>1.0012799999999999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189.72800000000001</v>
      </c>
      <c r="BN169" s="67">
        <f>IFERROR(Y169*I169,"0")</f>
        <v>189.72800000000001</v>
      </c>
      <c r="BO169" s="67">
        <f>IFERROR(X169/J169,"0")</f>
        <v>0.8</v>
      </c>
      <c r="BP169" s="67">
        <f>IFERROR(Y169/J169,"0")</f>
        <v>0.8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87">
        <v>4607111038487</v>
      </c>
      <c r="E170" s="288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0"/>
      <c r="R170" s="280"/>
      <c r="S170" s="280"/>
      <c r="T170" s="281"/>
      <c r="U170" s="34"/>
      <c r="V170" s="34"/>
      <c r="W170" s="35" t="s">
        <v>70</v>
      </c>
      <c r="X170" s="270">
        <v>56</v>
      </c>
      <c r="Y170" s="271">
        <f>IFERROR(IF(X170="","",X170),"")</f>
        <v>56</v>
      </c>
      <c r="Z170" s="36">
        <f>IFERROR(IF(X170="","",X170*0.01788),"")</f>
        <v>1.0012799999999999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209.21600000000001</v>
      </c>
      <c r="BN170" s="67">
        <f>IFERROR(Y170*I170,"0")</f>
        <v>209.21600000000001</v>
      </c>
      <c r="BO170" s="67">
        <f>IFERROR(X170/J170,"0")</f>
        <v>0.8</v>
      </c>
      <c r="BP170" s="67">
        <f>IFERROR(Y170/J170,"0")</f>
        <v>0.8</v>
      </c>
    </row>
    <row r="171" spans="1:68" x14ac:dyDescent="0.2">
      <c r="A171" s="289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90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2">
        <f>IFERROR(SUM(X168:X170),"0")</f>
        <v>196</v>
      </c>
      <c r="Y171" s="272">
        <f>IFERROR(SUM(Y168:Y170),"0")</f>
        <v>196</v>
      </c>
      <c r="Z171" s="272">
        <f>IFERROR(IF(Z168="",0,Z168),"0")+IFERROR(IF(Z169="",0,Z169),"0")+IFERROR(IF(Z170="",0,Z170),"0")</f>
        <v>3.5044799999999996</v>
      </c>
      <c r="AA171" s="273"/>
      <c r="AB171" s="273"/>
      <c r="AC171" s="273"/>
    </row>
    <row r="172" spans="1:68" x14ac:dyDescent="0.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90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2">
        <f>IFERROR(SUMPRODUCT(X168:X170*H168:H170),"0")</f>
        <v>588</v>
      </c>
      <c r="Y172" s="272">
        <f>IFERROR(SUMPRODUCT(Y168:Y170*H168:H170),"0")</f>
        <v>588</v>
      </c>
      <c r="Z172" s="37"/>
      <c r="AA172" s="273"/>
      <c r="AB172" s="273"/>
      <c r="AC172" s="273"/>
    </row>
    <row r="173" spans="1:68" ht="14.25" hidden="1" customHeight="1" x14ac:dyDescent="0.25">
      <c r="A173" s="286" t="s">
        <v>252</v>
      </c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66"/>
      <c r="AB173" s="266"/>
      <c r="AC173" s="266"/>
    </row>
    <row r="174" spans="1:68" ht="27" hidden="1" customHeight="1" x14ac:dyDescent="0.25">
      <c r="A174" s="54" t="s">
        <v>253</v>
      </c>
      <c r="B174" s="54" t="s">
        <v>254</v>
      </c>
      <c r="C174" s="31">
        <v>4301051855</v>
      </c>
      <c r="D174" s="287">
        <v>4680115885875</v>
      </c>
      <c r="E174" s="288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3" t="s">
        <v>257</v>
      </c>
      <c r="Q174" s="280"/>
      <c r="R174" s="280"/>
      <c r="S174" s="280"/>
      <c r="T174" s="281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9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90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hidden="1" x14ac:dyDescent="0.2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90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hidden="1" customHeight="1" x14ac:dyDescent="0.2">
      <c r="A177" s="323" t="s">
        <v>260</v>
      </c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  <c r="AA177" s="48"/>
      <c r="AB177" s="48"/>
      <c r="AC177" s="48"/>
    </row>
    <row r="178" spans="1:68" ht="16.5" hidden="1" customHeight="1" x14ac:dyDescent="0.25">
      <c r="A178" s="284" t="s">
        <v>261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5"/>
      <c r="AB178" s="265"/>
      <c r="AC178" s="265"/>
    </row>
    <row r="179" spans="1:68" ht="14.25" hidden="1" customHeight="1" x14ac:dyDescent="0.25">
      <c r="A179" s="286" t="s">
        <v>77</v>
      </c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66"/>
      <c r="AB179" s="266"/>
      <c r="AC179" s="266"/>
    </row>
    <row r="180" spans="1:68" ht="27" hidden="1" customHeight="1" x14ac:dyDescent="0.25">
      <c r="A180" s="54" t="s">
        <v>262</v>
      </c>
      <c r="B180" s="54" t="s">
        <v>263</v>
      </c>
      <c r="C180" s="31">
        <v>4301132227</v>
      </c>
      <c r="D180" s="287">
        <v>4620207491133</v>
      </c>
      <c r="E180" s="288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7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0"/>
      <c r="R180" s="280"/>
      <c r="S180" s="280"/>
      <c r="T180" s="281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9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90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hidden="1" x14ac:dyDescent="0.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90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hidden="1" customHeight="1" x14ac:dyDescent="0.25">
      <c r="A183" s="286" t="s">
        <v>123</v>
      </c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66"/>
      <c r="AB183" s="266"/>
      <c r="AC183" s="266"/>
    </row>
    <row r="184" spans="1:68" ht="27" hidden="1" customHeight="1" x14ac:dyDescent="0.25">
      <c r="A184" s="54" t="s">
        <v>265</v>
      </c>
      <c r="B184" s="54" t="s">
        <v>266</v>
      </c>
      <c r="C184" s="31">
        <v>4301135707</v>
      </c>
      <c r="D184" s="287">
        <v>4620207490198</v>
      </c>
      <c r="E184" s="288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0"/>
      <c r="R184" s="280"/>
      <c r="S184" s="280"/>
      <c r="T184" s="281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4301135696</v>
      </c>
      <c r="D185" s="287">
        <v>4620207490235</v>
      </c>
      <c r="E185" s="288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93</v>
      </c>
      <c r="M185" s="33" t="s">
        <v>69</v>
      </c>
      <c r="N185" s="33"/>
      <c r="O185" s="32">
        <v>180</v>
      </c>
      <c r="P185" s="36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0"/>
      <c r="R185" s="280"/>
      <c r="S185" s="280"/>
      <c r="T185" s="281"/>
      <c r="U185" s="34"/>
      <c r="V185" s="34"/>
      <c r="W185" s="35" t="s">
        <v>70</v>
      </c>
      <c r="X185" s="270">
        <v>14</v>
      </c>
      <c r="Y185" s="271">
        <f>IFERROR(IF(X185="","",X185),"")</f>
        <v>14</v>
      </c>
      <c r="Z185" s="36">
        <f>IFERROR(IF(X185="","",X185*0.01788),"")</f>
        <v>0.25031999999999999</v>
      </c>
      <c r="AA185" s="56"/>
      <c r="AB185" s="57"/>
      <c r="AC185" s="188" t="s">
        <v>270</v>
      </c>
      <c r="AG185" s="67"/>
      <c r="AJ185" s="71" t="s">
        <v>95</v>
      </c>
      <c r="AK185" s="71">
        <v>14</v>
      </c>
      <c r="BB185" s="189" t="s">
        <v>84</v>
      </c>
      <c r="BM185" s="67">
        <f>IFERROR(X185*I185,"0")</f>
        <v>43.450400000000002</v>
      </c>
      <c r="BN185" s="67">
        <f>IFERROR(Y185*I185,"0")</f>
        <v>43.450400000000002</v>
      </c>
      <c r="BO185" s="67">
        <f>IFERROR(X185/J185,"0")</f>
        <v>0.2</v>
      </c>
      <c r="BP185" s="67">
        <f>IFERROR(Y185/J185,"0")</f>
        <v>0.2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87">
        <v>4620207490259</v>
      </c>
      <c r="E186" s="288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3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0"/>
      <c r="R186" s="280"/>
      <c r="S186" s="280"/>
      <c r="T186" s="281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273</v>
      </c>
      <c r="B187" s="54" t="s">
        <v>274</v>
      </c>
      <c r="C187" s="31">
        <v>4301135681</v>
      </c>
      <c r="D187" s="287">
        <v>4620207490143</v>
      </c>
      <c r="E187" s="288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5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0"/>
      <c r="R187" s="280"/>
      <c r="S187" s="280"/>
      <c r="T187" s="281"/>
      <c r="U187" s="34"/>
      <c r="V187" s="34"/>
      <c r="W187" s="35" t="s">
        <v>70</v>
      </c>
      <c r="X187" s="270">
        <v>0</v>
      </c>
      <c r="Y187" s="271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9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90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2">
        <f>IFERROR(SUM(X184:X187),"0")</f>
        <v>14</v>
      </c>
      <c r="Y188" s="272">
        <f>IFERROR(SUM(Y184:Y187),"0")</f>
        <v>14</v>
      </c>
      <c r="Z188" s="272">
        <f>IFERROR(IF(Z184="",0,Z184),"0")+IFERROR(IF(Z185="",0,Z185),"0")+IFERROR(IF(Z186="",0,Z186),"0")+IFERROR(IF(Z187="",0,Z187),"0")</f>
        <v>0.25031999999999999</v>
      </c>
      <c r="AA188" s="273"/>
      <c r="AB188" s="273"/>
      <c r="AC188" s="273"/>
    </row>
    <row r="189" spans="1:68" x14ac:dyDescent="0.2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90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2">
        <f>IFERROR(SUMPRODUCT(X184:X187*H184:H187),"0")</f>
        <v>33.6</v>
      </c>
      <c r="Y189" s="272">
        <f>IFERROR(SUMPRODUCT(Y184:Y187*H184:H187),"0")</f>
        <v>33.6</v>
      </c>
      <c r="Z189" s="37"/>
      <c r="AA189" s="273"/>
      <c r="AB189" s="273"/>
      <c r="AC189" s="273"/>
    </row>
    <row r="190" spans="1:68" ht="16.5" hidden="1" customHeight="1" x14ac:dyDescent="0.25">
      <c r="A190" s="284" t="s">
        <v>276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5"/>
      <c r="AB190" s="265"/>
      <c r="AC190" s="265"/>
    </row>
    <row r="191" spans="1:68" ht="14.25" hidden="1" customHeight="1" x14ac:dyDescent="0.25">
      <c r="A191" s="286" t="s">
        <v>64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66"/>
      <c r="AB191" s="266"/>
      <c r="AC191" s="266"/>
    </row>
    <row r="192" spans="1:68" ht="27" hidden="1" customHeight="1" x14ac:dyDescent="0.25">
      <c r="A192" s="54" t="s">
        <v>277</v>
      </c>
      <c r="B192" s="54" t="s">
        <v>278</v>
      </c>
      <c r="C192" s="31">
        <v>4301071108</v>
      </c>
      <c r="D192" s="287">
        <v>4607111035912</v>
      </c>
      <c r="E192" s="288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5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0"/>
      <c r="R192" s="280"/>
      <c r="S192" s="280"/>
      <c r="T192" s="281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280</v>
      </c>
      <c r="B193" s="54" t="s">
        <v>281</v>
      </c>
      <c r="C193" s="31">
        <v>4301071110</v>
      </c>
      <c r="D193" s="287">
        <v>4607111035103</v>
      </c>
      <c r="E193" s="288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4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0"/>
      <c r="R193" s="280"/>
      <c r="S193" s="280"/>
      <c r="T193" s="281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282</v>
      </c>
      <c r="B194" s="54" t="s">
        <v>283</v>
      </c>
      <c r="C194" s="31">
        <v>4301071109</v>
      </c>
      <c r="D194" s="287">
        <v>4607111035929</v>
      </c>
      <c r="E194" s="288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34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0"/>
      <c r="R194" s="280"/>
      <c r="S194" s="280"/>
      <c r="T194" s="281"/>
      <c r="U194" s="34"/>
      <c r="V194" s="34"/>
      <c r="W194" s="35" t="s">
        <v>70</v>
      </c>
      <c r="X194" s="270">
        <v>36</v>
      </c>
      <c r="Y194" s="271">
        <f>IFERROR(IF(X194="","",X194),"")</f>
        <v>36</v>
      </c>
      <c r="Z194" s="36">
        <f>IFERROR(IF(X194="","",X194*0.0155),"")</f>
        <v>0.55800000000000005</v>
      </c>
      <c r="AA194" s="56"/>
      <c r="AB194" s="57"/>
      <c r="AC194" s="198" t="s">
        <v>279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268.92</v>
      </c>
      <c r="BN194" s="67">
        <f>IFERROR(Y194*I194,"0")</f>
        <v>268.92</v>
      </c>
      <c r="BO194" s="67">
        <f>IFERROR(X194/J194,"0")</f>
        <v>0.42857142857142855</v>
      </c>
      <c r="BP194" s="67">
        <f>IFERROR(Y194/J194,"0")</f>
        <v>0.42857142857142855</v>
      </c>
    </row>
    <row r="195" spans="1:68" ht="27" hidden="1" customHeight="1" x14ac:dyDescent="0.25">
      <c r="A195" s="54" t="s">
        <v>284</v>
      </c>
      <c r="B195" s="54" t="s">
        <v>285</v>
      </c>
      <c r="C195" s="31">
        <v>4301071106</v>
      </c>
      <c r="D195" s="287">
        <v>4607111035882</v>
      </c>
      <c r="E195" s="288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4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0"/>
      <c r="R195" s="280"/>
      <c r="S195" s="280"/>
      <c r="T195" s="281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286</v>
      </c>
      <c r="B196" s="54" t="s">
        <v>287</v>
      </c>
      <c r="C196" s="31">
        <v>4301071107</v>
      </c>
      <c r="D196" s="287">
        <v>4607111035905</v>
      </c>
      <c r="E196" s="288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398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0"/>
      <c r="R196" s="280"/>
      <c r="S196" s="280"/>
      <c r="T196" s="281"/>
      <c r="U196" s="34"/>
      <c r="V196" s="34"/>
      <c r="W196" s="35" t="s">
        <v>70</v>
      </c>
      <c r="X196" s="270">
        <v>0</v>
      </c>
      <c r="Y196" s="271">
        <f>IFERROR(IF(X196="","",X196),"")</f>
        <v>0</v>
      </c>
      <c r="Z196" s="36">
        <f>IFERROR(IF(X196="","",X196*0.0155),"")</f>
        <v>0</v>
      </c>
      <c r="AA196" s="56"/>
      <c r="AB196" s="57"/>
      <c r="AC196" s="202" t="s">
        <v>279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289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90"/>
      <c r="P197" s="276" t="s">
        <v>73</v>
      </c>
      <c r="Q197" s="277"/>
      <c r="R197" s="277"/>
      <c r="S197" s="277"/>
      <c r="T197" s="277"/>
      <c r="U197" s="277"/>
      <c r="V197" s="278"/>
      <c r="W197" s="37" t="s">
        <v>70</v>
      </c>
      <c r="X197" s="272">
        <f>IFERROR(SUM(X192:X196),"0")</f>
        <v>36</v>
      </c>
      <c r="Y197" s="272">
        <f>IFERROR(SUM(Y192:Y196),"0")</f>
        <v>36</v>
      </c>
      <c r="Z197" s="272">
        <f>IFERROR(IF(Z192="",0,Z192),"0")+IFERROR(IF(Z193="",0,Z193),"0")+IFERROR(IF(Z194="",0,Z194),"0")+IFERROR(IF(Z195="",0,Z195),"0")+IFERROR(IF(Z196="",0,Z196),"0")</f>
        <v>0.55800000000000005</v>
      </c>
      <c r="AA197" s="273"/>
      <c r="AB197" s="273"/>
      <c r="AC197" s="273"/>
    </row>
    <row r="198" spans="1:68" x14ac:dyDescent="0.2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90"/>
      <c r="P198" s="276" t="s">
        <v>73</v>
      </c>
      <c r="Q198" s="277"/>
      <c r="R198" s="277"/>
      <c r="S198" s="277"/>
      <c r="T198" s="277"/>
      <c r="U198" s="277"/>
      <c r="V198" s="278"/>
      <c r="W198" s="37" t="s">
        <v>74</v>
      </c>
      <c r="X198" s="272">
        <f>IFERROR(SUMPRODUCT(X192:X196*H192:H196),"0")</f>
        <v>259.2</v>
      </c>
      <c r="Y198" s="272">
        <f>IFERROR(SUMPRODUCT(Y192:Y196*H192:H196),"0")</f>
        <v>259.2</v>
      </c>
      <c r="Z198" s="37"/>
      <c r="AA198" s="273"/>
      <c r="AB198" s="273"/>
      <c r="AC198" s="273"/>
    </row>
    <row r="199" spans="1:68" ht="16.5" hidden="1" customHeight="1" x14ac:dyDescent="0.25">
      <c r="A199" s="284" t="s">
        <v>288</v>
      </c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65"/>
      <c r="AB199" s="265"/>
      <c r="AC199" s="265"/>
    </row>
    <row r="200" spans="1:68" ht="14.25" hidden="1" customHeight="1" x14ac:dyDescent="0.25">
      <c r="A200" s="286" t="s">
        <v>64</v>
      </c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A200" s="266"/>
      <c r="AB200" s="266"/>
      <c r="AC200" s="266"/>
    </row>
    <row r="201" spans="1:68" ht="27" customHeight="1" x14ac:dyDescent="0.25">
      <c r="A201" s="54" t="s">
        <v>289</v>
      </c>
      <c r="B201" s="54" t="s">
        <v>290</v>
      </c>
      <c r="C201" s="31">
        <v>4301071097</v>
      </c>
      <c r="D201" s="287">
        <v>4620207491096</v>
      </c>
      <c r="E201" s="288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93</v>
      </c>
      <c r="M201" s="33" t="s">
        <v>69</v>
      </c>
      <c r="N201" s="33"/>
      <c r="O201" s="32">
        <v>180</v>
      </c>
      <c r="P201" s="423" t="s">
        <v>291</v>
      </c>
      <c r="Q201" s="280"/>
      <c r="R201" s="280"/>
      <c r="S201" s="280"/>
      <c r="T201" s="281"/>
      <c r="U201" s="34"/>
      <c r="V201" s="34"/>
      <c r="W201" s="35" t="s">
        <v>70</v>
      </c>
      <c r="X201" s="270">
        <v>60</v>
      </c>
      <c r="Y201" s="271">
        <f>IFERROR(IF(X201="","",X201),"")</f>
        <v>60</v>
      </c>
      <c r="Z201" s="36">
        <f>IFERROR(IF(X201="","",X201*0.0155),"")</f>
        <v>0.92999999999999994</v>
      </c>
      <c r="AA201" s="56"/>
      <c r="AB201" s="57"/>
      <c r="AC201" s="204" t="s">
        <v>292</v>
      </c>
      <c r="AG201" s="67"/>
      <c r="AJ201" s="71" t="s">
        <v>95</v>
      </c>
      <c r="AK201" s="71">
        <v>12</v>
      </c>
      <c r="BB201" s="205" t="s">
        <v>1</v>
      </c>
      <c r="BM201" s="67">
        <f>IFERROR(X201*I201,"0")</f>
        <v>313.8</v>
      </c>
      <c r="BN201" s="67">
        <f>IFERROR(Y201*I201,"0")</f>
        <v>313.8</v>
      </c>
      <c r="BO201" s="67">
        <f>IFERROR(X201/J201,"0")</f>
        <v>0.7142857142857143</v>
      </c>
      <c r="BP201" s="67">
        <f>IFERROR(Y201/J201,"0")</f>
        <v>0.7142857142857143</v>
      </c>
    </row>
    <row r="202" spans="1:68" x14ac:dyDescent="0.2">
      <c r="A202" s="289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90"/>
      <c r="P202" s="276" t="s">
        <v>73</v>
      </c>
      <c r="Q202" s="277"/>
      <c r="R202" s="277"/>
      <c r="S202" s="277"/>
      <c r="T202" s="277"/>
      <c r="U202" s="277"/>
      <c r="V202" s="278"/>
      <c r="W202" s="37" t="s">
        <v>70</v>
      </c>
      <c r="X202" s="272">
        <f>IFERROR(SUM(X201:X201),"0")</f>
        <v>60</v>
      </c>
      <c r="Y202" s="272">
        <f>IFERROR(SUM(Y201:Y201),"0")</f>
        <v>60</v>
      </c>
      <c r="Z202" s="272">
        <f>IFERROR(IF(Z201="",0,Z201),"0")</f>
        <v>0.92999999999999994</v>
      </c>
      <c r="AA202" s="273"/>
      <c r="AB202" s="273"/>
      <c r="AC202" s="273"/>
    </row>
    <row r="203" spans="1:68" x14ac:dyDescent="0.2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90"/>
      <c r="P203" s="276" t="s">
        <v>73</v>
      </c>
      <c r="Q203" s="277"/>
      <c r="R203" s="277"/>
      <c r="S203" s="277"/>
      <c r="T203" s="277"/>
      <c r="U203" s="277"/>
      <c r="V203" s="278"/>
      <c r="W203" s="37" t="s">
        <v>74</v>
      </c>
      <c r="X203" s="272">
        <f>IFERROR(SUMPRODUCT(X201:X201*H201:H201),"0")</f>
        <v>300</v>
      </c>
      <c r="Y203" s="272">
        <f>IFERROR(SUMPRODUCT(Y201:Y201*H201:H201),"0")</f>
        <v>300</v>
      </c>
      <c r="Z203" s="37"/>
      <c r="AA203" s="273"/>
      <c r="AB203" s="273"/>
      <c r="AC203" s="273"/>
    </row>
    <row r="204" spans="1:68" ht="16.5" hidden="1" customHeight="1" x14ac:dyDescent="0.25">
      <c r="A204" s="284" t="s">
        <v>293</v>
      </c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65"/>
      <c r="AB204" s="265"/>
      <c r="AC204" s="265"/>
    </row>
    <row r="205" spans="1:68" ht="14.25" hidden="1" customHeight="1" x14ac:dyDescent="0.25">
      <c r="A205" s="286" t="s">
        <v>64</v>
      </c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A205" s="266"/>
      <c r="AB205" s="266"/>
      <c r="AC205" s="266"/>
    </row>
    <row r="206" spans="1:68" ht="27" hidden="1" customHeight="1" x14ac:dyDescent="0.25">
      <c r="A206" s="54" t="s">
        <v>294</v>
      </c>
      <c r="B206" s="54" t="s">
        <v>295</v>
      </c>
      <c r="C206" s="31">
        <v>4301071093</v>
      </c>
      <c r="D206" s="287">
        <v>4620207490709</v>
      </c>
      <c r="E206" s="288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42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0"/>
      <c r="R206" s="280"/>
      <c r="S206" s="280"/>
      <c r="T206" s="281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296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9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90"/>
      <c r="P207" s="276" t="s">
        <v>73</v>
      </c>
      <c r="Q207" s="277"/>
      <c r="R207" s="277"/>
      <c r="S207" s="277"/>
      <c r="T207" s="277"/>
      <c r="U207" s="277"/>
      <c r="V207" s="278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hidden="1" x14ac:dyDescent="0.2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90"/>
      <c r="P208" s="276" t="s">
        <v>73</v>
      </c>
      <c r="Q208" s="277"/>
      <c r="R208" s="277"/>
      <c r="S208" s="277"/>
      <c r="T208" s="277"/>
      <c r="U208" s="277"/>
      <c r="V208" s="278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hidden="1" customHeight="1" x14ac:dyDescent="0.25">
      <c r="A209" s="286" t="s">
        <v>123</v>
      </c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A209" s="266"/>
      <c r="AB209" s="266"/>
      <c r="AC209" s="266"/>
    </row>
    <row r="210" spans="1:68" ht="27" customHeight="1" x14ac:dyDescent="0.25">
      <c r="A210" s="54" t="s">
        <v>297</v>
      </c>
      <c r="B210" s="54" t="s">
        <v>298</v>
      </c>
      <c r="C210" s="31">
        <v>4301135692</v>
      </c>
      <c r="D210" s="287">
        <v>4620207490570</v>
      </c>
      <c r="E210" s="288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9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0"/>
      <c r="R210" s="280"/>
      <c r="S210" s="280"/>
      <c r="T210" s="281"/>
      <c r="U210" s="34"/>
      <c r="V210" s="34"/>
      <c r="W210" s="35" t="s">
        <v>70</v>
      </c>
      <c r="X210" s="270">
        <v>14</v>
      </c>
      <c r="Y210" s="271">
        <f>IFERROR(IF(X210="","",X210),"")</f>
        <v>14</v>
      </c>
      <c r="Z210" s="36">
        <f>IFERROR(IF(X210="","",X210*0.01788),"")</f>
        <v>0.25031999999999999</v>
      </c>
      <c r="AA210" s="56"/>
      <c r="AB210" s="57"/>
      <c r="AC210" s="208" t="s">
        <v>299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43.450400000000002</v>
      </c>
      <c r="BN210" s="67">
        <f>IFERROR(Y210*I210,"0")</f>
        <v>43.450400000000002</v>
      </c>
      <c r="BO210" s="67">
        <f>IFERROR(X210/J210,"0")</f>
        <v>0.2</v>
      </c>
      <c r="BP210" s="67">
        <f>IFERROR(Y210/J210,"0")</f>
        <v>0.2</v>
      </c>
    </row>
    <row r="211" spans="1:68" ht="27" hidden="1" customHeight="1" x14ac:dyDescent="0.25">
      <c r="A211" s="54" t="s">
        <v>300</v>
      </c>
      <c r="B211" s="54" t="s">
        <v>301</v>
      </c>
      <c r="C211" s="31">
        <v>4301135691</v>
      </c>
      <c r="D211" s="287">
        <v>4620207490549</v>
      </c>
      <c r="E211" s="288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0"/>
      <c r="R211" s="280"/>
      <c r="S211" s="280"/>
      <c r="T211" s="281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299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302</v>
      </c>
      <c r="B212" s="54" t="s">
        <v>303</v>
      </c>
      <c r="C212" s="31">
        <v>4301135694</v>
      </c>
      <c r="D212" s="287">
        <v>4620207490501</v>
      </c>
      <c r="E212" s="288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68</v>
      </c>
      <c r="M212" s="33" t="s">
        <v>69</v>
      </c>
      <c r="N212" s="33"/>
      <c r="O212" s="32">
        <v>180</v>
      </c>
      <c r="P212" s="3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0"/>
      <c r="R212" s="280"/>
      <c r="S212" s="280"/>
      <c r="T212" s="281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299</v>
      </c>
      <c r="AG212" s="67"/>
      <c r="AJ212" s="71" t="s">
        <v>72</v>
      </c>
      <c r="AK212" s="71">
        <v>1</v>
      </c>
      <c r="BB212" s="213" t="s">
        <v>84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9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90"/>
      <c r="P213" s="276" t="s">
        <v>73</v>
      </c>
      <c r="Q213" s="277"/>
      <c r="R213" s="277"/>
      <c r="S213" s="277"/>
      <c r="T213" s="277"/>
      <c r="U213" s="277"/>
      <c r="V213" s="278"/>
      <c r="W213" s="37" t="s">
        <v>70</v>
      </c>
      <c r="X213" s="272">
        <f>IFERROR(SUM(X210:X212),"0")</f>
        <v>14</v>
      </c>
      <c r="Y213" s="272">
        <f>IFERROR(SUM(Y210:Y212),"0")</f>
        <v>14</v>
      </c>
      <c r="Z213" s="272">
        <f>IFERROR(IF(Z210="",0,Z210),"0")+IFERROR(IF(Z211="",0,Z211),"0")+IFERROR(IF(Z212="",0,Z212),"0")</f>
        <v>0.25031999999999999</v>
      </c>
      <c r="AA213" s="273"/>
      <c r="AB213" s="273"/>
      <c r="AC213" s="273"/>
    </row>
    <row r="214" spans="1:68" x14ac:dyDescent="0.2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90"/>
      <c r="P214" s="276" t="s">
        <v>73</v>
      </c>
      <c r="Q214" s="277"/>
      <c r="R214" s="277"/>
      <c r="S214" s="277"/>
      <c r="T214" s="277"/>
      <c r="U214" s="277"/>
      <c r="V214" s="278"/>
      <c r="W214" s="37" t="s">
        <v>74</v>
      </c>
      <c r="X214" s="272">
        <f>IFERROR(SUMPRODUCT(X210:X212*H210:H212),"0")</f>
        <v>33.6</v>
      </c>
      <c r="Y214" s="272">
        <f>IFERROR(SUMPRODUCT(Y210:Y212*H210:H212),"0")</f>
        <v>33.6</v>
      </c>
      <c r="Z214" s="37"/>
      <c r="AA214" s="273"/>
      <c r="AB214" s="273"/>
      <c r="AC214" s="273"/>
    </row>
    <row r="215" spans="1:68" ht="16.5" hidden="1" customHeight="1" x14ac:dyDescent="0.25">
      <c r="A215" s="284" t="s">
        <v>304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65"/>
      <c r="AB215" s="265"/>
      <c r="AC215" s="265"/>
    </row>
    <row r="216" spans="1:68" ht="14.25" hidden="1" customHeight="1" x14ac:dyDescent="0.25">
      <c r="A216" s="286" t="s">
        <v>64</v>
      </c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66"/>
      <c r="AB216" s="266"/>
      <c r="AC216" s="266"/>
    </row>
    <row r="217" spans="1:68" ht="16.5" hidden="1" customHeight="1" x14ac:dyDescent="0.25">
      <c r="A217" s="54" t="s">
        <v>305</v>
      </c>
      <c r="B217" s="54" t="s">
        <v>306</v>
      </c>
      <c r="C217" s="31">
        <v>4301071099</v>
      </c>
      <c r="D217" s="287">
        <v>4607111039019</v>
      </c>
      <c r="E217" s="288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0"/>
      <c r="R217" s="280"/>
      <c r="S217" s="280"/>
      <c r="T217" s="281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307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customHeight="1" x14ac:dyDescent="0.25">
      <c r="A218" s="54" t="s">
        <v>308</v>
      </c>
      <c r="B218" s="54" t="s">
        <v>309</v>
      </c>
      <c r="C218" s="31">
        <v>4301071100</v>
      </c>
      <c r="D218" s="287">
        <v>4607111038708</v>
      </c>
      <c r="E218" s="288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9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0"/>
      <c r="R218" s="280"/>
      <c r="S218" s="280"/>
      <c r="T218" s="281"/>
      <c r="U218" s="34"/>
      <c r="V218" s="34"/>
      <c r="W218" s="35" t="s">
        <v>70</v>
      </c>
      <c r="X218" s="270">
        <v>12</v>
      </c>
      <c r="Y218" s="271">
        <f>IFERROR(IF(X218="","",X218),"")</f>
        <v>12</v>
      </c>
      <c r="Z218" s="36">
        <f>IFERROR(IF(X218="","",X218*0.0155),"")</f>
        <v>0.186</v>
      </c>
      <c r="AA218" s="56"/>
      <c r="AB218" s="57"/>
      <c r="AC218" s="216" t="s">
        <v>307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80.039999999999992</v>
      </c>
      <c r="BN218" s="67">
        <f>IFERROR(Y218*I218,"0")</f>
        <v>80.039999999999992</v>
      </c>
      <c r="BO218" s="67">
        <f>IFERROR(X218/J218,"0")</f>
        <v>0.14285714285714285</v>
      </c>
      <c r="BP218" s="67">
        <f>IFERROR(Y218/J218,"0")</f>
        <v>0.14285714285714285</v>
      </c>
    </row>
    <row r="219" spans="1:68" x14ac:dyDescent="0.2">
      <c r="A219" s="289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90"/>
      <c r="P219" s="276" t="s">
        <v>73</v>
      </c>
      <c r="Q219" s="277"/>
      <c r="R219" s="277"/>
      <c r="S219" s="277"/>
      <c r="T219" s="277"/>
      <c r="U219" s="277"/>
      <c r="V219" s="278"/>
      <c r="W219" s="37" t="s">
        <v>70</v>
      </c>
      <c r="X219" s="272">
        <f>IFERROR(SUM(X217:X218),"0")</f>
        <v>12</v>
      </c>
      <c r="Y219" s="272">
        <f>IFERROR(SUM(Y217:Y218),"0")</f>
        <v>12</v>
      </c>
      <c r="Z219" s="272">
        <f>IFERROR(IF(Z217="",0,Z217),"0")+IFERROR(IF(Z218="",0,Z218),"0")</f>
        <v>0.186</v>
      </c>
      <c r="AA219" s="273"/>
      <c r="AB219" s="273"/>
      <c r="AC219" s="273"/>
    </row>
    <row r="220" spans="1:68" x14ac:dyDescent="0.2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90"/>
      <c r="P220" s="276" t="s">
        <v>73</v>
      </c>
      <c r="Q220" s="277"/>
      <c r="R220" s="277"/>
      <c r="S220" s="277"/>
      <c r="T220" s="277"/>
      <c r="U220" s="277"/>
      <c r="V220" s="278"/>
      <c r="W220" s="37" t="s">
        <v>74</v>
      </c>
      <c r="X220" s="272">
        <f>IFERROR(SUMPRODUCT(X217:X218*H217:H218),"0")</f>
        <v>76.800000000000011</v>
      </c>
      <c r="Y220" s="272">
        <f>IFERROR(SUMPRODUCT(Y217:Y218*H217:H218),"0")</f>
        <v>76.800000000000011</v>
      </c>
      <c r="Z220" s="37"/>
      <c r="AA220" s="273"/>
      <c r="AB220" s="273"/>
      <c r="AC220" s="273"/>
    </row>
    <row r="221" spans="1:68" ht="27.75" hidden="1" customHeight="1" x14ac:dyDescent="0.2">
      <c r="A221" s="323" t="s">
        <v>310</v>
      </c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  <c r="AA221" s="48"/>
      <c r="AB221" s="48"/>
      <c r="AC221" s="48"/>
    </row>
    <row r="222" spans="1:68" ht="16.5" hidden="1" customHeight="1" x14ac:dyDescent="0.25">
      <c r="A222" s="284" t="s">
        <v>311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65"/>
      <c r="AB222" s="265"/>
      <c r="AC222" s="265"/>
    </row>
    <row r="223" spans="1:68" ht="14.25" hidden="1" customHeight="1" x14ac:dyDescent="0.25">
      <c r="A223" s="286" t="s">
        <v>64</v>
      </c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66"/>
      <c r="AB223" s="266"/>
      <c r="AC223" s="266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87">
        <v>4607111036162</v>
      </c>
      <c r="E224" s="288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0"/>
      <c r="R224" s="280"/>
      <c r="S224" s="280"/>
      <c r="T224" s="281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314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289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90"/>
      <c r="P225" s="276" t="s">
        <v>73</v>
      </c>
      <c r="Q225" s="277"/>
      <c r="R225" s="277"/>
      <c r="S225" s="277"/>
      <c r="T225" s="277"/>
      <c r="U225" s="277"/>
      <c r="V225" s="278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hidden="1" x14ac:dyDescent="0.2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90"/>
      <c r="P226" s="276" t="s">
        <v>73</v>
      </c>
      <c r="Q226" s="277"/>
      <c r="R226" s="277"/>
      <c r="S226" s="277"/>
      <c r="T226" s="277"/>
      <c r="U226" s="277"/>
      <c r="V226" s="278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hidden="1" customHeight="1" x14ac:dyDescent="0.2">
      <c r="A227" s="323" t="s">
        <v>315</v>
      </c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48"/>
      <c r="AB227" s="48"/>
      <c r="AC227" s="48"/>
    </row>
    <row r="228" spans="1:68" ht="16.5" hidden="1" customHeight="1" x14ac:dyDescent="0.25">
      <c r="A228" s="284" t="s">
        <v>316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65"/>
      <c r="AB228" s="265"/>
      <c r="AC228" s="265"/>
    </row>
    <row r="229" spans="1:68" ht="14.25" hidden="1" customHeight="1" x14ac:dyDescent="0.25">
      <c r="A229" s="286" t="s">
        <v>64</v>
      </c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66"/>
      <c r="AB229" s="266"/>
      <c r="AC229" s="266"/>
    </row>
    <row r="230" spans="1:68" ht="27" customHeight="1" x14ac:dyDescent="0.25">
      <c r="A230" s="54" t="s">
        <v>317</v>
      </c>
      <c r="B230" s="54" t="s">
        <v>318</v>
      </c>
      <c r="C230" s="31">
        <v>4301071029</v>
      </c>
      <c r="D230" s="287">
        <v>4607111035899</v>
      </c>
      <c r="E230" s="288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81</v>
      </c>
      <c r="M230" s="33" t="s">
        <v>69</v>
      </c>
      <c r="N230" s="33"/>
      <c r="O230" s="32">
        <v>180</v>
      </c>
      <c r="P230" s="34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0"/>
      <c r="R230" s="280"/>
      <c r="S230" s="280"/>
      <c r="T230" s="281"/>
      <c r="U230" s="34"/>
      <c r="V230" s="34"/>
      <c r="W230" s="35" t="s">
        <v>70</v>
      </c>
      <c r="X230" s="270">
        <v>96</v>
      </c>
      <c r="Y230" s="271">
        <f>IFERROR(IF(X230="","",X230),"")</f>
        <v>96</v>
      </c>
      <c r="Z230" s="36">
        <f>IFERROR(IF(X230="","",X230*0.0155),"")</f>
        <v>1.488</v>
      </c>
      <c r="AA230" s="56"/>
      <c r="AB230" s="57"/>
      <c r="AC230" s="220" t="s">
        <v>240</v>
      </c>
      <c r="AG230" s="67"/>
      <c r="AJ230" s="71" t="s">
        <v>83</v>
      </c>
      <c r="AK230" s="71">
        <v>84</v>
      </c>
      <c r="BB230" s="221" t="s">
        <v>1</v>
      </c>
      <c r="BM230" s="67">
        <f>IFERROR(X230*I230,"0")</f>
        <v>505.15199999999993</v>
      </c>
      <c r="BN230" s="67">
        <f>IFERROR(Y230*I230,"0")</f>
        <v>505.15199999999993</v>
      </c>
      <c r="BO230" s="67">
        <f>IFERROR(X230/J230,"0")</f>
        <v>1.1428571428571428</v>
      </c>
      <c r="BP230" s="67">
        <f>IFERROR(Y230/J230,"0")</f>
        <v>1.1428571428571428</v>
      </c>
    </row>
    <row r="231" spans="1:68" x14ac:dyDescent="0.2">
      <c r="A231" s="289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90"/>
      <c r="P231" s="276" t="s">
        <v>73</v>
      </c>
      <c r="Q231" s="277"/>
      <c r="R231" s="277"/>
      <c r="S231" s="277"/>
      <c r="T231" s="277"/>
      <c r="U231" s="277"/>
      <c r="V231" s="278"/>
      <c r="W231" s="37" t="s">
        <v>70</v>
      </c>
      <c r="X231" s="272">
        <f>IFERROR(SUM(X230:X230),"0")</f>
        <v>96</v>
      </c>
      <c r="Y231" s="272">
        <f>IFERROR(SUM(Y230:Y230),"0")</f>
        <v>96</v>
      </c>
      <c r="Z231" s="272">
        <f>IFERROR(IF(Z230="",0,Z230),"0")</f>
        <v>1.488</v>
      </c>
      <c r="AA231" s="273"/>
      <c r="AB231" s="273"/>
      <c r="AC231" s="273"/>
    </row>
    <row r="232" spans="1:68" x14ac:dyDescent="0.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90"/>
      <c r="P232" s="276" t="s">
        <v>73</v>
      </c>
      <c r="Q232" s="277"/>
      <c r="R232" s="277"/>
      <c r="S232" s="277"/>
      <c r="T232" s="277"/>
      <c r="U232" s="277"/>
      <c r="V232" s="278"/>
      <c r="W232" s="37" t="s">
        <v>74</v>
      </c>
      <c r="X232" s="272">
        <f>IFERROR(SUMPRODUCT(X230:X230*H230:H230),"0")</f>
        <v>480</v>
      </c>
      <c r="Y232" s="272">
        <f>IFERROR(SUMPRODUCT(Y230:Y230*H230:H230),"0")</f>
        <v>480</v>
      </c>
      <c r="Z232" s="37"/>
      <c r="AA232" s="273"/>
      <c r="AB232" s="273"/>
      <c r="AC232" s="273"/>
    </row>
    <row r="233" spans="1:68" ht="27.75" hidden="1" customHeight="1" x14ac:dyDescent="0.2">
      <c r="A233" s="323" t="s">
        <v>319</v>
      </c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48"/>
      <c r="AB233" s="48"/>
      <c r="AC233" s="48"/>
    </row>
    <row r="234" spans="1:68" ht="16.5" hidden="1" customHeight="1" x14ac:dyDescent="0.25">
      <c r="A234" s="284" t="s">
        <v>320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65"/>
      <c r="AB234" s="265"/>
      <c r="AC234" s="265"/>
    </row>
    <row r="235" spans="1:68" ht="14.25" hidden="1" customHeight="1" x14ac:dyDescent="0.25">
      <c r="A235" s="286" t="s">
        <v>321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6"/>
      <c r="AB235" s="266"/>
      <c r="AC235" s="266"/>
    </row>
    <row r="236" spans="1:68" ht="27" hidden="1" customHeight="1" x14ac:dyDescent="0.25">
      <c r="A236" s="54" t="s">
        <v>322</v>
      </c>
      <c r="B236" s="54" t="s">
        <v>323</v>
      </c>
      <c r="C236" s="31">
        <v>4301133004</v>
      </c>
      <c r="D236" s="287">
        <v>4607111039774</v>
      </c>
      <c r="E236" s="288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1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0"/>
      <c r="R236" s="280"/>
      <c r="S236" s="280"/>
      <c r="T236" s="281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324</v>
      </c>
      <c r="AG236" s="67"/>
      <c r="AJ236" s="71" t="s">
        <v>72</v>
      </c>
      <c r="AK236" s="71">
        <v>1</v>
      </c>
      <c r="BB236" s="223" t="s">
        <v>84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9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90"/>
      <c r="P237" s="276" t="s">
        <v>73</v>
      </c>
      <c r="Q237" s="277"/>
      <c r="R237" s="277"/>
      <c r="S237" s="277"/>
      <c r="T237" s="277"/>
      <c r="U237" s="277"/>
      <c r="V237" s="278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hidden="1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90"/>
      <c r="P238" s="276" t="s">
        <v>73</v>
      </c>
      <c r="Q238" s="277"/>
      <c r="R238" s="277"/>
      <c r="S238" s="277"/>
      <c r="T238" s="277"/>
      <c r="U238" s="277"/>
      <c r="V238" s="278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hidden="1" customHeight="1" x14ac:dyDescent="0.25">
      <c r="A239" s="286" t="s">
        <v>123</v>
      </c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A239" s="266"/>
      <c r="AB239" s="266"/>
      <c r="AC239" s="266"/>
    </row>
    <row r="240" spans="1:68" ht="37.5" hidden="1" customHeight="1" x14ac:dyDescent="0.25">
      <c r="A240" s="54" t="s">
        <v>325</v>
      </c>
      <c r="B240" s="54" t="s">
        <v>326</v>
      </c>
      <c r="C240" s="31">
        <v>4301135400</v>
      </c>
      <c r="D240" s="287">
        <v>4607111039361</v>
      </c>
      <c r="E240" s="288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68</v>
      </c>
      <c r="M240" s="33" t="s">
        <v>69</v>
      </c>
      <c r="N240" s="33"/>
      <c r="O240" s="32">
        <v>180</v>
      </c>
      <c r="P240" s="3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0"/>
      <c r="R240" s="280"/>
      <c r="S240" s="280"/>
      <c r="T240" s="281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324</v>
      </c>
      <c r="AG240" s="67"/>
      <c r="AJ240" s="71" t="s">
        <v>72</v>
      </c>
      <c r="AK240" s="71">
        <v>1</v>
      </c>
      <c r="BB240" s="225" t="s">
        <v>84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9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90"/>
      <c r="P241" s="276" t="s">
        <v>73</v>
      </c>
      <c r="Q241" s="277"/>
      <c r="R241" s="277"/>
      <c r="S241" s="277"/>
      <c r="T241" s="277"/>
      <c r="U241" s="277"/>
      <c r="V241" s="278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hidden="1" x14ac:dyDescent="0.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90"/>
      <c r="P242" s="276" t="s">
        <v>73</v>
      </c>
      <c r="Q242" s="277"/>
      <c r="R242" s="277"/>
      <c r="S242" s="277"/>
      <c r="T242" s="277"/>
      <c r="U242" s="277"/>
      <c r="V242" s="278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hidden="1" customHeight="1" x14ac:dyDescent="0.2">
      <c r="A243" s="323" t="s">
        <v>327</v>
      </c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48"/>
      <c r="AB243" s="48"/>
      <c r="AC243" s="48"/>
    </row>
    <row r="244" spans="1:68" ht="16.5" hidden="1" customHeight="1" x14ac:dyDescent="0.25">
      <c r="A244" s="284" t="s">
        <v>327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65"/>
      <c r="AB244" s="265"/>
      <c r="AC244" s="265"/>
    </row>
    <row r="245" spans="1:68" ht="14.25" hidden="1" customHeight="1" x14ac:dyDescent="0.25">
      <c r="A245" s="286" t="s">
        <v>64</v>
      </c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66"/>
      <c r="AB245" s="266"/>
      <c r="AC245" s="266"/>
    </row>
    <row r="246" spans="1:68" ht="27" hidden="1" customHeight="1" x14ac:dyDescent="0.25">
      <c r="A246" s="54" t="s">
        <v>328</v>
      </c>
      <c r="B246" s="54" t="s">
        <v>329</v>
      </c>
      <c r="C246" s="31">
        <v>4301071014</v>
      </c>
      <c r="D246" s="287">
        <v>4640242181264</v>
      </c>
      <c r="E246" s="288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0"/>
      <c r="R246" s="280"/>
      <c r="S246" s="280"/>
      <c r="T246" s="281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330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331</v>
      </c>
      <c r="B247" s="54" t="s">
        <v>332</v>
      </c>
      <c r="C247" s="31">
        <v>4301071021</v>
      </c>
      <c r="D247" s="287">
        <v>4640242181325</v>
      </c>
      <c r="E247" s="288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0"/>
      <c r="R247" s="280"/>
      <c r="S247" s="280"/>
      <c r="T247" s="281"/>
      <c r="U247" s="34"/>
      <c r="V247" s="34"/>
      <c r="W247" s="35" t="s">
        <v>70</v>
      </c>
      <c r="X247" s="270">
        <v>0</v>
      </c>
      <c r="Y247" s="271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330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333</v>
      </c>
      <c r="B248" s="54" t="s">
        <v>334</v>
      </c>
      <c r="C248" s="31">
        <v>4301070993</v>
      </c>
      <c r="D248" s="287">
        <v>4640242180670</v>
      </c>
      <c r="E248" s="288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68</v>
      </c>
      <c r="M248" s="33" t="s">
        <v>69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0"/>
      <c r="R248" s="280"/>
      <c r="S248" s="280"/>
      <c r="T248" s="281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335</v>
      </c>
      <c r="AG248" s="67"/>
      <c r="AJ248" s="71" t="s">
        <v>72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89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90"/>
      <c r="P249" s="276" t="s">
        <v>73</v>
      </c>
      <c r="Q249" s="277"/>
      <c r="R249" s="277"/>
      <c r="S249" s="277"/>
      <c r="T249" s="277"/>
      <c r="U249" s="277"/>
      <c r="V249" s="278"/>
      <c r="W249" s="37" t="s">
        <v>70</v>
      </c>
      <c r="X249" s="272">
        <f>IFERROR(SUM(X246:X248),"0")</f>
        <v>0</v>
      </c>
      <c r="Y249" s="272">
        <f>IFERROR(SUM(Y246:Y248),"0")</f>
        <v>0</v>
      </c>
      <c r="Z249" s="272">
        <f>IFERROR(IF(Z246="",0,Z246),"0")+IFERROR(IF(Z247="",0,Z247),"0")+IFERROR(IF(Z248="",0,Z248),"0")</f>
        <v>0</v>
      </c>
      <c r="AA249" s="273"/>
      <c r="AB249" s="273"/>
      <c r="AC249" s="273"/>
    </row>
    <row r="250" spans="1:68" hidden="1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90"/>
      <c r="P250" s="276" t="s">
        <v>73</v>
      </c>
      <c r="Q250" s="277"/>
      <c r="R250" s="277"/>
      <c r="S250" s="277"/>
      <c r="T250" s="277"/>
      <c r="U250" s="277"/>
      <c r="V250" s="278"/>
      <c r="W250" s="37" t="s">
        <v>74</v>
      </c>
      <c r="X250" s="272">
        <f>IFERROR(SUMPRODUCT(X246:X248*H246:H248),"0")</f>
        <v>0</v>
      </c>
      <c r="Y250" s="272">
        <f>IFERROR(SUMPRODUCT(Y246:Y248*H246:H248),"0")</f>
        <v>0</v>
      </c>
      <c r="Z250" s="37"/>
      <c r="AA250" s="273"/>
      <c r="AB250" s="273"/>
      <c r="AC250" s="273"/>
    </row>
    <row r="251" spans="1:68" ht="14.25" hidden="1" customHeight="1" x14ac:dyDescent="0.25">
      <c r="A251" s="286" t="s">
        <v>77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6"/>
      <c r="AB251" s="266"/>
      <c r="AC251" s="266"/>
    </row>
    <row r="252" spans="1:68" ht="27" customHeight="1" x14ac:dyDescent="0.25">
      <c r="A252" s="54" t="s">
        <v>336</v>
      </c>
      <c r="B252" s="54" t="s">
        <v>337</v>
      </c>
      <c r="C252" s="31">
        <v>4301132080</v>
      </c>
      <c r="D252" s="287">
        <v>4640242180397</v>
      </c>
      <c r="E252" s="288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81</v>
      </c>
      <c r="M252" s="33" t="s">
        <v>69</v>
      </c>
      <c r="N252" s="33"/>
      <c r="O252" s="32">
        <v>180</v>
      </c>
      <c r="P252" s="29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0"/>
      <c r="R252" s="280"/>
      <c r="S252" s="280"/>
      <c r="T252" s="281"/>
      <c r="U252" s="34"/>
      <c r="V252" s="34"/>
      <c r="W252" s="35" t="s">
        <v>70</v>
      </c>
      <c r="X252" s="270">
        <v>84</v>
      </c>
      <c r="Y252" s="271">
        <f>IFERROR(IF(X252="","",X252),"")</f>
        <v>84</v>
      </c>
      <c r="Z252" s="36">
        <f>IFERROR(IF(X252="","",X252*0.0155),"")</f>
        <v>1.302</v>
      </c>
      <c r="AA252" s="56"/>
      <c r="AB252" s="57"/>
      <c r="AC252" s="232" t="s">
        <v>338</v>
      </c>
      <c r="AG252" s="67"/>
      <c r="AJ252" s="71" t="s">
        <v>83</v>
      </c>
      <c r="AK252" s="71">
        <v>84</v>
      </c>
      <c r="BB252" s="233" t="s">
        <v>84</v>
      </c>
      <c r="BM252" s="67">
        <f>IFERROR(X252*I252,"0")</f>
        <v>525.84</v>
      </c>
      <c r="BN252" s="67">
        <f>IFERROR(Y252*I252,"0")</f>
        <v>525.84</v>
      </c>
      <c r="BO252" s="67">
        <f>IFERROR(X252/J252,"0")</f>
        <v>1</v>
      </c>
      <c r="BP252" s="67">
        <f>IFERROR(Y252/J252,"0")</f>
        <v>1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4301132104</v>
      </c>
      <c r="D253" s="287">
        <v>4640242181219</v>
      </c>
      <c r="E253" s="288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134</v>
      </c>
      <c r="L253" s="32" t="s">
        <v>93</v>
      </c>
      <c r="M253" s="33" t="s">
        <v>69</v>
      </c>
      <c r="N253" s="33"/>
      <c r="O253" s="32">
        <v>180</v>
      </c>
      <c r="P253" s="43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0"/>
      <c r="R253" s="280"/>
      <c r="S253" s="280"/>
      <c r="T253" s="281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338</v>
      </c>
      <c r="AG253" s="67"/>
      <c r="AJ253" s="71" t="s">
        <v>95</v>
      </c>
      <c r="AK253" s="71">
        <v>18</v>
      </c>
      <c r="BB253" s="235" t="s">
        <v>84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90"/>
      <c r="P254" s="276" t="s">
        <v>73</v>
      </c>
      <c r="Q254" s="277"/>
      <c r="R254" s="277"/>
      <c r="S254" s="277"/>
      <c r="T254" s="277"/>
      <c r="U254" s="277"/>
      <c r="V254" s="278"/>
      <c r="W254" s="37" t="s">
        <v>70</v>
      </c>
      <c r="X254" s="272">
        <f>IFERROR(SUM(X252:X253),"0")</f>
        <v>84</v>
      </c>
      <c r="Y254" s="272">
        <f>IFERROR(SUM(Y252:Y253),"0")</f>
        <v>84</v>
      </c>
      <c r="Z254" s="272">
        <f>IFERROR(IF(Z252="",0,Z252),"0")+IFERROR(IF(Z253="",0,Z253),"0")</f>
        <v>1.302</v>
      </c>
      <c r="AA254" s="273"/>
      <c r="AB254" s="273"/>
      <c r="AC254" s="273"/>
    </row>
    <row r="255" spans="1:68" x14ac:dyDescent="0.2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90"/>
      <c r="P255" s="276" t="s">
        <v>73</v>
      </c>
      <c r="Q255" s="277"/>
      <c r="R255" s="277"/>
      <c r="S255" s="277"/>
      <c r="T255" s="277"/>
      <c r="U255" s="277"/>
      <c r="V255" s="278"/>
      <c r="W255" s="37" t="s">
        <v>74</v>
      </c>
      <c r="X255" s="272">
        <f>IFERROR(SUMPRODUCT(X252:X253*H252:H253),"0")</f>
        <v>504</v>
      </c>
      <c r="Y255" s="272">
        <f>IFERROR(SUMPRODUCT(Y252:Y253*H252:H253),"0")</f>
        <v>504</v>
      </c>
      <c r="Z255" s="37"/>
      <c r="AA255" s="273"/>
      <c r="AB255" s="273"/>
      <c r="AC255" s="273"/>
    </row>
    <row r="256" spans="1:68" ht="14.25" hidden="1" customHeight="1" x14ac:dyDescent="0.25">
      <c r="A256" s="286" t="s">
        <v>117</v>
      </c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A256" s="266"/>
      <c r="AB256" s="266"/>
      <c r="AC256" s="266"/>
    </row>
    <row r="257" spans="1:68" ht="27" hidden="1" customHeight="1" x14ac:dyDescent="0.25">
      <c r="A257" s="54" t="s">
        <v>341</v>
      </c>
      <c r="B257" s="54" t="s">
        <v>342</v>
      </c>
      <c r="C257" s="31">
        <v>4301136051</v>
      </c>
      <c r="D257" s="287">
        <v>4640242180304</v>
      </c>
      <c r="E257" s="288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93</v>
      </c>
      <c r="M257" s="33" t="s">
        <v>69</v>
      </c>
      <c r="N257" s="33"/>
      <c r="O257" s="32">
        <v>180</v>
      </c>
      <c r="P257" s="4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0"/>
      <c r="R257" s="280"/>
      <c r="S257" s="280"/>
      <c r="T257" s="281"/>
      <c r="U257" s="34"/>
      <c r="V257" s="34"/>
      <c r="W257" s="35" t="s">
        <v>70</v>
      </c>
      <c r="X257" s="270">
        <v>0</v>
      </c>
      <c r="Y257" s="271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343</v>
      </c>
      <c r="AG257" s="67"/>
      <c r="AJ257" s="71" t="s">
        <v>95</v>
      </c>
      <c r="AK257" s="71">
        <v>14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344</v>
      </c>
      <c r="B258" s="54" t="s">
        <v>345</v>
      </c>
      <c r="C258" s="31">
        <v>4301136053</v>
      </c>
      <c r="D258" s="287">
        <v>4640242180236</v>
      </c>
      <c r="E258" s="288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81</v>
      </c>
      <c r="M258" s="33" t="s">
        <v>69</v>
      </c>
      <c r="N258" s="33"/>
      <c r="O258" s="32">
        <v>180</v>
      </c>
      <c r="P258" s="36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0"/>
      <c r="R258" s="280"/>
      <c r="S258" s="280"/>
      <c r="T258" s="281"/>
      <c r="U258" s="34"/>
      <c r="V258" s="34"/>
      <c r="W258" s="35" t="s">
        <v>70</v>
      </c>
      <c r="X258" s="270">
        <v>84</v>
      </c>
      <c r="Y258" s="271">
        <f>IFERROR(IF(X258="","",X258),"")</f>
        <v>84</v>
      </c>
      <c r="Z258" s="36">
        <f>IFERROR(IF(X258="","",X258*0.0155),"")</f>
        <v>1.302</v>
      </c>
      <c r="AA258" s="56"/>
      <c r="AB258" s="57"/>
      <c r="AC258" s="238" t="s">
        <v>343</v>
      </c>
      <c r="AG258" s="67"/>
      <c r="AJ258" s="71" t="s">
        <v>83</v>
      </c>
      <c r="AK258" s="71">
        <v>84</v>
      </c>
      <c r="BB258" s="239" t="s">
        <v>84</v>
      </c>
      <c r="BM258" s="67">
        <f>IFERROR(X258*I258,"0")</f>
        <v>439.74</v>
      </c>
      <c r="BN258" s="67">
        <f>IFERROR(Y258*I258,"0")</f>
        <v>439.74</v>
      </c>
      <c r="BO258" s="67">
        <f>IFERROR(X258/J258,"0")</f>
        <v>1</v>
      </c>
      <c r="BP258" s="67">
        <f>IFERROR(Y258/J258,"0")</f>
        <v>1</v>
      </c>
    </row>
    <row r="259" spans="1:68" ht="27" customHeight="1" x14ac:dyDescent="0.25">
      <c r="A259" s="54" t="s">
        <v>346</v>
      </c>
      <c r="B259" s="54" t="s">
        <v>347</v>
      </c>
      <c r="C259" s="31">
        <v>4301136052</v>
      </c>
      <c r="D259" s="287">
        <v>4640242180410</v>
      </c>
      <c r="E259" s="288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93</v>
      </c>
      <c r="M259" s="33" t="s">
        <v>69</v>
      </c>
      <c r="N259" s="33"/>
      <c r="O259" s="32">
        <v>180</v>
      </c>
      <c r="P259" s="34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0"/>
      <c r="R259" s="280"/>
      <c r="S259" s="280"/>
      <c r="T259" s="281"/>
      <c r="U259" s="34"/>
      <c r="V259" s="34"/>
      <c r="W259" s="35" t="s">
        <v>70</v>
      </c>
      <c r="X259" s="270">
        <v>42</v>
      </c>
      <c r="Y259" s="271">
        <f>IFERROR(IF(X259="","",X259),"")</f>
        <v>42</v>
      </c>
      <c r="Z259" s="36">
        <f>IFERROR(IF(X259="","",X259*0.00936),"")</f>
        <v>0.39312000000000002</v>
      </c>
      <c r="AA259" s="56"/>
      <c r="AB259" s="57"/>
      <c r="AC259" s="240" t="s">
        <v>343</v>
      </c>
      <c r="AG259" s="67"/>
      <c r="AJ259" s="71" t="s">
        <v>95</v>
      </c>
      <c r="AK259" s="71">
        <v>14</v>
      </c>
      <c r="BB259" s="241" t="s">
        <v>84</v>
      </c>
      <c r="BM259" s="67">
        <f>IFERROR(X259*I259,"0")</f>
        <v>102.14399999999999</v>
      </c>
      <c r="BN259" s="67">
        <f>IFERROR(Y259*I259,"0")</f>
        <v>102.14399999999999</v>
      </c>
      <c r="BO259" s="67">
        <f>IFERROR(X259/J259,"0")</f>
        <v>0.33333333333333331</v>
      </c>
      <c r="BP259" s="67">
        <f>IFERROR(Y259/J259,"0")</f>
        <v>0.33333333333333331</v>
      </c>
    </row>
    <row r="260" spans="1:68" x14ac:dyDescent="0.2">
      <c r="A260" s="289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90"/>
      <c r="P260" s="276" t="s">
        <v>73</v>
      </c>
      <c r="Q260" s="277"/>
      <c r="R260" s="277"/>
      <c r="S260" s="277"/>
      <c r="T260" s="277"/>
      <c r="U260" s="277"/>
      <c r="V260" s="278"/>
      <c r="W260" s="37" t="s">
        <v>70</v>
      </c>
      <c r="X260" s="272">
        <f>IFERROR(SUM(X257:X259),"0")</f>
        <v>126</v>
      </c>
      <c r="Y260" s="272">
        <f>IFERROR(SUM(Y257:Y259),"0")</f>
        <v>126</v>
      </c>
      <c r="Z260" s="272">
        <f>IFERROR(IF(Z257="",0,Z257),"0")+IFERROR(IF(Z258="",0,Z258),"0")+IFERROR(IF(Z259="",0,Z259),"0")</f>
        <v>1.6951200000000002</v>
      </c>
      <c r="AA260" s="273"/>
      <c r="AB260" s="273"/>
      <c r="AC260" s="273"/>
    </row>
    <row r="261" spans="1:68" x14ac:dyDescent="0.2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90"/>
      <c r="P261" s="276" t="s">
        <v>73</v>
      </c>
      <c r="Q261" s="277"/>
      <c r="R261" s="277"/>
      <c r="S261" s="277"/>
      <c r="T261" s="277"/>
      <c r="U261" s="277"/>
      <c r="V261" s="278"/>
      <c r="W261" s="37" t="s">
        <v>74</v>
      </c>
      <c r="X261" s="272">
        <f>IFERROR(SUMPRODUCT(X257:X259*H257:H259),"0")</f>
        <v>514.08000000000004</v>
      </c>
      <c r="Y261" s="272">
        <f>IFERROR(SUMPRODUCT(Y257:Y259*H257:H259),"0")</f>
        <v>514.08000000000004</v>
      </c>
      <c r="Z261" s="37"/>
      <c r="AA261" s="273"/>
      <c r="AB261" s="273"/>
      <c r="AC261" s="273"/>
    </row>
    <row r="262" spans="1:68" ht="14.25" hidden="1" customHeight="1" x14ac:dyDescent="0.25">
      <c r="A262" s="286" t="s">
        <v>123</v>
      </c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A262" s="266"/>
      <c r="AB262" s="266"/>
      <c r="AC262" s="266"/>
    </row>
    <row r="263" spans="1:68" ht="37.5" hidden="1" customHeight="1" x14ac:dyDescent="0.25">
      <c r="A263" s="54" t="s">
        <v>348</v>
      </c>
      <c r="B263" s="54" t="s">
        <v>349</v>
      </c>
      <c r="C263" s="31">
        <v>4301135504</v>
      </c>
      <c r="D263" s="287">
        <v>4640242181554</v>
      </c>
      <c r="E263" s="288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68</v>
      </c>
      <c r="M263" s="33" t="s">
        <v>69</v>
      </c>
      <c r="N263" s="33"/>
      <c r="O263" s="32">
        <v>180</v>
      </c>
      <c r="P263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0"/>
      <c r="R263" s="280"/>
      <c r="S263" s="280"/>
      <c r="T263" s="281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72</v>
      </c>
      <c r="AK263" s="71">
        <v>1</v>
      </c>
      <c r="BB263" s="243" t="s">
        <v>84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4301135518</v>
      </c>
      <c r="D264" s="287">
        <v>4640242181561</v>
      </c>
      <c r="E264" s="288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93</v>
      </c>
      <c r="M264" s="33" t="s">
        <v>69</v>
      </c>
      <c r="N264" s="33"/>
      <c r="O264" s="32">
        <v>180</v>
      </c>
      <c r="P264" s="36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0"/>
      <c r="R264" s="280"/>
      <c r="S264" s="280"/>
      <c r="T264" s="281"/>
      <c r="U264" s="34"/>
      <c r="V264" s="34"/>
      <c r="W264" s="35" t="s">
        <v>70</v>
      </c>
      <c r="X264" s="270">
        <v>28</v>
      </c>
      <c r="Y264" s="271">
        <f t="shared" si="12"/>
        <v>28</v>
      </c>
      <c r="Z264" s="36">
        <f>IFERROR(IF(X264="","",X264*0.00936),"")</f>
        <v>0.26207999999999998</v>
      </c>
      <c r="AA264" s="56"/>
      <c r="AB264" s="57"/>
      <c r="AC264" s="244" t="s">
        <v>353</v>
      </c>
      <c r="AG264" s="67"/>
      <c r="AJ264" s="71" t="s">
        <v>95</v>
      </c>
      <c r="AK264" s="71">
        <v>14</v>
      </c>
      <c r="BB264" s="245" t="s">
        <v>84</v>
      </c>
      <c r="BM264" s="67">
        <f t="shared" si="13"/>
        <v>108.976</v>
      </c>
      <c r="BN264" s="67">
        <f t="shared" si="14"/>
        <v>108.976</v>
      </c>
      <c r="BO264" s="67">
        <f t="shared" si="15"/>
        <v>0.22222222222222221</v>
      </c>
      <c r="BP264" s="67">
        <f t="shared" si="16"/>
        <v>0.22222222222222221</v>
      </c>
    </row>
    <row r="265" spans="1:68" ht="27" hidden="1" customHeight="1" x14ac:dyDescent="0.25">
      <c r="A265" s="54" t="s">
        <v>354</v>
      </c>
      <c r="B265" s="54" t="s">
        <v>355</v>
      </c>
      <c r="C265" s="31">
        <v>4301135374</v>
      </c>
      <c r="D265" s="287">
        <v>4640242181424</v>
      </c>
      <c r="E265" s="288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93</v>
      </c>
      <c r="M265" s="33" t="s">
        <v>69</v>
      </c>
      <c r="N265" s="33"/>
      <c r="O265" s="32">
        <v>180</v>
      </c>
      <c r="P265" s="31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0"/>
      <c r="R265" s="280"/>
      <c r="S265" s="280"/>
      <c r="T265" s="281"/>
      <c r="U265" s="34"/>
      <c r="V265" s="34"/>
      <c r="W265" s="35" t="s">
        <v>70</v>
      </c>
      <c r="X265" s="270">
        <v>0</v>
      </c>
      <c r="Y265" s="271">
        <f t="shared" si="12"/>
        <v>0</v>
      </c>
      <c r="Z265" s="36">
        <f>IFERROR(IF(X265="","",X265*0.0155),"")</f>
        <v>0</v>
      </c>
      <c r="AA265" s="56"/>
      <c r="AB265" s="57"/>
      <c r="AC265" s="246" t="s">
        <v>350</v>
      </c>
      <c r="AG265" s="67"/>
      <c r="AJ265" s="71" t="s">
        <v>95</v>
      </c>
      <c r="AK265" s="71">
        <v>12</v>
      </c>
      <c r="BB265" s="247" t="s">
        <v>84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356</v>
      </c>
      <c r="B266" s="54" t="s">
        <v>357</v>
      </c>
      <c r="C266" s="31">
        <v>4301135405</v>
      </c>
      <c r="D266" s="287">
        <v>4640242181523</v>
      </c>
      <c r="E266" s="288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0"/>
      <c r="R266" s="280"/>
      <c r="S266" s="280"/>
      <c r="T266" s="281"/>
      <c r="U266" s="34"/>
      <c r="V266" s="34"/>
      <c r="W266" s="35" t="s">
        <v>70</v>
      </c>
      <c r="X266" s="270">
        <v>336</v>
      </c>
      <c r="Y266" s="271">
        <f t="shared" si="12"/>
        <v>336</v>
      </c>
      <c r="Z266" s="36">
        <f t="shared" ref="Z266:Z271" si="17">IFERROR(IF(X266="","",X266*0.00936),"")</f>
        <v>3.1449600000000002</v>
      </c>
      <c r="AA266" s="56"/>
      <c r="AB266" s="57"/>
      <c r="AC266" s="248" t="s">
        <v>353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1072.5120000000002</v>
      </c>
      <c r="BN266" s="67">
        <f t="shared" si="14"/>
        <v>1072.5120000000002</v>
      </c>
      <c r="BO266" s="67">
        <f t="shared" si="15"/>
        <v>2.6666666666666665</v>
      </c>
      <c r="BP266" s="67">
        <f t="shared" si="16"/>
        <v>2.6666666666666665</v>
      </c>
    </row>
    <row r="267" spans="1:68" ht="27" hidden="1" customHeight="1" x14ac:dyDescent="0.25">
      <c r="A267" s="54" t="s">
        <v>358</v>
      </c>
      <c r="B267" s="54" t="s">
        <v>359</v>
      </c>
      <c r="C267" s="31">
        <v>4301135375</v>
      </c>
      <c r="D267" s="287">
        <v>4640242181486</v>
      </c>
      <c r="E267" s="288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93</v>
      </c>
      <c r="M267" s="33" t="s">
        <v>69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0"/>
      <c r="R267" s="280"/>
      <c r="S267" s="280"/>
      <c r="T267" s="281"/>
      <c r="U267" s="34"/>
      <c r="V267" s="34"/>
      <c r="W267" s="35" t="s">
        <v>70</v>
      </c>
      <c r="X267" s="270">
        <v>0</v>
      </c>
      <c r="Y267" s="271">
        <f t="shared" si="12"/>
        <v>0</v>
      </c>
      <c r="Z267" s="36">
        <f t="shared" si="17"/>
        <v>0</v>
      </c>
      <c r="AA267" s="56"/>
      <c r="AB267" s="57"/>
      <c r="AC267" s="250" t="s">
        <v>350</v>
      </c>
      <c r="AG267" s="67"/>
      <c r="AJ267" s="71" t="s">
        <v>95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360</v>
      </c>
      <c r="B268" s="54" t="s">
        <v>361</v>
      </c>
      <c r="C268" s="31">
        <v>4301135402</v>
      </c>
      <c r="D268" s="287">
        <v>4640242181493</v>
      </c>
      <c r="E268" s="288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0"/>
      <c r="R268" s="280"/>
      <c r="S268" s="280"/>
      <c r="T268" s="281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350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hidden="1" customHeight="1" x14ac:dyDescent="0.25">
      <c r="A269" s="54" t="s">
        <v>362</v>
      </c>
      <c r="B269" s="54" t="s">
        <v>363</v>
      </c>
      <c r="C269" s="31">
        <v>4301135403</v>
      </c>
      <c r="D269" s="287">
        <v>4640242181509</v>
      </c>
      <c r="E269" s="288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0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0"/>
      <c r="R269" s="280"/>
      <c r="S269" s="280"/>
      <c r="T269" s="281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350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364</v>
      </c>
      <c r="B270" s="54" t="s">
        <v>365</v>
      </c>
      <c r="C270" s="31">
        <v>4301135304</v>
      </c>
      <c r="D270" s="287">
        <v>4640242181240</v>
      </c>
      <c r="E270" s="288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0"/>
      <c r="R270" s="280"/>
      <c r="S270" s="280"/>
      <c r="T270" s="281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4301135610</v>
      </c>
      <c r="D271" s="287">
        <v>4640242181318</v>
      </c>
      <c r="E271" s="288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1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0"/>
      <c r="R271" s="280"/>
      <c r="S271" s="280"/>
      <c r="T271" s="281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353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hidden="1" customHeight="1" x14ac:dyDescent="0.25">
      <c r="A272" s="54" t="s">
        <v>368</v>
      </c>
      <c r="B272" s="54" t="s">
        <v>369</v>
      </c>
      <c r="C272" s="31">
        <v>4301135306</v>
      </c>
      <c r="D272" s="287">
        <v>4640242181387</v>
      </c>
      <c r="E272" s="288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134</v>
      </c>
      <c r="L272" s="32" t="s">
        <v>68</v>
      </c>
      <c r="M272" s="33" t="s">
        <v>69</v>
      </c>
      <c r="N272" s="33"/>
      <c r="O272" s="32">
        <v>180</v>
      </c>
      <c r="P272" s="36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0"/>
      <c r="R272" s="280"/>
      <c r="S272" s="280"/>
      <c r="T272" s="281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350</v>
      </c>
      <c r="AG272" s="67"/>
      <c r="AJ272" s="71" t="s">
        <v>72</v>
      </c>
      <c r="AK272" s="71">
        <v>1</v>
      </c>
      <c r="BB272" s="261" t="s">
        <v>84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89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90"/>
      <c r="P273" s="276" t="s">
        <v>73</v>
      </c>
      <c r="Q273" s="277"/>
      <c r="R273" s="277"/>
      <c r="S273" s="277"/>
      <c r="T273" s="277"/>
      <c r="U273" s="277"/>
      <c r="V273" s="278"/>
      <c r="W273" s="37" t="s">
        <v>70</v>
      </c>
      <c r="X273" s="272">
        <f>IFERROR(SUM(X263:X272),"0")</f>
        <v>364</v>
      </c>
      <c r="Y273" s="272">
        <f>IFERROR(SUM(Y263:Y272),"0")</f>
        <v>364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3.4070400000000003</v>
      </c>
      <c r="AA273" s="273"/>
      <c r="AB273" s="273"/>
      <c r="AC273" s="273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90"/>
      <c r="P274" s="276" t="s">
        <v>73</v>
      </c>
      <c r="Q274" s="277"/>
      <c r="R274" s="277"/>
      <c r="S274" s="277"/>
      <c r="T274" s="277"/>
      <c r="U274" s="277"/>
      <c r="V274" s="278"/>
      <c r="W274" s="37" t="s">
        <v>74</v>
      </c>
      <c r="X274" s="272">
        <f>IFERROR(SUMPRODUCT(X263:X272*H263:H272),"0")</f>
        <v>1111.5999999999999</v>
      </c>
      <c r="Y274" s="272">
        <f>IFERROR(SUMPRODUCT(Y263:Y272*H263:H272),"0")</f>
        <v>1111.5999999999999</v>
      </c>
      <c r="Z274" s="37"/>
      <c r="AA274" s="273"/>
      <c r="AB274" s="273"/>
      <c r="AC274" s="273"/>
    </row>
    <row r="275" spans="1:32" ht="15" customHeight="1" x14ac:dyDescent="0.2">
      <c r="A275" s="361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62"/>
      <c r="P275" s="293" t="s">
        <v>370</v>
      </c>
      <c r="Q275" s="294"/>
      <c r="R275" s="294"/>
      <c r="S275" s="294"/>
      <c r="T275" s="294"/>
      <c r="U275" s="294"/>
      <c r="V275" s="295"/>
      <c r="W275" s="37" t="s">
        <v>74</v>
      </c>
      <c r="X275" s="272">
        <f>IFERROR(X24+X31+X38+X46+X51+X55+X60+X66+X72+X77+X83+X93+X99+X111+X115+X119+X125+X131+X137+X142+X147+X152+X157+X164+X172+X176+X182+X189+X198+X203+X208+X214+X220+X226+X232+X238+X242+X250+X255+X261+X274,"0")</f>
        <v>10597</v>
      </c>
      <c r="Y275" s="272">
        <f>IFERROR(Y24+Y31+Y38+Y46+Y51+Y55+Y60+Y66+Y72+Y77+Y83+Y93+Y99+Y111+Y115+Y119+Y125+Y131+Y137+Y142+Y147+Y152+Y157+Y164+Y172+Y176+Y182+Y189+Y198+Y203+Y208+Y214+Y220+Y226+Y232+Y238+Y242+Y250+Y255+Y261+Y274,"0")</f>
        <v>10597</v>
      </c>
      <c r="Z275" s="37"/>
      <c r="AA275" s="273"/>
      <c r="AB275" s="273"/>
      <c r="AC275" s="273"/>
    </row>
    <row r="276" spans="1:32" x14ac:dyDescent="0.2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362"/>
      <c r="P276" s="293" t="s">
        <v>371</v>
      </c>
      <c r="Q276" s="294"/>
      <c r="R276" s="294"/>
      <c r="S276" s="294"/>
      <c r="T276" s="294"/>
      <c r="U276" s="294"/>
      <c r="V276" s="295"/>
      <c r="W276" s="37" t="s">
        <v>74</v>
      </c>
      <c r="X276" s="272">
        <f>IFERROR(SUM(BM22:BM272),"0")</f>
        <v>11520.903200000001</v>
      </c>
      <c r="Y276" s="272">
        <f>IFERROR(SUM(BN22:BN272),"0")</f>
        <v>11520.903200000001</v>
      </c>
      <c r="Z276" s="37"/>
      <c r="AA276" s="273"/>
      <c r="AB276" s="273"/>
      <c r="AC276" s="273"/>
    </row>
    <row r="277" spans="1:32" x14ac:dyDescent="0.2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62"/>
      <c r="P277" s="293" t="s">
        <v>372</v>
      </c>
      <c r="Q277" s="294"/>
      <c r="R277" s="294"/>
      <c r="S277" s="294"/>
      <c r="T277" s="294"/>
      <c r="U277" s="294"/>
      <c r="V277" s="295"/>
      <c r="W277" s="37" t="s">
        <v>373</v>
      </c>
      <c r="X277" s="38">
        <f>ROUNDUP(SUM(BO22:BO272),0)</f>
        <v>28</v>
      </c>
      <c r="Y277" s="38">
        <f>ROUNDUP(SUM(BP22:BP272),0)</f>
        <v>28</v>
      </c>
      <c r="Z277" s="37"/>
      <c r="AA277" s="273"/>
      <c r="AB277" s="273"/>
      <c r="AC277" s="273"/>
    </row>
    <row r="278" spans="1:32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62"/>
      <c r="P278" s="293" t="s">
        <v>374</v>
      </c>
      <c r="Q278" s="294"/>
      <c r="R278" s="294"/>
      <c r="S278" s="294"/>
      <c r="T278" s="294"/>
      <c r="U278" s="294"/>
      <c r="V278" s="295"/>
      <c r="W278" s="37" t="s">
        <v>74</v>
      </c>
      <c r="X278" s="272">
        <f>GrossWeightTotal+PalletQtyTotal*25</f>
        <v>12220.903200000001</v>
      </c>
      <c r="Y278" s="272">
        <f>GrossWeightTotalR+PalletQtyTotalR*25</f>
        <v>12220.903200000001</v>
      </c>
      <c r="Z278" s="37"/>
      <c r="AA278" s="273"/>
      <c r="AB278" s="273"/>
      <c r="AC278" s="273"/>
    </row>
    <row r="279" spans="1:32" x14ac:dyDescent="0.2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62"/>
      <c r="P279" s="293" t="s">
        <v>375</v>
      </c>
      <c r="Q279" s="294"/>
      <c r="R279" s="294"/>
      <c r="S279" s="294"/>
      <c r="T279" s="294"/>
      <c r="U279" s="294"/>
      <c r="V279" s="295"/>
      <c r="W279" s="37" t="s">
        <v>373</v>
      </c>
      <c r="X279" s="272">
        <f>IFERROR(X23+X30+X37+X45+X50+X54+X59+X65+X71+X76+X82+X92+X98+X110+X114+X118+X124+X130+X136+X141+X146+X151+X156+X163+X171+X175+X181+X188+X197+X202+X207+X213+X219+X225+X231+X237+X241+X249+X254+X260+X273,"0")</f>
        <v>2500</v>
      </c>
      <c r="Y279" s="272">
        <f>IFERROR(Y23+Y30+Y37+Y45+Y50+Y54+Y59+Y65+Y71+Y76+Y82+Y92+Y98+Y110+Y114+Y118+Y124+Y130+Y136+Y141+Y146+Y151+Y156+Y163+Y171+Y175+Y181+Y188+Y197+Y202+Y207+Y213+Y219+Y225+Y231+Y237+Y241+Y249+Y254+Y260+Y273,"0")</f>
        <v>2500</v>
      </c>
      <c r="Z279" s="37"/>
      <c r="AA279" s="273"/>
      <c r="AB279" s="273"/>
      <c r="AC279" s="273"/>
    </row>
    <row r="280" spans="1:32" ht="14.25" hidden="1" customHeight="1" x14ac:dyDescent="0.2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362"/>
      <c r="P280" s="293" t="s">
        <v>376</v>
      </c>
      <c r="Q280" s="294"/>
      <c r="R280" s="294"/>
      <c r="S280" s="294"/>
      <c r="T280" s="294"/>
      <c r="U280" s="294"/>
      <c r="V280" s="295"/>
      <c r="W280" s="39" t="s">
        <v>377</v>
      </c>
      <c r="X280" s="37"/>
      <c r="Y280" s="37"/>
      <c r="Z280" s="37">
        <f>IFERROR(Z23+Z30+Z37+Z45+Z50+Z54+Z59+Z65+Z71+Z76+Z82+Z92+Z98+Z110+Z114+Z118+Z124+Z130+Z136+Z141+Z146+Z151+Z156+Z163+Z171+Z175+Z181+Z188+Z197+Z202+Z207+Z213+Z219+Z225+Z231+Z237+Z241+Z249+Z254+Z260+Z273,"0")</f>
        <v>35.289619999999992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378</v>
      </c>
      <c r="B282" s="267" t="s">
        <v>63</v>
      </c>
      <c r="C282" s="282" t="s">
        <v>75</v>
      </c>
      <c r="D282" s="392"/>
      <c r="E282" s="392"/>
      <c r="F282" s="392"/>
      <c r="G282" s="392"/>
      <c r="H282" s="392"/>
      <c r="I282" s="392"/>
      <c r="J282" s="392"/>
      <c r="K282" s="392"/>
      <c r="L282" s="392"/>
      <c r="M282" s="392"/>
      <c r="N282" s="392"/>
      <c r="O282" s="392"/>
      <c r="P282" s="392"/>
      <c r="Q282" s="392"/>
      <c r="R282" s="392"/>
      <c r="S282" s="392"/>
      <c r="T282" s="393"/>
      <c r="U282" s="267" t="s">
        <v>233</v>
      </c>
      <c r="V282" s="267" t="s">
        <v>241</v>
      </c>
      <c r="W282" s="282" t="s">
        <v>260</v>
      </c>
      <c r="X282" s="392"/>
      <c r="Y282" s="392"/>
      <c r="Z282" s="392"/>
      <c r="AA282" s="393"/>
      <c r="AB282" s="267" t="s">
        <v>310</v>
      </c>
      <c r="AC282" s="267" t="s">
        <v>315</v>
      </c>
      <c r="AD282" s="267" t="s">
        <v>319</v>
      </c>
      <c r="AE282" s="267" t="s">
        <v>327</v>
      </c>
      <c r="AF282" s="268"/>
    </row>
    <row r="283" spans="1:32" ht="14.25" customHeight="1" thickTop="1" x14ac:dyDescent="0.2">
      <c r="A283" s="364" t="s">
        <v>379</v>
      </c>
      <c r="B283" s="282" t="s">
        <v>63</v>
      </c>
      <c r="C283" s="282" t="s">
        <v>76</v>
      </c>
      <c r="D283" s="282" t="s">
        <v>87</v>
      </c>
      <c r="E283" s="282" t="s">
        <v>99</v>
      </c>
      <c r="F283" s="282" t="s">
        <v>110</v>
      </c>
      <c r="G283" s="282" t="s">
        <v>131</v>
      </c>
      <c r="H283" s="282" t="s">
        <v>138</v>
      </c>
      <c r="I283" s="282" t="s">
        <v>142</v>
      </c>
      <c r="J283" s="282" t="s">
        <v>150</v>
      </c>
      <c r="K283" s="282" t="s">
        <v>165</v>
      </c>
      <c r="L283" s="282" t="s">
        <v>171</v>
      </c>
      <c r="M283" s="282" t="s">
        <v>199</v>
      </c>
      <c r="N283" s="268"/>
      <c r="O283" s="282" t="s">
        <v>205</v>
      </c>
      <c r="P283" s="282" t="s">
        <v>212</v>
      </c>
      <c r="Q283" s="282" t="s">
        <v>217</v>
      </c>
      <c r="R283" s="282" t="s">
        <v>221</v>
      </c>
      <c r="S283" s="282" t="s">
        <v>224</v>
      </c>
      <c r="T283" s="282" t="s">
        <v>229</v>
      </c>
      <c r="U283" s="282" t="s">
        <v>234</v>
      </c>
      <c r="V283" s="282" t="s">
        <v>242</v>
      </c>
      <c r="W283" s="282" t="s">
        <v>261</v>
      </c>
      <c r="X283" s="282" t="s">
        <v>276</v>
      </c>
      <c r="Y283" s="282" t="s">
        <v>288</v>
      </c>
      <c r="Z283" s="282" t="s">
        <v>293</v>
      </c>
      <c r="AA283" s="282" t="s">
        <v>304</v>
      </c>
      <c r="AB283" s="282" t="s">
        <v>311</v>
      </c>
      <c r="AC283" s="282" t="s">
        <v>316</v>
      </c>
      <c r="AD283" s="282" t="s">
        <v>320</v>
      </c>
      <c r="AE283" s="282" t="s">
        <v>327</v>
      </c>
      <c r="AF283" s="268"/>
    </row>
    <row r="284" spans="1:32" ht="13.5" customHeight="1" thickBot="1" x14ac:dyDescent="0.25">
      <c r="A284" s="365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68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  <c r="AA284" s="283"/>
      <c r="AB284" s="283"/>
      <c r="AC284" s="283"/>
      <c r="AD284" s="283"/>
      <c r="AE284" s="283"/>
      <c r="AF284" s="268"/>
    </row>
    <row r="285" spans="1:32" ht="18" customHeight="1" thickTop="1" thickBot="1" x14ac:dyDescent="0.25">
      <c r="A285" s="40" t="s">
        <v>380</v>
      </c>
      <c r="B285" s="46">
        <f>IFERROR(X22*H22,"0")</f>
        <v>0</v>
      </c>
      <c r="C285" s="46">
        <f>IFERROR(X28*H28,"0")+IFERROR(X29*H29,"0")</f>
        <v>168</v>
      </c>
      <c r="D285" s="46">
        <f>IFERROR(X34*H34,"0")+IFERROR(X35*H35,"0")+IFERROR(X36*H36,"0")</f>
        <v>0</v>
      </c>
      <c r="E285" s="46">
        <f>IFERROR(X41*H41,"0")+IFERROR(X42*H42,"0")+IFERROR(X43*H43,"0")+IFERROR(X44*H44,"0")</f>
        <v>924</v>
      </c>
      <c r="F285" s="46">
        <f>IFERROR(X49*H49,"0")+IFERROR(X53*H53,"0")+IFERROR(X57*H57,"0")+IFERROR(X58*H58,"0")+IFERROR(X62*H62,"0")+IFERROR(X63*H63,"0")+IFERROR(X64*H64,"0")</f>
        <v>50.400000000000006</v>
      </c>
      <c r="G285" s="46">
        <f>IFERROR(X69*H69,"0")+IFERROR(X70*H70,"0")</f>
        <v>900</v>
      </c>
      <c r="H285" s="46">
        <f>IFERROR(X75*H75,"0")</f>
        <v>50.4</v>
      </c>
      <c r="I285" s="46">
        <f>IFERROR(X80*H80,"0")+IFERROR(X81*H81,"0")</f>
        <v>201.6</v>
      </c>
      <c r="J285" s="46">
        <f>IFERROR(X86*H86,"0")+IFERROR(X87*H87,"0")+IFERROR(X88*H88,"0")+IFERROR(X89*H89,"0")+IFERROR(X90*H90,"0")+IFERROR(X91*H91,"0")</f>
        <v>362.88</v>
      </c>
      <c r="K285" s="46">
        <f>IFERROR(X96*H96,"0")+IFERROR(X97*H97,"0")</f>
        <v>30.240000000000002</v>
      </c>
      <c r="L285" s="46">
        <f>IFERROR(X102*H102,"0")+IFERROR(X103*H103,"0")+IFERROR(X104*H104,"0")+IFERROR(X105*H105,"0")+IFERROR(X106*H106,"0")+IFERROR(X107*H107,"0")+IFERROR(X108*H108,"0")+IFERROR(X109*H109,"0")+IFERROR(X113*H113,"0")+IFERROR(X117*H117,"0")</f>
        <v>2560.8000000000002</v>
      </c>
      <c r="M285" s="46">
        <f>IFERROR(X122*H122,"0")+IFERROR(X123*H123,"0")</f>
        <v>630</v>
      </c>
      <c r="N285" s="268"/>
      <c r="O285" s="46">
        <f>IFERROR(X128*H128,"0")+IFERROR(X129*H129,"0")</f>
        <v>210</v>
      </c>
      <c r="P285" s="46">
        <f>IFERROR(X134*H134,"0")+IFERROR(X135*H135,"0")</f>
        <v>168</v>
      </c>
      <c r="Q285" s="46">
        <f>IFERROR(X140*H140,"0")</f>
        <v>42</v>
      </c>
      <c r="R285" s="46">
        <f>IFERROR(X145*H145,"0")</f>
        <v>37.800000000000004</v>
      </c>
      <c r="S285" s="46">
        <f>IFERROR(X150*H150,"0")</f>
        <v>0</v>
      </c>
      <c r="T285" s="46">
        <f>IFERROR(X155*H155,"0")</f>
        <v>0</v>
      </c>
      <c r="U285" s="46">
        <f>IFERROR(X161*H161,"0")+IFERROR(X162*H162,"0")</f>
        <v>360</v>
      </c>
      <c r="V285" s="46">
        <f>IFERROR(X168*H168,"0")+IFERROR(X169*H169,"0")+IFERROR(X170*H170,"0")+IFERROR(X174*H174,"0")</f>
        <v>588</v>
      </c>
      <c r="W285" s="46">
        <f>IFERROR(X180*H180,"0")+IFERROR(X184*H184,"0")+IFERROR(X185*H185,"0")+IFERROR(X186*H186,"0")+IFERROR(X187*H187,"0")</f>
        <v>33.6</v>
      </c>
      <c r="X285" s="46">
        <f>IFERROR(X192*H192,"0")+IFERROR(X193*H193,"0")+IFERROR(X194*H194,"0")+IFERROR(X195*H195,"0")+IFERROR(X196*H196,"0")</f>
        <v>259.2</v>
      </c>
      <c r="Y285" s="46">
        <f>IFERROR(X201*H201,"0")</f>
        <v>300</v>
      </c>
      <c r="Z285" s="46">
        <f>IFERROR(X206*H206,"0")+IFERROR(X210*H210,"0")+IFERROR(X211*H211,"0")+IFERROR(X212*H212,"0")</f>
        <v>33.6</v>
      </c>
      <c r="AA285" s="46">
        <f>IFERROR(X217*H217,"0")+IFERROR(X218*H218,"0")</f>
        <v>76.800000000000011</v>
      </c>
      <c r="AB285" s="46">
        <f>IFERROR(X224*H224,"0")</f>
        <v>0</v>
      </c>
      <c r="AC285" s="46">
        <f>IFERROR(X230*H230,"0")</f>
        <v>480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2129.6800000000003</v>
      </c>
      <c r="AF285" s="268"/>
    </row>
    <row r="286" spans="1:32" ht="13.5" customHeight="1" thickTop="1" x14ac:dyDescent="0.2">
      <c r="C286" s="268"/>
    </row>
    <row r="287" spans="1:32" ht="19.5" customHeight="1" x14ac:dyDescent="0.2">
      <c r="A287" s="58" t="s">
        <v>381</v>
      </c>
      <c r="B287" s="58" t="s">
        <v>382</v>
      </c>
      <c r="C287" s="58" t="s">
        <v>383</v>
      </c>
    </row>
    <row r="288" spans="1:32" x14ac:dyDescent="0.2">
      <c r="A288" s="59">
        <f>SUMPRODUCT(--(BB:BB="ЗПФ"),--(W:W="кор"),H:H,Y:Y)+SUMPRODUCT(--(BB:BB="ЗПФ"),--(W:W="кг"),Y:Y)</f>
        <v>5860.8</v>
      </c>
      <c r="B288" s="60">
        <f>SUMPRODUCT(--(BB:BB="ПГП"),--(W:W="кор"),H:H,Y:Y)+SUMPRODUCT(--(BB:BB="ПГП"),--(W:W="кг"),Y:Y)</f>
        <v>4736.1999999999989</v>
      </c>
      <c r="C288" s="60">
        <f>SUMPRODUCT(--(BB:BB="КИЗ"),--(W:W="кор"),H:H,Y:Y)+SUMPRODUCT(--(BB:BB="КИЗ"),--(W:W="кг"),Y:Y)</f>
        <v>0</v>
      </c>
    </row>
  </sheetData>
  <sheetProtection algorithmName="SHA-512" hashValue="sNHxrTAh9Gkxe/mYXQ55dGFJ0JA48kpymEkWfCpCw6gHpI/6+nY0P2G+1pUhK4BVSmB9z2uWt2gZu2CqILH9xw==" saltValue="SDUcRcs7G0IHmHZQ2591VQ==" spinCount="100000" sheet="1" objects="1" scenarios="1" sort="0" autoFilter="0" pivotTables="0"/>
  <autoFilter ref="A18:AF28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1,60"/>
        <filter val="10 597,00"/>
        <filter val="108,00"/>
        <filter val="11 520,90"/>
        <filter val="112,00"/>
        <filter val="12 220,90"/>
        <filter val="12,00"/>
        <filter val="126,00"/>
        <filter val="132,00"/>
        <filter val="14,00"/>
        <filter val="168,00"/>
        <filter val="180,00"/>
        <filter val="196,00"/>
        <filter val="2 500,00"/>
        <filter val="2 560,80"/>
        <filter val="201,60"/>
        <filter val="210,00"/>
        <filter val="24,00"/>
        <filter val="259,20"/>
        <filter val="28"/>
        <filter val="28,00"/>
        <filter val="30,24"/>
        <filter val="300,00"/>
        <filter val="33,60"/>
        <filter val="336,00"/>
        <filter val="36,00"/>
        <filter val="360,00"/>
        <filter val="362,88"/>
        <filter val="364,00"/>
        <filter val="37,80"/>
        <filter val="372,00"/>
        <filter val="42,00"/>
        <filter val="480,00"/>
        <filter val="50,40"/>
        <filter val="504,00"/>
        <filter val="514,08"/>
        <filter val="56,00"/>
        <filter val="588,00"/>
        <filter val="60,00"/>
        <filter val="630,00"/>
        <filter val="70,00"/>
        <filter val="72,00"/>
        <filter val="76,80"/>
        <filter val="84,00"/>
        <filter val="900,00"/>
        <filter val="924,00"/>
        <filter val="96,00"/>
      </filters>
    </filterColumn>
    <filterColumn colId="29" showButton="0"/>
    <filterColumn colId="30" showButton="0"/>
  </autoFilter>
  <mergeCells count="497">
    <mergeCell ref="A8:C8"/>
    <mergeCell ref="A260:O261"/>
    <mergeCell ref="M283:M284"/>
    <mergeCell ref="P163:V163"/>
    <mergeCell ref="A153:Z153"/>
    <mergeCell ref="D268:E268"/>
    <mergeCell ref="D97:E97"/>
    <mergeCell ref="P76:V76"/>
    <mergeCell ref="A197:O198"/>
    <mergeCell ref="A10:C10"/>
    <mergeCell ref="P218:T218"/>
    <mergeCell ref="A21:Z21"/>
    <mergeCell ref="D184:E184"/>
    <mergeCell ref="D192:E192"/>
    <mergeCell ref="Y283:Y284"/>
    <mergeCell ref="D42:E42"/>
    <mergeCell ref="D17:E18"/>
    <mergeCell ref="A213:O214"/>
    <mergeCell ref="A151:O152"/>
    <mergeCell ref="D123:E123"/>
    <mergeCell ref="A188:O189"/>
    <mergeCell ref="A163:O164"/>
    <mergeCell ref="P58:T58"/>
    <mergeCell ref="A52:Z52"/>
    <mergeCell ref="P23:V23"/>
    <mergeCell ref="A262:Z262"/>
    <mergeCell ref="W283:W284"/>
    <mergeCell ref="D271:E271"/>
    <mergeCell ref="P75:T75"/>
    <mergeCell ref="A136:O137"/>
    <mergeCell ref="D29:E29"/>
    <mergeCell ref="V12:W12"/>
    <mergeCell ref="A245:Z245"/>
    <mergeCell ref="A39:Z39"/>
    <mergeCell ref="A202:O203"/>
    <mergeCell ref="Z283:Z284"/>
    <mergeCell ref="D266:E266"/>
    <mergeCell ref="P174:T174"/>
    <mergeCell ref="U17:V17"/>
    <mergeCell ref="Y17:Y18"/>
    <mergeCell ref="D57:E57"/>
    <mergeCell ref="X17:X18"/>
    <mergeCell ref="D44:E44"/>
    <mergeCell ref="X283:X284"/>
    <mergeCell ref="N17:N18"/>
    <mergeCell ref="D49:E49"/>
    <mergeCell ref="D265:E265"/>
    <mergeCell ref="A20:Z20"/>
    <mergeCell ref="P134:T134"/>
    <mergeCell ref="A124:O125"/>
    <mergeCell ref="A118:O119"/>
    <mergeCell ref="D102:E102"/>
    <mergeCell ref="E283:E284"/>
    <mergeCell ref="P208:V208"/>
    <mergeCell ref="A204:Z204"/>
    <mergeCell ref="A33:Z33"/>
    <mergeCell ref="D196:E196"/>
    <mergeCell ref="P219:V219"/>
    <mergeCell ref="D252:E252"/>
    <mergeCell ref="P123:T123"/>
    <mergeCell ref="A112:Z112"/>
    <mergeCell ref="P66:V66"/>
    <mergeCell ref="D218:E218"/>
    <mergeCell ref="P137:V137"/>
    <mergeCell ref="P197:V197"/>
    <mergeCell ref="P2:W3"/>
    <mergeCell ref="F283:F284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C282:T282"/>
    <mergeCell ref="P128:T128"/>
    <mergeCell ref="P142:V142"/>
    <mergeCell ref="A132:Z132"/>
    <mergeCell ref="F5:G5"/>
    <mergeCell ref="P55:V55"/>
    <mergeCell ref="A221:Z221"/>
    <mergeCell ref="Q5:R5"/>
    <mergeCell ref="F17:F18"/>
    <mergeCell ref="B283:B284"/>
    <mergeCell ref="D107:E107"/>
    <mergeCell ref="P70:T70"/>
    <mergeCell ref="P263:T263"/>
    <mergeCell ref="H5:M5"/>
    <mergeCell ref="A56:Z56"/>
    <mergeCell ref="A27:Z27"/>
    <mergeCell ref="P31:V31"/>
    <mergeCell ref="A154:Z154"/>
    <mergeCell ref="D212:E212"/>
    <mergeCell ref="D6:M6"/>
    <mergeCell ref="P162:T162"/>
    <mergeCell ref="A85:Z85"/>
    <mergeCell ref="P106:T106"/>
    <mergeCell ref="P35:T35"/>
    <mergeCell ref="G17:G18"/>
    <mergeCell ref="A143:Z143"/>
    <mergeCell ref="P171:V171"/>
    <mergeCell ref="A167:Z167"/>
    <mergeCell ref="D80:E80"/>
    <mergeCell ref="A114:O115"/>
    <mergeCell ref="A9:C9"/>
    <mergeCell ref="A127:Z127"/>
    <mergeCell ref="A191:Z191"/>
    <mergeCell ref="D105:E105"/>
    <mergeCell ref="A178:Z178"/>
    <mergeCell ref="D170:E170"/>
    <mergeCell ref="Q6:R6"/>
    <mergeCell ref="Q13:R13"/>
    <mergeCell ref="P201:T201"/>
    <mergeCell ref="V6:W9"/>
    <mergeCell ref="P109:T109"/>
    <mergeCell ref="D186:E186"/>
    <mergeCell ref="Z17:Z18"/>
    <mergeCell ref="H10:M10"/>
    <mergeCell ref="J9:M9"/>
    <mergeCell ref="P30:V30"/>
    <mergeCell ref="H17:H18"/>
    <mergeCell ref="A12:M12"/>
    <mergeCell ref="A68:Z68"/>
    <mergeCell ref="A19:Z19"/>
    <mergeCell ref="A14:M14"/>
    <mergeCell ref="D109:E109"/>
    <mergeCell ref="A139:Z139"/>
    <mergeCell ref="P124:V124"/>
    <mergeCell ref="D36:E36"/>
    <mergeCell ref="P71:V71"/>
    <mergeCell ref="A13:M13"/>
    <mergeCell ref="A25:Z25"/>
    <mergeCell ref="P119:V119"/>
    <mergeCell ref="P186:T186"/>
    <mergeCell ref="V11:W11"/>
    <mergeCell ref="P22:T22"/>
    <mergeCell ref="A61:Z61"/>
    <mergeCell ref="P92:V92"/>
    <mergeCell ref="P257:T257"/>
    <mergeCell ref="P54:V54"/>
    <mergeCell ref="P80:T80"/>
    <mergeCell ref="D194:E194"/>
    <mergeCell ref="P237:V237"/>
    <mergeCell ref="A231:O232"/>
    <mergeCell ref="P242:V242"/>
    <mergeCell ref="A241:O242"/>
    <mergeCell ref="A227:Z227"/>
    <mergeCell ref="A219:O220"/>
    <mergeCell ref="P247:T247"/>
    <mergeCell ref="P41:T41"/>
    <mergeCell ref="D155:E155"/>
    <mergeCell ref="D22:E22"/>
    <mergeCell ref="A222:Z222"/>
    <mergeCell ref="A158:Z158"/>
    <mergeCell ref="P91:T91"/>
    <mergeCell ref="P206:T206"/>
    <mergeCell ref="P220:V220"/>
    <mergeCell ref="A71:O72"/>
    <mergeCell ref="A179:Z179"/>
    <mergeCell ref="AC17:AC18"/>
    <mergeCell ref="O283:O284"/>
    <mergeCell ref="P108:T108"/>
    <mergeCell ref="Q283:Q284"/>
    <mergeCell ref="D89:E89"/>
    <mergeCell ref="P147:V147"/>
    <mergeCell ref="A199:Z199"/>
    <mergeCell ref="A175:O176"/>
    <mergeCell ref="D128:E128"/>
    <mergeCell ref="AB17:AB18"/>
    <mergeCell ref="P269:T269"/>
    <mergeCell ref="P273:V273"/>
    <mergeCell ref="P255:V255"/>
    <mergeCell ref="P34:T34"/>
    <mergeCell ref="P105:T105"/>
    <mergeCell ref="D257:E257"/>
    <mergeCell ref="P270:T270"/>
    <mergeCell ref="D86:E86"/>
    <mergeCell ref="P49:T49"/>
    <mergeCell ref="A110:O111"/>
    <mergeCell ref="P36:T36"/>
    <mergeCell ref="D150:E150"/>
    <mergeCell ref="P107:T107"/>
    <mergeCell ref="A50:O51"/>
    <mergeCell ref="W282:AA282"/>
    <mergeCell ref="P99:V99"/>
    <mergeCell ref="AD283:AD284"/>
    <mergeCell ref="A160:Z160"/>
    <mergeCell ref="P212:T212"/>
    <mergeCell ref="AA17:AA18"/>
    <mergeCell ref="P283:P284"/>
    <mergeCell ref="R283:R284"/>
    <mergeCell ref="P250:V250"/>
    <mergeCell ref="P50:V50"/>
    <mergeCell ref="A233:Z233"/>
    <mergeCell ref="M17:M18"/>
    <mergeCell ref="O17:O18"/>
    <mergeCell ref="P131:V131"/>
    <mergeCell ref="A235:Z235"/>
    <mergeCell ref="P102:T102"/>
    <mergeCell ref="P189:V189"/>
    <mergeCell ref="P196:T196"/>
    <mergeCell ref="P62:T62"/>
    <mergeCell ref="AD17:AF18"/>
    <mergeCell ref="P57:T57"/>
    <mergeCell ref="D62:E62"/>
    <mergeCell ref="A65:O66"/>
    <mergeCell ref="D193:E193"/>
    <mergeCell ref="P172:V172"/>
    <mergeCell ref="A40:Z40"/>
    <mergeCell ref="A67:Z67"/>
    <mergeCell ref="P152:V152"/>
    <mergeCell ref="D140:E140"/>
    <mergeCell ref="D267:E267"/>
    <mergeCell ref="P96:T96"/>
    <mergeCell ref="P90:T90"/>
    <mergeCell ref="P161:T161"/>
    <mergeCell ref="P72:V72"/>
    <mergeCell ref="A251:Z251"/>
    <mergeCell ref="P122:T122"/>
    <mergeCell ref="P43:T43"/>
    <mergeCell ref="P65:V65"/>
    <mergeCell ref="P136:V136"/>
    <mergeCell ref="A126:Z126"/>
    <mergeCell ref="A190:Z190"/>
    <mergeCell ref="D217:E217"/>
    <mergeCell ref="P193:T193"/>
    <mergeCell ref="D58:E58"/>
    <mergeCell ref="A116:Z116"/>
    <mergeCell ref="P253:T253"/>
    <mergeCell ref="A223:Z223"/>
    <mergeCell ref="D247:E247"/>
    <mergeCell ref="AB283:AB284"/>
    <mergeCell ref="P151:V151"/>
    <mergeCell ref="P87:T87"/>
    <mergeCell ref="D201:E201"/>
    <mergeCell ref="P224:T224"/>
    <mergeCell ref="A141:O142"/>
    <mergeCell ref="P89:T89"/>
    <mergeCell ref="P211:T211"/>
    <mergeCell ref="AE283:AE284"/>
    <mergeCell ref="P225:V225"/>
    <mergeCell ref="P88:T88"/>
    <mergeCell ref="A156:O157"/>
    <mergeCell ref="A138:Z138"/>
    <mergeCell ref="P202:V202"/>
    <mergeCell ref="G283:G284"/>
    <mergeCell ref="A94:Z94"/>
    <mergeCell ref="A256:Z256"/>
    <mergeCell ref="P231:V231"/>
    <mergeCell ref="A183:Z183"/>
    <mergeCell ref="A133:Z133"/>
    <mergeCell ref="I283:I284"/>
    <mergeCell ref="P217:T217"/>
    <mergeCell ref="A207:O208"/>
    <mergeCell ref="D269:E269"/>
    <mergeCell ref="AA283:AA284"/>
    <mergeCell ref="AC283:AC284"/>
    <mergeCell ref="T5:U5"/>
    <mergeCell ref="V5:W5"/>
    <mergeCell ref="D246:E246"/>
    <mergeCell ref="A48:Z48"/>
    <mergeCell ref="Q8:R8"/>
    <mergeCell ref="P69:T69"/>
    <mergeCell ref="P140:T140"/>
    <mergeCell ref="P267:T267"/>
    <mergeCell ref="D248:E248"/>
    <mergeCell ref="D104:E104"/>
    <mergeCell ref="P254:V254"/>
    <mergeCell ref="P83:V83"/>
    <mergeCell ref="A82:O83"/>
    <mergeCell ref="A79:Z79"/>
    <mergeCell ref="T6:U9"/>
    <mergeCell ref="A30:O31"/>
    <mergeCell ref="Q10:R10"/>
    <mergeCell ref="D185:E185"/>
    <mergeCell ref="D41:E41"/>
    <mergeCell ref="J283:J284"/>
    <mergeCell ref="P60:V60"/>
    <mergeCell ref="D43:E43"/>
    <mergeCell ref="A59:O60"/>
    <mergeCell ref="A15:M15"/>
    <mergeCell ref="A54:O55"/>
    <mergeCell ref="D75:E75"/>
    <mergeCell ref="D206:E206"/>
    <mergeCell ref="P241:V241"/>
    <mergeCell ref="D91:E91"/>
    <mergeCell ref="D162:E162"/>
    <mergeCell ref="P272:T272"/>
    <mergeCell ref="P210:T210"/>
    <mergeCell ref="A95:Z95"/>
    <mergeCell ref="A32:Z32"/>
    <mergeCell ref="A37:O38"/>
    <mergeCell ref="D113:E113"/>
    <mergeCell ref="P180:T180"/>
    <mergeCell ref="D88:E88"/>
    <mergeCell ref="P117:T117"/>
    <mergeCell ref="D187:E187"/>
    <mergeCell ref="D174:E174"/>
    <mergeCell ref="D64:E64"/>
    <mergeCell ref="P248:T248"/>
    <mergeCell ref="P157:V157"/>
    <mergeCell ref="P213:V213"/>
    <mergeCell ref="A209:Z209"/>
    <mergeCell ref="D106:E106"/>
    <mergeCell ref="A146:O147"/>
    <mergeCell ref="D264:E264"/>
    <mergeCell ref="P275:V275"/>
    <mergeCell ref="A275:O280"/>
    <mergeCell ref="U283:U284"/>
    <mergeCell ref="P198:V198"/>
    <mergeCell ref="A254:O255"/>
    <mergeCell ref="P238:V238"/>
    <mergeCell ref="P264:T264"/>
    <mergeCell ref="A249:O250"/>
    <mergeCell ref="A283:A284"/>
    <mergeCell ref="P258:T258"/>
    <mergeCell ref="S283:S284"/>
    <mergeCell ref="P114:V114"/>
    <mergeCell ref="P203:V203"/>
    <mergeCell ref="A120:Z120"/>
    <mergeCell ref="P276:V276"/>
    <mergeCell ref="A239:Z239"/>
    <mergeCell ref="P214:V214"/>
    <mergeCell ref="P278:V278"/>
    <mergeCell ref="A159:Z159"/>
    <mergeCell ref="A273:O274"/>
    <mergeCell ref="P249:V249"/>
    <mergeCell ref="D1:F1"/>
    <mergeCell ref="P111:V111"/>
    <mergeCell ref="T283:T284"/>
    <mergeCell ref="A234:Z234"/>
    <mergeCell ref="J17:J18"/>
    <mergeCell ref="V283:V284"/>
    <mergeCell ref="L17:L18"/>
    <mergeCell ref="D240:E240"/>
    <mergeCell ref="A244:Z244"/>
    <mergeCell ref="A100:Z100"/>
    <mergeCell ref="A165:Z165"/>
    <mergeCell ref="P125:V125"/>
    <mergeCell ref="P192:T192"/>
    <mergeCell ref="P277:V277"/>
    <mergeCell ref="P113:T113"/>
    <mergeCell ref="A173:Z173"/>
    <mergeCell ref="A229:Z229"/>
    <mergeCell ref="A5:C5"/>
    <mergeCell ref="P51:V51"/>
    <mergeCell ref="P195:T195"/>
    <mergeCell ref="A17:A18"/>
    <mergeCell ref="K17:K18"/>
    <mergeCell ref="C17:C18"/>
    <mergeCell ref="D103:E103"/>
    <mergeCell ref="P268:T268"/>
    <mergeCell ref="P230:T230"/>
    <mergeCell ref="K283:K284"/>
    <mergeCell ref="D211:E211"/>
    <mergeCell ref="P168:T168"/>
    <mergeCell ref="P130:V130"/>
    <mergeCell ref="P97:T97"/>
    <mergeCell ref="P59:V59"/>
    <mergeCell ref="P46:V46"/>
    <mergeCell ref="D230:E230"/>
    <mergeCell ref="D168:E168"/>
    <mergeCell ref="D180:E180"/>
    <mergeCell ref="P53:T53"/>
    <mergeCell ref="A47:Z47"/>
    <mergeCell ref="D161:E161"/>
    <mergeCell ref="D169:E169"/>
    <mergeCell ref="P82:V82"/>
    <mergeCell ref="A121:Z121"/>
    <mergeCell ref="A166:Z166"/>
    <mergeCell ref="P187:T187"/>
    <mergeCell ref="D108:E108"/>
    <mergeCell ref="P176:V176"/>
    <mergeCell ref="D135:E135"/>
    <mergeCell ref="H283:H284"/>
    <mergeCell ref="D5:E5"/>
    <mergeCell ref="P42:T42"/>
    <mergeCell ref="P98:V98"/>
    <mergeCell ref="P259:T259"/>
    <mergeCell ref="D69:E69"/>
    <mergeCell ref="P175:V175"/>
    <mergeCell ref="P240:T240"/>
    <mergeCell ref="P226:V226"/>
    <mergeCell ref="P93:V93"/>
    <mergeCell ref="P164:V164"/>
    <mergeCell ref="A216:Z216"/>
    <mergeCell ref="D145:E145"/>
    <mergeCell ref="D210:E210"/>
    <mergeCell ref="A225:O226"/>
    <mergeCell ref="D87:E87"/>
    <mergeCell ref="P188:V188"/>
    <mergeCell ref="D122:E122"/>
    <mergeCell ref="D224:E224"/>
    <mergeCell ref="P103:T103"/>
    <mergeCell ref="A26:Z26"/>
    <mergeCell ref="D9:E9"/>
    <mergeCell ref="F9:G9"/>
    <mergeCell ref="I17:I18"/>
    <mergeCell ref="P185:T185"/>
    <mergeCell ref="H1:Q1"/>
    <mergeCell ref="P280:V280"/>
    <mergeCell ref="A243:Z243"/>
    <mergeCell ref="P274:V274"/>
    <mergeCell ref="A74:Z74"/>
    <mergeCell ref="D259:E259"/>
    <mergeCell ref="A237:O238"/>
    <mergeCell ref="D28:E28"/>
    <mergeCell ref="A101:Z101"/>
    <mergeCell ref="P184:T184"/>
    <mergeCell ref="D236:E236"/>
    <mergeCell ref="D117:E117"/>
    <mergeCell ref="P17:T18"/>
    <mergeCell ref="P129:T129"/>
    <mergeCell ref="A148:Z148"/>
    <mergeCell ref="P63:T63"/>
    <mergeCell ref="P194:T194"/>
    <mergeCell ref="Q9:R9"/>
    <mergeCell ref="Q11:R11"/>
    <mergeCell ref="A6:C6"/>
    <mergeCell ref="Q12:R12"/>
    <mergeCell ref="P169:T169"/>
    <mergeCell ref="D90:E90"/>
    <mergeCell ref="A130:O131"/>
    <mergeCell ref="D7:M7"/>
    <mergeCell ref="P236:T236"/>
    <mergeCell ref="P156:V156"/>
    <mergeCell ref="P29:T29"/>
    <mergeCell ref="P271:T271"/>
    <mergeCell ref="D81:E81"/>
    <mergeCell ref="P265:T265"/>
    <mergeCell ref="D8:M8"/>
    <mergeCell ref="P44:T44"/>
    <mergeCell ref="P118:V118"/>
    <mergeCell ref="P45:V45"/>
    <mergeCell ref="A98:O99"/>
    <mergeCell ref="A228:Z228"/>
    <mergeCell ref="P266:T266"/>
    <mergeCell ref="P182:V182"/>
    <mergeCell ref="P38:V38"/>
    <mergeCell ref="P246:T246"/>
    <mergeCell ref="P146:V146"/>
    <mergeCell ref="D63:E63"/>
    <mergeCell ref="P181:V181"/>
    <mergeCell ref="D96:E96"/>
    <mergeCell ref="P110:V110"/>
    <mergeCell ref="P15:T16"/>
    <mergeCell ref="A177:Z177"/>
    <mergeCell ref="R1:T1"/>
    <mergeCell ref="P28:T28"/>
    <mergeCell ref="P150:T150"/>
    <mergeCell ref="P115:V115"/>
    <mergeCell ref="P77:V77"/>
    <mergeCell ref="A76:O77"/>
    <mergeCell ref="A200:Z200"/>
    <mergeCell ref="P141:V141"/>
    <mergeCell ref="P37:V37"/>
    <mergeCell ref="P104:T104"/>
    <mergeCell ref="B17:B18"/>
    <mergeCell ref="A73:Z73"/>
    <mergeCell ref="A171:O172"/>
    <mergeCell ref="A92:O93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W17:W18"/>
    <mergeCell ref="A144:Z144"/>
    <mergeCell ref="H9:I9"/>
    <mergeCell ref="P24:V24"/>
    <mergeCell ref="P260:V260"/>
    <mergeCell ref="P155:T155"/>
    <mergeCell ref="D283:D284"/>
    <mergeCell ref="A78:Z78"/>
    <mergeCell ref="A205:Z205"/>
    <mergeCell ref="D70:E70"/>
    <mergeCell ref="D263:E263"/>
    <mergeCell ref="A45:O46"/>
    <mergeCell ref="P86:T86"/>
    <mergeCell ref="D134:E134"/>
    <mergeCell ref="L283:L284"/>
    <mergeCell ref="D258:E258"/>
    <mergeCell ref="P207:V207"/>
    <mergeCell ref="P252:T252"/>
    <mergeCell ref="D253:E253"/>
    <mergeCell ref="P232:V232"/>
    <mergeCell ref="P261:V261"/>
    <mergeCell ref="A215:Z215"/>
    <mergeCell ref="D129:E129"/>
    <mergeCell ref="P279:V279"/>
    <mergeCell ref="C283:C284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7 X192:X196 X206 X210:X212 X217:X218 X224 X236 X240 X246:X248 X263 X268:X27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30 X252 X258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:X186 X201 X253 X257 X259 X264:X267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386</v>
      </c>
      <c r="D6" s="47" t="s">
        <v>387</v>
      </c>
      <c r="E6" s="47"/>
    </row>
    <row r="8" spans="2:8" x14ac:dyDescent="0.2">
      <c r="B8" s="47" t="s">
        <v>19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xjjD1u/+4SKXdj4Zk/PhhK6HANoFGw+zLKujt5/FKdYFodo7qwN3EQfk55BXy3wWw3i3UHbuNVlTA694RwhRaw==" saltValue="UoZe2BsNfXWz2lh9IVeo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2025-11-06T10:32:10Z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