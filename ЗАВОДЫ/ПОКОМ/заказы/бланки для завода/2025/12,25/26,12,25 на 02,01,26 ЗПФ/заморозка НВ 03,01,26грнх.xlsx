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3C9AED-6FAD-4F24-886D-A86E2FDAA2E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P22" i="1"/>
  <c r="H10" i="1"/>
  <c r="A9" i="1"/>
  <c r="A10" i="1" s="1"/>
  <c r="D7" i="1"/>
  <c r="Q6" i="1"/>
  <c r="P2" i="1"/>
  <c r="Y28" i="1" l="1"/>
  <c r="Y35" i="1"/>
  <c r="BN33" i="1"/>
  <c r="Z41" i="1"/>
  <c r="Y57" i="1"/>
  <c r="Y70" i="1"/>
  <c r="Z82" i="1"/>
  <c r="Y93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F9" i="1"/>
  <c r="F10" i="1"/>
  <c r="BN39" i="1"/>
  <c r="BP39" i="1"/>
  <c r="BN53" i="1"/>
  <c r="BN55" i="1"/>
  <c r="Y76" i="1"/>
  <c r="Z76" i="1"/>
  <c r="BN74" i="1"/>
  <c r="BN86" i="1"/>
  <c r="BP86" i="1"/>
  <c r="Y87" i="1"/>
  <c r="BN91" i="1"/>
  <c r="BP91" i="1"/>
  <c r="J9" i="1"/>
  <c r="Z48" i="1"/>
  <c r="BN46" i="1"/>
  <c r="BN60" i="1"/>
  <c r="BP60" i="1"/>
  <c r="Y61" i="1"/>
  <c r="BN64" i="1"/>
  <c r="BP64" i="1"/>
  <c r="Y65" i="1"/>
  <c r="BN68" i="1"/>
  <c r="BP68" i="1"/>
  <c r="BN81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4" i="1"/>
  <c r="Z275" i="1"/>
  <c r="Y272" i="1"/>
  <c r="X273" i="1"/>
  <c r="Y270" i="1"/>
  <c r="B283" i="1" l="1"/>
  <c r="Y273" i="1"/>
  <c r="A283" i="1" s="1"/>
  <c r="C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<sst xmlns="http://schemas.openxmlformats.org/spreadsheetml/2006/main" count="1222" uniqueCount="394">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</sst>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SheetLayoutView="100" workbookViewId="0">
      <selection activeCell="AA134" sqref="AA13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/>
      <c r="I5" s="410"/>
      <c r="J5" s="410"/>
      <c r="K5" s="410"/>
      <c r="L5" s="410"/>
      <c r="M5" s="333"/>
      <c r="N5" s="61"/>
      <c r="P5" s="24" t="s">
        <v>9</v>
      </c>
      <c r="Q5" s="429">
        <v>46025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Суббота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hidden="1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hidden="1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hidden="1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hidden="1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idden="1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0</v>
      </c>
      <c r="Y103" s="270">
        <f>IFERROR(SUM(Y97:Y102),"0")</f>
        <v>0</v>
      </c>
      <c r="Z103" s="270">
        <f>IFERROR(IF(Z97="",0,Z97),"0")+IFERROR(IF(Z98="",0,Z98),"0")+IFERROR(IF(Z99="",0,Z99),"0")+IFERROR(IF(Z100="",0,Z100),"0")+IFERROR(IF(Z101="",0,Z101),"0")+IFERROR(IF(Z102="",0,Z102),"0")</f>
        <v>0</v>
      </c>
      <c r="AA103" s="271"/>
      <c r="AB103" s="271"/>
      <c r="AC103" s="271"/>
    </row>
    <row r="104" spans="1:68" hidden="1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0</v>
      </c>
      <c r="Y104" s="270">
        <f>IFERROR(SUMPRODUCT(Y97:Y102*H97:H102),"0")</f>
        <v>0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idden="1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hidden="1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hidden="1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308</v>
      </c>
      <c r="Y134" s="269">
        <f>IFERROR(IF(X134="","",X134),"")</f>
        <v>308</v>
      </c>
      <c r="Z134" s="36">
        <f>IFERROR(IF(X134="","",X134*0.01788),"")</f>
        <v>5.5070399999999999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1140.7087999999999</v>
      </c>
      <c r="BN134" s="67">
        <f>IFERROR(Y134*I134,"0")</f>
        <v>1140.7087999999999</v>
      </c>
      <c r="BO134" s="67">
        <f>IFERROR(X134/J134,"0")</f>
        <v>4.4000000000000004</v>
      </c>
      <c r="BP134" s="67">
        <f>IFERROR(Y134/J134,"0")</f>
        <v>4.4000000000000004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308</v>
      </c>
      <c r="Y135" s="270">
        <f>IFERROR(SUM(Y133:Y134),"0")</f>
        <v>308</v>
      </c>
      <c r="Z135" s="270">
        <f>IFERROR(IF(Z133="",0,Z133),"0")+IFERROR(IF(Z134="",0,Z134),"0")</f>
        <v>5.5070399999999999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924</v>
      </c>
      <c r="Y136" s="270">
        <f>IFERROR(SUMPRODUCT(Y133:Y134*H133:H134),"0")</f>
        <v>924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126</v>
      </c>
      <c r="Y140" s="269">
        <f>IFERROR(IF(X140="","",X140),"")</f>
        <v>126</v>
      </c>
      <c r="Z140" s="36">
        <f>IFERROR(IF(X140="","",X140*0.01788),"")</f>
        <v>2.2528800000000002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466.65359999999998</v>
      </c>
      <c r="BN140" s="67">
        <f>IFERROR(Y140*I140,"0")</f>
        <v>466.65359999999998</v>
      </c>
      <c r="BO140" s="67">
        <f>IFERROR(X140/J140,"0")</f>
        <v>1.8</v>
      </c>
      <c r="BP140" s="67">
        <f>IFERROR(Y140/J140,"0")</f>
        <v>1.8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126</v>
      </c>
      <c r="Y141" s="270">
        <f>IFERROR(SUM(Y139:Y140),"0")</f>
        <v>126</v>
      </c>
      <c r="Z141" s="270">
        <f>IFERROR(IF(Z139="",0,Z139),"0")+IFERROR(IF(Z140="",0,Z140),"0")</f>
        <v>2.2528800000000002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378</v>
      </c>
      <c r="Y142" s="270">
        <f>IFERROR(SUMPRODUCT(Y139:Y140*H139:H140),"0")</f>
        <v>378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84</v>
      </c>
      <c r="Y145" s="269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225.12</v>
      </c>
      <c r="BN145" s="67">
        <f>IFERROR(Y145*I145,"0")</f>
        <v>225.12</v>
      </c>
      <c r="BO145" s="67">
        <f>IFERROR(X145/J145,"0")</f>
        <v>1.2</v>
      </c>
      <c r="BP145" s="67">
        <f>IFERROR(Y145/J145,"0")</f>
        <v>1.2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56</v>
      </c>
      <c r="Y146" s="269">
        <f>IFERROR(IF(X146="","",X146),"")</f>
        <v>56</v>
      </c>
      <c r="Z146" s="36">
        <f>IFERROR(IF(X146="","",X146*0.01788),"")</f>
        <v>1.0012799999999999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150.08000000000001</v>
      </c>
      <c r="BN146" s="67">
        <f>IFERROR(Y146*I146,"0")</f>
        <v>150.08000000000001</v>
      </c>
      <c r="BO146" s="67">
        <f>IFERROR(X146/J146,"0")</f>
        <v>0.8</v>
      </c>
      <c r="BP146" s="67">
        <f>IFERROR(Y146/J146,"0")</f>
        <v>0.8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140</v>
      </c>
      <c r="Y147" s="270">
        <f>IFERROR(SUM(Y145:Y146),"0")</f>
        <v>140</v>
      </c>
      <c r="Z147" s="270">
        <f>IFERROR(IF(Z145="",0,Z145),"0")+IFERROR(IF(Z146="",0,Z146),"0")</f>
        <v>2.5031999999999996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336</v>
      </c>
      <c r="Y148" s="270">
        <f>IFERROR(SUMPRODUCT(Y145:Y146*H145:H146),"0")</f>
        <v>336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70</v>
      </c>
      <c r="Y151" s="269">
        <f>IFERROR(IF(X151="","",X151),"")</f>
        <v>70</v>
      </c>
      <c r="Z151" s="36">
        <f>IFERROR(IF(X151="","",X151*0.01788),"")</f>
        <v>1.2516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259.25200000000001</v>
      </c>
      <c r="BN151" s="67">
        <f>IFERROR(Y151*I151,"0")</f>
        <v>259.25200000000001</v>
      </c>
      <c r="BO151" s="67">
        <f>IFERROR(X151/J151,"0")</f>
        <v>1</v>
      </c>
      <c r="BP151" s="67">
        <f>IFERROR(Y151/J151,"0")</f>
        <v>1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70</v>
      </c>
      <c r="Y152" s="270">
        <f>IFERROR(SUM(Y151:Y151),"0")</f>
        <v>70</v>
      </c>
      <c r="Z152" s="270">
        <f>IFERROR(IF(Z151="",0,Z151),"0")</f>
        <v>1.2516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210</v>
      </c>
      <c r="Y153" s="270">
        <f>IFERROR(SUMPRODUCT(Y151:Y151*H151:H151),"0")</f>
        <v>210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182</v>
      </c>
      <c r="Y166" s="269">
        <f>IFERROR(IF(X166="","",X166),"")</f>
        <v>182</v>
      </c>
      <c r="Z166" s="36">
        <f>IFERROR(IF(X166="","",X166*0.00941),"")</f>
        <v>1.71262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382.52760000000001</v>
      </c>
      <c r="BN166" s="67">
        <f>IFERROR(Y166*I166,"0")</f>
        <v>382.52760000000001</v>
      </c>
      <c r="BO166" s="67">
        <f>IFERROR(X166/J166,"0")</f>
        <v>1.3</v>
      </c>
      <c r="BP166" s="67">
        <f>IFERROR(Y166/J166,"0")</f>
        <v>1.3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182</v>
      </c>
      <c r="Y167" s="270">
        <f>IFERROR(SUM(Y166:Y166),"0")</f>
        <v>182</v>
      </c>
      <c r="Z167" s="270">
        <f>IFERROR(IF(Z166="",0,Z166),"0")</f>
        <v>1.71262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305.76</v>
      </c>
      <c r="Y168" s="270">
        <f>IFERROR(SUMPRODUCT(Y166:Y166*H166:H166),"0")</f>
        <v>305.76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98</v>
      </c>
      <c r="Y179" s="269">
        <f>IFERROR(IF(X179="","",X179),"")</f>
        <v>98</v>
      </c>
      <c r="Z179" s="36">
        <f>IFERROR(IF(X179="","",X179*0.01788),"")</f>
        <v>1.75224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332.024</v>
      </c>
      <c r="BN179" s="67">
        <f>IFERROR(Y179*I179,"0")</f>
        <v>332.024</v>
      </c>
      <c r="BO179" s="67">
        <f>IFERROR(X179/J179,"0")</f>
        <v>1.4</v>
      </c>
      <c r="BP179" s="67">
        <f>IFERROR(Y179/J179,"0")</f>
        <v>1.4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182</v>
      </c>
      <c r="Y182" s="270">
        <f>IFERROR(SUM(Y179:Y181),"0")</f>
        <v>182</v>
      </c>
      <c r="Z182" s="270">
        <f>IFERROR(IF(Z179="",0,Z179),"0")+IFERROR(IF(Z180="",0,Z180),"0")+IFERROR(IF(Z181="",0,Z181),"0")</f>
        <v>3.2541599999999997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546</v>
      </c>
      <c r="Y183" s="270">
        <f>IFERROR(SUMPRODUCT(Y179:Y181*H179:H181),"0")</f>
        <v>546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264</v>
      </c>
      <c r="Y247" s="269">
        <f>IFERROR(IF(X247="","",X247),"")</f>
        <v>264</v>
      </c>
      <c r="Z247" s="36">
        <f>IFERROR(IF(X247="","",X247*0.0155),"")</f>
        <v>4.0919999999999996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1652.6399999999999</v>
      </c>
      <c r="BN247" s="67">
        <f>IFERROR(Y247*I247,"0")</f>
        <v>1652.6399999999999</v>
      </c>
      <c r="BO247" s="67">
        <f>IFERROR(X247/J247,"0")</f>
        <v>3.1428571428571428</v>
      </c>
      <c r="BP247" s="67">
        <f>IFERROR(Y247/J247,"0")</f>
        <v>3.1428571428571428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264</v>
      </c>
      <c r="Y249" s="270">
        <f>IFERROR(SUM(Y247:Y248),"0")</f>
        <v>264</v>
      </c>
      <c r="Z249" s="270">
        <f>IFERROR(IF(Z247="",0,Z247),"0")+IFERROR(IF(Z248="",0,Z248),"0")</f>
        <v>4.0919999999999996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1584</v>
      </c>
      <c r="Y250" s="270">
        <f>IFERROR(SUMPRODUCT(Y247:Y248*H247:H248),"0")</f>
        <v>1584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630</v>
      </c>
      <c r="Y259" s="269">
        <f t="shared" si="18"/>
        <v>630</v>
      </c>
      <c r="Z259" s="36">
        <f>IFERROR(IF(X259="","",X259*0.00936),"")</f>
        <v>5.8967999999999998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2451.96</v>
      </c>
      <c r="BN259" s="67">
        <f t="shared" si="20"/>
        <v>2451.96</v>
      </c>
      <c r="BO259" s="67">
        <f t="shared" si="21"/>
        <v>5</v>
      </c>
      <c r="BP259" s="67">
        <f t="shared" si="22"/>
        <v>5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228</v>
      </c>
      <c r="Y260" s="269">
        <f t="shared" si="18"/>
        <v>228</v>
      </c>
      <c r="Z260" s="36">
        <f>IFERROR(IF(X260="","",X260*0.0155),"")</f>
        <v>3.5339999999999998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1307.5800000000002</v>
      </c>
      <c r="BN260" s="67">
        <f t="shared" si="20"/>
        <v>1307.5800000000002</v>
      </c>
      <c r="BO260" s="67">
        <f t="shared" si="21"/>
        <v>2.7142857142857144</v>
      </c>
      <c r="BP260" s="67">
        <f t="shared" si="22"/>
        <v>2.7142857142857144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224</v>
      </c>
      <c r="Y261" s="269">
        <f t="shared" si="18"/>
        <v>224</v>
      </c>
      <c r="Z261" s="36">
        <f t="shared" ref="Z261:Z266" si="23">IFERROR(IF(X261="","",X261*0.00936),"")</f>
        <v>2.0966399999999998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715.00800000000004</v>
      </c>
      <c r="BN261" s="67">
        <f t="shared" si="20"/>
        <v>715.00800000000004</v>
      </c>
      <c r="BO261" s="67">
        <f t="shared" si="21"/>
        <v>1.7777777777777777</v>
      </c>
      <c r="BP261" s="67">
        <f t="shared" si="22"/>
        <v>1.7777777777777777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630</v>
      </c>
      <c r="Y262" s="269">
        <f t="shared" si="18"/>
        <v>630</v>
      </c>
      <c r="Z262" s="36">
        <f t="shared" si="23"/>
        <v>5.8967999999999998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2451.96</v>
      </c>
      <c r="BN262" s="67">
        <f t="shared" si="20"/>
        <v>2451.96</v>
      </c>
      <c r="BO262" s="67">
        <f t="shared" si="21"/>
        <v>5</v>
      </c>
      <c r="BP262" s="67">
        <f t="shared" si="22"/>
        <v>5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14</v>
      </c>
      <c r="Y263" s="269">
        <f t="shared" si="18"/>
        <v>14</v>
      </c>
      <c r="Z263" s="36">
        <f t="shared" si="23"/>
        <v>0.13103999999999999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54.488</v>
      </c>
      <c r="BN263" s="67">
        <f t="shared" si="20"/>
        <v>54.488</v>
      </c>
      <c r="BO263" s="67">
        <f t="shared" si="21"/>
        <v>0.1111111111111111</v>
      </c>
      <c r="BP263" s="67">
        <f t="shared" si="22"/>
        <v>0.1111111111111111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1726</v>
      </c>
      <c r="Y268" s="270">
        <f>IFERROR(SUM(Y258:Y267),"0")</f>
        <v>1726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17.555279999999996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6639.8</v>
      </c>
      <c r="Y269" s="270">
        <f>IFERROR(SUMPRODUCT(Y258:Y267*H258:H267),"0")</f>
        <v>6639.8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10923.560000000001</v>
      </c>
      <c r="Y270" s="270">
        <f>IFERROR(Y29+Y35+Y42+Y49+Y57+Y62+Y66+Y71+Y77+Y83+Y88+Y94+Y104+Y110+Y122+Y126+Y130+Y136+Y142+Y148+Y153+Y158+Y163+Y168+Y175+Y183+Y187+Y193+Y201+Y206+Y211+Y216+Y222+Y228+Y234+Y238+Y245+Y250+Y256+Y269,"0")</f>
        <v>10923.560000000001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11874.593999999999</v>
      </c>
      <c r="Y271" s="270">
        <f>IFERROR(SUM(BN22:BN267),"0")</f>
        <v>11874.593999999999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31</v>
      </c>
      <c r="Y272" s="38">
        <f>ROUNDUP(SUM(BP22:BP267),0)</f>
        <v>31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12649.593999999999</v>
      </c>
      <c r="Y273" s="270">
        <f>GrossWeightTotalR+PalletQtyTotalR*25</f>
        <v>12649.593999999999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2998</v>
      </c>
      <c r="Y274" s="270">
        <f>IFERROR(Y28+Y34+Y41+Y48+Y56+Y61+Y65+Y70+Y76+Y82+Y87+Y93+Y103+Y109+Y121+Y125+Y129+Y135+Y141+Y147+Y152+Y157+Y162+Y167+Y174+Y182+Y186+Y192+Y200+Y205+Y210+Y215+Y221+Y227+Y233+Y237+Y244+Y249+Y255+Y268,"0")</f>
        <v>2998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38.128779999999992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0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924</v>
      </c>
      <c r="P280" s="46">
        <f>IFERROR(X139*H139,"0")+IFERROR(X140*H140,"0")</f>
        <v>378</v>
      </c>
      <c r="Q280" s="46">
        <f>IFERROR(X145*H145,"0")+IFERROR(X146*H146,"0")</f>
        <v>336</v>
      </c>
      <c r="R280" s="46">
        <f>IFERROR(X151*H151,"0")</f>
        <v>210</v>
      </c>
      <c r="S280" s="46">
        <f>IFERROR(X156*H156,"0")</f>
        <v>0</v>
      </c>
      <c r="T280" s="46">
        <f>IFERROR(X161*H161,"0")</f>
        <v>0</v>
      </c>
      <c r="U280" s="46">
        <f>IFERROR(X166*H166,"0")</f>
        <v>305.76</v>
      </c>
      <c r="V280" s="46">
        <f>IFERROR(X172*H172,"0")+IFERROR(X173*H173,"0")</f>
        <v>0</v>
      </c>
      <c r="W280" s="46">
        <f>IFERROR(X179*H179,"0")+IFERROR(X180*H180,"0")+IFERROR(X181*H181,"0")+IFERROR(X185*H185,"0")</f>
        <v>546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8223.7999999999993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0</v>
      </c>
      <c r="B283" s="60">
        <f>SUMPRODUCT(--(BB:BB="ПГП"),--(W:W="кор"),H:H,Y:Y)+SUMPRODUCT(--(BB:BB="ПГП"),--(W:W="кг"),Y:Y)</f>
        <v>10923.56</v>
      </c>
      <c r="C283" s="60">
        <f>SUMPRODUCT(--(BB:BB="КИЗ"),--(W:W="кор"),H:H,Y:Y)+SUMPRODUCT(--(BB:BB="КИЗ"),--(W:W="кг"),Y:Y)</f>
        <v>0</v>
      </c>
    </row>
  </sheetData>
  <sheetProtection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84,00"/>
        <filter val="1 726,00"/>
        <filter val="10 923,56"/>
        <filter val="11 874,59"/>
        <filter val="12 649,59"/>
        <filter val="126,00"/>
        <filter val="14,00"/>
        <filter val="140,00"/>
        <filter val="182,00"/>
        <filter val="2 998,00"/>
        <filter val="210,00"/>
        <filter val="224,00"/>
        <filter val="228,00"/>
        <filter val="264,00"/>
        <filter val="305,76"/>
        <filter val="308,00"/>
        <filter val="31"/>
        <filter val="336,00"/>
        <filter val="378,00"/>
        <filter val="546,00"/>
        <filter val="56,00"/>
        <filter val="6 639,80"/>
        <filter val="630,00"/>
        <filter val="70,00"/>
        <filter val="84,00"/>
        <filter val="924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