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D546007-4CF4-4363-8759-3EDAF1548F2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O266" i="1"/>
  <c r="BM266" i="1"/>
  <c r="Z266" i="1"/>
  <c r="Y266" i="1"/>
  <c r="BP266" i="1" s="1"/>
  <c r="P266" i="1"/>
  <c r="BO265" i="1"/>
  <c r="BM265" i="1"/>
  <c r="Z265" i="1"/>
  <c r="Y265" i="1"/>
  <c r="P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BO260" i="1"/>
  <c r="BM260" i="1"/>
  <c r="Z260" i="1"/>
  <c r="Y260" i="1"/>
  <c r="BP260" i="1" s="1"/>
  <c r="P260" i="1"/>
  <c r="BO259" i="1"/>
  <c r="BM259" i="1"/>
  <c r="Z259" i="1"/>
  <c r="Y259" i="1"/>
  <c r="P259" i="1"/>
  <c r="BO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O248" i="1"/>
  <c r="BM248" i="1"/>
  <c r="Z248" i="1"/>
  <c r="Y248" i="1"/>
  <c r="BP248" i="1" s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O214" i="1"/>
  <c r="BM214" i="1"/>
  <c r="Z214" i="1"/>
  <c r="Y214" i="1"/>
  <c r="BP214" i="1" s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BO195" i="1"/>
  <c r="BM195" i="1"/>
  <c r="Z195" i="1"/>
  <c r="Z200" i="1" s="1"/>
  <c r="Y195" i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O181" i="1"/>
  <c r="BM181" i="1"/>
  <c r="Z181" i="1"/>
  <c r="Y181" i="1"/>
  <c r="BP181" i="1" s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P128" i="1"/>
  <c r="X126" i="1"/>
  <c r="X125" i="1"/>
  <c r="BO124" i="1"/>
  <c r="BM124" i="1"/>
  <c r="Z124" i="1"/>
  <c r="Z125" i="1" s="1"/>
  <c r="Y124" i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Y113" i="1"/>
  <c r="Y122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Y97" i="1"/>
  <c r="Y104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D7" i="1"/>
  <c r="Q6" i="1"/>
  <c r="P2" i="1"/>
  <c r="Y35" i="1" l="1"/>
  <c r="BN33" i="1"/>
  <c r="Y48" i="1"/>
  <c r="Z48" i="1"/>
  <c r="BN46" i="1"/>
  <c r="Z56" i="1"/>
  <c r="BN60" i="1"/>
  <c r="BP60" i="1"/>
  <c r="Y61" i="1"/>
  <c r="BN64" i="1"/>
  <c r="BP64" i="1"/>
  <c r="Y65" i="1"/>
  <c r="Z70" i="1"/>
  <c r="BN68" i="1"/>
  <c r="Y83" i="1"/>
  <c r="BN81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N254" i="1"/>
  <c r="Y268" i="1"/>
  <c r="A10" i="1"/>
  <c r="F10" i="1"/>
  <c r="F9" i="1"/>
  <c r="Y28" i="1"/>
  <c r="BP22" i="1"/>
  <c r="BN22" i="1"/>
  <c r="BP24" i="1"/>
  <c r="BN24" i="1"/>
  <c r="BP26" i="1"/>
  <c r="BN26" i="1"/>
  <c r="Y41" i="1"/>
  <c r="BP39" i="1"/>
  <c r="BN39" i="1"/>
  <c r="BP53" i="1"/>
  <c r="BN53" i="1"/>
  <c r="BP55" i="1"/>
  <c r="BN55" i="1"/>
  <c r="BP74" i="1"/>
  <c r="BN74" i="1"/>
  <c r="Y88" i="1"/>
  <c r="Y87" i="1"/>
  <c r="BP86" i="1"/>
  <c r="BN86" i="1"/>
  <c r="Y130" i="1"/>
  <c r="Y129" i="1"/>
  <c r="BP128" i="1"/>
  <c r="BN128" i="1"/>
  <c r="J9" i="1"/>
  <c r="Y93" i="1"/>
  <c r="BP91" i="1"/>
  <c r="BN91" i="1"/>
  <c r="Y109" i="1"/>
  <c r="BP107" i="1"/>
  <c r="BN107" i="1"/>
  <c r="Y126" i="1"/>
  <c r="Y125" i="1"/>
  <c r="BP124" i="1"/>
  <c r="BN124" i="1"/>
  <c r="Y135" i="1"/>
  <c r="BP133" i="1"/>
  <c r="BN133" i="1"/>
  <c r="BP145" i="1"/>
  <c r="BN145" i="1"/>
  <c r="Y201" i="1"/>
  <c r="Z28" i="1"/>
  <c r="X274" i="1"/>
  <c r="Z34" i="1"/>
  <c r="Z41" i="1"/>
  <c r="Y57" i="1"/>
  <c r="Y70" i="1"/>
  <c r="Y76" i="1"/>
  <c r="Z76" i="1"/>
  <c r="Z82" i="1"/>
  <c r="Z93" i="1"/>
  <c r="Z103" i="1"/>
  <c r="Z109" i="1"/>
  <c r="Z121" i="1"/>
  <c r="Z135" i="1"/>
  <c r="Z147" i="1"/>
  <c r="Z174" i="1"/>
  <c r="Z182" i="1"/>
  <c r="BN179" i="1"/>
  <c r="BP179" i="1"/>
  <c r="BN181" i="1"/>
  <c r="BN196" i="1"/>
  <c r="BN198" i="1"/>
  <c r="BN214" i="1"/>
  <c r="BN248" i="1"/>
  <c r="Y256" i="1"/>
  <c r="BN258" i="1"/>
  <c r="BP258" i="1"/>
  <c r="BN260" i="1"/>
  <c r="BN262" i="1"/>
  <c r="BN264" i="1"/>
  <c r="BN266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1" i="1" l="1"/>
  <c r="Y274" i="1"/>
  <c r="Z275" i="1"/>
  <c r="Y272" i="1"/>
  <c r="X273" i="1"/>
  <c r="Y270" i="1"/>
  <c r="B283" i="1" l="1"/>
  <c r="Y273" i="1"/>
  <c r="A283" i="1" s="1"/>
  <c r="C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<sst xmlns="http://schemas.openxmlformats.org/spreadsheetml/2006/main" count="1223" uniqueCount="395">
  <si>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</si>
  <si>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</si>
  <si>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</si>
  <si>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</si>
  <si>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</si>
  <si>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</si>
  <si>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</si>
  <si>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</si>
  <si>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</si>
  <si>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</si>
  <si>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</si>
  <si>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</si>
  <si>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</si>
  <si>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</si>
  <si>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</si>
  <si>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</si>
  <si>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</si>
  <si>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</si>
  <si>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</si>
  <si>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</si>
  <si>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</si>
  <si>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</si>
  <si>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</si>
  <si>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</si>
  <si>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</si>
  <si>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</si>
  <si>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</si>
  <si>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</si>
  <si>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</si>
  <si>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</si>
  <si>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</si>
  <si>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</si>
  <si>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</si>
  <si>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</si>
  <si>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</si>
  <si>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</si>
  <si>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</si>
  <si>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</si>
  <si>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</si>
  <si>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</si>
  <si>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</si>
  <si>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</si>
  <si>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</si>
  <si>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</si>
  <si>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</si>
  <si>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</si>
  <si>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</si>
  <si>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</si>
  <si>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</si>
  <si>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</si>
  <si>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</si>
  <si>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</si>
  <si>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</si>
  <si>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</si>
  <si>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</si>
  <si>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</si>
  <si>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</si>
  <si>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</si>
  <si>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</si>
  <si>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</si>
  <si>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</si>
  <si>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</si>
  <si>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</si>
  <si>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</si>
  <si>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</si>
  <si>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</si>
  <si>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</si>
  <si>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</si>
  <si>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</si>
  <si>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</si>
  <si>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</si>
  <si>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</si>
  <si>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</si>
  <si>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</si>
  <si>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</si>
  <si>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</si>
  <si>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</si>
  <si>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</si>
  <si>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</si>
  <si>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</si>
  <si>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</si>
  <si>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</si>
  <si>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</si>
  <si>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</si>
  <si>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</si>
  <si>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</si>
  <si>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</si>
  <si>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</si>
  <si>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</si>
  <si>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</si>
  <si>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</si>
  <si>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</si>
  <si>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</si>
  <si>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</si>
  <si>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</si>
  <si>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</si>
  <si>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</si>
  <si>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</si>
  <si>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</si>
  <si>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</si>
  <si>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</si>
  <si>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</si>
  <si>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</si>
  <si>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</si>
  <si>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</si>
  <si>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</si>
  <si>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</si>
  <si>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</si>
  <si>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</si>
  <si>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</si>
  <si>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</si>
  <si>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</si>
  <si>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</si>
  <si>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</si>
  <si>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</si>
  <si>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</si>
  <si>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</si>
  <si>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</si>
  <si>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</si>
  <si>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</si>
  <si>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</si>
  <si>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</si>
  <si>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</si>
  <si>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</si>
  <si>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</si>
  <si>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</si>
  <si>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</si>
  <si>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</si>
  <si>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</si>
  <si>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</si>
  <si>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</si>
  <si>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</si>
  <si>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</si>
  <si>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</si>
  <si>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</si>
  <si>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</si>
  <si>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</si>
  <si>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</si>
  <si>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</si>
  <si>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</si>
  <si>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</si>
  <si>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</si>
  <si>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</si>
  <si>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</si>
  <si>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</si>
  <si>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</si>
  <si>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</si>
  <si>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</si>
  <si>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</si>
  <si>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</si>
  <si>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</si>
  <si>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</si>
  <si>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</si>
  <si>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</si>
  <si>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</si>
  <si>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</si>
  <si>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</si>
  <si>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</si>
  <si>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</si>
  <si>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</si>
  <si>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</si>
  <si>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</si>
  <si>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</si>
  <si>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</si>
  <si>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</si>
  <si>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</si>
  <si>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</si>
  <si>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</si>
  <si>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</si>
  <si>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</si>
  <si>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</si>
  <si>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</si>
  <si>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</si>
  <si>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</si>
  <si>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</si>
  <si>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</si>
  <si>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</si>
  <si>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</si>
  <si>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</si>
  <si>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</si>
  <si>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</si>
  <si>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</si>
  <si>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</si>
  <si>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</si>
  <si>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</si>
  <si>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</si>
  <si>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</si>
  <si>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</si>
  <si>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</si>
  <si>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</si>
  <si>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</si>
  <si>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</si>
  <si>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</si>
  <si>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</si>
  <si>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</si>
  <si>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</si>
  <si>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</si>
  <si>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</si>
  <si>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</si>
  <si>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</si>
  <si>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</si>
  <si>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</si>
  <si>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</si>
  <si>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</si>
  <si>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</si>
  <si>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</si>
  <si>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</si>
  <si>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</si>
  <si>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</si>
  <si>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</si>
  <si>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</si>
  <si>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</si>
  <si>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</si>
  <si>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</si>
  <si>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</si>
  <si>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</si>
  <si>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</si>
  <si>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</si>
  <si>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</si>
  <si>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</si>
  <si>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</si>
  <si>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</si>
  <si>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</si>
  <si>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</si>
  <si>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</si>
  <si>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</si>
  <si>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</si>
  <si>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</si>
  <si>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</si>
  <si>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</si>
  <si>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</si>
  <si>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</si>
  <si>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</si>
  <si>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</si>
  <si>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</si>
  <si>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</si>
  <si>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</si>
  <si>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</si>
  <si>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</si>
  <si>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</si>
  <si>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</si>
  <si>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</si>
  <si>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</si>
  <si>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</si>
  <si>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</si>
  <si>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</si>
  <si>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</si>
  <si>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</si>
  <si>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</si>
  <si>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</si>
  <si>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</si>
  <si>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</si>
  <si>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</si>
  <si>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</si>
  <si>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</si>
  <si>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</si>
  <si>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</si>
  <si>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</si>
  <si>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</si>
  <si>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</si>
  <si>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</si>
  <si>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</si>
  <si>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</si>
  <si>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</si>
  <si>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</si>
  <si>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</si>
  <si>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</si>
  <si>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</si>
  <si>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</si>
  <si>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</si>
  <si>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</si>
  <si>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</si>
  <si>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</si>
  <si>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</si>
  <si>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</si>
  <si>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</si>
  <si>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</si>
  <si>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</si>
  <si>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</si>
  <si>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</si>
  <si>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</si>
  <si>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</si>
  <si>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</si>
  <si>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</si>
  <si>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</si>
  <si>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</si>
  <si>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</si>
  <si>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</si>
  <si>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</si>
  <si>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</si>
  <si>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</si>
  <si>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</si>
  <si>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</si>
  <si>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</si>
  <si>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</si>
  <si>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</si>
  <si>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</si>
  <si>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</si>
  <si>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</si>
  <si>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</si>
  <si>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</si>
  <si>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</si>
  <si>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</si>
  <si>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</si>
  <si>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</si>
  <si>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</si>
  <si>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</si>
  <si>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</si>
  <si>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</si>
  <si>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</si>
  <si>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</si>
  <si>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</si>
  <si>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</si>
  <si>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</si>
  <si>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</si>
  <si>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</si>
  <si>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</si>
  <si>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</si>
  <si>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</si>
  <si>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</si>
  <si>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</si>
  <si>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</si>
  <si>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</si>
  <si>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</si>
  <si>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</si>
  <si>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</si>
  <si>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</si>
  <si>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</si>
  <si>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</si>
  <si>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</si>
  <si>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</si>
  <si>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</si>
  <si>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</si>
  <si>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</si>
  <si>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</si>
  <si>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</si>
  <si>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</si>
  <si>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</si>
  <si>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</si>
  <si>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</si>
  <si>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</si>
  <si>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</si>
  <si>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</si>
  <si>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</si>
  <si>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</si>
  <si>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</si>
  <si>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</si>
  <si>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</si>
  <si>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</si>
  <si>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</si>
  <si>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</si>
  <si>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</si>
  <si>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</si>
  <si>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</si>
  <si>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</si>
  <si>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</si>
  <si>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</si>
  <si>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</si>
  <si>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</si>
  <si>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</si>
  <si>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</si>
  <si>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</si>
  <si>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</si>
  <si>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</si>
  <si>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</si>
  <si>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</si>
  <si>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</si>
  <si>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</si>
  <si>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</si>
  <si>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</si>
  <si>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</si>
  <si>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</si>
  <si>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</si>
  <si>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</si>
  <si>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</si>
  <si>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</si>
  <si>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</si>
  <si>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</si>
  <si>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</si>
  <si>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</si>
  <si>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</si>
  <si>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</si>
  <si>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</si>
  <si>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</si>
  <si>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</si>
  <si>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</si>
  <si>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</si>
  <si>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</si>
  <si>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</si>
  <si>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</si>
  <si>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</si>
  <si>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</si>
  <si>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</si>
  <si>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</si>
  <si>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21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</si>
</sst>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6" sqref="AA2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46013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12</v>
      </c>
      <c r="Y28" s="270">
        <f>IFERROR(SUM(Y22:Y27),"0")</f>
        <v>12</v>
      </c>
      <c r="Z28" s="270">
        <f>IFERROR(IF(Z22="",0,Z22),"0")+IFERROR(IF(Z23="",0,Z23),"0")+IFERROR(IF(Z24="",0,Z24),"0")+IFERROR(IF(Z25="",0,Z25),"0")+IFERROR(IF(Z26="",0,Z26),"0")+IFERROR(IF(Z27="",0,Z27),"0")</f>
        <v>0.186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86.4</v>
      </c>
      <c r="Y29" s="270">
        <f>IFERROR(SUMPRODUCT(Y22:Y27*H22:H27),"0")</f>
        <v>86.4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112</v>
      </c>
      <c r="Y39" s="269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98</v>
      </c>
      <c r="Y40" s="269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210</v>
      </c>
      <c r="Y41" s="270">
        <f>IFERROR(SUM(Y39:Y40),"0")</f>
        <v>210</v>
      </c>
      <c r="Z41" s="270">
        <f>IFERROR(IF(Z39="",0,Z39),"0")+IFERROR(IF(Z40="",0,Z40),"0")</f>
        <v>1.9761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315</v>
      </c>
      <c r="Y42" s="270">
        <f>IFERROR(SUMPRODUCT(Y39:Y40*H39:H40),"0")</f>
        <v>315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24</v>
      </c>
      <c r="Y45" s="269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36</v>
      </c>
      <c r="Y47" s="26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72</v>
      </c>
      <c r="Y48" s="270">
        <f>IFERROR(SUM(Y45:Y47),"0")</f>
        <v>72</v>
      </c>
      <c r="Z48" s="270">
        <f>IFERROR(IF(Z45="",0,Z45),"0")+IFERROR(IF(Z46="",0,Z46),"0")+IFERROR(IF(Z47="",0,Z47),"0")</f>
        <v>1.1160000000000001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403.19999999999993</v>
      </c>
      <c r="Y49" s="270">
        <f>IFERROR(SUMPRODUCT(Y45:Y47*H45:H47),"0")</f>
        <v>403.19999999999993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156</v>
      </c>
      <c r="Y52" s="269">
        <f>IFERROR(IF(X52="","",X52),"")</f>
        <v>156</v>
      </c>
      <c r="Z52" s="36">
        <f>IFERROR(IF(X52="","",X52*0.0155),"")</f>
        <v>2.4180000000000001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1138.8</v>
      </c>
      <c r="BN52" s="67">
        <f>IFERROR(Y52*I52,"0")</f>
        <v>1138.8</v>
      </c>
      <c r="BO52" s="67">
        <f>IFERROR(X52/J52,"0")</f>
        <v>1.8571428571428572</v>
      </c>
      <c r="BP52" s="67">
        <f>IFERROR(Y52/J52,"0")</f>
        <v>1.8571428571428572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180</v>
      </c>
      <c r="Y56" s="270">
        <f>IFERROR(SUM(Y52:Y55),"0")</f>
        <v>180</v>
      </c>
      <c r="Z56" s="270">
        <f>IFERROR(IF(Z52="",0,Z52),"0")+IFERROR(IF(Z53="",0,Z53),"0")+IFERROR(IF(Z54="",0,Z54),"0")+IFERROR(IF(Z55="",0,Z55),"0")</f>
        <v>2.79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1260</v>
      </c>
      <c r="Y57" s="270">
        <f>IFERROR(SUMPRODUCT(Y52:Y55*H52:H55),"0")</f>
        <v>1260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98</v>
      </c>
      <c r="Y91" s="269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140</v>
      </c>
      <c r="Y93" s="270">
        <f>IFERROR(SUM(Y91:Y92),"0")</f>
        <v>140</v>
      </c>
      <c r="Z93" s="270">
        <f>IFERROR(IF(Z91="",0,Z91),"0")+IFERROR(IF(Z92="",0,Z92),"0")</f>
        <v>2.5032000000000001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504</v>
      </c>
      <c r="Y94" s="270">
        <f>IFERROR(SUMPRODUCT(Y91:Y92*H91:H92),"0")</f>
        <v>504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42</v>
      </c>
      <c r="Y99" s="269">
        <f t="shared" si="6"/>
        <v>42</v>
      </c>
      <c r="Z99" s="36">
        <f t="shared" si="7"/>
        <v>0.75095999999999996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84</v>
      </c>
      <c r="Y100" s="269">
        <f t="shared" si="6"/>
        <v>84</v>
      </c>
      <c r="Z100" s="36">
        <f t="shared" si="7"/>
        <v>1.5019199999999999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210</v>
      </c>
      <c r="Y103" s="270">
        <f>IFERROR(SUM(Y97:Y102),"0")</f>
        <v>210</v>
      </c>
      <c r="Z103" s="270">
        <f>IFERROR(IF(Z97="",0,Z97),"0")+IFERROR(IF(Z98="",0,Z98),"0")+IFERROR(IF(Z99="",0,Z99),"0")+IFERROR(IF(Z100="",0,Z100),"0")+IFERROR(IF(Z101="",0,Z101),"0")+IFERROR(IF(Z102="",0,Z102),"0")</f>
        <v>3.7548000000000004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604.79999999999995</v>
      </c>
      <c r="Y104" s="270">
        <f>IFERROR(SUMPRODUCT(Y97:Y102*H97:H102),"0")</f>
        <v>604.79999999999995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idden="1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hidden="1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36</v>
      </c>
      <c r="Y116" s="269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96</v>
      </c>
      <c r="Y119" s="269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144</v>
      </c>
      <c r="Y121" s="270">
        <f>IFERROR(SUM(Y113:Y120),"0")</f>
        <v>144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2.2320000000000002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1008</v>
      </c>
      <c r="Y122" s="270">
        <f>IFERROR(SUMPRODUCT(Y113:Y120*H113:H120),"0")</f>
        <v>1008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112</v>
      </c>
      <c r="Y133" s="269">
        <f>IFERROR(IF(X133="","",X133),"")</f>
        <v>112</v>
      </c>
      <c r="Z133" s="36">
        <f>IFERROR(IF(X133="","",X133*0.01788),"")</f>
        <v>2.0025599999999999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414.80319999999995</v>
      </c>
      <c r="BN133" s="67">
        <f>IFERROR(Y133*I133,"0")</f>
        <v>414.80319999999995</v>
      </c>
      <c r="BO133" s="67">
        <f>IFERROR(X133/J133,"0")</f>
        <v>1.6</v>
      </c>
      <c r="BP133" s="67">
        <f>IFERROR(Y133/J133,"0")</f>
        <v>1.6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155.55119999999999</v>
      </c>
      <c r="BN134" s="67">
        <f>IFERROR(Y134*I134,"0")</f>
        <v>155.55119999999999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154</v>
      </c>
      <c r="Y135" s="270">
        <f>IFERROR(SUM(Y133:Y134),"0")</f>
        <v>154</v>
      </c>
      <c r="Z135" s="270">
        <f>IFERROR(IF(Z133="",0,Z133),"0")+IFERROR(IF(Z134="",0,Z134),"0")</f>
        <v>2.75352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462</v>
      </c>
      <c r="Y136" s="270">
        <f>IFERROR(SUMPRODUCT(Y133:Y134*H133:H134),"0")</f>
        <v>462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56</v>
      </c>
      <c r="Y141" s="270">
        <f>IFERROR(SUM(Y139:Y140),"0")</f>
        <v>56</v>
      </c>
      <c r="Z141" s="270">
        <f>IFERROR(IF(Z139="",0,Z139),"0")+IFERROR(IF(Z140="",0,Z140),"0")</f>
        <v>1.0012799999999999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168</v>
      </c>
      <c r="Y142" s="270">
        <f>IFERROR(SUMPRODUCT(Y139:Y140*H139:H140),"0")</f>
        <v>168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42</v>
      </c>
      <c r="Y145" s="26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14</v>
      </c>
      <c r="Y146" s="269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14</v>
      </c>
      <c r="Y166" s="269">
        <f>IFERROR(IF(X166="","",X166),"")</f>
        <v>14</v>
      </c>
      <c r="Z166" s="36">
        <f>IFERROR(IF(X166="","",X166*0.00941),"")</f>
        <v>0.13174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29.425199999999997</v>
      </c>
      <c r="BN166" s="67">
        <f>IFERROR(Y166*I166,"0")</f>
        <v>29.425199999999997</v>
      </c>
      <c r="BO166" s="67">
        <f>IFERROR(X166/J166,"0")</f>
        <v>0.1</v>
      </c>
      <c r="BP166" s="67">
        <f>IFERROR(Y166/J166,"0")</f>
        <v>0.1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14</v>
      </c>
      <c r="Y167" s="270">
        <f>IFERROR(SUM(Y166:Y166),"0")</f>
        <v>14</v>
      </c>
      <c r="Z167" s="270">
        <f>IFERROR(IF(Z166="",0,Z166),"0")</f>
        <v>0.13174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23.52</v>
      </c>
      <c r="Y168" s="270">
        <f>IFERROR(SUMPRODUCT(Y166:Y166*H166:H166),"0")</f>
        <v>23.52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24</v>
      </c>
      <c r="Y173" s="269">
        <f>IFERROR(IF(X173="","",X173),"")</f>
        <v>24</v>
      </c>
      <c r="Z173" s="36">
        <f>IFERROR(IF(X173="","",X173*0.00866),"")</f>
        <v>0.20783999999999997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125.11679999999998</v>
      </c>
      <c r="BN173" s="67">
        <f>IFERROR(Y173*I173,"0")</f>
        <v>125.11679999999998</v>
      </c>
      <c r="BO173" s="67">
        <f>IFERROR(X173/J173,"0")</f>
        <v>0.16666666666666666</v>
      </c>
      <c r="BP173" s="67">
        <f>IFERROR(Y173/J173,"0")</f>
        <v>0.16666666666666666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24</v>
      </c>
      <c r="Y174" s="270">
        <f>IFERROR(SUM(Y172:Y173),"0")</f>
        <v>24</v>
      </c>
      <c r="Z174" s="270">
        <f>IFERROR(IF(Z172="",0,Z172),"0")+IFERROR(IF(Z173="",0,Z173),"0")</f>
        <v>0.20783999999999997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120</v>
      </c>
      <c r="Y175" s="270">
        <f>IFERROR(SUMPRODUCT(Y172:Y173*H172:H173),"0")</f>
        <v>120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56</v>
      </c>
      <c r="Y180" s="269">
        <f>IFERROR(IF(X180="","",X180),"")</f>
        <v>56</v>
      </c>
      <c r="Z180" s="36">
        <f>IFERROR(IF(X180="","",X180*0.01788),"")</f>
        <v>1.0012799999999999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189.72800000000001</v>
      </c>
      <c r="BN180" s="67">
        <f>IFERROR(Y180*I180,"0")</f>
        <v>189.72800000000001</v>
      </c>
      <c r="BO180" s="67">
        <f>IFERROR(X180/J180,"0")</f>
        <v>0.8</v>
      </c>
      <c r="BP180" s="67">
        <f>IFERROR(Y180/J180,"0")</f>
        <v>0.8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14</v>
      </c>
      <c r="Y181" s="269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84</v>
      </c>
      <c r="Y182" s="270">
        <f>IFERROR(SUM(Y179:Y181),"0")</f>
        <v>84</v>
      </c>
      <c r="Z182" s="270">
        <f>IFERROR(IF(Z179="",0,Z179),"0")+IFERROR(IF(Z180="",0,Z180),"0")+IFERROR(IF(Z181="",0,Z181),"0")</f>
        <v>1.5019199999999997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252</v>
      </c>
      <c r="Y183" s="270">
        <f>IFERROR(SUMPRODUCT(Y179:Y181*H179:H181),"0")</f>
        <v>252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42</v>
      </c>
      <c r="Y191" s="269">
        <f>IFERROR(IF(X191="","",X191),"")</f>
        <v>42</v>
      </c>
      <c r="Z191" s="36">
        <f>IFERROR(IF(X191="","",X191*0.01788),"")</f>
        <v>0.75095999999999996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125.16</v>
      </c>
      <c r="BN191" s="67">
        <f>IFERROR(Y191*I191,"0")</f>
        <v>125.16</v>
      </c>
      <c r="BO191" s="67">
        <f>IFERROR(X191/J191,"0")</f>
        <v>0.6</v>
      </c>
      <c r="BP191" s="67">
        <f>IFERROR(Y191/J191,"0")</f>
        <v>0.6</v>
      </c>
    </row>
    <row r="192" spans="1:68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42</v>
      </c>
      <c r="Y192" s="270">
        <f>IFERROR(SUM(Y191:Y191),"0")</f>
        <v>42</v>
      </c>
      <c r="Z192" s="270">
        <f>IFERROR(IF(Z191="",0,Z191),"0")</f>
        <v>0.75095999999999996</v>
      </c>
      <c r="AA192" s="271"/>
      <c r="AB192" s="271"/>
      <c r="AC192" s="271"/>
    </row>
    <row r="193" spans="1:68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115.91999999999999</v>
      </c>
      <c r="Y193" s="270">
        <f>IFERROR(SUMPRODUCT(Y191:Y191*H191:H191),"0")</f>
        <v>115.91999999999999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14</v>
      </c>
      <c r="Y196" s="269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24</v>
      </c>
      <c r="Y247" s="269">
        <f>IFERROR(IF(X247="","",X247),"")</f>
        <v>24</v>
      </c>
      <c r="Z247" s="36">
        <f>IFERROR(IF(X247="","",X247*0.0155),"")</f>
        <v>0.372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150.24</v>
      </c>
      <c r="BN247" s="67">
        <f>IFERROR(Y247*I247,"0")</f>
        <v>150.24</v>
      </c>
      <c r="BO247" s="67">
        <f>IFERROR(X247/J247,"0")</f>
        <v>0.2857142857142857</v>
      </c>
      <c r="BP247" s="67">
        <f>IFERROR(Y247/J247,"0")</f>
        <v>0.2857142857142857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24</v>
      </c>
      <c r="Y249" s="270">
        <f>IFERROR(SUM(Y247:Y248),"0")</f>
        <v>24</v>
      </c>
      <c r="Z249" s="270">
        <f>IFERROR(IF(Z247="",0,Z247),"0")+IFERROR(IF(Z248="",0,Z248),"0")</f>
        <v>0.372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144</v>
      </c>
      <c r="Y250" s="270">
        <f>IFERROR(SUMPRODUCT(Y247:Y248*H247:H248),"0")</f>
        <v>144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28</v>
      </c>
      <c r="Y252" s="269">
        <f>IFERROR(IF(X252="","",X252),"")</f>
        <v>28</v>
      </c>
      <c r="Z252" s="36">
        <f>IFERROR(IF(X252="","",X252*0.00936),"")</f>
        <v>0.26207999999999998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80.936800000000005</v>
      </c>
      <c r="BN252" s="67">
        <f>IFERROR(Y252*I252,"0")</f>
        <v>80.936800000000005</v>
      </c>
      <c r="BO252" s="67">
        <f>IFERROR(X252/J252,"0")</f>
        <v>0.22222222222222221</v>
      </c>
      <c r="BP252" s="67">
        <f>IFERROR(Y252/J252,"0")</f>
        <v>0.22222222222222221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12</v>
      </c>
      <c r="Y253" s="269">
        <f>IFERROR(IF(X253="","",X253),"")</f>
        <v>12</v>
      </c>
      <c r="Z253" s="36">
        <f>IFERROR(IF(X253="","",X253*0.0155),"")</f>
        <v>0.186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62.820000000000007</v>
      </c>
      <c r="BN253" s="67">
        <f>IFERROR(Y253*I253,"0")</f>
        <v>62.820000000000007</v>
      </c>
      <c r="BO253" s="67">
        <f>IFERROR(X253/J253,"0")</f>
        <v>0.14285714285714285</v>
      </c>
      <c r="BP253" s="67">
        <f>IFERROR(Y253/J253,"0")</f>
        <v>0.14285714285714285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40</v>
      </c>
      <c r="Y255" s="270">
        <f>IFERROR(SUM(Y252:Y254),"0")</f>
        <v>40</v>
      </c>
      <c r="Z255" s="270">
        <f>IFERROR(IF(Z252="",0,Z252),"0")+IFERROR(IF(Z253="",0,Z253),"0")+IFERROR(IF(Z254="",0,Z254),"0")</f>
        <v>0.44807999999999998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135.60000000000002</v>
      </c>
      <c r="Y256" s="270">
        <f>IFERROR(SUMPRODUCT(Y252:Y254*H252:H254),"0")</f>
        <v>135.60000000000002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42</v>
      </c>
      <c r="Y259" s="269">
        <f t="shared" si="18"/>
        <v>42</v>
      </c>
      <c r="Z259" s="36">
        <f>IFERROR(IF(X259="","",X259*0.00936),"")</f>
        <v>0.39312000000000002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163.464</v>
      </c>
      <c r="BN259" s="67">
        <f t="shared" si="20"/>
        <v>163.464</v>
      </c>
      <c r="BO259" s="67">
        <f t="shared" si="21"/>
        <v>0.33333333333333331</v>
      </c>
      <c r="BP259" s="67">
        <f t="shared" si="22"/>
        <v>0.33333333333333331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112</v>
      </c>
      <c r="Y262" s="269">
        <f t="shared" si="18"/>
        <v>112</v>
      </c>
      <c r="Z262" s="36">
        <f t="shared" si="23"/>
        <v>1.0483199999999999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435.904</v>
      </c>
      <c r="BN262" s="67">
        <f t="shared" si="20"/>
        <v>435.904</v>
      </c>
      <c r="BO262" s="67">
        <f t="shared" si="21"/>
        <v>0.88888888888888884</v>
      </c>
      <c r="BP262" s="67">
        <f t="shared" si="22"/>
        <v>0.88888888888888884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168</v>
      </c>
      <c r="Y268" s="270">
        <f>IFERROR(SUM(Y258:Y267),"0")</f>
        <v>168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1.5724799999999999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611.80000000000007</v>
      </c>
      <c r="Y269" s="270">
        <f>IFERROR(SUMPRODUCT(Y258:Y267*H258:H267),"0")</f>
        <v>611.80000000000007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6996.6400000000012</v>
      </c>
      <c r="Y270" s="270">
        <f>IFERROR(Y29+Y35+Y42+Y49+Y57+Y62+Y66+Y71+Y77+Y83+Y88+Y94+Y104+Y110+Y122+Y126+Y130+Y136+Y142+Y148+Y153+Y158+Y163+Y168+Y175+Y183+Y187+Y193+Y201+Y206+Y211+Y216+Y222+Y228+Y234+Y238+Y245+Y250+Y256+Y269,"0")</f>
        <v>6996.6400000000012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7779.6919999999991</v>
      </c>
      <c r="Y271" s="270">
        <f>IFERROR(SUM(BN22:BN267),"0")</f>
        <v>7779.6919999999991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21</v>
      </c>
      <c r="Y272" s="38">
        <f>ROUNDUP(SUM(BP22:BP267),0)</f>
        <v>21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8304.6919999999991</v>
      </c>
      <c r="Y273" s="270">
        <f>GrossWeightTotalR+PalletQtyTotalR*25</f>
        <v>8304.6919999999991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1782</v>
      </c>
      <c r="Y274" s="270">
        <f>IFERROR(Y28+Y34+Y41+Y48+Y56+Y61+Y65+Y70+Y76+Y82+Y87+Y93+Y103+Y109+Y121+Y125+Y129+Y135+Y141+Y147+Y152+Y157+Y162+Y167+Y174+Y182+Y186+Y192+Y200+Y205+Y210+Y215+Y221+Y227+Y233+Y237+Y244+Y249+Y255+Y268,"0")</f>
        <v>1782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26.378079999999997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86.4</v>
      </c>
      <c r="C280" s="46">
        <f>IFERROR(X32*H32,"0")+IFERROR(X33*H33,"0")</f>
        <v>0</v>
      </c>
      <c r="D280" s="46">
        <f>IFERROR(X39*H39,"0")+IFERROR(X40*H40,"0")</f>
        <v>315</v>
      </c>
      <c r="E280" s="46">
        <f>IFERROR(X45*H45,"0")+IFERROR(X46*H46,"0")+IFERROR(X47*H47,"0")</f>
        <v>403.19999999999993</v>
      </c>
      <c r="F280" s="46">
        <f>IFERROR(X52*H52,"0")+IFERROR(X53*H53,"0")+IFERROR(X54*H54,"0")+IFERROR(X55*H55,"0")</f>
        <v>1260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50.4</v>
      </c>
      <c r="J280" s="46">
        <f>IFERROR(X91*H91,"0")+IFERROR(X92*H92,"0")</f>
        <v>504</v>
      </c>
      <c r="K280" s="46">
        <f>IFERROR(X97*H97,"0")+IFERROR(X98*H98,"0")+IFERROR(X99*H99,"0")+IFERROR(X100*H100,"0")+IFERROR(X101*H101,"0")+IFERROR(X102*H102,"0")</f>
        <v>604.79999999999995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1008</v>
      </c>
      <c r="N280" s="266"/>
      <c r="O280" s="46">
        <f>IFERROR(X133*H133,"0")+IFERROR(X134*H134,"0")</f>
        <v>462</v>
      </c>
      <c r="P280" s="46">
        <f>IFERROR(X139*H139,"0")+IFERROR(X140*H140,"0")</f>
        <v>168</v>
      </c>
      <c r="Q280" s="46">
        <f>IFERROR(X145*H145,"0")+IFERROR(X146*H146,"0")</f>
        <v>134.4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23.52</v>
      </c>
      <c r="V280" s="46">
        <f>IFERROR(X172*H172,"0")+IFERROR(X173*H173,"0")</f>
        <v>120</v>
      </c>
      <c r="W280" s="46">
        <f>IFERROR(X179*H179,"0")+IFERROR(X180*H180,"0")+IFERROR(X181*H181,"0")+IFERROR(X185*H185,"0")</f>
        <v>252</v>
      </c>
      <c r="X280" s="46">
        <f>IFERROR(X191*H191,"0")+IFERROR(X195*H195,"0")+IFERROR(X196*H196,"0")+IFERROR(X197*H197,"0")+IFERROR(X198*H198,"0")+IFERROR(X199*H199,"0")</f>
        <v>149.51999999999998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891.40000000000009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3357.6</v>
      </c>
      <c r="B283" s="60">
        <f>SUMPRODUCT(--(BB:BB="ПГП"),--(W:W="кор"),H:H,Y:Y)+SUMPRODUCT(--(BB:BB="ПГП"),--(W:W="кг"),Y:Y)</f>
        <v>3639.0400000000004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260,00"/>
        <filter val="1 782,00"/>
        <filter val="112,00"/>
        <filter val="115,92"/>
        <filter val="12,00"/>
        <filter val="120,00"/>
        <filter val="134,40"/>
        <filter val="135,60"/>
        <filter val="14,00"/>
        <filter val="140,00"/>
        <filter val="144,00"/>
        <filter val="154,00"/>
        <filter val="156,00"/>
        <filter val="168,00"/>
        <filter val="180,00"/>
        <filter val="21"/>
        <filter val="210,00"/>
        <filter val="23,52"/>
        <filter val="24,00"/>
        <filter val="252,00"/>
        <filter val="28,00"/>
        <filter val="300,00"/>
        <filter val="315,00"/>
        <filter val="33,60"/>
        <filter val="36,00"/>
        <filter val="40,00"/>
        <filter val="403,20"/>
        <filter val="42,00"/>
        <filter val="462,00"/>
        <filter val="50,40"/>
        <filter val="504,00"/>
        <filter val="56,00"/>
        <filter val="6 996,64"/>
        <filter val="60,00"/>
        <filter val="604,80"/>
        <filter val="611,80"/>
        <filter val="7 779,69"/>
        <filter val="70,00"/>
        <filter val="72,00"/>
        <filter val="8 304,69"/>
        <filter val="84,00"/>
        <filter val="86,40"/>
        <filter val="96,00"/>
        <filter val="98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