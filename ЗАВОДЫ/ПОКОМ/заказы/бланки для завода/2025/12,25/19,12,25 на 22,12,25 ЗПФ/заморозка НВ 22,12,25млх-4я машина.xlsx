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14BDDD-959C-4901-955C-5E988DA365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BP32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Z28" i="1" l="1"/>
  <c r="X272" i="1"/>
  <c r="Z34" i="1"/>
  <c r="BN32" i="1"/>
  <c r="Y35" i="1"/>
  <c r="Z41" i="1"/>
  <c r="Z48" i="1"/>
  <c r="BN45" i="1"/>
  <c r="Y48" i="1"/>
  <c r="BN47" i="1"/>
  <c r="Y57" i="1"/>
  <c r="BN55" i="1"/>
  <c r="Y70" i="1"/>
  <c r="Y76" i="1"/>
  <c r="Z82" i="1"/>
  <c r="Y93" i="1"/>
  <c r="Y104" i="1"/>
  <c r="Y109" i="1"/>
  <c r="Y122" i="1"/>
  <c r="Y135" i="1"/>
  <c r="BN134" i="1"/>
  <c r="Y147" i="1"/>
  <c r="Z147" i="1"/>
  <c r="Z200" i="1"/>
  <c r="Y148" i="1"/>
  <c r="Y245" i="1"/>
  <c r="Y28" i="1"/>
  <c r="X271" i="1"/>
  <c r="X273" i="1" s="1"/>
  <c r="BN23" i="1"/>
  <c r="BN25" i="1"/>
  <c r="BN27" i="1"/>
  <c r="X270" i="1"/>
  <c r="Y34" i="1"/>
  <c r="Y41" i="1"/>
  <c r="BN40" i="1"/>
  <c r="Y49" i="1"/>
  <c r="Z56" i="1"/>
  <c r="BN52" i="1"/>
  <c r="BP52" i="1"/>
  <c r="Z70" i="1"/>
  <c r="Z76" i="1"/>
  <c r="Y83" i="1"/>
  <c r="BN81" i="1"/>
  <c r="Z93" i="1"/>
  <c r="Z103" i="1"/>
  <c r="Z109" i="1"/>
  <c r="Z121" i="1"/>
  <c r="Z135" i="1"/>
  <c r="Z141" i="1"/>
  <c r="BN139" i="1"/>
  <c r="BN145" i="1"/>
  <c r="BP145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Y268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Z275" i="1" l="1"/>
  <c r="Y274" i="1"/>
  <c r="Y271" i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<sst xmlns="http://schemas.openxmlformats.org/spreadsheetml/2006/main" count="1223" uniqueCount="395">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</sst>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72</v>
      </c>
      <c r="Y24" s="269">
        <f t="shared" si="0"/>
        <v>72</v>
      </c>
      <c r="Z24" s="36">
        <f t="shared" si="1"/>
        <v>1.1160000000000001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537.84</v>
      </c>
      <c r="BN24" s="67">
        <f t="shared" si="3"/>
        <v>537.84</v>
      </c>
      <c r="BO24" s="67">
        <f t="shared" si="4"/>
        <v>0.8571428571428571</v>
      </c>
      <c r="BP24" s="67">
        <f t="shared" si="5"/>
        <v>0.8571428571428571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60</v>
      </c>
      <c r="Y26" s="269">
        <f t="shared" si="0"/>
        <v>60</v>
      </c>
      <c r="Z26" s="36">
        <f t="shared" si="1"/>
        <v>0.92999999999999994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448.2</v>
      </c>
      <c r="BN26" s="67">
        <f t="shared" si="3"/>
        <v>448.2</v>
      </c>
      <c r="BO26" s="67">
        <f t="shared" si="4"/>
        <v>0.7142857142857143</v>
      </c>
      <c r="BP26" s="67">
        <f t="shared" si="5"/>
        <v>0.7142857142857143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132</v>
      </c>
      <c r="Y28" s="270">
        <f>IFERROR(SUM(Y22:Y27),"0")</f>
        <v>132</v>
      </c>
      <c r="Z28" s="270">
        <f>IFERROR(IF(Z22="",0,Z22),"0")+IFERROR(IF(Z23="",0,Z23),"0")+IFERROR(IF(Z24="",0,Z24),"0")+IFERROR(IF(Z25="",0,Z25),"0")+IFERROR(IF(Z26="",0,Z26),"0")+IFERROR(IF(Z27="",0,Z27),"0")</f>
        <v>2.0460000000000003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950.4</v>
      </c>
      <c r="Y29" s="270">
        <f>IFERROR(SUMPRODUCT(Y22:Y27*H22:H27),"0")</f>
        <v>950.4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60</v>
      </c>
      <c r="Y45" s="269">
        <f>IFERROR(IF(X45="","",X45),"")</f>
        <v>60</v>
      </c>
      <c r="Z45" s="36">
        <f>IFERROR(IF(X45="","",X45*0.0155),"")</f>
        <v>0.92999999999999994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352.2</v>
      </c>
      <c r="BN45" s="67">
        <f>IFERROR(Y45*I45,"0")</f>
        <v>352.2</v>
      </c>
      <c r="BO45" s="67">
        <f>IFERROR(X45/J45,"0")</f>
        <v>0.7142857142857143</v>
      </c>
      <c r="BP45" s="67">
        <f>IFERROR(Y45/J45,"0")</f>
        <v>0.7142857142857143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12</v>
      </c>
      <c r="Y47" s="26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1.1159999999999999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403.2</v>
      </c>
      <c r="Y49" s="270">
        <f>IFERROR(SUMPRODUCT(Y45:Y47*H45:H47),"0")</f>
        <v>403.2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48</v>
      </c>
      <c r="Y52" s="269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60</v>
      </c>
      <c r="Y53" s="269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120</v>
      </c>
      <c r="Y56" s="270">
        <f>IFERROR(SUM(Y52:Y55),"0")</f>
        <v>120</v>
      </c>
      <c r="Z56" s="270">
        <f>IFERROR(IF(Z52="",0,Z52),"0")+IFERROR(IF(Z53="",0,Z53),"0")+IFERROR(IF(Z54="",0,Z54),"0")+IFERROR(IF(Z55="",0,Z55),"0")</f>
        <v>1.8599999999999999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840</v>
      </c>
      <c r="Y57" s="270">
        <f>IFERROR(SUMPRODUCT(Y52:Y55*H52:H55),"0")</f>
        <v>840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hidden="1" customHeight="1" x14ac:dyDescent="0.25">
      <c r="A84" s="288" t="s">
        <v>153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157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158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196</v>
      </c>
      <c r="Y92" s="269">
        <f>IFERROR(IF(X92="","",X92),"")</f>
        <v>196</v>
      </c>
      <c r="Z92" s="36">
        <f>IFERROR(IF(X92="","",X92*0.01788),"")</f>
        <v>3.50448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843.50560000000007</v>
      </c>
      <c r="BN92" s="67">
        <f>IFERROR(Y92*I92,"0")</f>
        <v>843.50560000000007</v>
      </c>
      <c r="BO92" s="67">
        <f>IFERROR(X92/J92,"0")</f>
        <v>2.8</v>
      </c>
      <c r="BP92" s="67">
        <f>IFERROR(Y92/J92,"0")</f>
        <v>2.8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266</v>
      </c>
      <c r="Y93" s="270">
        <f>IFERROR(SUM(Y91:Y92),"0")</f>
        <v>266</v>
      </c>
      <c r="Z93" s="270">
        <f>IFERROR(IF(Z91="",0,Z91),"0")+IFERROR(IF(Z92="",0,Z92),"0")</f>
        <v>4.7560799999999999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957.6</v>
      </c>
      <c r="Y94" s="270">
        <f>IFERROR(SUMPRODUCT(Y91:Y92*H91:H92),"0")</f>
        <v>957.6</v>
      </c>
      <c r="Z94" s="37"/>
      <c r="AA94" s="271"/>
      <c r="AB94" s="271"/>
      <c r="AC94" s="271"/>
    </row>
    <row r="95" spans="1:68" ht="16.5" hidden="1" customHeight="1" x14ac:dyDescent="0.25">
      <c r="A95" s="288" t="s">
        <v>165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56</v>
      </c>
      <c r="Y97" s="269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112</v>
      </c>
      <c r="Y98" s="269">
        <f t="shared" si="6"/>
        <v>112</v>
      </c>
      <c r="Z98" s="36">
        <f t="shared" si="7"/>
        <v>2.0025599999999999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14</v>
      </c>
      <c r="Y101" s="269">
        <f t="shared" si="6"/>
        <v>14</v>
      </c>
      <c r="Z101" s="36">
        <f t="shared" si="7"/>
        <v>0.25031999999999999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280</v>
      </c>
      <c r="Y103" s="270">
        <f>IFERROR(SUM(Y97:Y102),"0")</f>
        <v>280</v>
      </c>
      <c r="Z103" s="270">
        <f>IFERROR(IF(Z97="",0,Z97),"0")+IFERROR(IF(Z98="",0,Z98),"0")+IFERROR(IF(Z99="",0,Z99),"0")+IFERROR(IF(Z100="",0,Z100),"0")+IFERROR(IF(Z101="",0,Z101),"0")+IFERROR(IF(Z102="",0,Z102),"0")</f>
        <v>5.0064000000000002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819.84</v>
      </c>
      <c r="Y104" s="270">
        <f>IFERROR(SUMPRODUCT(Y97:Y102*H97:H102),"0")</f>
        <v>819.84</v>
      </c>
      <c r="Z104" s="37"/>
      <c r="AA104" s="271"/>
      <c r="AB104" s="271"/>
      <c r="AC104" s="271"/>
    </row>
    <row r="105" spans="1:68" ht="16.5" hidden="1" customHeight="1" x14ac:dyDescent="0.25">
      <c r="A105" s="288" t="s">
        <v>180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186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84</v>
      </c>
      <c r="Y116" s="269">
        <f t="shared" si="12"/>
        <v>84</v>
      </c>
      <c r="Z116" s="36">
        <f t="shared" si="13"/>
        <v>1.302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613.19999999999993</v>
      </c>
      <c r="BN116" s="67">
        <f t="shared" si="15"/>
        <v>613.19999999999993</v>
      </c>
      <c r="BO116" s="67">
        <f t="shared" si="16"/>
        <v>1</v>
      </c>
      <c r="BP116" s="67">
        <f t="shared" si="17"/>
        <v>1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120</v>
      </c>
      <c r="Y119" s="269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204</v>
      </c>
      <c r="Y121" s="270">
        <f>IFERROR(SUM(Y113:Y120),"0")</f>
        <v>204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3.1619999999999999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1428</v>
      </c>
      <c r="Y122" s="270">
        <f>IFERROR(SUMPRODUCT(Y113:Y120*H113:H120),"0")</f>
        <v>1428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215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140</v>
      </c>
      <c r="Y133" s="269">
        <f>IFERROR(IF(X133="","",X133),"")</f>
        <v>140</v>
      </c>
      <c r="Z133" s="36">
        <f>IFERROR(IF(X133="","",X133*0.01788),"")</f>
        <v>2.5032000000000001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518.50400000000002</v>
      </c>
      <c r="BN133" s="67">
        <f>IFERROR(Y133*I133,"0")</f>
        <v>518.50400000000002</v>
      </c>
      <c r="BO133" s="67">
        <f>IFERROR(X133/J133,"0")</f>
        <v>2</v>
      </c>
      <c r="BP133" s="67">
        <f>IFERROR(Y133/J133,"0")</f>
        <v>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56</v>
      </c>
      <c r="Y139" s="269">
        <f>IFERROR(IF(X139="","",X139),"")</f>
        <v>56</v>
      </c>
      <c r="Z139" s="36">
        <f>IFERROR(IF(X139="","",X139*0.01788),"")</f>
        <v>1.0012799999999999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209.88800000000001</v>
      </c>
      <c r="BN139" s="67">
        <f>IFERROR(Y139*I139,"0")</f>
        <v>209.88800000000001</v>
      </c>
      <c r="BO139" s="67">
        <f>IFERROR(X139/J139,"0")</f>
        <v>0.8</v>
      </c>
      <c r="BP139" s="67">
        <f>IFERROR(Y139/J139,"0")</f>
        <v>0.8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126</v>
      </c>
      <c r="Y140" s="269">
        <f>IFERROR(IF(X140="","",X140),"")</f>
        <v>126</v>
      </c>
      <c r="Z140" s="36">
        <f>IFERROR(IF(X140="","",X140*0.01788),"")</f>
        <v>2.2528800000000002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466.65359999999998</v>
      </c>
      <c r="BN140" s="67">
        <f>IFERROR(Y140*I140,"0")</f>
        <v>466.65359999999998</v>
      </c>
      <c r="BO140" s="67">
        <f>IFERROR(X140/J140,"0")</f>
        <v>1.8</v>
      </c>
      <c r="BP140" s="67">
        <f>IFERROR(Y140/J140,"0")</f>
        <v>1.8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182</v>
      </c>
      <c r="Y141" s="270">
        <f>IFERROR(SUM(Y139:Y140),"0")</f>
        <v>182</v>
      </c>
      <c r="Z141" s="270">
        <f>IFERROR(IF(Z139="",0,Z139),"0")+IFERROR(IF(Z140="",0,Z140),"0")</f>
        <v>3.2541600000000002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546</v>
      </c>
      <c r="Y142" s="270">
        <f>IFERROR(SUMPRODUCT(Y139:Y140*H139:H140),"0")</f>
        <v>546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28</v>
      </c>
      <c r="Y147" s="270">
        <f>IFERROR(SUM(Y145:Y146),"0")</f>
        <v>28</v>
      </c>
      <c r="Z147" s="270">
        <f>IFERROR(IF(Z145="",0,Z145),"0")+IFERROR(IF(Z146="",0,Z146),"0")</f>
        <v>0.50063999999999997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67.2</v>
      </c>
      <c r="Y148" s="270">
        <f>IFERROR(SUMPRODUCT(Y145:Y146*H145:H146),"0")</f>
        <v>67.2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84</v>
      </c>
      <c r="Y181" s="269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313.82400000000001</v>
      </c>
      <c r="BN181" s="67">
        <f>IFERROR(Y181*I181,"0")</f>
        <v>313.82400000000001</v>
      </c>
      <c r="BO181" s="67">
        <f>IFERROR(X181/J181,"0")</f>
        <v>1.2</v>
      </c>
      <c r="BP181" s="67">
        <f>IFERROR(Y181/J181,"0")</f>
        <v>1.2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210</v>
      </c>
      <c r="Y182" s="270">
        <f>IFERROR(SUM(Y179:Y181),"0")</f>
        <v>210</v>
      </c>
      <c r="Z182" s="270">
        <f>IFERROR(IF(Z179="",0,Z179),"0")+IFERROR(IF(Z180="",0,Z180),"0")+IFERROR(IF(Z181="",0,Z181),"0")</f>
        <v>3.7547999999999995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630</v>
      </c>
      <c r="Y183" s="270">
        <f>IFERROR(SUMPRODUCT(Y179:Y181*H179:H181),"0")</f>
        <v>630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252</v>
      </c>
      <c r="Y226" s="269">
        <f>IFERROR(IF(X226="","",X226),"")</f>
        <v>252</v>
      </c>
      <c r="Z226" s="36">
        <f>IFERROR(IF(X226="","",X226*0.0155),"")</f>
        <v>3.9060000000000001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1326.0239999999999</v>
      </c>
      <c r="BN226" s="67">
        <f>IFERROR(Y226*I226,"0")</f>
        <v>1326.0239999999999</v>
      </c>
      <c r="BO226" s="67">
        <f>IFERROR(X226/J226,"0")</f>
        <v>3</v>
      </c>
      <c r="BP226" s="67">
        <f>IFERROR(Y226/J226,"0")</f>
        <v>3</v>
      </c>
    </row>
    <row r="227" spans="1:68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252</v>
      </c>
      <c r="Y227" s="270">
        <f>IFERROR(SUM(Y226:Y226),"0")</f>
        <v>252</v>
      </c>
      <c r="Z227" s="270">
        <f>IFERROR(IF(Z226="",0,Z226),"0")</f>
        <v>3.9060000000000001</v>
      </c>
      <c r="AA227" s="271"/>
      <c r="AB227" s="271"/>
      <c r="AC227" s="271"/>
    </row>
    <row r="228" spans="1:68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1260</v>
      </c>
      <c r="Y228" s="270">
        <f>IFERROR(SUMPRODUCT(Y226:Y226*H226:H226),"0")</f>
        <v>1260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24</v>
      </c>
      <c r="Y243" s="269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174.72</v>
      </c>
      <c r="BN243" s="67">
        <f>IFERROR(Y243*I243,"0")</f>
        <v>174.72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24</v>
      </c>
      <c r="Y244" s="270">
        <f>IFERROR(SUM(Y242:Y243),"0")</f>
        <v>24</v>
      </c>
      <c r="Z244" s="270">
        <f>IFERROR(IF(Z242="",0,Z242),"0")+IFERROR(IF(Z243="",0,Z243),"0")</f>
        <v>0.372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168</v>
      </c>
      <c r="Y245" s="270">
        <f>IFERROR(SUMPRODUCT(Y242:Y243*H242:H243),"0")</f>
        <v>168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60</v>
      </c>
      <c r="Y247" s="269">
        <f>IFERROR(IF(X247="","",X247),"")</f>
        <v>60</v>
      </c>
      <c r="Z247" s="36">
        <f>IFERROR(IF(X247="","",X247*0.0155),"")</f>
        <v>0.92999999999999994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375.59999999999997</v>
      </c>
      <c r="BN247" s="67">
        <f>IFERROR(Y247*I247,"0")</f>
        <v>375.59999999999997</v>
      </c>
      <c r="BO247" s="67">
        <f>IFERROR(X247/J247,"0")</f>
        <v>0.7142857142857143</v>
      </c>
      <c r="BP247" s="67">
        <f>IFERROR(Y247/J247,"0")</f>
        <v>0.7142857142857143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60</v>
      </c>
      <c r="Y249" s="270">
        <f>IFERROR(SUM(Y247:Y248),"0")</f>
        <v>60</v>
      </c>
      <c r="Z249" s="270">
        <f>IFERROR(IF(Z247="",0,Z247),"0")+IFERROR(IF(Z248="",0,Z248),"0")</f>
        <v>0.92999999999999994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360</v>
      </c>
      <c r="Y250" s="270">
        <f>IFERROR(SUMPRODUCT(Y247:Y248*H247:H248),"0")</f>
        <v>360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84</v>
      </c>
      <c r="Y252" s="269">
        <f>IFERROR(IF(X252="","",X252),"")</f>
        <v>84</v>
      </c>
      <c r="Z252" s="36">
        <f>IFERROR(IF(X252="","",X252*0.00936),"")</f>
        <v>0.78624000000000005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242.81040000000002</v>
      </c>
      <c r="BN252" s="67">
        <f>IFERROR(Y252*I252,"0")</f>
        <v>242.81040000000002</v>
      </c>
      <c r="BO252" s="67">
        <f>IFERROR(X252/J252,"0")</f>
        <v>0.66666666666666663</v>
      </c>
      <c r="BP252" s="67">
        <f>IFERROR(Y252/J252,"0")</f>
        <v>0.66666666666666663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60</v>
      </c>
      <c r="Y253" s="269">
        <f>IFERROR(IF(X253="","",X253),"")</f>
        <v>60</v>
      </c>
      <c r="Z253" s="36">
        <f>IFERROR(IF(X253="","",X253*0.0155),"")</f>
        <v>0.92999999999999994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314.10000000000002</v>
      </c>
      <c r="BN253" s="67">
        <f>IFERROR(Y253*I253,"0")</f>
        <v>314.10000000000002</v>
      </c>
      <c r="BO253" s="67">
        <f>IFERROR(X253/J253,"0")</f>
        <v>0.7142857142857143</v>
      </c>
      <c r="BP253" s="67">
        <f>IFERROR(Y253/J253,"0")</f>
        <v>0.7142857142857143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144</v>
      </c>
      <c r="Y255" s="270">
        <f>IFERROR(SUM(Y252:Y254),"0")</f>
        <v>144</v>
      </c>
      <c r="Z255" s="270">
        <f>IFERROR(IF(Z252="",0,Z252),"0")+IFERROR(IF(Z253="",0,Z253),"0")+IFERROR(IF(Z254="",0,Z254),"0")</f>
        <v>1.71624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526.79999999999995</v>
      </c>
      <c r="Y256" s="270">
        <f>IFERROR(SUMPRODUCT(Y252:Y254*H252:H254),"0")</f>
        <v>526.79999999999995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42</v>
      </c>
      <c r="Y259" s="269">
        <f t="shared" si="18"/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42</v>
      </c>
      <c r="Y261" s="269">
        <f t="shared" si="18"/>
        <v>42</v>
      </c>
      <c r="Z261" s="36">
        <f t="shared" ref="Z261:Z266" si="23">IFERROR(IF(X261="","",X261*0.00936),"")</f>
        <v>0.39312000000000002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134.06400000000002</v>
      </c>
      <c r="BN261" s="67">
        <f t="shared" si="20"/>
        <v>134.06400000000002</v>
      </c>
      <c r="BO261" s="67">
        <f t="shared" si="21"/>
        <v>0.33333333333333331</v>
      </c>
      <c r="BP261" s="67">
        <f t="shared" si="22"/>
        <v>0.33333333333333331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96</v>
      </c>
      <c r="Y268" s="270">
        <f>IFERROR(SUM(Y258:Y267),"0")</f>
        <v>96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0.9722400000000001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347.4</v>
      </c>
      <c r="Y269" s="270">
        <f>IFERROR(SUMPRODUCT(Y258:Y267*H258:H267),"0")</f>
        <v>347.4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11079.839999999998</v>
      </c>
      <c r="Y270" s="270">
        <f>IFERROR(Y29+Y35+Y42+Y49+Y57+Y62+Y66+Y71+Y77+Y83+Y88+Y94+Y104+Y110+Y122+Y126+Y130+Y136+Y142+Y148+Y153+Y158+Y163+Y168+Y175+Y183+Y187+Y193+Y201+Y206+Y211+Y216+Y222+Y228+Y234+Y238+Y245+Y250+Y256+Y269,"0")</f>
        <v>11079.839999999998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12276.7428</v>
      </c>
      <c r="Y271" s="270">
        <f>IFERROR(SUM(BN22:BN267),"0")</f>
        <v>12276.7428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13101.7428</v>
      </c>
      <c r="Y273" s="270">
        <f>GrossWeightTotalR+PalletQtyTotalR*25</f>
        <v>13101.7428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2632</v>
      </c>
      <c r="Y274" s="270">
        <f>IFERROR(Y28+Y34+Y41+Y48+Y56+Y61+Y65+Y70+Y76+Y82+Y87+Y93+Y103+Y109+Y121+Y125+Y129+Y135+Y141+Y147+Y152+Y157+Y162+Y167+Y174+Y182+Y186+Y192+Y200+Y205+Y210+Y215+Y221+Y227+Y233+Y237+Y244+Y249+Y255+Y268,"0")</f>
        <v>2632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40.90466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146</v>
      </c>
      <c r="I278" s="294" t="s">
        <v>153</v>
      </c>
      <c r="J278" s="294" t="s">
        <v>157</v>
      </c>
      <c r="K278" s="294" t="s">
        <v>165</v>
      </c>
      <c r="L278" s="294" t="s">
        <v>180</v>
      </c>
      <c r="M278" s="294" t="s">
        <v>186</v>
      </c>
      <c r="N278" s="266"/>
      <c r="O278" s="294" t="s">
        <v>215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950.4</v>
      </c>
      <c r="C280" s="46">
        <f>IFERROR(X32*H32,"0")+IFERROR(X33*H33,"0")</f>
        <v>0</v>
      </c>
      <c r="D280" s="46">
        <f>IFERROR(X39*H39,"0")+IFERROR(X40*H40,"0")</f>
        <v>231</v>
      </c>
      <c r="E280" s="46">
        <f>IFERROR(X45*H45,"0")+IFERROR(X46*H46,"0")+IFERROR(X47*H47,"0")</f>
        <v>403.2</v>
      </c>
      <c r="F280" s="46">
        <f>IFERROR(X52*H52,"0")+IFERROR(X53*H53,"0")+IFERROR(X54*H54,"0")+IFERROR(X55*H55,"0")</f>
        <v>840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50.4</v>
      </c>
      <c r="J280" s="46">
        <f>IFERROR(X91*H91,"0")+IFERROR(X92*H92,"0")</f>
        <v>957.6</v>
      </c>
      <c r="K280" s="46">
        <f>IFERROR(X97*H97,"0")+IFERROR(X98*H98,"0")+IFERROR(X99*H99,"0")+IFERROR(X100*H100,"0")+IFERROR(X101*H101,"0")+IFERROR(X102*H102,"0")</f>
        <v>819.84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1428</v>
      </c>
      <c r="N280" s="266"/>
      <c r="O280" s="46">
        <f>IFERROR(X133*H133,"0")+IFERROR(X134*H134,"0")</f>
        <v>714</v>
      </c>
      <c r="P280" s="46">
        <f>IFERROR(X139*H139,"0")+IFERROR(X140*H140,"0")</f>
        <v>546</v>
      </c>
      <c r="Q280" s="46">
        <f>IFERROR(X145*H145,"0")+IFERROR(X146*H146,"0")</f>
        <v>67.2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300</v>
      </c>
      <c r="W280" s="46">
        <f>IFERROR(X179*H179,"0")+IFERROR(X180*H180,"0")+IFERROR(X181*H181,"0")+IFERROR(X185*H185,"0")</f>
        <v>630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1260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1402.2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5829.6</v>
      </c>
      <c r="B283" s="60">
        <f>SUMPRODUCT(--(BB:BB="ПГП"),--(W:W="кор"),H:H,Y:Y)+SUMPRODUCT(--(BB:BB="ПГП"),--(W:W="кг"),Y:Y)</f>
        <v>5250.24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428,00"/>
        <filter val="11 079,84"/>
        <filter val="112,00"/>
        <filter val="12 276,74"/>
        <filter val="12,00"/>
        <filter val="120,00"/>
        <filter val="126,00"/>
        <filter val="13 101,74"/>
        <filter val="132,00"/>
        <filter val="14,00"/>
        <filter val="140,00"/>
        <filter val="144,00"/>
        <filter val="154,00"/>
        <filter val="168,00"/>
        <filter val="180,00"/>
        <filter val="182,00"/>
        <filter val="196,00"/>
        <filter val="2 632,00"/>
        <filter val="204,00"/>
        <filter val="210,00"/>
        <filter val="231,00"/>
        <filter val="238,00"/>
        <filter val="24,00"/>
        <filter val="252,00"/>
        <filter val="266,00"/>
        <filter val="28,00"/>
        <filter val="280,00"/>
        <filter val="300,00"/>
        <filter val="33"/>
        <filter val="347,40"/>
        <filter val="36,00"/>
        <filter val="360,00"/>
        <filter val="403,20"/>
        <filter val="42,00"/>
        <filter val="48,00"/>
        <filter val="50,40"/>
        <filter val="526,80"/>
        <filter val="546,00"/>
        <filter val="56,00"/>
        <filter val="60,00"/>
        <filter val="630,00"/>
        <filter val="67,20"/>
        <filter val="70,00"/>
        <filter val="714,00"/>
        <filter val="72,00"/>
        <filter val="819,84"/>
        <filter val="84,00"/>
        <filter val="840,00"/>
        <filter val="950,40"/>
        <filter val="957,6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