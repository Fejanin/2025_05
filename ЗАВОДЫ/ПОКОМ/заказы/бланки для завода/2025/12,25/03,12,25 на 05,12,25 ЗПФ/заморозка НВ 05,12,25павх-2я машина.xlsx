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9367B6-02C3-43D9-9C2E-9385653FF9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1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2" i="1"/>
  <c r="BN87" i="1"/>
  <c r="BN89" i="1"/>
  <c r="BN91" i="1"/>
  <c r="Y98" i="1"/>
  <c r="Y110" i="1"/>
  <c r="Z109" i="1"/>
  <c r="BN103" i="1"/>
  <c r="BN105" i="1"/>
  <c r="BN107" i="1"/>
  <c r="Z114" i="1"/>
  <c r="BN117" i="1"/>
  <c r="BP117" i="1"/>
  <c r="Y118" i="1"/>
  <c r="Z124" i="1"/>
  <c r="BN122" i="1"/>
  <c r="Y125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Y164" i="1"/>
  <c r="Z171" i="1"/>
  <c r="BN174" i="1"/>
  <c r="BP174" i="1"/>
  <c r="Y175" i="1"/>
  <c r="BN180" i="1"/>
  <c r="BP180" i="1"/>
  <c r="Y181" i="1"/>
  <c r="Z188" i="1"/>
  <c r="BN184" i="1"/>
  <c r="BN185" i="1"/>
  <c r="BN187" i="1"/>
  <c r="J9" i="1"/>
  <c r="X276" i="1"/>
  <c r="Y172" i="1"/>
  <c r="Y213" i="1"/>
  <c r="Y260" i="1"/>
  <c r="F9" i="1"/>
  <c r="F10" i="1"/>
  <c r="BN22" i="1"/>
  <c r="BP22" i="1"/>
  <c r="Y23" i="1"/>
  <c r="Z30" i="1"/>
  <c r="BN28" i="1"/>
  <c r="BP28" i="1"/>
  <c r="Y31" i="1"/>
  <c r="X278" i="1"/>
  <c r="Y45" i="1"/>
  <c r="BN42" i="1"/>
  <c r="BN44" i="1"/>
  <c r="Y59" i="1"/>
  <c r="Y66" i="1"/>
  <c r="Z65" i="1"/>
  <c r="BN63" i="1"/>
  <c r="Z71" i="1"/>
  <c r="BN75" i="1"/>
  <c r="BP75" i="1"/>
  <c r="Y76" i="1"/>
  <c r="Z82" i="1"/>
  <c r="BN80" i="1"/>
  <c r="BP80" i="1"/>
  <c r="Y83" i="1"/>
  <c r="Z92" i="1"/>
  <c r="Z98" i="1"/>
  <c r="BN96" i="1"/>
  <c r="BP96" i="1"/>
  <c r="Y99" i="1"/>
  <c r="Y114" i="1"/>
  <c r="BN113" i="1"/>
  <c r="Y124" i="1"/>
  <c r="Y130" i="1"/>
  <c r="BN129" i="1"/>
  <c r="BN169" i="1"/>
  <c r="Z196" i="1"/>
  <c r="BN192" i="1"/>
  <c r="Y197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H9" i="1"/>
  <c r="BN29" i="1"/>
  <c r="BP29" i="1"/>
  <c r="BN34" i="1"/>
  <c r="BP34" i="1"/>
  <c r="BN36" i="1"/>
  <c r="Y37" i="1"/>
  <c r="BN41" i="1"/>
  <c r="BP41" i="1"/>
  <c r="BN43" i="1"/>
  <c r="Y46" i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5" i="1"/>
  <c r="BN123" i="1"/>
  <c r="BP123" i="1"/>
  <c r="BN128" i="1"/>
  <c r="BP128" i="1"/>
  <c r="Y131" i="1"/>
  <c r="Y137" i="1"/>
  <c r="BP134" i="1"/>
  <c r="Y163" i="1"/>
  <c r="Y171" i="1"/>
  <c r="BP168" i="1"/>
  <c r="BN168" i="1"/>
  <c r="BP170" i="1"/>
  <c r="BN170" i="1"/>
  <c r="Y189" i="1"/>
  <c r="Y196" i="1"/>
  <c r="Y201" i="1"/>
  <c r="BP200" i="1"/>
  <c r="BN200" i="1"/>
  <c r="Y212" i="1"/>
  <c r="BP209" i="1"/>
  <c r="BN209" i="1"/>
  <c r="BP211" i="1"/>
  <c r="BN211" i="1"/>
  <c r="Z218" i="1"/>
  <c r="Y249" i="1"/>
  <c r="Y253" i="1"/>
  <c r="Y259" i="1"/>
  <c r="BP256" i="1"/>
  <c r="BN256" i="1"/>
  <c r="BP258" i="1"/>
  <c r="BN258" i="1"/>
  <c r="Z272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X277" i="1" l="1"/>
  <c r="Z279" i="1"/>
  <c r="Y275" i="1"/>
  <c r="Y276" i="1"/>
  <c r="Y274" i="1"/>
  <c r="Y278" i="1"/>
  <c r="B287" i="1"/>
  <c r="Y277" i="1"/>
  <c r="C287" i="1"/>
  <c r="A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<sst xmlns="http://schemas.openxmlformats.org/spreadsheetml/2006/main" count="1230" uniqueCount="397">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</sst>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29" t="s">
        <v>7</v>
      </c>
      <c r="B5" s="318"/>
      <c r="C5" s="319"/>
      <c r="D5" s="325"/>
      <c r="E5" s="326"/>
      <c r="F5" s="443" t="s">
        <v>8</v>
      </c>
      <c r="G5" s="319"/>
      <c r="H5" s="325" t="s">
        <v>396</v>
      </c>
      <c r="I5" s="371"/>
      <c r="J5" s="371"/>
      <c r="K5" s="371"/>
      <c r="L5" s="371"/>
      <c r="M5" s="326"/>
      <c r="N5" s="61"/>
      <c r="P5" s="24" t="s">
        <v>9</v>
      </c>
      <c r="Q5" s="428">
        <v>45996</v>
      </c>
      <c r="R5" s="347"/>
      <c r="T5" s="364" t="s">
        <v>10</v>
      </c>
      <c r="U5" s="365"/>
      <c r="V5" s="366" t="s">
        <v>11</v>
      </c>
      <c r="W5" s="347"/>
      <c r="AB5" s="51"/>
      <c r="AC5" s="51"/>
      <c r="AD5" s="51"/>
      <c r="AE5" s="51"/>
    </row>
    <row r="6" spans="1:32" s="265" customFormat="1" ht="24" customHeight="1" x14ac:dyDescent="0.2">
      <c r="A6" s="329" t="s">
        <v>12</v>
      </c>
      <c r="B6" s="318"/>
      <c r="C6" s="319"/>
      <c r="D6" s="410" t="s">
        <v>13</v>
      </c>
      <c r="E6" s="411"/>
      <c r="F6" s="411"/>
      <c r="G6" s="411"/>
      <c r="H6" s="411"/>
      <c r="I6" s="411"/>
      <c r="J6" s="411"/>
      <c r="K6" s="411"/>
      <c r="L6" s="411"/>
      <c r="M6" s="347"/>
      <c r="N6" s="62"/>
      <c r="P6" s="24" t="s">
        <v>14</v>
      </c>
      <c r="Q6" s="429" t="str">
        <f>IF(Q5=0," ",CHOOSE(WEEKDAY(Q5,2),"Понедельник","Вторник","Среда","Четверг","Пятница","Суббота","Воскресенье"))</f>
        <v>Пятница</v>
      </c>
      <c r="R6" s="285"/>
      <c r="T6" s="372" t="s">
        <v>15</v>
      </c>
      <c r="U6" s="365"/>
      <c r="V6" s="401" t="s">
        <v>16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65"/>
      <c r="V7" s="402"/>
      <c r="W7" s="403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7"/>
      <c r="C8" s="278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32">
        <v>0.41666666666666669</v>
      </c>
      <c r="R8" s="307"/>
      <c r="T8" s="280"/>
      <c r="U8" s="365"/>
      <c r="V8" s="402"/>
      <c r="W8" s="403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20</v>
      </c>
      <c r="Q9" s="344"/>
      <c r="R9" s="345"/>
      <c r="T9" s="280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0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21</v>
      </c>
      <c r="Q10" s="373"/>
      <c r="R10" s="374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0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43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32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43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20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43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5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2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35</v>
      </c>
      <c r="B17" s="297" t="s">
        <v>36</v>
      </c>
      <c r="C17" s="352" t="s">
        <v>37</v>
      </c>
      <c r="D17" s="297" t="s">
        <v>38</v>
      </c>
      <c r="E17" s="336"/>
      <c r="F17" s="297" t="s">
        <v>39</v>
      </c>
      <c r="G17" s="297" t="s">
        <v>40</v>
      </c>
      <c r="H17" s="297" t="s">
        <v>41</v>
      </c>
      <c r="I17" s="297" t="s">
        <v>42</v>
      </c>
      <c r="J17" s="297" t="s">
        <v>43</v>
      </c>
      <c r="K17" s="297" t="s">
        <v>44</v>
      </c>
      <c r="L17" s="297" t="s">
        <v>45</v>
      </c>
      <c r="M17" s="297" t="s">
        <v>46</v>
      </c>
      <c r="N17" s="297" t="s">
        <v>47</v>
      </c>
      <c r="O17" s="297" t="s">
        <v>48</v>
      </c>
      <c r="P17" s="297" t="s">
        <v>49</v>
      </c>
      <c r="Q17" s="335"/>
      <c r="R17" s="335"/>
      <c r="S17" s="335"/>
      <c r="T17" s="336"/>
      <c r="U17" s="449" t="s">
        <v>50</v>
      </c>
      <c r="V17" s="319"/>
      <c r="W17" s="297" t="s">
        <v>51</v>
      </c>
      <c r="X17" s="297" t="s">
        <v>52</v>
      </c>
      <c r="Y17" s="450" t="s">
        <v>53</v>
      </c>
      <c r="Z17" s="408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8"/>
      <c r="AF17" s="439"/>
      <c r="AG17" s="69"/>
      <c r="BD17" s="68" t="s">
        <v>59</v>
      </c>
    </row>
    <row r="18" spans="1:68" ht="14.25" customHeight="1" x14ac:dyDescent="0.2">
      <c r="A18" s="298"/>
      <c r="B18" s="298"/>
      <c r="C18" s="298"/>
      <c r="D18" s="337"/>
      <c r="E18" s="339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8"/>
      <c r="X18" s="298"/>
      <c r="Y18" s="451"/>
      <c r="Z18" s="409"/>
      <c r="AA18" s="398"/>
      <c r="AB18" s="398"/>
      <c r="AC18" s="398"/>
      <c r="AD18" s="440"/>
      <c r="AE18" s="441"/>
      <c r="AF18" s="442"/>
      <c r="AG18" s="69"/>
      <c r="BD18" s="68"/>
    </row>
    <row r="19" spans="1:68" ht="27.75" hidden="1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69</v>
      </c>
      <c r="X28" s="268">
        <v>210</v>
      </c>
      <c r="Y28" s="269">
        <f>IFERROR(IF(X28="","",X28),"")</f>
        <v>210</v>
      </c>
      <c r="Z28" s="36">
        <f>IFERROR(IF(X28="","",X28*0.00941),"")</f>
        <v>1.9761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403.57799999999997</v>
      </c>
      <c r="BN28" s="67">
        <f>IFERROR(Y28*I28,"0")</f>
        <v>403.57799999999997</v>
      </c>
      <c r="BO28" s="67">
        <f>IFERROR(X28/J28,"0")</f>
        <v>1.5</v>
      </c>
      <c r="BP28" s="67">
        <f>IFERROR(Y28/J28,"0")</f>
        <v>1.5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69</v>
      </c>
      <c r="X29" s="268">
        <v>210</v>
      </c>
      <c r="Y29" s="269">
        <f>IFERROR(IF(X29="","",X29),"")</f>
        <v>210</v>
      </c>
      <c r="Z29" s="36">
        <f>IFERROR(IF(X29="","",X29*0.00941),"")</f>
        <v>1.9761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403.57799999999997</v>
      </c>
      <c r="BN29" s="67">
        <f>IFERROR(Y29*I29,"0")</f>
        <v>403.57799999999997</v>
      </c>
      <c r="BO29" s="67">
        <f>IFERROR(X29/J29,"0")</f>
        <v>1.5</v>
      </c>
      <c r="BP29" s="67">
        <f>IFERROR(Y29/J29,"0")</f>
        <v>1.5</v>
      </c>
    </row>
    <row r="30" spans="1:68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420</v>
      </c>
      <c r="Y30" s="270">
        <f>IFERROR(SUM(Y28:Y29),"0")</f>
        <v>420</v>
      </c>
      <c r="Z30" s="270">
        <f>IFERROR(IF(Z28="",0,Z28),"0")+IFERROR(IF(Z29="",0,Z29),"0")</f>
        <v>3.9521999999999999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630</v>
      </c>
      <c r="Y31" s="270">
        <f>IFERROR(SUMPRODUCT(Y28:Y29*H28:H29),"0")</f>
        <v>630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69</v>
      </c>
      <c r="X41" s="268">
        <v>112</v>
      </c>
      <c r="Y41" s="269">
        <f>IFERROR(IF(X41="","",X41),"")</f>
        <v>112</v>
      </c>
      <c r="Z41" s="36">
        <f>IFERROR(IF(X41="","",X41*0.0155),"")</f>
        <v>1.736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817.6</v>
      </c>
      <c r="BN41" s="67">
        <f>IFERROR(Y41*I41,"0")</f>
        <v>817.6</v>
      </c>
      <c r="BO41" s="67">
        <f>IFERROR(X41/J41,"0")</f>
        <v>1.3333333333333333</v>
      </c>
      <c r="BP41" s="67">
        <f>IFERROR(Y41/J41,"0")</f>
        <v>1.3333333333333333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69</v>
      </c>
      <c r="X42" s="268">
        <v>112</v>
      </c>
      <c r="Y42" s="269">
        <f>IFERROR(IF(X42="","",X42),"")</f>
        <v>112</v>
      </c>
      <c r="Z42" s="36">
        <f>IFERROR(IF(X42="","",X42*0.0155),"")</f>
        <v>1.736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816.03199999999993</v>
      </c>
      <c r="BN42" s="67">
        <f>IFERROR(Y42*I42,"0")</f>
        <v>816.03199999999993</v>
      </c>
      <c r="BO42" s="67">
        <f>IFERROR(X42/J42,"0")</f>
        <v>1.3333333333333333</v>
      </c>
      <c r="BP42" s="67">
        <f>IFERROR(Y42/J42,"0")</f>
        <v>1.3333333333333333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5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69</v>
      </c>
      <c r="X44" s="268">
        <v>112</v>
      </c>
      <c r="Y44" s="269">
        <f>IFERROR(IF(X44="","",X44),"")</f>
        <v>112</v>
      </c>
      <c r="Z44" s="36">
        <f>IFERROR(IF(X44="","",X44*0.0155),"")</f>
        <v>1.736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817.6</v>
      </c>
      <c r="BN44" s="67">
        <f>IFERROR(Y44*I44,"0")</f>
        <v>817.6</v>
      </c>
      <c r="BO44" s="67">
        <f>IFERROR(X44/J44,"0")</f>
        <v>1.3333333333333333</v>
      </c>
      <c r="BP44" s="67">
        <f>IFERROR(Y44/J44,"0")</f>
        <v>1.3333333333333333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336</v>
      </c>
      <c r="Y45" s="270">
        <f>IFERROR(SUM(Y41:Y44),"0")</f>
        <v>336</v>
      </c>
      <c r="Z45" s="270">
        <f>IFERROR(IF(Z41="",0,Z41),"0")+IFERROR(IF(Z42="",0,Z42),"0")+IFERROR(IF(Z43="",0,Z43),"0")+IFERROR(IF(Z44="",0,Z44),"0")</f>
        <v>5.2080000000000002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2352</v>
      </c>
      <c r="Y46" s="270">
        <f>IFERROR(SUMPRODUCT(Y41:Y44*H41:H44),"0")</f>
        <v>2352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125</v>
      </c>
      <c r="B63" s="54" t="s">
        <v>126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69</v>
      </c>
      <c r="X63" s="268">
        <v>140</v>
      </c>
      <c r="Y63" s="269">
        <f>IFERROR(IF(X63="","",X63),"")</f>
        <v>140</v>
      </c>
      <c r="Z63" s="36">
        <f>IFERROR(IF(X63="","",X63*0.00941),"")</f>
        <v>1.3173999999999999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218.4</v>
      </c>
      <c r="BN63" s="67">
        <f>IFERROR(Y63*I63,"0")</f>
        <v>218.4</v>
      </c>
      <c r="BO63" s="67">
        <f>IFERROR(X63/J63,"0")</f>
        <v>1</v>
      </c>
      <c r="BP63" s="67">
        <f>IFERROR(Y63/J63,"0")</f>
        <v>1</v>
      </c>
    </row>
    <row r="64" spans="1:68" ht="27" hidden="1" customHeight="1" x14ac:dyDescent="0.25">
      <c r="A64" s="54" t="s">
        <v>128</v>
      </c>
      <c r="B64" s="54" t="s">
        <v>129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140</v>
      </c>
      <c r="Y65" s="270">
        <f>IFERROR(SUM(Y62:Y64),"0")</f>
        <v>140</v>
      </c>
      <c r="Z65" s="270">
        <f>IFERROR(IF(Z62="",0,Z62),"0")+IFERROR(IF(Z63="",0,Z63),"0")+IFERROR(IF(Z64="",0,Z64),"0")</f>
        <v>1.3173999999999999</v>
      </c>
      <c r="AA65" s="271"/>
      <c r="AB65" s="271"/>
      <c r="AC65" s="271"/>
    </row>
    <row r="66" spans="1:68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168</v>
      </c>
      <c r="Y66" s="270">
        <f>IFERROR(SUMPRODUCT(Y62:Y64*H62:H64),"0")</f>
        <v>168</v>
      </c>
      <c r="Z66" s="37"/>
      <c r="AA66" s="271"/>
      <c r="AB66" s="271"/>
      <c r="AC66" s="271"/>
    </row>
    <row r="67" spans="1:68" ht="16.5" hidden="1" customHeight="1" x14ac:dyDescent="0.25">
      <c r="A67" s="279" t="s">
        <v>130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131</v>
      </c>
      <c r="B69" s="54" t="s">
        <v>132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135</v>
      </c>
      <c r="B70" s="54" t="s">
        <v>136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69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hidden="1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hidden="1" customHeight="1" x14ac:dyDescent="0.25">
      <c r="A73" s="279" t="s">
        <v>137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69</v>
      </c>
      <c r="X75" s="268">
        <v>140</v>
      </c>
      <c r="Y75" s="269">
        <f>IFERROR(IF(X75="","",X75),"")</f>
        <v>140</v>
      </c>
      <c r="Z75" s="36">
        <f>IFERROR(IF(X75="","",X75*0.01788),"")</f>
        <v>2.5032000000000001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602.50400000000002</v>
      </c>
      <c r="BN75" s="67">
        <f>IFERROR(Y75*I75,"0")</f>
        <v>602.50400000000002</v>
      </c>
      <c r="BO75" s="67">
        <f>IFERROR(X75/J75,"0")</f>
        <v>2</v>
      </c>
      <c r="BP75" s="67">
        <f>IFERROR(Y75/J75,"0")</f>
        <v>2</v>
      </c>
    </row>
    <row r="76" spans="1:68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140</v>
      </c>
      <c r="Y76" s="270">
        <f>IFERROR(SUM(Y75:Y75),"0")</f>
        <v>140</v>
      </c>
      <c r="Z76" s="270">
        <f>IFERROR(IF(Z75="",0,Z75),"0")</f>
        <v>2.5032000000000001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504</v>
      </c>
      <c r="Y77" s="270">
        <f>IFERROR(SUMPRODUCT(Y75:Y75*H75:H75),"0")</f>
        <v>504</v>
      </c>
      <c r="Z77" s="37"/>
      <c r="AA77" s="271"/>
      <c r="AB77" s="271"/>
      <c r="AC77" s="271"/>
    </row>
    <row r="78" spans="1:68" ht="16.5" hidden="1" customHeight="1" x14ac:dyDescent="0.25">
      <c r="A78" s="279" t="s">
        <v>141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142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3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69</v>
      </c>
      <c r="X80" s="268">
        <v>210</v>
      </c>
      <c r="Y80" s="269">
        <f>IFERROR(IF(X80="","",X80),"")</f>
        <v>210</v>
      </c>
      <c r="Z80" s="36">
        <f>IFERROR(IF(X80="","",X80*0.01788),"")</f>
        <v>3.7547999999999999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903.75600000000009</v>
      </c>
      <c r="BN80" s="67">
        <f>IFERROR(Y80*I80,"0")</f>
        <v>903.75600000000009</v>
      </c>
      <c r="BO80" s="67">
        <f>IFERROR(X80/J80,"0")</f>
        <v>3</v>
      </c>
      <c r="BP80" s="67">
        <f>IFERROR(Y80/J80,"0")</f>
        <v>3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69</v>
      </c>
      <c r="X81" s="268">
        <v>140</v>
      </c>
      <c r="Y81" s="269">
        <f>IFERROR(IF(X81="","",X81),"")</f>
        <v>140</v>
      </c>
      <c r="Z81" s="36">
        <f>IFERROR(IF(X81="","",X81*0.01788),"")</f>
        <v>2.5032000000000001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602.50400000000002</v>
      </c>
      <c r="BN81" s="67">
        <f>IFERROR(Y81*I81,"0")</f>
        <v>602.50400000000002</v>
      </c>
      <c r="BO81" s="67">
        <f>IFERROR(X81/J81,"0")</f>
        <v>2</v>
      </c>
      <c r="BP81" s="67">
        <f>IFERROR(Y81/J81,"0")</f>
        <v>2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350</v>
      </c>
      <c r="Y82" s="270">
        <f>IFERROR(SUM(Y80:Y81),"0")</f>
        <v>350</v>
      </c>
      <c r="Z82" s="270">
        <f>IFERROR(IF(Z80="",0,Z80),"0")+IFERROR(IF(Z81="",0,Z81),"0")</f>
        <v>6.258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1260</v>
      </c>
      <c r="Y83" s="270">
        <f>IFERROR(SUMPRODUCT(Y80:Y81*H80:H81),"0")</f>
        <v>1260</v>
      </c>
      <c r="Z83" s="37"/>
      <c r="AA83" s="271"/>
      <c r="AB83" s="271"/>
      <c r="AC83" s="271"/>
    </row>
    <row r="84" spans="1:68" ht="16.5" hidden="1" customHeight="1" x14ac:dyDescent="0.25">
      <c r="A84" s="279" t="s">
        <v>149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69</v>
      </c>
      <c r="X86" s="268">
        <v>70</v>
      </c>
      <c r="Y86" s="269">
        <f t="shared" ref="Y86:Y91" si="0">IFERROR(IF(X86="","",X86),"")</f>
        <v>70</v>
      </c>
      <c r="Z86" s="36">
        <f t="shared" ref="Z86:Z91" si="1">IFERROR(IF(X86="","",X86*0.01788),"")</f>
        <v>1.2516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250.852</v>
      </c>
      <c r="BN86" s="67">
        <f t="shared" ref="BN86:BN91" si="3">IFERROR(Y86*I86,"0")</f>
        <v>250.852</v>
      </c>
      <c r="BO86" s="67">
        <f t="shared" ref="BO86:BO91" si="4">IFERROR(X86/J86,"0")</f>
        <v>1</v>
      </c>
      <c r="BP86" s="67">
        <f t="shared" ref="BP86:BP91" si="5">IFERROR(Y86/J86,"0")</f>
        <v>1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69</v>
      </c>
      <c r="X87" s="268">
        <v>140</v>
      </c>
      <c r="Y87" s="269">
        <f t="shared" si="0"/>
        <v>140</v>
      </c>
      <c r="Z87" s="36">
        <f t="shared" si="1"/>
        <v>2.5032000000000001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501.70400000000001</v>
      </c>
      <c r="BN87" s="67">
        <f t="shared" si="3"/>
        <v>501.70400000000001</v>
      </c>
      <c r="BO87" s="67">
        <f t="shared" si="4"/>
        <v>2</v>
      </c>
      <c r="BP87" s="67">
        <f t="shared" si="5"/>
        <v>2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69</v>
      </c>
      <c r="X88" s="268">
        <v>70</v>
      </c>
      <c r="Y88" s="269">
        <f t="shared" si="0"/>
        <v>70</v>
      </c>
      <c r="Z88" s="36">
        <f t="shared" si="1"/>
        <v>1.2516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250.852</v>
      </c>
      <c r="BN88" s="67">
        <f t="shared" si="3"/>
        <v>250.852</v>
      </c>
      <c r="BO88" s="67">
        <f t="shared" si="4"/>
        <v>1</v>
      </c>
      <c r="BP88" s="67">
        <f t="shared" si="5"/>
        <v>1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69</v>
      </c>
      <c r="X89" s="268">
        <v>210</v>
      </c>
      <c r="Y89" s="269">
        <f t="shared" si="0"/>
        <v>210</v>
      </c>
      <c r="Z89" s="36">
        <f t="shared" si="1"/>
        <v>3.7547999999999999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752.55600000000004</v>
      </c>
      <c r="BN89" s="67">
        <f t="shared" si="3"/>
        <v>752.55600000000004</v>
      </c>
      <c r="BO89" s="67">
        <f t="shared" si="4"/>
        <v>3</v>
      </c>
      <c r="BP89" s="67">
        <f t="shared" si="5"/>
        <v>3</v>
      </c>
    </row>
    <row r="90" spans="1:68" ht="27" hidden="1" customHeight="1" x14ac:dyDescent="0.25">
      <c r="A90" s="54" t="s">
        <v>159</v>
      </c>
      <c r="B90" s="54" t="s">
        <v>160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161</v>
      </c>
      <c r="B91" s="54" t="s">
        <v>162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490</v>
      </c>
      <c r="Y92" s="270">
        <f>IFERROR(SUM(Y86:Y91),"0")</f>
        <v>490</v>
      </c>
      <c r="Z92" s="270">
        <f>IFERROR(IF(Z86="",0,Z86),"0")+IFERROR(IF(Z87="",0,Z87),"0")+IFERROR(IF(Z88="",0,Z88),"0")+IFERROR(IF(Z89="",0,Z89),"0")+IFERROR(IF(Z90="",0,Z90),"0")+IFERROR(IF(Z91="",0,Z91),"0")</f>
        <v>8.7612000000000005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1411.1999999999998</v>
      </c>
      <c r="Y93" s="270">
        <f>IFERROR(SUMPRODUCT(Y86:Y91*H86:H91),"0")</f>
        <v>1411.1999999999998</v>
      </c>
      <c r="Z93" s="37"/>
      <c r="AA93" s="271"/>
      <c r="AB93" s="271"/>
      <c r="AC93" s="271"/>
    </row>
    <row r="94" spans="1:68" ht="16.5" hidden="1" customHeight="1" x14ac:dyDescent="0.25">
      <c r="A94" s="279" t="s">
        <v>164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hidden="1" customHeight="1" x14ac:dyDescent="0.25">
      <c r="A96" s="54" t="s">
        <v>165</v>
      </c>
      <c r="B96" s="54" t="s">
        <v>166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168</v>
      </c>
      <c r="B97" s="54" t="s">
        <v>169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170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hidden="1" customHeight="1" x14ac:dyDescent="0.25">
      <c r="A102" s="54" t="s">
        <v>171</v>
      </c>
      <c r="B102" s="54" t="s">
        <v>172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174</v>
      </c>
      <c r="B103" s="54" t="s">
        <v>175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176</v>
      </c>
      <c r="B104" s="54" t="s">
        <v>177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178</v>
      </c>
      <c r="B105" s="54" t="s">
        <v>179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181</v>
      </c>
      <c r="B106" s="54" t="s">
        <v>182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183</v>
      </c>
      <c r="B107" s="54" t="s">
        <v>184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idden="1" x14ac:dyDescent="0.2">
      <c r="A109" s="286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7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hidden="1" customHeight="1" x14ac:dyDescent="0.25">
      <c r="A111" s="304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2"/>
      <c r="AB111" s="262"/>
      <c r="AC111" s="262"/>
    </row>
    <row r="112" spans="1:68" ht="27" hidden="1" customHeight="1" x14ac:dyDescent="0.25">
      <c r="A112" s="54" t="s">
        <v>188</v>
      </c>
      <c r="B112" s="54" t="s">
        <v>189</v>
      </c>
      <c r="C112" s="31">
        <v>4301135670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2"/>
      <c r="R112" s="282"/>
      <c r="S112" s="282"/>
      <c r="T112" s="283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hidden="1" customHeight="1" x14ac:dyDescent="0.25">
      <c r="A113" s="54" t="s">
        <v>191</v>
      </c>
      <c r="B113" s="54" t="s">
        <v>192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72</v>
      </c>
      <c r="Q114" s="277"/>
      <c r="R114" s="277"/>
      <c r="S114" s="277"/>
      <c r="T114" s="277"/>
      <c r="U114" s="277"/>
      <c r="V114" s="278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hidden="1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72</v>
      </c>
      <c r="Q115" s="277"/>
      <c r="R115" s="277"/>
      <c r="S115" s="277"/>
      <c r="T115" s="277"/>
      <c r="U115" s="277"/>
      <c r="V115" s="278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194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195</v>
      </c>
      <c r="B117" s="54" t="s">
        <v>196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72</v>
      </c>
      <c r="Q118" s="277"/>
      <c r="R118" s="277"/>
      <c r="S118" s="277"/>
      <c r="T118" s="277"/>
      <c r="U118" s="277"/>
      <c r="V118" s="278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72</v>
      </c>
      <c r="Q119" s="277"/>
      <c r="R119" s="277"/>
      <c r="S119" s="277"/>
      <c r="T119" s="277"/>
      <c r="U119" s="277"/>
      <c r="V119" s="278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198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120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69</v>
      </c>
      <c r="X122" s="268">
        <v>140</v>
      </c>
      <c r="Y122" s="269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69</v>
      </c>
      <c r="X123" s="268">
        <v>70</v>
      </c>
      <c r="Y123" s="269">
        <f>IFERROR(IF(X123="","",X123),"")</f>
        <v>70</v>
      </c>
      <c r="Z123" s="36">
        <f>IFERROR(IF(X123="","",X123*0.01788),"")</f>
        <v>1.2516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259.25200000000001</v>
      </c>
      <c r="BN123" s="67">
        <f>IFERROR(Y123*I123,"0")</f>
        <v>259.25200000000001</v>
      </c>
      <c r="BO123" s="67">
        <f>IFERROR(X123/J123,"0")</f>
        <v>1</v>
      </c>
      <c r="BP123" s="67">
        <f>IFERROR(Y123/J123,"0")</f>
        <v>1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72</v>
      </c>
      <c r="Q124" s="277"/>
      <c r="R124" s="277"/>
      <c r="S124" s="277"/>
      <c r="T124" s="277"/>
      <c r="U124" s="277"/>
      <c r="V124" s="278"/>
      <c r="W124" s="37" t="s">
        <v>69</v>
      </c>
      <c r="X124" s="270">
        <f>IFERROR(SUM(X122:X123),"0")</f>
        <v>210</v>
      </c>
      <c r="Y124" s="270">
        <f>IFERROR(SUM(Y122:Y123),"0")</f>
        <v>210</v>
      </c>
      <c r="Z124" s="270">
        <f>IFERROR(IF(Z122="",0,Z122),"0")+IFERROR(IF(Z123="",0,Z123),"0")</f>
        <v>3.7548000000000004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72</v>
      </c>
      <c r="Q125" s="277"/>
      <c r="R125" s="277"/>
      <c r="S125" s="277"/>
      <c r="T125" s="277"/>
      <c r="U125" s="277"/>
      <c r="V125" s="278"/>
      <c r="W125" s="37" t="s">
        <v>73</v>
      </c>
      <c r="X125" s="270">
        <f>IFERROR(SUMPRODUCT(X122:X123*H122:H123),"0")</f>
        <v>630</v>
      </c>
      <c r="Y125" s="270">
        <f>IFERROR(SUMPRODUCT(Y122:Y123*H122:H123),"0")</f>
        <v>630</v>
      </c>
      <c r="Z125" s="37"/>
      <c r="AA125" s="271"/>
      <c r="AB125" s="271"/>
      <c r="AC125" s="271"/>
    </row>
    <row r="126" spans="1:68" ht="16.5" hidden="1" customHeight="1" x14ac:dyDescent="0.25">
      <c r="A126" s="279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120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69</v>
      </c>
      <c r="X128" s="268">
        <v>140</v>
      </c>
      <c r="Y128" s="269">
        <f>IFERROR(IF(X128="","",X128),"")</f>
        <v>140</v>
      </c>
      <c r="Z128" s="36">
        <f>IFERROR(IF(X128="","",X128*0.01788),"")</f>
        <v>2.5032000000000001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524.72</v>
      </c>
      <c r="BN128" s="67">
        <f>IFERROR(Y128*I128,"0")</f>
        <v>524.72</v>
      </c>
      <c r="BO128" s="67">
        <f>IFERROR(X128/J128,"0")</f>
        <v>2</v>
      </c>
      <c r="BP128" s="67">
        <f>IFERROR(Y128/J128,"0")</f>
        <v>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69</v>
      </c>
      <c r="X129" s="268">
        <v>140</v>
      </c>
      <c r="Y129" s="269">
        <f>IFERROR(IF(X129="","",X129),"")</f>
        <v>140</v>
      </c>
      <c r="Z129" s="36">
        <f>IFERROR(IF(X129="","",X129*0.01788),"")</f>
        <v>2.5032000000000001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518.50400000000002</v>
      </c>
      <c r="BN129" s="67">
        <f>IFERROR(Y129*I129,"0")</f>
        <v>518.50400000000002</v>
      </c>
      <c r="BO129" s="67">
        <f>IFERROR(X129/J129,"0")</f>
        <v>2</v>
      </c>
      <c r="BP129" s="67">
        <f>IFERROR(Y129/J129,"0")</f>
        <v>2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72</v>
      </c>
      <c r="Q130" s="277"/>
      <c r="R130" s="277"/>
      <c r="S130" s="277"/>
      <c r="T130" s="277"/>
      <c r="U130" s="277"/>
      <c r="V130" s="278"/>
      <c r="W130" s="37" t="s">
        <v>69</v>
      </c>
      <c r="X130" s="270">
        <f>IFERROR(SUM(X128:X129),"0")</f>
        <v>280</v>
      </c>
      <c r="Y130" s="270">
        <f>IFERROR(SUM(Y128:Y129),"0")</f>
        <v>280</v>
      </c>
      <c r="Z130" s="270">
        <f>IFERROR(IF(Z128="",0,Z128),"0")+IFERROR(IF(Z129="",0,Z129),"0")</f>
        <v>5.0064000000000002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72</v>
      </c>
      <c r="Q131" s="277"/>
      <c r="R131" s="277"/>
      <c r="S131" s="277"/>
      <c r="T131" s="277"/>
      <c r="U131" s="277"/>
      <c r="V131" s="278"/>
      <c r="W131" s="37" t="s">
        <v>73</v>
      </c>
      <c r="X131" s="270">
        <f>IFERROR(SUMPRODUCT(X128:X129*H128:H129),"0")</f>
        <v>840</v>
      </c>
      <c r="Y131" s="270">
        <f>IFERROR(SUMPRODUCT(Y128:Y129*H128:H129),"0")</f>
        <v>840</v>
      </c>
      <c r="Z131" s="37"/>
      <c r="AA131" s="271"/>
      <c r="AB131" s="271"/>
      <c r="AC131" s="271"/>
    </row>
    <row r="132" spans="1:68" ht="16.5" hidden="1" customHeight="1" x14ac:dyDescent="0.25">
      <c r="A132" s="279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120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hidden="1" customHeight="1" x14ac:dyDescent="0.25">
      <c r="A134" s="54" t="s">
        <v>212</v>
      </c>
      <c r="B134" s="54" t="s">
        <v>213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3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214</v>
      </c>
      <c r="B135" s="54" t="s">
        <v>215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5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idden="1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72</v>
      </c>
      <c r="Q136" s="277"/>
      <c r="R136" s="277"/>
      <c r="S136" s="277"/>
      <c r="T136" s="277"/>
      <c r="U136" s="277"/>
      <c r="V136" s="278"/>
      <c r="W136" s="37" t="s">
        <v>69</v>
      </c>
      <c r="X136" s="270">
        <f>IFERROR(SUM(X134:X135),"0")</f>
        <v>0</v>
      </c>
      <c r="Y136" s="270">
        <f>IFERROR(SUM(Y134:Y135),"0")</f>
        <v>0</v>
      </c>
      <c r="Z136" s="270">
        <f>IFERROR(IF(Z134="",0,Z134),"0")+IFERROR(IF(Z135="",0,Z135),"0")</f>
        <v>0</v>
      </c>
      <c r="AA136" s="271"/>
      <c r="AB136" s="271"/>
      <c r="AC136" s="271"/>
    </row>
    <row r="137" spans="1:68" hidden="1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72</v>
      </c>
      <c r="Q137" s="277"/>
      <c r="R137" s="277"/>
      <c r="S137" s="277"/>
      <c r="T137" s="277"/>
      <c r="U137" s="277"/>
      <c r="V137" s="278"/>
      <c r="W137" s="37" t="s">
        <v>73</v>
      </c>
      <c r="X137" s="270">
        <f>IFERROR(SUMPRODUCT(X134:X135*H134:H135),"0")</f>
        <v>0</v>
      </c>
      <c r="Y137" s="270">
        <f>IFERROR(SUMPRODUCT(Y134:Y135*H134:H135),"0")</f>
        <v>0</v>
      </c>
      <c r="Z137" s="37"/>
      <c r="AA137" s="271"/>
      <c r="AB137" s="271"/>
      <c r="AC137" s="271"/>
    </row>
    <row r="138" spans="1:68" ht="16.5" hidden="1" customHeight="1" x14ac:dyDescent="0.25">
      <c r="A138" s="279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120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69</v>
      </c>
      <c r="X140" s="268">
        <v>70</v>
      </c>
      <c r="Y140" s="269">
        <f>IFERROR(IF(X140="","",X140),"")</f>
        <v>70</v>
      </c>
      <c r="Z140" s="36">
        <f>IFERROR(IF(X140="","",X140*0.01788),"")</f>
        <v>1.2516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259.25200000000001</v>
      </c>
      <c r="BN140" s="67">
        <f>IFERROR(Y140*I140,"0")</f>
        <v>259.25200000000001</v>
      </c>
      <c r="BO140" s="67">
        <f>IFERROR(X140/J140,"0")</f>
        <v>1</v>
      </c>
      <c r="BP140" s="67">
        <f>IFERROR(Y140/J140,"0")</f>
        <v>1</v>
      </c>
    </row>
    <row r="141" spans="1:68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72</v>
      </c>
      <c r="Q141" s="277"/>
      <c r="R141" s="277"/>
      <c r="S141" s="277"/>
      <c r="T141" s="277"/>
      <c r="U141" s="277"/>
      <c r="V141" s="278"/>
      <c r="W141" s="37" t="s">
        <v>69</v>
      </c>
      <c r="X141" s="270">
        <f>IFERROR(SUM(X140:X140),"0")</f>
        <v>70</v>
      </c>
      <c r="Y141" s="270">
        <f>IFERROR(SUM(Y140:Y140),"0")</f>
        <v>70</v>
      </c>
      <c r="Z141" s="270">
        <f>IFERROR(IF(Z140="",0,Z140),"0")</f>
        <v>1.2516</v>
      </c>
      <c r="AA141" s="271"/>
      <c r="AB141" s="271"/>
      <c r="AC141" s="271"/>
    </row>
    <row r="142" spans="1:68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72</v>
      </c>
      <c r="Q142" s="277"/>
      <c r="R142" s="277"/>
      <c r="S142" s="277"/>
      <c r="T142" s="277"/>
      <c r="U142" s="277"/>
      <c r="V142" s="278"/>
      <c r="W142" s="37" t="s">
        <v>73</v>
      </c>
      <c r="X142" s="270">
        <f>IFERROR(SUMPRODUCT(X140:X140*H140:H140),"0")</f>
        <v>210</v>
      </c>
      <c r="Y142" s="270">
        <f>IFERROR(SUMPRODUCT(Y140:Y140*H140:H140),"0")</f>
        <v>210</v>
      </c>
      <c r="Z142" s="37"/>
      <c r="AA142" s="271"/>
      <c r="AB142" s="271"/>
      <c r="AC142" s="271"/>
    </row>
    <row r="143" spans="1:68" ht="16.5" hidden="1" customHeight="1" x14ac:dyDescent="0.25">
      <c r="A143" s="279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120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72</v>
      </c>
      <c r="Q146" s="277"/>
      <c r="R146" s="277"/>
      <c r="S146" s="277"/>
      <c r="T146" s="277"/>
      <c r="U146" s="277"/>
      <c r="V146" s="278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72</v>
      </c>
      <c r="Q147" s="277"/>
      <c r="R147" s="277"/>
      <c r="S147" s="277"/>
      <c r="T147" s="277"/>
      <c r="U147" s="277"/>
      <c r="V147" s="278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194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69</v>
      </c>
      <c r="X150" s="268">
        <v>72</v>
      </c>
      <c r="Y150" s="269">
        <f>IFERROR(IF(X150="","",X150),"")</f>
        <v>72</v>
      </c>
      <c r="Z150" s="36">
        <f>IFERROR(IF(X150="","",X150*0.01157),"")</f>
        <v>0.83304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152.64000000000001</v>
      </c>
      <c r="BN150" s="67">
        <f>IFERROR(Y150*I150,"0")</f>
        <v>152.64000000000001</v>
      </c>
      <c r="BO150" s="67">
        <f>IFERROR(X150/J150,"0")</f>
        <v>1</v>
      </c>
      <c r="BP150" s="67">
        <f>IFERROR(Y150/J150,"0")</f>
        <v>1</v>
      </c>
    </row>
    <row r="151" spans="1:68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72</v>
      </c>
      <c r="Q151" s="277"/>
      <c r="R151" s="277"/>
      <c r="S151" s="277"/>
      <c r="T151" s="277"/>
      <c r="U151" s="277"/>
      <c r="V151" s="278"/>
      <c r="W151" s="37" t="s">
        <v>69</v>
      </c>
      <c r="X151" s="270">
        <f>IFERROR(SUM(X150:X150),"0")</f>
        <v>72</v>
      </c>
      <c r="Y151" s="270">
        <f>IFERROR(SUM(Y150:Y150),"0")</f>
        <v>72</v>
      </c>
      <c r="Z151" s="270">
        <f>IFERROR(IF(Z150="",0,Z150),"0")</f>
        <v>0.83304</v>
      </c>
      <c r="AA151" s="271"/>
      <c r="AB151" s="271"/>
      <c r="AC151" s="271"/>
    </row>
    <row r="152" spans="1:68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72</v>
      </c>
      <c r="Q152" s="277"/>
      <c r="R152" s="277"/>
      <c r="S152" s="277"/>
      <c r="T152" s="277"/>
      <c r="U152" s="277"/>
      <c r="V152" s="278"/>
      <c r="W152" s="37" t="s">
        <v>73</v>
      </c>
      <c r="X152" s="270">
        <f>IFERROR(SUMPRODUCT(X150:X150*H150:H150),"0")</f>
        <v>115.2</v>
      </c>
      <c r="Y152" s="270">
        <f>IFERROR(SUMPRODUCT(Y150:Y150*H150:H150),"0")</f>
        <v>115.2</v>
      </c>
      <c r="Z152" s="37"/>
      <c r="AA152" s="271"/>
      <c r="AB152" s="271"/>
      <c r="AC152" s="271"/>
    </row>
    <row r="153" spans="1:68" ht="16.5" hidden="1" customHeight="1" x14ac:dyDescent="0.25">
      <c r="A153" s="279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120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69</v>
      </c>
      <c r="X155" s="268">
        <v>140</v>
      </c>
      <c r="Y155" s="269">
        <f>IFERROR(IF(X155="","",X155),"")</f>
        <v>140</v>
      </c>
      <c r="Z155" s="36">
        <f>IFERROR(IF(X155="","",X155*0.00941),"")</f>
        <v>1.3173999999999999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294.25200000000001</v>
      </c>
      <c r="BN155" s="67">
        <f>IFERROR(Y155*I155,"0")</f>
        <v>294.25200000000001</v>
      </c>
      <c r="BO155" s="67">
        <f>IFERROR(X155/J155,"0")</f>
        <v>1</v>
      </c>
      <c r="BP155" s="67">
        <f>IFERROR(Y155/J155,"0")</f>
        <v>1</v>
      </c>
    </row>
    <row r="156" spans="1:68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72</v>
      </c>
      <c r="Q156" s="277"/>
      <c r="R156" s="277"/>
      <c r="S156" s="277"/>
      <c r="T156" s="277"/>
      <c r="U156" s="277"/>
      <c r="V156" s="278"/>
      <c r="W156" s="37" t="s">
        <v>69</v>
      </c>
      <c r="X156" s="270">
        <f>IFERROR(SUM(X155:X155),"0")</f>
        <v>140</v>
      </c>
      <c r="Y156" s="270">
        <f>IFERROR(SUM(Y155:Y155),"0")</f>
        <v>140</v>
      </c>
      <c r="Z156" s="270">
        <f>IFERROR(IF(Z155="",0,Z155),"0")</f>
        <v>1.3173999999999999</v>
      </c>
      <c r="AA156" s="271"/>
      <c r="AB156" s="271"/>
      <c r="AC156" s="271"/>
    </row>
    <row r="157" spans="1:68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72</v>
      </c>
      <c r="Q157" s="277"/>
      <c r="R157" s="277"/>
      <c r="S157" s="277"/>
      <c r="T157" s="277"/>
      <c r="U157" s="277"/>
      <c r="V157" s="278"/>
      <c r="W157" s="37" t="s">
        <v>73</v>
      </c>
      <c r="X157" s="270">
        <f>IFERROR(SUMPRODUCT(X155:X155*H155:H155),"0")</f>
        <v>235.2</v>
      </c>
      <c r="Y157" s="270">
        <f>IFERROR(SUMPRODUCT(Y155:Y155*H155:H155),"0")</f>
        <v>235.2</v>
      </c>
      <c r="Z157" s="37"/>
      <c r="AA157" s="271"/>
      <c r="AB157" s="271"/>
      <c r="AC157" s="271"/>
    </row>
    <row r="158" spans="1:68" ht="27.75" hidden="1" customHeight="1" x14ac:dyDescent="0.2">
      <c r="A158" s="320" t="s">
        <v>232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63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hidden="1" customHeight="1" x14ac:dyDescent="0.25">
      <c r="A162" s="54" t="s">
        <v>237</v>
      </c>
      <c r="B162" s="54" t="s">
        <v>238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69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72</v>
      </c>
      <c r="Q163" s="277"/>
      <c r="R163" s="277"/>
      <c r="S163" s="277"/>
      <c r="T163" s="277"/>
      <c r="U163" s="277"/>
      <c r="V163" s="278"/>
      <c r="W163" s="37" t="s">
        <v>69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hidden="1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72</v>
      </c>
      <c r="Q164" s="277"/>
      <c r="R164" s="277"/>
      <c r="S164" s="277"/>
      <c r="T164" s="277"/>
      <c r="U164" s="277"/>
      <c r="V164" s="278"/>
      <c r="W164" s="37" t="s">
        <v>73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240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76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hidden="1" customHeight="1" x14ac:dyDescent="0.25">
      <c r="A168" s="54" t="s">
        <v>242</v>
      </c>
      <c r="B168" s="54" t="s">
        <v>243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9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hidden="1" customHeight="1" x14ac:dyDescent="0.25">
      <c r="A170" s="54" t="s">
        <v>248</v>
      </c>
      <c r="B170" s="54" t="s">
        <v>249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69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idden="1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72</v>
      </c>
      <c r="Q171" s="277"/>
      <c r="R171" s="277"/>
      <c r="S171" s="277"/>
      <c r="T171" s="277"/>
      <c r="U171" s="277"/>
      <c r="V171" s="278"/>
      <c r="W171" s="37" t="s">
        <v>69</v>
      </c>
      <c r="X171" s="270">
        <f>IFERROR(SUM(X168:X170),"0")</f>
        <v>0</v>
      </c>
      <c r="Y171" s="270">
        <f>IFERROR(SUM(Y168:Y170),"0")</f>
        <v>0</v>
      </c>
      <c r="Z171" s="270">
        <f>IFERROR(IF(Z168="",0,Z168),"0")+IFERROR(IF(Z169="",0,Z169),"0")+IFERROR(IF(Z170="",0,Z170),"0")</f>
        <v>0</v>
      </c>
      <c r="AA171" s="271"/>
      <c r="AB171" s="271"/>
      <c r="AC171" s="271"/>
    </row>
    <row r="172" spans="1:68" hidden="1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72</v>
      </c>
      <c r="Q172" s="277"/>
      <c r="R172" s="277"/>
      <c r="S172" s="277"/>
      <c r="T172" s="277"/>
      <c r="U172" s="277"/>
      <c r="V172" s="278"/>
      <c r="W172" s="37" t="s">
        <v>73</v>
      </c>
      <c r="X172" s="270">
        <f>IFERROR(SUMPRODUCT(X168:X170*H168:H170),"0")</f>
        <v>0</v>
      </c>
      <c r="Y172" s="270">
        <f>IFERROR(SUMPRODUCT(Y168:Y170*H168:H170),"0")</f>
        <v>0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48" t="s">
        <v>256</v>
      </c>
      <c r="Q174" s="282"/>
      <c r="R174" s="282"/>
      <c r="S174" s="282"/>
      <c r="T174" s="283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72</v>
      </c>
      <c r="Q175" s="277"/>
      <c r="R175" s="277"/>
      <c r="S175" s="277"/>
      <c r="T175" s="277"/>
      <c r="U175" s="277"/>
      <c r="V175" s="278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72</v>
      </c>
      <c r="Q176" s="277"/>
      <c r="R176" s="277"/>
      <c r="S176" s="277"/>
      <c r="T176" s="277"/>
      <c r="U176" s="277"/>
      <c r="V176" s="278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259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76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hidden="1" customHeight="1" x14ac:dyDescent="0.25">
      <c r="A180" s="54" t="s">
        <v>261</v>
      </c>
      <c r="B180" s="54" t="s">
        <v>262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72</v>
      </c>
      <c r="Q181" s="277"/>
      <c r="R181" s="277"/>
      <c r="S181" s="277"/>
      <c r="T181" s="277"/>
      <c r="U181" s="277"/>
      <c r="V181" s="278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72</v>
      </c>
      <c r="Q182" s="277"/>
      <c r="R182" s="277"/>
      <c r="S182" s="277"/>
      <c r="T182" s="277"/>
      <c r="U182" s="277"/>
      <c r="V182" s="278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120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54" t="s">
        <v>269</v>
      </c>
      <c r="Q185" s="282"/>
      <c r="R185" s="282"/>
      <c r="S185" s="282"/>
      <c r="T185" s="283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3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72</v>
      </c>
      <c r="Q188" s="277"/>
      <c r="R188" s="277"/>
      <c r="S188" s="277"/>
      <c r="T188" s="277"/>
      <c r="U188" s="277"/>
      <c r="V188" s="278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72</v>
      </c>
      <c r="Q189" s="277"/>
      <c r="R189" s="277"/>
      <c r="S189" s="277"/>
      <c r="T189" s="277"/>
      <c r="U189" s="277"/>
      <c r="V189" s="278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9" t="s">
        <v>276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63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9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7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286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hidden="1" customHeight="1" x14ac:dyDescent="0.25">
      <c r="A200" s="54" t="s">
        <v>287</v>
      </c>
      <c r="B200" s="54" t="s">
        <v>288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9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5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7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6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69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4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idden="1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hidden="1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27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5"/>
      <c r="P274" s="317" t="s">
        <v>367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8859.6</v>
      </c>
      <c r="Y274" s="270">
        <f>IFERROR(Y24+Y31+Y38+Y46+Y51+Y55+Y60+Y66+Y72+Y77+Y83+Y93+Y99+Y110+Y115+Y119+Y125+Y131+Y137+Y142+Y147+Y152+Y157+Y164+Y172+Y176+Y182+Y189+Y197+Y202+Y207+Y213+Y219+Y225+Y231+Y237+Y241+Y249+Y254+Y260+Y273,"0")</f>
        <v>8859.6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5"/>
      <c r="P275" s="317" t="s">
        <v>368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10394.480000000001</v>
      </c>
      <c r="Y275" s="270">
        <f>IFERROR(SUM(BN22:BN271),"0")</f>
        <v>10394.480000000001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5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33</v>
      </c>
      <c r="Y276" s="38">
        <f>ROUNDUP(SUM(BP22:BP271),0)</f>
        <v>33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5"/>
      <c r="P277" s="317" t="s">
        <v>371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11219.480000000001</v>
      </c>
      <c r="Y277" s="270">
        <f>GrossWeightTotalR+PalletQtyTotalR*25</f>
        <v>11219.480000000001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5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2732</v>
      </c>
      <c r="Y278" s="270">
        <f>IFERROR(Y23+Y30+Y37+Y45+Y50+Y54+Y59+Y65+Y71+Y76+Y82+Y92+Y98+Y109+Y114+Y118+Y124+Y130+Y136+Y141+Y146+Y151+Y156+Y163+Y171+Y175+Y181+Y188+Y196+Y201+Y206+Y212+Y218+Y224+Y230+Y236+Y240+Y248+Y253+Y259+Y272,"0")</f>
        <v>2732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5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41.465240000000001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2" t="s">
        <v>74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232</v>
      </c>
      <c r="V281" s="260" t="s">
        <v>240</v>
      </c>
      <c r="W281" s="272" t="s">
        <v>259</v>
      </c>
      <c r="X281" s="308"/>
      <c r="Y281" s="308"/>
      <c r="Z281" s="308"/>
      <c r="AA281" s="309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290" t="s">
        <v>376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130</v>
      </c>
      <c r="H282" s="272" t="s">
        <v>137</v>
      </c>
      <c r="I282" s="272" t="s">
        <v>141</v>
      </c>
      <c r="J282" s="272" t="s">
        <v>149</v>
      </c>
      <c r="K282" s="272" t="s">
        <v>164</v>
      </c>
      <c r="L282" s="272" t="s">
        <v>170</v>
      </c>
      <c r="M282" s="272" t="s">
        <v>198</v>
      </c>
      <c r="N282" s="261"/>
      <c r="O282" s="272" t="s">
        <v>204</v>
      </c>
      <c r="P282" s="272" t="s">
        <v>211</v>
      </c>
      <c r="Q282" s="272" t="s">
        <v>216</v>
      </c>
      <c r="R282" s="272" t="s">
        <v>220</v>
      </c>
      <c r="S282" s="272" t="s">
        <v>223</v>
      </c>
      <c r="T282" s="272" t="s">
        <v>228</v>
      </c>
      <c r="U282" s="272" t="s">
        <v>233</v>
      </c>
      <c r="V282" s="272" t="s">
        <v>241</v>
      </c>
      <c r="W282" s="272" t="s">
        <v>260</v>
      </c>
      <c r="X282" s="272" t="s">
        <v>276</v>
      </c>
      <c r="Y282" s="272" t="s">
        <v>286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630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2352</v>
      </c>
      <c r="F284" s="46">
        <f>IFERROR(X49*H49,"0")+IFERROR(X53*H53,"0")+IFERROR(X57*H57,"0")+IFERROR(X58*H58,"0")+IFERROR(X62*H62,"0")+IFERROR(X63*H63,"0")+IFERROR(X64*H64,"0")</f>
        <v>168</v>
      </c>
      <c r="G284" s="46">
        <f>IFERROR(X69*H69,"0")+IFERROR(X70*H70,"0")</f>
        <v>0</v>
      </c>
      <c r="H284" s="46">
        <f>IFERROR(X75*H75,"0")</f>
        <v>504</v>
      </c>
      <c r="I284" s="46">
        <f>IFERROR(X80*H80,"0")+IFERROR(X81*H81,"0")</f>
        <v>1260</v>
      </c>
      <c r="J284" s="46">
        <f>IFERROR(X86*H86,"0")+IFERROR(X87*H87,"0")+IFERROR(X88*H88,"0")+IFERROR(X89*H89,"0")+IFERROR(X90*H90,"0")+IFERROR(X91*H91,"0")</f>
        <v>1411.1999999999998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46">
        <f>IFERROR(X122*H122,"0")+IFERROR(X123*H123,"0")</f>
        <v>630</v>
      </c>
      <c r="N284" s="261"/>
      <c r="O284" s="46">
        <f>IFERROR(X128*H128,"0")+IFERROR(X129*H129,"0")</f>
        <v>840</v>
      </c>
      <c r="P284" s="46">
        <f>IFERROR(X134*H134,"0")+IFERROR(X135*H135,"0")</f>
        <v>0</v>
      </c>
      <c r="Q284" s="46">
        <f>IFERROR(X140*H140,"0")</f>
        <v>210</v>
      </c>
      <c r="R284" s="46">
        <f>IFERROR(X145*H145,"0")</f>
        <v>0</v>
      </c>
      <c r="S284" s="46">
        <f>IFERROR(X150*H150,"0")</f>
        <v>115.2</v>
      </c>
      <c r="T284" s="46">
        <f>IFERROR(X155*H155,"0")</f>
        <v>235.2</v>
      </c>
      <c r="U284" s="46">
        <f>IFERROR(X161*H161,"0")+IFERROR(X162*H162,"0")</f>
        <v>0</v>
      </c>
      <c r="V284" s="46">
        <f>IFERROR(X168*H168,"0")+IFERROR(X169*H169,"0")+IFERROR(X170*H170,"0")+IFERROR(X174*H174,"0")</f>
        <v>0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504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2352</v>
      </c>
      <c r="B287" s="60">
        <f>SUMPRODUCT(--(BB:BB="ПГП"),--(W:W="кор"),H:H,Y:Y)+SUMPRODUCT(--(BB:BB="ПГП"),--(W:W="кг"),Y:Y)</f>
        <v>6507.5999999999995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411,20"/>
        <filter val="10 394,48"/>
        <filter val="11 219,48"/>
        <filter val="112,00"/>
        <filter val="115,20"/>
        <filter val="140,00"/>
        <filter val="168,00"/>
        <filter val="2 352,00"/>
        <filter val="2 732,00"/>
        <filter val="210,00"/>
        <filter val="235,20"/>
        <filter val="280,00"/>
        <filter val="33"/>
        <filter val="336,00"/>
        <filter val="350,00"/>
        <filter val="420,00"/>
        <filter val="490,00"/>
        <filter val="504,00"/>
        <filter val="630,00"/>
        <filter val="70,00"/>
        <filter val="72,00"/>
        <filter val="8 859,60"/>
        <filter val="84,00"/>
        <filter val="840,00"/>
      </filters>
    </filterColumn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164:V164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