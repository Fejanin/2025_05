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D5641E-BA43-41CE-A2C4-9E563AAFA5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6" i="1" s="1"/>
  <c r="P473" i="1"/>
  <c r="X471" i="1"/>
  <c r="X470" i="1"/>
  <c r="BO469" i="1"/>
  <c r="BM469" i="1"/>
  <c r="Y469" i="1"/>
  <c r="BP469" i="1" s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BP463" i="1" s="1"/>
  <c r="P463" i="1"/>
  <c r="BO462" i="1"/>
  <c r="BM462" i="1"/>
  <c r="Y462" i="1"/>
  <c r="P462" i="1"/>
  <c r="BO461" i="1"/>
  <c r="BM461" i="1"/>
  <c r="Y461" i="1"/>
  <c r="Y466" i="1" s="1"/>
  <c r="P461" i="1"/>
  <c r="X457" i="1"/>
  <c r="X456" i="1"/>
  <c r="BO455" i="1"/>
  <c r="BM455" i="1"/>
  <c r="Y455" i="1"/>
  <c r="Y456" i="1" s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P419" i="1"/>
  <c r="X416" i="1"/>
  <c r="X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BP402" i="1" s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5" i="1"/>
  <c r="X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Y379" i="1" s="1"/>
  <c r="P376" i="1"/>
  <c r="X374" i="1"/>
  <c r="X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Y364" i="1" s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Y256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K5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BP139" i="1" s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Y136" i="1" s="1"/>
  <c r="P133" i="1"/>
  <c r="X131" i="1"/>
  <c r="X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N74" i="1"/>
  <c r="BM74" i="1"/>
  <c r="Z74" i="1"/>
  <c r="Y74" i="1"/>
  <c r="BP74" i="1" s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02" i="1" l="1"/>
  <c r="BN102" i="1"/>
  <c r="Z102" i="1"/>
  <c r="BP138" i="1"/>
  <c r="BN138" i="1"/>
  <c r="Z138" i="1"/>
  <c r="BP173" i="1"/>
  <c r="BN173" i="1"/>
  <c r="Z173" i="1"/>
  <c r="BP208" i="1"/>
  <c r="BN208" i="1"/>
  <c r="Z208" i="1"/>
  <c r="BP233" i="1"/>
  <c r="BN233" i="1"/>
  <c r="Z233" i="1"/>
  <c r="BP268" i="1"/>
  <c r="BN268" i="1"/>
  <c r="Z268" i="1"/>
  <c r="BP305" i="1"/>
  <c r="BN305" i="1"/>
  <c r="Z305" i="1"/>
  <c r="BP333" i="1"/>
  <c r="BN333" i="1"/>
  <c r="Z333" i="1"/>
  <c r="BP356" i="1"/>
  <c r="BN356" i="1"/>
  <c r="Z356" i="1"/>
  <c r="BP393" i="1"/>
  <c r="BN393" i="1"/>
  <c r="Z393" i="1"/>
  <c r="BP432" i="1"/>
  <c r="BN432" i="1"/>
  <c r="Z432" i="1"/>
  <c r="BP450" i="1"/>
  <c r="BN450" i="1"/>
  <c r="Z450" i="1"/>
  <c r="B501" i="1"/>
  <c r="X493" i="1"/>
  <c r="Z31" i="1"/>
  <c r="BN31" i="1"/>
  <c r="Z54" i="1"/>
  <c r="BN54" i="1"/>
  <c r="BP62" i="1"/>
  <c r="BN62" i="1"/>
  <c r="BP101" i="1"/>
  <c r="BN101" i="1"/>
  <c r="Z101" i="1"/>
  <c r="BP117" i="1"/>
  <c r="BN117" i="1"/>
  <c r="Z117" i="1"/>
  <c r="Y157" i="1"/>
  <c r="Y156" i="1"/>
  <c r="BP155" i="1"/>
  <c r="BN155" i="1"/>
  <c r="Z155" i="1"/>
  <c r="Z156" i="1" s="1"/>
  <c r="Y162" i="1"/>
  <c r="BP161" i="1"/>
  <c r="BN161" i="1"/>
  <c r="Z161" i="1"/>
  <c r="Z162" i="1" s="1"/>
  <c r="BP172" i="1"/>
  <c r="BN172" i="1"/>
  <c r="Z172" i="1"/>
  <c r="J501" i="1"/>
  <c r="BP196" i="1"/>
  <c r="BN196" i="1"/>
  <c r="Z196" i="1"/>
  <c r="BP218" i="1"/>
  <c r="BN218" i="1"/>
  <c r="Z218" i="1"/>
  <c r="BP254" i="1"/>
  <c r="BN254" i="1"/>
  <c r="Z254" i="1"/>
  <c r="BP288" i="1"/>
  <c r="BN288" i="1"/>
  <c r="Z288" i="1"/>
  <c r="BP319" i="1"/>
  <c r="BN319" i="1"/>
  <c r="Z319" i="1"/>
  <c r="BP346" i="1"/>
  <c r="BN346" i="1"/>
  <c r="Z346" i="1"/>
  <c r="BP381" i="1"/>
  <c r="BN381" i="1"/>
  <c r="Z381" i="1"/>
  <c r="BP412" i="1"/>
  <c r="BN412" i="1"/>
  <c r="Z412" i="1"/>
  <c r="BP442" i="1"/>
  <c r="BN442" i="1"/>
  <c r="Z442" i="1"/>
  <c r="BP474" i="1"/>
  <c r="BN474" i="1"/>
  <c r="Z474" i="1"/>
  <c r="Y82" i="1"/>
  <c r="BP80" i="1"/>
  <c r="BN80" i="1"/>
  <c r="Z80" i="1"/>
  <c r="BP96" i="1"/>
  <c r="BN96" i="1"/>
  <c r="Z96" i="1"/>
  <c r="BP111" i="1"/>
  <c r="BN111" i="1"/>
  <c r="Z111" i="1"/>
  <c r="BP134" i="1"/>
  <c r="BN134" i="1"/>
  <c r="Z134" i="1"/>
  <c r="BP151" i="1"/>
  <c r="BN151" i="1"/>
  <c r="Z151" i="1"/>
  <c r="BP170" i="1"/>
  <c r="BN170" i="1"/>
  <c r="Z170" i="1"/>
  <c r="BP192" i="1"/>
  <c r="BN192" i="1"/>
  <c r="Z192" i="1"/>
  <c r="BP206" i="1"/>
  <c r="BN206" i="1"/>
  <c r="Z206" i="1"/>
  <c r="BP216" i="1"/>
  <c r="BN216" i="1"/>
  <c r="Z216" i="1"/>
  <c r="BP231" i="1"/>
  <c r="BN231" i="1"/>
  <c r="Z231" i="1"/>
  <c r="BP251" i="1"/>
  <c r="BN251" i="1"/>
  <c r="Z251" i="1"/>
  <c r="BP263" i="1"/>
  <c r="BN263" i="1"/>
  <c r="Z263" i="1"/>
  <c r="BP352" i="1"/>
  <c r="BN352" i="1"/>
  <c r="Z352" i="1"/>
  <c r="BP377" i="1"/>
  <c r="BN377" i="1"/>
  <c r="Z377" i="1"/>
  <c r="BP391" i="1"/>
  <c r="BN391" i="1"/>
  <c r="Z391" i="1"/>
  <c r="Y403" i="1"/>
  <c r="BP401" i="1"/>
  <c r="BN401" i="1"/>
  <c r="Z401" i="1"/>
  <c r="BP430" i="1"/>
  <c r="BN430" i="1"/>
  <c r="Z430" i="1"/>
  <c r="Y444" i="1"/>
  <c r="BP440" i="1"/>
  <c r="BN440" i="1"/>
  <c r="Z440" i="1"/>
  <c r="Y443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BP88" i="1"/>
  <c r="BN88" i="1"/>
  <c r="Z88" i="1"/>
  <c r="BP104" i="1"/>
  <c r="BN104" i="1"/>
  <c r="Z104" i="1"/>
  <c r="BP119" i="1"/>
  <c r="BN119" i="1"/>
  <c r="Z119" i="1"/>
  <c r="H501" i="1"/>
  <c r="BP145" i="1"/>
  <c r="BN145" i="1"/>
  <c r="Z145" i="1"/>
  <c r="Y177" i="1"/>
  <c r="BP166" i="1"/>
  <c r="BN166" i="1"/>
  <c r="Z166" i="1"/>
  <c r="BP175" i="1"/>
  <c r="BN175" i="1"/>
  <c r="Z175" i="1"/>
  <c r="Y210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270" i="1"/>
  <c r="BN270" i="1"/>
  <c r="Z270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Y341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E501" i="1"/>
  <c r="Y98" i="1"/>
  <c r="Y113" i="1"/>
  <c r="Y121" i="1"/>
  <c r="Y140" i="1"/>
  <c r="Y153" i="1"/>
  <c r="Y183" i="1"/>
  <c r="Y198" i="1"/>
  <c r="Y226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BP383" i="1"/>
  <c r="BN383" i="1"/>
  <c r="Z383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Y470" i="1"/>
  <c r="BP468" i="1"/>
  <c r="BN468" i="1"/>
  <c r="Z468" i="1"/>
  <c r="Y290" i="1"/>
  <c r="Y358" i="1"/>
  <c r="Y385" i="1"/>
  <c r="V501" i="1"/>
  <c r="Y416" i="1"/>
  <c r="X501" i="1"/>
  <c r="H9" i="1"/>
  <c r="A10" i="1"/>
  <c r="Y24" i="1"/>
  <c r="Y32" i="1"/>
  <c r="Y44" i="1"/>
  <c r="Y59" i="1"/>
  <c r="Y65" i="1"/>
  <c r="Y71" i="1"/>
  <c r="Y77" i="1"/>
  <c r="Y83" i="1"/>
  <c r="Y91" i="1"/>
  <c r="Y97" i="1"/>
  <c r="Y107" i="1"/>
  <c r="Y114" i="1"/>
  <c r="Y120" i="1"/>
  <c r="Y131" i="1"/>
  <c r="Y135" i="1"/>
  <c r="Y141" i="1"/>
  <c r="Y146" i="1"/>
  <c r="Y152" i="1"/>
  <c r="Y178" i="1"/>
  <c r="Y184" i="1"/>
  <c r="Y188" i="1"/>
  <c r="Y193" i="1"/>
  <c r="Y199" i="1"/>
  <c r="Y209" i="1"/>
  <c r="Y221" i="1"/>
  <c r="Y227" i="1"/>
  <c r="Y240" i="1"/>
  <c r="Y244" i="1"/>
  <c r="Y248" i="1"/>
  <c r="Y255" i="1"/>
  <c r="BP260" i="1"/>
  <c r="BN260" i="1"/>
  <c r="Z260" i="1"/>
  <c r="Y264" i="1"/>
  <c r="BP269" i="1"/>
  <c r="BN269" i="1"/>
  <c r="Z269" i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BP347" i="1"/>
  <c r="BN347" i="1"/>
  <c r="Z347" i="1"/>
  <c r="Y353" i="1"/>
  <c r="BP351" i="1"/>
  <c r="BN351" i="1"/>
  <c r="Z35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D501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90" i="1" s="1"/>
  <c r="BN86" i="1"/>
  <c r="BP86" i="1"/>
  <c r="Z87" i="1"/>
  <c r="BN87" i="1"/>
  <c r="Z89" i="1"/>
  <c r="BN89" i="1"/>
  <c r="Y90" i="1"/>
  <c r="Z93" i="1"/>
  <c r="Z97" i="1" s="1"/>
  <c r="BN93" i="1"/>
  <c r="BP93" i="1"/>
  <c r="Z95" i="1"/>
  <c r="BN95" i="1"/>
  <c r="F501" i="1"/>
  <c r="Z103" i="1"/>
  <c r="BN103" i="1"/>
  <c r="Z105" i="1"/>
  <c r="BN105" i="1"/>
  <c r="Y106" i="1"/>
  <c r="Z109" i="1"/>
  <c r="BN109" i="1"/>
  <c r="BP109" i="1"/>
  <c r="Z110" i="1"/>
  <c r="BN110" i="1"/>
  <c r="Z112" i="1"/>
  <c r="BN112" i="1"/>
  <c r="Z116" i="1"/>
  <c r="Z120" i="1" s="1"/>
  <c r="BN116" i="1"/>
  <c r="BP116" i="1"/>
  <c r="Z118" i="1"/>
  <c r="BN118" i="1"/>
  <c r="G501" i="1"/>
  <c r="Z129" i="1"/>
  <c r="Z130" i="1" s="1"/>
  <c r="BN129" i="1"/>
  <c r="Y130" i="1"/>
  <c r="Z133" i="1"/>
  <c r="BN133" i="1"/>
  <c r="BP133" i="1"/>
  <c r="Z139" i="1"/>
  <c r="Z140" i="1" s="1"/>
  <c r="BN139" i="1"/>
  <c r="Z144" i="1"/>
  <c r="Z146" i="1" s="1"/>
  <c r="BN144" i="1"/>
  <c r="BP144" i="1"/>
  <c r="Y147" i="1"/>
  <c r="Z150" i="1"/>
  <c r="Z152" i="1" s="1"/>
  <c r="BN150" i="1"/>
  <c r="I501" i="1"/>
  <c r="Y163" i="1"/>
  <c r="Z165" i="1"/>
  <c r="Z177" i="1" s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Z180" i="1"/>
  <c r="BN180" i="1"/>
  <c r="BP180" i="1"/>
  <c r="Z182" i="1"/>
  <c r="BN182" i="1"/>
  <c r="Z186" i="1"/>
  <c r="Z187" i="1" s="1"/>
  <c r="BN186" i="1"/>
  <c r="BP186" i="1"/>
  <c r="Z191" i="1"/>
  <c r="BN191" i="1"/>
  <c r="BP191" i="1"/>
  <c r="Y194" i="1"/>
  <c r="Z197" i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Z239" i="1" s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Z255" i="1" s="1"/>
  <c r="BN250" i="1"/>
  <c r="BP250" i="1"/>
  <c r="Z252" i="1"/>
  <c r="BN252" i="1"/>
  <c r="BP253" i="1"/>
  <c r="BN253" i="1"/>
  <c r="Z253" i="1"/>
  <c r="BP262" i="1"/>
  <c r="BN262" i="1"/>
  <c r="Z262" i="1"/>
  <c r="Z264" i="1" s="1"/>
  <c r="BP271" i="1"/>
  <c r="BN271" i="1"/>
  <c r="Z271" i="1"/>
  <c r="Y273" i="1"/>
  <c r="O501" i="1"/>
  <c r="Y279" i="1"/>
  <c r="BP276" i="1"/>
  <c r="BN276" i="1"/>
  <c r="Z276" i="1"/>
  <c r="Y285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16" i="1"/>
  <c r="Y321" i="1"/>
  <c r="BP318" i="1"/>
  <c r="BN318" i="1"/>
  <c r="Z318" i="1"/>
  <c r="BP326" i="1"/>
  <c r="BN326" i="1"/>
  <c r="Z326" i="1"/>
  <c r="Y335" i="1"/>
  <c r="Y334" i="1"/>
  <c r="BP339" i="1"/>
  <c r="BN339" i="1"/>
  <c r="Z339" i="1"/>
  <c r="BP349" i="1"/>
  <c r="BN349" i="1"/>
  <c r="Z349" i="1"/>
  <c r="Z353" i="1" s="1"/>
  <c r="Y359" i="1"/>
  <c r="Y363" i="1"/>
  <c r="Y374" i="1"/>
  <c r="Y378" i="1"/>
  <c r="Y384" i="1"/>
  <c r="Y398" i="1"/>
  <c r="Y404" i="1"/>
  <c r="Y409" i="1"/>
  <c r="Y415" i="1"/>
  <c r="BP427" i="1"/>
  <c r="BN427" i="1"/>
  <c r="Z427" i="1"/>
  <c r="BP431" i="1"/>
  <c r="BN431" i="1"/>
  <c r="Z431" i="1"/>
  <c r="BP435" i="1"/>
  <c r="BN435" i="1"/>
  <c r="Z435" i="1"/>
  <c r="BP447" i="1"/>
  <c r="BN447" i="1"/>
  <c r="Z447" i="1"/>
  <c r="Y453" i="1"/>
  <c r="L501" i="1"/>
  <c r="Y265" i="1"/>
  <c r="M501" i="1"/>
  <c r="Y272" i="1"/>
  <c r="R501" i="1"/>
  <c r="Y342" i="1"/>
  <c r="S501" i="1"/>
  <c r="Y354" i="1"/>
  <c r="Z357" i="1"/>
  <c r="Z358" i="1" s="1"/>
  <c r="BN357" i="1"/>
  <c r="Z361" i="1"/>
  <c r="BN361" i="1"/>
  <c r="BP361" i="1"/>
  <c r="T501" i="1"/>
  <c r="Z372" i="1"/>
  <c r="Z373" i="1" s="1"/>
  <c r="BN372" i="1"/>
  <c r="Y373" i="1"/>
  <c r="Z376" i="1"/>
  <c r="Z378" i="1" s="1"/>
  <c r="BN376" i="1"/>
  <c r="BP376" i="1"/>
  <c r="Z382" i="1"/>
  <c r="BN382" i="1"/>
  <c r="U501" i="1"/>
  <c r="Z390" i="1"/>
  <c r="BN390" i="1"/>
  <c r="Z392" i="1"/>
  <c r="BN392" i="1"/>
  <c r="Z394" i="1"/>
  <c r="BN394" i="1"/>
  <c r="Z396" i="1"/>
  <c r="BN396" i="1"/>
  <c r="Y399" i="1"/>
  <c r="Z402" i="1"/>
  <c r="BN402" i="1"/>
  <c r="Z407" i="1"/>
  <c r="Z408" i="1" s="1"/>
  <c r="BN407" i="1"/>
  <c r="BP407" i="1"/>
  <c r="Y408" i="1"/>
  <c r="Z411" i="1"/>
  <c r="BN411" i="1"/>
  <c r="BP411" i="1"/>
  <c r="Z413" i="1"/>
  <c r="BN413" i="1"/>
  <c r="Y421" i="1"/>
  <c r="W501" i="1"/>
  <c r="BP426" i="1"/>
  <c r="BN426" i="1"/>
  <c r="Z426" i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Y457" i="1"/>
  <c r="Y465" i="1"/>
  <c r="Y471" i="1"/>
  <c r="Y475" i="1"/>
  <c r="Y485" i="1"/>
  <c r="Y490" i="1"/>
  <c r="Y501" i="1"/>
  <c r="Y438" i="1"/>
  <c r="Z451" i="1"/>
  <c r="BN451" i="1"/>
  <c r="Z455" i="1"/>
  <c r="Z456" i="1" s="1"/>
  <c r="BN455" i="1"/>
  <c r="BP455" i="1"/>
  <c r="Z461" i="1"/>
  <c r="BN461" i="1"/>
  <c r="BP461" i="1"/>
  <c r="Z463" i="1"/>
  <c r="BN463" i="1"/>
  <c r="Z469" i="1"/>
  <c r="Z470" i="1" s="1"/>
  <c r="BN469" i="1"/>
  <c r="Z473" i="1"/>
  <c r="Z475" i="1" s="1"/>
  <c r="BN473" i="1"/>
  <c r="BP473" i="1"/>
  <c r="Z483" i="1"/>
  <c r="BN483" i="1"/>
  <c r="Z488" i="1"/>
  <c r="Z489" i="1" s="1"/>
  <c r="BN488" i="1"/>
  <c r="BP488" i="1"/>
  <c r="Y489" i="1"/>
  <c r="Z484" i="1" l="1"/>
  <c r="Z384" i="1"/>
  <c r="Z279" i="1"/>
  <c r="Z198" i="1"/>
  <c r="Z135" i="1"/>
  <c r="Z272" i="1"/>
  <c r="Z334" i="1"/>
  <c r="Z437" i="1"/>
  <c r="Z398" i="1"/>
  <c r="Z221" i="1"/>
  <c r="Z106" i="1"/>
  <c r="Z58" i="1"/>
  <c r="Z415" i="1"/>
  <c r="Z403" i="1"/>
  <c r="Z363" i="1"/>
  <c r="Z452" i="1"/>
  <c r="Z341" i="1"/>
  <c r="Z321" i="1"/>
  <c r="Z193" i="1"/>
  <c r="Z32" i="1"/>
  <c r="Z315" i="1"/>
  <c r="Z465" i="1"/>
  <c r="Z308" i="1"/>
  <c r="Z299" i="1"/>
  <c r="Z209" i="1"/>
  <c r="Z183" i="1"/>
  <c r="Z113" i="1"/>
  <c r="Z77" i="1"/>
  <c r="Z64" i="1"/>
  <c r="Y492" i="1"/>
  <c r="Y491" i="1"/>
  <c r="Y493" i="1"/>
  <c r="Z328" i="1"/>
  <c r="Y495" i="1"/>
  <c r="Z496" i="1" l="1"/>
  <c r="Y494" i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<sst xmlns="http://schemas.openxmlformats.org/spreadsheetml/2006/main" count="2336" uniqueCount="776">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</sst>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0.45833333333333331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9.2592592592592595</v>
      </c>
      <c r="Y44" s="547">
        <f>IFERROR(Y41/H41,"0")+IFERROR(Y42/H42,"0")+IFERROR(Y43/H43,"0")</f>
        <v>10</v>
      </c>
      <c r="Z44" s="547">
        <f>IFERROR(IF(Z41="",0,Z41),"0")+IFERROR(IF(Z42="",0,Z42),"0")+IFERROR(IF(Z43="",0,Z43),"0")</f>
        <v>0.1898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100</v>
      </c>
      <c r="Y45" s="547">
        <f>IFERROR(SUM(Y41:Y43),"0")</f>
        <v>108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50</v>
      </c>
      <c r="Y53" s="54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4.6296296296296298</v>
      </c>
      <c r="Y58" s="547">
        <f>IFERROR(Y52/H52,"0")+IFERROR(Y53/H53,"0")+IFERROR(Y54/H54,"0")+IFERROR(Y55/H55,"0")+IFERROR(Y56/H56,"0")+IFERROR(Y57/H57,"0")</f>
        <v>5</v>
      </c>
      <c r="Z58" s="547">
        <f>IFERROR(IF(Z52="",0,Z52),"0")+IFERROR(IF(Z53="",0,Z53),"0")+IFERROR(IF(Z54="",0,Z54),"0")+IFERROR(IF(Z55="",0,Z55),"0")+IFERROR(IF(Z56="",0,Z56),"0")+IFERROR(IF(Z57="",0,Z57),"0")</f>
        <v>9.4899999999999998E-2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50</v>
      </c>
      <c r="Y59" s="547">
        <f>IFERROR(SUM(Y52:Y57),"0")</f>
        <v>54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60</v>
      </c>
      <c r="Y61" s="546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62.277777777777779</v>
      </c>
      <c r="BN61" s="64">
        <f>IFERROR(Y61*I61/H61,"0")</f>
        <v>67.260000000000005</v>
      </c>
      <c r="BO61" s="64">
        <f>IFERROR(1/J61*(X61/H61),"0")</f>
        <v>8.6805555555555552E-2</v>
      </c>
      <c r="BP61" s="64">
        <f>IFERROR(1/J61*(Y61/H61),"0")</f>
        <v>9.3750000000000014E-2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5.5555555555555554</v>
      </c>
      <c r="Y64" s="547">
        <f>IFERROR(Y61/H61,"0")+IFERROR(Y62/H62,"0")+IFERROR(Y63/H63,"0")</f>
        <v>6.0000000000000009</v>
      </c>
      <c r="Z64" s="547">
        <f>IFERROR(IF(Z61="",0,Z61),"0")+IFERROR(IF(Z62="",0,Z62),"0")+IFERROR(IF(Z63="",0,Z63),"0")</f>
        <v>0.11388000000000001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60</v>
      </c>
      <c r="Y65" s="547">
        <f>IFERROR(SUM(Y61:Y63),"0")</f>
        <v>64.800000000000011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9.2592592592592595</v>
      </c>
      <c r="Y90" s="547">
        <f>IFERROR(Y86/H86,"0")+IFERROR(Y87/H87,"0")+IFERROR(Y88/H88,"0")+IFERROR(Y89/H89,"0")</f>
        <v>10</v>
      </c>
      <c r="Z90" s="547">
        <f>IFERROR(IF(Z86="",0,Z86),"0")+IFERROR(IF(Z87="",0,Z87),"0")+IFERROR(IF(Z88="",0,Z88),"0")+IFERROR(IF(Z89="",0,Z89),"0")</f>
        <v>0.1898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100</v>
      </c>
      <c r="Y91" s="547">
        <f>IFERROR(SUM(Y86:Y89),"0")</f>
        <v>108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27</v>
      </c>
      <c r="Y95" s="546">
        <f>IFERROR(IF(X95="",0,CEILING((X95/$H95),1)*$H95),"")</f>
        <v>27</v>
      </c>
      <c r="Z95" s="36">
        <f>IFERROR(IF(Y95=0,"",ROUNDUP(Y95/H95,0)*0.00651),"")</f>
        <v>6.5100000000000005E-2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29.519999999999996</v>
      </c>
      <c r="BN95" s="64">
        <f>IFERROR(Y95*I95/H95,"0")</f>
        <v>29.519999999999996</v>
      </c>
      <c r="BO95" s="64">
        <f>IFERROR(1/J95*(X95/H95),"0")</f>
        <v>5.4945054945054951E-2</v>
      </c>
      <c r="BP95" s="64">
        <f>IFERROR(1/J95*(Y95/H95),"0")</f>
        <v>5.4945054945054951E-2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47.037037037037038</v>
      </c>
      <c r="Y97" s="547">
        <f>IFERROR(Y93/H93,"0")+IFERROR(Y94/H94,"0")+IFERROR(Y95/H95,"0")+IFERROR(Y96/H96,"0")</f>
        <v>48</v>
      </c>
      <c r="Z97" s="547">
        <f>IFERROR(IF(Z93="",0,Z93),"0")+IFERROR(IF(Z94="",0,Z94),"0")+IFERROR(IF(Z95="",0,Z95),"0")+IFERROR(IF(Z96="",0,Z96),"0")</f>
        <v>0.78634000000000004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327</v>
      </c>
      <c r="Y98" s="547">
        <f>IFERROR(SUM(Y93:Y96),"0")</f>
        <v>334.8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9.2592592592592595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0.1898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100</v>
      </c>
      <c r="Y107" s="547">
        <f>IFERROR(SUM(Y101:Y105),"0")</f>
        <v>108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27</v>
      </c>
      <c r="Y118" s="546">
        <f>IFERROR(IF(X118="",0,CEILING((X118/$H118),1)*$H118),"")</f>
        <v>27</v>
      </c>
      <c r="Z118" s="36">
        <f>IFERROR(IF(Y118=0,"",ROUNDUP(Y118/H118,0)*0.00651),"")</f>
        <v>6.5100000000000005E-2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29.519999999999996</v>
      </c>
      <c r="BN118" s="64">
        <f>IFERROR(Y118*I118/H118,"0")</f>
        <v>29.519999999999996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47.037037037037038</v>
      </c>
      <c r="Y120" s="547">
        <f>IFERROR(Y116/H116,"0")+IFERROR(Y117/H117,"0")+IFERROR(Y118/H118,"0")+IFERROR(Y119/H119,"0")</f>
        <v>48</v>
      </c>
      <c r="Z120" s="547">
        <f>IFERROR(IF(Z116="",0,Z116),"0")+IFERROR(IF(Z117="",0,Z117),"0")+IFERROR(IF(Z118="",0,Z118),"0")+IFERROR(IF(Z119="",0,Z119),"0")</f>
        <v>0.78634000000000004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327</v>
      </c>
      <c r="Y121" s="547">
        <f>IFERROR(SUM(Y116:Y119),"0")</f>
        <v>334.8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250</v>
      </c>
      <c r="Y166" s="546">
        <f t="shared" si="5"/>
        <v>252</v>
      </c>
      <c r="Z166" s="36">
        <f>IFERROR(IF(Y166=0,"",ROUNDUP(Y166/H166,0)*0.00902),"")</f>
        <v>0.54120000000000001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264.88095238095235</v>
      </c>
      <c r="BN166" s="64">
        <f t="shared" si="7"/>
        <v>267</v>
      </c>
      <c r="BO166" s="64">
        <f t="shared" si="8"/>
        <v>0.45093795093795092</v>
      </c>
      <c r="BP166" s="64">
        <f t="shared" si="9"/>
        <v>0.45454545454545459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120</v>
      </c>
      <c r="Y168" s="546">
        <f t="shared" si="5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125.42857142857142</v>
      </c>
      <c r="BN168" s="64">
        <f t="shared" si="7"/>
        <v>127.30999999999999</v>
      </c>
      <c r="BO168" s="64">
        <f t="shared" si="8"/>
        <v>0.21645021645021645</v>
      </c>
      <c r="BP168" s="64">
        <f t="shared" si="9"/>
        <v>0.2196969696969697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25.2</v>
      </c>
      <c r="Y174" s="546">
        <f t="shared" si="5"/>
        <v>25.200000000000003</v>
      </c>
      <c r="Z174" s="36">
        <f>IFERROR(IF(Y174=0,"",ROUNDUP(Y174/H174,0)*0.00502),"")</f>
        <v>6.0240000000000002E-2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26.400000000000002</v>
      </c>
      <c r="BN174" s="64">
        <f t="shared" si="7"/>
        <v>26.400000000000006</v>
      </c>
      <c r="BO174" s="64">
        <f t="shared" si="8"/>
        <v>5.1282051282051287E-2</v>
      </c>
      <c r="BP174" s="64">
        <f t="shared" si="9"/>
        <v>5.1282051282051287E-2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111.99999999999999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113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0.97126000000000001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445.2</v>
      </c>
      <c r="Y178" s="547">
        <f>IFERROR(SUM(Y165:Y176),"0")</f>
        <v>449.4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500</v>
      </c>
      <c r="Y201" s="546">
        <f t="shared" ref="Y201:Y208" si="10">IFERROR(IF(X201="",0,CEILING((X201/$H201),1)*$H201),"")</f>
        <v>502.20000000000005</v>
      </c>
      <c r="Z201" s="36">
        <f>IFERROR(IF(Y201=0,"",ROUNDUP(Y201/H201,0)*0.00902),"")</f>
        <v>0.83886000000000005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517.59259259259261</v>
      </c>
      <c r="BN201" s="64">
        <f t="shared" ref="BN201:BN208" si="12">IFERROR(Y201*I201/H201,"0")</f>
        <v>519.87</v>
      </c>
      <c r="BO201" s="64">
        <f t="shared" ref="BO201:BO208" si="13">IFERROR(1/J201*(X201/H201),"0")</f>
        <v>0.70145903479236804</v>
      </c>
      <c r="BP201" s="64">
        <f t="shared" ref="BP201:BP208" si="14">IFERROR(1/J201*(Y201/H201),"0")</f>
        <v>0.70454545454545459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350</v>
      </c>
      <c r="Y202" s="546">
        <f t="shared" si="10"/>
        <v>351</v>
      </c>
      <c r="Z202" s="36">
        <f>IFERROR(IF(Y202=0,"",ROUNDUP(Y202/H202,0)*0.00902),"")</f>
        <v>0.58630000000000004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362.31481481481478</v>
      </c>
      <c r="BN202" s="64">
        <f t="shared" si="12"/>
        <v>363.34999999999997</v>
      </c>
      <c r="BO202" s="64">
        <f t="shared" si="13"/>
        <v>0.49102132435465767</v>
      </c>
      <c r="BP202" s="64">
        <f t="shared" si="14"/>
        <v>0.49242424242424243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500</v>
      </c>
      <c r="Y203" s="546">
        <f t="shared" si="10"/>
        <v>502.20000000000005</v>
      </c>
      <c r="Z203" s="36">
        <f>IFERROR(IF(Y203=0,"",ROUNDUP(Y203/H203,0)*0.00902),"")</f>
        <v>0.83886000000000005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517.59259259259261</v>
      </c>
      <c r="BN203" s="64">
        <f t="shared" si="12"/>
        <v>519.87</v>
      </c>
      <c r="BO203" s="64">
        <f t="shared" si="13"/>
        <v>0.70145903479236804</v>
      </c>
      <c r="BP203" s="64">
        <f t="shared" si="14"/>
        <v>0.70454545454545459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400</v>
      </c>
      <c r="Y204" s="546">
        <f t="shared" si="10"/>
        <v>405</v>
      </c>
      <c r="Z204" s="36">
        <f>IFERROR(IF(Y204=0,"",ROUNDUP(Y204/H204,0)*0.00902),"")</f>
        <v>0.67649999999999999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414.07407407407402</v>
      </c>
      <c r="BN204" s="64">
        <f t="shared" si="12"/>
        <v>419.24999999999994</v>
      </c>
      <c r="BO204" s="64">
        <f t="shared" si="13"/>
        <v>0.5611672278338945</v>
      </c>
      <c r="BP204" s="64">
        <f t="shared" si="14"/>
        <v>0.56818181818181823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324.07407407407402</v>
      </c>
      <c r="Y209" s="547">
        <f>IFERROR(Y201/H201,"0")+IFERROR(Y202/H202,"0")+IFERROR(Y203/H203,"0")+IFERROR(Y204/H204,"0")+IFERROR(Y205/H205,"0")+IFERROR(Y206/H206,"0")+IFERROR(Y207/H207,"0")+IFERROR(Y208/H208,"0")</f>
        <v>326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2.9405199999999998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1750</v>
      </c>
      <c r="Y210" s="547">
        <f>IFERROR(SUM(Y201:Y208),"0")</f>
        <v>1760.4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50</v>
      </c>
      <c r="Y212" s="546">
        <f t="shared" ref="Y212:Y220" si="15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53.049382716049386</v>
      </c>
      <c r="BN212" s="64">
        <f t="shared" ref="BN212:BN220" si="17">IFERROR(Y212*I212/H212,"0")</f>
        <v>60.157999999999994</v>
      </c>
      <c r="BO212" s="64">
        <f t="shared" ref="BO212:BO220" si="18">IFERROR(1/J212*(X212/H212),"0")</f>
        <v>9.6450617283950615E-2</v>
      </c>
      <c r="BP212" s="64">
        <f t="shared" ref="BP212:BP220" si="19">IFERROR(1/J212*(Y212/H212),"0")</f>
        <v>0.109375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288</v>
      </c>
      <c r="Y215" s="546">
        <f t="shared" si="15"/>
        <v>288</v>
      </c>
      <c r="Z215" s="36">
        <f t="shared" ref="Z215:Z220" si="20">IFERROR(IF(Y215=0,"",ROUNDUP(Y215/H215,0)*0.00651),"")</f>
        <v>0.78120000000000001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320.40000000000003</v>
      </c>
      <c r="BN215" s="64">
        <f t="shared" si="17"/>
        <v>320.40000000000003</v>
      </c>
      <c r="BO215" s="64">
        <f t="shared" si="18"/>
        <v>0.65934065934065944</v>
      </c>
      <c r="BP215" s="64">
        <f t="shared" si="19"/>
        <v>0.65934065934065944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240</v>
      </c>
      <c r="Y217" s="546">
        <f t="shared" si="15"/>
        <v>240</v>
      </c>
      <c r="Z217" s="36">
        <f t="shared" si="20"/>
        <v>0.65100000000000002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265.20000000000005</v>
      </c>
      <c r="BN217" s="64">
        <f t="shared" si="17"/>
        <v>265.20000000000005</v>
      </c>
      <c r="BO217" s="64">
        <f t="shared" si="18"/>
        <v>0.5494505494505495</v>
      </c>
      <c r="BP217" s="64">
        <f t="shared" si="19"/>
        <v>0.5494505494505495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240</v>
      </c>
      <c r="Y218" s="546">
        <f t="shared" si="15"/>
        <v>240</v>
      </c>
      <c r="Z218" s="36">
        <f t="shared" si="20"/>
        <v>0.65100000000000002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265.20000000000005</v>
      </c>
      <c r="BN218" s="64">
        <f t="shared" si="17"/>
        <v>265.20000000000005</v>
      </c>
      <c r="BO218" s="64">
        <f t="shared" si="18"/>
        <v>0.5494505494505495</v>
      </c>
      <c r="BP218" s="64">
        <f t="shared" si="19"/>
        <v>0.5494505494505495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240</v>
      </c>
      <c r="Y219" s="546">
        <f t="shared" si="15"/>
        <v>240</v>
      </c>
      <c r="Z219" s="36">
        <f t="shared" si="20"/>
        <v>0.65100000000000002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265.20000000000005</v>
      </c>
      <c r="BN219" s="64">
        <f t="shared" si="17"/>
        <v>265.20000000000005</v>
      </c>
      <c r="BO219" s="64">
        <f t="shared" si="18"/>
        <v>0.5494505494505495</v>
      </c>
      <c r="BP219" s="64">
        <f t="shared" si="19"/>
        <v>0.5494505494505495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531.91996594295438</v>
      </c>
      <c r="Y221" s="547">
        <f>IFERROR(Y212/H212,"0")+IFERROR(Y213/H213,"0")+IFERROR(Y214/H214,"0")+IFERROR(Y215/H215,"0")+IFERROR(Y216/H216,"0")+IFERROR(Y217/H217,"0")+IFERROR(Y218/H218,"0")+IFERROR(Y219/H219,"0")+IFERROR(Y220/H220,"0")</f>
        <v>533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3.6319400000000002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1348</v>
      </c>
      <c r="Y222" s="547">
        <f>IFERROR(SUM(Y212:Y220),"0")</f>
        <v>1356.9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9.6000000000000014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10.608000000000002</v>
      </c>
      <c r="BN225" s="64">
        <f>IFERROR(Y225*I225/H225,"0")</f>
        <v>10.608000000000001</v>
      </c>
      <c r="BO225" s="64">
        <f>IFERROR(1/J225*(X225/H225),"0")</f>
        <v>2.1978021978021983E-2</v>
      </c>
      <c r="BP225" s="64">
        <f>IFERROR(1/J225*(Y225/H225),"0")</f>
        <v>2.197802197802198E-2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4.0000000000000009</v>
      </c>
      <c r="Y226" s="547">
        <f>IFERROR(Y224/H224,"0")+IFERROR(Y225/H225,"0")</f>
        <v>4</v>
      </c>
      <c r="Z226" s="547">
        <f>IFERROR(IF(Z224="",0,Z224),"0")+IFERROR(IF(Z225="",0,Z225),"0")</f>
        <v>2.6040000000000001E-2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9.6000000000000014</v>
      </c>
      <c r="Y227" s="547">
        <f>IFERROR(SUM(Y224:Y225),"0")</f>
        <v>9.6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350</v>
      </c>
      <c r="Y302" s="546">
        <f t="shared" ref="Y302:Y307" si="26">IFERROR(IF(X302="",0,CEILING((X302/$H302),1)*$H302),"")</f>
        <v>352.8</v>
      </c>
      <c r="Z302" s="36">
        <f>IFERROR(IF(Y302=0,"",ROUNDUP(Y302/H302,0)*0.00902),"")</f>
        <v>0.75768000000000002</v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370.83333333333331</v>
      </c>
      <c r="BN302" s="64">
        <f t="shared" ref="BN302:BN307" si="28">IFERROR(Y302*I302/H302,"0")</f>
        <v>373.8</v>
      </c>
      <c r="BO302" s="64">
        <f t="shared" ref="BO302:BO307" si="29">IFERROR(1/J302*(X302/H302),"0")</f>
        <v>0.63131313131313127</v>
      </c>
      <c r="BP302" s="64">
        <f t="shared" ref="BP302:BP307" si="30">IFERROR(1/J302*(Y302/H302),"0")</f>
        <v>0.63636363636363635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83.333333333333329</v>
      </c>
      <c r="Y308" s="547">
        <f>IFERROR(Y302/H302,"0")+IFERROR(Y303/H303,"0")+IFERROR(Y304/H304,"0")+IFERROR(Y305/H305,"0")+IFERROR(Y306/H306,"0")+IFERROR(Y307/H307,"0")</f>
        <v>84</v>
      </c>
      <c r="Z308" s="547">
        <f>IFERROR(IF(Z302="",0,Z302),"0")+IFERROR(IF(Z303="",0,Z303),"0")+IFERROR(IF(Z304="",0,Z304),"0")+IFERROR(IF(Z305="",0,Z305),"0")+IFERROR(IF(Z306="",0,Z306),"0")+IFERROR(IF(Z307="",0,Z307),"0")</f>
        <v>0.75768000000000002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350</v>
      </c>
      <c r="Y309" s="547">
        <f>IFERROR(SUM(Y302:Y307),"0")</f>
        <v>352.8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100</v>
      </c>
      <c r="Y318" s="546">
        <f>IFERROR(IF(X318="",0,CEILING((X318/$H318),1)*$H318),"")</f>
        <v>100.80000000000001</v>
      </c>
      <c r="Z318" s="36">
        <f>IFERROR(IF(Y318=0,"",ROUNDUP(Y318/H318,0)*0.01898),"")</f>
        <v>0.22776000000000002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105.88095238095238</v>
      </c>
      <c r="BN318" s="64">
        <f>IFERROR(Y318*I318/H318,"0")</f>
        <v>106.72800000000001</v>
      </c>
      <c r="BO318" s="64">
        <f>IFERROR(1/J318*(X318/H318),"0")</f>
        <v>0.18601190476190477</v>
      </c>
      <c r="BP318" s="64">
        <f>IFERROR(1/J318*(Y318/H318),"0")</f>
        <v>0.1875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250</v>
      </c>
      <c r="Y319" s="546">
        <f>IFERROR(IF(X319="",0,CEILING((X319/$H319),1)*$H319),"")</f>
        <v>257.39999999999998</v>
      </c>
      <c r="Z319" s="36">
        <f>IFERROR(IF(Y319=0,"",ROUNDUP(Y319/H319,0)*0.01898),"")</f>
        <v>0.62634000000000001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265.83333333333331</v>
      </c>
      <c r="BN319" s="64">
        <f>IFERROR(Y319*I319/H319,"0")</f>
        <v>273.702</v>
      </c>
      <c r="BO319" s="64">
        <f>IFERROR(1/J319*(X319/H319),"0")</f>
        <v>0.50080128205128205</v>
      </c>
      <c r="BP319" s="64">
        <f>IFERROR(1/J319*(Y319/H319),"0")</f>
        <v>0.515625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25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26.470238095238095</v>
      </c>
      <c r="BN320" s="64">
        <f>IFERROR(Y320*I320/H320,"0")</f>
        <v>26.682000000000002</v>
      </c>
      <c r="BO320" s="64">
        <f>IFERROR(1/J320*(X320/H320),"0")</f>
        <v>4.6502976190476192E-2</v>
      </c>
      <c r="BP320" s="64">
        <f>IFERROR(1/J320*(Y320/H320),"0")</f>
        <v>4.6875E-2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46.932234432234431</v>
      </c>
      <c r="Y321" s="547">
        <f>IFERROR(Y318/H318,"0")+IFERROR(Y319/H319,"0")+IFERROR(Y320/H320,"0")</f>
        <v>48</v>
      </c>
      <c r="Z321" s="547">
        <f>IFERROR(IF(Z318="",0,Z318),"0")+IFERROR(IF(Z319="",0,Z319),"0")+IFERROR(IF(Z320="",0,Z320),"0")</f>
        <v>0.91104000000000007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375</v>
      </c>
      <c r="Y322" s="547">
        <f>IFERROR(SUM(Y318:Y320),"0")</f>
        <v>383.4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hidden="1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idden="1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hidden="1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6000</v>
      </c>
      <c r="Y356" s="546">
        <f>IFERROR(IF(X356="",0,CEILING((X356/$H356),1)*$H356),"")</f>
        <v>6000</v>
      </c>
      <c r="Z356" s="36">
        <f>IFERROR(IF(Y356=0,"",ROUNDUP(Y356/H356,0)*0.02175),"")</f>
        <v>8.6999999999999993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6188</v>
      </c>
      <c r="BN356" s="64">
        <f>IFERROR(Y356*I356/H356,"0")</f>
        <v>6188</v>
      </c>
      <c r="BO356" s="64">
        <f>IFERROR(1/J356*(X356/H356),"0")</f>
        <v>8.3333333333333321</v>
      </c>
      <c r="BP356" s="64">
        <f>IFERROR(1/J356*(Y356/H356),"0")</f>
        <v>8.3333333333333321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400</v>
      </c>
      <c r="Y358" s="547">
        <f>IFERROR(Y356/H356,"0")+IFERROR(Y357/H357,"0")</f>
        <v>400</v>
      </c>
      <c r="Z358" s="547">
        <f>IFERROR(IF(Z356="",0,Z356),"0")+IFERROR(IF(Z357="",0,Z357),"0")</f>
        <v>8.6999999999999993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6000</v>
      </c>
      <c r="Y359" s="547">
        <f>IFERROR(SUM(Y356:Y357),"0")</f>
        <v>6000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400</v>
      </c>
      <c r="Y366" s="546">
        <f>IFERROR(IF(X366="",0,CEILING((X366/$H366),1)*$H366),"")</f>
        <v>405</v>
      </c>
      <c r="Z366" s="36">
        <f>IFERROR(IF(Y366=0,"",ROUNDUP(Y366/H366,0)*0.01898),"")</f>
        <v>0.85409999999999997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421.95555555555552</v>
      </c>
      <c r="BN366" s="64">
        <f>IFERROR(Y366*I366/H366,"0")</f>
        <v>427.22999999999996</v>
      </c>
      <c r="BO366" s="64">
        <f>IFERROR(1/J366*(X366/H366),"0")</f>
        <v>0.69444444444444442</v>
      </c>
      <c r="BP366" s="64">
        <f>IFERROR(1/J366*(Y366/H366),"0")</f>
        <v>0.703125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44.444444444444443</v>
      </c>
      <c r="Y367" s="547">
        <f>IFERROR(Y366/H366,"0")</f>
        <v>45</v>
      </c>
      <c r="Z367" s="547">
        <f>IFERROR(IF(Z366="",0,Z366),"0")</f>
        <v>0.85409999999999997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400</v>
      </c>
      <c r="Y368" s="547">
        <f>IFERROR(SUM(Y366:Y366),"0")</f>
        <v>405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200</v>
      </c>
      <c r="Y381" s="546">
        <f>IFERROR(IF(X381="",0,CEILING((X381/$H381),1)*$H381),"")</f>
        <v>207</v>
      </c>
      <c r="Z381" s="36">
        <f>IFERROR(IF(Y381=0,"",ROUNDUP(Y381/H381,0)*0.01898),"")</f>
        <v>0.43653999999999998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210.97777777777776</v>
      </c>
      <c r="BN381" s="64">
        <f>IFERROR(Y381*I381/H381,"0")</f>
        <v>218.36199999999999</v>
      </c>
      <c r="BO381" s="64">
        <f>IFERROR(1/J381*(X381/H381),"0")</f>
        <v>0.34722222222222221</v>
      </c>
      <c r="BP381" s="64">
        <f>IFERROR(1/J381*(Y381/H381),"0")</f>
        <v>0.359375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22.222222222222221</v>
      </c>
      <c r="Y384" s="547">
        <f>IFERROR(Y381/H381,"0")+IFERROR(Y382/H382,"0")+IFERROR(Y383/H383,"0")</f>
        <v>23</v>
      </c>
      <c r="Z384" s="547">
        <f>IFERROR(IF(Z381="",0,Z381),"0")+IFERROR(IF(Z382="",0,Z382),"0")+IFERROR(IF(Z383="",0,Z383),"0")</f>
        <v>0.43653999999999998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200</v>
      </c>
      <c r="Y385" s="547">
        <f>IFERROR(SUM(Y381:Y383),"0")</f>
        <v>207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80</v>
      </c>
      <c r="Y389" s="546">
        <f t="shared" ref="Y389:Y397" si="36">IFERROR(IF(X389="",0,CEILING((X389/$H389),1)*$H389),"")</f>
        <v>81</v>
      </c>
      <c r="Z389" s="36">
        <f>IFERROR(IF(Y389=0,"",ROUNDUP(Y389/H389,0)*0.00902),"")</f>
        <v>0.1353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82.81481481481481</v>
      </c>
      <c r="BN389" s="64">
        <f t="shared" ref="BN389:BN397" si="38">IFERROR(Y389*I389/H389,"0")</f>
        <v>83.85</v>
      </c>
      <c r="BO389" s="64">
        <f t="shared" ref="BO389:BO397" si="39">IFERROR(1/J389*(X389/H389),"0")</f>
        <v>0.11223344556677889</v>
      </c>
      <c r="BP389" s="64">
        <f t="shared" ref="BP389:BP397" si="40">IFERROR(1/J389*(Y389/H389),"0")</f>
        <v>0.11363636363636363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50</v>
      </c>
      <c r="Y390" s="546">
        <f t="shared" si="36"/>
        <v>54</v>
      </c>
      <c r="Z390" s="36">
        <f>IFERROR(IF(Y390=0,"",ROUNDUP(Y390/H390,0)*0.00902),"")</f>
        <v>9.0200000000000002E-2</v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51.759259259259252</v>
      </c>
      <c r="BN390" s="64">
        <f t="shared" si="38"/>
        <v>55.9</v>
      </c>
      <c r="BO390" s="64">
        <f t="shared" si="39"/>
        <v>7.0145903479236812E-2</v>
      </c>
      <c r="BP390" s="64">
        <f t="shared" si="40"/>
        <v>7.575757575757576E-2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500</v>
      </c>
      <c r="Y391" s="546">
        <f t="shared" si="36"/>
        <v>502.20000000000005</v>
      </c>
      <c r="Z391" s="36">
        <f>IFERROR(IF(Y391=0,"",ROUNDUP(Y391/H391,0)*0.00902),"")</f>
        <v>0.83886000000000005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517.59259259259261</v>
      </c>
      <c r="BN391" s="64">
        <f t="shared" si="38"/>
        <v>519.87</v>
      </c>
      <c r="BO391" s="64">
        <f t="shared" si="39"/>
        <v>0.70145903479236804</v>
      </c>
      <c r="BP391" s="64">
        <f t="shared" si="40"/>
        <v>0.70454545454545459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21</v>
      </c>
      <c r="Y394" s="546">
        <f t="shared" si="36"/>
        <v>21</v>
      </c>
      <c r="Z394" s="36">
        <f t="shared" si="41"/>
        <v>5.0200000000000002E-2</v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22.299999999999997</v>
      </c>
      <c r="BN394" s="64">
        <f t="shared" si="38"/>
        <v>22.299999999999997</v>
      </c>
      <c r="BO394" s="64">
        <f t="shared" si="39"/>
        <v>4.2735042735042736E-2</v>
      </c>
      <c r="BP394" s="64">
        <f t="shared" si="40"/>
        <v>4.2735042735042736E-2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21</v>
      </c>
      <c r="Y396" s="546">
        <f t="shared" si="36"/>
        <v>21</v>
      </c>
      <c r="Z396" s="36">
        <f t="shared" si="41"/>
        <v>5.0200000000000002E-2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22.299999999999997</v>
      </c>
      <c r="BN396" s="64">
        <f t="shared" si="38"/>
        <v>22.299999999999997</v>
      </c>
      <c r="BO396" s="64">
        <f t="shared" si="39"/>
        <v>4.2735042735042736E-2</v>
      </c>
      <c r="BP396" s="64">
        <f t="shared" si="40"/>
        <v>4.2735042735042736E-2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12.6</v>
      </c>
      <c r="Y397" s="546">
        <f t="shared" si="36"/>
        <v>12.600000000000001</v>
      </c>
      <c r="Z397" s="36">
        <f t="shared" si="41"/>
        <v>3.0120000000000001E-2</v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13.379999999999999</v>
      </c>
      <c r="BN397" s="64">
        <f t="shared" si="38"/>
        <v>13.38</v>
      </c>
      <c r="BO397" s="64">
        <f t="shared" si="39"/>
        <v>2.5641025641025644E-2</v>
      </c>
      <c r="BP397" s="64">
        <f t="shared" si="40"/>
        <v>2.5641025641025644E-2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142.66666666666666</v>
      </c>
      <c r="Y398" s="547">
        <f>IFERROR(Y389/H389,"0")+IFERROR(Y390/H390,"0")+IFERROR(Y391/H391,"0")+IFERROR(Y392/H392,"0")+IFERROR(Y393/H393,"0")+IFERROR(Y394/H394,"0")+IFERROR(Y395/H395,"0")+IFERROR(Y396/H396,"0")+IFERROR(Y397/H397,"0")</f>
        <v>144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1.1948799999999999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684.6</v>
      </c>
      <c r="Y399" s="547">
        <f>IFERROR(SUM(Y389:Y397),"0")</f>
        <v>691.80000000000007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600</v>
      </c>
      <c r="Y411" s="546">
        <f>IFERROR(IF(X411="",0,CEILING((X411/$H411),1)*$H411),"")</f>
        <v>604.80000000000007</v>
      </c>
      <c r="Z411" s="36">
        <f>IFERROR(IF(Y411=0,"",ROUNDUP(Y411/H411,0)*0.00902),"")</f>
        <v>1.01024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621.11111111111109</v>
      </c>
      <c r="BN411" s="64">
        <f>IFERROR(Y411*I411/H411,"0")</f>
        <v>626.08000000000004</v>
      </c>
      <c r="BO411" s="64">
        <f>IFERROR(1/J411*(X411/H411),"0")</f>
        <v>0.84175084175084169</v>
      </c>
      <c r="BP411" s="64">
        <f>IFERROR(1/J411*(Y411/H411),"0")</f>
        <v>0.84848484848484851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52.5</v>
      </c>
      <c r="Y412" s="546">
        <f>IFERROR(IF(X412="",0,CEILING((X412/$H412),1)*$H412),"")</f>
        <v>52.5</v>
      </c>
      <c r="Z412" s="36">
        <f>IFERROR(IF(Y412=0,"",ROUNDUP(Y412/H412,0)*0.00502),"")</f>
        <v>0.1255</v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55.75</v>
      </c>
      <c r="BN412" s="64">
        <f>IFERROR(Y412*I412/H412,"0")</f>
        <v>55.75</v>
      </c>
      <c r="BO412" s="64">
        <f>IFERROR(1/J412*(X412/H412),"0")</f>
        <v>0.10683760683760685</v>
      </c>
      <c r="BP412" s="64">
        <f>IFERROR(1/J412*(Y412/H412),"0")</f>
        <v>0.10683760683760685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136.11111111111109</v>
      </c>
      <c r="Y415" s="547">
        <f>IFERROR(Y411/H411,"0")+IFERROR(Y412/H412,"0")+IFERROR(Y413/H413,"0")+IFERROR(Y414/H414,"0")</f>
        <v>137</v>
      </c>
      <c r="Z415" s="547">
        <f>IFERROR(IF(Z411="",0,Z411),"0")+IFERROR(IF(Z412="",0,Z412),"0")+IFERROR(IF(Z413="",0,Z413),"0")+IFERROR(IF(Z414="",0,Z414),"0")</f>
        <v>1.13574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652.5</v>
      </c>
      <c r="Y416" s="547">
        <f>IFERROR(SUM(Y411:Y414),"0")</f>
        <v>657.30000000000007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50</v>
      </c>
      <c r="Y428" s="546">
        <f t="shared" si="42"/>
        <v>52.800000000000004</v>
      </c>
      <c r="Z428" s="36">
        <f t="shared" si="43"/>
        <v>0.1196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53.314393939393938</v>
      </c>
      <c r="BN428" s="64">
        <f t="shared" si="45"/>
        <v>56.3</v>
      </c>
      <c r="BO428" s="64">
        <f t="shared" si="46"/>
        <v>9.1054778554778545E-2</v>
      </c>
      <c r="BP428" s="64">
        <f t="shared" si="47"/>
        <v>9.6153846153846159E-2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300</v>
      </c>
      <c r="Y429" s="546">
        <f t="shared" si="42"/>
        <v>300.96000000000004</v>
      </c>
      <c r="Z429" s="36">
        <f t="shared" si="43"/>
        <v>0.68171999999999999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319.88636363636363</v>
      </c>
      <c r="BN429" s="64">
        <f t="shared" si="45"/>
        <v>320.91000000000003</v>
      </c>
      <c r="BO429" s="64">
        <f t="shared" si="46"/>
        <v>0.54632867132867136</v>
      </c>
      <c r="BP429" s="64">
        <f t="shared" si="47"/>
        <v>0.54807692307692313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500</v>
      </c>
      <c r="Y431" s="546">
        <f t="shared" si="42"/>
        <v>501.6</v>
      </c>
      <c r="Z431" s="36">
        <f t="shared" si="43"/>
        <v>1.1362000000000001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533.14393939393938</v>
      </c>
      <c r="BN431" s="64">
        <f t="shared" si="45"/>
        <v>534.85</v>
      </c>
      <c r="BO431" s="64">
        <f t="shared" si="46"/>
        <v>0.91054778554778548</v>
      </c>
      <c r="BP431" s="64">
        <f t="shared" si="47"/>
        <v>0.91346153846153855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160.98484848484847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162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1.9375200000000001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850</v>
      </c>
      <c r="Y438" s="547">
        <f>IFERROR(SUM(Y425:Y436),"0")</f>
        <v>855.36000000000013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400</v>
      </c>
      <c r="Y440" s="546">
        <f>IFERROR(IF(X440="",0,CEILING((X440/$H440),1)*$H440),"")</f>
        <v>401.28000000000003</v>
      </c>
      <c r="Z440" s="36">
        <f>IFERROR(IF(Y440=0,"",ROUNDUP(Y440/H440,0)*0.01196),"")</f>
        <v>0.90895999999999999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426.5151515151515</v>
      </c>
      <c r="BN440" s="64">
        <f>IFERROR(Y440*I440/H440,"0")</f>
        <v>427.88</v>
      </c>
      <c r="BO440" s="64">
        <f>IFERROR(1/J440*(X440/H440),"0")</f>
        <v>0.72843822843822836</v>
      </c>
      <c r="BP440" s="64">
        <f>IFERROR(1/J440*(Y440/H440),"0")</f>
        <v>0.73076923076923084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75.757575757575751</v>
      </c>
      <c r="Y443" s="547">
        <f>IFERROR(Y440/H440,"0")+IFERROR(Y441/H441,"0")+IFERROR(Y442/H442,"0")</f>
        <v>76</v>
      </c>
      <c r="Z443" s="547">
        <f>IFERROR(IF(Z440="",0,Z440),"0")+IFERROR(IF(Z441="",0,Z441),"0")+IFERROR(IF(Z442="",0,Z442),"0")</f>
        <v>0.90895999999999999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400</v>
      </c>
      <c r="Y444" s="547">
        <f>IFERROR(SUM(Y440:Y442),"0")</f>
        <v>401.28000000000003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350</v>
      </c>
      <c r="Y446" s="546">
        <f t="shared" ref="Y446:Y451" si="48">IFERROR(IF(X446="",0,CEILING((X446/$H446),1)*$H446),"")</f>
        <v>353.76</v>
      </c>
      <c r="Z446" s="36">
        <f>IFERROR(IF(Y446=0,"",ROUNDUP(Y446/H446,0)*0.01196),"")</f>
        <v>0.80132000000000003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373.20075757575756</v>
      </c>
      <c r="BN446" s="64">
        <f t="shared" ref="BN446:BN451" si="50">IFERROR(Y446*I446/H446,"0")</f>
        <v>377.21</v>
      </c>
      <c r="BO446" s="64">
        <f t="shared" ref="BO446:BO451" si="51">IFERROR(1/J446*(X446/H446),"0")</f>
        <v>0.63738344988344986</v>
      </c>
      <c r="BP446" s="64">
        <f t="shared" ref="BP446:BP451" si="52">IFERROR(1/J446*(Y446/H446),"0")</f>
        <v>0.64423076923076927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350</v>
      </c>
      <c r="Y447" s="546">
        <f t="shared" si="48"/>
        <v>353.76</v>
      </c>
      <c r="Z447" s="36">
        <f>IFERROR(IF(Y447=0,"",ROUNDUP(Y447/H447,0)*0.01196),"")</f>
        <v>0.80132000000000003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373.20075757575756</v>
      </c>
      <c r="BN447" s="64">
        <f t="shared" si="50"/>
        <v>377.21</v>
      </c>
      <c r="BO447" s="64">
        <f t="shared" si="51"/>
        <v>0.63738344988344986</v>
      </c>
      <c r="BP447" s="64">
        <f t="shared" si="52"/>
        <v>0.64423076923076927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350</v>
      </c>
      <c r="Y448" s="546">
        <f t="shared" si="48"/>
        <v>353.76</v>
      </c>
      <c r="Z448" s="36">
        <f>IFERROR(IF(Y448=0,"",ROUNDUP(Y448/H448,0)*0.01196),"")</f>
        <v>0.80132000000000003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373.20075757575756</v>
      </c>
      <c r="BN448" s="64">
        <f t="shared" si="50"/>
        <v>377.21</v>
      </c>
      <c r="BO448" s="64">
        <f t="shared" si="51"/>
        <v>0.63738344988344986</v>
      </c>
      <c r="BP448" s="64">
        <f t="shared" si="52"/>
        <v>0.64423076923076927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198.86363636363635</v>
      </c>
      <c r="Y452" s="547">
        <f>IFERROR(Y446/H446,"0")+IFERROR(Y447/H447,"0")+IFERROR(Y448/H448,"0")+IFERROR(Y449/H449,"0")+IFERROR(Y450/H450,"0")+IFERROR(Y451/H451,"0")</f>
        <v>201</v>
      </c>
      <c r="Z452" s="547">
        <f>IFERROR(IF(Z446="",0,Z446),"0")+IFERROR(IF(Z447="",0,Z447),"0")+IFERROR(IF(Z448="",0,Z448),"0")+IFERROR(IF(Z449="",0,Z449),"0")+IFERROR(IF(Z450="",0,Z450),"0")+IFERROR(IF(Z451="",0,Z451),"0")</f>
        <v>2.4039600000000001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1050</v>
      </c>
      <c r="Y453" s="547">
        <f>IFERROR(SUM(Y446:Y451),"0")</f>
        <v>1061.28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300</v>
      </c>
      <c r="Y473" s="546">
        <f>IFERROR(IF(X473="",0,CEILING((X473/$H473),1)*$H473),"")</f>
        <v>302.40000000000003</v>
      </c>
      <c r="Z473" s="36">
        <f>IFERROR(IF(Y473=0,"",ROUNDUP(Y473/H473,0)*0.00902),"")</f>
        <v>0.64944000000000002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317.85714285714283</v>
      </c>
      <c r="BN473" s="64">
        <f>IFERROR(Y473*I473/H473,"0")</f>
        <v>320.40000000000003</v>
      </c>
      <c r="BO473" s="64">
        <f>IFERROR(1/J473*(X473/H473),"0")</f>
        <v>0.54112554112554112</v>
      </c>
      <c r="BP473" s="64">
        <f>IFERROR(1/J473*(Y473/H473),"0")</f>
        <v>0.54545454545454541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300</v>
      </c>
      <c r="Y474" s="546">
        <f>IFERROR(IF(X474="",0,CEILING((X474/$H474),1)*$H474),"")</f>
        <v>302.40000000000003</v>
      </c>
      <c r="Z474" s="36">
        <f>IFERROR(IF(Y474=0,"",ROUNDUP(Y474/H474,0)*0.00902),"")</f>
        <v>0.64944000000000002</v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317.85714285714283</v>
      </c>
      <c r="BN474" s="64">
        <f>IFERROR(Y474*I474/H474,"0")</f>
        <v>320.40000000000003</v>
      </c>
      <c r="BO474" s="64">
        <f>IFERROR(1/J474*(X474/H474),"0")</f>
        <v>0.54112554112554112</v>
      </c>
      <c r="BP474" s="64">
        <f>IFERROR(1/J474*(Y474/H474),"0")</f>
        <v>0.54545454545454541</v>
      </c>
    </row>
    <row r="475" spans="1:68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142.85714285714286</v>
      </c>
      <c r="Y475" s="547">
        <f>IFERROR(Y473/H473,"0")+IFERROR(Y474/H474,"0")</f>
        <v>144</v>
      </c>
      <c r="Z475" s="547">
        <f>IFERROR(IF(Z473="",0,Z473),"0")+IFERROR(IF(Z474="",0,Z474),"0")</f>
        <v>1.29888</v>
      </c>
      <c r="AA475" s="548"/>
      <c r="AB475" s="548"/>
      <c r="AC475" s="548"/>
    </row>
    <row r="476" spans="1:68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600</v>
      </c>
      <c r="Y476" s="547">
        <f>IFERROR(SUM(Y473:Y474),"0")</f>
        <v>604.80000000000007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1500</v>
      </c>
      <c r="Y478" s="546">
        <f>IFERROR(IF(X478="",0,CEILING((X478/$H478),1)*$H478),"")</f>
        <v>1503</v>
      </c>
      <c r="Z478" s="36">
        <f>IFERROR(IF(Y478=0,"",ROUNDUP(Y478/H478,0)*0.01898),"")</f>
        <v>3.1696599999999999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1582.3333333333333</v>
      </c>
      <c r="BN478" s="64">
        <f>IFERROR(Y478*I478/H478,"0")</f>
        <v>1585.498</v>
      </c>
      <c r="BO478" s="64">
        <f>IFERROR(1/J478*(X478/H478),"0")</f>
        <v>2.6041666666666665</v>
      </c>
      <c r="BP478" s="64">
        <f>IFERROR(1/J478*(Y478/H478),"0")</f>
        <v>2.609375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166.66666666666666</v>
      </c>
      <c r="Y479" s="547">
        <f>IFERROR(Y478/H478,"0")</f>
        <v>167</v>
      </c>
      <c r="Z479" s="547">
        <f>IFERROR(IF(Z478="",0,Z478),"0")</f>
        <v>3.1696599999999999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1500</v>
      </c>
      <c r="Y480" s="547">
        <f>IFERROR(SUM(Y478:Y478),"0")</f>
        <v>1503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17678.900000000001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17811.72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18548.000145234499</v>
      </c>
      <c r="Y492" s="547">
        <f>IFERROR(SUM(BN22:BN488),"0")</f>
        <v>18687.547999999995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29</v>
      </c>
      <c r="Y493" s="38">
        <f>ROUNDUP(SUM(BP22:BP488),0)</f>
        <v>29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19273.000145234499</v>
      </c>
      <c r="Y494" s="547">
        <f>GrossWeightTotalR+PalletQtyTotalR*25</f>
        <v>19412.547999999995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2724.870959393947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2744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33.629579999999997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118.80000000000001</v>
      </c>
      <c r="E501" s="46">
        <f>IFERROR(Y86*1,"0")+IFERROR(Y87*1,"0")+IFERROR(Y88*1,"0")+IFERROR(Y89*1,"0")+IFERROR(Y93*1,"0")+IFERROR(Y94*1,"0")+IFERROR(Y95*1,"0")+IFERROR(Y96*1,"0")</f>
        <v>442.8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442.8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449.4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3126.9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736.2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6405</v>
      </c>
      <c r="T501" s="46">
        <f>IFERROR(Y371*1,"0")+IFERROR(Y372*1,"0")+IFERROR(Y376*1,"0")+IFERROR(Y377*1,"0")+IFERROR(Y381*1,"0")+IFERROR(Y382*1,"0")+IFERROR(Y383*1,"0")</f>
        <v>207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691.80000000000007</v>
      </c>
      <c r="V501" s="46">
        <f>IFERROR(Y407*1,"0")+IFERROR(Y411*1,"0")+IFERROR(Y412*1,"0")+IFERROR(Y413*1,"0")+IFERROR(Y414*1,"0")</f>
        <v>657.30000000000007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2317.92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2107.8000000000002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348,00"/>
        <filter val="1 500,00"/>
        <filter val="1 750,00"/>
        <filter val="100,00"/>
        <filter val="112,00"/>
        <filter val="12,60"/>
        <filter val="120,00"/>
        <filter val="136,11"/>
        <filter val="142,67"/>
        <filter val="142,86"/>
        <filter val="160,98"/>
        <filter val="166,67"/>
        <filter val="17 678,90"/>
        <filter val="18 548,00"/>
        <filter val="19 273,00"/>
        <filter val="198,86"/>
        <filter val="2 724,87"/>
        <filter val="200,00"/>
        <filter val="21,00"/>
        <filter val="22,22"/>
        <filter val="240,00"/>
        <filter val="25,00"/>
        <filter val="25,20"/>
        <filter val="250,00"/>
        <filter val="27,00"/>
        <filter val="288,00"/>
        <filter val="29"/>
        <filter val="300,00"/>
        <filter val="324,07"/>
        <filter val="327,00"/>
        <filter val="350,00"/>
        <filter val="375,00"/>
        <filter val="4,00"/>
        <filter val="4,63"/>
        <filter val="400,00"/>
        <filter val="44,44"/>
        <filter val="445,20"/>
        <filter val="46,93"/>
        <filter val="47,04"/>
        <filter val="5,56"/>
        <filter val="50,00"/>
        <filter val="500,00"/>
        <filter val="52,50"/>
        <filter val="531,92"/>
        <filter val="6 000,00"/>
        <filter val="60,00"/>
        <filter val="600,00"/>
        <filter val="652,50"/>
        <filter val="684,60"/>
        <filter val="75,76"/>
        <filter val="80,00"/>
        <filter val="83,33"/>
        <filter val="850,00"/>
        <filter val="9,26"/>
        <filter val="9,6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