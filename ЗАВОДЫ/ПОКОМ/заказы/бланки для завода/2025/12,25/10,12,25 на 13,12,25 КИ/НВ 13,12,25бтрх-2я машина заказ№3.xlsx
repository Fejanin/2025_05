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B4C7EDD-99DF-4BA0-AD40-020B0FAB0A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P94" i="1" l="1"/>
  <c r="BN94" i="1"/>
  <c r="Z94" i="1"/>
  <c r="BP151" i="1"/>
  <c r="BN151" i="1"/>
  <c r="Z151" i="1"/>
  <c r="BP181" i="1"/>
  <c r="BN181" i="1"/>
  <c r="Z181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BP56" i="1"/>
  <c r="BN56" i="1"/>
  <c r="BP76" i="1"/>
  <c r="BN76" i="1"/>
  <c r="Z76" i="1"/>
  <c r="Y125" i="1"/>
  <c r="Y124" i="1"/>
  <c r="BP123" i="1"/>
  <c r="BN123" i="1"/>
  <c r="Z123" i="1"/>
  <c r="Z124" i="1" s="1"/>
  <c r="BP128" i="1"/>
  <c r="BN128" i="1"/>
  <c r="Z128" i="1"/>
  <c r="BP168" i="1"/>
  <c r="BN168" i="1"/>
  <c r="Z168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BP295" i="1"/>
  <c r="BN295" i="1"/>
  <c r="Z295" i="1"/>
  <c r="BP338" i="1"/>
  <c r="BN338" i="1"/>
  <c r="Z338" i="1"/>
  <c r="BP352" i="1"/>
  <c r="BN352" i="1"/>
  <c r="Z352" i="1"/>
  <c r="BP414" i="1"/>
  <c r="BN414" i="1"/>
  <c r="Z414" i="1"/>
  <c r="Y152" i="1"/>
  <c r="BP307" i="1"/>
  <c r="BN307" i="1"/>
  <c r="Z307" i="1"/>
  <c r="BP325" i="1"/>
  <c r="BN325" i="1"/>
  <c r="Z325" i="1"/>
  <c r="Y385" i="1"/>
  <c r="BP381" i="1"/>
  <c r="BN381" i="1"/>
  <c r="Z381" i="1"/>
  <c r="BP395" i="1"/>
  <c r="BN395" i="1"/>
  <c r="Z395" i="1"/>
  <c r="BP434" i="1"/>
  <c r="BN434" i="1"/>
  <c r="Z434" i="1"/>
  <c r="BP448" i="1"/>
  <c r="BN448" i="1"/>
  <c r="Z448" i="1"/>
  <c r="BP468" i="1"/>
  <c r="BN468" i="1"/>
  <c r="Z468" i="1"/>
  <c r="B501" i="1"/>
  <c r="X493" i="1"/>
  <c r="X494" i="1" s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Z138" i="1"/>
  <c r="BN138" i="1"/>
  <c r="Z149" i="1"/>
  <c r="BN149" i="1"/>
  <c r="BP149" i="1"/>
  <c r="Z166" i="1"/>
  <c r="BN166" i="1"/>
  <c r="Z170" i="1"/>
  <c r="BN170" i="1"/>
  <c r="Z175" i="1"/>
  <c r="BN175" i="1"/>
  <c r="Z192" i="1"/>
  <c r="BN192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H9" i="1"/>
  <c r="A10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Z264" i="1" s="1"/>
  <c r="BP271" i="1"/>
  <c r="BN271" i="1"/>
  <c r="Z271" i="1"/>
  <c r="Z272" i="1" s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Z299" i="1" s="1"/>
  <c r="BP298" i="1"/>
  <c r="BN298" i="1"/>
  <c r="Z298" i="1"/>
  <c r="Y300" i="1"/>
  <c r="Y309" i="1"/>
  <c r="BP302" i="1"/>
  <c r="BN302" i="1"/>
  <c r="Z302" i="1"/>
  <c r="Z308" i="1" s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Z341" i="1"/>
  <c r="BP339" i="1"/>
  <c r="BN339" i="1"/>
  <c r="Z339" i="1"/>
  <c r="BP349" i="1"/>
  <c r="BN349" i="1"/>
  <c r="Z349" i="1"/>
  <c r="Z353" i="1" s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Z437" i="1" s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84" i="1" l="1"/>
  <c r="Z321" i="1"/>
  <c r="Z279" i="1"/>
  <c r="Z403" i="1"/>
  <c r="Z152" i="1"/>
  <c r="Z120" i="1"/>
  <c r="Z70" i="1"/>
  <c r="Z334" i="1"/>
  <c r="Z82" i="1"/>
  <c r="Z398" i="1"/>
  <c r="Z255" i="1"/>
  <c r="Z209" i="1"/>
  <c r="Z58" i="1"/>
  <c r="Z315" i="1"/>
  <c r="Z452" i="1"/>
  <c r="Z239" i="1"/>
  <c r="Z113" i="1"/>
  <c r="Z32" i="1"/>
  <c r="Z106" i="1"/>
  <c r="Z415" i="1"/>
  <c r="Y491" i="1"/>
  <c r="Y493" i="1"/>
  <c r="Z97" i="1"/>
  <c r="Z90" i="1"/>
  <c r="Z77" i="1"/>
  <c r="Z64" i="1"/>
  <c r="Z221" i="1"/>
  <c r="Z465" i="1"/>
  <c r="Y492" i="1"/>
  <c r="Z328" i="1"/>
  <c r="Z177" i="1"/>
  <c r="Y495" i="1"/>
  <c r="Y494" i="1" l="1"/>
  <c r="Z496" i="1"/>
</calcChain>
</file>

<file path=xl/sharedStrings.xml><?xml version="1.0" encoding="utf-8"?>
<sst xmlns="http://schemas.openxmlformats.org/spreadsheetml/2006/main" count="2296" uniqueCount="776">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</sst>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93" sqref="AA93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84</v>
      </c>
      <c r="Y93" s="546">
        <f>IFERROR(IF(X93="",0,CEILING((X93/$H93),1)*$H93),"")</f>
        <v>89.1</v>
      </c>
      <c r="Z93" s="36">
        <f>IFERROR(IF(Y93=0,"",ROUNDUP(Y93/H93,0)*0.01898),"")</f>
        <v>0.20877999999999999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89.122962962962958</v>
      </c>
      <c r="BN93" s="64">
        <f>IFERROR(Y93*I93/H93,"0")</f>
        <v>94.533999999999992</v>
      </c>
      <c r="BO93" s="64">
        <f>IFERROR(1/J93*(X93/H93),"0")</f>
        <v>0.16203703703703703</v>
      </c>
      <c r="BP93" s="64">
        <f>IFERROR(1/J93*(Y93/H93),"0")</f>
        <v>0.171875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10.37037037037037</v>
      </c>
      <c r="Y97" s="547">
        <f>IFERROR(Y93/H93,"0")+IFERROR(Y94/H94,"0")+IFERROR(Y95/H95,"0")+IFERROR(Y96/H96,"0")</f>
        <v>11</v>
      </c>
      <c r="Z97" s="547">
        <f>IFERROR(IF(Z93="",0,Z93),"0")+IFERROR(IF(Z94="",0,Z94),"0")+IFERROR(IF(Z95="",0,Z95),"0")+IFERROR(IF(Z96="",0,Z96),"0")</f>
        <v>0.20877999999999999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84</v>
      </c>
      <c r="Y98" s="547">
        <f>IFERROR(SUM(Y93:Y96),"0")</f>
        <v>89.1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139</v>
      </c>
      <c r="Y116" s="546">
        <f>IFERROR(IF(X116="",0,CEILING((X116/$H116),1)*$H116),"")</f>
        <v>145.79999999999998</v>
      </c>
      <c r="Z116" s="36">
        <f>IFERROR(IF(Y116=0,"",ROUNDUP(Y116/H116,0)*0.01898),"")</f>
        <v>0.34164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147.37432098765433</v>
      </c>
      <c r="BN116" s="64">
        <f>IFERROR(Y116*I116/H116,"0")</f>
        <v>154.58399999999997</v>
      </c>
      <c r="BO116" s="64">
        <f>IFERROR(1/J116*(X116/H116),"0")</f>
        <v>0.26813271604938271</v>
      </c>
      <c r="BP116" s="64">
        <f>IFERROR(1/J116*(Y116/H116),"0")</f>
        <v>0.28125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17.160493827160494</v>
      </c>
      <c r="Y120" s="547">
        <f>IFERROR(Y116/H116,"0")+IFERROR(Y117/H117,"0")+IFERROR(Y118/H118,"0")+IFERROR(Y119/H119,"0")</f>
        <v>18</v>
      </c>
      <c r="Z120" s="547">
        <f>IFERROR(IF(Z116="",0,Z116),"0")+IFERROR(IF(Z117="",0,Z117),"0")+IFERROR(IF(Z118="",0,Z118),"0")+IFERROR(IF(Z119="",0,Z119),"0")</f>
        <v>0.34164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139</v>
      </c>
      <c r="Y121" s="547">
        <f>IFERROR(SUM(Y116:Y119),"0")</f>
        <v>145.79999999999998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82</v>
      </c>
      <c r="Y217" s="546">
        <f t="shared" si="15"/>
        <v>84</v>
      </c>
      <c r="Z217" s="36">
        <f t="shared" si="20"/>
        <v>0.22785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90.61</v>
      </c>
      <c r="BN217" s="64">
        <f t="shared" si="17"/>
        <v>92.820000000000007</v>
      </c>
      <c r="BO217" s="64">
        <f t="shared" si="18"/>
        <v>0.18772893772893776</v>
      </c>
      <c r="BP217" s="64">
        <f t="shared" si="19"/>
        <v>0.19230769230769232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72</v>
      </c>
      <c r="Y218" s="546">
        <f t="shared" si="15"/>
        <v>72</v>
      </c>
      <c r="Z218" s="36">
        <f t="shared" si="20"/>
        <v>0.1953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79.560000000000016</v>
      </c>
      <c r="BN218" s="64">
        <f t="shared" si="17"/>
        <v>79.560000000000016</v>
      </c>
      <c r="BO218" s="64">
        <f t="shared" si="18"/>
        <v>0.16483516483516486</v>
      </c>
      <c r="BP218" s="64">
        <f t="shared" si="19"/>
        <v>0.16483516483516486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64.166666666666671</v>
      </c>
      <c r="Y221" s="547">
        <f>IFERROR(Y212/H212,"0")+IFERROR(Y213/H213,"0")+IFERROR(Y214/H214,"0")+IFERROR(Y215/H215,"0")+IFERROR(Y216/H216,"0")+IFERROR(Y217/H217,"0")+IFERROR(Y218/H218,"0")+IFERROR(Y219/H219,"0")+IFERROR(Y220/H220,"0")</f>
        <v>65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0.42315000000000003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154</v>
      </c>
      <c r="Y222" s="547">
        <f>IFERROR(SUM(Y212:Y220),"0")</f>
        <v>156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36</v>
      </c>
      <c r="Y277" s="546">
        <f>IFERROR(IF(X277="",0,CEILING((X277/$H277),1)*$H277),"")</f>
        <v>36</v>
      </c>
      <c r="Z277" s="36">
        <f>IFERROR(IF(Y277=0,"",ROUNDUP(Y277/H277,0)*0.00651),"")</f>
        <v>9.7650000000000001E-2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39.780000000000008</v>
      </c>
      <c r="BN277" s="64">
        <f>IFERROR(Y277*I277/H277,"0")</f>
        <v>39.780000000000008</v>
      </c>
      <c r="BO277" s="64">
        <f>IFERROR(1/J277*(X277/H277),"0")</f>
        <v>8.241758241758243E-2</v>
      </c>
      <c r="BP277" s="64">
        <f>IFERROR(1/J277*(Y277/H277),"0")</f>
        <v>8.241758241758243E-2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36</v>
      </c>
      <c r="Y278" s="546">
        <f>IFERROR(IF(X278="",0,CEILING((X278/$H278),1)*$H278),"")</f>
        <v>36</v>
      </c>
      <c r="Z278" s="36">
        <f>IFERROR(IF(Y278=0,"",ROUNDUP(Y278/H278,0)*0.00651),"")</f>
        <v>9.7650000000000001E-2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38.700000000000003</v>
      </c>
      <c r="BN278" s="64">
        <f>IFERROR(Y278*I278/H278,"0")</f>
        <v>38.700000000000003</v>
      </c>
      <c r="BO278" s="64">
        <f>IFERROR(1/J278*(X278/H278),"0")</f>
        <v>8.241758241758243E-2</v>
      </c>
      <c r="BP278" s="64">
        <f>IFERROR(1/J278*(Y278/H278),"0")</f>
        <v>8.241758241758243E-2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30</v>
      </c>
      <c r="Y279" s="547">
        <f>IFERROR(Y276/H276,"0")+IFERROR(Y277/H277,"0")+IFERROR(Y278/H278,"0")</f>
        <v>30</v>
      </c>
      <c r="Z279" s="547">
        <f>IFERROR(IF(Z276="",0,Z276),"0")+IFERROR(IF(Z277="",0,Z277),"0")+IFERROR(IF(Z278="",0,Z278),"0")</f>
        <v>0.1953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72</v>
      </c>
      <c r="Y280" s="547">
        <f>IFERROR(SUM(Y276:Y278),"0")</f>
        <v>72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88</v>
      </c>
      <c r="Y319" s="546">
        <f>IFERROR(IF(X319="",0,CEILING((X319/$H319),1)*$H319),"")</f>
        <v>93.6</v>
      </c>
      <c r="Z319" s="36">
        <f>IFERROR(IF(Y319=0,"",ROUNDUP(Y319/H319,0)*0.01898),"")</f>
        <v>0.22776000000000002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93.573333333333338</v>
      </c>
      <c r="BN319" s="64">
        <f>IFERROR(Y319*I319/H319,"0")</f>
        <v>99.528000000000006</v>
      </c>
      <c r="BO319" s="64">
        <f>IFERROR(1/J319*(X319/H319),"0")</f>
        <v>0.17628205128205129</v>
      </c>
      <c r="BP319" s="64">
        <f>IFERROR(1/J319*(Y319/H319),"0")</f>
        <v>0.1875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11.282051282051283</v>
      </c>
      <c r="Y321" s="547">
        <f>IFERROR(Y318/H318,"0")+IFERROR(Y319/H319,"0")+IFERROR(Y320/H320,"0")</f>
        <v>12</v>
      </c>
      <c r="Z321" s="547">
        <f>IFERROR(IF(Z318="",0,Z318),"0")+IFERROR(IF(Z319="",0,Z319),"0")+IFERROR(IF(Z320="",0,Z320),"0")</f>
        <v>0.22776000000000002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88</v>
      </c>
      <c r="Y322" s="547">
        <f>IFERROR(SUM(Y318:Y320),"0")</f>
        <v>93.6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127</v>
      </c>
      <c r="Y346" s="546">
        <f t="shared" ref="Y346:Y352" si="31">IFERROR(IF(X346="",0,CEILING((X346/$H346),1)*$H346),"")</f>
        <v>135</v>
      </c>
      <c r="Z346" s="36">
        <f>IFERROR(IF(Y346=0,"",ROUNDUP(Y346/H346,0)*0.02175),"")</f>
        <v>0.19574999999999998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130.97933333333333</v>
      </c>
      <c r="BN346" s="64">
        <f t="shared" ref="BN346:BN352" si="33">IFERROR(Y346*I346/H346,"0")</f>
        <v>139.23000000000002</v>
      </c>
      <c r="BO346" s="64">
        <f t="shared" ref="BO346:BO352" si="34">IFERROR(1/J346*(X346/H346),"0")</f>
        <v>0.17638888888888887</v>
      </c>
      <c r="BP346" s="64">
        <f t="shared" ref="BP346:BP352" si="35">IFERROR(1/J346*(Y346/H346),"0")</f>
        <v>0.1875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118</v>
      </c>
      <c r="Y348" s="546">
        <f t="shared" si="31"/>
        <v>120</v>
      </c>
      <c r="Z348" s="36">
        <f>IFERROR(IF(Y348=0,"",ROUNDUP(Y348/H348,0)*0.02175),"")</f>
        <v>0.17399999999999999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121.69733333333333</v>
      </c>
      <c r="BN348" s="64">
        <f t="shared" si="33"/>
        <v>123.76</v>
      </c>
      <c r="BO348" s="64">
        <f t="shared" si="34"/>
        <v>0.16388888888888886</v>
      </c>
      <c r="BP348" s="64">
        <f t="shared" si="35"/>
        <v>0.16666666666666666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16.333333333333332</v>
      </c>
      <c r="Y353" s="547">
        <f>IFERROR(Y346/H346,"0")+IFERROR(Y347/H347,"0")+IFERROR(Y348/H348,"0")+IFERROR(Y349/H349,"0")+IFERROR(Y350/H350,"0")+IFERROR(Y351/H351,"0")+IFERROR(Y352/H352,"0")</f>
        <v>17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0.36974999999999997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245</v>
      </c>
      <c r="Y354" s="547">
        <f>IFERROR(SUM(Y346:Y352),"0")</f>
        <v>255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128</v>
      </c>
      <c r="Y356" s="546">
        <f>IFERROR(IF(X356="",0,CEILING((X356/$H356),1)*$H356),"")</f>
        <v>135</v>
      </c>
      <c r="Z356" s="36">
        <f>IFERROR(IF(Y356=0,"",ROUNDUP(Y356/H356,0)*0.02175),"")</f>
        <v>0.19574999999999998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132.01066666666668</v>
      </c>
      <c r="BN356" s="64">
        <f>IFERROR(Y356*I356/H356,"0")</f>
        <v>139.23000000000002</v>
      </c>
      <c r="BO356" s="64">
        <f>IFERROR(1/J356*(X356/H356),"0")</f>
        <v>0.17777777777777776</v>
      </c>
      <c r="BP356" s="64">
        <f>IFERROR(1/J356*(Y356/H356),"0")</f>
        <v>0.1875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8.5333333333333332</v>
      </c>
      <c r="Y358" s="547">
        <f>IFERROR(Y356/H356,"0")+IFERROR(Y357/H357,"0")</f>
        <v>9</v>
      </c>
      <c r="Z358" s="547">
        <f>IFERROR(IF(Z356="",0,Z356),"0")+IFERROR(IF(Z357="",0,Z357),"0")</f>
        <v>0.19574999999999998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128</v>
      </c>
      <c r="Y359" s="547">
        <f>IFERROR(SUM(Y356:Y357),"0")</f>
        <v>135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275</v>
      </c>
      <c r="Y431" s="546">
        <f t="shared" si="42"/>
        <v>279.84000000000003</v>
      </c>
      <c r="Z431" s="36">
        <f t="shared" si="43"/>
        <v>0.63388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293.22916666666663</v>
      </c>
      <c r="BN431" s="64">
        <f t="shared" si="45"/>
        <v>298.39000000000004</v>
      </c>
      <c r="BO431" s="64">
        <f t="shared" si="46"/>
        <v>0.50080128205128205</v>
      </c>
      <c r="BP431" s="64">
        <f t="shared" si="47"/>
        <v>0.50961538461538469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52.083333333333329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53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0.63388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275</v>
      </c>
      <c r="Y438" s="547">
        <f>IFERROR(SUM(Y425:Y436),"0")</f>
        <v>279.84000000000003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100</v>
      </c>
      <c r="Y440" s="546">
        <f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106.62878787878788</v>
      </c>
      <c r="BN440" s="64">
        <f>IFERROR(Y440*I440/H440,"0")</f>
        <v>106.97</v>
      </c>
      <c r="BO440" s="64">
        <f>IFERROR(1/J440*(X440/H440),"0")</f>
        <v>0.18210955710955709</v>
      </c>
      <c r="BP440" s="64">
        <f>IFERROR(1/J440*(Y440/H440),"0")</f>
        <v>0.18269230769230771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18.939393939393938</v>
      </c>
      <c r="Y443" s="547">
        <f>IFERROR(Y440/H440,"0")+IFERROR(Y441/H441,"0")+IFERROR(Y442/H442,"0")</f>
        <v>19</v>
      </c>
      <c r="Z443" s="547">
        <f>IFERROR(IF(Z440="",0,Z440),"0")+IFERROR(IF(Z441="",0,Z441),"0")+IFERROR(IF(Z442="",0,Z442),"0")</f>
        <v>0.22724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100</v>
      </c>
      <c r="Y444" s="547">
        <f>IFERROR(SUM(Y440:Y442),"0")</f>
        <v>100.32000000000001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68</v>
      </c>
      <c r="Y446" s="546">
        <f t="shared" ref="Y446:Y451" si="48">IFERROR(IF(X446="",0,CEILING((X446/$H446),1)*$H446),"")</f>
        <v>68.64</v>
      </c>
      <c r="Z446" s="36">
        <f>IFERROR(IF(Y446=0,"",ROUNDUP(Y446/H446,0)*0.01196),"")</f>
        <v>0.15548000000000001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72.507575757575751</v>
      </c>
      <c r="BN446" s="64">
        <f t="shared" ref="BN446:BN451" si="50">IFERROR(Y446*I446/H446,"0")</f>
        <v>73.19</v>
      </c>
      <c r="BO446" s="64">
        <f t="shared" ref="BO446:BO451" si="51">IFERROR(1/J446*(X446/H446),"0")</f>
        <v>0.12383449883449885</v>
      </c>
      <c r="BP446" s="64">
        <f t="shared" ref="BP446:BP451" si="52">IFERROR(1/J446*(Y446/H446),"0")</f>
        <v>0.125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55</v>
      </c>
      <c r="Y447" s="546">
        <f t="shared" si="48"/>
        <v>58.080000000000005</v>
      </c>
      <c r="Z447" s="36">
        <f>IFERROR(IF(Y447=0,"",ROUNDUP(Y447/H447,0)*0.01196),"")</f>
        <v>0.13156000000000001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58.645833333333329</v>
      </c>
      <c r="BN447" s="64">
        <f t="shared" si="50"/>
        <v>61.93</v>
      </c>
      <c r="BO447" s="64">
        <f t="shared" si="51"/>
        <v>0.10016025641025642</v>
      </c>
      <c r="BP447" s="64">
        <f t="shared" si="52"/>
        <v>0.10576923076923078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42.234848484848484</v>
      </c>
      <c r="Y452" s="547">
        <f>IFERROR(Y446/H446,"0")+IFERROR(Y447/H447,"0")+IFERROR(Y448/H448,"0")+IFERROR(Y449/H449,"0")+IFERROR(Y450/H450,"0")+IFERROR(Y451/H451,"0")</f>
        <v>43</v>
      </c>
      <c r="Z452" s="547">
        <f>IFERROR(IF(Z446="",0,Z446),"0")+IFERROR(IF(Z447="",0,Z447),"0")+IFERROR(IF(Z448="",0,Z448),"0")+IFERROR(IF(Z449="",0,Z449),"0")+IFERROR(IF(Z450="",0,Z450),"0")+IFERROR(IF(Z451="",0,Z451),"0")</f>
        <v>0.51428000000000007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223</v>
      </c>
      <c r="Y453" s="547">
        <f>IFERROR(SUM(Y446:Y451),"0")</f>
        <v>227.04000000000002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1508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1553.7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1601.0481021324354</v>
      </c>
      <c r="Y492" s="547">
        <f>IFERROR(SUM(BN22:BN488),"0")</f>
        <v>1649.1760000000002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</v>
      </c>
      <c r="Y493" s="38">
        <f>ROUNDUP(SUM(BP22:BP488),0)</f>
        <v>3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1676.0481021324354</v>
      </c>
      <c r="Y494" s="547">
        <f>GrossWeightTotalR+PalletQtyTotalR*25</f>
        <v>1724.1760000000002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271.10382457049127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277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3.3375300000000001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89.1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145.79999999999998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156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72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93.6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390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607.20000000000005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8,00"/>
        <filter val="1 601,05"/>
        <filter val="1 676,05"/>
        <filter val="10,37"/>
        <filter val="100,00"/>
        <filter val="11,28"/>
        <filter val="118,00"/>
        <filter val="127,00"/>
        <filter val="128,00"/>
        <filter val="139,00"/>
        <filter val="154,00"/>
        <filter val="16,33"/>
        <filter val="17,16"/>
        <filter val="18,94"/>
        <filter val="223,00"/>
        <filter val="245,00"/>
        <filter val="271,10"/>
        <filter val="275,00"/>
        <filter val="3"/>
        <filter val="30,00"/>
        <filter val="36,00"/>
        <filter val="42,23"/>
        <filter val="52,08"/>
        <filter val="55,00"/>
        <filter val="64,17"/>
        <filter val="68,00"/>
        <filter val="72,00"/>
        <filter val="8,53"/>
        <filter val="82,00"/>
        <filter val="84,00"/>
        <filter val="88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