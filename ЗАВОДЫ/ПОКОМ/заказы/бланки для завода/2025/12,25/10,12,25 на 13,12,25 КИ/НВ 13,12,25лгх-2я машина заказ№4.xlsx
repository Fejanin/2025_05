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8EA032-FA83-4EAC-94F6-5E79153764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Z443" i="1" s="1"/>
  <c r="Y443" i="1"/>
  <c r="B501" i="1"/>
  <c r="X493" i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BP349" i="1"/>
  <c r="BN349" i="1"/>
  <c r="Z349" i="1"/>
  <c r="BP372" i="1"/>
  <c r="BN372" i="1"/>
  <c r="Z372" i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84" i="1" l="1"/>
  <c r="Z183" i="1"/>
  <c r="Z130" i="1"/>
  <c r="Z198" i="1"/>
  <c r="X494" i="1"/>
  <c r="Z437" i="1"/>
  <c r="Z58" i="1"/>
  <c r="Z315" i="1"/>
  <c r="Z373" i="1"/>
  <c r="Z341" i="1"/>
  <c r="Z470" i="1"/>
  <c r="Z452" i="1"/>
  <c r="Z398" i="1"/>
  <c r="Z353" i="1"/>
  <c r="Z264" i="1"/>
  <c r="Z239" i="1"/>
  <c r="Z152" i="1"/>
  <c r="Z70" i="1"/>
  <c r="Z32" i="1"/>
  <c r="Z334" i="1"/>
  <c r="Z106" i="1"/>
  <c r="Z97" i="1"/>
  <c r="Z82" i="1"/>
  <c r="Z415" i="1"/>
  <c r="Y491" i="1"/>
  <c r="Y493" i="1"/>
  <c r="Z90" i="1"/>
  <c r="Z77" i="1"/>
  <c r="Z64" i="1"/>
  <c r="Z308" i="1"/>
  <c r="Z299" i="1"/>
  <c r="Z221" i="1"/>
  <c r="Z465" i="1"/>
  <c r="Z120" i="1"/>
  <c r="Z113" i="1"/>
  <c r="Y492" i="1"/>
  <c r="Y494" i="1" s="1"/>
  <c r="Z328" i="1"/>
  <c r="Z177" i="1"/>
  <c r="Y495" i="1"/>
  <c r="Z496" i="1" l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<sst xmlns="http://schemas.openxmlformats.org/spreadsheetml/2006/main" count="2272" uniqueCount="776">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</sst>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198</v>
      </c>
      <c r="Y53" s="54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205.51666666666668</v>
      </c>
      <c r="BN53" s="64">
        <f t="shared" si="2"/>
        <v>212.99</v>
      </c>
      <c r="BO53" s="64">
        <f t="shared" si="3"/>
        <v>0.28645833333333331</v>
      </c>
      <c r="BP53" s="64">
        <f t="shared" si="4"/>
        <v>0.296875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116</v>
      </c>
      <c r="Y55" s="546">
        <f t="shared" si="0"/>
        <v>116</v>
      </c>
      <c r="Z55" s="36">
        <f>IFERROR(IF(Y55=0,"",ROUNDUP(Y55/H55,0)*0.00902),"")</f>
        <v>0.26158000000000003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121.51</v>
      </c>
      <c r="BN55" s="64">
        <f t="shared" si="2"/>
        <v>121.51</v>
      </c>
      <c r="BO55" s="64">
        <f t="shared" si="3"/>
        <v>0.2196969696969697</v>
      </c>
      <c r="BP55" s="64">
        <f t="shared" si="4"/>
        <v>0.2196969696969697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47.333333333333329</v>
      </c>
      <c r="Y58" s="547">
        <f>IFERROR(Y52/H52,"0")+IFERROR(Y53/H53,"0")+IFERROR(Y54/H54,"0")+IFERROR(Y55/H55,"0")+IFERROR(Y56/H56,"0")+IFERROR(Y57/H57,"0")</f>
        <v>48</v>
      </c>
      <c r="Z58" s="547">
        <f>IFERROR(IF(Z52="",0,Z52),"0")+IFERROR(IF(Z53="",0,Z53),"0")+IFERROR(IF(Z54="",0,Z54),"0")+IFERROR(IF(Z55="",0,Z55),"0")+IFERROR(IF(Z56="",0,Z56),"0")+IFERROR(IF(Z57="",0,Z57),"0")</f>
        <v>0.62220000000000009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314</v>
      </c>
      <c r="Y59" s="547">
        <f>IFERROR(SUM(Y52:Y57),"0")</f>
        <v>321.20000000000005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20</v>
      </c>
      <c r="Y80" s="546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21.051282051282055</v>
      </c>
      <c r="BN80" s="64">
        <f>IFERROR(Y80*I80/H80,"0")</f>
        <v>24.630000000000003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4</v>
      </c>
      <c r="Y81" s="546">
        <f>IFERROR(IF(X81="",0,CEILING((X81/$H81),1)*$H81),"")</f>
        <v>4.8</v>
      </c>
      <c r="Z81" s="36">
        <f>IFERROR(IF(Y81=0,"",ROUNDUP(Y81/H81,0)*0.00902),"")</f>
        <v>1.804E-2</v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4.3166666666666664</v>
      </c>
      <c r="BN81" s="64">
        <f>IFERROR(Y81*I81/H81,"0")</f>
        <v>5.18</v>
      </c>
      <c r="BO81" s="64">
        <f>IFERROR(1/J81*(X81/H81),"0")</f>
        <v>1.2626262626262628E-2</v>
      </c>
      <c r="BP81" s="64">
        <f>IFERROR(1/J81*(Y81/H81),"0")</f>
        <v>1.5151515151515152E-2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4.2307692307692308</v>
      </c>
      <c r="Y82" s="547">
        <f>IFERROR(Y80/H80,"0")+IFERROR(Y81/H81,"0")</f>
        <v>5</v>
      </c>
      <c r="Z82" s="547">
        <f>IFERROR(IF(Z80="",0,Z80),"0")+IFERROR(IF(Z81="",0,Z81),"0")</f>
        <v>7.4980000000000005E-2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24</v>
      </c>
      <c r="Y83" s="547">
        <f>IFERROR(SUM(Y80:Y81),"0")</f>
        <v>28.2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119</v>
      </c>
      <c r="Y93" s="546">
        <f>IFERROR(IF(X93="",0,CEILING((X93/$H93),1)*$H93),"")</f>
        <v>121.5</v>
      </c>
      <c r="Z93" s="36">
        <f>IFERROR(IF(Y93=0,"",ROUNDUP(Y93/H93,0)*0.01898),"")</f>
        <v>0.28470000000000001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126.25753086419752</v>
      </c>
      <c r="BN93" s="64">
        <f>IFERROR(Y93*I93/H93,"0")</f>
        <v>128.91</v>
      </c>
      <c r="BO93" s="64">
        <f>IFERROR(1/J93*(X93/H93),"0")</f>
        <v>0.22955246913580249</v>
      </c>
      <c r="BP93" s="64">
        <f>IFERROR(1/J93*(Y93/H93),"0")</f>
        <v>0.234375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14.691358024691359</v>
      </c>
      <c r="Y97" s="547">
        <f>IFERROR(Y93/H93,"0")+IFERROR(Y94/H94,"0")+IFERROR(Y95/H95,"0")+IFERROR(Y96/H96,"0")</f>
        <v>15</v>
      </c>
      <c r="Z97" s="547">
        <f>IFERROR(IF(Z93="",0,Z93),"0")+IFERROR(IF(Z94="",0,Z94),"0")+IFERROR(IF(Z95="",0,Z95),"0")+IFERROR(IF(Z96="",0,Z96),"0")</f>
        <v>0.28470000000000001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119</v>
      </c>
      <c r="Y98" s="547">
        <f>IFERROR(SUM(Y93:Y96),"0")</f>
        <v>121.5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384</v>
      </c>
      <c r="Y101" s="546">
        <f>IFERROR(IF(X101="",0,CEILING((X101/$H101),1)*$H101),"")</f>
        <v>388.8</v>
      </c>
      <c r="Z101" s="36">
        <f>IFERROR(IF(Y101=0,"",ROUNDUP(Y101/H101,0)*0.01898),"")</f>
        <v>0.68328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398.57777777777778</v>
      </c>
      <c r="BN101" s="64">
        <f>IFERROR(Y101*I101/H101,"0")</f>
        <v>403.56</v>
      </c>
      <c r="BO101" s="64">
        <f>IFERROR(1/J101*(X101/H101),"0")</f>
        <v>0.55555555555555547</v>
      </c>
      <c r="BP101" s="64">
        <f>IFERROR(1/J101*(Y101/H101),"0")</f>
        <v>0.5625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35.55555555555555</v>
      </c>
      <c r="Y106" s="547">
        <f>IFERROR(Y101/H101,"0")+IFERROR(Y102/H102,"0")+IFERROR(Y103/H103,"0")+IFERROR(Y104/H104,"0")+IFERROR(Y105/H105,"0")</f>
        <v>36</v>
      </c>
      <c r="Z106" s="547">
        <f>IFERROR(IF(Z101="",0,Z101),"0")+IFERROR(IF(Z102="",0,Z102),"0")+IFERROR(IF(Z103="",0,Z103),"0")+IFERROR(IF(Z104="",0,Z104),"0")+IFERROR(IF(Z105="",0,Z105),"0")</f>
        <v>0.68328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384</v>
      </c>
      <c r="Y107" s="547">
        <f>IFERROR(SUM(Y101:Y105),"0")</f>
        <v>388.8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116</v>
      </c>
      <c r="Y112" s="546">
        <f>IFERROR(IF(X112="",0,CEILING((X112/$H112),1)*$H112),"")</f>
        <v>117.6</v>
      </c>
      <c r="Z112" s="36">
        <f>IFERROR(IF(Y112=0,"",ROUNDUP(Y112/H112,0)*0.00651),"")</f>
        <v>0.31899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124.70000000000002</v>
      </c>
      <c r="BN112" s="64">
        <f>IFERROR(Y112*I112/H112,"0")</f>
        <v>126.42000000000002</v>
      </c>
      <c r="BO112" s="64">
        <f>IFERROR(1/J112*(X112/H112),"0")</f>
        <v>0.26556776556776562</v>
      </c>
      <c r="BP112" s="64">
        <f>IFERROR(1/J112*(Y112/H112),"0")</f>
        <v>0.26923076923076927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48.333333333333336</v>
      </c>
      <c r="Y113" s="547">
        <f>IFERROR(Y109/H109,"0")+IFERROR(Y110/H110,"0")+IFERROR(Y111/H111,"0")+IFERROR(Y112/H112,"0")</f>
        <v>49</v>
      </c>
      <c r="Z113" s="547">
        <f>IFERROR(IF(Z109="",0,Z109),"0")+IFERROR(IF(Z110="",0,Z110),"0")+IFERROR(IF(Z111="",0,Z111),"0")+IFERROR(IF(Z112="",0,Z112),"0")</f>
        <v>0.31899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116</v>
      </c>
      <c r="Y114" s="547">
        <f>IFERROR(SUM(Y109:Y112),"0")</f>
        <v>117.6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232</v>
      </c>
      <c r="Y116" s="546">
        <f>IFERROR(IF(X116="",0,CEILING((X116/$H116),1)*$H116),"")</f>
        <v>234.89999999999998</v>
      </c>
      <c r="Z116" s="36">
        <f>IFERROR(IF(Y116=0,"",ROUNDUP(Y116/H116,0)*0.01898),"")</f>
        <v>0.55042000000000002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245.97728395061725</v>
      </c>
      <c r="BN116" s="64">
        <f>IFERROR(Y116*I116/H116,"0")</f>
        <v>249.05199999999996</v>
      </c>
      <c r="BO116" s="64">
        <f>IFERROR(1/J116*(X116/H116),"0")</f>
        <v>0.44753086419753091</v>
      </c>
      <c r="BP116" s="64">
        <f>IFERROR(1/J116*(Y116/H116),"0")</f>
        <v>0.453125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28.641975308641978</v>
      </c>
      <c r="Y120" s="547">
        <f>IFERROR(Y116/H116,"0")+IFERROR(Y117/H117,"0")+IFERROR(Y118/H118,"0")+IFERROR(Y119/H119,"0")</f>
        <v>29</v>
      </c>
      <c r="Z120" s="547">
        <f>IFERROR(IF(Z116="",0,Z116),"0")+IFERROR(IF(Z117="",0,Z117),"0")+IFERROR(IF(Z118="",0,Z118),"0")+IFERROR(IF(Z119="",0,Z119),"0")</f>
        <v>0.55042000000000002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232</v>
      </c>
      <c r="Y121" s="547">
        <f>IFERROR(SUM(Y116:Y119),"0")</f>
        <v>234.89999999999998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137</v>
      </c>
      <c r="Y166" s="546">
        <f t="shared" si="5"/>
        <v>138.6</v>
      </c>
      <c r="Z166" s="36">
        <f>IFERROR(IF(Y166=0,"",ROUNDUP(Y166/H166,0)*0.00902),"")</f>
        <v>0.29766000000000004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145.1547619047619</v>
      </c>
      <c r="BN166" s="64">
        <f t="shared" si="7"/>
        <v>146.85</v>
      </c>
      <c r="BO166" s="64">
        <f t="shared" si="8"/>
        <v>0.24711399711399712</v>
      </c>
      <c r="BP166" s="64">
        <f t="shared" si="9"/>
        <v>0.25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141</v>
      </c>
      <c r="Y168" s="546">
        <f t="shared" si="5"/>
        <v>142.80000000000001</v>
      </c>
      <c r="Z168" s="36">
        <f>IFERROR(IF(Y168=0,"",ROUNDUP(Y168/H168,0)*0.00902),"")</f>
        <v>0.30668000000000001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147.37857142857143</v>
      </c>
      <c r="BN168" s="64">
        <f t="shared" si="7"/>
        <v>149.26000000000002</v>
      </c>
      <c r="BO168" s="64">
        <f t="shared" si="8"/>
        <v>0.25432900432900429</v>
      </c>
      <c r="BP168" s="64">
        <f t="shared" si="9"/>
        <v>0.25757575757575757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21</v>
      </c>
      <c r="Y172" s="546">
        <f t="shared" si="5"/>
        <v>21.6</v>
      </c>
      <c r="Z172" s="36">
        <f>IFERROR(IF(Y172=0,"",ROUNDUP(Y172/H172,0)*0.00502),"")</f>
        <v>6.0240000000000002E-2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22.516666666666666</v>
      </c>
      <c r="BN172" s="64">
        <f t="shared" si="7"/>
        <v>23.16</v>
      </c>
      <c r="BO172" s="64">
        <f t="shared" si="8"/>
        <v>4.9857549857549859E-2</v>
      </c>
      <c r="BP172" s="64">
        <f t="shared" si="9"/>
        <v>5.1282051282051287E-2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77.857142857142861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79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0.66458000000000006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299</v>
      </c>
      <c r="Y178" s="547">
        <f>IFERROR(SUM(Y165:Y176),"0")</f>
        <v>303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4</v>
      </c>
      <c r="Y186" s="546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3.1746031746031744</v>
      </c>
      <c r="Y187" s="547">
        <f>IFERROR(Y186/H186,"0")</f>
        <v>4</v>
      </c>
      <c r="Z187" s="547">
        <f>IFERROR(IF(Z186="",0,Z186),"0")</f>
        <v>2.3599999999999999E-2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4</v>
      </c>
      <c r="Y188" s="547">
        <f>IFERROR(SUM(Y186:Y186),"0")</f>
        <v>5.04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153</v>
      </c>
      <c r="Y201" s="546">
        <f t="shared" ref="Y201:Y208" si="10">IFERROR(IF(X201="",0,CEILING((X201/$H201),1)*$H201),"")</f>
        <v>156.60000000000002</v>
      </c>
      <c r="Z201" s="36">
        <f>IFERROR(IF(Y201=0,"",ROUNDUP(Y201/H201,0)*0.00902),"")</f>
        <v>0.26158000000000003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158.38333333333333</v>
      </c>
      <c r="BN201" s="64">
        <f t="shared" ref="BN201:BN208" si="12">IFERROR(Y201*I201/H201,"0")</f>
        <v>162.11000000000001</v>
      </c>
      <c r="BO201" s="64">
        <f t="shared" ref="BO201:BO208" si="13">IFERROR(1/J201*(X201/H201),"0")</f>
        <v>0.21464646464646464</v>
      </c>
      <c r="BP201" s="64">
        <f t="shared" ref="BP201:BP208" si="14">IFERROR(1/J201*(Y201/H201),"0")</f>
        <v>0.21969696969696972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204</v>
      </c>
      <c r="Y202" s="546">
        <f t="shared" si="10"/>
        <v>205.20000000000002</v>
      </c>
      <c r="Z202" s="36">
        <f>IFERROR(IF(Y202=0,"",ROUNDUP(Y202/H202,0)*0.00902),"")</f>
        <v>0.34276000000000001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211.17777777777775</v>
      </c>
      <c r="BN202" s="64">
        <f t="shared" si="12"/>
        <v>212.42</v>
      </c>
      <c r="BO202" s="64">
        <f t="shared" si="13"/>
        <v>0.28619528619528622</v>
      </c>
      <c r="BP202" s="64">
        <f t="shared" si="14"/>
        <v>0.2878787878787879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</v>
      </c>
      <c r="Y204" s="546">
        <f t="shared" si="10"/>
        <v>10.8</v>
      </c>
      <c r="Z204" s="36">
        <f>IFERROR(IF(Y204=0,"",ROUNDUP(Y204/H204,0)*0.00902),"")</f>
        <v>1.804E-2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6.2111111111111104</v>
      </c>
      <c r="BN204" s="64">
        <f t="shared" si="12"/>
        <v>11.18</v>
      </c>
      <c r="BO204" s="64">
        <f t="shared" si="13"/>
        <v>8.4175084175084156E-3</v>
      </c>
      <c r="BP204" s="64">
        <f t="shared" si="14"/>
        <v>1.5151515151515152E-2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39</v>
      </c>
      <c r="Y205" s="546">
        <f t="shared" si="10"/>
        <v>39.6</v>
      </c>
      <c r="Z205" s="36">
        <f>IFERROR(IF(Y205=0,"",ROUNDUP(Y205/H205,0)*0.00502),"")</f>
        <v>0.11044000000000001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41.816666666666663</v>
      </c>
      <c r="BN205" s="64">
        <f t="shared" si="12"/>
        <v>42.46</v>
      </c>
      <c r="BO205" s="64">
        <f t="shared" si="13"/>
        <v>9.2592592592592601E-2</v>
      </c>
      <c r="BP205" s="64">
        <f t="shared" si="14"/>
        <v>9.401709401709403E-2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24</v>
      </c>
      <c r="Y208" s="546">
        <f t="shared" si="10"/>
        <v>25.2</v>
      </c>
      <c r="Z208" s="36">
        <f>IFERROR(IF(Y208=0,"",ROUNDUP(Y208/H208,0)*0.00502),"")</f>
        <v>7.0280000000000009E-2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25.333333333333329</v>
      </c>
      <c r="BN208" s="64">
        <f t="shared" si="12"/>
        <v>26.599999999999998</v>
      </c>
      <c r="BO208" s="64">
        <f t="shared" si="13"/>
        <v>5.6980056980056981E-2</v>
      </c>
      <c r="BP208" s="64">
        <f t="shared" si="14"/>
        <v>5.9829059829059839E-2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102.22222222222223</v>
      </c>
      <c r="Y209" s="547">
        <f>IFERROR(Y201/H201,"0")+IFERROR(Y202/H202,"0")+IFERROR(Y203/H203,"0")+IFERROR(Y204/H204,"0")+IFERROR(Y205/H205,"0")+IFERROR(Y206/H206,"0")+IFERROR(Y207/H207,"0")+IFERROR(Y208/H208,"0")</f>
        <v>105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0.80310000000000015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426</v>
      </c>
      <c r="Y210" s="547">
        <f>IFERROR(SUM(Y201:Y208),"0")</f>
        <v>437.40000000000009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26</v>
      </c>
      <c r="Y212" s="546">
        <f t="shared" ref="Y212:Y220" si="15">IFERROR(IF(X212="",0,CEILING((X212/$H212),1)*$H212),"")</f>
        <v>32.4</v>
      </c>
      <c r="Z212" s="36">
        <f>IFERROR(IF(Y212=0,"",ROUNDUP(Y212/H212,0)*0.01898),"")</f>
        <v>7.5920000000000001E-2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27.585679012345679</v>
      </c>
      <c r="BN212" s="64">
        <f t="shared" ref="BN212:BN220" si="17">IFERROR(Y212*I212/H212,"0")</f>
        <v>34.375999999999998</v>
      </c>
      <c r="BO212" s="64">
        <f t="shared" ref="BO212:BO220" si="18">IFERROR(1/J212*(X212/H212),"0")</f>
        <v>5.0154320987654322E-2</v>
      </c>
      <c r="BP212" s="64">
        <f t="shared" ref="BP212:BP220" si="19">IFERROR(1/J212*(Y212/H212),"0")</f>
        <v>6.25E-2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227</v>
      </c>
      <c r="Y214" s="546">
        <f t="shared" si="15"/>
        <v>234.89999999999998</v>
      </c>
      <c r="Z214" s="36">
        <f>IFERROR(IF(Y214=0,"",ROUNDUP(Y214/H214,0)*0.01898),"")</f>
        <v>0.51246000000000003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239.88942528735635</v>
      </c>
      <c r="BN214" s="64">
        <f t="shared" si="17"/>
        <v>248.238</v>
      </c>
      <c r="BO214" s="64">
        <f t="shared" si="18"/>
        <v>0.40768678160919541</v>
      </c>
      <c r="BP214" s="64">
        <f t="shared" si="19"/>
        <v>0.421875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243</v>
      </c>
      <c r="Y215" s="546">
        <f t="shared" si="15"/>
        <v>244.79999999999998</v>
      </c>
      <c r="Z215" s="36">
        <f t="shared" ref="Z215:Z220" si="20">IFERROR(IF(Y215=0,"",ROUNDUP(Y215/H215,0)*0.00651),"")</f>
        <v>0.66402000000000005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270.33749999999998</v>
      </c>
      <c r="BN215" s="64">
        <f t="shared" si="17"/>
        <v>272.34000000000003</v>
      </c>
      <c r="BO215" s="64">
        <f t="shared" si="18"/>
        <v>0.55631868131868134</v>
      </c>
      <c r="BP215" s="64">
        <f t="shared" si="19"/>
        <v>0.56043956043956045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493</v>
      </c>
      <c r="Y217" s="546">
        <f t="shared" si="15"/>
        <v>494.4</v>
      </c>
      <c r="Z217" s="36">
        <f t="shared" si="20"/>
        <v>1.3410600000000001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544.7650000000001</v>
      </c>
      <c r="BN217" s="64">
        <f t="shared" si="17"/>
        <v>546.31200000000001</v>
      </c>
      <c r="BO217" s="64">
        <f t="shared" si="18"/>
        <v>1.1286630036630039</v>
      </c>
      <c r="BP217" s="64">
        <f t="shared" si="19"/>
        <v>1.1318681318681321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379</v>
      </c>
      <c r="Y218" s="546">
        <f t="shared" si="15"/>
        <v>379.2</v>
      </c>
      <c r="Z218" s="36">
        <f t="shared" si="20"/>
        <v>1.02858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418.79500000000002</v>
      </c>
      <c r="BN218" s="64">
        <f t="shared" si="17"/>
        <v>419.01600000000002</v>
      </c>
      <c r="BO218" s="64">
        <f t="shared" si="18"/>
        <v>0.86767399267399281</v>
      </c>
      <c r="BP218" s="64">
        <f t="shared" si="19"/>
        <v>0.86813186813186816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61</v>
      </c>
      <c r="Y219" s="546">
        <f t="shared" si="15"/>
        <v>62.4</v>
      </c>
      <c r="Z219" s="36">
        <f t="shared" si="20"/>
        <v>0.16925999999999999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67.405000000000015</v>
      </c>
      <c r="BN219" s="64">
        <f t="shared" si="17"/>
        <v>68.952000000000012</v>
      </c>
      <c r="BO219" s="64">
        <f t="shared" si="18"/>
        <v>0.13965201465201468</v>
      </c>
      <c r="BP219" s="64">
        <f t="shared" si="19"/>
        <v>0.14285714285714288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93</v>
      </c>
      <c r="Y220" s="546">
        <f t="shared" si="15"/>
        <v>93.6</v>
      </c>
      <c r="Z220" s="36">
        <f t="shared" si="20"/>
        <v>0.25389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102.9975</v>
      </c>
      <c r="BN220" s="64">
        <f t="shared" si="17"/>
        <v>103.66199999999999</v>
      </c>
      <c r="BO220" s="64">
        <f t="shared" si="18"/>
        <v>0.21291208791208793</v>
      </c>
      <c r="BP220" s="64">
        <f t="shared" si="19"/>
        <v>0.2142857142857143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558.05183056619842</v>
      </c>
      <c r="Y221" s="547">
        <f>IFERROR(Y212/H212,"0")+IFERROR(Y213/H213,"0")+IFERROR(Y214/H214,"0")+IFERROR(Y215/H215,"0")+IFERROR(Y216/H216,"0")+IFERROR(Y217/H217,"0")+IFERROR(Y218/H218,"0")+IFERROR(Y219/H219,"0")+IFERROR(Y220/H220,"0")</f>
        <v>562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4.0451899999999998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1522</v>
      </c>
      <c r="Y222" s="547">
        <f>IFERROR(SUM(Y212:Y220),"0")</f>
        <v>1541.6999999999998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16</v>
      </c>
      <c r="Y233" s="546">
        <f t="shared" si="21"/>
        <v>16</v>
      </c>
      <c r="Z233" s="36">
        <f>IFERROR(IF(Y233=0,"",ROUNDUP(Y233/H233,0)*0.00902),"")</f>
        <v>3.6080000000000001E-2</v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16.760000000000002</v>
      </c>
      <c r="BN233" s="64">
        <f t="shared" si="23"/>
        <v>16.760000000000002</v>
      </c>
      <c r="BO233" s="64">
        <f t="shared" si="24"/>
        <v>3.0303030303030304E-2</v>
      </c>
      <c r="BP233" s="64">
        <f t="shared" si="25"/>
        <v>3.0303030303030304E-2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4</v>
      </c>
      <c r="Y239" s="547">
        <f>IFERROR(Y230/H230,"0")+IFERROR(Y231/H231,"0")+IFERROR(Y232/H232,"0")+IFERROR(Y233/H233,"0")+IFERROR(Y234/H234,"0")+IFERROR(Y235/H235,"0")+IFERROR(Y236/H236,"0")+IFERROR(Y237/H237,"0")+IFERROR(Y238/H238,"0")</f>
        <v>4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3.6080000000000001E-2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16</v>
      </c>
      <c r="Y240" s="547">
        <f>IFERROR(SUM(Y230:Y238),"0")</f>
        <v>16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4</v>
      </c>
      <c r="Y253" s="546">
        <f>IFERROR(IF(X253="",0,CEILING((X253/$H253),1)*$H253),"")</f>
        <v>4.95</v>
      </c>
      <c r="Z253" s="36">
        <f>IFERROR(IF(Y253=0,"",ROUNDUP(Y253/H253,0)*0.0059),"")</f>
        <v>2.9499999999999998E-2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4.7676767676767673</v>
      </c>
      <c r="BN253" s="64">
        <f>IFERROR(Y253*I253/H253,"0")</f>
        <v>5.9</v>
      </c>
      <c r="BO253" s="64">
        <f>IFERROR(1/J253*(X253/H253),"0")</f>
        <v>1.8705574261129818E-2</v>
      </c>
      <c r="BP253" s="64">
        <f>IFERROR(1/J253*(Y253/H253),"0")</f>
        <v>2.3148148148148147E-2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4.0404040404040407</v>
      </c>
      <c r="Y255" s="547">
        <f>IFERROR(Y250/H250,"0")+IFERROR(Y251/H251,"0")+IFERROR(Y252/H252,"0")+IFERROR(Y253/H253,"0")+IFERROR(Y254/H254,"0")</f>
        <v>5</v>
      </c>
      <c r="Z255" s="547">
        <f>IFERROR(IF(Z250="",0,Z250),"0")+IFERROR(IF(Z251="",0,Z251),"0")+IFERROR(IF(Z252="",0,Z252),"0")+IFERROR(IF(Z253="",0,Z253),"0")+IFERROR(IF(Z254="",0,Z254),"0")</f>
        <v>2.9499999999999998E-2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4</v>
      </c>
      <c r="Y256" s="547">
        <f>IFERROR(SUM(Y250:Y254),"0")</f>
        <v>4.95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13</v>
      </c>
      <c r="Y277" s="546">
        <f>IFERROR(IF(X277="",0,CEILING((X277/$H277),1)*$H277),"")</f>
        <v>14.399999999999999</v>
      </c>
      <c r="Z277" s="36">
        <f>IFERROR(IF(Y277=0,"",ROUNDUP(Y277/H277,0)*0.00651),"")</f>
        <v>3.9059999999999997E-2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14.365</v>
      </c>
      <c r="BN277" s="64">
        <f>IFERROR(Y277*I277/H277,"0")</f>
        <v>15.912000000000001</v>
      </c>
      <c r="BO277" s="64">
        <f>IFERROR(1/J277*(X277/H277),"0")</f>
        <v>2.9761904761904767E-2</v>
      </c>
      <c r="BP277" s="64">
        <f>IFERROR(1/J277*(Y277/H277),"0")</f>
        <v>3.2967032967032968E-2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</v>
      </c>
      <c r="Y278" s="546">
        <f>IFERROR(IF(X278="",0,CEILING((X278/$H278),1)*$H278),"")</f>
        <v>2.4</v>
      </c>
      <c r="Z278" s="36">
        <f>IFERROR(IF(Y278=0,"",ROUNDUP(Y278/H278,0)*0.00651),"")</f>
        <v>6.5100000000000002E-3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1.0750000000000002</v>
      </c>
      <c r="BN278" s="64">
        <f>IFERROR(Y278*I278/H278,"0")</f>
        <v>2.58</v>
      </c>
      <c r="BO278" s="64">
        <f>IFERROR(1/J278*(X278/H278),"0")</f>
        <v>2.2893772893772895E-3</v>
      </c>
      <c r="BP278" s="64">
        <f>IFERROR(1/J278*(Y278/H278),"0")</f>
        <v>5.4945054945054949E-3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5.8333333333333339</v>
      </c>
      <c r="Y279" s="547">
        <f>IFERROR(Y276/H276,"0")+IFERROR(Y277/H277,"0")+IFERROR(Y278/H278,"0")</f>
        <v>7</v>
      </c>
      <c r="Z279" s="547">
        <f>IFERROR(IF(Z276="",0,Z276),"0")+IFERROR(IF(Z277="",0,Z277),"0")+IFERROR(IF(Z278="",0,Z278),"0")</f>
        <v>4.5569999999999999E-2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14</v>
      </c>
      <c r="Y280" s="547">
        <f>IFERROR(SUM(Y276:Y278),"0")</f>
        <v>16.799999999999997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5</v>
      </c>
      <c r="Y307" s="546">
        <f t="shared" si="26"/>
        <v>5.4</v>
      </c>
      <c r="Z307" s="36">
        <f>IFERROR(IF(Y307=0,"",ROUNDUP(Y307/H307,0)*0.00651),"")</f>
        <v>1.9529999999999999E-2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5.6333333333333337</v>
      </c>
      <c r="BN307" s="64">
        <f t="shared" si="28"/>
        <v>6.0839999999999996</v>
      </c>
      <c r="BO307" s="64">
        <f t="shared" si="29"/>
        <v>1.5262515262515264E-2</v>
      </c>
      <c r="BP307" s="64">
        <f t="shared" si="30"/>
        <v>1.6483516483516484E-2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2.7777777777777777</v>
      </c>
      <c r="Y308" s="547">
        <f>IFERROR(Y302/H302,"0")+IFERROR(Y303/H303,"0")+IFERROR(Y304/H304,"0")+IFERROR(Y305/H305,"0")+IFERROR(Y306/H306,"0")+IFERROR(Y307/H307,"0")</f>
        <v>3</v>
      </c>
      <c r="Z308" s="547">
        <f>IFERROR(IF(Z302="",0,Z302),"0")+IFERROR(IF(Z303="",0,Z303),"0")+IFERROR(IF(Z304="",0,Z304),"0")+IFERROR(IF(Z305="",0,Z305),"0")+IFERROR(IF(Z306="",0,Z306),"0")+IFERROR(IF(Z307="",0,Z307),"0")</f>
        <v>1.9529999999999999E-2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5</v>
      </c>
      <c r="Y309" s="547">
        <f>IFERROR(SUM(Y302:Y307),"0")</f>
        <v>5.4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39</v>
      </c>
      <c r="Y318" s="546">
        <f>IFERROR(IF(X318="",0,CEILING((X318/$H318),1)*$H318),"")</f>
        <v>42</v>
      </c>
      <c r="Z318" s="36">
        <f>IFERROR(IF(Y318=0,"",ROUNDUP(Y318/H318,0)*0.01898),"")</f>
        <v>9.4899999999999998E-2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41.293571428571425</v>
      </c>
      <c r="BN318" s="64">
        <f>IFERROR(Y318*I318/H318,"0")</f>
        <v>44.47</v>
      </c>
      <c r="BO318" s="64">
        <f>IFERROR(1/J318*(X318/H318),"0")</f>
        <v>7.2544642857142849E-2</v>
      </c>
      <c r="BP318" s="64">
        <f>IFERROR(1/J318*(Y318/H318),"0")</f>
        <v>7.8125E-2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275</v>
      </c>
      <c r="Y319" s="546">
        <f>IFERROR(IF(X319="",0,CEILING((X319/$H319),1)*$H319),"")</f>
        <v>280.8</v>
      </c>
      <c r="Z319" s="36">
        <f>IFERROR(IF(Y319=0,"",ROUNDUP(Y319/H319,0)*0.01898),"")</f>
        <v>0.68328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292.41666666666669</v>
      </c>
      <c r="BN319" s="64">
        <f>IFERROR(Y319*I319/H319,"0")</f>
        <v>298.58400000000006</v>
      </c>
      <c r="BO319" s="64">
        <f>IFERROR(1/J319*(X319/H319),"0")</f>
        <v>0.55088141025641024</v>
      </c>
      <c r="BP319" s="64">
        <f>IFERROR(1/J319*(Y319/H319),"0")</f>
        <v>0.5625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87</v>
      </c>
      <c r="Y320" s="546">
        <f>IFERROR(IF(X320="",0,CEILING((X320/$H320),1)*$H320),"")</f>
        <v>92.4</v>
      </c>
      <c r="Z320" s="36">
        <f>IFERROR(IF(Y320=0,"",ROUNDUP(Y320/H320,0)*0.01898),"")</f>
        <v>0.20877999999999999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92.116428571428571</v>
      </c>
      <c r="BN320" s="64">
        <f>IFERROR(Y320*I320/H320,"0")</f>
        <v>97.834000000000003</v>
      </c>
      <c r="BO320" s="64">
        <f>IFERROR(1/J320*(X320/H320),"0")</f>
        <v>0.16183035714285712</v>
      </c>
      <c r="BP320" s="64">
        <f>IFERROR(1/J320*(Y320/H320),"0")</f>
        <v>0.171875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50.256410256410255</v>
      </c>
      <c r="Y321" s="547">
        <f>IFERROR(Y318/H318,"0")+IFERROR(Y319/H319,"0")+IFERROR(Y320/H320,"0")</f>
        <v>52</v>
      </c>
      <c r="Z321" s="547">
        <f>IFERROR(IF(Z318="",0,Z318),"0")+IFERROR(IF(Z319="",0,Z319),"0")+IFERROR(IF(Z320="",0,Z320),"0")</f>
        <v>0.98695999999999995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401</v>
      </c>
      <c r="Y322" s="547">
        <f>IFERROR(SUM(Y318:Y320),"0")</f>
        <v>415.20000000000005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10</v>
      </c>
      <c r="Y325" s="546">
        <f>IFERROR(IF(X325="",0,CEILING((X325/$H325),1)*$H325),"")</f>
        <v>12.16</v>
      </c>
      <c r="Z325" s="36">
        <f>IFERROR(IF(Y325=0,"",ROUNDUP(Y325/H325,0)*0.00902),"")</f>
        <v>3.6080000000000001E-2</v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10.756578947368421</v>
      </c>
      <c r="BN325" s="64">
        <f>IFERROR(Y325*I325/H325,"0")</f>
        <v>13.079999999999998</v>
      </c>
      <c r="BO325" s="64">
        <f>IFERROR(1/J325*(X325/H325),"0")</f>
        <v>2.4920255183413079E-2</v>
      </c>
      <c r="BP325" s="64">
        <f>IFERROR(1/J325*(Y325/H325),"0")</f>
        <v>3.0303030303030304E-2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7</v>
      </c>
      <c r="Y326" s="546">
        <f>IFERROR(IF(X326="",0,CEILING((X326/$H326),1)*$H326),"")</f>
        <v>7.6499999999999995</v>
      </c>
      <c r="Z326" s="36">
        <f>IFERROR(IF(Y326=0,"",ROUNDUP(Y326/H326,0)*0.00651),"")</f>
        <v>1.9529999999999999E-2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8.1117647058823543</v>
      </c>
      <c r="BN326" s="64">
        <f>IFERROR(Y326*I326/H326,"0")</f>
        <v>8.8650000000000002</v>
      </c>
      <c r="BO326" s="64">
        <f>IFERROR(1/J326*(X326/H326),"0")</f>
        <v>1.508295625942685E-2</v>
      </c>
      <c r="BP326" s="64">
        <f>IFERROR(1/J326*(Y326/H326),"0")</f>
        <v>1.6483516483516484E-2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6.0345717234262128</v>
      </c>
      <c r="Y328" s="547">
        <f>IFERROR(Y324/H324,"0")+IFERROR(Y325/H325,"0")+IFERROR(Y326/H326,"0")+IFERROR(Y327/H327,"0")</f>
        <v>7</v>
      </c>
      <c r="Z328" s="547">
        <f>IFERROR(IF(Z324="",0,Z324),"0")+IFERROR(IF(Z325="",0,Z325),"0")+IFERROR(IF(Z326="",0,Z326),"0")+IFERROR(IF(Z327="",0,Z327),"0")</f>
        <v>5.561E-2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17</v>
      </c>
      <c r="Y329" s="547">
        <f>IFERROR(SUM(Y324:Y327),"0")</f>
        <v>19.809999999999999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2</v>
      </c>
      <c r="Y331" s="546">
        <f>IFERROR(IF(X331="",0,CEILING((X331/$H331),1)*$H331),"")</f>
        <v>2</v>
      </c>
      <c r="Z331" s="36">
        <f>IFERROR(IF(Y331=0,"",ROUNDUP(Y331/H331,0)*0.00474),"")</f>
        <v>4.7400000000000003E-3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2.2400000000000002</v>
      </c>
      <c r="BN331" s="64">
        <f>IFERROR(Y331*I331/H331,"0")</f>
        <v>2.2400000000000002</v>
      </c>
      <c r="BO331" s="64">
        <f>IFERROR(1/J331*(X331/H331),"0")</f>
        <v>4.2016806722689074E-3</v>
      </c>
      <c r="BP331" s="64">
        <f>IFERROR(1/J331*(Y331/H331),"0")</f>
        <v>4.2016806722689074E-3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1</v>
      </c>
      <c r="Y334" s="547">
        <f>IFERROR(Y331/H331,"0")+IFERROR(Y332/H332,"0")+IFERROR(Y333/H333,"0")</f>
        <v>1</v>
      </c>
      <c r="Z334" s="547">
        <f>IFERROR(IF(Z331="",0,Z331),"0")+IFERROR(IF(Z332="",0,Z332),"0")+IFERROR(IF(Z333="",0,Z333),"0")</f>
        <v>4.7400000000000003E-3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2</v>
      </c>
      <c r="Y335" s="547">
        <f>IFERROR(SUM(Y331:Y333),"0")</f>
        <v>2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hidden="1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944</v>
      </c>
      <c r="Y349" s="546">
        <f t="shared" si="31"/>
        <v>945</v>
      </c>
      <c r="Z349" s="36">
        <f>IFERROR(IF(Y349=0,"",ROUNDUP(Y349/H349,0)*0.02175),"")</f>
        <v>1.37025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973.57866666666666</v>
      </c>
      <c r="BN349" s="64">
        <f t="shared" si="33"/>
        <v>974.61000000000013</v>
      </c>
      <c r="BO349" s="64">
        <f t="shared" si="34"/>
        <v>1.3111111111111109</v>
      </c>
      <c r="BP349" s="64">
        <f t="shared" si="35"/>
        <v>1.3125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62.93333333333333</v>
      </c>
      <c r="Y353" s="547">
        <f>IFERROR(Y346/H346,"0")+IFERROR(Y347/H347,"0")+IFERROR(Y348/H348,"0")+IFERROR(Y349/H349,"0")+IFERROR(Y350/H350,"0")+IFERROR(Y351/H351,"0")+IFERROR(Y352/H352,"0")</f>
        <v>63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1.37025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944</v>
      </c>
      <c r="Y354" s="547">
        <f>IFERROR(SUM(Y346:Y352),"0")</f>
        <v>945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1064</v>
      </c>
      <c r="Y356" s="546">
        <f>IFERROR(IF(X356="",0,CEILING((X356/$H356),1)*$H356),"")</f>
        <v>1065</v>
      </c>
      <c r="Z356" s="36">
        <f>IFERROR(IF(Y356=0,"",ROUNDUP(Y356/H356,0)*0.02175),"")</f>
        <v>1.5442499999999999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1097.3386666666668</v>
      </c>
      <c r="BN356" s="64">
        <f>IFERROR(Y356*I356/H356,"0")</f>
        <v>1098.3699999999999</v>
      </c>
      <c r="BO356" s="64">
        <f>IFERROR(1/J356*(X356/H356),"0")</f>
        <v>1.4777777777777779</v>
      </c>
      <c r="BP356" s="64">
        <f>IFERROR(1/J356*(Y356/H356),"0")</f>
        <v>1.4791666666666665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70.933333333333337</v>
      </c>
      <c r="Y358" s="547">
        <f>IFERROR(Y356/H356,"0")+IFERROR(Y357/H357,"0")</f>
        <v>71</v>
      </c>
      <c r="Z358" s="547">
        <f>IFERROR(IF(Z356="",0,Z356),"0")+IFERROR(IF(Z357="",0,Z357),"0")</f>
        <v>1.5442499999999999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1064</v>
      </c>
      <c r="Y359" s="547">
        <f>IFERROR(SUM(Y356:Y357),"0")</f>
        <v>1065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32</v>
      </c>
      <c r="Y366" s="54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33.75644444444444</v>
      </c>
      <c r="BN366" s="64">
        <f>IFERROR(Y366*I366/H366,"0")</f>
        <v>37.975999999999999</v>
      </c>
      <c r="BO366" s="64">
        <f>IFERROR(1/J366*(X366/H366),"0")</f>
        <v>5.5555555555555552E-2</v>
      </c>
      <c r="BP366" s="64">
        <f>IFERROR(1/J366*(Y366/H366),"0")</f>
        <v>6.25E-2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3.5555555555555554</v>
      </c>
      <c r="Y367" s="547">
        <f>IFERROR(Y366/H366,"0")</f>
        <v>4</v>
      </c>
      <c r="Z367" s="547">
        <f>IFERROR(IF(Z366="",0,Z366),"0")</f>
        <v>7.5920000000000001E-2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32</v>
      </c>
      <c r="Y368" s="547">
        <f>IFERROR(SUM(Y366:Y366),"0")</f>
        <v>36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1143</v>
      </c>
      <c r="Y381" s="546">
        <f>IFERROR(IF(X381="",0,CEILING((X381/$H381),1)*$H381),"")</f>
        <v>1143</v>
      </c>
      <c r="Z381" s="36">
        <f>IFERROR(IF(Y381=0,"",ROUNDUP(Y381/H381,0)*0.01898),"")</f>
        <v>2.41046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1205.7380000000001</v>
      </c>
      <c r="BN381" s="64">
        <f>IFERROR(Y381*I381/H381,"0")</f>
        <v>1205.7380000000001</v>
      </c>
      <c r="BO381" s="64">
        <f>IFERROR(1/J381*(X381/H381),"0")</f>
        <v>1.984375</v>
      </c>
      <c r="BP381" s="64">
        <f>IFERROR(1/J381*(Y381/H381),"0")</f>
        <v>1.984375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127</v>
      </c>
      <c r="Y384" s="547">
        <f>IFERROR(Y381/H381,"0")+IFERROR(Y382/H382,"0")+IFERROR(Y383/H383,"0")</f>
        <v>127</v>
      </c>
      <c r="Z384" s="547">
        <f>IFERROR(IF(Z381="",0,Z381),"0")+IFERROR(IF(Z382="",0,Z382),"0")+IFERROR(IF(Z383="",0,Z383),"0")</f>
        <v>2.41046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1143</v>
      </c>
      <c r="Y385" s="547">
        <f>IFERROR(SUM(Y381:Y383),"0")</f>
        <v>1143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392</v>
      </c>
      <c r="Y429" s="546">
        <f t="shared" si="42"/>
        <v>396</v>
      </c>
      <c r="Z429" s="36">
        <f t="shared" si="43"/>
        <v>0.89700000000000002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417.9848484848485</v>
      </c>
      <c r="BN429" s="64">
        <f t="shared" si="45"/>
        <v>422.25</v>
      </c>
      <c r="BO429" s="64">
        <f t="shared" si="46"/>
        <v>0.71386946386946382</v>
      </c>
      <c r="BP429" s="64">
        <f t="shared" si="47"/>
        <v>0.72115384615384615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851</v>
      </c>
      <c r="Y431" s="546">
        <f t="shared" si="42"/>
        <v>855.36</v>
      </c>
      <c r="Z431" s="36">
        <f t="shared" si="43"/>
        <v>1.9375200000000001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907.41098484848487</v>
      </c>
      <c r="BN431" s="64">
        <f t="shared" si="45"/>
        <v>912.06</v>
      </c>
      <c r="BO431" s="64">
        <f t="shared" si="46"/>
        <v>1.5497523310023309</v>
      </c>
      <c r="BP431" s="64">
        <f t="shared" si="47"/>
        <v>1.5576923076923077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235.41666666666663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237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2.8345200000000004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1243</v>
      </c>
      <c r="Y438" s="547">
        <f>IFERROR(SUM(Y425:Y436),"0")</f>
        <v>1251.3600000000001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461</v>
      </c>
      <c r="Y440" s="546">
        <f>IFERROR(IF(X440="",0,CEILING((X440/$H440),1)*$H440),"")</f>
        <v>464.64000000000004</v>
      </c>
      <c r="Z440" s="36">
        <f>IFERROR(IF(Y440=0,"",ROUNDUP(Y440/H440,0)*0.01196),"")</f>
        <v>1.0524800000000001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491.55871212121207</v>
      </c>
      <c r="BN440" s="64">
        <f>IFERROR(Y440*I440/H440,"0")</f>
        <v>495.44</v>
      </c>
      <c r="BO440" s="64">
        <f>IFERROR(1/J440*(X440/H440),"0")</f>
        <v>0.8395250582750583</v>
      </c>
      <c r="BP440" s="64">
        <f>IFERROR(1/J440*(Y440/H440),"0")</f>
        <v>0.84615384615384626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87.310606060606062</v>
      </c>
      <c r="Y443" s="547">
        <f>IFERROR(Y440/H440,"0")+IFERROR(Y441/H441,"0")+IFERROR(Y442/H442,"0")</f>
        <v>88</v>
      </c>
      <c r="Z443" s="547">
        <f>IFERROR(IF(Z440="",0,Z440),"0")+IFERROR(IF(Z441="",0,Z441),"0")+IFERROR(IF(Z442="",0,Z442),"0")</f>
        <v>1.0524800000000001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461</v>
      </c>
      <c r="Y444" s="547">
        <f>IFERROR(SUM(Y440:Y442),"0")</f>
        <v>464.64000000000004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177</v>
      </c>
      <c r="Y447" s="546">
        <f t="shared" si="48"/>
        <v>179.52</v>
      </c>
      <c r="Z447" s="36">
        <f>IFERROR(IF(Y447=0,"",ROUNDUP(Y447/H447,0)*0.01196),"")</f>
        <v>0.40664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188.73295454545453</v>
      </c>
      <c r="BN447" s="64">
        <f t="shared" si="50"/>
        <v>191.42000000000002</v>
      </c>
      <c r="BO447" s="64">
        <f t="shared" si="51"/>
        <v>0.32233391608391609</v>
      </c>
      <c r="BP447" s="64">
        <f t="shared" si="52"/>
        <v>0.32692307692307693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396</v>
      </c>
      <c r="Y448" s="546">
        <f t="shared" si="48"/>
        <v>396</v>
      </c>
      <c r="Z448" s="36">
        <f>IFERROR(IF(Y448=0,"",ROUNDUP(Y448/H448,0)*0.01196),"")</f>
        <v>0.89700000000000002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422.25</v>
      </c>
      <c r="BN448" s="64">
        <f t="shared" si="50"/>
        <v>422.25</v>
      </c>
      <c r="BO448" s="64">
        <f t="shared" si="51"/>
        <v>0.72115384615384615</v>
      </c>
      <c r="BP448" s="64">
        <f t="shared" si="52"/>
        <v>0.72115384615384615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108.52272727272728</v>
      </c>
      <c r="Y452" s="547">
        <f>IFERROR(Y446/H446,"0")+IFERROR(Y447/H447,"0")+IFERROR(Y448/H448,"0")+IFERROR(Y449/H449,"0")+IFERROR(Y450/H450,"0")+IFERROR(Y451/H451,"0")</f>
        <v>109</v>
      </c>
      <c r="Z452" s="547">
        <f>IFERROR(IF(Z446="",0,Z446),"0")+IFERROR(IF(Z447="",0,Z447),"0")+IFERROR(IF(Z448="",0,Z448),"0")+IFERROR(IF(Z449="",0,Z449),"0")+IFERROR(IF(Z450="",0,Z450),"0")+IFERROR(IF(Z451="",0,Z451),"0")</f>
        <v>1.3036400000000001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573</v>
      </c>
      <c r="Y453" s="547">
        <f>IFERROR(SUM(Y446:Y451),"0")</f>
        <v>575.52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9359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9460.02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9910.1430073010106</v>
      </c>
      <c r="Y492" s="547">
        <f>IFERROR(SUM(BN22:BN488),"0")</f>
        <v>10017.411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17</v>
      </c>
      <c r="Y493" s="38">
        <f>ROUNDUP(SUM(BP22:BP488),0)</f>
        <v>17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10335.143007301011</v>
      </c>
      <c r="Y494" s="547">
        <f>GrossWeightTotalR+PalletQtyTotalR*25</f>
        <v>10442.411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1689.7068429600656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1710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19.84055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349.40000000000003</v>
      </c>
      <c r="E501" s="46">
        <f>IFERROR(Y86*1,"0")+IFERROR(Y87*1,"0")+IFERROR(Y88*1,"0")+IFERROR(Y89*1,"0")+IFERROR(Y93*1,"0")+IFERROR(Y94*1,"0")+IFERROR(Y95*1,"0")+IFERROR(Y96*1,"0")</f>
        <v>121.5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741.3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308.04000000000002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1979.1000000000001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20.95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16.799999999999997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442.41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2046</v>
      </c>
      <c r="T501" s="46">
        <f>IFERROR(Y371*1,"0")+IFERROR(Y372*1,"0")+IFERROR(Y376*1,"0")+IFERROR(Y377*1,"0")+IFERROR(Y381*1,"0")+IFERROR(Y382*1,"0")+IFERROR(Y383*1,"0")</f>
        <v>1143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2291.5200000000004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4,00"/>
        <filter val="1 143,00"/>
        <filter val="1 243,00"/>
        <filter val="1 522,00"/>
        <filter val="1 689,71"/>
        <filter val="1,00"/>
        <filter val="10 335,14"/>
        <filter val="10,00"/>
        <filter val="102,22"/>
        <filter val="108,52"/>
        <filter val="116,00"/>
        <filter val="119,00"/>
        <filter val="127,00"/>
        <filter val="13,00"/>
        <filter val="137,00"/>
        <filter val="14,00"/>
        <filter val="14,69"/>
        <filter val="141,00"/>
        <filter val="153,00"/>
        <filter val="16,00"/>
        <filter val="17"/>
        <filter val="17,00"/>
        <filter val="177,00"/>
        <filter val="198,00"/>
        <filter val="2,00"/>
        <filter val="2,78"/>
        <filter val="20,00"/>
        <filter val="204,00"/>
        <filter val="21,00"/>
        <filter val="227,00"/>
        <filter val="232,00"/>
        <filter val="235,42"/>
        <filter val="24,00"/>
        <filter val="243,00"/>
        <filter val="26,00"/>
        <filter val="275,00"/>
        <filter val="28,64"/>
        <filter val="299,00"/>
        <filter val="3,17"/>
        <filter val="3,56"/>
        <filter val="314,00"/>
        <filter val="32,00"/>
        <filter val="35,56"/>
        <filter val="379,00"/>
        <filter val="384,00"/>
        <filter val="39,00"/>
        <filter val="392,00"/>
        <filter val="396,00"/>
        <filter val="4,00"/>
        <filter val="4,04"/>
        <filter val="4,23"/>
        <filter val="401,00"/>
        <filter val="426,00"/>
        <filter val="461,00"/>
        <filter val="47,33"/>
        <filter val="48,33"/>
        <filter val="493,00"/>
        <filter val="5,00"/>
        <filter val="5,83"/>
        <filter val="50,26"/>
        <filter val="558,05"/>
        <filter val="573,00"/>
        <filter val="6,00"/>
        <filter val="6,03"/>
        <filter val="61,00"/>
        <filter val="62,93"/>
        <filter val="7,00"/>
        <filter val="70,93"/>
        <filter val="77,86"/>
        <filter val="851,00"/>
        <filter val="87,00"/>
        <filter val="87,31"/>
        <filter val="9 359,00"/>
        <filter val="9 910,14"/>
        <filter val="93,00"/>
        <filter val="944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