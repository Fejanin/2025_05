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0E562E0-F2FD-4838-BC87-61C68339BE8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O464" i="1"/>
  <c r="BM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X403" i="1"/>
  <c r="BO402" i="1"/>
  <c r="BM402" i="1"/>
  <c r="Y402" i="1"/>
  <c r="P402" i="1"/>
  <c r="BO401" i="1"/>
  <c r="BM401" i="1"/>
  <c r="Y401" i="1"/>
  <c r="Y403" i="1" s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5" i="1"/>
  <c r="X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P372" i="1"/>
  <c r="BO372" i="1"/>
  <c r="BN372" i="1"/>
  <c r="BM372" i="1"/>
  <c r="Z372" i="1"/>
  <c r="Y372" i="1"/>
  <c r="P372" i="1"/>
  <c r="BO371" i="1"/>
  <c r="BM371" i="1"/>
  <c r="Y371" i="1"/>
  <c r="Y373" i="1" s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Y358" i="1" s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Y290" i="1" s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P186" i="1"/>
  <c r="X184" i="1"/>
  <c r="X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Y178" i="1" s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H501" i="1" s="1"/>
  <c r="P144" i="1"/>
  <c r="X141" i="1"/>
  <c r="X140" i="1"/>
  <c r="BO139" i="1"/>
  <c r="BM139" i="1"/>
  <c r="Y139" i="1"/>
  <c r="Y141" i="1" s="1"/>
  <c r="P139" i="1"/>
  <c r="BP138" i="1"/>
  <c r="BO138" i="1"/>
  <c r="BN138" i="1"/>
  <c r="BM138" i="1"/>
  <c r="Z138" i="1"/>
  <c r="Y138" i="1"/>
  <c r="P138" i="1"/>
  <c r="X136" i="1"/>
  <c r="X135" i="1"/>
  <c r="BO134" i="1"/>
  <c r="BM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P111" i="1"/>
  <c r="BO110" i="1"/>
  <c r="BM110" i="1"/>
  <c r="Y110" i="1"/>
  <c r="BP110" i="1" s="1"/>
  <c r="BO109" i="1"/>
  <c r="BM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Y107" i="1" s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Y82" i="1" s="1"/>
  <c r="P80" i="1"/>
  <c r="X78" i="1"/>
  <c r="X77" i="1"/>
  <c r="BO76" i="1"/>
  <c r="BM76" i="1"/>
  <c r="Z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Y77" i="1" s="1"/>
  <c r="P73" i="1"/>
  <c r="X71" i="1"/>
  <c r="X70" i="1"/>
  <c r="BO69" i="1"/>
  <c r="BM69" i="1"/>
  <c r="Y69" i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Y125" i="1" l="1"/>
  <c r="Y124" i="1"/>
  <c r="BP123" i="1"/>
  <c r="BN123" i="1"/>
  <c r="Z123" i="1"/>
  <c r="Z124" i="1" s="1"/>
  <c r="BP128" i="1"/>
  <c r="BN128" i="1"/>
  <c r="Z128" i="1"/>
  <c r="BP168" i="1"/>
  <c r="BN168" i="1"/>
  <c r="Z168" i="1"/>
  <c r="BP204" i="1"/>
  <c r="BN204" i="1"/>
  <c r="Z204" i="1"/>
  <c r="BP230" i="1"/>
  <c r="BN230" i="1"/>
  <c r="Z230" i="1"/>
  <c r="BP259" i="1"/>
  <c r="BN259" i="1"/>
  <c r="Z259" i="1"/>
  <c r="BP289" i="1"/>
  <c r="BN289" i="1"/>
  <c r="Z289" i="1"/>
  <c r="BP294" i="1"/>
  <c r="BN294" i="1"/>
  <c r="Z294" i="1"/>
  <c r="BP318" i="1"/>
  <c r="BN318" i="1"/>
  <c r="Z318" i="1"/>
  <c r="BP351" i="1"/>
  <c r="BN351" i="1"/>
  <c r="Z351" i="1"/>
  <c r="BP396" i="1"/>
  <c r="BN396" i="1"/>
  <c r="Z396" i="1"/>
  <c r="BP428" i="1"/>
  <c r="BN428" i="1"/>
  <c r="Z428" i="1"/>
  <c r="BP448" i="1"/>
  <c r="BN448" i="1"/>
  <c r="Z448" i="1"/>
  <c r="Z22" i="1"/>
  <c r="BN22" i="1"/>
  <c r="X491" i="1"/>
  <c r="Y32" i="1"/>
  <c r="Z47" i="1"/>
  <c r="Z48" i="1" s="1"/>
  <c r="BN47" i="1"/>
  <c r="BP47" i="1"/>
  <c r="Y48" i="1"/>
  <c r="Z52" i="1"/>
  <c r="BN52" i="1"/>
  <c r="Z68" i="1"/>
  <c r="BN68" i="1"/>
  <c r="BP76" i="1"/>
  <c r="BN76" i="1"/>
  <c r="BP94" i="1"/>
  <c r="BN94" i="1"/>
  <c r="Z94" i="1"/>
  <c r="BP149" i="1"/>
  <c r="BN149" i="1"/>
  <c r="Z149" i="1"/>
  <c r="BP181" i="1"/>
  <c r="BN181" i="1"/>
  <c r="Z181" i="1"/>
  <c r="BP215" i="1"/>
  <c r="BN215" i="1"/>
  <c r="Z215" i="1"/>
  <c r="BP238" i="1"/>
  <c r="BN238" i="1"/>
  <c r="Z238" i="1"/>
  <c r="BP270" i="1"/>
  <c r="BN270" i="1"/>
  <c r="Z270" i="1"/>
  <c r="BP271" i="1"/>
  <c r="BN271" i="1"/>
  <c r="Z271" i="1"/>
  <c r="BP304" i="1"/>
  <c r="BN304" i="1"/>
  <c r="Z304" i="1"/>
  <c r="BP332" i="1"/>
  <c r="BN332" i="1"/>
  <c r="Z332" i="1"/>
  <c r="BP382" i="1"/>
  <c r="BN382" i="1"/>
  <c r="Z382" i="1"/>
  <c r="BP425" i="1"/>
  <c r="BN425" i="1"/>
  <c r="Z425" i="1"/>
  <c r="BP436" i="1"/>
  <c r="BN436" i="1"/>
  <c r="Z436" i="1"/>
  <c r="BP468" i="1"/>
  <c r="BN468" i="1"/>
  <c r="Z468" i="1"/>
  <c r="Y131" i="1"/>
  <c r="Y152" i="1"/>
  <c r="Y264" i="1"/>
  <c r="Y321" i="1"/>
  <c r="BP104" i="1"/>
  <c r="BN104" i="1"/>
  <c r="Z104" i="1"/>
  <c r="BP119" i="1"/>
  <c r="BN119" i="1"/>
  <c r="Z119" i="1"/>
  <c r="BP145" i="1"/>
  <c r="BN145" i="1"/>
  <c r="Z145" i="1"/>
  <c r="BP166" i="1"/>
  <c r="BN166" i="1"/>
  <c r="Z166" i="1"/>
  <c r="BP175" i="1"/>
  <c r="BN175" i="1"/>
  <c r="Z175" i="1"/>
  <c r="BP202" i="1"/>
  <c r="BN202" i="1"/>
  <c r="Z202" i="1"/>
  <c r="BP213" i="1"/>
  <c r="BN213" i="1"/>
  <c r="Z213" i="1"/>
  <c r="BP225" i="1"/>
  <c r="BN225" i="1"/>
  <c r="Z225" i="1"/>
  <c r="BP236" i="1"/>
  <c r="BN236" i="1"/>
  <c r="Z236" i="1"/>
  <c r="BP254" i="1"/>
  <c r="BN254" i="1"/>
  <c r="Z254" i="1"/>
  <c r="BP268" i="1"/>
  <c r="BN268" i="1"/>
  <c r="Z268" i="1"/>
  <c r="Y25" i="1"/>
  <c r="X495" i="1"/>
  <c r="Z28" i="1"/>
  <c r="BN28" i="1"/>
  <c r="Z42" i="1"/>
  <c r="BN42" i="1"/>
  <c r="Z54" i="1"/>
  <c r="BN54" i="1"/>
  <c r="Z62" i="1"/>
  <c r="BN62" i="1"/>
  <c r="Y71" i="1"/>
  <c r="Z74" i="1"/>
  <c r="BN74" i="1"/>
  <c r="Z80" i="1"/>
  <c r="BN80" i="1"/>
  <c r="BP80" i="1"/>
  <c r="Y83" i="1"/>
  <c r="E501" i="1"/>
  <c r="Z88" i="1"/>
  <c r="BN88" i="1"/>
  <c r="Y97" i="1"/>
  <c r="Z96" i="1"/>
  <c r="BN96" i="1"/>
  <c r="BP111" i="1"/>
  <c r="BN111" i="1"/>
  <c r="Z111" i="1"/>
  <c r="BP134" i="1"/>
  <c r="BN134" i="1"/>
  <c r="Z134" i="1"/>
  <c r="BP151" i="1"/>
  <c r="BN151" i="1"/>
  <c r="Z151" i="1"/>
  <c r="BP170" i="1"/>
  <c r="BN170" i="1"/>
  <c r="Z170" i="1"/>
  <c r="J501" i="1"/>
  <c r="BP192" i="1"/>
  <c r="BN192" i="1"/>
  <c r="Z192" i="1"/>
  <c r="BP206" i="1"/>
  <c r="BN206" i="1"/>
  <c r="Z206" i="1"/>
  <c r="BP217" i="1"/>
  <c r="BN217" i="1"/>
  <c r="Z217" i="1"/>
  <c r="BP232" i="1"/>
  <c r="BN232" i="1"/>
  <c r="Z232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Y256" i="1"/>
  <c r="BP250" i="1"/>
  <c r="BN250" i="1"/>
  <c r="Z250" i="1"/>
  <c r="BP261" i="1"/>
  <c r="BN261" i="1"/>
  <c r="Z261" i="1"/>
  <c r="BP276" i="1"/>
  <c r="BN276" i="1"/>
  <c r="Z276" i="1"/>
  <c r="BP296" i="1"/>
  <c r="BN296" i="1"/>
  <c r="Z296" i="1"/>
  <c r="BP306" i="1"/>
  <c r="BN306" i="1"/>
  <c r="Z306" i="1"/>
  <c r="BP320" i="1"/>
  <c r="BN320" i="1"/>
  <c r="Z320" i="1"/>
  <c r="BP339" i="1"/>
  <c r="BN339" i="1"/>
  <c r="Z339" i="1"/>
  <c r="BP357" i="1"/>
  <c r="BN357" i="1"/>
  <c r="Z357" i="1"/>
  <c r="BP361" i="1"/>
  <c r="BN361" i="1"/>
  <c r="Z361" i="1"/>
  <c r="BP390" i="1"/>
  <c r="BN390" i="1"/>
  <c r="Z390" i="1"/>
  <c r="BP402" i="1"/>
  <c r="BN402" i="1"/>
  <c r="Z402" i="1"/>
  <c r="BP430" i="1"/>
  <c r="BN430" i="1"/>
  <c r="Z430" i="1"/>
  <c r="BP440" i="1"/>
  <c r="BN440" i="1"/>
  <c r="Z440" i="1"/>
  <c r="BP450" i="1"/>
  <c r="BN450" i="1"/>
  <c r="Z450" i="1"/>
  <c r="BP474" i="1"/>
  <c r="BN474" i="1"/>
  <c r="Z474" i="1"/>
  <c r="Y480" i="1"/>
  <c r="Y479" i="1"/>
  <c r="BP478" i="1"/>
  <c r="BN478" i="1"/>
  <c r="Z478" i="1"/>
  <c r="Z479" i="1" s="1"/>
  <c r="BP482" i="1"/>
  <c r="BN482" i="1"/>
  <c r="Z482" i="1"/>
  <c r="Y114" i="1"/>
  <c r="Y120" i="1"/>
  <c r="Y140" i="1"/>
  <c r="Y153" i="1"/>
  <c r="Y184" i="1"/>
  <c r="Y198" i="1"/>
  <c r="Y255" i="1"/>
  <c r="Y272" i="1"/>
  <c r="BP283" i="1"/>
  <c r="BN283" i="1"/>
  <c r="Z283" i="1"/>
  <c r="BP302" i="1"/>
  <c r="BN302" i="1"/>
  <c r="Z302" i="1"/>
  <c r="BP314" i="1"/>
  <c r="BN314" i="1"/>
  <c r="Z314" i="1"/>
  <c r="BP326" i="1"/>
  <c r="BN326" i="1"/>
  <c r="Z326" i="1"/>
  <c r="BP349" i="1"/>
  <c r="BN349" i="1"/>
  <c r="Z349" i="1"/>
  <c r="Y378" i="1"/>
  <c r="BP376" i="1"/>
  <c r="BN376" i="1"/>
  <c r="Z376" i="1"/>
  <c r="BP394" i="1"/>
  <c r="BN394" i="1"/>
  <c r="Z394" i="1"/>
  <c r="BP413" i="1"/>
  <c r="BN413" i="1"/>
  <c r="Z413" i="1"/>
  <c r="BP434" i="1"/>
  <c r="BN434" i="1"/>
  <c r="Z434" i="1"/>
  <c r="Y452" i="1"/>
  <c r="BP446" i="1"/>
  <c r="BN446" i="1"/>
  <c r="Z446" i="1"/>
  <c r="BP464" i="1"/>
  <c r="BN464" i="1"/>
  <c r="Z464" i="1"/>
  <c r="Y279" i="1"/>
  <c r="Y328" i="1"/>
  <c r="Y335" i="1"/>
  <c r="Y354" i="1"/>
  <c r="Y415" i="1"/>
  <c r="Y470" i="1"/>
  <c r="F9" i="1"/>
  <c r="J9" i="1"/>
  <c r="F10" i="1"/>
  <c r="Y33" i="1"/>
  <c r="Y37" i="1"/>
  <c r="C501" i="1"/>
  <c r="Y45" i="1"/>
  <c r="BP53" i="1"/>
  <c r="BN53" i="1"/>
  <c r="Z53" i="1"/>
  <c r="Z58" i="1" s="1"/>
  <c r="BP57" i="1"/>
  <c r="BN57" i="1"/>
  <c r="Z57" i="1"/>
  <c r="Y59" i="1"/>
  <c r="Y64" i="1"/>
  <c r="BP61" i="1"/>
  <c r="BN61" i="1"/>
  <c r="Z61" i="1"/>
  <c r="BP69" i="1"/>
  <c r="BN69" i="1"/>
  <c r="Z69" i="1"/>
  <c r="H9" i="1"/>
  <c r="B501" i="1"/>
  <c r="X492" i="1"/>
  <c r="X493" i="1"/>
  <c r="Z23" i="1"/>
  <c r="Z24" i="1" s="1"/>
  <c r="BN23" i="1"/>
  <c r="Y24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BP55" i="1"/>
  <c r="BN55" i="1"/>
  <c r="Z55" i="1"/>
  <c r="BP63" i="1"/>
  <c r="BN63" i="1"/>
  <c r="Z63" i="1"/>
  <c r="Y65" i="1"/>
  <c r="Y70" i="1"/>
  <c r="BP67" i="1"/>
  <c r="BN67" i="1"/>
  <c r="Z67" i="1"/>
  <c r="D501" i="1"/>
  <c r="Y58" i="1"/>
  <c r="Z73" i="1"/>
  <c r="Z77" i="1" s="1"/>
  <c r="BN73" i="1"/>
  <c r="BP73" i="1"/>
  <c r="Z75" i="1"/>
  <c r="BN75" i="1"/>
  <c r="Y78" i="1"/>
  <c r="Z81" i="1"/>
  <c r="Z82" i="1" s="1"/>
  <c r="BN81" i="1"/>
  <c r="BP81" i="1"/>
  <c r="Z86" i="1"/>
  <c r="BN86" i="1"/>
  <c r="BP86" i="1"/>
  <c r="Z87" i="1"/>
  <c r="BN87" i="1"/>
  <c r="Z89" i="1"/>
  <c r="BN89" i="1"/>
  <c r="Y90" i="1"/>
  <c r="Z93" i="1"/>
  <c r="BN93" i="1"/>
  <c r="BP93" i="1"/>
  <c r="Z95" i="1"/>
  <c r="BN95" i="1"/>
  <c r="Y98" i="1"/>
  <c r="F501" i="1"/>
  <c r="Z103" i="1"/>
  <c r="Z106" i="1" s="1"/>
  <c r="BN103" i="1"/>
  <c r="BP103" i="1"/>
  <c r="Z105" i="1"/>
  <c r="BN105" i="1"/>
  <c r="Y106" i="1"/>
  <c r="Z109" i="1"/>
  <c r="BN109" i="1"/>
  <c r="BP109" i="1"/>
  <c r="Z110" i="1"/>
  <c r="BN110" i="1"/>
  <c r="Z112" i="1"/>
  <c r="BN112" i="1"/>
  <c r="Y113" i="1"/>
  <c r="Z116" i="1"/>
  <c r="Z120" i="1" s="1"/>
  <c r="BN116" i="1"/>
  <c r="BP116" i="1"/>
  <c r="Z118" i="1"/>
  <c r="BN118" i="1"/>
  <c r="Y121" i="1"/>
  <c r="G501" i="1"/>
  <c r="Z129" i="1"/>
  <c r="BN129" i="1"/>
  <c r="BP129" i="1"/>
  <c r="Y130" i="1"/>
  <c r="Z133" i="1"/>
  <c r="BN133" i="1"/>
  <c r="BP133" i="1"/>
  <c r="Y136" i="1"/>
  <c r="Z139" i="1"/>
  <c r="Z140" i="1" s="1"/>
  <c r="BN139" i="1"/>
  <c r="BP139" i="1"/>
  <c r="Z144" i="1"/>
  <c r="Z146" i="1" s="1"/>
  <c r="BN144" i="1"/>
  <c r="BP144" i="1"/>
  <c r="Y147" i="1"/>
  <c r="Z150" i="1"/>
  <c r="Z152" i="1" s="1"/>
  <c r="BN150" i="1"/>
  <c r="BP150" i="1"/>
  <c r="I501" i="1"/>
  <c r="Y163" i="1"/>
  <c r="Z165" i="1"/>
  <c r="BN165" i="1"/>
  <c r="BP165" i="1"/>
  <c r="Z167" i="1"/>
  <c r="BN167" i="1"/>
  <c r="Z169" i="1"/>
  <c r="BN169" i="1"/>
  <c r="Z171" i="1"/>
  <c r="BN171" i="1"/>
  <c r="Z174" i="1"/>
  <c r="BN174" i="1"/>
  <c r="Z176" i="1"/>
  <c r="BN176" i="1"/>
  <c r="Y177" i="1"/>
  <c r="Z180" i="1"/>
  <c r="BN180" i="1"/>
  <c r="BP180" i="1"/>
  <c r="Z182" i="1"/>
  <c r="BN182" i="1"/>
  <c r="Y183" i="1"/>
  <c r="Z186" i="1"/>
  <c r="Z187" i="1" s="1"/>
  <c r="BN186" i="1"/>
  <c r="BP186" i="1"/>
  <c r="Y187" i="1"/>
  <c r="Z191" i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BP214" i="1"/>
  <c r="BN214" i="1"/>
  <c r="Z214" i="1"/>
  <c r="BP218" i="1"/>
  <c r="BN218" i="1"/>
  <c r="Z218" i="1"/>
  <c r="Y239" i="1"/>
  <c r="BP231" i="1"/>
  <c r="BN231" i="1"/>
  <c r="Z231" i="1"/>
  <c r="Y91" i="1"/>
  <c r="Y146" i="1"/>
  <c r="Y193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K501" i="1"/>
  <c r="Z235" i="1"/>
  <c r="BN235" i="1"/>
  <c r="Z237" i="1"/>
  <c r="BN237" i="1"/>
  <c r="Y240" i="1"/>
  <c r="Z251" i="1"/>
  <c r="BN251" i="1"/>
  <c r="BP251" i="1"/>
  <c r="Z253" i="1"/>
  <c r="BN253" i="1"/>
  <c r="L501" i="1"/>
  <c r="Z260" i="1"/>
  <c r="BN260" i="1"/>
  <c r="BP260" i="1"/>
  <c r="Z262" i="1"/>
  <c r="BN262" i="1"/>
  <c r="Y265" i="1"/>
  <c r="M501" i="1"/>
  <c r="Y273" i="1"/>
  <c r="Z269" i="1"/>
  <c r="BN269" i="1"/>
  <c r="BP269" i="1"/>
  <c r="Y280" i="1"/>
  <c r="BP284" i="1"/>
  <c r="BN284" i="1"/>
  <c r="Z284" i="1"/>
  <c r="Y286" i="1"/>
  <c r="Y291" i="1"/>
  <c r="BP288" i="1"/>
  <c r="BN288" i="1"/>
  <c r="Z288" i="1"/>
  <c r="Z290" i="1" s="1"/>
  <c r="Q501" i="1"/>
  <c r="BP297" i="1"/>
  <c r="BN297" i="1"/>
  <c r="Z297" i="1"/>
  <c r="Y308" i="1"/>
  <c r="BP305" i="1"/>
  <c r="BN305" i="1"/>
  <c r="Z305" i="1"/>
  <c r="BP313" i="1"/>
  <c r="BN313" i="1"/>
  <c r="Z313" i="1"/>
  <c r="Y322" i="1"/>
  <c r="BP325" i="1"/>
  <c r="BN325" i="1"/>
  <c r="Z325" i="1"/>
  <c r="BP333" i="1"/>
  <c r="BN333" i="1"/>
  <c r="Z333" i="1"/>
  <c r="R501" i="1"/>
  <c r="Y341" i="1"/>
  <c r="BP338" i="1"/>
  <c r="BN338" i="1"/>
  <c r="Z338" i="1"/>
  <c r="BP348" i="1"/>
  <c r="BN348" i="1"/>
  <c r="Z348" i="1"/>
  <c r="BP352" i="1"/>
  <c r="BN352" i="1"/>
  <c r="Z352" i="1"/>
  <c r="Y359" i="1"/>
  <c r="BP356" i="1"/>
  <c r="BN356" i="1"/>
  <c r="Z356" i="1"/>
  <c r="Y363" i="1"/>
  <c r="BP377" i="1"/>
  <c r="BN377" i="1"/>
  <c r="Z377" i="1"/>
  <c r="Y379" i="1"/>
  <c r="Y384" i="1"/>
  <c r="BP381" i="1"/>
  <c r="BN381" i="1"/>
  <c r="Z381" i="1"/>
  <c r="BP391" i="1"/>
  <c r="BN391" i="1"/>
  <c r="Z391" i="1"/>
  <c r="BP395" i="1"/>
  <c r="BN395" i="1"/>
  <c r="Z395" i="1"/>
  <c r="BP412" i="1"/>
  <c r="BN412" i="1"/>
  <c r="Z412" i="1"/>
  <c r="Z272" i="1"/>
  <c r="BP277" i="1"/>
  <c r="BN277" i="1"/>
  <c r="Z277" i="1"/>
  <c r="Z279" i="1" s="1"/>
  <c r="BP295" i="1"/>
  <c r="BN295" i="1"/>
  <c r="Z295" i="1"/>
  <c r="Z299" i="1" s="1"/>
  <c r="Y299" i="1"/>
  <c r="BP303" i="1"/>
  <c r="BN303" i="1"/>
  <c r="Z303" i="1"/>
  <c r="Z308" i="1" s="1"/>
  <c r="BP307" i="1"/>
  <c r="BN307" i="1"/>
  <c r="Z307" i="1"/>
  <c r="Y309" i="1"/>
  <c r="Y316" i="1"/>
  <c r="BP311" i="1"/>
  <c r="BN311" i="1"/>
  <c r="Z311" i="1"/>
  <c r="Z315" i="1" s="1"/>
  <c r="Y315" i="1"/>
  <c r="Z321" i="1"/>
  <c r="BP319" i="1"/>
  <c r="BN319" i="1"/>
  <c r="Z319" i="1"/>
  <c r="BP327" i="1"/>
  <c r="BN327" i="1"/>
  <c r="Z327" i="1"/>
  <c r="Y329" i="1"/>
  <c r="Y334" i="1"/>
  <c r="BP331" i="1"/>
  <c r="BN331" i="1"/>
  <c r="Z331" i="1"/>
  <c r="BP340" i="1"/>
  <c r="BN340" i="1"/>
  <c r="Z340" i="1"/>
  <c r="Y342" i="1"/>
  <c r="Y353" i="1"/>
  <c r="BP346" i="1"/>
  <c r="BN346" i="1"/>
  <c r="Z346" i="1"/>
  <c r="S501" i="1"/>
  <c r="BP350" i="1"/>
  <c r="BN350" i="1"/>
  <c r="Z350" i="1"/>
  <c r="BP362" i="1"/>
  <c r="BN362" i="1"/>
  <c r="Z362" i="1"/>
  <c r="Z363" i="1" s="1"/>
  <c r="Y364" i="1"/>
  <c r="Y367" i="1"/>
  <c r="BP366" i="1"/>
  <c r="BN366" i="1"/>
  <c r="Z366" i="1"/>
  <c r="Z367" i="1" s="1"/>
  <c r="Y368" i="1"/>
  <c r="T501" i="1"/>
  <c r="Y374" i="1"/>
  <c r="BP371" i="1"/>
  <c r="BN371" i="1"/>
  <c r="Z371" i="1"/>
  <c r="Z373" i="1" s="1"/>
  <c r="BP383" i="1"/>
  <c r="BN383" i="1"/>
  <c r="Z383" i="1"/>
  <c r="Y385" i="1"/>
  <c r="U501" i="1"/>
  <c r="Y398" i="1"/>
  <c r="BP389" i="1"/>
  <c r="BN389" i="1"/>
  <c r="Z389" i="1"/>
  <c r="BP393" i="1"/>
  <c r="BN393" i="1"/>
  <c r="Z393" i="1"/>
  <c r="BP397" i="1"/>
  <c r="BN397" i="1"/>
  <c r="Z397" i="1"/>
  <c r="Y399" i="1"/>
  <c r="Y404" i="1"/>
  <c r="BP401" i="1"/>
  <c r="BN401" i="1"/>
  <c r="Z401" i="1"/>
  <c r="Z403" i="1" s="1"/>
  <c r="BP414" i="1"/>
  <c r="BN414" i="1"/>
  <c r="Z414" i="1"/>
  <c r="Y416" i="1"/>
  <c r="Y421" i="1"/>
  <c r="Y420" i="1"/>
  <c r="BP419" i="1"/>
  <c r="BN419" i="1"/>
  <c r="Z419" i="1"/>
  <c r="Z420" i="1" s="1"/>
  <c r="W501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BP449" i="1"/>
  <c r="BN449" i="1"/>
  <c r="Z449" i="1"/>
  <c r="BP463" i="1"/>
  <c r="BN463" i="1"/>
  <c r="Z463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O501" i="1"/>
  <c r="P501" i="1"/>
  <c r="Y285" i="1"/>
  <c r="Y300" i="1"/>
  <c r="V501" i="1"/>
  <c r="Y409" i="1"/>
  <c r="X501" i="1"/>
  <c r="BP427" i="1"/>
  <c r="BN427" i="1"/>
  <c r="Z427" i="1"/>
  <c r="BP431" i="1"/>
  <c r="BN431" i="1"/>
  <c r="Z431" i="1"/>
  <c r="BP435" i="1"/>
  <c r="BN435" i="1"/>
  <c r="Z435" i="1"/>
  <c r="Y444" i="1"/>
  <c r="Y443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465" i="1"/>
  <c r="BP469" i="1"/>
  <c r="BN469" i="1"/>
  <c r="Z469" i="1"/>
  <c r="Z470" i="1" s="1"/>
  <c r="Y471" i="1"/>
  <c r="Y476" i="1"/>
  <c r="BP473" i="1"/>
  <c r="BN473" i="1"/>
  <c r="Z473" i="1"/>
  <c r="Z475" i="1" s="1"/>
  <c r="Y484" i="1"/>
  <c r="Y501" i="1"/>
  <c r="Y438" i="1"/>
  <c r="Z130" i="1" l="1"/>
  <c r="Z70" i="1"/>
  <c r="Z437" i="1"/>
  <c r="Z239" i="1"/>
  <c r="Y491" i="1"/>
  <c r="Z452" i="1"/>
  <c r="Z334" i="1"/>
  <c r="Z378" i="1"/>
  <c r="Z358" i="1"/>
  <c r="Z285" i="1"/>
  <c r="Z264" i="1"/>
  <c r="Z255" i="1"/>
  <c r="Z226" i="1"/>
  <c r="Z193" i="1"/>
  <c r="Z135" i="1"/>
  <c r="Y493" i="1"/>
  <c r="Y492" i="1"/>
  <c r="Z353" i="1"/>
  <c r="Z384" i="1"/>
  <c r="Z183" i="1"/>
  <c r="Z177" i="1"/>
  <c r="Z97" i="1"/>
  <c r="Z90" i="1"/>
  <c r="Y495" i="1"/>
  <c r="X494" i="1"/>
  <c r="Z398" i="1"/>
  <c r="Z415" i="1"/>
  <c r="Z341" i="1"/>
  <c r="Z328" i="1"/>
  <c r="Z221" i="1"/>
  <c r="Z113" i="1"/>
  <c r="Z44" i="1"/>
  <c r="Z32" i="1"/>
  <c r="Z64" i="1"/>
  <c r="Y494" i="1" l="1"/>
  <c r="Z496" i="1"/>
</calcChain>
</file>

<file path=xl/sharedStrings.xml><?xml version="1.0" encoding="utf-8"?>
<sst xmlns="http://schemas.openxmlformats.org/spreadsheetml/2006/main" count="2272" uniqueCount="776">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</sst>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46004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0.58333333333333337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864</v>
      </c>
      <c r="Y41" s="546">
        <f>IFERROR(IF(X41="",0,CEILING((X41/$H41),1)*$H41),"")</f>
        <v>864</v>
      </c>
      <c r="Z41" s="36">
        <f>IFERROR(IF(Y41=0,"",ROUNDUP(Y41/H41,0)*0.01898),"")</f>
        <v>1.5184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896.8</v>
      </c>
      <c r="BN41" s="64">
        <f>IFERROR(Y41*I41/H41,"0")</f>
        <v>896.8</v>
      </c>
      <c r="BO41" s="64">
        <f>IFERROR(1/J41*(X41/H41),"0")</f>
        <v>1.25</v>
      </c>
      <c r="BP41" s="64">
        <f>IFERROR(1/J41*(Y41/H41),"0")</f>
        <v>1.25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80</v>
      </c>
      <c r="Y44" s="547">
        <f>IFERROR(Y41/H41,"0")+IFERROR(Y42/H42,"0")+IFERROR(Y43/H43,"0")</f>
        <v>80</v>
      </c>
      <c r="Z44" s="547">
        <f>IFERROR(IF(Z41="",0,Z41),"0")+IFERROR(IF(Z42="",0,Z42),"0")+IFERROR(IF(Z43="",0,Z43),"0")</f>
        <v>1.5184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864</v>
      </c>
      <c r="Y45" s="547">
        <f>IFERROR(SUM(Y41:Y43),"0")</f>
        <v>864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268.8</v>
      </c>
      <c r="Y52" s="546">
        <f t="shared" ref="Y52:Y57" si="0">IFERROR(IF(X52="",0,CEILING((X52/$H52),1)*$H52),"")</f>
        <v>268.79999999999995</v>
      </c>
      <c r="Z52" s="36">
        <f>IFERROR(IF(Y52=0,"",ROUNDUP(Y52/H52,0)*0.01898),"")</f>
        <v>0.45552000000000004</v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278.64000000000004</v>
      </c>
      <c r="BN52" s="64">
        <f t="shared" ref="BN52:BN57" si="2">IFERROR(Y52*I52/H52,"0")</f>
        <v>278.63999999999993</v>
      </c>
      <c r="BO52" s="64">
        <f t="shared" ref="BO52:BO57" si="3">IFERROR(1/J52*(X52/H52),"0")</f>
        <v>0.37500000000000006</v>
      </c>
      <c r="BP52" s="64">
        <f t="shared" ref="BP52:BP57" si="4">IFERROR(1/J52*(Y52/H52),"0")</f>
        <v>0.37499999999999994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518.4</v>
      </c>
      <c r="Y53" s="546">
        <f t="shared" si="0"/>
        <v>518.40000000000009</v>
      </c>
      <c r="Z53" s="36">
        <f>IFERROR(IF(Y53=0,"",ROUNDUP(Y53/H53,0)*0.01898),"")</f>
        <v>0.91104000000000007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538.07999999999993</v>
      </c>
      <c r="BN53" s="64">
        <f t="shared" si="2"/>
        <v>538.08000000000004</v>
      </c>
      <c r="BO53" s="64">
        <f t="shared" si="3"/>
        <v>0.74999999999999989</v>
      </c>
      <c r="BP53" s="64">
        <f t="shared" si="4"/>
        <v>0.75000000000000011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72</v>
      </c>
      <c r="Y58" s="547">
        <f>IFERROR(Y52/H52,"0")+IFERROR(Y53/H53,"0")+IFERROR(Y54/H54,"0")+IFERROR(Y55/H55,"0")+IFERROR(Y56/H56,"0")+IFERROR(Y57/H57,"0")</f>
        <v>72</v>
      </c>
      <c r="Z58" s="547">
        <f>IFERROR(IF(Z52="",0,Z52),"0")+IFERROR(IF(Z53="",0,Z53),"0")+IFERROR(IF(Z54="",0,Z54),"0")+IFERROR(IF(Z55="",0,Z55),"0")+IFERROR(IF(Z56="",0,Z56),"0")+IFERROR(IF(Z57="",0,Z57),"0")</f>
        <v>1.3665600000000002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787.2</v>
      </c>
      <c r="Y59" s="547">
        <f>IFERROR(SUM(Y52:Y57),"0")</f>
        <v>787.2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432</v>
      </c>
      <c r="Y61" s="546">
        <f>IFERROR(IF(X61="",0,CEILING((X61/$H61),1)*$H61),"")</f>
        <v>432</v>
      </c>
      <c r="Z61" s="36">
        <f>IFERROR(IF(Y61=0,"",ROUNDUP(Y61/H61,0)*0.01898),"")</f>
        <v>0.75919999999999999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448.4</v>
      </c>
      <c r="BN61" s="64">
        <f>IFERROR(Y61*I61/H61,"0")</f>
        <v>448.4</v>
      </c>
      <c r="BO61" s="64">
        <f>IFERROR(1/J61*(X61/H61),"0")</f>
        <v>0.625</v>
      </c>
      <c r="BP61" s="64">
        <f>IFERROR(1/J61*(Y61/H61),"0")</f>
        <v>0.625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40</v>
      </c>
      <c r="Y64" s="547">
        <f>IFERROR(Y61/H61,"0")+IFERROR(Y62/H62,"0")+IFERROR(Y63/H63,"0")</f>
        <v>40</v>
      </c>
      <c r="Z64" s="547">
        <f>IFERROR(IF(Z61="",0,Z61),"0")+IFERROR(IF(Z62="",0,Z62),"0")+IFERROR(IF(Z63="",0,Z63),"0")</f>
        <v>0.75919999999999999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432</v>
      </c>
      <c r="Y65" s="547">
        <f>IFERROR(SUM(Y61:Y63),"0")</f>
        <v>432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432</v>
      </c>
      <c r="Y86" s="546">
        <f>IFERROR(IF(X86="",0,CEILING((X86/$H86),1)*$H86),"")</f>
        <v>432</v>
      </c>
      <c r="Z86" s="36">
        <f>IFERROR(IF(Y86=0,"",ROUNDUP(Y86/H86,0)*0.01898),"")</f>
        <v>0.75919999999999999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448.4</v>
      </c>
      <c r="BN86" s="64">
        <f>IFERROR(Y86*I86/H86,"0")</f>
        <v>448.4</v>
      </c>
      <c r="BO86" s="64">
        <f>IFERROR(1/J86*(X86/H86),"0")</f>
        <v>0.625</v>
      </c>
      <c r="BP86" s="64">
        <f>IFERROR(1/J86*(Y86/H86),"0")</f>
        <v>0.625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40</v>
      </c>
      <c r="Y90" s="547">
        <f>IFERROR(Y86/H86,"0")+IFERROR(Y87/H87,"0")+IFERROR(Y88/H88,"0")+IFERROR(Y89/H89,"0")</f>
        <v>40</v>
      </c>
      <c r="Z90" s="547">
        <f>IFERROR(IF(Z86="",0,Z86),"0")+IFERROR(IF(Z87="",0,Z87),"0")+IFERROR(IF(Z88="",0,Z88),"0")+IFERROR(IF(Z89="",0,Z89),"0")</f>
        <v>0.75919999999999999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432</v>
      </c>
      <c r="Y91" s="547">
        <f>IFERROR(SUM(Y86:Y89),"0")</f>
        <v>432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129.6</v>
      </c>
      <c r="Y93" s="546">
        <f>IFERROR(IF(X93="",0,CEILING((X93/$H93),1)*$H93),"")</f>
        <v>129.6</v>
      </c>
      <c r="Z93" s="36">
        <f>IFERROR(IF(Y93=0,"",ROUNDUP(Y93/H93,0)*0.01898),"")</f>
        <v>0.30368000000000001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137.50399999999999</v>
      </c>
      <c r="BN93" s="64">
        <f>IFERROR(Y93*I93/H93,"0")</f>
        <v>137.50399999999999</v>
      </c>
      <c r="BO93" s="64">
        <f>IFERROR(1/J93*(X93/H93),"0")</f>
        <v>0.25</v>
      </c>
      <c r="BP93" s="64">
        <f>IFERROR(1/J93*(Y93/H93),"0")</f>
        <v>0.25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16</v>
      </c>
      <c r="Y97" s="547">
        <f>IFERROR(Y93/H93,"0")+IFERROR(Y94/H94,"0")+IFERROR(Y95/H95,"0")+IFERROR(Y96/H96,"0")</f>
        <v>16</v>
      </c>
      <c r="Z97" s="547">
        <f>IFERROR(IF(Z93="",0,Z93),"0")+IFERROR(IF(Z94="",0,Z94),"0")+IFERROR(IF(Z95="",0,Z95),"0")+IFERROR(IF(Z96="",0,Z96),"0")</f>
        <v>0.30368000000000001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129.6</v>
      </c>
      <c r="Y98" s="547">
        <f>IFERROR(SUM(Y93:Y96),"0")</f>
        <v>129.6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777.6</v>
      </c>
      <c r="Y101" s="546">
        <f>IFERROR(IF(X101="",0,CEILING((X101/$H101),1)*$H101),"")</f>
        <v>777.6</v>
      </c>
      <c r="Z101" s="36">
        <f>IFERROR(IF(Y101=0,"",ROUNDUP(Y101/H101,0)*0.01898),"")</f>
        <v>1.36656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807.12</v>
      </c>
      <c r="BN101" s="64">
        <f>IFERROR(Y101*I101/H101,"0")</f>
        <v>807.12</v>
      </c>
      <c r="BO101" s="64">
        <f>IFERROR(1/J101*(X101/H101),"0")</f>
        <v>1.125</v>
      </c>
      <c r="BP101" s="64">
        <f>IFERROR(1/J101*(Y101/H101),"0")</f>
        <v>1.125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72</v>
      </c>
      <c r="Y106" s="547">
        <f>IFERROR(Y101/H101,"0")+IFERROR(Y102/H102,"0")+IFERROR(Y103/H103,"0")+IFERROR(Y104/H104,"0")+IFERROR(Y105/H105,"0")</f>
        <v>72</v>
      </c>
      <c r="Z106" s="547">
        <f>IFERROR(IF(Z101="",0,Z101),"0")+IFERROR(IF(Z102="",0,Z102),"0")+IFERROR(IF(Z103="",0,Z103),"0")+IFERROR(IF(Z104="",0,Z104),"0")+IFERROR(IF(Z105="",0,Z105),"0")</f>
        <v>1.36656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777.6</v>
      </c>
      <c r="Y107" s="547">
        <f>IFERROR(SUM(Y101:Y105),"0")</f>
        <v>777.6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129.6</v>
      </c>
      <c r="Y116" s="546">
        <f>IFERROR(IF(X116="",0,CEILING((X116/$H116),1)*$H116),"")</f>
        <v>129.6</v>
      </c>
      <c r="Z116" s="36">
        <f>IFERROR(IF(Y116=0,"",ROUNDUP(Y116/H116,0)*0.01898),"")</f>
        <v>0.30368000000000001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137.40799999999999</v>
      </c>
      <c r="BN116" s="64">
        <f>IFERROR(Y116*I116/H116,"0")</f>
        <v>137.40799999999999</v>
      </c>
      <c r="BO116" s="64">
        <f>IFERROR(1/J116*(X116/H116),"0")</f>
        <v>0.25</v>
      </c>
      <c r="BP116" s="64">
        <f>IFERROR(1/J116*(Y116/H116),"0")</f>
        <v>0.25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16</v>
      </c>
      <c r="Y120" s="547">
        <f>IFERROR(Y116/H116,"0")+IFERROR(Y117/H117,"0")+IFERROR(Y118/H118,"0")+IFERROR(Y119/H119,"0")</f>
        <v>16</v>
      </c>
      <c r="Z120" s="547">
        <f>IFERROR(IF(Z116="",0,Z116),"0")+IFERROR(IF(Z117="",0,Z117),"0")+IFERROR(IF(Z118="",0,Z118),"0")+IFERROR(IF(Z119="",0,Z119),"0")</f>
        <v>0.30368000000000001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129.6</v>
      </c>
      <c r="Y121" s="547">
        <f>IFERROR(SUM(Y116:Y119),"0")</f>
        <v>129.6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100.8</v>
      </c>
      <c r="Y166" s="546">
        <f t="shared" si="5"/>
        <v>100.80000000000001</v>
      </c>
      <c r="Z166" s="36">
        <f>IFERROR(IF(Y166=0,"",ROUNDUP(Y166/H166,0)*0.00902),"")</f>
        <v>0.21648000000000001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106.8</v>
      </c>
      <c r="BN166" s="64">
        <f t="shared" si="7"/>
        <v>106.80000000000001</v>
      </c>
      <c r="BO166" s="64">
        <f t="shared" si="8"/>
        <v>0.18181818181818182</v>
      </c>
      <c r="BP166" s="64">
        <f t="shared" si="9"/>
        <v>0.18181818181818182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201.6</v>
      </c>
      <c r="Y168" s="546">
        <f t="shared" si="5"/>
        <v>201.60000000000002</v>
      </c>
      <c r="Z168" s="36">
        <f>IFERROR(IF(Y168=0,"",ROUNDUP(Y168/H168,0)*0.00902),"")</f>
        <v>0.43296000000000001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210.71999999999997</v>
      </c>
      <c r="BN168" s="64">
        <f t="shared" si="7"/>
        <v>210.72</v>
      </c>
      <c r="BO168" s="64">
        <f t="shared" si="8"/>
        <v>0.36363636363636365</v>
      </c>
      <c r="BP168" s="64">
        <f t="shared" si="9"/>
        <v>0.36363636363636365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72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72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0.64944000000000002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302.39999999999998</v>
      </c>
      <c r="Y178" s="547">
        <f>IFERROR(SUM(Y165:Y176),"0")</f>
        <v>302.40000000000003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259.2</v>
      </c>
      <c r="Y201" s="546">
        <f t="shared" ref="Y201:Y208" si="10">IFERROR(IF(X201="",0,CEILING((X201/$H201),1)*$H201),"")</f>
        <v>259.20000000000005</v>
      </c>
      <c r="Z201" s="36">
        <f>IFERROR(IF(Y201=0,"",ROUNDUP(Y201/H201,0)*0.00902),"")</f>
        <v>0.43296000000000001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268.31999999999994</v>
      </c>
      <c r="BN201" s="64">
        <f t="shared" ref="BN201:BN208" si="12">IFERROR(Y201*I201/H201,"0")</f>
        <v>268.32</v>
      </c>
      <c r="BO201" s="64">
        <f t="shared" ref="BO201:BO208" si="13">IFERROR(1/J201*(X201/H201),"0")</f>
        <v>0.36363636363636359</v>
      </c>
      <c r="BP201" s="64">
        <f t="shared" ref="BP201:BP208" si="14">IFERROR(1/J201*(Y201/H201),"0")</f>
        <v>0.3636363636363637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64.8</v>
      </c>
      <c r="Y202" s="546">
        <f t="shared" si="10"/>
        <v>64.800000000000011</v>
      </c>
      <c r="Z202" s="36">
        <f>IFERROR(IF(Y202=0,"",ROUNDUP(Y202/H202,0)*0.00902),"")</f>
        <v>0.10824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67.079999999999984</v>
      </c>
      <c r="BN202" s="64">
        <f t="shared" si="12"/>
        <v>67.08</v>
      </c>
      <c r="BO202" s="64">
        <f t="shared" si="13"/>
        <v>9.0909090909090898E-2</v>
      </c>
      <c r="BP202" s="64">
        <f t="shared" si="14"/>
        <v>9.0909090909090925E-2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64.8</v>
      </c>
      <c r="Y203" s="546">
        <f t="shared" si="10"/>
        <v>64.800000000000011</v>
      </c>
      <c r="Z203" s="36">
        <f>IFERROR(IF(Y203=0,"",ROUNDUP(Y203/H203,0)*0.00902),"")</f>
        <v>0.10824</v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67.079999999999984</v>
      </c>
      <c r="BN203" s="64">
        <f t="shared" si="12"/>
        <v>67.08</v>
      </c>
      <c r="BO203" s="64">
        <f t="shared" si="13"/>
        <v>9.0909090909090898E-2</v>
      </c>
      <c r="BP203" s="64">
        <f t="shared" si="14"/>
        <v>9.0909090909090925E-2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64.8</v>
      </c>
      <c r="Y204" s="546">
        <f t="shared" si="10"/>
        <v>64.800000000000011</v>
      </c>
      <c r="Z204" s="36">
        <f>IFERROR(IF(Y204=0,"",ROUNDUP(Y204/H204,0)*0.00902),"")</f>
        <v>0.10824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67.079999999999984</v>
      </c>
      <c r="BN204" s="64">
        <f t="shared" si="12"/>
        <v>67.08</v>
      </c>
      <c r="BO204" s="64">
        <f t="shared" si="13"/>
        <v>9.0909090909090898E-2</v>
      </c>
      <c r="BP204" s="64">
        <f t="shared" si="14"/>
        <v>9.0909090909090925E-2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83.999999999999986</v>
      </c>
      <c r="Y209" s="547">
        <f>IFERROR(Y201/H201,"0")+IFERROR(Y202/H202,"0")+IFERROR(Y203/H203,"0")+IFERROR(Y204/H204,"0")+IFERROR(Y205/H205,"0")+IFERROR(Y206/H206,"0")+IFERROR(Y207/H207,"0")+IFERROR(Y208/H208,"0")</f>
        <v>84.000000000000014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0.75768000000000002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453.6</v>
      </c>
      <c r="Y210" s="547">
        <f>IFERROR(SUM(Y201:Y208),"0")</f>
        <v>453.60000000000008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487.2</v>
      </c>
      <c r="Y214" s="546">
        <f t="shared" si="15"/>
        <v>487.19999999999993</v>
      </c>
      <c r="Z214" s="36">
        <f>IFERROR(IF(Y214=0,"",ROUNDUP(Y214/H214,0)*0.01898),"")</f>
        <v>1.06288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514.86400000000015</v>
      </c>
      <c r="BN214" s="64">
        <f t="shared" si="17"/>
        <v>514.86400000000003</v>
      </c>
      <c r="BO214" s="64">
        <f t="shared" si="18"/>
        <v>0.875</v>
      </c>
      <c r="BP214" s="64">
        <f t="shared" si="19"/>
        <v>0.875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56</v>
      </c>
      <c r="Y221" s="547">
        <f>IFERROR(Y212/H212,"0")+IFERROR(Y213/H213,"0")+IFERROR(Y214/H214,"0")+IFERROR(Y215/H215,"0")+IFERROR(Y216/H216,"0")+IFERROR(Y217/H217,"0")+IFERROR(Y218/H218,"0")+IFERROR(Y219/H219,"0")+IFERROR(Y220/H220,"0")</f>
        <v>56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1.06288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487.2</v>
      </c>
      <c r="Y222" s="547">
        <f>IFERROR(SUM(Y212:Y220),"0")</f>
        <v>487.19999999999993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idden="1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hidden="1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67.2</v>
      </c>
      <c r="Y318" s="546">
        <f>IFERROR(IF(X318="",0,CEILING((X318/$H318),1)*$H318),"")</f>
        <v>67.2</v>
      </c>
      <c r="Z318" s="36">
        <f>IFERROR(IF(Y318=0,"",ROUNDUP(Y318/H318,0)*0.01898),"")</f>
        <v>0.15184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71.152000000000001</v>
      </c>
      <c r="BN318" s="64">
        <f>IFERROR(Y318*I318/H318,"0")</f>
        <v>71.152000000000001</v>
      </c>
      <c r="BO318" s="64">
        <f>IFERROR(1/J318*(X318/H318),"0")</f>
        <v>0.125</v>
      </c>
      <c r="BP318" s="64">
        <f>IFERROR(1/J318*(Y318/H318),"0")</f>
        <v>0.125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124.8</v>
      </c>
      <c r="Y319" s="546">
        <f>IFERROR(IF(X319="",0,CEILING((X319/$H319),1)*$H319),"")</f>
        <v>124.8</v>
      </c>
      <c r="Z319" s="36">
        <f>IFERROR(IF(Y319=0,"",ROUNDUP(Y319/H319,0)*0.01898),"")</f>
        <v>0.30368000000000001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132.70400000000001</v>
      </c>
      <c r="BN319" s="64">
        <f>IFERROR(Y319*I319/H319,"0")</f>
        <v>132.70400000000001</v>
      </c>
      <c r="BO319" s="64">
        <f>IFERROR(1/J319*(X319/H319),"0")</f>
        <v>0.25</v>
      </c>
      <c r="BP319" s="64">
        <f>IFERROR(1/J319*(Y319/H319),"0")</f>
        <v>0.25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67.2</v>
      </c>
      <c r="Y320" s="546">
        <f>IFERROR(IF(X320="",0,CEILING((X320/$H320),1)*$H320),"")</f>
        <v>67.2</v>
      </c>
      <c r="Z320" s="36">
        <f>IFERROR(IF(Y320=0,"",ROUNDUP(Y320/H320,0)*0.01898),"")</f>
        <v>0.15184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71.152000000000001</v>
      </c>
      <c r="BN320" s="64">
        <f>IFERROR(Y320*I320/H320,"0")</f>
        <v>71.152000000000001</v>
      </c>
      <c r="BO320" s="64">
        <f>IFERROR(1/J320*(X320/H320),"0")</f>
        <v>0.125</v>
      </c>
      <c r="BP320" s="64">
        <f>IFERROR(1/J320*(Y320/H320),"0")</f>
        <v>0.125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32</v>
      </c>
      <c r="Y321" s="547">
        <f>IFERROR(Y318/H318,"0")+IFERROR(Y319/H319,"0")+IFERROR(Y320/H320,"0")</f>
        <v>32</v>
      </c>
      <c r="Z321" s="547">
        <f>IFERROR(IF(Z318="",0,Z318),"0")+IFERROR(IF(Z319="",0,Z319),"0")+IFERROR(IF(Z320="",0,Z320),"0")</f>
        <v>0.60736000000000001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259.2</v>
      </c>
      <c r="Y322" s="547">
        <f>IFERROR(SUM(Y318:Y320),"0")</f>
        <v>259.2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hidden="1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hidden="1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480</v>
      </c>
      <c r="Y346" s="546">
        <f t="shared" ref="Y346:Y352" si="31">IFERROR(IF(X346="",0,CEILING((X346/$H346),1)*$H346),"")</f>
        <v>480</v>
      </c>
      <c r="Z346" s="36">
        <f>IFERROR(IF(Y346=0,"",ROUNDUP(Y346/H346,0)*0.02175),"")</f>
        <v>0.69599999999999995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495.04</v>
      </c>
      <c r="BN346" s="64">
        <f t="shared" ref="BN346:BN352" si="33">IFERROR(Y346*I346/H346,"0")</f>
        <v>495.04</v>
      </c>
      <c r="BO346" s="64">
        <f t="shared" ref="BO346:BO352" si="34">IFERROR(1/J346*(X346/H346),"0")</f>
        <v>0.66666666666666663</v>
      </c>
      <c r="BP346" s="64">
        <f t="shared" ref="BP346:BP352" si="35">IFERROR(1/J346*(Y346/H346),"0")</f>
        <v>0.66666666666666663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120</v>
      </c>
      <c r="Y347" s="546">
        <f t="shared" si="31"/>
        <v>120</v>
      </c>
      <c r="Z347" s="36">
        <f>IFERROR(IF(Y347=0,"",ROUNDUP(Y347/H347,0)*0.02175),"")</f>
        <v>0.17399999999999999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123.76</v>
      </c>
      <c r="BN347" s="64">
        <f t="shared" si="33"/>
        <v>123.76</v>
      </c>
      <c r="BO347" s="64">
        <f t="shared" si="34"/>
        <v>0.16666666666666666</v>
      </c>
      <c r="BP347" s="64">
        <f t="shared" si="35"/>
        <v>0.16666666666666666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405</v>
      </c>
      <c r="Y348" s="546">
        <f t="shared" si="31"/>
        <v>405</v>
      </c>
      <c r="Z348" s="36">
        <f>IFERROR(IF(Y348=0,"",ROUNDUP(Y348/H348,0)*0.02175),"")</f>
        <v>0.58724999999999994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417.69</v>
      </c>
      <c r="BN348" s="64">
        <f t="shared" si="33"/>
        <v>417.69</v>
      </c>
      <c r="BO348" s="64">
        <f t="shared" si="34"/>
        <v>0.5625</v>
      </c>
      <c r="BP348" s="64">
        <f t="shared" si="35"/>
        <v>0.5625</v>
      </c>
    </row>
    <row r="349" spans="1:68" ht="27" hidden="1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67</v>
      </c>
      <c r="Y353" s="547">
        <f>IFERROR(Y346/H346,"0")+IFERROR(Y347/H347,"0")+IFERROR(Y348/H348,"0")+IFERROR(Y349/H349,"0")+IFERROR(Y350/H350,"0")+IFERROR(Y351/H351,"0")+IFERROR(Y352/H352,"0")</f>
        <v>67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1.4572499999999997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1005</v>
      </c>
      <c r="Y354" s="547">
        <f>IFERROR(SUM(Y346:Y352),"0")</f>
        <v>1005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360</v>
      </c>
      <c r="Y356" s="546">
        <f>IFERROR(IF(X356="",0,CEILING((X356/$H356),1)*$H356),"")</f>
        <v>360</v>
      </c>
      <c r="Z356" s="36">
        <f>IFERROR(IF(Y356=0,"",ROUNDUP(Y356/H356,0)*0.02175),"")</f>
        <v>0.52200000000000002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371.28</v>
      </c>
      <c r="BN356" s="64">
        <f>IFERROR(Y356*I356/H356,"0")</f>
        <v>371.28</v>
      </c>
      <c r="BO356" s="64">
        <f>IFERROR(1/J356*(X356/H356),"0")</f>
        <v>0.5</v>
      </c>
      <c r="BP356" s="64">
        <f>IFERROR(1/J356*(Y356/H356),"0")</f>
        <v>0.5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24</v>
      </c>
      <c r="Y358" s="547">
        <f>IFERROR(Y356/H356,"0")+IFERROR(Y357/H357,"0")</f>
        <v>24</v>
      </c>
      <c r="Z358" s="547">
        <f>IFERROR(IF(Z356="",0,Z356),"0")+IFERROR(IF(Z357="",0,Z357),"0")</f>
        <v>0.52200000000000002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360</v>
      </c>
      <c r="Y359" s="547">
        <f>IFERROR(SUM(Y356:Y357),"0")</f>
        <v>360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hidden="1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72</v>
      </c>
      <c r="Y366" s="546">
        <f>IFERROR(IF(X366="",0,CEILING((X366/$H366),1)*$H366),"")</f>
        <v>72</v>
      </c>
      <c r="Z366" s="36">
        <f>IFERROR(IF(Y366=0,"",ROUNDUP(Y366/H366,0)*0.01898),"")</f>
        <v>0.15184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75.951999999999998</v>
      </c>
      <c r="BN366" s="64">
        <f>IFERROR(Y366*I366/H366,"0")</f>
        <v>75.951999999999998</v>
      </c>
      <c r="BO366" s="64">
        <f>IFERROR(1/J366*(X366/H366),"0")</f>
        <v>0.125</v>
      </c>
      <c r="BP366" s="64">
        <f>IFERROR(1/J366*(Y366/H366),"0")</f>
        <v>0.125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8</v>
      </c>
      <c r="Y367" s="547">
        <f>IFERROR(Y366/H366,"0")</f>
        <v>8</v>
      </c>
      <c r="Z367" s="547">
        <f>IFERROR(IF(Z366="",0,Z366),"0")</f>
        <v>0.15184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72</v>
      </c>
      <c r="Y368" s="547">
        <f>IFERROR(SUM(Y366:Y366),"0")</f>
        <v>72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120</v>
      </c>
      <c r="Y371" s="546">
        <f>IFERROR(IF(X371="",0,CEILING((X371/$H371),1)*$H371),"")</f>
        <v>120</v>
      </c>
      <c r="Z371" s="36">
        <f>IFERROR(IF(Y371=0,"",ROUNDUP(Y371/H371,0)*0.01898),"")</f>
        <v>0.1898</v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124.10000000000001</v>
      </c>
      <c r="BN371" s="64">
        <f>IFERROR(Y371*I371/H371,"0")</f>
        <v>124.10000000000001</v>
      </c>
      <c r="BO371" s="64">
        <f>IFERROR(1/J371*(X371/H371),"0")</f>
        <v>0.15625</v>
      </c>
      <c r="BP371" s="64">
        <f>IFERROR(1/J371*(Y371/H371),"0")</f>
        <v>0.15625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10</v>
      </c>
      <c r="Y373" s="547">
        <f>IFERROR(Y371/H371,"0")+IFERROR(Y372/H372,"0")</f>
        <v>10</v>
      </c>
      <c r="Z373" s="547">
        <f>IFERROR(IF(Z371="",0,Z371),"0")+IFERROR(IF(Z372="",0,Z372),"0")</f>
        <v>0.1898</v>
      </c>
      <c r="AA373" s="548"/>
      <c r="AB373" s="548"/>
      <c r="AC373" s="548"/>
    </row>
    <row r="374" spans="1:68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120</v>
      </c>
      <c r="Y374" s="547">
        <f>IFERROR(SUM(Y371:Y372),"0")</f>
        <v>120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144</v>
      </c>
      <c r="Y381" s="546">
        <f>IFERROR(IF(X381="",0,CEILING((X381/$H381),1)*$H381),"")</f>
        <v>144</v>
      </c>
      <c r="Z381" s="36">
        <f>IFERROR(IF(Y381=0,"",ROUNDUP(Y381/H381,0)*0.01898),"")</f>
        <v>0.30368000000000001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151.904</v>
      </c>
      <c r="BN381" s="64">
        <f>IFERROR(Y381*I381/H381,"0")</f>
        <v>151.904</v>
      </c>
      <c r="BO381" s="64">
        <f>IFERROR(1/J381*(X381/H381),"0")</f>
        <v>0.25</v>
      </c>
      <c r="BP381" s="64">
        <f>IFERROR(1/J381*(Y381/H381),"0")</f>
        <v>0.25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16</v>
      </c>
      <c r="Y384" s="547">
        <f>IFERROR(Y381/H381,"0")+IFERROR(Y382/H382,"0")+IFERROR(Y383/H383,"0")</f>
        <v>16</v>
      </c>
      <c r="Z384" s="547">
        <f>IFERROR(IF(Z381="",0,Z381),"0")+IFERROR(IF(Z382="",0,Z382),"0")+IFERROR(IF(Z383="",0,Z383),"0")</f>
        <v>0.30368000000000001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144</v>
      </c>
      <c r="Y385" s="547">
        <f>IFERROR(SUM(Y381:Y383),"0")</f>
        <v>144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idden="1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hidden="1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hidden="1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hidden="1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549.12</v>
      </c>
      <c r="Y431" s="546">
        <f t="shared" si="42"/>
        <v>549.12</v>
      </c>
      <c r="Z431" s="36">
        <f t="shared" si="43"/>
        <v>1.2438400000000001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585.52</v>
      </c>
      <c r="BN431" s="64">
        <f t="shared" si="45"/>
        <v>585.52</v>
      </c>
      <c r="BO431" s="64">
        <f t="shared" si="46"/>
        <v>1</v>
      </c>
      <c r="BP431" s="64">
        <f t="shared" si="47"/>
        <v>1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104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104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1.2438400000000001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549.12</v>
      </c>
      <c r="Y438" s="547">
        <f>IFERROR(SUM(Y425:Y436),"0")</f>
        <v>549.12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42.24</v>
      </c>
      <c r="Y440" s="546">
        <f>IFERROR(IF(X440="",0,CEILING((X440/$H440),1)*$H440),"")</f>
        <v>42.24</v>
      </c>
      <c r="Z440" s="36">
        <f>IFERROR(IF(Y440=0,"",ROUNDUP(Y440/H440,0)*0.01196),"")</f>
        <v>9.5680000000000001E-2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45.04</v>
      </c>
      <c r="BN440" s="64">
        <f>IFERROR(Y440*I440/H440,"0")</f>
        <v>45.04</v>
      </c>
      <c r="BO440" s="64">
        <f>IFERROR(1/J440*(X440/H440),"0")</f>
        <v>7.6923076923076927E-2</v>
      </c>
      <c r="BP440" s="64">
        <f>IFERROR(1/J440*(Y440/H440),"0")</f>
        <v>7.6923076923076927E-2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8</v>
      </c>
      <c r="Y443" s="547">
        <f>IFERROR(Y440/H440,"0")+IFERROR(Y441/H441,"0")+IFERROR(Y442/H442,"0")</f>
        <v>8</v>
      </c>
      <c r="Z443" s="547">
        <f>IFERROR(IF(Z440="",0,Z440),"0")+IFERROR(IF(Z441="",0,Z441),"0")+IFERROR(IF(Z442="",0,Z442),"0")</f>
        <v>9.5680000000000001E-2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42.24</v>
      </c>
      <c r="Y444" s="547">
        <f>IFERROR(SUM(Y440:Y442),"0")</f>
        <v>42.24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253.44</v>
      </c>
      <c r="Y446" s="546">
        <f t="shared" ref="Y446:Y451" si="48">IFERROR(IF(X446="",0,CEILING((X446/$H446),1)*$H446),"")</f>
        <v>253.44</v>
      </c>
      <c r="Z446" s="36">
        <f>IFERROR(IF(Y446=0,"",ROUNDUP(Y446/H446,0)*0.01196),"")</f>
        <v>0.57408000000000003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270.23999999999995</v>
      </c>
      <c r="BN446" s="64">
        <f t="shared" ref="BN446:BN451" si="50">IFERROR(Y446*I446/H446,"0")</f>
        <v>270.23999999999995</v>
      </c>
      <c r="BO446" s="64">
        <f t="shared" ref="BO446:BO451" si="51">IFERROR(1/J446*(X446/H446),"0")</f>
        <v>0.46153846153846156</v>
      </c>
      <c r="BP446" s="64">
        <f t="shared" ref="BP446:BP451" si="52">IFERROR(1/J446*(Y446/H446),"0")</f>
        <v>0.46153846153846156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84.48</v>
      </c>
      <c r="Y447" s="546">
        <f t="shared" si="48"/>
        <v>84.48</v>
      </c>
      <c r="Z447" s="36">
        <f>IFERROR(IF(Y447=0,"",ROUNDUP(Y447/H447,0)*0.01196),"")</f>
        <v>0.19136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90.08</v>
      </c>
      <c r="BN447" s="64">
        <f t="shared" si="50"/>
        <v>90.08</v>
      </c>
      <c r="BO447" s="64">
        <f t="shared" si="51"/>
        <v>0.15384615384615385</v>
      </c>
      <c r="BP447" s="64">
        <f t="shared" si="52"/>
        <v>0.15384615384615385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64</v>
      </c>
      <c r="Y452" s="547">
        <f>IFERROR(Y446/H446,"0")+IFERROR(Y447/H447,"0")+IFERROR(Y448/H448,"0")+IFERROR(Y449/H449,"0")+IFERROR(Y450/H450,"0")+IFERROR(Y451/H451,"0")</f>
        <v>64</v>
      </c>
      <c r="Z452" s="547">
        <f>IFERROR(IF(Z446="",0,Z446),"0")+IFERROR(IF(Z447="",0,Z447),"0")+IFERROR(IF(Z448="",0,Z448),"0")+IFERROR(IF(Z449="",0,Z449),"0")+IFERROR(IF(Z450="",0,Z450),"0")+IFERROR(IF(Z451="",0,Z451),"0")</f>
        <v>0.76544000000000001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337.92</v>
      </c>
      <c r="Y453" s="547">
        <f>IFERROR(SUM(Y446:Y451),"0")</f>
        <v>337.92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hidden="1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7684.6799999999994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7684.6799999999994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8019.9100000000008</v>
      </c>
      <c r="Y492" s="547">
        <f>IFERROR(SUM(BN22:BN488),"0")</f>
        <v>8019.9100000000008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12</v>
      </c>
      <c r="Y493" s="38">
        <f>ROUNDUP(SUM(BP22:BP488),0)</f>
        <v>12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8319.91</v>
      </c>
      <c r="Y494" s="547">
        <f>GrossWeightTotalR+PalletQtyTotalR*25</f>
        <v>8319.91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881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881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14.18417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864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1219.2</v>
      </c>
      <c r="E501" s="46">
        <f>IFERROR(Y86*1,"0")+IFERROR(Y87*1,"0")+IFERROR(Y88*1,"0")+IFERROR(Y89*1,"0")+IFERROR(Y93*1,"0")+IFERROR(Y94*1,"0")+IFERROR(Y95*1,"0")+IFERROR(Y96*1,"0")</f>
        <v>561.6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907.2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302.40000000000003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940.8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259.2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1437</v>
      </c>
      <c r="T501" s="46">
        <f>IFERROR(Y371*1,"0")+IFERROR(Y372*1,"0")+IFERROR(Y376*1,"0")+IFERROR(Y377*1,"0")+IFERROR(Y381*1,"0")+IFERROR(Y382*1,"0")+IFERROR(Y383*1,"0")</f>
        <v>264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929.28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5,00"/>
        <filter val="10,00"/>
        <filter val="100,80"/>
        <filter val="104,00"/>
        <filter val="12"/>
        <filter val="120,00"/>
        <filter val="124,80"/>
        <filter val="129,60"/>
        <filter val="144,00"/>
        <filter val="16,00"/>
        <filter val="201,60"/>
        <filter val="24,00"/>
        <filter val="253,44"/>
        <filter val="259,20"/>
        <filter val="268,80"/>
        <filter val="302,40"/>
        <filter val="32,00"/>
        <filter val="337,92"/>
        <filter val="360,00"/>
        <filter val="40,00"/>
        <filter val="405,00"/>
        <filter val="42,24"/>
        <filter val="432,00"/>
        <filter val="453,60"/>
        <filter val="480,00"/>
        <filter val="487,20"/>
        <filter val="518,40"/>
        <filter val="549,12"/>
        <filter val="56,00"/>
        <filter val="64,00"/>
        <filter val="64,80"/>
        <filter val="67,00"/>
        <filter val="67,20"/>
        <filter val="7 684,68"/>
        <filter val="72,00"/>
        <filter val="777,60"/>
        <filter val="787,20"/>
        <filter val="8 019,91"/>
        <filter val="8 319,91"/>
        <filter val="8,00"/>
        <filter val="80,00"/>
        <filter val="84,00"/>
        <filter val="84,48"/>
        <filter val="864,00"/>
        <filter val="881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2025-12-11T10:50:24Z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