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658BD5A-BD43-4A0E-AB3D-BB9A2184771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Z506" i="1" s="1"/>
  <c r="P493" i="1"/>
  <c r="X490" i="1"/>
  <c r="X489" i="1"/>
  <c r="BO488" i="1"/>
  <c r="BM488" i="1"/>
  <c r="Y488" i="1"/>
  <c r="BP488" i="1" s="1"/>
  <c r="P488" i="1"/>
  <c r="BO487" i="1"/>
  <c r="BM487" i="1"/>
  <c r="Y487" i="1"/>
  <c r="Y489" i="1" s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X462" i="1"/>
  <c r="Y461" i="1"/>
  <c r="X461" i="1"/>
  <c r="BP460" i="1"/>
  <c r="BO460" i="1"/>
  <c r="BN460" i="1"/>
  <c r="BM460" i="1"/>
  <c r="Z460" i="1"/>
  <c r="Z461" i="1" s="1"/>
  <c r="Y460" i="1"/>
  <c r="Y462" i="1" s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BP418" i="1" s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BP407" i="1" s="1"/>
  <c r="P407" i="1"/>
  <c r="BO406" i="1"/>
  <c r="BM406" i="1"/>
  <c r="Y406" i="1"/>
  <c r="P406" i="1"/>
  <c r="X404" i="1"/>
  <c r="X403" i="1"/>
  <c r="BO402" i="1"/>
  <c r="BM402" i="1"/>
  <c r="Y402" i="1"/>
  <c r="P402" i="1"/>
  <c r="BO401" i="1"/>
  <c r="BM401" i="1"/>
  <c r="Y401" i="1"/>
  <c r="BP401" i="1" s="1"/>
  <c r="P401" i="1"/>
  <c r="BO400" i="1"/>
  <c r="BM400" i="1"/>
  <c r="Y400" i="1"/>
  <c r="P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O394" i="1"/>
  <c r="BM394" i="1"/>
  <c r="Y394" i="1"/>
  <c r="P394" i="1"/>
  <c r="X390" i="1"/>
  <c r="X389" i="1"/>
  <c r="BO388" i="1"/>
  <c r="BM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X384" i="1"/>
  <c r="Y383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Y368" i="1" s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O345" i="1"/>
  <c r="BM345" i="1"/>
  <c r="Y345" i="1"/>
  <c r="P345" i="1"/>
  <c r="BO344" i="1"/>
  <c r="BM344" i="1"/>
  <c r="Y344" i="1"/>
  <c r="Z344" i="1" s="1"/>
  <c r="P344" i="1"/>
  <c r="BP343" i="1"/>
  <c r="BO343" i="1"/>
  <c r="BN343" i="1"/>
  <c r="BM343" i="1"/>
  <c r="Z343" i="1"/>
  <c r="Y343" i="1"/>
  <c r="P343" i="1"/>
  <c r="X340" i="1"/>
  <c r="X339" i="1"/>
  <c r="BO338" i="1"/>
  <c r="BM338" i="1"/>
  <c r="Y338" i="1"/>
  <c r="P338" i="1"/>
  <c r="BO337" i="1"/>
  <c r="BM337" i="1"/>
  <c r="Y337" i="1"/>
  <c r="BP337" i="1" s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BP325" i="1" s="1"/>
  <c r="P325" i="1"/>
  <c r="BO324" i="1"/>
  <c r="BM324" i="1"/>
  <c r="Y324" i="1"/>
  <c r="P324" i="1"/>
  <c r="BO323" i="1"/>
  <c r="BM323" i="1"/>
  <c r="Y323" i="1"/>
  <c r="Y327" i="1" s="1"/>
  <c r="P323" i="1"/>
  <c r="X321" i="1"/>
  <c r="X320" i="1"/>
  <c r="BO319" i="1"/>
  <c r="BM319" i="1"/>
  <c r="Y319" i="1"/>
  <c r="BP319" i="1" s="1"/>
  <c r="P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O298" i="1"/>
  <c r="BM298" i="1"/>
  <c r="Y298" i="1"/>
  <c r="P298" i="1"/>
  <c r="X295" i="1"/>
  <c r="X294" i="1"/>
  <c r="BO293" i="1"/>
  <c r="BM293" i="1"/>
  <c r="Y293" i="1"/>
  <c r="BP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BP282" i="1" s="1"/>
  <c r="P282" i="1"/>
  <c r="BO281" i="1"/>
  <c r="BM281" i="1"/>
  <c r="Y281" i="1"/>
  <c r="Y283" i="1" s="1"/>
  <c r="P281" i="1"/>
  <c r="BP280" i="1"/>
  <c r="BO280" i="1"/>
  <c r="BN280" i="1"/>
  <c r="BM280" i="1"/>
  <c r="Z280" i="1"/>
  <c r="Y280" i="1"/>
  <c r="P280" i="1"/>
  <c r="X277" i="1"/>
  <c r="X276" i="1"/>
  <c r="BO275" i="1"/>
  <c r="BM275" i="1"/>
  <c r="Y275" i="1"/>
  <c r="BP275" i="1" s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Y230" i="1" s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Y225" i="1" s="1"/>
  <c r="P217" i="1"/>
  <c r="BP216" i="1"/>
  <c r="BO216" i="1"/>
  <c r="BN216" i="1"/>
  <c r="BM216" i="1"/>
  <c r="Z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BP200" i="1" s="1"/>
  <c r="P200" i="1"/>
  <c r="X198" i="1"/>
  <c r="X197" i="1"/>
  <c r="BO196" i="1"/>
  <c r="BM196" i="1"/>
  <c r="Y196" i="1"/>
  <c r="BP196" i="1" s="1"/>
  <c r="P196" i="1"/>
  <c r="BO195" i="1"/>
  <c r="BM195" i="1"/>
  <c r="Y195" i="1"/>
  <c r="Y197" i="1" s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X146" i="1"/>
  <c r="X145" i="1"/>
  <c r="BO144" i="1"/>
  <c r="BM144" i="1"/>
  <c r="Y144" i="1"/>
  <c r="BP144" i="1" s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P137" i="1"/>
  <c r="X135" i="1"/>
  <c r="X134" i="1"/>
  <c r="BO133" i="1"/>
  <c r="BM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BP100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P27" i="1"/>
  <c r="BO27" i="1"/>
  <c r="BN27" i="1"/>
  <c r="BM27" i="1"/>
  <c r="Z27" i="1"/>
  <c r="Y27" i="1"/>
  <c r="P27" i="1"/>
  <c r="X25" i="1"/>
  <c r="X24" i="1"/>
  <c r="X500" i="1" s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87" i="1" l="1"/>
  <c r="BN87" i="1"/>
  <c r="Z87" i="1"/>
  <c r="BP116" i="1"/>
  <c r="BN116" i="1"/>
  <c r="Z116" i="1"/>
  <c r="BP152" i="1"/>
  <c r="BN152" i="1"/>
  <c r="Z152" i="1"/>
  <c r="BP168" i="1"/>
  <c r="BN168" i="1"/>
  <c r="Z168" i="1"/>
  <c r="BP186" i="1"/>
  <c r="BN186" i="1"/>
  <c r="Z186" i="1"/>
  <c r="BP220" i="1"/>
  <c r="BN220" i="1"/>
  <c r="Z220" i="1"/>
  <c r="BP255" i="1"/>
  <c r="BN255" i="1"/>
  <c r="Z255" i="1"/>
  <c r="BP287" i="1"/>
  <c r="BN287" i="1"/>
  <c r="Z287" i="1"/>
  <c r="BP318" i="1"/>
  <c r="BN318" i="1"/>
  <c r="Z318" i="1"/>
  <c r="BP351" i="1"/>
  <c r="BN351" i="1"/>
  <c r="Z351" i="1"/>
  <c r="BP394" i="1"/>
  <c r="BN394" i="1"/>
  <c r="Z394" i="1"/>
  <c r="Y425" i="1"/>
  <c r="BP424" i="1"/>
  <c r="BN424" i="1"/>
  <c r="Z424" i="1"/>
  <c r="Z425" i="1" s="1"/>
  <c r="BP430" i="1"/>
  <c r="BN430" i="1"/>
  <c r="Z430" i="1"/>
  <c r="BP454" i="1"/>
  <c r="BN454" i="1"/>
  <c r="Z454" i="1"/>
  <c r="X498" i="1"/>
  <c r="Z31" i="1"/>
  <c r="BN31" i="1"/>
  <c r="Z54" i="1"/>
  <c r="BN54" i="1"/>
  <c r="Z72" i="1"/>
  <c r="BN72" i="1"/>
  <c r="BP102" i="1"/>
  <c r="BN102" i="1"/>
  <c r="Z102" i="1"/>
  <c r="BP137" i="1"/>
  <c r="BN137" i="1"/>
  <c r="Z137" i="1"/>
  <c r="BP167" i="1"/>
  <c r="BN167" i="1"/>
  <c r="Z167" i="1"/>
  <c r="BP176" i="1"/>
  <c r="BN176" i="1"/>
  <c r="Z176" i="1"/>
  <c r="BP210" i="1"/>
  <c r="BN210" i="1"/>
  <c r="Z210" i="1"/>
  <c r="BP235" i="1"/>
  <c r="BN235" i="1"/>
  <c r="Z235" i="1"/>
  <c r="BP273" i="1"/>
  <c r="BN273" i="1"/>
  <c r="Z273" i="1"/>
  <c r="BP308" i="1"/>
  <c r="BN308" i="1"/>
  <c r="Z308" i="1"/>
  <c r="BP336" i="1"/>
  <c r="BN336" i="1"/>
  <c r="Z336" i="1"/>
  <c r="BP361" i="1"/>
  <c r="BN361" i="1"/>
  <c r="Z361" i="1"/>
  <c r="BP402" i="1"/>
  <c r="BN402" i="1"/>
  <c r="Z402" i="1"/>
  <c r="BP438" i="1"/>
  <c r="BN438" i="1"/>
  <c r="Z438" i="1"/>
  <c r="BP474" i="1"/>
  <c r="BN474" i="1"/>
  <c r="Z474" i="1"/>
  <c r="H506" i="1"/>
  <c r="I506" i="1"/>
  <c r="Y290" i="1"/>
  <c r="BP302" i="1"/>
  <c r="BN302" i="1"/>
  <c r="Z302" i="1"/>
  <c r="Y321" i="1"/>
  <c r="BP316" i="1"/>
  <c r="BN316" i="1"/>
  <c r="Z316" i="1"/>
  <c r="BP332" i="1"/>
  <c r="BN332" i="1"/>
  <c r="Z332" i="1"/>
  <c r="BP345" i="1"/>
  <c r="BN345" i="1"/>
  <c r="Z345" i="1"/>
  <c r="BP357" i="1"/>
  <c r="BN357" i="1"/>
  <c r="Z357" i="1"/>
  <c r="BP388" i="1"/>
  <c r="BN388" i="1"/>
  <c r="Z388" i="1"/>
  <c r="BP400" i="1"/>
  <c r="BN400" i="1"/>
  <c r="Z400" i="1"/>
  <c r="BP419" i="1"/>
  <c r="BN419" i="1"/>
  <c r="Z419" i="1"/>
  <c r="BP436" i="1"/>
  <c r="BN436" i="1"/>
  <c r="Z436" i="1"/>
  <c r="BP452" i="1"/>
  <c r="BN452" i="1"/>
  <c r="Z452" i="1"/>
  <c r="BP468" i="1"/>
  <c r="BN468" i="1"/>
  <c r="Z468" i="1"/>
  <c r="X497" i="1"/>
  <c r="Z23" i="1"/>
  <c r="BN23" i="1"/>
  <c r="X496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Z56" i="1"/>
  <c r="BN56" i="1"/>
  <c r="Y64" i="1"/>
  <c r="Z68" i="1"/>
  <c r="BN68" i="1"/>
  <c r="Y76" i="1"/>
  <c r="Z74" i="1"/>
  <c r="BN74" i="1"/>
  <c r="Z85" i="1"/>
  <c r="BN85" i="1"/>
  <c r="Z93" i="1"/>
  <c r="BN93" i="1"/>
  <c r="Z100" i="1"/>
  <c r="BN100" i="1"/>
  <c r="Z104" i="1"/>
  <c r="BN104" i="1"/>
  <c r="Y112" i="1"/>
  <c r="Z110" i="1"/>
  <c r="BN110" i="1"/>
  <c r="Y120" i="1"/>
  <c r="Z118" i="1"/>
  <c r="BN118" i="1"/>
  <c r="Z133" i="1"/>
  <c r="BN133" i="1"/>
  <c r="Y139" i="1"/>
  <c r="Z144" i="1"/>
  <c r="BN144" i="1"/>
  <c r="Y154" i="1"/>
  <c r="Z150" i="1"/>
  <c r="BN150" i="1"/>
  <c r="Y182" i="1"/>
  <c r="Z170" i="1"/>
  <c r="BN170" i="1"/>
  <c r="Z174" i="1"/>
  <c r="BN174" i="1"/>
  <c r="Z178" i="1"/>
  <c r="BN178" i="1"/>
  <c r="Z184" i="1"/>
  <c r="BN184" i="1"/>
  <c r="BP184" i="1"/>
  <c r="Z196" i="1"/>
  <c r="BN196" i="1"/>
  <c r="Z200" i="1"/>
  <c r="BN200" i="1"/>
  <c r="Z208" i="1"/>
  <c r="BN208" i="1"/>
  <c r="Z212" i="1"/>
  <c r="BN212" i="1"/>
  <c r="Y226" i="1"/>
  <c r="Z218" i="1"/>
  <c r="BN218" i="1"/>
  <c r="Z222" i="1"/>
  <c r="BN222" i="1"/>
  <c r="Z228" i="1"/>
  <c r="BN228" i="1"/>
  <c r="BP228" i="1"/>
  <c r="Y231" i="1"/>
  <c r="K506" i="1"/>
  <c r="Z237" i="1"/>
  <c r="BN237" i="1"/>
  <c r="Z241" i="1"/>
  <c r="BN241" i="1"/>
  <c r="Y260" i="1"/>
  <c r="Z257" i="1"/>
  <c r="BN257" i="1"/>
  <c r="L506" i="1"/>
  <c r="Z266" i="1"/>
  <c r="BN266" i="1"/>
  <c r="M506" i="1"/>
  <c r="Z275" i="1"/>
  <c r="BN275" i="1"/>
  <c r="Z282" i="1"/>
  <c r="BN282" i="1"/>
  <c r="Z293" i="1"/>
  <c r="BN293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53" i="1"/>
  <c r="BN353" i="1"/>
  <c r="Z353" i="1"/>
  <c r="BP367" i="1"/>
  <c r="BN367" i="1"/>
  <c r="Z367" i="1"/>
  <c r="Y373" i="1"/>
  <c r="Y372" i="1"/>
  <c r="BP371" i="1"/>
  <c r="BN371" i="1"/>
  <c r="Z371" i="1"/>
  <c r="Z372" i="1" s="1"/>
  <c r="BP376" i="1"/>
  <c r="BN376" i="1"/>
  <c r="Z376" i="1"/>
  <c r="BP396" i="1"/>
  <c r="BN396" i="1"/>
  <c r="Z396" i="1"/>
  <c r="Y408" i="1"/>
  <c r="BP406" i="1"/>
  <c r="BN406" i="1"/>
  <c r="Z406" i="1"/>
  <c r="BP432" i="1"/>
  <c r="BN432" i="1"/>
  <c r="Z432" i="1"/>
  <c r="BP440" i="1"/>
  <c r="BN440" i="1"/>
  <c r="Z440" i="1"/>
  <c r="BP456" i="1"/>
  <c r="BN456" i="1"/>
  <c r="Z456" i="1"/>
  <c r="Y480" i="1"/>
  <c r="BP478" i="1"/>
  <c r="BN478" i="1"/>
  <c r="Z478" i="1"/>
  <c r="Y313" i="1"/>
  <c r="Y333" i="1"/>
  <c r="Y339" i="1"/>
  <c r="Y363" i="1"/>
  <c r="Y390" i="1"/>
  <c r="V506" i="1"/>
  <c r="Y421" i="1"/>
  <c r="Y506" i="1"/>
  <c r="Y358" i="1"/>
  <c r="H9" i="1"/>
  <c r="A10" i="1"/>
  <c r="B506" i="1"/>
  <c r="Y25" i="1"/>
  <c r="BP22" i="1"/>
  <c r="Y33" i="1"/>
  <c r="BP30" i="1"/>
  <c r="BN30" i="1"/>
  <c r="Z30" i="1"/>
  <c r="F9" i="1"/>
  <c r="J9" i="1"/>
  <c r="Z22" i="1"/>
  <c r="Z24" i="1" s="1"/>
  <c r="BN22" i="1"/>
  <c r="Y24" i="1"/>
  <c r="BP28" i="1"/>
  <c r="BN28" i="1"/>
  <c r="Z28" i="1"/>
  <c r="Z32" i="1" s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BP201" i="1"/>
  <c r="BN201" i="1"/>
  <c r="Z201" i="1"/>
  <c r="Z202" i="1" s="1"/>
  <c r="Y203" i="1"/>
  <c r="Y213" i="1"/>
  <c r="Y214" i="1"/>
  <c r="BP205" i="1"/>
  <c r="BN205" i="1"/>
  <c r="Z205" i="1"/>
  <c r="BP209" i="1"/>
  <c r="BN209" i="1"/>
  <c r="Z209" i="1"/>
  <c r="C506" i="1"/>
  <c r="Z42" i="1"/>
  <c r="Z44" i="1" s="1"/>
  <c r="BN42" i="1"/>
  <c r="Y45" i="1"/>
  <c r="D506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BN73" i="1"/>
  <c r="Z75" i="1"/>
  <c r="BN75" i="1"/>
  <c r="Z79" i="1"/>
  <c r="Z81" i="1" s="1"/>
  <c r="BN79" i="1"/>
  <c r="BP79" i="1"/>
  <c r="E506" i="1"/>
  <c r="Z86" i="1"/>
  <c r="BN86" i="1"/>
  <c r="Z88" i="1"/>
  <c r="BN88" i="1"/>
  <c r="Y89" i="1"/>
  <c r="Z92" i="1"/>
  <c r="Z96" i="1" s="1"/>
  <c r="BN92" i="1"/>
  <c r="BP92" i="1"/>
  <c r="Z94" i="1"/>
  <c r="BN94" i="1"/>
  <c r="F506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6" i="1"/>
  <c r="Z128" i="1"/>
  <c r="Z129" i="1" s="1"/>
  <c r="BN128" i="1"/>
  <c r="Y129" i="1"/>
  <c r="Z132" i="1"/>
  <c r="Z134" i="1" s="1"/>
  <c r="BN132" i="1"/>
  <c r="BP132" i="1"/>
  <c r="Z138" i="1"/>
  <c r="BN138" i="1"/>
  <c r="Z143" i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Y191" i="1"/>
  <c r="BP190" i="1"/>
  <c r="BN190" i="1"/>
  <c r="Z190" i="1"/>
  <c r="Z191" i="1" s="1"/>
  <c r="Y192" i="1"/>
  <c r="J506" i="1"/>
  <c r="Y198" i="1"/>
  <c r="BP195" i="1"/>
  <c r="BN195" i="1"/>
  <c r="Z195" i="1"/>
  <c r="Z197" i="1" s="1"/>
  <c r="Y202" i="1"/>
  <c r="BP207" i="1"/>
  <c r="BN207" i="1"/>
  <c r="Z207" i="1"/>
  <c r="Z211" i="1"/>
  <c r="BN211" i="1"/>
  <c r="Z217" i="1"/>
  <c r="Z225" i="1" s="1"/>
  <c r="BN217" i="1"/>
  <c r="BP217" i="1"/>
  <c r="Z219" i="1"/>
  <c r="BN219" i="1"/>
  <c r="Z221" i="1"/>
  <c r="BN221" i="1"/>
  <c r="Z223" i="1"/>
  <c r="BN223" i="1"/>
  <c r="Z229" i="1"/>
  <c r="BN229" i="1"/>
  <c r="BP229" i="1"/>
  <c r="Z234" i="1"/>
  <c r="BN234" i="1"/>
  <c r="BP234" i="1"/>
  <c r="Z236" i="1"/>
  <c r="BN236" i="1"/>
  <c r="Z238" i="1"/>
  <c r="BN238" i="1"/>
  <c r="Z240" i="1"/>
  <c r="BN240" i="1"/>
  <c r="Z242" i="1"/>
  <c r="BN242" i="1"/>
  <c r="Y243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Z267" i="1"/>
  <c r="BN267" i="1"/>
  <c r="Y268" i="1"/>
  <c r="Z272" i="1"/>
  <c r="BN272" i="1"/>
  <c r="BP272" i="1"/>
  <c r="Z274" i="1"/>
  <c r="BN274" i="1"/>
  <c r="Y277" i="1"/>
  <c r="O506" i="1"/>
  <c r="Z281" i="1"/>
  <c r="BN281" i="1"/>
  <c r="BP281" i="1"/>
  <c r="Y284" i="1"/>
  <c r="P506" i="1"/>
  <c r="Z288" i="1"/>
  <c r="Z289" i="1" s="1"/>
  <c r="BN288" i="1"/>
  <c r="BP288" i="1"/>
  <c r="Y289" i="1"/>
  <c r="Z292" i="1"/>
  <c r="Z294" i="1" s="1"/>
  <c r="BN292" i="1"/>
  <c r="BP292" i="1"/>
  <c r="Y295" i="1"/>
  <c r="Q506" i="1"/>
  <c r="Z299" i="1"/>
  <c r="BN299" i="1"/>
  <c r="Z301" i="1"/>
  <c r="BN301" i="1"/>
  <c r="Z303" i="1"/>
  <c r="BN303" i="1"/>
  <c r="Y304" i="1"/>
  <c r="Z307" i="1"/>
  <c r="BN307" i="1"/>
  <c r="BP307" i="1"/>
  <c r="Z309" i="1"/>
  <c r="BN309" i="1"/>
  <c r="Z311" i="1"/>
  <c r="BN311" i="1"/>
  <c r="Y314" i="1"/>
  <c r="Z317" i="1"/>
  <c r="BN317" i="1"/>
  <c r="Z319" i="1"/>
  <c r="BN319" i="1"/>
  <c r="Y320" i="1"/>
  <c r="Z323" i="1"/>
  <c r="BN323" i="1"/>
  <c r="BP323" i="1"/>
  <c r="Z325" i="1"/>
  <c r="BN325" i="1"/>
  <c r="Y326" i="1"/>
  <c r="Z329" i="1"/>
  <c r="BN329" i="1"/>
  <c r="BP329" i="1"/>
  <c r="Z331" i="1"/>
  <c r="BN331" i="1"/>
  <c r="Y334" i="1"/>
  <c r="Z337" i="1"/>
  <c r="Z339" i="1" s="1"/>
  <c r="BN337" i="1"/>
  <c r="Y340" i="1"/>
  <c r="R506" i="1"/>
  <c r="Y347" i="1"/>
  <c r="BP354" i="1"/>
  <c r="BN354" i="1"/>
  <c r="Z354" i="1"/>
  <c r="BP362" i="1"/>
  <c r="BN362" i="1"/>
  <c r="Z362" i="1"/>
  <c r="Y364" i="1"/>
  <c r="Y369" i="1"/>
  <c r="BP366" i="1"/>
  <c r="BN366" i="1"/>
  <c r="Z366" i="1"/>
  <c r="Z368" i="1" s="1"/>
  <c r="Y244" i="1"/>
  <c r="Y269" i="1"/>
  <c r="Y276" i="1"/>
  <c r="Y305" i="1"/>
  <c r="Z346" i="1"/>
  <c r="BP344" i="1"/>
  <c r="BN344" i="1"/>
  <c r="Y346" i="1"/>
  <c r="BP352" i="1"/>
  <c r="BN352" i="1"/>
  <c r="Z352" i="1"/>
  <c r="BP356" i="1"/>
  <c r="BN356" i="1"/>
  <c r="Z356" i="1"/>
  <c r="Z358" i="1" s="1"/>
  <c r="BP377" i="1"/>
  <c r="BN377" i="1"/>
  <c r="Z377" i="1"/>
  <c r="Z378" i="1" s="1"/>
  <c r="Y379" i="1"/>
  <c r="Y384" i="1"/>
  <c r="BP381" i="1"/>
  <c r="BN381" i="1"/>
  <c r="Z381" i="1"/>
  <c r="Z383" i="1" s="1"/>
  <c r="Y389" i="1"/>
  <c r="Y403" i="1"/>
  <c r="Y409" i="1"/>
  <c r="Y414" i="1"/>
  <c r="Y420" i="1"/>
  <c r="BP431" i="1"/>
  <c r="BN431" i="1"/>
  <c r="Z431" i="1"/>
  <c r="BP435" i="1"/>
  <c r="BN435" i="1"/>
  <c r="Z435" i="1"/>
  <c r="BP439" i="1"/>
  <c r="BN439" i="1"/>
  <c r="Z439" i="1"/>
  <c r="BP447" i="1"/>
  <c r="BN447" i="1"/>
  <c r="Z447" i="1"/>
  <c r="Y449" i="1"/>
  <c r="Y458" i="1"/>
  <c r="BP451" i="1"/>
  <c r="BN451" i="1"/>
  <c r="Z451" i="1"/>
  <c r="BP455" i="1"/>
  <c r="BN455" i="1"/>
  <c r="Z455" i="1"/>
  <c r="BP469" i="1"/>
  <c r="BN469" i="1"/>
  <c r="Z469" i="1"/>
  <c r="Y471" i="1"/>
  <c r="Y476" i="1"/>
  <c r="BP473" i="1"/>
  <c r="BN473" i="1"/>
  <c r="Z473" i="1"/>
  <c r="Z475" i="1" s="1"/>
  <c r="S506" i="1"/>
  <c r="Y359" i="1"/>
  <c r="T506" i="1"/>
  <c r="Y378" i="1"/>
  <c r="Z387" i="1"/>
  <c r="Z389" i="1" s="1"/>
  <c r="BN387" i="1"/>
  <c r="U506" i="1"/>
  <c r="Z395" i="1"/>
  <c r="BN395" i="1"/>
  <c r="Z397" i="1"/>
  <c r="BN397" i="1"/>
  <c r="Z399" i="1"/>
  <c r="BN399" i="1"/>
  <c r="Z401" i="1"/>
  <c r="BN401" i="1"/>
  <c r="Y404" i="1"/>
  <c r="Z407" i="1"/>
  <c r="Z408" i="1" s="1"/>
  <c r="BN407" i="1"/>
  <c r="Z412" i="1"/>
  <c r="Z413" i="1" s="1"/>
  <c r="BN412" i="1"/>
  <c r="BP412" i="1"/>
  <c r="Y413" i="1"/>
  <c r="Z416" i="1"/>
  <c r="Z420" i="1" s="1"/>
  <c r="BN416" i="1"/>
  <c r="BP416" i="1"/>
  <c r="Z418" i="1"/>
  <c r="BN418" i="1"/>
  <c r="W506" i="1"/>
  <c r="Y426" i="1"/>
  <c r="X506" i="1"/>
  <c r="BP433" i="1"/>
  <c r="BN433" i="1"/>
  <c r="Z433" i="1"/>
  <c r="BP437" i="1"/>
  <c r="BN437" i="1"/>
  <c r="Z437" i="1"/>
  <c r="BP441" i="1"/>
  <c r="BN441" i="1"/>
  <c r="Z441" i="1"/>
  <c r="Y443" i="1"/>
  <c r="Y448" i="1"/>
  <c r="BP445" i="1"/>
  <c r="BN445" i="1"/>
  <c r="Z445" i="1"/>
  <c r="Z448" i="1" s="1"/>
  <c r="BP453" i="1"/>
  <c r="BN453" i="1"/>
  <c r="Z453" i="1"/>
  <c r="Y457" i="1"/>
  <c r="BP467" i="1"/>
  <c r="BN467" i="1"/>
  <c r="Z467" i="1"/>
  <c r="Z470" i="1" s="1"/>
  <c r="Y475" i="1"/>
  <c r="BP479" i="1"/>
  <c r="BN479" i="1"/>
  <c r="Z479" i="1"/>
  <c r="Z480" i="1" s="1"/>
  <c r="Y481" i="1"/>
  <c r="Y484" i="1"/>
  <c r="BP483" i="1"/>
  <c r="BN483" i="1"/>
  <c r="Z483" i="1"/>
  <c r="Z484" i="1" s="1"/>
  <c r="Y485" i="1"/>
  <c r="Y442" i="1"/>
  <c r="Y470" i="1"/>
  <c r="Z487" i="1"/>
  <c r="BN487" i="1"/>
  <c r="BP487" i="1"/>
  <c r="Y490" i="1"/>
  <c r="Y495" i="1"/>
  <c r="Z488" i="1"/>
  <c r="BN488" i="1"/>
  <c r="Z493" i="1"/>
  <c r="Z494" i="1" s="1"/>
  <c r="BN493" i="1"/>
  <c r="BP493" i="1"/>
  <c r="Y494" i="1"/>
  <c r="Z363" i="1" l="1"/>
  <c r="Z139" i="1"/>
  <c r="X499" i="1"/>
  <c r="Z442" i="1"/>
  <c r="Z320" i="1"/>
  <c r="Z181" i="1"/>
  <c r="Z105" i="1"/>
  <c r="Z58" i="1"/>
  <c r="Z403" i="1"/>
  <c r="Z304" i="1"/>
  <c r="Z283" i="1"/>
  <c r="Z230" i="1"/>
  <c r="Z154" i="1"/>
  <c r="Z145" i="1"/>
  <c r="Z112" i="1"/>
  <c r="Z89" i="1"/>
  <c r="Z76" i="1"/>
  <c r="Z457" i="1"/>
  <c r="Z313" i="1"/>
  <c r="Z276" i="1"/>
  <c r="Z268" i="1"/>
  <c r="Z259" i="1"/>
  <c r="Z243" i="1"/>
  <c r="Z213" i="1"/>
  <c r="Y500" i="1"/>
  <c r="Y496" i="1"/>
  <c r="Z489" i="1"/>
  <c r="Z333" i="1"/>
  <c r="Z326" i="1"/>
  <c r="Z119" i="1"/>
  <c r="Z64" i="1"/>
  <c r="Y497" i="1"/>
  <c r="Y499" i="1" s="1"/>
  <c r="Y498" i="1"/>
  <c r="Z501" i="1" l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<sst xmlns="http://schemas.openxmlformats.org/spreadsheetml/2006/main" count="2386" uniqueCount="785">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</sst>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46027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Понедельник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0.54166666666666663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500</v>
      </c>
      <c r="Y41" s="556">
        <f>IFERROR(IF(X41="",0,CEILING((X41/$H41),1)*$H41),"")</f>
        <v>507.6</v>
      </c>
      <c r="Z41" s="36">
        <f>IFERROR(IF(Y41=0,"",ROUNDUP(Y41/H41,0)*0.01898),"")</f>
        <v>0.89205999999999996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518.98148148148141</v>
      </c>
      <c r="BN41" s="64">
        <f>IFERROR(Y41*I41/H41,"0")</f>
        <v>526.87</v>
      </c>
      <c r="BO41" s="64">
        <f>IFERROR(1/J41*(X41/H41),"0")</f>
        <v>0.72337962962962954</v>
      </c>
      <c r="BP41" s="64">
        <f>IFERROR(1/J41*(Y41/H41),"0")</f>
        <v>0.734375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50</v>
      </c>
      <c r="Y43" s="556">
        <f>IFERROR(IF(X43="",0,CEILING((X43/$H43),1)*$H43),"")</f>
        <v>52</v>
      </c>
      <c r="Z43" s="36">
        <f>IFERROR(IF(Y43=0,"",ROUNDUP(Y43/H43,0)*0.00902),"")</f>
        <v>0.11726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52.375000000000007</v>
      </c>
      <c r="BN43" s="64">
        <f>IFERROR(Y43*I43/H43,"0")</f>
        <v>54.470000000000006</v>
      </c>
      <c r="BO43" s="64">
        <f>IFERROR(1/J43*(X43/H43),"0")</f>
        <v>9.4696969696969696E-2</v>
      </c>
      <c r="BP43" s="64">
        <f>IFERROR(1/J43*(Y43/H43),"0")</f>
        <v>9.8484848484848481E-2</v>
      </c>
    </row>
    <row r="44" spans="1:68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58.796296296296291</v>
      </c>
      <c r="Y44" s="557">
        <f>IFERROR(Y41/H41,"0")+IFERROR(Y42/H42,"0")+IFERROR(Y43/H43,"0")</f>
        <v>60</v>
      </c>
      <c r="Z44" s="557">
        <f>IFERROR(IF(Z41="",0,Z41),"0")+IFERROR(IF(Z42="",0,Z42),"0")+IFERROR(IF(Z43="",0,Z43),"0")</f>
        <v>1.00932</v>
      </c>
      <c r="AA44" s="558"/>
      <c r="AB44" s="558"/>
      <c r="AC44" s="558"/>
    </row>
    <row r="45" spans="1:68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550</v>
      </c>
      <c r="Y45" s="557">
        <f>IFERROR(SUM(Y41:Y43),"0")</f>
        <v>559.6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50</v>
      </c>
      <c r="Y52" s="556">
        <f t="shared" ref="Y52:Y57" si="0">IFERROR(IF(X52="",0,CEILING((X52/$H52),1)*$H52),"")</f>
        <v>56</v>
      </c>
      <c r="Z52" s="36">
        <f>IFERROR(IF(Y52=0,"",ROUNDUP(Y52/H52,0)*0.01898),"")</f>
        <v>9.4899999999999998E-2</v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51.830357142857146</v>
      </c>
      <c r="BN52" s="64">
        <f t="shared" ref="BN52:BN57" si="2">IFERROR(Y52*I52/H52,"0")</f>
        <v>58.050000000000004</v>
      </c>
      <c r="BO52" s="64">
        <f t="shared" ref="BO52:BO57" si="3">IFERROR(1/J52*(X52/H52),"0")</f>
        <v>6.9754464285714288E-2</v>
      </c>
      <c r="BP52" s="64">
        <f t="shared" ref="BP52:BP57" si="4">IFERROR(1/J52*(Y52/H52),"0")</f>
        <v>7.8125E-2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500</v>
      </c>
      <c r="Y53" s="556">
        <f t="shared" si="0"/>
        <v>507.6</v>
      </c>
      <c r="Z53" s="36">
        <f>IFERROR(IF(Y53=0,"",ROUNDUP(Y53/H53,0)*0.01898),"")</f>
        <v>0.89205999999999996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518.98148148148141</v>
      </c>
      <c r="BN53" s="64">
        <f t="shared" si="2"/>
        <v>526.87</v>
      </c>
      <c r="BO53" s="64">
        <f t="shared" si="3"/>
        <v>0.72337962962962954</v>
      </c>
      <c r="BP53" s="64">
        <f t="shared" si="4"/>
        <v>0.734375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400</v>
      </c>
      <c r="Y57" s="556">
        <f t="shared" si="0"/>
        <v>400.5</v>
      </c>
      <c r="Z57" s="36">
        <f>IFERROR(IF(Y57=0,"",ROUNDUP(Y57/H57,0)*0.00902),"")</f>
        <v>0.80278000000000005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416.88888888888891</v>
      </c>
      <c r="BN57" s="64">
        <f t="shared" si="2"/>
        <v>417.41000000000008</v>
      </c>
      <c r="BO57" s="64">
        <f t="shared" si="3"/>
        <v>0.67340067340067344</v>
      </c>
      <c r="BP57" s="64">
        <f t="shared" si="4"/>
        <v>0.67424242424242431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139.64947089947088</v>
      </c>
      <c r="Y58" s="557">
        <f>IFERROR(Y52/H52,"0")+IFERROR(Y53/H53,"0")+IFERROR(Y54/H54,"0")+IFERROR(Y55/H55,"0")+IFERROR(Y56/H56,"0")+IFERROR(Y57/H57,"0")</f>
        <v>141</v>
      </c>
      <c r="Z58" s="557">
        <f>IFERROR(IF(Z52="",0,Z52),"0")+IFERROR(IF(Z53="",0,Z53),"0")+IFERROR(IF(Z54="",0,Z54),"0")+IFERROR(IF(Z55="",0,Z55),"0")+IFERROR(IF(Z56="",0,Z56),"0")+IFERROR(IF(Z57="",0,Z57),"0")</f>
        <v>1.7897400000000001</v>
      </c>
      <c r="AA58" s="558"/>
      <c r="AB58" s="558"/>
      <c r="AC58" s="558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950</v>
      </c>
      <c r="Y59" s="557">
        <f>IFERROR(SUM(Y52:Y57),"0")</f>
        <v>964.1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50</v>
      </c>
      <c r="Y61" s="556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51.898148148148145</v>
      </c>
      <c r="BN61" s="64">
        <f>IFERROR(Y61*I61/H61,"0")</f>
        <v>56.05</v>
      </c>
      <c r="BO61" s="64">
        <f>IFERROR(1/J61*(X61/H61),"0")</f>
        <v>7.2337962962962965E-2</v>
      </c>
      <c r="BP61" s="64">
        <f>IFERROR(1/J61*(Y61/H61),"0")</f>
        <v>7.8125E-2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4.6296296296296298</v>
      </c>
      <c r="Y64" s="557">
        <f>IFERROR(Y61/H61,"0")+IFERROR(Y62/H62,"0")+IFERROR(Y63/H63,"0")</f>
        <v>5</v>
      </c>
      <c r="Z64" s="557">
        <f>IFERROR(IF(Z61="",0,Z61),"0")+IFERROR(IF(Z62="",0,Z62),"0")+IFERROR(IF(Z63="",0,Z63),"0")</f>
        <v>9.4899999999999998E-2</v>
      </c>
      <c r="AA64" s="558"/>
      <c r="AB64" s="558"/>
      <c r="AC64" s="558"/>
    </row>
    <row r="65" spans="1:68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50</v>
      </c>
      <c r="Y65" s="557">
        <f>IFERROR(SUM(Y61:Y63),"0")</f>
        <v>54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500</v>
      </c>
      <c r="Y85" s="556">
        <f>IFERROR(IF(X85="",0,CEILING((X85/$H85),1)*$H85),"")</f>
        <v>507.6</v>
      </c>
      <c r="Z85" s="36">
        <f>IFERROR(IF(Y85=0,"",ROUNDUP(Y85/H85,0)*0.01898),"")</f>
        <v>0.89205999999999996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518.98148148148141</v>
      </c>
      <c r="BN85" s="64">
        <f>IFERROR(Y85*I85/H85,"0")</f>
        <v>526.87</v>
      </c>
      <c r="BO85" s="64">
        <f>IFERROR(1/J85*(X85/H85),"0")</f>
        <v>0.72337962962962954</v>
      </c>
      <c r="BP85" s="64">
        <f>IFERROR(1/J85*(Y85/H85),"0")</f>
        <v>0.734375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46.296296296296291</v>
      </c>
      <c r="Y89" s="557">
        <f>IFERROR(Y85/H85,"0")+IFERROR(Y86/H86,"0")+IFERROR(Y87/H87,"0")+IFERROR(Y88/H88,"0")</f>
        <v>47</v>
      </c>
      <c r="Z89" s="557">
        <f>IFERROR(IF(Z85="",0,Z85),"0")+IFERROR(IF(Z86="",0,Z86),"0")+IFERROR(IF(Z87="",0,Z87),"0")+IFERROR(IF(Z88="",0,Z88),"0")</f>
        <v>0.89205999999999996</v>
      </c>
      <c r="AA89" s="558"/>
      <c r="AB89" s="558"/>
      <c r="AC89" s="558"/>
    </row>
    <row r="90" spans="1:68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500</v>
      </c>
      <c r="Y90" s="557">
        <f>IFERROR(SUM(Y85:Y88),"0")</f>
        <v>507.6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100</v>
      </c>
      <c r="Y92" s="556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350</v>
      </c>
      <c r="Y94" s="556">
        <f>IFERROR(IF(X94="",0,CEILING((X94/$H94),1)*$H94),"")</f>
        <v>351</v>
      </c>
      <c r="Z94" s="36">
        <f>IFERROR(IF(Y94=0,"",ROUNDUP(Y94/H94,0)*0.00651),"")</f>
        <v>0.84630000000000005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382.66666666666669</v>
      </c>
      <c r="BN94" s="64">
        <f>IFERROR(Y94*I94/H94,"0")</f>
        <v>383.76</v>
      </c>
      <c r="BO94" s="64">
        <f>IFERROR(1/J94*(X94/H94),"0")</f>
        <v>0.71225071225071224</v>
      </c>
      <c r="BP94" s="64">
        <f>IFERROR(1/J94*(Y94/H94),"0")</f>
        <v>0.7142857142857143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100</v>
      </c>
      <c r="Y95" s="556">
        <f>IFERROR(IF(X95="",0,CEILING((X95/$H95),1)*$H95),"")</f>
        <v>100.98</v>
      </c>
      <c r="Z95" s="36">
        <f>IFERROR(IF(Y95=0,"",ROUNDUP(Y95/H95,0)*0.00651),"")</f>
        <v>0.33201000000000003</v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113.03030303030303</v>
      </c>
      <c r="BN95" s="64">
        <f>IFERROR(Y95*I95/H95,"0")</f>
        <v>114.13800000000001</v>
      </c>
      <c r="BO95" s="64">
        <f>IFERROR(1/J95*(X95/H95),"0")</f>
        <v>0.2775002775002775</v>
      </c>
      <c r="BP95" s="64">
        <f>IFERROR(1/J95*(Y95/H95),"0")</f>
        <v>0.28021978021978022</v>
      </c>
    </row>
    <row r="96" spans="1:68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192.48035914702581</v>
      </c>
      <c r="Y96" s="557">
        <f>IFERROR(Y92/H92,"0")+IFERROR(Y93/H93,"0")+IFERROR(Y94/H94,"0")+IFERROR(Y95/H95,"0")</f>
        <v>194</v>
      </c>
      <c r="Z96" s="557">
        <f>IFERROR(IF(Z92="",0,Z92),"0")+IFERROR(IF(Z93="",0,Z93),"0")+IFERROR(IF(Z94="",0,Z94),"0")+IFERROR(IF(Z95="",0,Z95),"0")</f>
        <v>1.4250500000000001</v>
      </c>
      <c r="AA96" s="558"/>
      <c r="AB96" s="558"/>
      <c r="AC96" s="558"/>
    </row>
    <row r="97" spans="1:68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550</v>
      </c>
      <c r="Y97" s="557">
        <f>IFERROR(SUM(Y92:Y95),"0")</f>
        <v>557.28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500</v>
      </c>
      <c r="Y100" s="556">
        <f>IFERROR(IF(X100="",0,CEILING((X100/$H100),1)*$H100),"")</f>
        <v>507.6</v>
      </c>
      <c r="Z100" s="36">
        <f>IFERROR(IF(Y100=0,"",ROUNDUP(Y100/H100,0)*0.01898),"")</f>
        <v>0.89205999999999996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518.98148148148141</v>
      </c>
      <c r="BN100" s="64">
        <f>IFERROR(Y100*I100/H100,"0")</f>
        <v>526.87</v>
      </c>
      <c r="BO100" s="64">
        <f>IFERROR(1/J100*(X100/H100),"0")</f>
        <v>0.72337962962962954</v>
      </c>
      <c r="BP100" s="64">
        <f>IFERROR(1/J100*(Y100/H100),"0")</f>
        <v>0.734375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150</v>
      </c>
      <c r="Y102" s="556">
        <f>IFERROR(IF(X102="",0,CEILING((X102/$H102),1)*$H102),"")</f>
        <v>150</v>
      </c>
      <c r="Z102" s="36">
        <f>IFERROR(IF(Y102=0,"",ROUNDUP(Y102/H102,0)*0.00902),"")</f>
        <v>0.36080000000000001</v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157.6</v>
      </c>
      <c r="BN102" s="64">
        <f>IFERROR(Y102*I102/H102,"0")</f>
        <v>157.6</v>
      </c>
      <c r="BO102" s="64">
        <f>IFERROR(1/J102*(X102/H102),"0")</f>
        <v>0.30303030303030304</v>
      </c>
      <c r="BP102" s="64">
        <f>IFERROR(1/J102*(Y102/H102),"0")</f>
        <v>0.30303030303030304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86.296296296296291</v>
      </c>
      <c r="Y105" s="557">
        <f>IFERROR(Y100/H100,"0")+IFERROR(Y101/H101,"0")+IFERROR(Y102/H102,"0")+IFERROR(Y103/H103,"0")+IFERROR(Y104/H104,"0")</f>
        <v>87</v>
      </c>
      <c r="Z105" s="557">
        <f>IFERROR(IF(Z100="",0,Z100),"0")+IFERROR(IF(Z101="",0,Z101),"0")+IFERROR(IF(Z102="",0,Z102),"0")+IFERROR(IF(Z103="",0,Z103),"0")+IFERROR(IF(Z104="",0,Z104),"0")</f>
        <v>1.2528600000000001</v>
      </c>
      <c r="AA105" s="558"/>
      <c r="AB105" s="558"/>
      <c r="AC105" s="558"/>
    </row>
    <row r="106" spans="1:68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650</v>
      </c>
      <c r="Y106" s="557">
        <f>IFERROR(SUM(Y100:Y104),"0")</f>
        <v>657.6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50</v>
      </c>
      <c r="Y108" s="556">
        <f>IFERROR(IF(X108="",0,CEILING((X108/$H108),1)*$H108),"")</f>
        <v>54</v>
      </c>
      <c r="Z108" s="36">
        <f>IFERROR(IF(Y108=0,"",ROUNDUP(Y108/H108,0)*0.01898),"")</f>
        <v>9.4899999999999998E-2</v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51.898148148148145</v>
      </c>
      <c r="BN108" s="64">
        <f>IFERROR(Y108*I108/H108,"0")</f>
        <v>56.05</v>
      </c>
      <c r="BO108" s="64">
        <f>IFERROR(1/J108*(X108/H108),"0")</f>
        <v>7.2337962962962965E-2</v>
      </c>
      <c r="BP108" s="64">
        <f>IFERROR(1/J108*(Y108/H108),"0")</f>
        <v>7.8125E-2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4.6296296296296298</v>
      </c>
      <c r="Y112" s="557">
        <f>IFERROR(Y108/H108,"0")+IFERROR(Y109/H109,"0")+IFERROR(Y110/H110,"0")+IFERROR(Y111/H111,"0")</f>
        <v>5</v>
      </c>
      <c r="Z112" s="557">
        <f>IFERROR(IF(Z108="",0,Z108),"0")+IFERROR(IF(Z109="",0,Z109),"0")+IFERROR(IF(Z110="",0,Z110),"0")+IFERROR(IF(Z111="",0,Z111),"0")</f>
        <v>9.4899999999999998E-2</v>
      </c>
      <c r="AA112" s="558"/>
      <c r="AB112" s="558"/>
      <c r="AC112" s="558"/>
    </row>
    <row r="113" spans="1:68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50</v>
      </c>
      <c r="Y113" s="557">
        <f>IFERROR(SUM(Y108:Y111),"0")</f>
        <v>54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300</v>
      </c>
      <c r="Y115" s="556">
        <f>IFERROR(IF(X115="",0,CEILING((X115/$H115),1)*$H115),"")</f>
        <v>307.8</v>
      </c>
      <c r="Z115" s="36">
        <f>IFERROR(IF(Y115=0,"",ROUNDUP(Y115/H115,0)*0.01898),"")</f>
        <v>0.72123999999999999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318.07407407407402</v>
      </c>
      <c r="BN115" s="64">
        <f>IFERROR(Y115*I115/H115,"0")</f>
        <v>326.34399999999999</v>
      </c>
      <c r="BO115" s="64">
        <f>IFERROR(1/J115*(X115/H115),"0")</f>
        <v>0.57870370370370372</v>
      </c>
      <c r="BP115" s="64">
        <f>IFERROR(1/J115*(Y115/H115),"0")</f>
        <v>0.59375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400</v>
      </c>
      <c r="Y117" s="556">
        <f>IFERROR(IF(X117="",0,CEILING((X117/$H117),1)*$H117),"")</f>
        <v>402.3</v>
      </c>
      <c r="Z117" s="36">
        <f>IFERROR(IF(Y117=0,"",ROUNDUP(Y117/H117,0)*0.00651),"")</f>
        <v>0.96999000000000002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437.33333333333331</v>
      </c>
      <c r="BN117" s="64">
        <f>IFERROR(Y117*I117/H117,"0")</f>
        <v>439.84799999999996</v>
      </c>
      <c r="BO117" s="64">
        <f>IFERROR(1/J117*(X117/H117),"0")</f>
        <v>0.81400081400081403</v>
      </c>
      <c r="BP117" s="64">
        <f>IFERROR(1/J117*(Y117/H117),"0")</f>
        <v>0.81868131868131877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185.18518518518519</v>
      </c>
      <c r="Y119" s="557">
        <f>IFERROR(Y115/H115,"0")+IFERROR(Y116/H116,"0")+IFERROR(Y117/H117,"0")+IFERROR(Y118/H118,"0")</f>
        <v>187</v>
      </c>
      <c r="Z119" s="557">
        <f>IFERROR(IF(Z115="",0,Z115),"0")+IFERROR(IF(Z116="",0,Z116),"0")+IFERROR(IF(Z117="",0,Z117),"0")+IFERROR(IF(Z118="",0,Z118),"0")</f>
        <v>1.69123</v>
      </c>
      <c r="AA119" s="558"/>
      <c r="AB119" s="558"/>
      <c r="AC119" s="558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700</v>
      </c>
      <c r="Y120" s="557">
        <f>IFERROR(SUM(Y115:Y118),"0")</f>
        <v>710.1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hidden="1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50</v>
      </c>
      <c r="Y171" s="556">
        <f t="shared" si="10"/>
        <v>50.400000000000006</v>
      </c>
      <c r="Z171" s="36">
        <f>IFERROR(IF(Y171=0,"",ROUNDUP(Y171/H171,0)*0.00902),"")</f>
        <v>0.10824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52.261904761904752</v>
      </c>
      <c r="BN171" s="64">
        <f t="shared" si="12"/>
        <v>52.68</v>
      </c>
      <c r="BO171" s="64">
        <f t="shared" si="13"/>
        <v>9.0187590187590191E-2</v>
      </c>
      <c r="BP171" s="64">
        <f t="shared" si="14"/>
        <v>9.0909090909090912E-2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11.904761904761905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12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0.10824</v>
      </c>
      <c r="AA181" s="558"/>
      <c r="AB181" s="558"/>
      <c r="AC181" s="558"/>
    </row>
    <row r="182" spans="1:68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50</v>
      </c>
      <c r="Y182" s="557">
        <f>IFERROR(SUM(Y167:Y180),"0")</f>
        <v>50.400000000000006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150</v>
      </c>
      <c r="Y205" s="556">
        <f t="shared" ref="Y205:Y212" si="15">IFERROR(IF(X205="",0,CEILING((X205/$H205),1)*$H205),"")</f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155.27777777777777</v>
      </c>
      <c r="BN205" s="64">
        <f t="shared" ref="BN205:BN212" si="17">IFERROR(Y205*I205/H205,"0")</f>
        <v>156.52000000000001</v>
      </c>
      <c r="BO205" s="64">
        <f t="shared" ref="BO205:BO212" si="18">IFERROR(1/J205*(X205/H205),"0")</f>
        <v>0.21043771043771042</v>
      </c>
      <c r="BP205" s="64">
        <f t="shared" ref="BP205:BP212" si="19">IFERROR(1/J205*(Y205/H205),"0")</f>
        <v>0.21212121212121213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150</v>
      </c>
      <c r="Y206" s="556">
        <f t="shared" si="15"/>
        <v>151.20000000000002</v>
      </c>
      <c r="Z206" s="36">
        <f>IFERROR(IF(Y206=0,"",ROUNDUP(Y206/H206,0)*0.00902),"")</f>
        <v>0.25256000000000001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155.27777777777777</v>
      </c>
      <c r="BN206" s="64">
        <f t="shared" si="17"/>
        <v>156.52000000000001</v>
      </c>
      <c r="BO206" s="64">
        <f t="shared" si="18"/>
        <v>0.21043771043771042</v>
      </c>
      <c r="BP206" s="64">
        <f t="shared" si="19"/>
        <v>0.21212121212121213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150</v>
      </c>
      <c r="Y207" s="556">
        <f t="shared" si="15"/>
        <v>151.20000000000002</v>
      </c>
      <c r="Z207" s="36">
        <f>IFERROR(IF(Y207=0,"",ROUNDUP(Y207/H207,0)*0.00902),"")</f>
        <v>0.25256000000000001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155.27777777777777</v>
      </c>
      <c r="BN207" s="64">
        <f t="shared" si="17"/>
        <v>156.52000000000001</v>
      </c>
      <c r="BO207" s="64">
        <f t="shared" si="18"/>
        <v>0.21043771043771042</v>
      </c>
      <c r="BP207" s="64">
        <f t="shared" si="19"/>
        <v>0.21212121212121213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150</v>
      </c>
      <c r="Y208" s="556">
        <f t="shared" si="15"/>
        <v>151.20000000000002</v>
      </c>
      <c r="Z208" s="36">
        <f>IFERROR(IF(Y208=0,"",ROUNDUP(Y208/H208,0)*0.00902),"")</f>
        <v>0.25256000000000001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155.27777777777777</v>
      </c>
      <c r="BN208" s="64">
        <f t="shared" si="17"/>
        <v>156.52000000000001</v>
      </c>
      <c r="BO208" s="64">
        <f t="shared" si="18"/>
        <v>0.21043771043771042</v>
      </c>
      <c r="BP208" s="64">
        <f t="shared" si="19"/>
        <v>0.21212121212121213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111.1111111111111</v>
      </c>
      <c r="Y213" s="557">
        <f>IFERROR(Y205/H205,"0")+IFERROR(Y206/H206,"0")+IFERROR(Y207/H207,"0")+IFERROR(Y208/H208,"0")+IFERROR(Y209/H209,"0")+IFERROR(Y210/H210,"0")+IFERROR(Y211/H211,"0")+IFERROR(Y212/H212,"0")</f>
        <v>112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1.01024</v>
      </c>
      <c r="AA213" s="558"/>
      <c r="AB213" s="558"/>
      <c r="AC213" s="558"/>
    </row>
    <row r="214" spans="1:68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600</v>
      </c>
      <c r="Y214" s="557">
        <f>IFERROR(SUM(Y205:Y212),"0")</f>
        <v>604.80000000000007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120</v>
      </c>
      <c r="Y216" s="556">
        <f t="shared" ref="Y216:Y224" si="20">IFERROR(IF(X216="",0,CEILING((X216/$H216),1)*$H216),"")</f>
        <v>121.5</v>
      </c>
      <c r="Z216" s="36">
        <f>IFERROR(IF(Y216=0,"",ROUNDUP(Y216/H216,0)*0.01898),"")</f>
        <v>0.28470000000000001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127.31851851851852</v>
      </c>
      <c r="BN216" s="64">
        <f t="shared" ref="BN216:BN224" si="22">IFERROR(Y216*I216/H216,"0")</f>
        <v>128.91</v>
      </c>
      <c r="BO216" s="64">
        <f t="shared" ref="BO216:BO224" si="23">IFERROR(1/J216*(X216/H216),"0")</f>
        <v>0.23148148148148148</v>
      </c>
      <c r="BP216" s="64">
        <f t="shared" ref="BP216:BP224" si="24">IFERROR(1/J216*(Y216/H216),"0")</f>
        <v>0.234375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100</v>
      </c>
      <c r="Y218" s="556">
        <f t="shared" si="20"/>
        <v>104.39999999999999</v>
      </c>
      <c r="Z218" s="36">
        <f>IFERROR(IF(Y218=0,"",ROUNDUP(Y218/H218,0)*0.01898),"")</f>
        <v>0.22776000000000002</v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105.67816091954025</v>
      </c>
      <c r="BN218" s="64">
        <f t="shared" si="22"/>
        <v>110.32800000000002</v>
      </c>
      <c r="BO218" s="64">
        <f t="shared" si="23"/>
        <v>0.1795977011494253</v>
      </c>
      <c r="BP218" s="64">
        <f t="shared" si="24"/>
        <v>0.1875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450</v>
      </c>
      <c r="Y221" s="556">
        <f t="shared" si="20"/>
        <v>451.2</v>
      </c>
      <c r="Z221" s="36">
        <f t="shared" si="25"/>
        <v>1.2238800000000001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497.25000000000006</v>
      </c>
      <c r="BN221" s="64">
        <f t="shared" si="22"/>
        <v>498.57600000000002</v>
      </c>
      <c r="BO221" s="64">
        <f t="shared" si="23"/>
        <v>1.0302197802197803</v>
      </c>
      <c r="BP221" s="64">
        <f t="shared" si="24"/>
        <v>1.0329670329670331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450</v>
      </c>
      <c r="Y222" s="556">
        <f t="shared" si="20"/>
        <v>451.2</v>
      </c>
      <c r="Z222" s="36">
        <f t="shared" si="25"/>
        <v>1.2238800000000001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497.25000000000006</v>
      </c>
      <c r="BN222" s="64">
        <f t="shared" si="22"/>
        <v>498.57600000000002</v>
      </c>
      <c r="BO222" s="64">
        <f t="shared" si="23"/>
        <v>1.0302197802197803</v>
      </c>
      <c r="BP222" s="64">
        <f t="shared" si="24"/>
        <v>1.0329670329670331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401.30906768837804</v>
      </c>
      <c r="Y225" s="557">
        <f>IFERROR(Y216/H216,"0")+IFERROR(Y217/H217,"0")+IFERROR(Y218/H218,"0")+IFERROR(Y219/H219,"0")+IFERROR(Y220/H220,"0")+IFERROR(Y221/H221,"0")+IFERROR(Y222/H222,"0")+IFERROR(Y223/H223,"0")+IFERROR(Y224/H224,"0")</f>
        <v>403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2.9602200000000005</v>
      </c>
      <c r="AA225" s="558"/>
      <c r="AB225" s="558"/>
      <c r="AC225" s="558"/>
    </row>
    <row r="226" spans="1:68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1120</v>
      </c>
      <c r="Y226" s="557">
        <f>IFERROR(SUM(Y216:Y224),"0")</f>
        <v>1128.3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50</v>
      </c>
      <c r="Y263" s="556">
        <f>IFERROR(IF(X263="",0,CEILING((X263/$H263),1)*$H263),"")</f>
        <v>54</v>
      </c>
      <c r="Z263" s="36">
        <f>IFERROR(IF(Y263=0,"",ROUNDUP(Y263/H263,0)*0.01898),"")</f>
        <v>9.4899999999999998E-2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51.898148148148145</v>
      </c>
      <c r="BN263" s="64">
        <f>IFERROR(Y263*I263/H263,"0")</f>
        <v>56.05</v>
      </c>
      <c r="BO263" s="64">
        <f>IFERROR(1/J263*(X263/H263),"0")</f>
        <v>7.2337962962962965E-2</v>
      </c>
      <c r="BP263" s="64">
        <f>IFERROR(1/J263*(Y263/H263),"0")</f>
        <v>7.8125E-2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50</v>
      </c>
      <c r="Y265" s="556">
        <f>IFERROR(IF(X265="",0,CEILING((X265/$H265),1)*$H265),"")</f>
        <v>54</v>
      </c>
      <c r="Z265" s="36">
        <f>IFERROR(IF(Y265=0,"",ROUNDUP(Y265/H265,0)*0.01898),"")</f>
        <v>9.4899999999999998E-2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51.898148148148145</v>
      </c>
      <c r="BN265" s="64">
        <f>IFERROR(Y265*I265/H265,"0")</f>
        <v>56.05</v>
      </c>
      <c r="BO265" s="64">
        <f>IFERROR(1/J265*(X265/H265),"0")</f>
        <v>7.2337962962962965E-2</v>
      </c>
      <c r="BP265" s="64">
        <f>IFERROR(1/J265*(Y265/H265),"0")</f>
        <v>7.8125E-2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9.2592592592592595</v>
      </c>
      <c r="Y268" s="557">
        <f>IFERROR(Y263/H263,"0")+IFERROR(Y264/H264,"0")+IFERROR(Y265/H265,"0")+IFERROR(Y266/H266,"0")+IFERROR(Y267/H267,"0")</f>
        <v>10</v>
      </c>
      <c r="Z268" s="557">
        <f>IFERROR(IF(Z263="",0,Z263),"0")+IFERROR(IF(Z264="",0,Z264),"0")+IFERROR(IF(Z265="",0,Z265),"0")+IFERROR(IF(Z266="",0,Z266),"0")+IFERROR(IF(Z267="",0,Z267),"0")</f>
        <v>0.1898</v>
      </c>
      <c r="AA268" s="558"/>
      <c r="AB268" s="558"/>
      <c r="AC268" s="558"/>
    </row>
    <row r="269" spans="1:68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100</v>
      </c>
      <c r="Y269" s="557">
        <f>IFERROR(SUM(Y263:Y267),"0")</f>
        <v>108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20</v>
      </c>
      <c r="Y281" s="556">
        <f>IFERROR(IF(X281="",0,CEILING((X281/$H281),1)*$H281),"")</f>
        <v>21.599999999999998</v>
      </c>
      <c r="Z281" s="36">
        <f>IFERROR(IF(Y281=0,"",ROUNDUP(Y281/H281,0)*0.00651),"")</f>
        <v>5.8590000000000003E-2</v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22.100000000000005</v>
      </c>
      <c r="BN281" s="64">
        <f>IFERROR(Y281*I281/H281,"0")</f>
        <v>23.868000000000002</v>
      </c>
      <c r="BO281" s="64">
        <f>IFERROR(1/J281*(X281/H281),"0")</f>
        <v>4.5787545787545791E-2</v>
      </c>
      <c r="BP281" s="64">
        <f>IFERROR(1/J281*(Y281/H281),"0")</f>
        <v>4.9450549450549455E-2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8.3333333333333339</v>
      </c>
      <c r="Y283" s="557">
        <f>IFERROR(Y280/H280,"0")+IFERROR(Y281/H281,"0")+IFERROR(Y282/H282,"0")</f>
        <v>9</v>
      </c>
      <c r="Z283" s="557">
        <f>IFERROR(IF(Z280="",0,Z280),"0")+IFERROR(IF(Z281="",0,Z281),"0")+IFERROR(IF(Z282="",0,Z282),"0")</f>
        <v>5.8590000000000003E-2</v>
      </c>
      <c r="AA283" s="558"/>
      <c r="AB283" s="558"/>
      <c r="AC283" s="558"/>
    </row>
    <row r="284" spans="1:68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20</v>
      </c>
      <c r="Y284" s="557">
        <f>IFERROR(SUM(Y280:Y282),"0")</f>
        <v>21.599999999999998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hidden="1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hidden="1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idden="1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hidden="1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hidden="1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hidden="1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hidden="1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50</v>
      </c>
      <c r="Y316" s="556">
        <f>IFERROR(IF(X316="",0,CEILING((X316/$H316),1)*$H316),"")</f>
        <v>54.6</v>
      </c>
      <c r="Z316" s="36">
        <f>IFERROR(IF(Y316=0,"",ROUNDUP(Y316/H316,0)*0.01898),"")</f>
        <v>0.13286000000000001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53.128205128205131</v>
      </c>
      <c r="BN316" s="64">
        <f>IFERROR(Y316*I316/H316,"0")</f>
        <v>58.016000000000005</v>
      </c>
      <c r="BO316" s="64">
        <f>IFERROR(1/J316*(X316/H316),"0")</f>
        <v>0.10016025641025642</v>
      </c>
      <c r="BP316" s="64">
        <f>IFERROR(1/J316*(Y316/H316),"0")</f>
        <v>0.109375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6.4102564102564106</v>
      </c>
      <c r="Y320" s="557">
        <f>IFERROR(Y316/H316,"0")+IFERROR(Y317/H317,"0")+IFERROR(Y318/H318,"0")+IFERROR(Y319/H319,"0")</f>
        <v>7</v>
      </c>
      <c r="Z320" s="557">
        <f>IFERROR(IF(Z316="",0,Z316),"0")+IFERROR(IF(Z317="",0,Z317),"0")+IFERROR(IF(Z318="",0,Z318),"0")+IFERROR(IF(Z319="",0,Z319),"0")</f>
        <v>0.13286000000000001</v>
      </c>
      <c r="AA320" s="558"/>
      <c r="AB320" s="558"/>
      <c r="AC320" s="558"/>
    </row>
    <row r="321" spans="1:68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50</v>
      </c>
      <c r="Y321" s="557">
        <f>IFERROR(SUM(Y316:Y319),"0")</f>
        <v>54.6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100</v>
      </c>
      <c r="Y324" s="556">
        <f>IFERROR(IF(X324="",0,CEILING((X324/$H324),1)*$H324),"")</f>
        <v>101.39999999999999</v>
      </c>
      <c r="Z324" s="36">
        <f>IFERROR(IF(Y324=0,"",ROUNDUP(Y324/H324,0)*0.01898),"")</f>
        <v>0.24674000000000001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106.33333333333334</v>
      </c>
      <c r="BN324" s="64">
        <f>IFERROR(Y324*I324/H324,"0")</f>
        <v>107.82199999999999</v>
      </c>
      <c r="BO324" s="64">
        <f>IFERROR(1/J324*(X324/H324),"0")</f>
        <v>0.20032051282051283</v>
      </c>
      <c r="BP324" s="64">
        <f>IFERROR(1/J324*(Y324/H324),"0")</f>
        <v>0.203125</v>
      </c>
    </row>
    <row r="325" spans="1:68" ht="16.5" hidden="1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12.820512820512821</v>
      </c>
      <c r="Y326" s="557">
        <f>IFERROR(Y323/H323,"0")+IFERROR(Y324/H324,"0")+IFERROR(Y325/H325,"0")</f>
        <v>13</v>
      </c>
      <c r="Z326" s="557">
        <f>IFERROR(IF(Z323="",0,Z323),"0")+IFERROR(IF(Z324="",0,Z324),"0")+IFERROR(IF(Z325="",0,Z325),"0")</f>
        <v>0.24674000000000001</v>
      </c>
      <c r="AA326" s="558"/>
      <c r="AB326" s="558"/>
      <c r="AC326" s="558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100</v>
      </c>
      <c r="Y327" s="557">
        <f>IFERROR(SUM(Y323:Y325),"0")</f>
        <v>101.39999999999999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hidden="1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30</v>
      </c>
      <c r="Y336" s="556">
        <f>IFERROR(IF(X336="",0,CEILING((X336/$H336),1)*$H336),"")</f>
        <v>30</v>
      </c>
      <c r="Z336" s="36">
        <f>IFERROR(IF(Y336=0,"",ROUNDUP(Y336/H336,0)*0.00474),"")</f>
        <v>7.110000000000001E-2</v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33.6</v>
      </c>
      <c r="BN336" s="64">
        <f>IFERROR(Y336*I336/H336,"0")</f>
        <v>33.6</v>
      </c>
      <c r="BO336" s="64">
        <f>IFERROR(1/J336*(X336/H336),"0")</f>
        <v>6.3025210084033612E-2</v>
      </c>
      <c r="BP336" s="64">
        <f>IFERROR(1/J336*(Y336/H336),"0")</f>
        <v>6.3025210084033612E-2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30</v>
      </c>
      <c r="Y337" s="556">
        <f>IFERROR(IF(X337="",0,CEILING((X337/$H337),1)*$H337),"")</f>
        <v>30</v>
      </c>
      <c r="Z337" s="36">
        <f>IFERROR(IF(Y337=0,"",ROUNDUP(Y337/H337,0)*0.00474),"")</f>
        <v>7.110000000000001E-2</v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33.6</v>
      </c>
      <c r="BN337" s="64">
        <f>IFERROR(Y337*I337/H337,"0")</f>
        <v>33.6</v>
      </c>
      <c r="BO337" s="64">
        <f>IFERROR(1/J337*(X337/H337),"0")</f>
        <v>6.3025210084033612E-2</v>
      </c>
      <c r="BP337" s="64">
        <f>IFERROR(1/J337*(Y337/H337),"0")</f>
        <v>6.3025210084033612E-2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30</v>
      </c>
      <c r="Y338" s="556">
        <f>IFERROR(IF(X338="",0,CEILING((X338/$H338),1)*$H338),"")</f>
        <v>30</v>
      </c>
      <c r="Z338" s="36">
        <f>IFERROR(IF(Y338=0,"",ROUNDUP(Y338/H338,0)*0.00474),"")</f>
        <v>7.110000000000001E-2</v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33.6</v>
      </c>
      <c r="BN338" s="64">
        <f>IFERROR(Y338*I338/H338,"0")</f>
        <v>33.6</v>
      </c>
      <c r="BO338" s="64">
        <f>IFERROR(1/J338*(X338/H338),"0")</f>
        <v>6.3025210084033612E-2</v>
      </c>
      <c r="BP338" s="64">
        <f>IFERROR(1/J338*(Y338/H338),"0")</f>
        <v>6.3025210084033612E-2</v>
      </c>
    </row>
    <row r="339" spans="1:68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45</v>
      </c>
      <c r="Y339" s="557">
        <f>IFERROR(Y336/H336,"0")+IFERROR(Y337/H337,"0")+IFERROR(Y338/H338,"0")</f>
        <v>45</v>
      </c>
      <c r="Z339" s="557">
        <f>IFERROR(IF(Z336="",0,Z336),"0")+IFERROR(IF(Z337="",0,Z337),"0")+IFERROR(IF(Z338="",0,Z338),"0")</f>
        <v>0.21330000000000005</v>
      </c>
      <c r="AA339" s="558"/>
      <c r="AB339" s="558"/>
      <c r="AC339" s="558"/>
    </row>
    <row r="340" spans="1:68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90</v>
      </c>
      <c r="Y340" s="557">
        <f>IFERROR(SUM(Y336:Y338),"0")</f>
        <v>90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hidden="1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100</v>
      </c>
      <c r="Y344" s="556">
        <f>IFERROR(IF(X344="",0,CEILING((X344/$H344),1)*$H344),"")</f>
        <v>100.80000000000001</v>
      </c>
      <c r="Z344" s="36">
        <f>IFERROR(IF(Y344=0,"",ROUNDUP(Y344/H344,0)*0.00651),"")</f>
        <v>0.31247999999999998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111.99999999999999</v>
      </c>
      <c r="BN344" s="64">
        <f>IFERROR(Y344*I344/H344,"0")</f>
        <v>112.896</v>
      </c>
      <c r="BO344" s="64">
        <f>IFERROR(1/J344*(X344/H344),"0")</f>
        <v>0.26164311878597596</v>
      </c>
      <c r="BP344" s="64">
        <f>IFERROR(1/J344*(Y344/H344),"0")</f>
        <v>0.26373626373626374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50</v>
      </c>
      <c r="Y345" s="556">
        <f>IFERROR(IF(X345="",0,CEILING((X345/$H345),1)*$H345),"")</f>
        <v>50.400000000000006</v>
      </c>
      <c r="Z345" s="36">
        <f>IFERROR(IF(Y345=0,"",ROUNDUP(Y345/H345,0)*0.00651),"")</f>
        <v>0.15623999999999999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55.714285714285715</v>
      </c>
      <c r="BN345" s="64">
        <f>IFERROR(Y345*I345/H345,"0")</f>
        <v>56.160000000000004</v>
      </c>
      <c r="BO345" s="64">
        <f>IFERROR(1/J345*(X345/H345),"0")</f>
        <v>0.13082155939298798</v>
      </c>
      <c r="BP345" s="64">
        <f>IFERROR(1/J345*(Y345/H345),"0")</f>
        <v>0.13186813186813187</v>
      </c>
    </row>
    <row r="346" spans="1:68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71.428571428571431</v>
      </c>
      <c r="Y346" s="557">
        <f>IFERROR(Y343/H343,"0")+IFERROR(Y344/H344,"0")+IFERROR(Y345/H345,"0")</f>
        <v>72</v>
      </c>
      <c r="Z346" s="557">
        <f>IFERROR(IF(Z343="",0,Z343),"0")+IFERROR(IF(Z344="",0,Z344),"0")+IFERROR(IF(Z345="",0,Z345),"0")</f>
        <v>0.46871999999999997</v>
      </c>
      <c r="AA346" s="558"/>
      <c r="AB346" s="558"/>
      <c r="AC346" s="558"/>
    </row>
    <row r="347" spans="1:68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150</v>
      </c>
      <c r="Y347" s="557">
        <f>IFERROR(SUM(Y343:Y345),"0")</f>
        <v>151.20000000000002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1000</v>
      </c>
      <c r="Y351" s="556">
        <f t="shared" ref="Y351:Y357" si="41">IFERROR(IF(X351="",0,CEILING((X351/$H351),1)*$H351),"")</f>
        <v>1005</v>
      </c>
      <c r="Z351" s="36">
        <f>IFERROR(IF(Y351=0,"",ROUNDUP(Y351/H351,0)*0.02175),"")</f>
        <v>1.4572499999999999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1031.3333333333333</v>
      </c>
      <c r="BN351" s="64">
        <f t="shared" ref="BN351:BN357" si="43">IFERROR(Y351*I351/H351,"0")</f>
        <v>1036.49</v>
      </c>
      <c r="BO351" s="64">
        <f t="shared" ref="BO351:BO357" si="44">IFERROR(1/J351*(X351/H351),"0")</f>
        <v>1.3888888888888888</v>
      </c>
      <c r="BP351" s="64">
        <f t="shared" ref="BP351:BP357" si="45">IFERROR(1/J351*(Y351/H351),"0")</f>
        <v>1.3958333333333333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100</v>
      </c>
      <c r="Y352" s="556">
        <f t="shared" si="41"/>
        <v>105</v>
      </c>
      <c r="Z352" s="36">
        <f>IFERROR(IF(Y352=0,"",ROUNDUP(Y352/H352,0)*0.02175),"")</f>
        <v>0.15225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103.13333333333334</v>
      </c>
      <c r="BN352" s="64">
        <f t="shared" si="43"/>
        <v>108.29</v>
      </c>
      <c r="BO352" s="64">
        <f t="shared" si="44"/>
        <v>0.1388888888888889</v>
      </c>
      <c r="BP352" s="64">
        <f t="shared" si="45"/>
        <v>0.14583333333333331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1000</v>
      </c>
      <c r="Y353" s="556">
        <f t="shared" si="41"/>
        <v>1005</v>
      </c>
      <c r="Z353" s="36">
        <f>IFERROR(IF(Y353=0,"",ROUNDUP(Y353/H353,0)*0.02175),"")</f>
        <v>1.4572499999999999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1031.3333333333333</v>
      </c>
      <c r="BN353" s="64">
        <f t="shared" si="43"/>
        <v>1036.49</v>
      </c>
      <c r="BO353" s="64">
        <f t="shared" si="44"/>
        <v>1.3888888888888888</v>
      </c>
      <c r="BP353" s="64">
        <f t="shared" si="45"/>
        <v>1.3958333333333333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100</v>
      </c>
      <c r="Y354" s="556">
        <f t="shared" si="41"/>
        <v>105</v>
      </c>
      <c r="Z354" s="36">
        <f>IFERROR(IF(Y354=0,"",ROUNDUP(Y354/H354,0)*0.02175),"")</f>
        <v>0.15225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103.13333333333334</v>
      </c>
      <c r="BN354" s="64">
        <f t="shared" si="43"/>
        <v>108.29</v>
      </c>
      <c r="BO354" s="64">
        <f t="shared" si="44"/>
        <v>0.1388888888888889</v>
      </c>
      <c r="BP354" s="64">
        <f t="shared" si="45"/>
        <v>0.14583333333333331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146.66666666666666</v>
      </c>
      <c r="Y358" s="557">
        <f>IFERROR(Y351/H351,"0")+IFERROR(Y352/H352,"0")+IFERROR(Y353/H353,"0")+IFERROR(Y354/H354,"0")+IFERROR(Y355/H355,"0")+IFERROR(Y356/H356,"0")+IFERROR(Y357/H357,"0")</f>
        <v>148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3.2189999999999999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2200</v>
      </c>
      <c r="Y359" s="557">
        <f>IFERROR(SUM(Y351:Y357),"0")</f>
        <v>2220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500</v>
      </c>
      <c r="Y361" s="556">
        <f>IFERROR(IF(X361="",0,CEILING((X361/$H361),1)*$H361),"")</f>
        <v>510</v>
      </c>
      <c r="Z361" s="36">
        <f>IFERROR(IF(Y361=0,"",ROUNDUP(Y361/H361,0)*0.02175),"")</f>
        <v>0.73949999999999994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515.66666666666663</v>
      </c>
      <c r="BN361" s="64">
        <f>IFERROR(Y361*I361/H361,"0")</f>
        <v>525.98</v>
      </c>
      <c r="BO361" s="64">
        <f>IFERROR(1/J361*(X361/H361),"0")</f>
        <v>0.69444444444444442</v>
      </c>
      <c r="BP361" s="64">
        <f>IFERROR(1/J361*(Y361/H361),"0")</f>
        <v>0.70833333333333326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33.333333333333336</v>
      </c>
      <c r="Y363" s="557">
        <f>IFERROR(Y361/H361,"0")+IFERROR(Y362/H362,"0")</f>
        <v>34</v>
      </c>
      <c r="Z363" s="557">
        <f>IFERROR(IF(Z361="",0,Z361),"0")+IFERROR(IF(Z362="",0,Z362),"0")</f>
        <v>0.73949999999999994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500</v>
      </c>
      <c r="Y364" s="557">
        <f>IFERROR(SUM(Y361:Y362),"0")</f>
        <v>510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hidden="1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50</v>
      </c>
      <c r="Y371" s="556">
        <f>IFERROR(IF(X371="",0,CEILING((X371/$H371),1)*$H371),"")</f>
        <v>54</v>
      </c>
      <c r="Z371" s="36">
        <f>IFERROR(IF(Y371=0,"",ROUNDUP(Y371/H371,0)*0.01898),"")</f>
        <v>0.11388000000000001</v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52.74444444444444</v>
      </c>
      <c r="BN371" s="64">
        <f>IFERROR(Y371*I371/H371,"0")</f>
        <v>56.963999999999992</v>
      </c>
      <c r="BO371" s="64">
        <f>IFERROR(1/J371*(X371/H371),"0")</f>
        <v>8.6805555555555552E-2</v>
      </c>
      <c r="BP371" s="64">
        <f>IFERROR(1/J371*(Y371/H371),"0")</f>
        <v>9.375E-2</v>
      </c>
    </row>
    <row r="372" spans="1:68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5.5555555555555554</v>
      </c>
      <c r="Y372" s="557">
        <f>IFERROR(Y371/H371,"0")</f>
        <v>6</v>
      </c>
      <c r="Z372" s="557">
        <f>IFERROR(IF(Z371="",0,Z371),"0")</f>
        <v>0.11388000000000001</v>
      </c>
      <c r="AA372" s="558"/>
      <c r="AB372" s="558"/>
      <c r="AC372" s="558"/>
    </row>
    <row r="373" spans="1:68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50</v>
      </c>
      <c r="Y373" s="557">
        <f>IFERROR(SUM(Y371:Y371),"0")</f>
        <v>54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200</v>
      </c>
      <c r="Y376" s="556">
        <f>IFERROR(IF(X376="",0,CEILING((X376/$H376),1)*$H376),"")</f>
        <v>204</v>
      </c>
      <c r="Z376" s="36">
        <f>IFERROR(IF(Y376=0,"",ROUNDUP(Y376/H376,0)*0.01898),"")</f>
        <v>0.32266</v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206.83333333333334</v>
      </c>
      <c r="BN376" s="64">
        <f>IFERROR(Y376*I376/H376,"0")</f>
        <v>210.97</v>
      </c>
      <c r="BO376" s="64">
        <f>IFERROR(1/J376*(X376/H376),"0")</f>
        <v>0.26041666666666669</v>
      </c>
      <c r="BP376" s="64">
        <f>IFERROR(1/J376*(Y376/H376),"0")</f>
        <v>0.265625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16.666666666666668</v>
      </c>
      <c r="Y378" s="557">
        <f>IFERROR(Y376/H376,"0")+IFERROR(Y377/H377,"0")</f>
        <v>17</v>
      </c>
      <c r="Z378" s="557">
        <f>IFERROR(IF(Z376="",0,Z376),"0")+IFERROR(IF(Z377="",0,Z377),"0")</f>
        <v>0.32266</v>
      </c>
      <c r="AA378" s="558"/>
      <c r="AB378" s="558"/>
      <c r="AC378" s="558"/>
    </row>
    <row r="379" spans="1:68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200</v>
      </c>
      <c r="Y379" s="557">
        <f>IFERROR(SUM(Y376:Y377),"0")</f>
        <v>204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700</v>
      </c>
      <c r="Y386" s="556">
        <f>IFERROR(IF(X386="",0,CEILING((X386/$H386),1)*$H386),"")</f>
        <v>702</v>
      </c>
      <c r="Z386" s="36">
        <f>IFERROR(IF(Y386=0,"",ROUNDUP(Y386/H386,0)*0.01898),"")</f>
        <v>1.48044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738.42222222222222</v>
      </c>
      <c r="BN386" s="64">
        <f>IFERROR(Y386*I386/H386,"0")</f>
        <v>740.53199999999993</v>
      </c>
      <c r="BO386" s="64">
        <f>IFERROR(1/J386*(X386/H386),"0")</f>
        <v>1.2152777777777777</v>
      </c>
      <c r="BP386" s="64">
        <f>IFERROR(1/J386*(Y386/H386),"0")</f>
        <v>1.21875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100</v>
      </c>
      <c r="Y387" s="556">
        <f>IFERROR(IF(X387="",0,CEILING((X387/$H387),1)*$H387),"")</f>
        <v>100.8</v>
      </c>
      <c r="Z387" s="36">
        <f>IFERROR(IF(Y387=0,"",ROUNDUP(Y387/H387,0)*0.00651),"")</f>
        <v>0.27342</v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111.00000000000001</v>
      </c>
      <c r="BN387" s="64">
        <f>IFERROR(Y387*I387/H387,"0")</f>
        <v>111.88800000000001</v>
      </c>
      <c r="BO387" s="64">
        <f>IFERROR(1/J387*(X387/H387),"0")</f>
        <v>0.22893772893772898</v>
      </c>
      <c r="BP387" s="64">
        <f>IFERROR(1/J387*(Y387/H387),"0")</f>
        <v>0.23076923076923078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119.44444444444444</v>
      </c>
      <c r="Y389" s="557">
        <f>IFERROR(Y386/H386,"0")+IFERROR(Y387/H387,"0")+IFERROR(Y388/H388,"0")</f>
        <v>120</v>
      </c>
      <c r="Z389" s="557">
        <f>IFERROR(IF(Z386="",0,Z386),"0")+IFERROR(IF(Z387="",0,Z387),"0")+IFERROR(IF(Z388="",0,Z388),"0")</f>
        <v>1.75386</v>
      </c>
      <c r="AA389" s="558"/>
      <c r="AB389" s="558"/>
      <c r="AC389" s="558"/>
    </row>
    <row r="390" spans="1:68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800</v>
      </c>
      <c r="Y390" s="557">
        <f>IFERROR(SUM(Y386:Y388),"0")</f>
        <v>802.8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50</v>
      </c>
      <c r="Y395" s="556">
        <f t="shared" si="46"/>
        <v>54</v>
      </c>
      <c r="Z395" s="36">
        <f>IFERROR(IF(Y395=0,"",ROUNDUP(Y395/H395,0)*0.00902),"")</f>
        <v>9.0200000000000002E-2</v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51.759259259259252</v>
      </c>
      <c r="BN395" s="64">
        <f t="shared" si="48"/>
        <v>55.9</v>
      </c>
      <c r="BO395" s="64">
        <f t="shared" si="49"/>
        <v>7.0145903479236812E-2</v>
      </c>
      <c r="BP395" s="64">
        <f t="shared" si="50"/>
        <v>7.575757575757576E-2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9.2592592592592595</v>
      </c>
      <c r="Y403" s="557">
        <f>IFERROR(Y394/H394,"0")+IFERROR(Y395/H395,"0")+IFERROR(Y396/H396,"0")+IFERROR(Y397/H397,"0")+IFERROR(Y398/H398,"0")+IFERROR(Y399/H399,"0")+IFERROR(Y400/H400,"0")+IFERROR(Y401/H401,"0")+IFERROR(Y402/H402,"0")</f>
        <v>10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9.0200000000000002E-2</v>
      </c>
      <c r="AA403" s="558"/>
      <c r="AB403" s="558"/>
      <c r="AC403" s="558"/>
    </row>
    <row r="404" spans="1:68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50</v>
      </c>
      <c r="Y404" s="557">
        <f>IFERROR(SUM(Y394:Y402),"0")</f>
        <v>54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hidden="1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hidden="1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100</v>
      </c>
      <c r="Y433" s="556">
        <f t="shared" si="52"/>
        <v>100.32000000000001</v>
      </c>
      <c r="Z433" s="36">
        <f t="shared" si="53"/>
        <v>0.22724</v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106.62878787878788</v>
      </c>
      <c r="BN433" s="64">
        <f t="shared" si="55"/>
        <v>106.97</v>
      </c>
      <c r="BO433" s="64">
        <f t="shared" si="56"/>
        <v>0.18210955710955709</v>
      </c>
      <c r="BP433" s="64">
        <f t="shared" si="57"/>
        <v>0.18269230769230771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1000</v>
      </c>
      <c r="Y434" s="556">
        <f t="shared" si="52"/>
        <v>1003.2</v>
      </c>
      <c r="Z434" s="36">
        <f t="shared" si="53"/>
        <v>2.2724000000000002</v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1066.2878787878788</v>
      </c>
      <c r="BN434" s="64">
        <f t="shared" si="55"/>
        <v>1069.7</v>
      </c>
      <c r="BO434" s="64">
        <f t="shared" si="56"/>
        <v>1.821095571095571</v>
      </c>
      <c r="BP434" s="64">
        <f t="shared" si="57"/>
        <v>1.8269230769230771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1000</v>
      </c>
      <c r="Y436" s="556">
        <f t="shared" si="52"/>
        <v>1003.2</v>
      </c>
      <c r="Z436" s="36">
        <f t="shared" si="53"/>
        <v>2.2724000000000002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1066.2878787878788</v>
      </c>
      <c r="BN436" s="64">
        <f t="shared" si="55"/>
        <v>1069.7</v>
      </c>
      <c r="BO436" s="64">
        <f t="shared" si="56"/>
        <v>1.821095571095571</v>
      </c>
      <c r="BP436" s="64">
        <f t="shared" si="57"/>
        <v>1.8269230769230771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500</v>
      </c>
      <c r="Y441" s="556">
        <f t="shared" si="52"/>
        <v>504</v>
      </c>
      <c r="Z441" s="36">
        <f>IFERROR(IF(Y441=0,"",ROUNDUP(Y441/H441,0)*0.00902),"")</f>
        <v>0.94710000000000005</v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719.79166666666674</v>
      </c>
      <c r="BN441" s="64">
        <f t="shared" si="55"/>
        <v>725.55</v>
      </c>
      <c r="BO441" s="64">
        <f t="shared" si="56"/>
        <v>0.78914141414141425</v>
      </c>
      <c r="BP441" s="64">
        <f t="shared" si="57"/>
        <v>0.79545454545454553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501.89393939393938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504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5.7191400000000003</v>
      </c>
      <c r="AA442" s="558"/>
      <c r="AB442" s="558"/>
      <c r="AC442" s="558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2600</v>
      </c>
      <c r="Y443" s="557">
        <f>IFERROR(SUM(Y430:Y441),"0")</f>
        <v>2610.7200000000003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1000</v>
      </c>
      <c r="Y445" s="556">
        <f>IFERROR(IF(X445="",0,CEILING((X445/$H445),1)*$H445),"")</f>
        <v>1003.2</v>
      </c>
      <c r="Z445" s="36">
        <f>IFERROR(IF(Y445=0,"",ROUNDUP(Y445/H445,0)*0.01196),"")</f>
        <v>2.2724000000000002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1066.2878787878788</v>
      </c>
      <c r="BN445" s="64">
        <f>IFERROR(Y445*I445/H445,"0")</f>
        <v>1069.7</v>
      </c>
      <c r="BO445" s="64">
        <f>IFERROR(1/J445*(X445/H445),"0")</f>
        <v>1.821095571095571</v>
      </c>
      <c r="BP445" s="64">
        <f>IFERROR(1/J445*(Y445/H445),"0")</f>
        <v>1.8269230769230771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189.39393939393938</v>
      </c>
      <c r="Y448" s="557">
        <f>IFERROR(Y445/H445,"0")+IFERROR(Y446/H446,"0")+IFERROR(Y447/H447,"0")</f>
        <v>190</v>
      </c>
      <c r="Z448" s="557">
        <f>IFERROR(IF(Z445="",0,Z445),"0")+IFERROR(IF(Z446="",0,Z446),"0")+IFERROR(IF(Z447="",0,Z447),"0")</f>
        <v>2.2724000000000002</v>
      </c>
      <c r="AA448" s="558"/>
      <c r="AB448" s="558"/>
      <c r="AC448" s="558"/>
    </row>
    <row r="449" spans="1:68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1000</v>
      </c>
      <c r="Y449" s="557">
        <f>IFERROR(SUM(Y445:Y447),"0")</f>
        <v>1003.2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200</v>
      </c>
      <c r="Y451" s="556">
        <f t="shared" ref="Y451:Y456" si="58">IFERROR(IF(X451="",0,CEILING((X451/$H451),1)*$H451),"")</f>
        <v>200.64000000000001</v>
      </c>
      <c r="Z451" s="36">
        <f>IFERROR(IF(Y451=0,"",ROUNDUP(Y451/H451,0)*0.01196),"")</f>
        <v>0.45448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213.25757575757575</v>
      </c>
      <c r="BN451" s="64">
        <f t="shared" ref="BN451:BN456" si="60">IFERROR(Y451*I451/H451,"0")</f>
        <v>213.94</v>
      </c>
      <c r="BO451" s="64">
        <f t="shared" ref="BO451:BO456" si="61">IFERROR(1/J451*(X451/H451),"0")</f>
        <v>0.36421911421911418</v>
      </c>
      <c r="BP451" s="64">
        <f t="shared" ref="BP451:BP456" si="62">IFERROR(1/J451*(Y451/H451),"0")</f>
        <v>0.36538461538461542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300</v>
      </c>
      <c r="Y452" s="556">
        <f t="shared" si="58"/>
        <v>300.96000000000004</v>
      </c>
      <c r="Z452" s="36">
        <f>IFERROR(IF(Y452=0,"",ROUNDUP(Y452/H452,0)*0.01196),"")</f>
        <v>0.68171999999999999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319.88636363636363</v>
      </c>
      <c r="BN452" s="64">
        <f t="shared" si="60"/>
        <v>320.91000000000003</v>
      </c>
      <c r="BO452" s="64">
        <f t="shared" si="61"/>
        <v>0.54632867132867136</v>
      </c>
      <c r="BP452" s="64">
        <f t="shared" si="62"/>
        <v>0.54807692307692313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300</v>
      </c>
      <c r="Y453" s="556">
        <f t="shared" si="58"/>
        <v>300.96000000000004</v>
      </c>
      <c r="Z453" s="36">
        <f>IFERROR(IF(Y453=0,"",ROUNDUP(Y453/H453,0)*0.01196),"")</f>
        <v>0.68171999999999999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319.88636363636363</v>
      </c>
      <c r="BN453" s="64">
        <f t="shared" si="60"/>
        <v>320.91000000000003</v>
      </c>
      <c r="BO453" s="64">
        <f t="shared" si="61"/>
        <v>0.54632867132867136</v>
      </c>
      <c r="BP453" s="64">
        <f t="shared" si="62"/>
        <v>0.54807692307692313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151.5151515151515</v>
      </c>
      <c r="Y457" s="557">
        <f>IFERROR(Y451/H451,"0")+IFERROR(Y452/H452,"0")+IFERROR(Y453/H453,"0")+IFERROR(Y454/H454,"0")+IFERROR(Y455/H455,"0")+IFERROR(Y456/H456,"0")</f>
        <v>152</v>
      </c>
      <c r="Z457" s="557">
        <f>IFERROR(IF(Z451="",0,Z451),"0")+IFERROR(IF(Z452="",0,Z452),"0")+IFERROR(IF(Z453="",0,Z453),"0")+IFERROR(IF(Z454="",0,Z454),"0")+IFERROR(IF(Z455="",0,Z455),"0")+IFERROR(IF(Z456="",0,Z456),"0")</f>
        <v>1.81792</v>
      </c>
      <c r="AA457" s="558"/>
      <c r="AB457" s="558"/>
      <c r="AC457" s="558"/>
    </row>
    <row r="458" spans="1:68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800</v>
      </c>
      <c r="Y458" s="557">
        <f>IFERROR(SUM(Y451:Y456),"0")</f>
        <v>802.56000000000006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100</v>
      </c>
      <c r="Y468" s="556">
        <f>IFERROR(IF(X468="",0,CEILING((X468/$H468),1)*$H468),"")</f>
        <v>108</v>
      </c>
      <c r="Z468" s="36">
        <f>IFERROR(IF(Y468=0,"",ROUNDUP(Y468/H468,0)*0.01898),"")</f>
        <v>0.17082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103.41666666666667</v>
      </c>
      <c r="BN468" s="64">
        <f>IFERROR(Y468*I468/H468,"0")</f>
        <v>111.69</v>
      </c>
      <c r="BO468" s="64">
        <f>IFERROR(1/J468*(X468/H468),"0")</f>
        <v>0.13020833333333334</v>
      </c>
      <c r="BP468" s="64">
        <f>IFERROR(1/J468*(Y468/H468),"0")</f>
        <v>0.140625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8.3333333333333339</v>
      </c>
      <c r="Y470" s="557">
        <f>IFERROR(Y466/H466,"0")+IFERROR(Y467/H467,"0")+IFERROR(Y468/H468,"0")+IFERROR(Y469/H469,"0")</f>
        <v>9</v>
      </c>
      <c r="Z470" s="557">
        <f>IFERROR(IF(Z466="",0,Z466),"0")+IFERROR(IF(Z467="",0,Z467),"0")+IFERROR(IF(Z468="",0,Z468),"0")+IFERROR(IF(Z469="",0,Z469),"0")</f>
        <v>0.17082</v>
      </c>
      <c r="AA470" s="558"/>
      <c r="AB470" s="558"/>
      <c r="AC470" s="558"/>
    </row>
    <row r="471" spans="1:68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100</v>
      </c>
      <c r="Y471" s="557">
        <f>IFERROR(SUM(Y466:Y469),"0")</f>
        <v>108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hidden="1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hidden="1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200</v>
      </c>
      <c r="Y483" s="556">
        <f>IFERROR(IF(X483="",0,CEILING((X483/$H483),1)*$H483),"")</f>
        <v>207</v>
      </c>
      <c r="Z483" s="36">
        <f>IFERROR(IF(Y483=0,"",ROUNDUP(Y483/H483,0)*0.01898),"")</f>
        <v>0.43653999999999998</v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210.97777777777776</v>
      </c>
      <c r="BN483" s="64">
        <f>IFERROR(Y483*I483/H483,"0")</f>
        <v>218.36199999999999</v>
      </c>
      <c r="BO483" s="64">
        <f>IFERROR(1/J483*(X483/H483),"0")</f>
        <v>0.34722222222222221</v>
      </c>
      <c r="BP483" s="64">
        <f>IFERROR(1/J483*(Y483/H483),"0")</f>
        <v>0.359375</v>
      </c>
    </row>
    <row r="484" spans="1:68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22.222222222222221</v>
      </c>
      <c r="Y484" s="557">
        <f>IFERROR(Y483/H483,"0")</f>
        <v>23</v>
      </c>
      <c r="Z484" s="557">
        <f>IFERROR(IF(Z483="",0,Z483),"0")</f>
        <v>0.43653999999999998</v>
      </c>
      <c r="AA484" s="558"/>
      <c r="AB484" s="558"/>
      <c r="AC484" s="558"/>
    </row>
    <row r="485" spans="1:68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200</v>
      </c>
      <c r="Y485" s="557">
        <f>IFERROR(SUM(Y483:Y483),"0")</f>
        <v>207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14780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14950.859999999999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15808.429524216732</v>
      </c>
      <c r="Y497" s="557">
        <f>IFERROR(SUM(BN22:BN493),"0")</f>
        <v>15988.960000000005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26</v>
      </c>
      <c r="Y498" s="38">
        <f>ROUNDUP(SUM(BP22:BP493),0)</f>
        <v>26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16458.429524216732</v>
      </c>
      <c r="Y499" s="557">
        <f>GrossWeightTotalR+PalletQtyTotalR*25</f>
        <v>16638.960000000006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2599.8245491205266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2622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30.294690000000003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559.6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1018.1</v>
      </c>
      <c r="E506" s="46">
        <f>IFERROR(Y85*1,"0")+IFERROR(Y86*1,"0")+IFERROR(Y87*1,"0")+IFERROR(Y88*1,"0")+IFERROR(Y92*1,"0")+IFERROR(Y93*1,"0")+IFERROR(Y94*1,"0")+IFERROR(Y95*1,"0")</f>
        <v>1064.8799999999999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1421.7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50.400000000000006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1733.1000000000001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108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21.599999999999998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246</v>
      </c>
      <c r="R506" s="46">
        <f>IFERROR(Y343*1,"0")+IFERROR(Y344*1,"0")+IFERROR(Y345*1,"0")</f>
        <v>151.20000000000002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2784</v>
      </c>
      <c r="T506" s="46">
        <f>IFERROR(Y376*1,"0")+IFERROR(Y377*1,"0")+IFERROR(Y381*1,"0")+IFERROR(Y382*1,"0")+IFERROR(Y386*1,"0")+IFERROR(Y387*1,"0")+IFERROR(Y388*1,"0")</f>
        <v>1006.8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54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4416.4800000000005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315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20,00"/>
        <filter val="100,00"/>
        <filter val="11,90"/>
        <filter val="111,11"/>
        <filter val="119,44"/>
        <filter val="12,82"/>
        <filter val="120,00"/>
        <filter val="139,65"/>
        <filter val="14 780,00"/>
        <filter val="146,67"/>
        <filter val="15 808,43"/>
        <filter val="150,00"/>
        <filter val="151,52"/>
        <filter val="16 458,43"/>
        <filter val="16,67"/>
        <filter val="185,19"/>
        <filter val="189,39"/>
        <filter val="192,48"/>
        <filter val="2 200,00"/>
        <filter val="2 599,82"/>
        <filter val="2 600,00"/>
        <filter val="20,00"/>
        <filter val="200,00"/>
        <filter val="22,22"/>
        <filter val="26"/>
        <filter val="30,00"/>
        <filter val="300,00"/>
        <filter val="33,33"/>
        <filter val="350,00"/>
        <filter val="4,63"/>
        <filter val="400,00"/>
        <filter val="401,31"/>
        <filter val="45,00"/>
        <filter val="450,00"/>
        <filter val="46,30"/>
        <filter val="5,56"/>
        <filter val="50,00"/>
        <filter val="500,00"/>
        <filter val="501,89"/>
        <filter val="550,00"/>
        <filter val="58,80"/>
        <filter val="6,41"/>
        <filter val="600,00"/>
        <filter val="650,00"/>
        <filter val="700,00"/>
        <filter val="71,43"/>
        <filter val="8,33"/>
        <filter val="800,00"/>
        <filter val="86,30"/>
        <filter val="9,26"/>
        <filter val="90,00"/>
        <filter val="950,00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2025-12-29T12:04:06Z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