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921DA1-A4C2-4FBC-81A9-BDBBDF96ED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Z103" i="1" s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Y80" i="1"/>
  <c r="Y83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Z76" i="1" s="1"/>
  <c r="Y73" i="1"/>
  <c r="P73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Y57" i="1" s="1"/>
  <c r="P52" i="1"/>
  <c r="X49" i="1"/>
  <c r="X48" i="1"/>
  <c r="BO47" i="1"/>
  <c r="BM47" i="1"/>
  <c r="Z47" i="1"/>
  <c r="Y47" i="1"/>
  <c r="BP47" i="1" s="1"/>
  <c r="P47" i="1"/>
  <c r="BO46" i="1"/>
  <c r="BN46" i="1"/>
  <c r="BM46" i="1"/>
  <c r="Z46" i="1"/>
  <c r="Y46" i="1"/>
  <c r="BP46" i="1" s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Y41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Y35" i="1" s="1"/>
  <c r="P32" i="1"/>
  <c r="X29" i="1"/>
  <c r="X270" i="1" s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Z28" i="1" l="1"/>
  <c r="X272" i="1"/>
  <c r="Y122" i="1"/>
  <c r="Y135" i="1"/>
  <c r="BN134" i="1"/>
  <c r="Y142" i="1"/>
  <c r="Y147" i="1"/>
  <c r="Z147" i="1"/>
  <c r="Z200" i="1"/>
  <c r="Y148" i="1"/>
  <c r="Y245" i="1"/>
  <c r="Y28" i="1"/>
  <c r="X271" i="1"/>
  <c r="BN23" i="1"/>
  <c r="X274" i="1"/>
  <c r="Z34" i="1"/>
  <c r="Z41" i="1"/>
  <c r="Z48" i="1"/>
  <c r="Z56" i="1"/>
  <c r="Z70" i="1"/>
  <c r="Y76" i="1"/>
  <c r="Z82" i="1"/>
  <c r="Y93" i="1"/>
  <c r="Y104" i="1"/>
  <c r="Y109" i="1"/>
  <c r="BN108" i="1"/>
  <c r="Z121" i="1"/>
  <c r="Z135" i="1"/>
  <c r="Z141" i="1"/>
  <c r="BN139" i="1"/>
  <c r="BP139" i="1"/>
  <c r="BN145" i="1"/>
  <c r="BP145" i="1"/>
  <c r="Z182" i="1"/>
  <c r="BN179" i="1"/>
  <c r="BP179" i="1"/>
  <c r="BN181" i="1"/>
  <c r="Y201" i="1"/>
  <c r="BN196" i="1"/>
  <c r="BN198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Y268" i="1"/>
  <c r="F9" i="1"/>
  <c r="J9" i="1"/>
  <c r="F10" i="1"/>
  <c r="BN22" i="1"/>
  <c r="BP22" i="1"/>
  <c r="BN24" i="1"/>
  <c r="BN26" i="1"/>
  <c r="Y29" i="1"/>
  <c r="BN33" i="1"/>
  <c r="Y34" i="1"/>
  <c r="BN39" i="1"/>
  <c r="BP39" i="1"/>
  <c r="Y42" i="1"/>
  <c r="Y49" i="1"/>
  <c r="Y56" i="1"/>
  <c r="BN60" i="1"/>
  <c r="BP60" i="1"/>
  <c r="Y61" i="1"/>
  <c r="BN64" i="1"/>
  <c r="BP64" i="1"/>
  <c r="Y65" i="1"/>
  <c r="BN68" i="1"/>
  <c r="BP68" i="1"/>
  <c r="Y71" i="1"/>
  <c r="BN74" i="1"/>
  <c r="Y77" i="1"/>
  <c r="Y82" i="1"/>
  <c r="BN86" i="1"/>
  <c r="BP86" i="1"/>
  <c r="Y87" i="1"/>
  <c r="BN91" i="1"/>
  <c r="BP91" i="1"/>
  <c r="Y94" i="1"/>
  <c r="BN98" i="1"/>
  <c r="BN100" i="1"/>
  <c r="BN102" i="1"/>
  <c r="Y103" i="1"/>
  <c r="BN107" i="1"/>
  <c r="BP107" i="1"/>
  <c r="Y110" i="1"/>
  <c r="BN114" i="1"/>
  <c r="BN116" i="1"/>
  <c r="BN118" i="1"/>
  <c r="BN120" i="1"/>
  <c r="Y121" i="1"/>
  <c r="BN124" i="1"/>
  <c r="BP124" i="1"/>
  <c r="Y125" i="1"/>
  <c r="BN128" i="1"/>
  <c r="BP128" i="1"/>
  <c r="Y129" i="1"/>
  <c r="BN133" i="1"/>
  <c r="BP133" i="1"/>
  <c r="Y136" i="1"/>
  <c r="BN140" i="1"/>
  <c r="Y141" i="1"/>
  <c r="BP146" i="1"/>
  <c r="BN146" i="1"/>
  <c r="Y157" i="1"/>
  <c r="BP156" i="1"/>
  <c r="BN156" i="1"/>
  <c r="Y167" i="1"/>
  <c r="BP166" i="1"/>
  <c r="BN166" i="1"/>
  <c r="Z174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H9" i="1"/>
  <c r="BN25" i="1"/>
  <c r="BN27" i="1"/>
  <c r="BN32" i="1"/>
  <c r="BP32" i="1"/>
  <c r="BN40" i="1"/>
  <c r="BN45" i="1"/>
  <c r="BP45" i="1"/>
  <c r="BN47" i="1"/>
  <c r="BN52" i="1"/>
  <c r="BP52" i="1"/>
  <c r="BN54" i="1"/>
  <c r="BN73" i="1"/>
  <c r="BP73" i="1"/>
  <c r="BN75" i="1"/>
  <c r="BN80" i="1"/>
  <c r="BP80" i="1"/>
  <c r="BN92" i="1"/>
  <c r="BN97" i="1"/>
  <c r="BP97" i="1"/>
  <c r="BN99" i="1"/>
  <c r="BN101" i="1"/>
  <c r="BN113" i="1"/>
  <c r="BP113" i="1"/>
  <c r="BN115" i="1"/>
  <c r="BN117" i="1"/>
  <c r="BN11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Z275" i="1"/>
  <c r="Y274" i="1"/>
  <c r="Y270" i="1"/>
  <c r="Y271" i="1"/>
  <c r="Y272" i="1"/>
  <c r="C283" i="1" l="1"/>
  <c r="Y273" i="1"/>
  <c r="B283" i="1"/>
  <c r="A283" i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<sst xmlns="http://schemas.openxmlformats.org/spreadsheetml/2006/main" count="1222" uniqueCount="394">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</sst>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145" sqref="AA145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/>
      <c r="I5" s="410"/>
      <c r="J5" s="410"/>
      <c r="K5" s="410"/>
      <c r="L5" s="410"/>
      <c r="M5" s="333"/>
      <c r="N5" s="61"/>
      <c r="P5" s="24" t="s">
        <v>9</v>
      </c>
      <c r="Q5" s="429">
        <v>46018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Суббота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0</v>
      </c>
      <c r="Y28" s="270">
        <f>IFERROR(SUM(Y22:Y27),"0")</f>
        <v>0</v>
      </c>
      <c r="Z28" s="270">
        <f>IFERROR(IF(Z22="",0,Z22),"0")+IFERROR(IF(Z23="",0,Z23),"0")+IFERROR(IF(Z24="",0,Z24),"0")+IFERROR(IF(Z25="",0,Z25),"0")+IFERROR(IF(Z26="",0,Z26),"0")+IFERROR(IF(Z27="",0,Z27),"0")</f>
        <v>0</v>
      </c>
      <c r="AA28" s="271"/>
      <c r="AB28" s="271"/>
      <c r="AC28" s="271"/>
    </row>
    <row r="29" spans="1:68" hidden="1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0</v>
      </c>
      <c r="Y29" s="270">
        <f>IFERROR(SUMPRODUCT(Y22:Y27*H22:H27),"0")</f>
        <v>0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0</v>
      </c>
      <c r="Y92" s="269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0</v>
      </c>
      <c r="Y93" s="270">
        <f>IFERROR(SUM(Y91:Y92),"0")</f>
        <v>0</v>
      </c>
      <c r="Z93" s="270">
        <f>IFERROR(IF(Z91="",0,Z91),"0")+IFERROR(IF(Z92="",0,Z92),"0")</f>
        <v>0</v>
      </c>
      <c r="AA93" s="271"/>
      <c r="AB93" s="271"/>
      <c r="AC93" s="271"/>
    </row>
    <row r="94" spans="1:68" hidden="1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0</v>
      </c>
      <c r="Y94" s="270">
        <f>IFERROR(SUMPRODUCT(Y91:Y92*H91:H92),"0")</f>
        <v>0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0</v>
      </c>
      <c r="Y97" s="269">
        <f t="shared" ref="Y97:Y102" si="6">IFERROR(IF(X97="","",X97),"")</f>
        <v>0</v>
      </c>
      <c r="Z97" s="36">
        <f t="shared" ref="Z97:Z102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0</v>
      </c>
      <c r="BN97" s="67">
        <f t="shared" ref="BN97:BN102" si="9">IFERROR(Y97*I97,"0")</f>
        <v>0</v>
      </c>
      <c r="BO97" s="67">
        <f t="shared" ref="BO97:BO102" si="10">IFERROR(X97/J97,"0")</f>
        <v>0</v>
      </c>
      <c r="BP97" s="67">
        <f t="shared" ref="BP97:BP102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0</v>
      </c>
      <c r="Y98" s="269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hidden="1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0</v>
      </c>
      <c r="Y100" s="269">
        <f t="shared" si="6"/>
        <v>0</v>
      </c>
      <c r="Z100" s="36">
        <f t="shared" si="7"/>
        <v>0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idden="1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0</v>
      </c>
      <c r="Y103" s="270">
        <f>IFERROR(SUM(Y97:Y102),"0")</f>
        <v>0</v>
      </c>
      <c r="Z103" s="270">
        <f>IFERROR(IF(Z97="",0,Z97),"0")+IFERROR(IF(Z98="",0,Z98),"0")+IFERROR(IF(Z99="",0,Z99),"0")+IFERROR(IF(Z100="",0,Z100),"0")+IFERROR(IF(Z101="",0,Z101),"0")+IFERROR(IF(Z102="",0,Z102),"0")</f>
        <v>0</v>
      </c>
      <c r="AA103" s="271"/>
      <c r="AB103" s="271"/>
      <c r="AC103" s="271"/>
    </row>
    <row r="104" spans="1:68" hidden="1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0</v>
      </c>
      <c r="Y104" s="270">
        <f>IFERROR(SUMPRODUCT(Y97:Y102*H97:H102),"0")</f>
        <v>0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0</v>
      </c>
      <c r="Y116" s="269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0</v>
      </c>
      <c r="Y119" s="269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idden="1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0</v>
      </c>
      <c r="Y121" s="270">
        <f>IFERROR(SUM(Y113:Y120),"0")</f>
        <v>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271"/>
      <c r="AB121" s="271"/>
      <c r="AC121" s="271"/>
    </row>
    <row r="122" spans="1:68" hidden="1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0</v>
      </c>
      <c r="Y122" s="270">
        <f>IFERROR(SUMPRODUCT(Y113:Y120*H113:H120),"0")</f>
        <v>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hidden="1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0</v>
      </c>
      <c r="Y135" s="270">
        <f>IFERROR(SUM(Y133:Y134),"0")</f>
        <v>0</v>
      </c>
      <c r="Z135" s="270">
        <f>IFERROR(IF(Z133="",0,Z133),"0")+IFERROR(IF(Z134="",0,Z134),"0")</f>
        <v>0</v>
      </c>
      <c r="AA135" s="271"/>
      <c r="AB135" s="271"/>
      <c r="AC135" s="271"/>
    </row>
    <row r="136" spans="1:68" hidden="1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0</v>
      </c>
      <c r="Y136" s="270">
        <f>IFERROR(SUMPRODUCT(Y133:Y134*H133:H134),"0")</f>
        <v>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168</v>
      </c>
      <c r="Y145" s="269">
        <f>IFERROR(IF(X145="","",X145),"")</f>
        <v>168</v>
      </c>
      <c r="Z145" s="36">
        <f>IFERROR(IF(X145="","",X145*0.01788),"")</f>
        <v>3.0038399999999998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450.24</v>
      </c>
      <c r="BN145" s="67">
        <f>IFERROR(Y145*I145,"0")</f>
        <v>450.24</v>
      </c>
      <c r="BO145" s="67">
        <f>IFERROR(X145/J145,"0")</f>
        <v>2.4</v>
      </c>
      <c r="BP145" s="67">
        <f>IFERROR(Y145/J145,"0")</f>
        <v>2.4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210</v>
      </c>
      <c r="Y147" s="270">
        <f>IFERROR(SUM(Y145:Y146),"0")</f>
        <v>210</v>
      </c>
      <c r="Z147" s="270">
        <f>IFERROR(IF(Z145="",0,Z145),"0")+IFERROR(IF(Z146="",0,Z146),"0")</f>
        <v>3.7547999999999999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504</v>
      </c>
      <c r="Y148" s="270">
        <f>IFERROR(SUMPRODUCT(Y145:Y146*H145:H146),"0")</f>
        <v>504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56</v>
      </c>
      <c r="Y151" s="269">
        <f>IFERROR(IF(X151="","",X151),"")</f>
        <v>56</v>
      </c>
      <c r="Z151" s="36">
        <f>IFERROR(IF(X151="","",X151*0.01788),"")</f>
        <v>1.0012799999999999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207.40159999999997</v>
      </c>
      <c r="BN151" s="67">
        <f>IFERROR(Y151*I151,"0")</f>
        <v>207.40159999999997</v>
      </c>
      <c r="BO151" s="67">
        <f>IFERROR(X151/J151,"0")</f>
        <v>0.8</v>
      </c>
      <c r="BP151" s="67">
        <f>IFERROR(Y151/J151,"0")</f>
        <v>0.8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56</v>
      </c>
      <c r="Y152" s="270">
        <f>IFERROR(SUM(Y151:Y151),"0")</f>
        <v>56</v>
      </c>
      <c r="Z152" s="270">
        <f>IFERROR(IF(Z151="",0,Z151),"0")</f>
        <v>1.0012799999999999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168</v>
      </c>
      <c r="Y153" s="270">
        <f>IFERROR(SUMPRODUCT(Y151:Y151*H151:H151),"0")</f>
        <v>168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112</v>
      </c>
      <c r="Y166" s="269">
        <f>IFERROR(IF(X166="","",X166),"")</f>
        <v>112</v>
      </c>
      <c r="Z166" s="36">
        <f>IFERROR(IF(X166="","",X166*0.00941),"")</f>
        <v>1.05392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235.40159999999997</v>
      </c>
      <c r="BN166" s="67">
        <f>IFERROR(Y166*I166,"0")</f>
        <v>235.40159999999997</v>
      </c>
      <c r="BO166" s="67">
        <f>IFERROR(X166/J166,"0")</f>
        <v>0.8</v>
      </c>
      <c r="BP166" s="67">
        <f>IFERROR(Y166/J166,"0")</f>
        <v>0.8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112</v>
      </c>
      <c r="Y167" s="270">
        <f>IFERROR(SUM(Y166:Y166),"0")</f>
        <v>112</v>
      </c>
      <c r="Z167" s="270">
        <f>IFERROR(IF(Z166="",0,Z166),"0")</f>
        <v>1.05392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188.16</v>
      </c>
      <c r="Y168" s="270">
        <f>IFERROR(SUMPRODUCT(Y166:Y166*H166:H166),"0")</f>
        <v>188.16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0</v>
      </c>
      <c r="Y174" s="270">
        <f>IFERROR(SUM(Y172:Y173),"0")</f>
        <v>0</v>
      </c>
      <c r="Z174" s="270">
        <f>IFERROR(IF(Z172="",0,Z172),"0")+IFERROR(IF(Z173="",0,Z173),"0")</f>
        <v>0</v>
      </c>
      <c r="AA174" s="271"/>
      <c r="AB174" s="271"/>
      <c r="AC174" s="271"/>
    </row>
    <row r="175" spans="1:68" hidden="1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0</v>
      </c>
      <c r="Y175" s="270">
        <f>IFERROR(SUMPRODUCT(Y172:Y173*H172:H173),"0")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182</v>
      </c>
      <c r="Y179" s="269">
        <f>IFERROR(IF(X179="","",X179),"")</f>
        <v>182</v>
      </c>
      <c r="Z179" s="36">
        <f>IFERROR(IF(X179="","",X179*0.01788),"")</f>
        <v>3.2541600000000002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616.61599999999999</v>
      </c>
      <c r="BN179" s="67">
        <f>IFERROR(Y179*I179,"0")</f>
        <v>616.61599999999999</v>
      </c>
      <c r="BO179" s="67">
        <f>IFERROR(X179/J179,"0")</f>
        <v>2.6</v>
      </c>
      <c r="BP179" s="67">
        <f>IFERROR(Y179/J179,"0")</f>
        <v>2.6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168</v>
      </c>
      <c r="Y180" s="269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hidden="1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0</v>
      </c>
      <c r="Y181" s="269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350</v>
      </c>
      <c r="Y182" s="270">
        <f>IFERROR(SUM(Y179:Y181),"0")</f>
        <v>350</v>
      </c>
      <c r="Z182" s="270">
        <f>IFERROR(IF(Z179="",0,Z179),"0")+IFERROR(IF(Z180="",0,Z180),"0")+IFERROR(IF(Z181="",0,Z181),"0")</f>
        <v>6.258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1050</v>
      </c>
      <c r="Y183" s="270">
        <f>IFERROR(SUMPRODUCT(Y179:Y181*H179:H181),"0")</f>
        <v>1050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hidden="1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0</v>
      </c>
      <c r="Y204" s="269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0</v>
      </c>
      <c r="Y205" s="270">
        <f>IFERROR(SUM(Y204:Y204),"0")</f>
        <v>0</v>
      </c>
      <c r="Z205" s="270">
        <f>IFERROR(IF(Z204="",0,Z204),"0")</f>
        <v>0</v>
      </c>
      <c r="AA205" s="271"/>
      <c r="AB205" s="271"/>
      <c r="AC205" s="271"/>
    </row>
    <row r="206" spans="1:68" hidden="1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0</v>
      </c>
      <c r="Y206" s="270">
        <f>IFERROR(SUMPRODUCT(Y204:Y204*H204:H204),"0")</f>
        <v>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216</v>
      </c>
      <c r="Y247" s="269">
        <f>IFERROR(IF(X247="","",X247),"")</f>
        <v>216</v>
      </c>
      <c r="Z247" s="36">
        <f>IFERROR(IF(X247="","",X247*0.0155),"")</f>
        <v>3.3479999999999999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1352.1599999999999</v>
      </c>
      <c r="BN247" s="67">
        <f>IFERROR(Y247*I247,"0")</f>
        <v>1352.1599999999999</v>
      </c>
      <c r="BO247" s="67">
        <f>IFERROR(X247/J247,"0")</f>
        <v>2.5714285714285716</v>
      </c>
      <c r="BP247" s="67">
        <f>IFERROR(Y247/J247,"0")</f>
        <v>2.5714285714285716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216</v>
      </c>
      <c r="Y249" s="270">
        <f>IFERROR(SUM(Y247:Y248),"0")</f>
        <v>216</v>
      </c>
      <c r="Z249" s="270">
        <f>IFERROR(IF(Z247="",0,Z247),"0")+IFERROR(IF(Z248="",0,Z248),"0")</f>
        <v>3.3479999999999999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1296</v>
      </c>
      <c r="Y250" s="270">
        <f>IFERROR(SUMPRODUCT(Y247:Y248*H247:H248),"0")</f>
        <v>1296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532</v>
      </c>
      <c r="Y259" s="269">
        <f t="shared" si="18"/>
        <v>532</v>
      </c>
      <c r="Z259" s="36">
        <f>IFERROR(IF(X259="","",X259*0.00936),"")</f>
        <v>4.9795199999999999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2070.5439999999999</v>
      </c>
      <c r="BN259" s="67">
        <f t="shared" si="20"/>
        <v>2070.5439999999999</v>
      </c>
      <c r="BO259" s="67">
        <f t="shared" si="21"/>
        <v>4.2222222222222223</v>
      </c>
      <c r="BP259" s="67">
        <f t="shared" si="22"/>
        <v>4.2222222222222223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252</v>
      </c>
      <c r="Y260" s="269">
        <f t="shared" si="18"/>
        <v>252</v>
      </c>
      <c r="Z260" s="36">
        <f>IFERROR(IF(X260="","",X260*0.0155),"")</f>
        <v>3.9060000000000001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1445.22</v>
      </c>
      <c r="BN260" s="67">
        <f t="shared" si="20"/>
        <v>1445.22</v>
      </c>
      <c r="BO260" s="67">
        <f t="shared" si="21"/>
        <v>3</v>
      </c>
      <c r="BP260" s="67">
        <f t="shared" si="22"/>
        <v>3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140</v>
      </c>
      <c r="Y261" s="269">
        <f t="shared" si="18"/>
        <v>140</v>
      </c>
      <c r="Z261" s="36">
        <f t="shared" ref="Z261:Z266" si="23">IFERROR(IF(X261="","",X261*0.00936),"")</f>
        <v>1.3104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446.88</v>
      </c>
      <c r="BN261" s="67">
        <f t="shared" si="20"/>
        <v>446.88</v>
      </c>
      <c r="BO261" s="67">
        <f t="shared" si="21"/>
        <v>1.1111111111111112</v>
      </c>
      <c r="BP261" s="67">
        <f t="shared" si="22"/>
        <v>1.1111111111111112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378</v>
      </c>
      <c r="Y262" s="269">
        <f t="shared" si="18"/>
        <v>378</v>
      </c>
      <c r="Z262" s="36">
        <f t="shared" si="23"/>
        <v>3.5380799999999999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1471.1759999999999</v>
      </c>
      <c r="BN262" s="67">
        <f t="shared" si="20"/>
        <v>1471.1759999999999</v>
      </c>
      <c r="BO262" s="67">
        <f t="shared" si="21"/>
        <v>3</v>
      </c>
      <c r="BP262" s="67">
        <f t="shared" si="22"/>
        <v>3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56</v>
      </c>
      <c r="Y263" s="269">
        <f t="shared" si="18"/>
        <v>56</v>
      </c>
      <c r="Z263" s="36">
        <f t="shared" si="23"/>
        <v>0.52415999999999996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217.952</v>
      </c>
      <c r="BN263" s="67">
        <f t="shared" si="20"/>
        <v>217.952</v>
      </c>
      <c r="BO263" s="67">
        <f t="shared" si="21"/>
        <v>0.44444444444444442</v>
      </c>
      <c r="BP263" s="67">
        <f t="shared" si="22"/>
        <v>0.44444444444444442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1358</v>
      </c>
      <c r="Y268" s="270">
        <f>IFERROR(SUM(Y258:Y267),"0")</f>
        <v>1358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14.258159999999998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5380.2</v>
      </c>
      <c r="Y269" s="270">
        <f>IFERROR(SUMPRODUCT(Y258:Y267*H258:H267),"0")</f>
        <v>5380.2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8586.36</v>
      </c>
      <c r="Y270" s="270">
        <f>IFERROR(Y29+Y35+Y42+Y49+Y57+Y62+Y66+Y71+Y77+Y83+Y88+Y94+Y104+Y110+Y122+Y126+Y130+Y136+Y142+Y148+Y153+Y158+Y163+Y168+Y175+Y183+Y187+Y193+Y201+Y206+Y211+Y216+Y222+Y228+Y234+Y238+Y245+Y250+Y256+Y269,"0")</f>
        <v>8586.36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9195.3351999999995</v>
      </c>
      <c r="Y271" s="270">
        <f>IFERROR(SUM(BN22:BN267),"0")</f>
        <v>9195.3351999999995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24</v>
      </c>
      <c r="Y272" s="38">
        <f>ROUNDUP(SUM(BP22:BP267),0)</f>
        <v>24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9795.3351999999995</v>
      </c>
      <c r="Y273" s="270">
        <f>GrossWeightTotalR+PalletQtyTotalR*25</f>
        <v>9795.3351999999995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2302</v>
      </c>
      <c r="Y274" s="270">
        <f>IFERROR(Y28+Y34+Y41+Y48+Y56+Y61+Y65+Y70+Y76+Y82+Y87+Y93+Y103+Y109+Y121+Y125+Y129+Y135+Y141+Y147+Y152+Y157+Y162+Y167+Y174+Y182+Y186+Y192+Y200+Y205+Y210+Y215+Y221+Y227+Y233+Y237+Y244+Y249+Y255+Y268,"0")</f>
        <v>2302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29.674160000000001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0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0</v>
      </c>
      <c r="K280" s="46">
        <f>IFERROR(X97*H97,"0")+IFERROR(X98*H98,"0")+IFERROR(X99*H99,"0")+IFERROR(X100*H100,"0")+IFERROR(X101*H101,"0")+IFERROR(X102*H102,"0")</f>
        <v>0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266"/>
      <c r="O280" s="46">
        <f>IFERROR(X133*H133,"0")+IFERROR(X134*H134,"0")</f>
        <v>0</v>
      </c>
      <c r="P280" s="46">
        <f>IFERROR(X139*H139,"0")+IFERROR(X140*H140,"0")</f>
        <v>0</v>
      </c>
      <c r="Q280" s="46">
        <f>IFERROR(X145*H145,"0")+IFERROR(X146*H146,"0")</f>
        <v>504</v>
      </c>
      <c r="R280" s="46">
        <f>IFERROR(X151*H151,"0")</f>
        <v>168</v>
      </c>
      <c r="S280" s="46">
        <f>IFERROR(X156*H156,"0")</f>
        <v>0</v>
      </c>
      <c r="T280" s="46">
        <f>IFERROR(X161*H161,"0")</f>
        <v>0</v>
      </c>
      <c r="U280" s="46">
        <f>IFERROR(X166*H166,"0")</f>
        <v>188.16</v>
      </c>
      <c r="V280" s="46">
        <f>IFERROR(X172*H172,"0")+IFERROR(X173*H173,"0")</f>
        <v>0</v>
      </c>
      <c r="W280" s="46">
        <f>IFERROR(X179*H179,"0")+IFERROR(X180*H180,"0")+IFERROR(X181*H181,"0")+IFERROR(X185*H185,"0")</f>
        <v>1050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6676.2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0</v>
      </c>
      <c r="B283" s="60">
        <f>SUMPRODUCT(--(BB:BB="ПГП"),--(W:W="кор"),H:H,Y:Y)+SUMPRODUCT(--(BB:BB="ПГП"),--(W:W="кг"),Y:Y)</f>
        <v>8586.36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296,00"/>
        <filter val="1 358,00"/>
        <filter val="112,00"/>
        <filter val="140,00"/>
        <filter val="168,00"/>
        <filter val="182,00"/>
        <filter val="188,16"/>
        <filter val="2 302,00"/>
        <filter val="210,00"/>
        <filter val="216,00"/>
        <filter val="24"/>
        <filter val="252,00"/>
        <filter val="350,00"/>
        <filter val="378,00"/>
        <filter val="42,00"/>
        <filter val="5 380,20"/>
        <filter val="504,00"/>
        <filter val="532,00"/>
        <filter val="56,00"/>
        <filter val="8 586,36"/>
        <filter val="9 195,34"/>
        <filter val="9 795,34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2025-12-25T09:36:27Z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