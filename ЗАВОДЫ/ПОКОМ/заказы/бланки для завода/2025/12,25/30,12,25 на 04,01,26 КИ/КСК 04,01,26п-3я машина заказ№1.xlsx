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CAFD85-609A-4F63-9204-6C83F90B2F6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BP468" i="1" s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P385" i="1" s="1"/>
  <c r="P385" i="1"/>
  <c r="X383" i="1"/>
  <c r="X382" i="1"/>
  <c r="BO381" i="1"/>
  <c r="BM381" i="1"/>
  <c r="Y381" i="1"/>
  <c r="BP381" i="1" s="1"/>
  <c r="P381" i="1"/>
  <c r="BO380" i="1"/>
  <c r="BM380" i="1"/>
  <c r="Y380" i="1"/>
  <c r="Y382" i="1" s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Z74" i="1" l="1"/>
  <c r="BN74" i="1"/>
  <c r="Z144" i="1"/>
  <c r="BN144" i="1"/>
  <c r="Z205" i="1"/>
  <c r="BN205" i="1"/>
  <c r="Z258" i="1"/>
  <c r="BN258" i="1"/>
  <c r="Z329" i="1"/>
  <c r="BN329" i="1"/>
  <c r="Z397" i="1"/>
  <c r="BN397" i="1"/>
  <c r="Z450" i="1"/>
  <c r="BN450" i="1"/>
  <c r="Z56" i="1"/>
  <c r="BN56" i="1"/>
  <c r="Z93" i="1"/>
  <c r="BN93" i="1"/>
  <c r="Z118" i="1"/>
  <c r="BN118" i="1"/>
  <c r="Z150" i="1"/>
  <c r="BN150" i="1"/>
  <c r="Z184" i="1"/>
  <c r="BN184" i="1"/>
  <c r="Z217" i="1"/>
  <c r="BN217" i="1"/>
  <c r="Z240" i="1"/>
  <c r="BN240" i="1"/>
  <c r="Z272" i="1"/>
  <c r="BN272" i="1"/>
  <c r="Z311" i="1"/>
  <c r="BN311" i="1"/>
  <c r="Z344" i="1"/>
  <c r="BN344" i="1"/>
  <c r="Z381" i="1"/>
  <c r="BN381" i="1"/>
  <c r="Z385" i="1"/>
  <c r="BN385" i="1"/>
  <c r="Z416" i="1"/>
  <c r="BN416" i="1"/>
  <c r="Z438" i="1"/>
  <c r="BN438" i="1"/>
  <c r="Z468" i="1"/>
  <c r="BN468" i="1"/>
  <c r="BP178" i="1"/>
  <c r="BN178" i="1"/>
  <c r="Z178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Z100" i="1"/>
  <c r="BN100" i="1"/>
  <c r="Z110" i="1"/>
  <c r="BN110" i="1"/>
  <c r="Z133" i="1"/>
  <c r="BN133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54" i="1"/>
  <c r="Y182" i="1"/>
  <c r="Y77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Z23" i="1"/>
  <c r="BN23" i="1"/>
  <c r="Z27" i="1"/>
  <c r="BN27" i="1"/>
  <c r="Y32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97" i="1"/>
  <c r="Z201" i="1"/>
  <c r="BN201" i="1"/>
  <c r="Y213" i="1"/>
  <c r="Z207" i="1"/>
  <c r="BN207" i="1"/>
  <c r="Z211" i="1"/>
  <c r="BN211" i="1"/>
  <c r="Y225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Z267" i="1"/>
  <c r="BN267" i="1"/>
  <c r="Z274" i="1"/>
  <c r="BN274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F10" i="1"/>
  <c r="J9" i="1"/>
  <c r="F9" i="1"/>
  <c r="A10" i="1"/>
  <c r="BP55" i="1"/>
  <c r="BN55" i="1"/>
  <c r="Z55" i="1"/>
  <c r="BP63" i="1"/>
  <c r="BN63" i="1"/>
  <c r="Z63" i="1"/>
  <c r="Y70" i="1"/>
  <c r="BP67" i="1"/>
  <c r="BN67" i="1"/>
  <c r="Z67" i="1"/>
  <c r="Z69" i="1" s="1"/>
  <c r="BP88" i="1"/>
  <c r="BN88" i="1"/>
  <c r="Z88" i="1"/>
  <c r="BP28" i="1"/>
  <c r="BN28" i="1"/>
  <c r="Z28" i="1"/>
  <c r="BP42" i="1"/>
  <c r="BN42" i="1"/>
  <c r="Z42" i="1"/>
  <c r="Z44" i="1" s="1"/>
  <c r="Y65" i="1"/>
  <c r="BP75" i="1"/>
  <c r="BN75" i="1"/>
  <c r="Z75" i="1"/>
  <c r="Y82" i="1"/>
  <c r="BP79" i="1"/>
  <c r="BN79" i="1"/>
  <c r="Z79" i="1"/>
  <c r="Z81" i="1" s="1"/>
  <c r="H9" i="1"/>
  <c r="Y25" i="1"/>
  <c r="BP22" i="1"/>
  <c r="BN22" i="1"/>
  <c r="Z22" i="1"/>
  <c r="B505" i="1"/>
  <c r="X497" i="1"/>
  <c r="X498" i="1" s="1"/>
  <c r="X495" i="1"/>
  <c r="Y33" i="1"/>
  <c r="BP30" i="1"/>
  <c r="BN30" i="1"/>
  <c r="Z30" i="1"/>
  <c r="Y44" i="1"/>
  <c r="BP53" i="1"/>
  <c r="BN53" i="1"/>
  <c r="Z53" i="1"/>
  <c r="BP57" i="1"/>
  <c r="BN57" i="1"/>
  <c r="Z57" i="1"/>
  <c r="Y59" i="1"/>
  <c r="Y64" i="1"/>
  <c r="BP61" i="1"/>
  <c r="BN61" i="1"/>
  <c r="Z61" i="1"/>
  <c r="Y69" i="1"/>
  <c r="BP73" i="1"/>
  <c r="BN73" i="1"/>
  <c r="Z73" i="1"/>
  <c r="Z76" i="1" s="1"/>
  <c r="Y81" i="1"/>
  <c r="BP86" i="1"/>
  <c r="BN86" i="1"/>
  <c r="Z86" i="1"/>
  <c r="Z89" i="1" s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Y475" i="1"/>
  <c r="Y480" i="1"/>
  <c r="BP477" i="1"/>
  <c r="BN477" i="1"/>
  <c r="Z477" i="1"/>
  <c r="Y488" i="1"/>
  <c r="Y505" i="1"/>
  <c r="Z474" i="1" l="1"/>
  <c r="Z402" i="1"/>
  <c r="Z64" i="1"/>
  <c r="Z58" i="1"/>
  <c r="Z479" i="1"/>
  <c r="Z488" i="1"/>
  <c r="Z243" i="1"/>
  <c r="Z181" i="1"/>
  <c r="Z105" i="1"/>
  <c r="Z456" i="1"/>
  <c r="Z407" i="1"/>
  <c r="Z357" i="1"/>
  <c r="Z268" i="1"/>
  <c r="Z259" i="1"/>
  <c r="Z225" i="1"/>
  <c r="Z213" i="1"/>
  <c r="Z154" i="1"/>
  <c r="Z119" i="1"/>
  <c r="Z112" i="1"/>
  <c r="Z96" i="1"/>
  <c r="Z345" i="1"/>
  <c r="Y499" i="1"/>
  <c r="Z24" i="1"/>
  <c r="Z32" i="1"/>
  <c r="Z325" i="1"/>
  <c r="Z283" i="1"/>
  <c r="Y496" i="1"/>
  <c r="Y495" i="1"/>
  <c r="Z441" i="1"/>
  <c r="Z312" i="1"/>
  <c r="Z303" i="1"/>
  <c r="Y497" i="1"/>
  <c r="Z500" i="1" l="1"/>
  <c r="Y498" i="1"/>
</calcChain>
</file>

<file path=xl/sharedStrings.xml><?xml version="1.0" encoding="utf-8"?>
<sst xmlns="http://schemas.openxmlformats.org/spreadsheetml/2006/main" count="2191" uniqueCount="781">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</sst>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780</v>
      </c>
      <c r="I5" s="804"/>
      <c r="J5" s="804"/>
      <c r="K5" s="804"/>
      <c r="L5" s="804"/>
      <c r="M5" s="633"/>
      <c r="N5" s="58"/>
      <c r="P5" s="24" t="s">
        <v>10</v>
      </c>
      <c r="Q5" s="859">
        <v>46026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0.39583333333333331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2">
        <v>4607091385687</v>
      </c>
      <c r="E42" s="563"/>
      <c r="F42" s="552">
        <v>0.4</v>
      </c>
      <c r="G42" s="32">
        <v>10</v>
      </c>
      <c r="H42" s="552">
        <v>4</v>
      </c>
      <c r="I42" s="552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8"/>
      <c r="R42" s="558"/>
      <c r="S42" s="558"/>
      <c r="T42" s="559"/>
      <c r="U42" s="34"/>
      <c r="V42" s="34"/>
      <c r="W42" s="35" t="s">
        <v>69</v>
      </c>
      <c r="X42" s="553">
        <v>720</v>
      </c>
      <c r="Y42" s="554">
        <f>IFERROR(IF(X42="",0,CEILING((X42/$H42),1)*$H42),"")</f>
        <v>720</v>
      </c>
      <c r="Z42" s="36">
        <f>IFERROR(IF(Y42=0,"",ROUNDUP(Y42/H42,0)*0.00902),"")</f>
        <v>1.6236000000000002</v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754.2</v>
      </c>
      <c r="BN42" s="64">
        <f>IFERROR(Y42*I42/H42,"0")</f>
        <v>754.2</v>
      </c>
      <c r="BO42" s="64">
        <f>IFERROR(1/J42*(X42/H42),"0")</f>
        <v>1.3636363636363638</v>
      </c>
      <c r="BP42" s="64">
        <f>IFERROR(1/J42*(Y42/H42),"0")</f>
        <v>1.3636363636363638</v>
      </c>
    </row>
    <row r="43" spans="1:68" ht="27" hidden="1" customHeight="1" x14ac:dyDescent="0.25">
      <c r="A43" s="54" t="s">
        <v>110</v>
      </c>
      <c r="B43" s="54" t="s">
        <v>111</v>
      </c>
      <c r="C43" s="31">
        <v>4301011565</v>
      </c>
      <c r="D43" s="562">
        <v>4680115882539</v>
      </c>
      <c r="E43" s="563"/>
      <c r="F43" s="552">
        <v>0.37</v>
      </c>
      <c r="G43" s="32">
        <v>10</v>
      </c>
      <c r="H43" s="552">
        <v>3.7</v>
      </c>
      <c r="I43" s="552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180</v>
      </c>
      <c r="Y44" s="555">
        <f>IFERROR(Y41/H41,"0")+IFERROR(Y42/H42,"0")+IFERROR(Y43/H43,"0")</f>
        <v>180</v>
      </c>
      <c r="Z44" s="555">
        <f>IFERROR(IF(Z41="",0,Z41),"0")+IFERROR(IF(Z42="",0,Z42),"0")+IFERROR(IF(Z43="",0,Z43),"0")</f>
        <v>1.6236000000000002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720</v>
      </c>
      <c r="Y45" s="555">
        <f>IFERROR(SUM(Y41:Y43),"0")</f>
        <v>720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112</v>
      </c>
      <c r="B47" s="54" t="s">
        <v>113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115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116</v>
      </c>
      <c r="B52" s="54" t="s">
        <v>117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122</v>
      </c>
      <c r="B54" s="54" t="s">
        <v>123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125</v>
      </c>
      <c r="B55" s="54" t="s">
        <v>126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128</v>
      </c>
      <c r="B56" s="54" t="s">
        <v>129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134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135</v>
      </c>
      <c r="B61" s="54" t="s">
        <v>136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138</v>
      </c>
      <c r="B62" s="54" t="s">
        <v>139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140</v>
      </c>
      <c r="B63" s="54" t="s">
        <v>141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142</v>
      </c>
      <c r="B67" s="54" t="s">
        <v>143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145</v>
      </c>
      <c r="B68" s="54" t="s">
        <v>146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148</v>
      </c>
      <c r="B72" s="54" t="s">
        <v>149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151</v>
      </c>
      <c r="B73" s="54" t="s">
        <v>152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154</v>
      </c>
      <c r="B74" s="54" t="s">
        <v>155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156</v>
      </c>
      <c r="B75" s="54" t="s">
        <v>157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159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160</v>
      </c>
      <c r="B79" s="54" t="s">
        <v>161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163</v>
      </c>
      <c r="B80" s="54" t="s">
        <v>164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166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167</v>
      </c>
      <c r="B85" s="54" t="s">
        <v>168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170</v>
      </c>
      <c r="B86" s="54" t="s">
        <v>171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176</v>
      </c>
      <c r="B88" s="54" t="s">
        <v>177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178</v>
      </c>
      <c r="B92" s="54" t="s">
        <v>179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181</v>
      </c>
      <c r="B93" s="54" t="s">
        <v>182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27</v>
      </c>
      <c r="Y94" s="554">
        <f>IFERROR(IF(X94="",0,CEILING((X94/$H94),1)*$H94),"")</f>
        <v>27</v>
      </c>
      <c r="Z94" s="36">
        <f>IFERROR(IF(Y94=0,"",ROUNDUP(Y94/H94,0)*0.00651),"")</f>
        <v>6.5100000000000005E-2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29.519999999999996</v>
      </c>
      <c r="BN94" s="64">
        <f>IFERROR(Y94*I94/H94,"0")</f>
        <v>29.519999999999996</v>
      </c>
      <c r="BO94" s="64">
        <f>IFERROR(1/J94*(X94/H94),"0")</f>
        <v>5.4945054945054951E-2</v>
      </c>
      <c r="BP94" s="64">
        <f>IFERROR(1/J94*(Y94/H94),"0")</f>
        <v>5.4945054945054951E-2</v>
      </c>
    </row>
    <row r="95" spans="1:68" ht="16.5" hidden="1" customHeight="1" x14ac:dyDescent="0.25">
      <c r="A95" s="54" t="s">
        <v>185</v>
      </c>
      <c r="B95" s="54" t="s">
        <v>186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10</v>
      </c>
      <c r="Y96" s="555">
        <f>IFERROR(Y92/H92,"0")+IFERROR(Y93/H93,"0")+IFERROR(Y94/H94,"0")+IFERROR(Y95/H95,"0")</f>
        <v>10</v>
      </c>
      <c r="Z96" s="555">
        <f>IFERROR(IF(Z92="",0,Z92),"0")+IFERROR(IF(Z93="",0,Z93),"0")+IFERROR(IF(Z94="",0,Z94),"0")+IFERROR(IF(Z95="",0,Z95),"0")</f>
        <v>6.5100000000000005E-2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27</v>
      </c>
      <c r="Y97" s="555">
        <f>IFERROR(SUM(Y92:Y95),"0")</f>
        <v>27</v>
      </c>
      <c r="Z97" s="37"/>
      <c r="AA97" s="556"/>
      <c r="AB97" s="556"/>
      <c r="AC97" s="556"/>
    </row>
    <row r="98" spans="1:68" ht="16.5" hidden="1" customHeight="1" x14ac:dyDescent="0.25">
      <c r="A98" s="578" t="s">
        <v>188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189</v>
      </c>
      <c r="B100" s="54" t="s">
        <v>190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192</v>
      </c>
      <c r="B101" s="54" t="s">
        <v>193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195</v>
      </c>
      <c r="B102" s="54" t="s">
        <v>196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472.5</v>
      </c>
      <c r="Y103" s="554">
        <f>IFERROR(IF(X103="",0,CEILING((X103/$H103),1)*$H103),"")</f>
        <v>472.5</v>
      </c>
      <c r="Z103" s="36">
        <f>IFERROR(IF(Y103=0,"",ROUNDUP(Y103/H103,0)*0.00902),"")</f>
        <v>0.94710000000000005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492.45000000000005</v>
      </c>
      <c r="BN103" s="64">
        <f>IFERROR(Y103*I103/H103,"0")</f>
        <v>492.45000000000005</v>
      </c>
      <c r="BO103" s="64">
        <f>IFERROR(1/J103*(X103/H103),"0")</f>
        <v>0.79545454545454553</v>
      </c>
      <c r="BP103" s="64">
        <f>IFERROR(1/J103*(Y103/H103),"0")</f>
        <v>0.79545454545454553</v>
      </c>
    </row>
    <row r="104" spans="1:68" ht="37.5" hidden="1" customHeight="1" x14ac:dyDescent="0.25">
      <c r="A104" s="54" t="s">
        <v>201</v>
      </c>
      <c r="B104" s="54" t="s">
        <v>202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105</v>
      </c>
      <c r="Y105" s="555">
        <f>IFERROR(Y100/H100,"0")+IFERROR(Y101/H101,"0")+IFERROR(Y102/H102,"0")+IFERROR(Y103/H103,"0")+IFERROR(Y104/H104,"0")</f>
        <v>105</v>
      </c>
      <c r="Z105" s="555">
        <f>IFERROR(IF(Z100="",0,Z100),"0")+IFERROR(IF(Z101="",0,Z101),"0")+IFERROR(IF(Z102="",0,Z102),"0")+IFERROR(IF(Z103="",0,Z103),"0")+IFERROR(IF(Z104="",0,Z104),"0")</f>
        <v>0.94710000000000005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472.5</v>
      </c>
      <c r="Y106" s="555">
        <f>IFERROR(SUM(Y100:Y104),"0")</f>
        <v>472.5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134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203</v>
      </c>
      <c r="B108" s="54" t="s">
        <v>204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206</v>
      </c>
      <c r="B109" s="54" t="s">
        <v>207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210</v>
      </c>
      <c r="B110" s="54" t="s">
        <v>211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212</v>
      </c>
      <c r="B111" s="54" t="s">
        <v>213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214</v>
      </c>
      <c r="B115" s="54" t="s">
        <v>215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217</v>
      </c>
      <c r="B116" s="54" t="s">
        <v>218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219</v>
      </c>
      <c r="B117" s="54" t="s">
        <v>220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222</v>
      </c>
      <c r="B118" s="54" t="s">
        <v>223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159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225</v>
      </c>
      <c r="B122" s="54" t="s">
        <v>226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228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229</v>
      </c>
      <c r="B127" s="54" t="s">
        <v>230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229</v>
      </c>
      <c r="B128" s="54" t="s">
        <v>232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233</v>
      </c>
      <c r="B132" s="54" t="s">
        <v>234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233</v>
      </c>
      <c r="B133" s="54" t="s">
        <v>236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237</v>
      </c>
      <c r="B137" s="54" t="s">
        <v>238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237</v>
      </c>
      <c r="B138" s="54" t="s">
        <v>239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240</v>
      </c>
      <c r="B143" s="54" t="s">
        <v>241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243</v>
      </c>
      <c r="B144" s="54" t="s">
        <v>244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246</v>
      </c>
      <c r="B148" s="54" t="s">
        <v>247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105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249</v>
      </c>
      <c r="B149" s="54" t="s">
        <v>250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252</v>
      </c>
      <c r="B150" s="54" t="s">
        <v>253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254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257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258</v>
      </c>
      <c r="B152" s="54" t="s">
        <v>259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260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261</v>
      </c>
      <c r="B153" s="54" t="s">
        <v>262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109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263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264</v>
      </c>
      <c r="B157" s="54" t="s">
        <v>265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266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267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268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134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269</v>
      </c>
      <c r="B163" s="54" t="s">
        <v>270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271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272</v>
      </c>
      <c r="B167" s="54" t="s">
        <v>273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274</v>
      </c>
      <c r="N167" s="33"/>
      <c r="O167" s="32">
        <v>60</v>
      </c>
      <c r="P167" s="711" t="s">
        <v>275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276</v>
      </c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274</v>
      </c>
      <c r="N168" s="33"/>
      <c r="O168" s="32">
        <v>60</v>
      </c>
      <c r="P168" s="675" t="s">
        <v>280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276</v>
      </c>
      <c r="AC168" s="205" t="s">
        <v>277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283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109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287</v>
      </c>
      <c r="B171" s="54" t="s">
        <v>288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109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289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290</v>
      </c>
      <c r="B172" s="54" t="s">
        <v>291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292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297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286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172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305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306</v>
      </c>
      <c r="B178" s="54" t="s">
        <v>307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289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289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310</v>
      </c>
      <c r="B180" s="54" t="s">
        <v>311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312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313</v>
      </c>
      <c r="B184" s="54" t="s">
        <v>314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315</v>
      </c>
      <c r="L184" s="32"/>
      <c r="M184" s="33" t="s">
        <v>274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315</v>
      </c>
      <c r="L185" s="32"/>
      <c r="M185" s="33" t="s">
        <v>274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319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320</v>
      </c>
      <c r="B186" s="54" t="s">
        <v>321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315</v>
      </c>
      <c r="L186" s="32"/>
      <c r="M186" s="33" t="s">
        <v>274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319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322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323</v>
      </c>
      <c r="B190" s="54" t="s">
        <v>324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315</v>
      </c>
      <c r="L190" s="32"/>
      <c r="M190" s="33" t="s">
        <v>274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319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325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326</v>
      </c>
      <c r="B195" s="54" t="s">
        <v>327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105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328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329</v>
      </c>
      <c r="B196" s="54" t="s">
        <v>330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105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328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134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331</v>
      </c>
      <c r="B200" s="54" t="s">
        <v>332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105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333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334</v>
      </c>
      <c r="B201" s="54" t="s">
        <v>335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105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333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336</v>
      </c>
      <c r="B205" s="54" t="s">
        <v>337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109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109</v>
      </c>
      <c r="L208" s="32"/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347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348</v>
      </c>
      <c r="B209" s="54" t="s">
        <v>349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350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84.6</v>
      </c>
      <c r="Y209" s="554">
        <f t="shared" si="15"/>
        <v>84.600000000000009</v>
      </c>
      <c r="Z209" s="36">
        <f>IFERROR(IF(Y209=0,"",ROUNDUP(Y209/H209,0)*0.00502),"")</f>
        <v>0.23594000000000001</v>
      </c>
      <c r="AA209" s="56"/>
      <c r="AB209" s="57"/>
      <c r="AC209" s="255" t="s">
        <v>338</v>
      </c>
      <c r="AG209" s="64"/>
      <c r="AJ209" s="68" t="s">
        <v>200</v>
      </c>
      <c r="AK209" s="68">
        <v>32.4</v>
      </c>
      <c r="BB209" s="256" t="s">
        <v>1</v>
      </c>
      <c r="BM209" s="64">
        <f t="shared" si="16"/>
        <v>90.71</v>
      </c>
      <c r="BN209" s="64">
        <f t="shared" si="17"/>
        <v>90.710000000000008</v>
      </c>
      <c r="BO209" s="64">
        <f t="shared" si="18"/>
        <v>0.20085470085470084</v>
      </c>
      <c r="BP209" s="64">
        <f t="shared" si="19"/>
        <v>0.20085470085470092</v>
      </c>
    </row>
    <row r="210" spans="1:68" ht="27" hidden="1" customHeight="1" x14ac:dyDescent="0.25">
      <c r="A210" s="54" t="s">
        <v>351</v>
      </c>
      <c r="B210" s="54" t="s">
        <v>352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353</v>
      </c>
      <c r="B211" s="54" t="s">
        <v>354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36</v>
      </c>
      <c r="Y211" s="554">
        <f t="shared" si="15"/>
        <v>36</v>
      </c>
      <c r="Z211" s="36">
        <f>IFERROR(IF(Y211=0,"",ROUNDUP(Y211/H211,0)*0.00502),"")</f>
        <v>0.1004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37.999999999999993</v>
      </c>
      <c r="BN211" s="64">
        <f t="shared" si="17"/>
        <v>37.999999999999993</v>
      </c>
      <c r="BO211" s="64">
        <f t="shared" si="18"/>
        <v>8.5470085470085472E-2</v>
      </c>
      <c r="BP211" s="64">
        <f t="shared" si="19"/>
        <v>8.5470085470085472E-2</v>
      </c>
    </row>
    <row r="212" spans="1:68" ht="27" hidden="1" customHeight="1" x14ac:dyDescent="0.25">
      <c r="A212" s="54" t="s">
        <v>355</v>
      </c>
      <c r="B212" s="54" t="s">
        <v>356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347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67</v>
      </c>
      <c r="Y213" s="555">
        <f>IFERROR(Y205/H205,"0")+IFERROR(Y206/H206,"0")+IFERROR(Y207/H207,"0")+IFERROR(Y208/H208,"0")+IFERROR(Y209/H209,"0")+IFERROR(Y210/H210,"0")+IFERROR(Y211/H211,"0")+IFERROR(Y212/H212,"0")</f>
        <v>67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0.33634000000000003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120.6</v>
      </c>
      <c r="Y214" s="555">
        <f>IFERROR(SUM(Y205:Y212),"0")</f>
        <v>120.60000000000001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357</v>
      </c>
      <c r="B216" s="54" t="s">
        <v>358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362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365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366</v>
      </c>
      <c r="B219" s="54" t="s">
        <v>367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100.8</v>
      </c>
      <c r="Y219" s="554">
        <f t="shared" si="20"/>
        <v>100.8</v>
      </c>
      <c r="Z219" s="36">
        <f t="shared" ref="Z219:Z224" si="25">IFERROR(IF(Y219=0,"",ROUNDUP(Y219/H219,0)*0.00651),"")</f>
        <v>0.27342</v>
      </c>
      <c r="AA219" s="56"/>
      <c r="AB219" s="57"/>
      <c r="AC219" s="269" t="s">
        <v>368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112.13999999999999</v>
      </c>
      <c r="BN219" s="64">
        <f t="shared" si="22"/>
        <v>112.13999999999999</v>
      </c>
      <c r="BO219" s="64">
        <f t="shared" si="23"/>
        <v>0.23076923076923078</v>
      </c>
      <c r="BP219" s="64">
        <f t="shared" si="24"/>
        <v>0.23076923076923078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371</v>
      </c>
      <c r="B221" s="54" t="s">
        <v>372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221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40.799999999999997</v>
      </c>
      <c r="Y221" s="554">
        <f t="shared" si="20"/>
        <v>40.799999999999997</v>
      </c>
      <c r="Z221" s="36">
        <f t="shared" si="25"/>
        <v>0.11067</v>
      </c>
      <c r="AA221" s="56"/>
      <c r="AB221" s="57"/>
      <c r="AC221" s="273" t="s">
        <v>365</v>
      </c>
      <c r="AG221" s="64"/>
      <c r="AJ221" s="68" t="s">
        <v>200</v>
      </c>
      <c r="AK221" s="68">
        <v>33.6</v>
      </c>
      <c r="BB221" s="274" t="s">
        <v>1</v>
      </c>
      <c r="BM221" s="64">
        <f t="shared" si="21"/>
        <v>45.084000000000003</v>
      </c>
      <c r="BN221" s="64">
        <f t="shared" si="22"/>
        <v>45.084000000000003</v>
      </c>
      <c r="BO221" s="64">
        <f t="shared" si="23"/>
        <v>9.3406593406593408E-2</v>
      </c>
      <c r="BP221" s="64">
        <f t="shared" si="24"/>
        <v>9.3406593406593408E-2</v>
      </c>
    </row>
    <row r="222" spans="1:68" ht="27" hidden="1" customHeight="1" x14ac:dyDescent="0.25">
      <c r="A222" s="54" t="s">
        <v>373</v>
      </c>
      <c r="B222" s="54" t="s">
        <v>374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/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/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362</v>
      </c>
      <c r="AG224" s="64"/>
      <c r="AJ224" s="68"/>
      <c r="AK224" s="68">
        <v>0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59</v>
      </c>
      <c r="Y225" s="555">
        <f>IFERROR(Y216/H216,"0")+IFERROR(Y217/H217,"0")+IFERROR(Y218/H218,"0")+IFERROR(Y219/H219,"0")+IFERROR(Y220/H220,"0")+IFERROR(Y221/H221,"0")+IFERROR(Y222/H222,"0")+IFERROR(Y223/H223,"0")+IFERROR(Y224/H224,"0")</f>
        <v>59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0.38408999999999999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141.6</v>
      </c>
      <c r="Y226" s="555">
        <f>IFERROR(SUM(Y216:Y224),"0")</f>
        <v>141.6</v>
      </c>
      <c r="Z226" s="37"/>
      <c r="AA226" s="556"/>
      <c r="AB226" s="556"/>
      <c r="AC226" s="556"/>
    </row>
    <row r="227" spans="1:68" ht="14.25" hidden="1" customHeight="1" x14ac:dyDescent="0.25">
      <c r="A227" s="567" t="s">
        <v>159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380</v>
      </c>
      <c r="B228" s="54" t="s">
        <v>381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382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383</v>
      </c>
      <c r="B229" s="54" t="s">
        <v>384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385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386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387</v>
      </c>
      <c r="B234" s="54" t="s">
        <v>388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389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390</v>
      </c>
      <c r="B235" s="54" t="s">
        <v>391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105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394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105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396</v>
      </c>
      <c r="B238" s="54" t="s">
        <v>398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109</v>
      </c>
      <c r="L238" s="32"/>
      <c r="M238" s="33" t="s">
        <v>105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399</v>
      </c>
      <c r="B239" s="54" t="s">
        <v>400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401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402</v>
      </c>
      <c r="B240" s="54" t="s">
        <v>403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105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404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109</v>
      </c>
      <c r="L241" s="32"/>
      <c r="M241" s="33" t="s">
        <v>105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395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405</v>
      </c>
      <c r="B242" s="54" t="s">
        <v>407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109</v>
      </c>
      <c r="L242" s="32"/>
      <c r="M242" s="33" t="s">
        <v>105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395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134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408</v>
      </c>
      <c r="B246" s="54" t="s">
        <v>409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410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411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412</v>
      </c>
      <c r="B250" s="54" t="s">
        <v>413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315</v>
      </c>
      <c r="L250" s="32"/>
      <c r="M250" s="33" t="s">
        <v>274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415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416</v>
      </c>
      <c r="B254" s="54" t="s">
        <v>417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315</v>
      </c>
      <c r="L254" s="32"/>
      <c r="M254" s="33" t="s">
        <v>274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315</v>
      </c>
      <c r="L255" s="32"/>
      <c r="M255" s="33" t="s">
        <v>274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315</v>
      </c>
      <c r="L256" s="32"/>
      <c r="M256" s="33" t="s">
        <v>274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418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423</v>
      </c>
      <c r="B257" s="54" t="s">
        <v>424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315</v>
      </c>
      <c r="L257" s="32"/>
      <c r="M257" s="33" t="s">
        <v>274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418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425</v>
      </c>
      <c r="B258" s="54" t="s">
        <v>426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315</v>
      </c>
      <c r="L258" s="32"/>
      <c r="M258" s="33" t="s">
        <v>274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418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427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428</v>
      </c>
      <c r="B263" s="54" t="s">
        <v>429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431</v>
      </c>
      <c r="B264" s="54" t="s">
        <v>432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105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434</v>
      </c>
      <c r="B265" s="54" t="s">
        <v>435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105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437</v>
      </c>
      <c r="B266" s="54" t="s">
        <v>438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109</v>
      </c>
      <c r="L266" s="32"/>
      <c r="M266" s="33" t="s">
        <v>105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439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440</v>
      </c>
      <c r="B267" s="54" t="s">
        <v>441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109</v>
      </c>
      <c r="L267" s="32"/>
      <c r="M267" s="33" t="s">
        <v>105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442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443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444</v>
      </c>
      <c r="B272" s="54" t="s">
        <v>445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106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446</v>
      </c>
      <c r="B273" s="54" t="s">
        <v>447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448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449</v>
      </c>
      <c r="B274" s="54" t="s">
        <v>450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395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451</v>
      </c>
      <c r="B275" s="54" t="s">
        <v>452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105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453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454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455</v>
      </c>
      <c r="B280" s="54" t="s">
        <v>456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457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460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461</v>
      </c>
      <c r="B282" s="54" t="s">
        <v>462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457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463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464</v>
      </c>
      <c r="B287" s="54" t="s">
        <v>465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466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467</v>
      </c>
      <c r="B288" s="54" t="s">
        <v>468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469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470</v>
      </c>
      <c r="B292" s="54" t="s">
        <v>471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472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473</v>
      </c>
      <c r="B293" s="54" t="s">
        <v>474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109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475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476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477</v>
      </c>
      <c r="B298" s="54" t="s">
        <v>478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480</v>
      </c>
      <c r="B299" s="54" t="s">
        <v>481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105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483</v>
      </c>
      <c r="B300" s="54" t="s">
        <v>484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486</v>
      </c>
      <c r="B301" s="54" t="s">
        <v>487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109</v>
      </c>
      <c r="L301" s="32"/>
      <c r="M301" s="33" t="s">
        <v>105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479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488</v>
      </c>
      <c r="B302" s="54" t="s">
        <v>489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109</v>
      </c>
      <c r="L302" s="32"/>
      <c r="M302" s="33" t="s">
        <v>105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490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491</v>
      </c>
      <c r="B306" s="54" t="s">
        <v>492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494</v>
      </c>
      <c r="B307" s="54" t="s">
        <v>495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496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497</v>
      </c>
      <c r="B308" s="54" t="s">
        <v>498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109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499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500</v>
      </c>
      <c r="B309" s="54" t="s">
        <v>501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496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502</v>
      </c>
      <c r="B310" s="54" t="s">
        <v>503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350.7</v>
      </c>
      <c r="Y310" s="554">
        <f t="shared" si="31"/>
        <v>350.7</v>
      </c>
      <c r="Z310" s="36">
        <f>IFERROR(IF(Y310=0,"",ROUNDUP(Y310/H310,0)*0.00502),"")</f>
        <v>0.83833999999999997</v>
      </c>
      <c r="AA310" s="56"/>
      <c r="AB310" s="57"/>
      <c r="AC310" s="367" t="s">
        <v>504</v>
      </c>
      <c r="AG310" s="64"/>
      <c r="AJ310" s="68"/>
      <c r="AK310" s="68">
        <v>0</v>
      </c>
      <c r="BB310" s="368" t="s">
        <v>1</v>
      </c>
      <c r="BM310" s="64">
        <f t="shared" si="32"/>
        <v>367.40000000000003</v>
      </c>
      <c r="BN310" s="64">
        <f t="shared" si="33"/>
        <v>367.40000000000003</v>
      </c>
      <c r="BO310" s="64">
        <f t="shared" si="34"/>
        <v>0.71367521367521369</v>
      </c>
      <c r="BP310" s="64">
        <f t="shared" si="35"/>
        <v>0.71367521367521369</v>
      </c>
    </row>
    <row r="311" spans="1:68" ht="27" hidden="1" customHeight="1" x14ac:dyDescent="0.25">
      <c r="A311" s="54" t="s">
        <v>505</v>
      </c>
      <c r="B311" s="54" t="s">
        <v>506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507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167</v>
      </c>
      <c r="Y312" s="555">
        <f>IFERROR(Y306/H306,"0")+IFERROR(Y307/H307,"0")+IFERROR(Y308/H308,"0")+IFERROR(Y309/H309,"0")+IFERROR(Y310/H310,"0")+IFERROR(Y311/H311,"0")</f>
        <v>167</v>
      </c>
      <c r="Z312" s="555">
        <f>IFERROR(IF(Z306="",0,Z306),"0")+IFERROR(IF(Z307="",0,Z307),"0")+IFERROR(IF(Z308="",0,Z308),"0")+IFERROR(IF(Z309="",0,Z309),"0")+IFERROR(IF(Z310="",0,Z310),"0")+IFERROR(IF(Z311="",0,Z311),"0")</f>
        <v>0.83833999999999997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350.7</v>
      </c>
      <c r="Y313" s="555">
        <f>IFERROR(SUM(Y306:Y311),"0")</f>
        <v>350.7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508</v>
      </c>
      <c r="B315" s="54" t="s">
        <v>509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511</v>
      </c>
      <c r="B316" s="54" t="s">
        <v>512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514</v>
      </c>
      <c r="B317" s="54" t="s">
        <v>515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516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517</v>
      </c>
      <c r="B318" s="54" t="s">
        <v>518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519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159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520</v>
      </c>
      <c r="B322" s="54" t="s">
        <v>521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523</v>
      </c>
      <c r="B323" s="54" t="s">
        <v>524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/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525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526</v>
      </c>
      <c r="B324" s="54" t="s">
        <v>527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528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529</v>
      </c>
      <c r="B328" s="54" t="s">
        <v>530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109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531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532</v>
      </c>
      <c r="B329" s="54" t="s">
        <v>533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109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531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534</v>
      </c>
      <c r="B330" s="54" t="s">
        <v>535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537</v>
      </c>
      <c r="B331" s="54" t="s">
        <v>538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531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539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540</v>
      </c>
      <c r="B335" s="54" t="s">
        <v>541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542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543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544</v>
      </c>
      <c r="B336" s="54" t="s">
        <v>545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542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543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546</v>
      </c>
      <c r="B337" s="54" t="s">
        <v>547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542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543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548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549</v>
      </c>
      <c r="B342" s="54" t="s">
        <v>550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551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552</v>
      </c>
      <c r="B343" s="54" t="s">
        <v>553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221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554</v>
      </c>
      <c r="AG343" s="64"/>
      <c r="AJ343" s="68" t="s">
        <v>200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555</v>
      </c>
      <c r="B344" s="54" t="s">
        <v>556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221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140.69999999999999</v>
      </c>
      <c r="Y344" s="554">
        <f>IFERROR(IF(X344="",0,CEILING((X344/$H344),1)*$H344),"")</f>
        <v>140.70000000000002</v>
      </c>
      <c r="Z344" s="36">
        <f>IFERROR(IF(Y344=0,"",ROUNDUP(Y344/H344,0)*0.00651),"")</f>
        <v>0.43617</v>
      </c>
      <c r="AA344" s="56"/>
      <c r="AB344" s="57"/>
      <c r="AC344" s="403" t="s">
        <v>557</v>
      </c>
      <c r="AG344" s="64"/>
      <c r="AJ344" s="68" t="s">
        <v>200</v>
      </c>
      <c r="AK344" s="68">
        <v>29.4</v>
      </c>
      <c r="BB344" s="404" t="s">
        <v>1</v>
      </c>
      <c r="BM344" s="64">
        <f>IFERROR(X344*I344/H344,"0")</f>
        <v>156.77999999999997</v>
      </c>
      <c r="BN344" s="64">
        <f>IFERROR(Y344*I344/H344,"0")</f>
        <v>156.78</v>
      </c>
      <c r="BO344" s="64">
        <f>IFERROR(1/J344*(X344/H344),"0")</f>
        <v>0.3681318681318681</v>
      </c>
      <c r="BP344" s="64">
        <f>IFERROR(1/J344*(Y344/H344),"0")</f>
        <v>0.36813186813186816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66.999999999999986</v>
      </c>
      <c r="Y345" s="555">
        <f>IFERROR(Y342/H342,"0")+IFERROR(Y343/H343,"0")+IFERROR(Y344/H344,"0")</f>
        <v>67</v>
      </c>
      <c r="Z345" s="555">
        <f>IFERROR(IF(Z342="",0,Z342),"0")+IFERROR(IF(Z343="",0,Z343),"0")+IFERROR(IF(Z344="",0,Z344),"0")</f>
        <v>0.43617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140.69999999999999</v>
      </c>
      <c r="Y346" s="555">
        <f>IFERROR(SUM(Y342:Y344),"0")</f>
        <v>140.70000000000002</v>
      </c>
      <c r="Z346" s="37"/>
      <c r="AA346" s="556"/>
      <c r="AB346" s="556"/>
      <c r="AC346" s="556"/>
    </row>
    <row r="347" spans="1:68" ht="27.75" hidden="1" customHeight="1" x14ac:dyDescent="0.2">
      <c r="A347" s="560" t="s">
        <v>558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559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560</v>
      </c>
      <c r="B350" s="54" t="s">
        <v>561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hidden="1" customHeight="1" x14ac:dyDescent="0.25">
      <c r="A351" s="54" t="s">
        <v>563</v>
      </c>
      <c r="B351" s="54" t="s">
        <v>564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hidden="1" customHeight="1" x14ac:dyDescent="0.25">
      <c r="A352" s="54" t="s">
        <v>566</v>
      </c>
      <c r="B352" s="54" t="s">
        <v>567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569</v>
      </c>
      <c r="B353" s="54" t="s">
        <v>570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572</v>
      </c>
      <c r="B354" s="54" t="s">
        <v>573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109</v>
      </c>
      <c r="L354" s="32"/>
      <c r="M354" s="33" t="s">
        <v>105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575</v>
      </c>
      <c r="B355" s="54" t="s">
        <v>576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565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577</v>
      </c>
      <c r="B356" s="54" t="s">
        <v>578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109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568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hidden="1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hidden="1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134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579</v>
      </c>
      <c r="B360" s="54" t="s">
        <v>580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105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581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582</v>
      </c>
      <c r="B361" s="54" t="s">
        <v>583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109</v>
      </c>
      <c r="L361" s="32"/>
      <c r="M361" s="33" t="s">
        <v>105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584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585</v>
      </c>
      <c r="B365" s="54" t="s">
        <v>586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587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588</v>
      </c>
      <c r="B366" s="54" t="s">
        <v>589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590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159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591</v>
      </c>
      <c r="B370" s="54" t="s">
        <v>592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593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594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595</v>
      </c>
      <c r="B375" s="54" t="s">
        <v>596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597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598</v>
      </c>
      <c r="B376" s="54" t="s">
        <v>599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109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597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600</v>
      </c>
      <c r="B380" s="54" t="s">
        <v>601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602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600</v>
      </c>
      <c r="B381" s="54" t="s">
        <v>603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109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604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605</v>
      </c>
      <c r="B385" s="54" t="s">
        <v>606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/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608</v>
      </c>
      <c r="B386" s="54" t="s">
        <v>609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607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608</v>
      </c>
      <c r="B387" s="54" t="s">
        <v>610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612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613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614</v>
      </c>
      <c r="B393" s="54" t="s">
        <v>615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617</v>
      </c>
      <c r="B394" s="54" t="s">
        <v>618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620</v>
      </c>
      <c r="B395" s="54" t="s">
        <v>621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109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623</v>
      </c>
      <c r="B396" s="54" t="s">
        <v>624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616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625</v>
      </c>
      <c r="B397" s="54" t="s">
        <v>626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627</v>
      </c>
      <c r="B398" s="54" t="s">
        <v>628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629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630</v>
      </c>
      <c r="B399" s="54" t="s">
        <v>631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632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633</v>
      </c>
      <c r="B400" s="54" t="s">
        <v>634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635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636</v>
      </c>
      <c r="B401" s="54" t="s">
        <v>637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632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638</v>
      </c>
      <c r="B405" s="54" t="s">
        <v>639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109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640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641</v>
      </c>
      <c r="B406" s="54" t="s">
        <v>642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643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644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134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645</v>
      </c>
      <c r="B411" s="54" t="s">
        <v>646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647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648</v>
      </c>
      <c r="B415" s="54" t="s">
        <v>649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109</v>
      </c>
      <c r="L415" s="32"/>
      <c r="M415" s="33" t="s">
        <v>105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651</v>
      </c>
      <c r="B416" s="54" t="s">
        <v>652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653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654</v>
      </c>
      <c r="B417" s="54" t="s">
        <v>655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656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657</v>
      </c>
      <c r="B418" s="54" t="s">
        <v>658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 t="s">
        <v>350</v>
      </c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656</v>
      </c>
      <c r="AG418" s="64"/>
      <c r="AJ418" s="68" t="s">
        <v>200</v>
      </c>
      <c r="AK418" s="68">
        <v>37.799999999999997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659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660</v>
      </c>
      <c r="B423" s="54" t="s">
        <v>661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662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663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663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664</v>
      </c>
      <c r="B429" s="54" t="s">
        <v>665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106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669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105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670</v>
      </c>
      <c r="B432" s="54" t="s">
        <v>671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673</v>
      </c>
      <c r="B433" s="54" t="s">
        <v>674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/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675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676</v>
      </c>
      <c r="B434" s="54" t="s">
        <v>677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105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678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679</v>
      </c>
      <c r="B435" s="54" t="s">
        <v>680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/>
      <c r="M435" s="33" t="s">
        <v>105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681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109</v>
      </c>
      <c r="L437" s="32"/>
      <c r="M437" s="33" t="s">
        <v>105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686</v>
      </c>
      <c r="B438" s="54" t="s">
        <v>687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109</v>
      </c>
      <c r="L438" s="32"/>
      <c r="M438" s="33" t="s">
        <v>105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688</v>
      </c>
      <c r="B439" s="54" t="s">
        <v>689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105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690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691</v>
      </c>
      <c r="B440" s="54" t="s">
        <v>692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109</v>
      </c>
      <c r="L440" s="32"/>
      <c r="M440" s="33" t="s">
        <v>105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681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hidden="1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hidden="1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134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693</v>
      </c>
      <c r="B444" s="54" t="s">
        <v>694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/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695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696</v>
      </c>
      <c r="B445" s="54" t="s">
        <v>697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695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698</v>
      </c>
      <c r="B446" s="54" t="s">
        <v>699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109</v>
      </c>
      <c r="L446" s="32"/>
      <c r="M446" s="33" t="s">
        <v>105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695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700</v>
      </c>
      <c r="B450" s="54" t="s">
        <v>701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/>
      <c r="M450" s="33" t="s">
        <v>105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702</v>
      </c>
      <c r="AG450" s="64"/>
      <c r="AJ450" s="68"/>
      <c r="AK450" s="68">
        <v>0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703</v>
      </c>
      <c r="B451" s="54" t="s">
        <v>704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/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109</v>
      </c>
      <c r="L453" s="32"/>
      <c r="M453" s="33" t="s">
        <v>105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711</v>
      </c>
      <c r="B454" s="54" t="s">
        <v>712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705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713</v>
      </c>
      <c r="B455" s="54" t="s">
        <v>714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109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708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715</v>
      </c>
      <c r="B459" s="54" t="s">
        <v>716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717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718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718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719</v>
      </c>
      <c r="B465" s="54" t="s">
        <v>720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105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724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725</v>
      </c>
      <c r="B467" s="54" t="s">
        <v>726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105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727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728</v>
      </c>
      <c r="B468" s="54" t="s">
        <v>729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109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280</v>
      </c>
      <c r="Y468" s="554">
        <f>IFERROR(IF(X468="",0,CEILING((X468/$H468),1)*$H468),"")</f>
        <v>280</v>
      </c>
      <c r="Z468" s="36">
        <f>IFERROR(IF(Y468=0,"",ROUNDUP(Y468/H468,0)*0.00902),"")</f>
        <v>0.63139999999999996</v>
      </c>
      <c r="AA468" s="56"/>
      <c r="AB468" s="57"/>
      <c r="AC468" s="527" t="s">
        <v>721</v>
      </c>
      <c r="AG468" s="64"/>
      <c r="AJ468" s="68"/>
      <c r="AK468" s="68">
        <v>0</v>
      </c>
      <c r="BB468" s="528" t="s">
        <v>1</v>
      </c>
      <c r="BM468" s="64">
        <f>IFERROR(X468*I468/H468,"0")</f>
        <v>293.3</v>
      </c>
      <c r="BN468" s="64">
        <f>IFERROR(Y468*I468/H468,"0")</f>
        <v>293.3</v>
      </c>
      <c r="BO468" s="64">
        <f>IFERROR(1/J468*(X468/H468),"0")</f>
        <v>0.53030303030303028</v>
      </c>
      <c r="BP468" s="64">
        <f>IFERROR(1/J468*(Y468/H468),"0")</f>
        <v>0.53030303030303028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70</v>
      </c>
      <c r="Y469" s="555">
        <f>IFERROR(Y465/H465,"0")+IFERROR(Y466/H466,"0")+IFERROR(Y467/H467,"0")+IFERROR(Y468/H468,"0")</f>
        <v>70</v>
      </c>
      <c r="Z469" s="555">
        <f>IFERROR(IF(Z465="",0,Z465),"0")+IFERROR(IF(Z466="",0,Z466),"0")+IFERROR(IF(Z467="",0,Z467),"0")+IFERROR(IF(Z468="",0,Z468),"0")</f>
        <v>0.63139999999999996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280</v>
      </c>
      <c r="Y470" s="555">
        <f>IFERROR(SUM(Y465:Y468),"0")</f>
        <v>280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134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730</v>
      </c>
      <c r="B472" s="54" t="s">
        <v>731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105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732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733</v>
      </c>
      <c r="B473" s="54" t="s">
        <v>734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105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735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736</v>
      </c>
      <c r="B477" s="54" t="s">
        <v>737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109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738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736</v>
      </c>
      <c r="B478" s="54" t="s">
        <v>739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109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740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741</v>
      </c>
      <c r="B482" s="54" t="s">
        <v>742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743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159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744</v>
      </c>
      <c r="B486" s="54" t="s">
        <v>745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746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747</v>
      </c>
      <c r="B487" s="54" t="s">
        <v>748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749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750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134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751</v>
      </c>
      <c r="B492" s="54" t="s">
        <v>752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105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753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754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2253.1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2253.1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755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2379.5840000000003</v>
      </c>
      <c r="Y496" s="555">
        <f>IFERROR(SUM(BN22:BN492),"0")</f>
        <v>2379.5840000000003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756</v>
      </c>
      <c r="Q497" s="646"/>
      <c r="R497" s="646"/>
      <c r="S497" s="646"/>
      <c r="T497" s="646"/>
      <c r="U497" s="646"/>
      <c r="V497" s="647"/>
      <c r="W497" s="37" t="s">
        <v>757</v>
      </c>
      <c r="X497" s="38">
        <f>ROUNDUP(SUM(BO22:BO492),0)</f>
        <v>5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758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2504.5840000000003</v>
      </c>
      <c r="Y498" s="555">
        <f>GrossWeightTotalR+PalletQtyTotalR*25</f>
        <v>2504.5840000000003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759</v>
      </c>
      <c r="Q499" s="646"/>
      <c r="R499" s="646"/>
      <c r="S499" s="646"/>
      <c r="T499" s="646"/>
      <c r="U499" s="646"/>
      <c r="V499" s="647"/>
      <c r="W499" s="37" t="s">
        <v>757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725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725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760</v>
      </c>
      <c r="Q500" s="646"/>
      <c r="R500" s="646"/>
      <c r="S500" s="646"/>
      <c r="T500" s="646"/>
      <c r="U500" s="646"/>
      <c r="V500" s="647"/>
      <c r="W500" s="39" t="s">
        <v>761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5.2621399999999996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762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267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558</v>
      </c>
      <c r="T502" s="640"/>
      <c r="U502" s="595" t="s">
        <v>612</v>
      </c>
      <c r="V502" s="639"/>
      <c r="W502" s="640"/>
      <c r="X502" s="550" t="s">
        <v>663</v>
      </c>
      <c r="Y502" s="595" t="s">
        <v>718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763</v>
      </c>
      <c r="B503" s="595" t="s">
        <v>63</v>
      </c>
      <c r="C503" s="595" t="s">
        <v>100</v>
      </c>
      <c r="D503" s="595" t="s">
        <v>115</v>
      </c>
      <c r="E503" s="595" t="s">
        <v>166</v>
      </c>
      <c r="F503" s="595" t="s">
        <v>188</v>
      </c>
      <c r="G503" s="595" t="s">
        <v>228</v>
      </c>
      <c r="H503" s="595" t="s">
        <v>99</v>
      </c>
      <c r="I503" s="595" t="s">
        <v>268</v>
      </c>
      <c r="J503" s="595" t="s">
        <v>325</v>
      </c>
      <c r="K503" s="595" t="s">
        <v>386</v>
      </c>
      <c r="L503" s="595" t="s">
        <v>427</v>
      </c>
      <c r="M503" s="595" t="s">
        <v>443</v>
      </c>
      <c r="N503" s="551"/>
      <c r="O503" s="595" t="s">
        <v>454</v>
      </c>
      <c r="P503" s="595" t="s">
        <v>463</v>
      </c>
      <c r="Q503" s="595" t="s">
        <v>476</v>
      </c>
      <c r="R503" s="595" t="s">
        <v>548</v>
      </c>
      <c r="S503" s="595" t="s">
        <v>559</v>
      </c>
      <c r="T503" s="595" t="s">
        <v>594</v>
      </c>
      <c r="U503" s="595" t="s">
        <v>613</v>
      </c>
      <c r="V503" s="595" t="s">
        <v>644</v>
      </c>
      <c r="W503" s="595" t="s">
        <v>659</v>
      </c>
      <c r="X503" s="595" t="s">
        <v>663</v>
      </c>
      <c r="Y503" s="595" t="s">
        <v>718</v>
      </c>
      <c r="Z503" s="595" t="s">
        <v>750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764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720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27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472.5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262.2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350.7</v>
      </c>
      <c r="R505" s="46">
        <f>IFERROR(Y342*1,"0")+IFERROR(Y343*1,"0")+IFERROR(Y344*1,"0")</f>
        <v>140.70000000000002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280</v>
      </c>
      <c r="Z505" s="46">
        <f>IFERROR(Y492*1,"0")</f>
        <v>0</v>
      </c>
      <c r="AB505" s="52"/>
      <c r="AC505" s="52"/>
      <c r="AF505" s="55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80"/>
        <filter val="105,00"/>
        <filter val="120,60"/>
        <filter val="140,70"/>
        <filter val="141,60"/>
        <filter val="167,00"/>
        <filter val="180,00"/>
        <filter val="2 253,10"/>
        <filter val="2 379,58"/>
        <filter val="2 504,58"/>
        <filter val="27,00"/>
        <filter val="280,00"/>
        <filter val="350,70"/>
        <filter val="36,00"/>
        <filter val="40,80"/>
        <filter val="472,50"/>
        <filter val="5"/>
        <filter val="59,00"/>
        <filter val="67,00"/>
        <filter val="70,00"/>
        <filter val="720,00"/>
        <filter val="725,00"/>
        <filter val="84,6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9 X219 X221 X343:X344 X418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52"/>
    </row>
    <row r="3" spans="2:8" x14ac:dyDescent="0.2">
      <c r="B3" s="47" t="s">
        <v>766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767</v>
      </c>
      <c r="D6" s="47" t="s">
        <v>768</v>
      </c>
      <c r="E6" s="47"/>
    </row>
    <row r="8" spans="2:8" x14ac:dyDescent="0.2">
      <c r="B8" s="47" t="s">
        <v>19</v>
      </c>
      <c r="C8" s="47" t="s">
        <v>767</v>
      </c>
      <c r="D8" s="47"/>
      <c r="E8" s="47"/>
    </row>
    <row r="10" spans="2:8" x14ac:dyDescent="0.2">
      <c r="B10" s="47" t="s">
        <v>769</v>
      </c>
      <c r="C10" s="47"/>
      <c r="D10" s="47"/>
      <c r="E10" s="47"/>
    </row>
    <row r="11" spans="2:8" x14ac:dyDescent="0.2">
      <c r="B11" s="47" t="s">
        <v>770</v>
      </c>
      <c r="C11" s="47"/>
      <c r="D11" s="47"/>
      <c r="E11" s="47"/>
    </row>
    <row r="12" spans="2:8" x14ac:dyDescent="0.2">
      <c r="B12" s="47" t="s">
        <v>771</v>
      </c>
      <c r="C12" s="47"/>
      <c r="D12" s="47"/>
      <c r="E12" s="47"/>
    </row>
    <row r="13" spans="2:8" x14ac:dyDescent="0.2">
      <c r="B13" s="47" t="s">
        <v>772</v>
      </c>
      <c r="C13" s="47"/>
      <c r="D13" s="47"/>
      <c r="E13" s="47"/>
    </row>
    <row r="14" spans="2:8" x14ac:dyDescent="0.2">
      <c r="B14" s="47" t="s">
        <v>773</v>
      </c>
      <c r="C14" s="47"/>
      <c r="D14" s="47"/>
      <c r="E14" s="47"/>
    </row>
    <row r="15" spans="2:8" x14ac:dyDescent="0.2">
      <c r="B15" s="47" t="s">
        <v>774</v>
      </c>
      <c r="C15" s="47"/>
      <c r="D15" s="47"/>
      <c r="E15" s="47"/>
    </row>
    <row r="16" spans="2:8" x14ac:dyDescent="0.2">
      <c r="B16" s="47" t="s">
        <v>775</v>
      </c>
      <c r="C16" s="47"/>
      <c r="D16" s="47"/>
      <c r="E16" s="47"/>
    </row>
    <row r="17" spans="2:5" x14ac:dyDescent="0.2">
      <c r="B17" s="47" t="s">
        <v>776</v>
      </c>
      <c r="C17" s="47"/>
      <c r="D17" s="47"/>
      <c r="E17" s="47"/>
    </row>
    <row r="18" spans="2:5" x14ac:dyDescent="0.2">
      <c r="B18" s="47" t="s">
        <v>777</v>
      </c>
      <c r="C18" s="47"/>
      <c r="D18" s="47"/>
      <c r="E18" s="47"/>
    </row>
    <row r="19" spans="2:5" x14ac:dyDescent="0.2">
      <c r="B19" s="47" t="s">
        <v>778</v>
      </c>
      <c r="C19" s="47"/>
      <c r="D19" s="47"/>
      <c r="E19" s="47"/>
    </row>
    <row r="20" spans="2:5" x14ac:dyDescent="0.2">
      <c r="B20" s="47" t="s">
        <v>779</v>
      </c>
      <c r="C20" s="47"/>
      <c r="D20" s="47"/>
      <c r="E20" s="47"/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