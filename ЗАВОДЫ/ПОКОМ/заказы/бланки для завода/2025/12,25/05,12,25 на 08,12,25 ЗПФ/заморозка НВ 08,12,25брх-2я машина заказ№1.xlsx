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105E81B-7CD8-4931-8B39-EA90556414E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F10" i="1"/>
  <c r="F9" i="1"/>
  <c r="A9" i="1"/>
  <c r="A10" i="1" s="1"/>
  <c r="D7" i="1"/>
  <c r="Q6" i="1"/>
  <c r="P2" i="1"/>
  <c r="Z28" i="1" l="1"/>
  <c r="BN22" i="1"/>
  <c r="BN24" i="1"/>
  <c r="BN26" i="1"/>
  <c r="X274" i="1"/>
  <c r="Z34" i="1"/>
  <c r="Z41" i="1"/>
  <c r="BN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Z103" i="1"/>
  <c r="Z109" i="1"/>
  <c r="BN107" i="1"/>
  <c r="Z121" i="1"/>
  <c r="BN124" i="1"/>
  <c r="BP124" i="1"/>
  <c r="Y125" i="1"/>
  <c r="BN128" i="1"/>
  <c r="BP128" i="1"/>
  <c r="Y129" i="1"/>
  <c r="Z135" i="1"/>
  <c r="BN133" i="1"/>
  <c r="Z147" i="1"/>
  <c r="BN145" i="1"/>
  <c r="Z200" i="1"/>
  <c r="J9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35" i="1"/>
  <c r="Y142" i="1"/>
  <c r="BN140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Z249" i="1"/>
  <c r="Z255" i="1"/>
  <c r="BN252" i="1"/>
  <c r="BP252" i="1"/>
  <c r="BN254" i="1"/>
  <c r="Y268" i="1"/>
  <c r="Y269" i="1"/>
  <c r="Y29" i="1"/>
  <c r="Y34" i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BN25" i="1"/>
  <c r="BN27" i="1"/>
  <c r="X270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2" i="1" l="1"/>
  <c r="Y271" i="1"/>
  <c r="Y274" i="1"/>
  <c r="X273" i="1"/>
  <c r="Y270" i="1"/>
  <c r="B283" i="1" l="1"/>
  <c r="Y273" i="1"/>
  <c r="A283" i="1" s="1"/>
  <c r="C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<sst xmlns="http://schemas.openxmlformats.org/spreadsheetml/2006/main" count="1223" uniqueCount="395">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</sst>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45999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0.45833333333333331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24</v>
      </c>
      <c r="Y24" s="269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36</v>
      </c>
      <c r="Y26" s="269">
        <f t="shared" si="0"/>
        <v>36</v>
      </c>
      <c r="Z26" s="36">
        <f t="shared" si="1"/>
        <v>0.55800000000000005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268.92</v>
      </c>
      <c r="BN26" s="67">
        <f t="shared" si="3"/>
        <v>268.92</v>
      </c>
      <c r="BO26" s="67">
        <f t="shared" si="4"/>
        <v>0.42857142857142855</v>
      </c>
      <c r="BP26" s="67">
        <f t="shared" si="5"/>
        <v>0.42857142857142855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60</v>
      </c>
      <c r="Y28" s="270">
        <f>IFERROR(SUM(Y22:Y27),"0")</f>
        <v>60</v>
      </c>
      <c r="Z28" s="270">
        <f>IFERROR(IF(Z22="",0,Z22),"0")+IFERROR(IF(Z23="",0,Z23),"0")+IFERROR(IF(Z24="",0,Z24),"0")+IFERROR(IF(Z25="",0,Z25),"0")+IFERROR(IF(Z26="",0,Z26),"0")+IFERROR(IF(Z27="",0,Z27),"0")</f>
        <v>0.93</v>
      </c>
      <c r="AA28" s="271"/>
      <c r="AB28" s="271"/>
      <c r="AC28" s="271"/>
    </row>
    <row r="29" spans="1:68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432</v>
      </c>
      <c r="Y29" s="270">
        <f>IFERROR(SUMPRODUCT(Y22:Y27*H22:H27),"0")</f>
        <v>432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168</v>
      </c>
      <c r="Y39" s="269">
        <f>IFERROR(IF(X39="","",X39),"")</f>
        <v>168</v>
      </c>
      <c r="Z39" s="36">
        <f>IFERROR(IF(X39="","",X39*0.00941),"")</f>
        <v>1.5808800000000001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322.86239999999998</v>
      </c>
      <c r="BN39" s="67">
        <f>IFERROR(Y39*I39,"0")</f>
        <v>322.86239999999998</v>
      </c>
      <c r="BO39" s="67">
        <f>IFERROR(X39/J39,"0")</f>
        <v>1.2</v>
      </c>
      <c r="BP39" s="67">
        <f>IFERROR(Y39/J39,"0")</f>
        <v>1.2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14</v>
      </c>
      <c r="Y40" s="269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182</v>
      </c>
      <c r="Y41" s="270">
        <f>IFERROR(SUM(Y39:Y40),"0")</f>
        <v>182</v>
      </c>
      <c r="Z41" s="270">
        <f>IFERROR(IF(Z39="",0,Z39),"0")+IFERROR(IF(Z40="",0,Z40),"0")</f>
        <v>1.71262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273</v>
      </c>
      <c r="Y42" s="270">
        <f>IFERROR(SUMPRODUCT(Y39:Y40*H39:H40),"0")</f>
        <v>273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12</v>
      </c>
      <c r="Y47" s="26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24</v>
      </c>
      <c r="Y48" s="270">
        <f>IFERROR(SUM(Y45:Y47),"0")</f>
        <v>24</v>
      </c>
      <c r="Z48" s="270">
        <f>IFERROR(IF(Z45="",0,Z45),"0")+IFERROR(IF(Z46="",0,Z46),"0")+IFERROR(IF(Z47="",0,Z47),"0")</f>
        <v>0.372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134.39999999999998</v>
      </c>
      <c r="Y49" s="270">
        <f>IFERROR(SUMPRODUCT(Y45:Y47*H45:H47),"0")</f>
        <v>134.39999999999998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24</v>
      </c>
      <c r="Y52" s="269">
        <f>IFERROR(IF(X52="","",X52),"")</f>
        <v>24</v>
      </c>
      <c r="Z52" s="36">
        <f>IFERROR(IF(X52="","",X52*0.0155),"")</f>
        <v>0.372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175.2</v>
      </c>
      <c r="BN52" s="67">
        <f>IFERROR(Y52*I52,"0")</f>
        <v>175.2</v>
      </c>
      <c r="BO52" s="67">
        <f>IFERROR(X52/J52,"0")</f>
        <v>0.2857142857142857</v>
      </c>
      <c r="BP52" s="67">
        <f>IFERROR(Y52/J52,"0")</f>
        <v>0.2857142857142857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84</v>
      </c>
      <c r="Y53" s="269">
        <f>IFERROR(IF(X53="","",X53),"")</f>
        <v>84</v>
      </c>
      <c r="Z53" s="36">
        <f>IFERROR(IF(X53="","",X53*0.0155),"")</f>
        <v>1.302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612.024</v>
      </c>
      <c r="BN53" s="67">
        <f>IFERROR(Y53*I53,"0")</f>
        <v>612.024</v>
      </c>
      <c r="BO53" s="67">
        <f>IFERROR(X53/J53,"0")</f>
        <v>1</v>
      </c>
      <c r="BP53" s="67">
        <f>IFERROR(Y53/J53,"0")</f>
        <v>1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24</v>
      </c>
      <c r="Y55" s="269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175.2</v>
      </c>
      <c r="BN55" s="67">
        <f>IFERROR(Y55*I55,"0")</f>
        <v>175.2</v>
      </c>
      <c r="BO55" s="67">
        <f>IFERROR(X55/J55,"0")</f>
        <v>0.2857142857142857</v>
      </c>
      <c r="BP55" s="67">
        <f>IFERROR(Y55/J55,"0")</f>
        <v>0.2857142857142857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132</v>
      </c>
      <c r="Y56" s="270">
        <f>IFERROR(SUM(Y52:Y55),"0")</f>
        <v>132</v>
      </c>
      <c r="Z56" s="270">
        <f>IFERROR(IF(Z52="",0,Z52),"0")+IFERROR(IF(Z53="",0,Z53),"0")+IFERROR(IF(Z54="",0,Z54),"0")+IFERROR(IF(Z55="",0,Z55),"0")</f>
        <v>2.0459999999999998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924</v>
      </c>
      <c r="Y57" s="270">
        <f>IFERROR(SUMPRODUCT(Y52:Y55*H52:H55),"0")</f>
        <v>924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84</v>
      </c>
      <c r="Y81" s="269">
        <f>IFERROR(IF(X81="","",X81),"")</f>
        <v>84</v>
      </c>
      <c r="Z81" s="36">
        <f>IFERROR(IF(X81="","",X81*0.00866),"")</f>
        <v>0.72743999999999998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437.90879999999999</v>
      </c>
      <c r="BN81" s="67">
        <f>IFERROR(Y81*I81,"0")</f>
        <v>437.90879999999999</v>
      </c>
      <c r="BO81" s="67">
        <f>IFERROR(X81/J81,"0")</f>
        <v>0.58333333333333337</v>
      </c>
      <c r="BP81" s="67">
        <f>IFERROR(Y81/J81,"0")</f>
        <v>0.58333333333333337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84</v>
      </c>
      <c r="Y82" s="270">
        <f>IFERROR(SUM(Y80:Y81),"0")</f>
        <v>84</v>
      </c>
      <c r="Z82" s="270">
        <f>IFERROR(IF(Z80="",0,Z80),"0")+IFERROR(IF(Z81="",0,Z81),"0")</f>
        <v>0.72743999999999998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420</v>
      </c>
      <c r="Y83" s="270">
        <f>IFERROR(SUMPRODUCT(Y80:Y81*H80:H81),"0")</f>
        <v>420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28</v>
      </c>
      <c r="Y91" s="269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42</v>
      </c>
      <c r="Y92" s="269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70</v>
      </c>
      <c r="Y93" s="270">
        <f>IFERROR(SUM(Y91:Y92),"0")</f>
        <v>70</v>
      </c>
      <c r="Z93" s="270">
        <f>IFERROR(IF(Z91="",0,Z91),"0")+IFERROR(IF(Z92="",0,Z92),"0")</f>
        <v>1.2515999999999998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252</v>
      </c>
      <c r="Y94" s="270">
        <f>IFERROR(SUMPRODUCT(Y91:Y92*H91:H92),"0")</f>
        <v>252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70</v>
      </c>
      <c r="Y97" s="269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84</v>
      </c>
      <c r="Y98" s="269">
        <f t="shared" si="6"/>
        <v>84</v>
      </c>
      <c r="Z98" s="36">
        <f t="shared" si="7"/>
        <v>1.5019199999999999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hidden="1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42</v>
      </c>
      <c r="Y100" s="269">
        <f t="shared" si="6"/>
        <v>42</v>
      </c>
      <c r="Z100" s="36">
        <f t="shared" si="7"/>
        <v>0.75095999999999996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14</v>
      </c>
      <c r="Y101" s="269">
        <f t="shared" si="6"/>
        <v>14</v>
      </c>
      <c r="Z101" s="36">
        <f t="shared" si="7"/>
        <v>0.25031999999999999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67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71</v>
      </c>
      <c r="AK102" s="71">
        <v>1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210</v>
      </c>
      <c r="Y103" s="270">
        <f>IFERROR(SUM(Y97:Y102),"0")</f>
        <v>210</v>
      </c>
      <c r="Z103" s="270">
        <f>IFERROR(IF(Z97="",0,Z97),"0")+IFERROR(IF(Z98="",0,Z98),"0")+IFERROR(IF(Z99="",0,Z99),"0")+IFERROR(IF(Z100="",0,Z100),"0")+IFERROR(IF(Z101="",0,Z101),"0")+IFERROR(IF(Z102="",0,Z102),"0")</f>
        <v>3.7547999999999999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618.24</v>
      </c>
      <c r="Y104" s="270">
        <f>IFERROR(SUMPRODUCT(Y97:Y102*H97:H102),"0")</f>
        <v>618.24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14</v>
      </c>
      <c r="Y108" s="269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14</v>
      </c>
      <c r="Y109" s="270">
        <f>IFERROR(SUM(Y107:Y108),"0")</f>
        <v>14</v>
      </c>
      <c r="Z109" s="270">
        <f>IFERROR(IF(Z107="",0,Z107),"0")+IFERROR(IF(Z108="",0,Z108),"0")</f>
        <v>0.25031999999999999</v>
      </c>
      <c r="AA109" s="271"/>
      <c r="AB109" s="271"/>
      <c r="AC109" s="271"/>
    </row>
    <row r="110" spans="1:68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50.4</v>
      </c>
      <c r="Y110" s="270">
        <f>IFERROR(SUMPRODUCT(Y107:Y108*H107:H108),"0")</f>
        <v>50.4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87.36</v>
      </c>
      <c r="BN114" s="67">
        <f t="shared" si="15"/>
        <v>87.36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24</v>
      </c>
      <c r="Y115" s="269">
        <f t="shared" si="12"/>
        <v>24</v>
      </c>
      <c r="Z115" s="36">
        <f t="shared" si="13"/>
        <v>0.372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132</v>
      </c>
      <c r="Y116" s="269">
        <f t="shared" si="12"/>
        <v>132</v>
      </c>
      <c r="Z116" s="36">
        <f t="shared" si="13"/>
        <v>2.0459999999999998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963.6</v>
      </c>
      <c r="BN116" s="67">
        <f t="shared" si="15"/>
        <v>963.6</v>
      </c>
      <c r="BO116" s="67">
        <f t="shared" si="16"/>
        <v>1.5714285714285714</v>
      </c>
      <c r="BP116" s="67">
        <f t="shared" si="17"/>
        <v>1.5714285714285714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12</v>
      </c>
      <c r="Y118" s="269">
        <f t="shared" si="12"/>
        <v>12</v>
      </c>
      <c r="Z118" s="36">
        <f t="shared" si="13"/>
        <v>0.186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108</v>
      </c>
      <c r="Y119" s="269">
        <f t="shared" si="12"/>
        <v>108</v>
      </c>
      <c r="Z119" s="36">
        <f t="shared" si="13"/>
        <v>1.6739999999999999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788.4</v>
      </c>
      <c r="BN119" s="67">
        <f t="shared" si="15"/>
        <v>788.4</v>
      </c>
      <c r="BO119" s="67">
        <f t="shared" si="16"/>
        <v>1.2857142857142858</v>
      </c>
      <c r="BP119" s="67">
        <f t="shared" si="17"/>
        <v>1.2857142857142858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288</v>
      </c>
      <c r="Y121" s="270">
        <f>IFERROR(SUM(Y113:Y120),"0")</f>
        <v>288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4.4640000000000004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1994.3999999999999</v>
      </c>
      <c r="Y122" s="270">
        <f>IFERROR(SUMPRODUCT(Y113:Y120*H113:H120),"0")</f>
        <v>1994.3999999999999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14</v>
      </c>
      <c r="Y124" s="269">
        <f>IFERROR(IF(X124="","",X124),"")</f>
        <v>14</v>
      </c>
      <c r="Z124" s="36">
        <f>IFERROR(IF(X124="","",X124*0.01788),"")</f>
        <v>0.25031999999999999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46.810400000000001</v>
      </c>
      <c r="BN124" s="67">
        <f>IFERROR(Y124*I124,"0")</f>
        <v>46.810400000000001</v>
      </c>
      <c r="BO124" s="67">
        <f>IFERROR(X124/J124,"0")</f>
        <v>0.2</v>
      </c>
      <c r="BP124" s="67">
        <f>IFERROR(Y124/J124,"0")</f>
        <v>0.2</v>
      </c>
    </row>
    <row r="125" spans="1:68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14</v>
      </c>
      <c r="Y125" s="270">
        <f>IFERROR(SUM(Y124:Y124),"0")</f>
        <v>14</v>
      </c>
      <c r="Z125" s="270">
        <f>IFERROR(IF(Z124="",0,Z124),"0")</f>
        <v>0.25031999999999999</v>
      </c>
      <c r="AA125" s="271"/>
      <c r="AB125" s="271"/>
      <c r="AC125" s="271"/>
    </row>
    <row r="126" spans="1:68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36.96</v>
      </c>
      <c r="Y126" s="270">
        <f>IFERROR(SUMPRODUCT(Y124:Y124*H124:H124),"0")</f>
        <v>36.96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112</v>
      </c>
      <c r="Y133" s="269">
        <f>IFERROR(IF(X133="","",X133),"")</f>
        <v>112</v>
      </c>
      <c r="Z133" s="36">
        <f>IFERROR(IF(X133="","",X133*0.01788),"")</f>
        <v>2.0025599999999999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414.80319999999995</v>
      </c>
      <c r="BN133" s="67">
        <f>IFERROR(Y133*I133,"0")</f>
        <v>414.80319999999995</v>
      </c>
      <c r="BO133" s="67">
        <f>IFERROR(X133/J133,"0")</f>
        <v>1.6</v>
      </c>
      <c r="BP133" s="67">
        <f>IFERROR(Y133/J133,"0")</f>
        <v>1.6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126</v>
      </c>
      <c r="Y134" s="269">
        <f>IFERROR(IF(X134="","",X134),"")</f>
        <v>126</v>
      </c>
      <c r="Z134" s="36">
        <f>IFERROR(IF(X134="","",X134*0.01788),"")</f>
        <v>2.2528800000000002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466.65359999999998</v>
      </c>
      <c r="BN134" s="67">
        <f>IFERROR(Y134*I134,"0")</f>
        <v>466.65359999999998</v>
      </c>
      <c r="BO134" s="67">
        <f>IFERROR(X134/J134,"0")</f>
        <v>1.8</v>
      </c>
      <c r="BP134" s="67">
        <f>IFERROR(Y134/J134,"0")</f>
        <v>1.8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238</v>
      </c>
      <c r="Y135" s="270">
        <f>IFERROR(SUM(Y133:Y134),"0")</f>
        <v>238</v>
      </c>
      <c r="Z135" s="270">
        <f>IFERROR(IF(Z133="",0,Z133),"0")+IFERROR(IF(Z134="",0,Z134),"0")</f>
        <v>4.2554400000000001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714</v>
      </c>
      <c r="Y136" s="270">
        <f>IFERROR(SUMPRODUCT(Y133:Y134*H133:H134),"0")</f>
        <v>714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28</v>
      </c>
      <c r="Y139" s="269">
        <f>IFERROR(IF(X139="","",X139),"")</f>
        <v>28</v>
      </c>
      <c r="Z139" s="36">
        <f>IFERROR(IF(X139="","",X139*0.01788),"")</f>
        <v>0.50063999999999997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104.944</v>
      </c>
      <c r="BN139" s="67">
        <f>IFERROR(Y139*I139,"0")</f>
        <v>104.944</v>
      </c>
      <c r="BO139" s="67">
        <f>IFERROR(X139/J139,"0")</f>
        <v>0.4</v>
      </c>
      <c r="BP139" s="67">
        <f>IFERROR(Y139/J139,"0")</f>
        <v>0.4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98</v>
      </c>
      <c r="Y140" s="269">
        <f>IFERROR(IF(X140="","",X140),"")</f>
        <v>98</v>
      </c>
      <c r="Z140" s="36">
        <f>IFERROR(IF(X140="","",X140*0.01788),"")</f>
        <v>1.75224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362.95279999999997</v>
      </c>
      <c r="BN140" s="67">
        <f>IFERROR(Y140*I140,"0")</f>
        <v>362.95279999999997</v>
      </c>
      <c r="BO140" s="67">
        <f>IFERROR(X140/J140,"0")</f>
        <v>1.4</v>
      </c>
      <c r="BP140" s="67">
        <f>IFERROR(Y140/J140,"0")</f>
        <v>1.4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126</v>
      </c>
      <c r="Y141" s="270">
        <f>IFERROR(SUM(Y139:Y140),"0")</f>
        <v>126</v>
      </c>
      <c r="Z141" s="270">
        <f>IFERROR(IF(Z139="",0,Z139),"0")+IFERROR(IF(Z140="",0,Z140),"0")</f>
        <v>2.2528800000000002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378</v>
      </c>
      <c r="Y142" s="270">
        <f>IFERROR(SUMPRODUCT(Y139:Y140*H139:H140),"0")</f>
        <v>378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28</v>
      </c>
      <c r="Y145" s="269">
        <f>IFERROR(IF(X145="","",X145),"")</f>
        <v>28</v>
      </c>
      <c r="Z145" s="36">
        <f>IFERROR(IF(X145="","",X145*0.01788),"")</f>
        <v>0.50063999999999997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75.040000000000006</v>
      </c>
      <c r="BN145" s="67">
        <f>IFERROR(Y145*I145,"0")</f>
        <v>75.040000000000006</v>
      </c>
      <c r="BO145" s="67">
        <f>IFERROR(X145/J145,"0")</f>
        <v>0.4</v>
      </c>
      <c r="BP145" s="67">
        <f>IFERROR(Y145/J145,"0")</f>
        <v>0.4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14</v>
      </c>
      <c r="Y146" s="269">
        <f>IFERROR(IF(X146="","",X146),"")</f>
        <v>14</v>
      </c>
      <c r="Z146" s="36">
        <f>IFERROR(IF(X146="","",X146*0.01788),"")</f>
        <v>0.25031999999999999</v>
      </c>
      <c r="AA146" s="56"/>
      <c r="AB146" s="57"/>
      <c r="AC146" s="176" t="s">
        <v>216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37.520000000000003</v>
      </c>
      <c r="BN146" s="67">
        <f>IFERROR(Y146*I146,"0")</f>
        <v>37.520000000000003</v>
      </c>
      <c r="BO146" s="67">
        <f>IFERROR(X146/J146,"0")</f>
        <v>0.2</v>
      </c>
      <c r="BP146" s="67">
        <f>IFERROR(Y146/J146,"0")</f>
        <v>0.2</v>
      </c>
    </row>
    <row r="147" spans="1:68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42</v>
      </c>
      <c r="Y147" s="270">
        <f>IFERROR(SUM(Y145:Y146),"0")</f>
        <v>42</v>
      </c>
      <c r="Z147" s="270">
        <f>IFERROR(IF(Z145="",0,Z145),"0")+IFERROR(IF(Z146="",0,Z146),"0")</f>
        <v>0.75095999999999996</v>
      </c>
      <c r="AA147" s="271"/>
      <c r="AB147" s="271"/>
      <c r="AC147" s="271"/>
    </row>
    <row r="148" spans="1:68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100.80000000000001</v>
      </c>
      <c r="Y148" s="270">
        <f>IFERROR(SUMPRODUCT(Y145:Y146*H145:H146),"0")</f>
        <v>100.80000000000001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67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71</v>
      </c>
      <c r="AK156" s="71">
        <v>1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84</v>
      </c>
      <c r="Y166" s="269">
        <f>IFERROR(IF(X166="","",X166),"")</f>
        <v>84</v>
      </c>
      <c r="Z166" s="36">
        <f>IFERROR(IF(X166="","",X166*0.00941),"")</f>
        <v>0.79044000000000003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176.55119999999999</v>
      </c>
      <c r="BN166" s="67">
        <f>IFERROR(Y166*I166,"0")</f>
        <v>176.55119999999999</v>
      </c>
      <c r="BO166" s="67">
        <f>IFERROR(X166/J166,"0")</f>
        <v>0.6</v>
      </c>
      <c r="BP166" s="67">
        <f>IFERROR(Y166/J166,"0")</f>
        <v>0.6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84</v>
      </c>
      <c r="Y167" s="270">
        <f>IFERROR(SUM(Y166:Y166),"0")</f>
        <v>84</v>
      </c>
      <c r="Z167" s="270">
        <f>IFERROR(IF(Z166="",0,Z166),"0")</f>
        <v>0.79044000000000003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141.12</v>
      </c>
      <c r="Y168" s="270">
        <f>IFERROR(SUMPRODUCT(Y166:Y166*H166:H166),"0")</f>
        <v>141.12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108</v>
      </c>
      <c r="Y173" s="269">
        <f>IFERROR(IF(X173="","",X173),"")</f>
        <v>108</v>
      </c>
      <c r="Z173" s="36">
        <f>IFERROR(IF(X173="","",X173*0.00866),"")</f>
        <v>0.93527999999999989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563.02559999999994</v>
      </c>
      <c r="BN173" s="67">
        <f>IFERROR(Y173*I173,"0")</f>
        <v>563.02559999999994</v>
      </c>
      <c r="BO173" s="67">
        <f>IFERROR(X173/J173,"0")</f>
        <v>0.75</v>
      </c>
      <c r="BP173" s="67">
        <f>IFERROR(Y173/J173,"0")</f>
        <v>0.75</v>
      </c>
    </row>
    <row r="174" spans="1:68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108</v>
      </c>
      <c r="Y174" s="270">
        <f>IFERROR(SUM(Y172:Y173),"0")</f>
        <v>108</v>
      </c>
      <c r="Z174" s="270">
        <f>IFERROR(IF(Z172="",0,Z172),"0")+IFERROR(IF(Z173="",0,Z173),"0")</f>
        <v>0.93527999999999989</v>
      </c>
      <c r="AA174" s="271"/>
      <c r="AB174" s="271"/>
      <c r="AC174" s="271"/>
    </row>
    <row r="175" spans="1:68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540</v>
      </c>
      <c r="Y175" s="270">
        <f>IFERROR(SUMPRODUCT(Y172:Y173*H172:H173),"0")</f>
        <v>540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56</v>
      </c>
      <c r="Y179" s="269">
        <f>IFERROR(IF(X179="","",X179),"")</f>
        <v>56</v>
      </c>
      <c r="Z179" s="36">
        <f>IFERROR(IF(X179="","",X179*0.01788),"")</f>
        <v>1.0012799999999999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189.72800000000001</v>
      </c>
      <c r="BN179" s="67">
        <f>IFERROR(Y179*I179,"0")</f>
        <v>189.72800000000001</v>
      </c>
      <c r="BO179" s="67">
        <f>IFERROR(X179/J179,"0")</f>
        <v>0.8</v>
      </c>
      <c r="BP179" s="67">
        <f>IFERROR(Y179/J179,"0")</f>
        <v>0.8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42</v>
      </c>
      <c r="Y180" s="269">
        <f>IFERROR(IF(X180="","",X180),"")</f>
        <v>42</v>
      </c>
      <c r="Z180" s="36">
        <f>IFERROR(IF(X180="","",X180*0.01788),"")</f>
        <v>0.75095999999999996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142.29599999999999</v>
      </c>
      <c r="BN180" s="67">
        <f>IFERROR(Y180*I180,"0")</f>
        <v>142.29599999999999</v>
      </c>
      <c r="BO180" s="67">
        <f>IFERROR(X180/J180,"0")</f>
        <v>0.6</v>
      </c>
      <c r="BP180" s="67">
        <f>IFERROR(Y180/J180,"0")</f>
        <v>0.6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56</v>
      </c>
      <c r="Y181" s="269">
        <f>IFERROR(IF(X181="","",X181),"")</f>
        <v>56</v>
      </c>
      <c r="Z181" s="36">
        <f>IFERROR(IF(X181="","",X181*0.01788),"")</f>
        <v>1.0012799999999999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209.21600000000001</v>
      </c>
      <c r="BN181" s="67">
        <f>IFERROR(Y181*I181,"0")</f>
        <v>209.21600000000001</v>
      </c>
      <c r="BO181" s="67">
        <f>IFERROR(X181/J181,"0")</f>
        <v>0.8</v>
      </c>
      <c r="BP181" s="67">
        <f>IFERROR(Y181/J181,"0")</f>
        <v>0.8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154</v>
      </c>
      <c r="Y182" s="270">
        <f>IFERROR(SUM(Y179:Y181),"0")</f>
        <v>154</v>
      </c>
      <c r="Z182" s="270">
        <f>IFERROR(IF(Z179="",0,Z179),"0")+IFERROR(IF(Z180="",0,Z180),"0")+IFERROR(IF(Z181="",0,Z181),"0")</f>
        <v>2.75352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462</v>
      </c>
      <c r="Y183" s="270">
        <f>IFERROR(SUMPRODUCT(Y179:Y181*H179:H181),"0")</f>
        <v>462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36</v>
      </c>
      <c r="Y204" s="269">
        <f>IFERROR(IF(X204="","",X204),"")</f>
        <v>36</v>
      </c>
      <c r="Z204" s="36">
        <f>IFERROR(IF(X204="","",X204*0.0155),"")</f>
        <v>0.55800000000000005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188.28000000000003</v>
      </c>
      <c r="BN204" s="67">
        <f>IFERROR(Y204*I204,"0")</f>
        <v>188.28000000000003</v>
      </c>
      <c r="BO204" s="67">
        <f>IFERROR(X204/J204,"0")</f>
        <v>0.42857142857142855</v>
      </c>
      <c r="BP204" s="67">
        <f>IFERROR(Y204/J204,"0")</f>
        <v>0.42857142857142855</v>
      </c>
    </row>
    <row r="205" spans="1:68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36</v>
      </c>
      <c r="Y205" s="270">
        <f>IFERROR(SUM(Y204:Y204),"0")</f>
        <v>36</v>
      </c>
      <c r="Z205" s="270">
        <f>IFERROR(IF(Z204="",0,Z204),"0")</f>
        <v>0.55800000000000005</v>
      </c>
      <c r="AA205" s="271"/>
      <c r="AB205" s="271"/>
      <c r="AC205" s="271"/>
    </row>
    <row r="206" spans="1:68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180</v>
      </c>
      <c r="Y206" s="270">
        <f>IFERROR(SUMPRODUCT(Y204:Y204*H204:H204),"0")</f>
        <v>180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60</v>
      </c>
      <c r="Y243" s="269">
        <f>IFERROR(IF(X243="","",X243),"")</f>
        <v>60</v>
      </c>
      <c r="Z243" s="36">
        <f>IFERROR(IF(X243="","",X243*0.0155),"")</f>
        <v>0.92999999999999994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436.8</v>
      </c>
      <c r="BN243" s="67">
        <f>IFERROR(Y243*I243,"0")</f>
        <v>436.8</v>
      </c>
      <c r="BO243" s="67">
        <f>IFERROR(X243/J243,"0")</f>
        <v>0.7142857142857143</v>
      </c>
      <c r="BP243" s="67">
        <f>IFERROR(Y243/J243,"0")</f>
        <v>0.7142857142857143</v>
      </c>
    </row>
    <row r="244" spans="1:68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60</v>
      </c>
      <c r="Y244" s="270">
        <f>IFERROR(SUM(Y242:Y243),"0")</f>
        <v>60</v>
      </c>
      <c r="Z244" s="270">
        <f>IFERROR(IF(Z242="",0,Z242),"0")+IFERROR(IF(Z243="",0,Z243),"0")</f>
        <v>0.92999999999999994</v>
      </c>
      <c r="AA244" s="271"/>
      <c r="AB244" s="271"/>
      <c r="AC244" s="271"/>
    </row>
    <row r="245" spans="1:68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420</v>
      </c>
      <c r="Y245" s="270">
        <f>IFERROR(SUMPRODUCT(Y242:Y243*H242:H243),"0")</f>
        <v>420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24</v>
      </c>
      <c r="Y247" s="269">
        <f>IFERROR(IF(X247="","",X247),"")</f>
        <v>24</v>
      </c>
      <c r="Z247" s="36">
        <f>IFERROR(IF(X247="","",X247*0.0155),"")</f>
        <v>0.372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150.24</v>
      </c>
      <c r="BN247" s="67">
        <f>IFERROR(Y247*I247,"0")</f>
        <v>150.24</v>
      </c>
      <c r="BO247" s="67">
        <f>IFERROR(X247/J247,"0")</f>
        <v>0.2857142857142857</v>
      </c>
      <c r="BP247" s="67">
        <f>IFERROR(Y247/J247,"0")</f>
        <v>0.2857142857142857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24</v>
      </c>
      <c r="Y249" s="270">
        <f>IFERROR(SUM(Y247:Y248),"0")</f>
        <v>24</v>
      </c>
      <c r="Z249" s="270">
        <f>IFERROR(IF(Z247="",0,Z247),"0")+IFERROR(IF(Z248="",0,Z248),"0")</f>
        <v>0.372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144</v>
      </c>
      <c r="Y250" s="270">
        <f>IFERROR(SUMPRODUCT(Y247:Y248*H247:H248),"0")</f>
        <v>144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48</v>
      </c>
      <c r="Y253" s="269">
        <f>IFERROR(IF(X253="","",X253),"")</f>
        <v>48</v>
      </c>
      <c r="Z253" s="36">
        <f>IFERROR(IF(X253="","",X253*0.0155),"")</f>
        <v>0.74399999999999999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251.28000000000003</v>
      </c>
      <c r="BN253" s="67">
        <f>IFERROR(Y253*I253,"0")</f>
        <v>251.28000000000003</v>
      </c>
      <c r="BO253" s="67">
        <f>IFERROR(X253/J253,"0")</f>
        <v>0.5714285714285714</v>
      </c>
      <c r="BP253" s="67">
        <f>IFERROR(Y253/J253,"0")</f>
        <v>0.5714285714285714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48</v>
      </c>
      <c r="Y255" s="270">
        <f>IFERROR(SUM(Y252:Y254),"0")</f>
        <v>48</v>
      </c>
      <c r="Z255" s="270">
        <f>IFERROR(IF(Z252="",0,Z252),"0")+IFERROR(IF(Z253="",0,Z253),"0")+IFERROR(IF(Z254="",0,Z254),"0")</f>
        <v>0.74399999999999999</v>
      </c>
      <c r="AA255" s="271"/>
      <c r="AB255" s="271"/>
      <c r="AC255" s="271"/>
    </row>
    <row r="256" spans="1:68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240</v>
      </c>
      <c r="Y256" s="270">
        <f>IFERROR(SUMPRODUCT(Y252:Y254*H252:H254),"0")</f>
        <v>240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28</v>
      </c>
      <c r="Y259" s="269">
        <f t="shared" si="18"/>
        <v>28</v>
      </c>
      <c r="Z259" s="36">
        <f>IFERROR(IF(X259="","",X259*0.00936),"")</f>
        <v>0.26207999999999998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108.976</v>
      </c>
      <c r="BN259" s="67">
        <f t="shared" si="20"/>
        <v>108.976</v>
      </c>
      <c r="BO259" s="67">
        <f t="shared" si="21"/>
        <v>0.22222222222222221</v>
      </c>
      <c r="BP259" s="67">
        <f t="shared" si="22"/>
        <v>0.22222222222222221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67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71</v>
      </c>
      <c r="AK261" s="71">
        <v>1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67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71</v>
      </c>
      <c r="AK262" s="71">
        <v>1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67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71</v>
      </c>
      <c r="AK263" s="71">
        <v>1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28</v>
      </c>
      <c r="Y268" s="270">
        <f>IFERROR(SUM(Y258:Y267),"0")</f>
        <v>28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0.26207999999999998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103.60000000000001</v>
      </c>
      <c r="Y269" s="270">
        <f>IFERROR(SUMPRODUCT(Y258:Y267*H258:H267),"0")</f>
        <v>103.60000000000001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8609.3200000000015</v>
      </c>
      <c r="Y270" s="270">
        <f>IFERROR(Y29+Y35+Y42+Y49+Y57+Y62+Y66+Y71+Y77+Y83+Y88+Y94+Y104+Y110+Y122+Y126+Y130+Y136+Y142+Y148+Y153+Y158+Y163+Y168+Y175+Y183+Y187+Y193+Y201+Y206+Y211+Y216+Y222+Y228+Y234+Y238+Y245+Y250+Y256+Y269,"0")</f>
        <v>8609.3200000000015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9531.1500000000015</v>
      </c>
      <c r="Y271" s="270">
        <f>IFERROR(SUM(BN22:BN267),"0")</f>
        <v>9531.1500000000015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25</v>
      </c>
      <c r="Y272" s="38">
        <f>ROUNDUP(SUM(BP22:BP267),0)</f>
        <v>25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10156.150000000001</v>
      </c>
      <c r="Y273" s="270">
        <f>GrossWeightTotalR+PalletQtyTotalR*25</f>
        <v>10156.150000000001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2040</v>
      </c>
      <c r="Y274" s="270">
        <f>IFERROR(Y28+Y34+Y41+Y48+Y56+Y61+Y65+Y70+Y76+Y82+Y87+Y93+Y103+Y109+Y121+Y125+Y129+Y135+Y141+Y147+Y152+Y157+Y162+Y167+Y174+Y182+Y186+Y192+Y200+Y205+Y210+Y215+Y221+Y227+Y233+Y237+Y244+Y249+Y255+Y268,"0")</f>
        <v>2040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30.61402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432</v>
      </c>
      <c r="C280" s="46">
        <f>IFERROR(X32*H32,"0")+IFERROR(X33*H33,"0")</f>
        <v>0</v>
      </c>
      <c r="D280" s="46">
        <f>IFERROR(X39*H39,"0")+IFERROR(X40*H40,"0")</f>
        <v>273</v>
      </c>
      <c r="E280" s="46">
        <f>IFERROR(X45*H45,"0")+IFERROR(X46*H46,"0")+IFERROR(X47*H47,"0")</f>
        <v>134.39999999999998</v>
      </c>
      <c r="F280" s="46">
        <f>IFERROR(X52*H52,"0")+IFERROR(X53*H53,"0")+IFERROR(X54*H54,"0")+IFERROR(X55*H55,"0")</f>
        <v>924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420</v>
      </c>
      <c r="I280" s="46">
        <f>IFERROR(X86*H86,"0")</f>
        <v>50.4</v>
      </c>
      <c r="J280" s="46">
        <f>IFERROR(X91*H91,"0")+IFERROR(X92*H92,"0")</f>
        <v>252</v>
      </c>
      <c r="K280" s="46">
        <f>IFERROR(X97*H97,"0")+IFERROR(X98*H98,"0")+IFERROR(X99*H99,"0")+IFERROR(X100*H100,"0")+IFERROR(X101*H101,"0")+IFERROR(X102*H102,"0")</f>
        <v>618.24</v>
      </c>
      <c r="L280" s="46">
        <f>IFERROR(X107*H107,"0")+IFERROR(X108*H108,"0")</f>
        <v>50.4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2031.36</v>
      </c>
      <c r="N280" s="266"/>
      <c r="O280" s="46">
        <f>IFERROR(X133*H133,"0")+IFERROR(X134*H134,"0")</f>
        <v>714</v>
      </c>
      <c r="P280" s="46">
        <f>IFERROR(X139*H139,"0")+IFERROR(X140*H140,"0")</f>
        <v>378</v>
      </c>
      <c r="Q280" s="46">
        <f>IFERROR(X145*H145,"0")+IFERROR(X146*H146,"0")</f>
        <v>100.80000000000001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141.12</v>
      </c>
      <c r="V280" s="46">
        <f>IFERROR(X172*H172,"0")+IFERROR(X173*H173,"0")</f>
        <v>540</v>
      </c>
      <c r="W280" s="46">
        <f>IFERROR(X179*H179,"0")+IFERROR(X180*H180,"0")+IFERROR(X181*H181,"0")+IFERROR(X185*H185,"0")</f>
        <v>462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180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907.6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5044.8</v>
      </c>
      <c r="B283" s="60">
        <f>SUMPRODUCT(--(BB:BB="ПГП"),--(W:W="кор"),H:H,Y:Y)+SUMPRODUCT(--(BB:BB="ПГП"),--(W:W="кг"),Y:Y)</f>
        <v>3564.5199999999995</v>
      </c>
      <c r="C283" s="60">
        <f>SUMPRODUCT(--(BB:BB="КИЗ"),--(W:W="кор"),H:H,Y:Y)+SUMPRODUCT(--(BB:BB="КИЗ"),--(W:W="кг"),Y:Y)</f>
        <v>0</v>
      </c>
    </row>
  </sheetData>
  <sheetProtection algorithmName="SHA-512" hashValue="PAJPxXpmTwwSwStAQ3lq8HpYqXizjcQThJ0szzBaZkNuXjhZAFcuB2UcxkMkeU63ZFpndH013h2YHWvF3uzcDw==" saltValue="E+9aWAtbyxwcNIATLB/qM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994,40"/>
        <filter val="10 156,15"/>
        <filter val="100,80"/>
        <filter val="103,60"/>
        <filter val="108,00"/>
        <filter val="112,00"/>
        <filter val="12,00"/>
        <filter val="126,00"/>
        <filter val="132,00"/>
        <filter val="134,40"/>
        <filter val="14,00"/>
        <filter val="141,12"/>
        <filter val="144,00"/>
        <filter val="154,00"/>
        <filter val="168,00"/>
        <filter val="180,00"/>
        <filter val="182,00"/>
        <filter val="2 040,00"/>
        <filter val="210,00"/>
        <filter val="238,00"/>
        <filter val="24,00"/>
        <filter val="240,00"/>
        <filter val="25"/>
        <filter val="252,00"/>
        <filter val="273,00"/>
        <filter val="28,00"/>
        <filter val="288,00"/>
        <filter val="36,00"/>
        <filter val="36,96"/>
        <filter val="378,00"/>
        <filter val="42,00"/>
        <filter val="420,00"/>
        <filter val="432,00"/>
        <filter val="462,00"/>
        <filter val="48,00"/>
        <filter val="50,40"/>
        <filter val="540,00"/>
        <filter val="56,00"/>
        <filter val="60,00"/>
        <filter val="618,24"/>
        <filter val="70,00"/>
        <filter val="714,00"/>
        <filter val="8 609,32"/>
        <filter val="84,00"/>
        <filter val="9 531,15"/>
        <filter val="924,00"/>
        <filter val="98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3 X117 X120 X124 X128 X139 X145:X146 X156 X161 X172 X185 X195:X199 X209 X213:X214 X220 X232 X236 X242 X248 X254 X258 X261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4:X116 X118:X119 X133 X140 X151 X166 X173 X179:X181 X191 X204 X226 X243 X247 X252:X253 X259:X260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MnhdSWAHXEyZLVYhVICG7DEFs+4LYxNAPBZqpQA66bZVqmTmSsGN4qlsV4NFLU61IZWgRFBS2g9yEIBMMZ8zcg==" saltValue="vviGMYnQPAjWqdu0qr9J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2025-12-05T11:00:00Z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