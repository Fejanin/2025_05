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1B64ADC-02A6-4202-8C93-BF910FE618D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Z357" i="1" s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Y317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P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489" i="1" s="1"/>
  <c r="X23" i="1"/>
  <c r="BO22" i="1"/>
  <c r="BM22" i="1"/>
  <c r="Y22" i="1"/>
  <c r="Y23" i="1" s="1"/>
  <c r="P22" i="1"/>
  <c r="H10" i="1"/>
  <c r="A9" i="1"/>
  <c r="A10" i="1" s="1"/>
  <c r="D7" i="1"/>
  <c r="Q6" i="1"/>
  <c r="P2" i="1"/>
  <c r="BP75" i="1" l="1"/>
  <c r="BN75" i="1"/>
  <c r="Z75" i="1"/>
  <c r="BP113" i="1"/>
  <c r="BN113" i="1"/>
  <c r="Z113" i="1"/>
  <c r="Y153" i="1"/>
  <c r="Y152" i="1"/>
  <c r="BP151" i="1"/>
  <c r="BN151" i="1"/>
  <c r="Z151" i="1"/>
  <c r="Z152" i="1" s="1"/>
  <c r="Y158" i="1"/>
  <c r="BP157" i="1"/>
  <c r="BN157" i="1"/>
  <c r="Z157" i="1"/>
  <c r="Z158" i="1" s="1"/>
  <c r="BP161" i="1"/>
  <c r="BN161" i="1"/>
  <c r="Z161" i="1"/>
  <c r="BP191" i="1"/>
  <c r="BN191" i="1"/>
  <c r="Z191" i="1"/>
  <c r="BP214" i="1"/>
  <c r="BN214" i="1"/>
  <c r="Z214" i="1"/>
  <c r="BP247" i="1"/>
  <c r="BN247" i="1"/>
  <c r="Z247" i="1"/>
  <c r="BP279" i="1"/>
  <c r="BN279" i="1"/>
  <c r="Z279" i="1"/>
  <c r="BP283" i="1"/>
  <c r="BN283" i="1"/>
  <c r="Z283" i="1"/>
  <c r="BP290" i="1"/>
  <c r="BN290" i="1"/>
  <c r="Z290" i="1"/>
  <c r="BP316" i="1"/>
  <c r="BN316" i="1"/>
  <c r="Z316" i="1"/>
  <c r="BP320" i="1"/>
  <c r="BN320" i="1"/>
  <c r="Z320" i="1"/>
  <c r="BP424" i="1"/>
  <c r="BN424" i="1"/>
  <c r="Z424" i="1"/>
  <c r="BP450" i="1"/>
  <c r="BN450" i="1"/>
  <c r="Z450" i="1"/>
  <c r="Z28" i="1"/>
  <c r="BN28" i="1"/>
  <c r="Z46" i="1"/>
  <c r="Z47" i="1" s="1"/>
  <c r="BN46" i="1"/>
  <c r="BP46" i="1"/>
  <c r="Y47" i="1"/>
  <c r="Z51" i="1"/>
  <c r="BN51" i="1"/>
  <c r="BP55" i="1"/>
  <c r="BN55" i="1"/>
  <c r="Z55" i="1"/>
  <c r="BP94" i="1"/>
  <c r="BN94" i="1"/>
  <c r="Z94" i="1"/>
  <c r="BP141" i="1"/>
  <c r="BN141" i="1"/>
  <c r="Z141" i="1"/>
  <c r="BP168" i="1"/>
  <c r="BN168" i="1"/>
  <c r="Z168" i="1"/>
  <c r="BP201" i="1"/>
  <c r="BN201" i="1"/>
  <c r="Z201" i="1"/>
  <c r="BP229" i="1"/>
  <c r="BN229" i="1"/>
  <c r="Z229" i="1"/>
  <c r="BP258" i="1"/>
  <c r="BN258" i="1"/>
  <c r="Z258" i="1"/>
  <c r="BP302" i="1"/>
  <c r="BN302" i="1"/>
  <c r="Z302" i="1"/>
  <c r="BP343" i="1"/>
  <c r="BN343" i="1"/>
  <c r="Z343" i="1"/>
  <c r="BP392" i="1"/>
  <c r="BN392" i="1"/>
  <c r="Z392" i="1"/>
  <c r="BP436" i="1"/>
  <c r="BN436" i="1"/>
  <c r="Z436" i="1"/>
  <c r="BP472" i="1"/>
  <c r="BN472" i="1"/>
  <c r="Z472" i="1"/>
  <c r="J9" i="1"/>
  <c r="BP107" i="1"/>
  <c r="BN107" i="1"/>
  <c r="BP115" i="1"/>
  <c r="BN115" i="1"/>
  <c r="Z115" i="1"/>
  <c r="Y149" i="1"/>
  <c r="BP145" i="1"/>
  <c r="BN145" i="1"/>
  <c r="Z145" i="1"/>
  <c r="BP166" i="1"/>
  <c r="BN166" i="1"/>
  <c r="Z166" i="1"/>
  <c r="BP176" i="1"/>
  <c r="BN176" i="1"/>
  <c r="Z176" i="1"/>
  <c r="Y182" i="1"/>
  <c r="Y181" i="1"/>
  <c r="BP180" i="1"/>
  <c r="BN180" i="1"/>
  <c r="Z180" i="1"/>
  <c r="Z181" i="1" s="1"/>
  <c r="BP185" i="1"/>
  <c r="BN185" i="1"/>
  <c r="Z185" i="1"/>
  <c r="BP199" i="1"/>
  <c r="BN199" i="1"/>
  <c r="Z199" i="1"/>
  <c r="BP211" i="1"/>
  <c r="BN211" i="1"/>
  <c r="Z211" i="1"/>
  <c r="BP227" i="1"/>
  <c r="BN227" i="1"/>
  <c r="Z227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Y251" i="1"/>
  <c r="BP245" i="1"/>
  <c r="BN245" i="1"/>
  <c r="Z245" i="1"/>
  <c r="BP256" i="1"/>
  <c r="BN256" i="1"/>
  <c r="Z256" i="1"/>
  <c r="BP272" i="1"/>
  <c r="BN272" i="1"/>
  <c r="Z272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Y69" i="1"/>
  <c r="Z73" i="1"/>
  <c r="BN73" i="1"/>
  <c r="Z79" i="1"/>
  <c r="BN79" i="1"/>
  <c r="Z92" i="1"/>
  <c r="BN92" i="1"/>
  <c r="Z99" i="1"/>
  <c r="BN99" i="1"/>
  <c r="Z107" i="1"/>
  <c r="BP130" i="1"/>
  <c r="BN130" i="1"/>
  <c r="Z130" i="1"/>
  <c r="BP134" i="1"/>
  <c r="BN134" i="1"/>
  <c r="Z134" i="1"/>
  <c r="Z136" i="1" s="1"/>
  <c r="Y148" i="1"/>
  <c r="BP163" i="1"/>
  <c r="BN163" i="1"/>
  <c r="Z163" i="1"/>
  <c r="BP170" i="1"/>
  <c r="BN170" i="1"/>
  <c r="Z170" i="1"/>
  <c r="Y203" i="1"/>
  <c r="BP195" i="1"/>
  <c r="BN195" i="1"/>
  <c r="Z195" i="1"/>
  <c r="BP207" i="1"/>
  <c r="BN207" i="1"/>
  <c r="Z207" i="1"/>
  <c r="BP218" i="1"/>
  <c r="BN218" i="1"/>
  <c r="Z218" i="1"/>
  <c r="BP231" i="1"/>
  <c r="BN231" i="1"/>
  <c r="Z231" i="1"/>
  <c r="BP249" i="1"/>
  <c r="BN249" i="1"/>
  <c r="Z249" i="1"/>
  <c r="BP263" i="1"/>
  <c r="BN263" i="1"/>
  <c r="Z263" i="1"/>
  <c r="BP292" i="1"/>
  <c r="BN292" i="1"/>
  <c r="Z292" i="1"/>
  <c r="BP308" i="1"/>
  <c r="BN308" i="1"/>
  <c r="Z308" i="1"/>
  <c r="BP322" i="1"/>
  <c r="BN322" i="1"/>
  <c r="Z322" i="1"/>
  <c r="BP345" i="1"/>
  <c r="BN345" i="1"/>
  <c r="Z345" i="1"/>
  <c r="BP358" i="1"/>
  <c r="BN358" i="1"/>
  <c r="Z358" i="1"/>
  <c r="Z359" i="1" s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178" i="1"/>
  <c r="Y177" i="1"/>
  <c r="Y260" i="1"/>
  <c r="BP300" i="1"/>
  <c r="BN300" i="1"/>
  <c r="Z300" i="1"/>
  <c r="Y318" i="1"/>
  <c r="BP314" i="1"/>
  <c r="BN314" i="1"/>
  <c r="Z314" i="1"/>
  <c r="BP335" i="1"/>
  <c r="BN335" i="1"/>
  <c r="Z335" i="1"/>
  <c r="BP353" i="1"/>
  <c r="BN353" i="1"/>
  <c r="Z353" i="1"/>
  <c r="BP373" i="1"/>
  <c r="BN373" i="1"/>
  <c r="Z373" i="1"/>
  <c r="BP377" i="1"/>
  <c r="BN377" i="1"/>
  <c r="Z377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454" i="1"/>
  <c r="Y453" i="1"/>
  <c r="Y31" i="1"/>
  <c r="Y43" i="1"/>
  <c r="Y58" i="1"/>
  <c r="Y64" i="1"/>
  <c r="Y70" i="1"/>
  <c r="Y77" i="1"/>
  <c r="BP72" i="1"/>
  <c r="BN72" i="1"/>
  <c r="Z72" i="1"/>
  <c r="Y76" i="1"/>
  <c r="BP80" i="1"/>
  <c r="BN80" i="1"/>
  <c r="Z80" i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Y137" i="1"/>
  <c r="H499" i="1"/>
  <c r="Y143" i="1"/>
  <c r="BP140" i="1"/>
  <c r="BN140" i="1"/>
  <c r="Z140" i="1"/>
  <c r="Z142" i="1" s="1"/>
  <c r="BP162" i="1"/>
  <c r="BN162" i="1"/>
  <c r="Z162" i="1"/>
  <c r="BP165" i="1"/>
  <c r="BN165" i="1"/>
  <c r="Z165" i="1"/>
  <c r="BP169" i="1"/>
  <c r="BN169" i="1"/>
  <c r="Z169" i="1"/>
  <c r="BP186" i="1"/>
  <c r="BN186" i="1"/>
  <c r="Z186" i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BP146" i="1"/>
  <c r="BN146" i="1"/>
  <c r="Z146" i="1"/>
  <c r="Y172" i="1"/>
  <c r="BP164" i="1"/>
  <c r="BN164" i="1"/>
  <c r="Z164" i="1"/>
  <c r="BP167" i="1"/>
  <c r="BN167" i="1"/>
  <c r="Z167" i="1"/>
  <c r="Y171" i="1"/>
  <c r="BP175" i="1"/>
  <c r="BN175" i="1"/>
  <c r="Z175" i="1"/>
  <c r="Y192" i="1"/>
  <c r="BP196" i="1"/>
  <c r="BN196" i="1"/>
  <c r="Z196" i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Y250" i="1"/>
  <c r="BP255" i="1"/>
  <c r="BN255" i="1"/>
  <c r="Z255" i="1"/>
  <c r="Y259" i="1"/>
  <c r="BP264" i="1"/>
  <c r="BN264" i="1"/>
  <c r="Z264" i="1"/>
  <c r="BP273" i="1"/>
  <c r="BN273" i="1"/>
  <c r="Z273" i="1"/>
  <c r="P499" i="1"/>
  <c r="Y281" i="1"/>
  <c r="BP278" i="1"/>
  <c r="BN278" i="1"/>
  <c r="Z278" i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Y330" i="1"/>
  <c r="BP327" i="1"/>
  <c r="BN327" i="1"/>
  <c r="Z327" i="1"/>
  <c r="Z330" i="1" s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BP481" i="1"/>
  <c r="BN481" i="1"/>
  <c r="Z481" i="1"/>
  <c r="Y483" i="1"/>
  <c r="Z499" i="1"/>
  <c r="Y487" i="1"/>
  <c r="BP486" i="1"/>
  <c r="BN486" i="1"/>
  <c r="Z486" i="1"/>
  <c r="Z487" i="1" s="1"/>
  <c r="Y488" i="1"/>
  <c r="Z462" i="1" l="1"/>
  <c r="Z374" i="1"/>
  <c r="Z349" i="1"/>
  <c r="Z324" i="1"/>
  <c r="Z280" i="1"/>
  <c r="Z267" i="1"/>
  <c r="Z259" i="1"/>
  <c r="Z250" i="1"/>
  <c r="Z171" i="1"/>
  <c r="Z148" i="1"/>
  <c r="Z95" i="1"/>
  <c r="Z43" i="1"/>
  <c r="Z187" i="1"/>
  <c r="Z380" i="1"/>
  <c r="Y490" i="1"/>
  <c r="Z482" i="1"/>
  <c r="Z438" i="1"/>
  <c r="Z411" i="1"/>
  <c r="Z399" i="1"/>
  <c r="Z203" i="1"/>
  <c r="Z177" i="1"/>
  <c r="Y491" i="1"/>
  <c r="Z63" i="1"/>
  <c r="Z57" i="1"/>
  <c r="Z31" i="1"/>
  <c r="X492" i="1"/>
  <c r="Z81" i="1"/>
  <c r="Y493" i="1"/>
  <c r="Z447" i="1"/>
  <c r="Z432" i="1"/>
  <c r="Z215" i="1"/>
  <c r="Z88" i="1"/>
  <c r="Z76" i="1"/>
  <c r="Z468" i="1"/>
  <c r="Z394" i="1"/>
  <c r="Z311" i="1"/>
  <c r="Z304" i="1"/>
  <c r="Z294" i="1"/>
  <c r="Z274" i="1"/>
  <c r="Z116" i="1"/>
  <c r="Z103" i="1"/>
  <c r="Z69" i="1"/>
  <c r="Y489" i="1"/>
  <c r="Z337" i="1"/>
  <c r="Z234" i="1"/>
  <c r="Z109" i="1"/>
  <c r="Y492" i="1" l="1"/>
  <c r="Z494" i="1"/>
</calcChain>
</file>

<file path=xl/sharedStrings.xml><?xml version="1.0" encoding="utf-8"?>
<sst xmlns="http://schemas.openxmlformats.org/spreadsheetml/2006/main" count="2317" uniqueCount="763">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</sst>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85" sqref="AA8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762</v>
      </c>
      <c r="I5" s="779"/>
      <c r="J5" s="779"/>
      <c r="K5" s="779"/>
      <c r="L5" s="779"/>
      <c r="M5" s="619"/>
      <c r="N5" s="58"/>
      <c r="P5" s="24" t="s">
        <v>10</v>
      </c>
      <c r="Q5" s="841">
        <v>45997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Суббота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0.41666666666666669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61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0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40</v>
      </c>
      <c r="Y85" s="542">
        <f>IFERROR(IF(X85="",0,CEILING((X85/$H85),1)*$H85),"")</f>
        <v>43.2</v>
      </c>
      <c r="Z85" s="36">
        <f>IFERROR(IF(Y85=0,"",ROUNDUP(Y85/H85,0)*0.01898),"")</f>
        <v>7.5920000000000001E-2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41.518518518518519</v>
      </c>
      <c r="BN85" s="64">
        <f>IFERROR(Y85*I85/H85,"0")</f>
        <v>44.84</v>
      </c>
      <c r="BO85" s="64">
        <f>IFERROR(1/J85*(X85/H85),"0")</f>
        <v>5.7870370370370364E-2</v>
      </c>
      <c r="BP85" s="64">
        <f>IFERROR(1/J85*(Y85/H85),"0")</f>
        <v>6.25E-2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3.7037037037037033</v>
      </c>
      <c r="Y88" s="543">
        <f>IFERROR(Y85/H85,"0")+IFERROR(Y86/H86,"0")+IFERROR(Y87/H87,"0")</f>
        <v>4</v>
      </c>
      <c r="Z88" s="543">
        <f>IFERROR(IF(Z85="",0,Z85),"0")+IFERROR(IF(Z86="",0,Z86),"0")+IFERROR(IF(Z87="",0,Z87),"0")</f>
        <v>7.5920000000000001E-2</v>
      </c>
      <c r="AA88" s="544"/>
      <c r="AB88" s="544"/>
      <c r="AC88" s="544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40</v>
      </c>
      <c r="Y89" s="543">
        <f>IFERROR(SUM(Y85:Y87),"0")</f>
        <v>43.2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50</v>
      </c>
      <c r="Y91" s="542">
        <f>IFERROR(IF(X91="",0,CEILING((X91/$H91),1)*$H91),"")</f>
        <v>56.699999999999996</v>
      </c>
      <c r="Z91" s="36">
        <f>IFERROR(IF(Y91=0,"",ROUNDUP(Y91/H91,0)*0.01898),"")</f>
        <v>0.13286000000000001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53.049382716049386</v>
      </c>
      <c r="BN91" s="64">
        <f>IFERROR(Y91*I91/H91,"0")</f>
        <v>60.157999999999994</v>
      </c>
      <c r="BO91" s="64">
        <f>IFERROR(1/J91*(X91/H91),"0")</f>
        <v>9.6450617283950615E-2</v>
      </c>
      <c r="BP91" s="64">
        <f>IFERROR(1/J91*(Y91/H91),"0")</f>
        <v>0.109375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27</v>
      </c>
      <c r="Y93" s="542">
        <f>IFERROR(IF(X93="",0,CEILING((X93/$H93),1)*$H93),"")</f>
        <v>27</v>
      </c>
      <c r="Z93" s="36">
        <f>IFERROR(IF(Y93=0,"",ROUNDUP(Y93/H93,0)*0.00651),"")</f>
        <v>6.5100000000000005E-2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29.519999999999996</v>
      </c>
      <c r="BN93" s="64">
        <f>IFERROR(Y93*I93/H93,"0")</f>
        <v>29.519999999999996</v>
      </c>
      <c r="BO93" s="64">
        <f>IFERROR(1/J93*(X93/H93),"0")</f>
        <v>5.4945054945054951E-2</v>
      </c>
      <c r="BP93" s="64">
        <f>IFERROR(1/J93*(Y93/H93),"0")</f>
        <v>5.4945054945054951E-2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16.172839506172838</v>
      </c>
      <c r="Y95" s="543">
        <f>IFERROR(Y91/H91,"0")+IFERROR(Y92/H92,"0")+IFERROR(Y93/H93,"0")+IFERROR(Y94/H94,"0")</f>
        <v>17</v>
      </c>
      <c r="Z95" s="543">
        <f>IFERROR(IF(Z91="",0,Z91),"0")+IFERROR(IF(Z92="",0,Z92),"0")+IFERROR(IF(Z93="",0,Z93),"0")+IFERROR(IF(Z94="",0,Z94),"0")</f>
        <v>0.19796000000000002</v>
      </c>
      <c r="AA95" s="544"/>
      <c r="AB95" s="544"/>
      <c r="AC95" s="544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77</v>
      </c>
      <c r="Y96" s="543">
        <f>IFERROR(SUM(Y91:Y94),"0")</f>
        <v>83.699999999999989</v>
      </c>
      <c r="Z96" s="37"/>
      <c r="AA96" s="544"/>
      <c r="AB96" s="544"/>
      <c r="AC96" s="544"/>
    </row>
    <row r="97" spans="1:68" ht="16.5" hidden="1" customHeight="1" x14ac:dyDescent="0.25">
      <c r="A97" s="560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30</v>
      </c>
      <c r="Y99" s="542">
        <f>IFERROR(IF(X99="",0,CEILING((X99/$H99),1)*$H99),"")</f>
        <v>32.400000000000006</v>
      </c>
      <c r="Z99" s="36">
        <f>IFERROR(IF(Y99=0,"",ROUNDUP(Y99/H99,0)*0.01898),"")</f>
        <v>5.6940000000000004E-2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31.138888888888889</v>
      </c>
      <c r="BN99" s="64">
        <f>IFERROR(Y99*I99/H99,"0")</f>
        <v>33.630000000000003</v>
      </c>
      <c r="BO99" s="64">
        <f>IFERROR(1/J99*(X99/H99),"0")</f>
        <v>4.3402777777777776E-2</v>
      </c>
      <c r="BP99" s="64">
        <f>IFERROR(1/J99*(Y99/H99),"0")</f>
        <v>4.6875000000000007E-2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2.7777777777777777</v>
      </c>
      <c r="Y103" s="543">
        <f>IFERROR(Y99/H99,"0")+IFERROR(Y100/H100,"0")+IFERROR(Y101/H101,"0")+IFERROR(Y102/H102,"0")</f>
        <v>3.0000000000000004</v>
      </c>
      <c r="Z103" s="543">
        <f>IFERROR(IF(Z99="",0,Z99),"0")+IFERROR(IF(Z100="",0,Z100),"0")+IFERROR(IF(Z101="",0,Z101),"0")+IFERROR(IF(Z102="",0,Z102),"0")</f>
        <v>5.6940000000000004E-2</v>
      </c>
      <c r="AA103" s="544"/>
      <c r="AB103" s="544"/>
      <c r="AC103" s="544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30</v>
      </c>
      <c r="Y104" s="543">
        <f>IFERROR(SUM(Y99:Y102),"0")</f>
        <v>32.400000000000006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100</v>
      </c>
      <c r="Y112" s="542">
        <f>IFERROR(IF(X112="",0,CEILING((X112/$H112),1)*$H112),"")</f>
        <v>105.3</v>
      </c>
      <c r="Z112" s="36">
        <f>IFERROR(IF(Y112=0,"",ROUNDUP(Y112/H112,0)*0.01898),"")</f>
        <v>0.24674000000000001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106.0246913580247</v>
      </c>
      <c r="BN112" s="64">
        <f>IFERROR(Y112*I112/H112,"0")</f>
        <v>111.64399999999999</v>
      </c>
      <c r="BO112" s="64">
        <f>IFERROR(1/J112*(X112/H112),"0")</f>
        <v>0.19290123456790123</v>
      </c>
      <c r="BP112" s="64">
        <f>IFERROR(1/J112*(Y112/H112),"0")</f>
        <v>0.203125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21.6</v>
      </c>
      <c r="Y114" s="542">
        <f>IFERROR(IF(X114="",0,CEILING((X114/$H114),1)*$H114),"")</f>
        <v>21.6</v>
      </c>
      <c r="Z114" s="36">
        <f>IFERROR(IF(Y114=0,"",ROUNDUP(Y114/H114,0)*0.00651),"")</f>
        <v>5.2080000000000001E-2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23.616</v>
      </c>
      <c r="BN114" s="64">
        <f>IFERROR(Y114*I114/H114,"0")</f>
        <v>23.616</v>
      </c>
      <c r="BO114" s="64">
        <f>IFERROR(1/J114*(X114/H114),"0")</f>
        <v>4.3956043956043959E-2</v>
      </c>
      <c r="BP114" s="64">
        <f>IFERROR(1/J114*(Y114/H114),"0")</f>
        <v>4.3956043956043959E-2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20.345679012345677</v>
      </c>
      <c r="Y116" s="543">
        <f>IFERROR(Y112/H112,"0")+IFERROR(Y113/H113,"0")+IFERROR(Y114/H114,"0")+IFERROR(Y115/H115,"0")</f>
        <v>21</v>
      </c>
      <c r="Z116" s="543">
        <f>IFERROR(IF(Z112="",0,Z112),"0")+IFERROR(IF(Z113="",0,Z113),"0")+IFERROR(IF(Z114="",0,Z114),"0")+IFERROR(IF(Z115="",0,Z115),"0")</f>
        <v>0.29882000000000003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121.6</v>
      </c>
      <c r="Y117" s="543">
        <f>IFERROR(SUM(Y112:Y115),"0")</f>
        <v>126.9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250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70</v>
      </c>
      <c r="Y161" s="542">
        <f t="shared" ref="Y161:Y170" si="5">IFERROR(IF(X161="",0,CEILING((X161/$H161),1)*$H161),"")</f>
        <v>71.400000000000006</v>
      </c>
      <c r="Z161" s="36">
        <f>IFERROR(IF(Y161=0,"",ROUNDUP(Y161/H161,0)*0.00902),"")</f>
        <v>0.15334</v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74.166666666666657</v>
      </c>
      <c r="BN161" s="64">
        <f t="shared" ref="BN161:BN170" si="7">IFERROR(Y161*I161/H161,"0")</f>
        <v>75.650000000000006</v>
      </c>
      <c r="BO161" s="64">
        <f t="shared" ref="BO161:BO170" si="8">IFERROR(1/J161*(X161/H161),"0")</f>
        <v>0.12626262626262624</v>
      </c>
      <c r="BP161" s="64">
        <f t="shared" ref="BP161:BP170" si="9">IFERROR(1/J161*(Y161/H161),"0")</f>
        <v>0.12878787878787878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16.666666666666664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17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0.15334</v>
      </c>
      <c r="AA171" s="544"/>
      <c r="AB171" s="544"/>
      <c r="AC171" s="544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70</v>
      </c>
      <c r="Y172" s="543">
        <f>IFERROR(SUM(Y161:Y170),"0")</f>
        <v>71.400000000000006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60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150</v>
      </c>
      <c r="Y195" s="542">
        <f t="shared" ref="Y195:Y202" si="10">IFERROR(IF(X195="",0,CEILING((X195/$H195),1)*$H195),"")</f>
        <v>151.20000000000002</v>
      </c>
      <c r="Z195" s="36">
        <f>IFERROR(IF(Y195=0,"",ROUNDUP(Y195/H195,0)*0.00902),"")</f>
        <v>0.25256000000000001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155.27777777777777</v>
      </c>
      <c r="BN195" s="64">
        <f t="shared" ref="BN195:BN202" si="12">IFERROR(Y195*I195/H195,"0")</f>
        <v>156.52000000000001</v>
      </c>
      <c r="BO195" s="64">
        <f t="shared" ref="BO195:BO202" si="13">IFERROR(1/J195*(X195/H195),"0")</f>
        <v>0.21043771043771042</v>
      </c>
      <c r="BP195" s="64">
        <f t="shared" ref="BP195:BP202" si="14">IFERROR(1/J195*(Y195/H195),"0")</f>
        <v>0.21212121212121213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200</v>
      </c>
      <c r="Y196" s="542">
        <f t="shared" si="10"/>
        <v>205.20000000000002</v>
      </c>
      <c r="Z196" s="36">
        <f>IFERROR(IF(Y196=0,"",ROUNDUP(Y196/H196,0)*0.00902),"")</f>
        <v>0.34276000000000001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207.03703703703701</v>
      </c>
      <c r="BN196" s="64">
        <f t="shared" si="12"/>
        <v>212.42</v>
      </c>
      <c r="BO196" s="64">
        <f t="shared" si="13"/>
        <v>0.28058361391694725</v>
      </c>
      <c r="BP196" s="64">
        <f t="shared" si="14"/>
        <v>0.2878787878787879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100</v>
      </c>
      <c r="Y197" s="542">
        <f t="shared" si="10"/>
        <v>102.60000000000001</v>
      </c>
      <c r="Z197" s="36">
        <f>IFERROR(IF(Y197=0,"",ROUNDUP(Y197/H197,0)*0.00902),"")</f>
        <v>0.17138</v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103.5185185185185</v>
      </c>
      <c r="BN197" s="64">
        <f t="shared" si="12"/>
        <v>106.21</v>
      </c>
      <c r="BO197" s="64">
        <f t="shared" si="13"/>
        <v>0.14029180695847362</v>
      </c>
      <c r="BP197" s="64">
        <f t="shared" si="14"/>
        <v>0.14393939393939395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150</v>
      </c>
      <c r="Y198" s="542">
        <f t="shared" si="10"/>
        <v>151.20000000000002</v>
      </c>
      <c r="Z198" s="36">
        <f>IFERROR(IF(Y198=0,"",ROUNDUP(Y198/H198,0)*0.00902),"")</f>
        <v>0.25256000000000001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155.27777777777777</v>
      </c>
      <c r="BN198" s="64">
        <f t="shared" si="12"/>
        <v>156.52000000000001</v>
      </c>
      <c r="BO198" s="64">
        <f t="shared" si="13"/>
        <v>0.21043771043771042</v>
      </c>
      <c r="BP198" s="64">
        <f t="shared" si="14"/>
        <v>0.21212121212121213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111.1111111111111</v>
      </c>
      <c r="Y203" s="543">
        <f>IFERROR(Y195/H195,"0")+IFERROR(Y196/H196,"0")+IFERROR(Y197/H197,"0")+IFERROR(Y198/H198,"0")+IFERROR(Y199/H199,"0")+IFERROR(Y200/H200,"0")+IFERROR(Y201/H201,"0")+IFERROR(Y202/H202,"0")</f>
        <v>113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1.0192600000000001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600</v>
      </c>
      <c r="Y204" s="543">
        <f>IFERROR(SUM(Y195:Y202),"0")</f>
        <v>610.20000000000005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50</v>
      </c>
      <c r="Y206" s="542">
        <f t="shared" ref="Y206:Y214" si="15">IFERROR(IF(X206="",0,CEILING((X206/$H206),1)*$H206),"")</f>
        <v>56.699999999999996</v>
      </c>
      <c r="Z206" s="36">
        <f>IFERROR(IF(Y206=0,"",ROUNDUP(Y206/H206,0)*0.01898),"")</f>
        <v>0.13286000000000001</v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53.049382716049386</v>
      </c>
      <c r="BN206" s="64">
        <f t="shared" ref="BN206:BN214" si="17">IFERROR(Y206*I206/H206,"0")</f>
        <v>60.157999999999994</v>
      </c>
      <c r="BO206" s="64">
        <f t="shared" ref="BO206:BO214" si="18">IFERROR(1/J206*(X206/H206),"0")</f>
        <v>9.6450617283950615E-2</v>
      </c>
      <c r="BP206" s="64">
        <f t="shared" ref="BP206:BP214" si="19">IFERROR(1/J206*(Y206/H206),"0")</f>
        <v>0.109375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50</v>
      </c>
      <c r="Y208" s="542">
        <f t="shared" si="15"/>
        <v>52.199999999999996</v>
      </c>
      <c r="Z208" s="36">
        <f>IFERROR(IF(Y208=0,"",ROUNDUP(Y208/H208,0)*0.01898),"")</f>
        <v>0.11388000000000001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52.839080459770123</v>
      </c>
      <c r="BN208" s="64">
        <f t="shared" si="17"/>
        <v>55.164000000000009</v>
      </c>
      <c r="BO208" s="64">
        <f t="shared" si="18"/>
        <v>8.9798850574712652E-2</v>
      </c>
      <c r="BP208" s="64">
        <f t="shared" si="19"/>
        <v>9.375E-2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48</v>
      </c>
      <c r="Y211" s="542">
        <f t="shared" si="15"/>
        <v>48</v>
      </c>
      <c r="Z211" s="36">
        <f t="shared" si="20"/>
        <v>0.13020000000000001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53.040000000000006</v>
      </c>
      <c r="BN211" s="64">
        <f t="shared" si="17"/>
        <v>53.040000000000006</v>
      </c>
      <c r="BO211" s="64">
        <f t="shared" si="18"/>
        <v>0.1098901098901099</v>
      </c>
      <c r="BP211" s="64">
        <f t="shared" si="19"/>
        <v>0.1098901098901099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48</v>
      </c>
      <c r="Y212" s="542">
        <f t="shared" si="15"/>
        <v>48</v>
      </c>
      <c r="Z212" s="36">
        <f t="shared" si="20"/>
        <v>0.13020000000000001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53.040000000000006</v>
      </c>
      <c r="BN212" s="64">
        <f t="shared" si="17"/>
        <v>53.040000000000006</v>
      </c>
      <c r="BO212" s="64">
        <f t="shared" si="18"/>
        <v>0.1098901098901099</v>
      </c>
      <c r="BP212" s="64">
        <f t="shared" si="19"/>
        <v>0.1098901098901099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51.919965942954448</v>
      </c>
      <c r="Y215" s="543">
        <f>IFERROR(Y206/H206,"0")+IFERROR(Y207/H207,"0")+IFERROR(Y208/H208,"0")+IFERROR(Y209/H209,"0")+IFERROR(Y210/H210,"0")+IFERROR(Y211/H211,"0")+IFERROR(Y212/H212,"0")+IFERROR(Y213/H213,"0")+IFERROR(Y214/H214,"0")</f>
        <v>53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0.50714000000000004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196</v>
      </c>
      <c r="Y216" s="543">
        <f>IFERROR(SUM(Y206:Y214),"0")</f>
        <v>204.89999999999998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9.6000000000000014</v>
      </c>
      <c r="Y218" s="542">
        <f>IFERROR(IF(X218="",0,CEILING((X218/$H218),1)*$H218),"")</f>
        <v>9.6</v>
      </c>
      <c r="Z218" s="36">
        <f>IFERROR(IF(Y218=0,"",ROUNDUP(Y218/H218,0)*0.00651),"")</f>
        <v>2.6040000000000001E-2</v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10.608000000000002</v>
      </c>
      <c r="BN218" s="64">
        <f>IFERROR(Y218*I218/H218,"0")</f>
        <v>10.608000000000001</v>
      </c>
      <c r="BO218" s="64">
        <f>IFERROR(1/J218*(X218/H218),"0")</f>
        <v>2.1978021978021983E-2</v>
      </c>
      <c r="BP218" s="64">
        <f>IFERROR(1/J218*(Y218/H218),"0")</f>
        <v>2.197802197802198E-2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9.6000000000000014</v>
      </c>
      <c r="Y219" s="542">
        <f>IFERROR(IF(X219="",0,CEILING((X219/$H219),1)*$H219),"")</f>
        <v>9.6</v>
      </c>
      <c r="Z219" s="36">
        <f>IFERROR(IF(Y219=0,"",ROUNDUP(Y219/H219,0)*0.00651),"")</f>
        <v>2.6040000000000001E-2</v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10.608000000000002</v>
      </c>
      <c r="BN219" s="64">
        <f>IFERROR(Y219*I219/H219,"0")</f>
        <v>10.608000000000001</v>
      </c>
      <c r="BO219" s="64">
        <f>IFERROR(1/J219*(X219/H219),"0")</f>
        <v>2.1978021978021983E-2</v>
      </c>
      <c r="BP219" s="64">
        <f>IFERROR(1/J219*(Y219/H219),"0")</f>
        <v>2.197802197802198E-2</v>
      </c>
    </row>
    <row r="220" spans="1:68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8.0000000000000018</v>
      </c>
      <c r="Y220" s="543">
        <f>IFERROR(Y218/H218,"0")+IFERROR(Y219/H219,"0")</f>
        <v>8</v>
      </c>
      <c r="Z220" s="543">
        <f>IFERROR(IF(Z218="",0,Z218),"0")+IFERROR(IF(Z219="",0,Z219),"0")</f>
        <v>5.2080000000000001E-2</v>
      </c>
      <c r="AA220" s="544"/>
      <c r="AB220" s="544"/>
      <c r="AC220" s="544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19.200000000000003</v>
      </c>
      <c r="Y221" s="543">
        <f>IFERROR(SUM(Y218:Y219),"0")</f>
        <v>19.2</v>
      </c>
      <c r="Z221" s="37"/>
      <c r="AA221" s="544"/>
      <c r="AB221" s="544"/>
      <c r="AC221" s="544"/>
    </row>
    <row r="222" spans="1:68" ht="16.5" hidden="1" customHeight="1" x14ac:dyDescent="0.25">
      <c r="A222" s="560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60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60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50</v>
      </c>
      <c r="Y297" s="542">
        <f t="shared" ref="Y297:Y303" si="26">IFERROR(IF(X297="",0,CEILING((X297/$H297),1)*$H297),"")</f>
        <v>50.400000000000006</v>
      </c>
      <c r="Z297" s="36">
        <f>IFERROR(IF(Y297=0,"",ROUNDUP(Y297/H297,0)*0.00902),"")</f>
        <v>0.10824</v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52.976190476190474</v>
      </c>
      <c r="BN297" s="64">
        <f t="shared" ref="BN297:BN303" si="28">IFERROR(Y297*I297/H297,"0")</f>
        <v>53.400000000000006</v>
      </c>
      <c r="BO297" s="64">
        <f t="shared" ref="BO297:BO303" si="29">IFERROR(1/J297*(X297/H297),"0")</f>
        <v>9.0187590187590191E-2</v>
      </c>
      <c r="BP297" s="64">
        <f t="shared" ref="BP297:BP303" si="30">IFERROR(1/J297*(Y297/H297),"0")</f>
        <v>9.0909090909090912E-2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11.904761904761905</v>
      </c>
      <c r="Y304" s="543">
        <f>IFERROR(Y297/H297,"0")+IFERROR(Y298/H298,"0")+IFERROR(Y299/H299,"0")+IFERROR(Y300/H300,"0")+IFERROR(Y301/H301,"0")+IFERROR(Y302/H302,"0")+IFERROR(Y303/H303,"0")</f>
        <v>12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0.10824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50</v>
      </c>
      <c r="Y305" s="543">
        <f>IFERROR(SUM(Y297:Y303),"0")</f>
        <v>50.400000000000006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hidden="1" customHeight="1" x14ac:dyDescent="0.25">
      <c r="A314" s="54" t="s">
        <v>492</v>
      </c>
      <c r="B314" s="54" t="s">
        <v>493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50</v>
      </c>
      <c r="Y315" s="542">
        <f>IFERROR(IF(X315="",0,CEILING((X315/$H315),1)*$H315),"")</f>
        <v>54.6</v>
      </c>
      <c r="Z315" s="36">
        <f>IFERROR(IF(Y315=0,"",ROUNDUP(Y315/H315,0)*0.01898),"")</f>
        <v>0.13286000000000001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53.166666666666671</v>
      </c>
      <c r="BN315" s="64">
        <f>IFERROR(Y315*I315/H315,"0")</f>
        <v>58.058000000000007</v>
      </c>
      <c r="BO315" s="64">
        <f>IFERROR(1/J315*(X315/H315),"0")</f>
        <v>0.10016025641025642</v>
      </c>
      <c r="BP315" s="64">
        <f>IFERROR(1/J315*(Y315/H315),"0")</f>
        <v>0.109375</v>
      </c>
    </row>
    <row r="316" spans="1:68" ht="16.5" hidden="1" customHeight="1" x14ac:dyDescent="0.25">
      <c r="A316" s="54" t="s">
        <v>498</v>
      </c>
      <c r="B316" s="54" t="s">
        <v>499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6.4102564102564106</v>
      </c>
      <c r="Y317" s="543">
        <f>IFERROR(Y314/H314,"0")+IFERROR(Y315/H315,"0")+IFERROR(Y316/H316,"0")</f>
        <v>7</v>
      </c>
      <c r="Z317" s="543">
        <f>IFERROR(IF(Z314="",0,Z314),"0")+IFERROR(IF(Z315="",0,Z315),"0")+IFERROR(IF(Z316="",0,Z316),"0")</f>
        <v>0.13286000000000001</v>
      </c>
      <c r="AA317" s="544"/>
      <c r="AB317" s="544"/>
      <c r="AC317" s="544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50</v>
      </c>
      <c r="Y318" s="543">
        <f>IFERROR(SUM(Y314:Y316),"0")</f>
        <v>54.6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506</v>
      </c>
      <c r="B322" s="54" t="s">
        <v>507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511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hidden="1" customHeight="1" x14ac:dyDescent="0.25">
      <c r="A327" s="54" t="s">
        <v>512</v>
      </c>
      <c r="B327" s="54" t="s">
        <v>513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186</v>
      </c>
      <c r="M327" s="33" t="s">
        <v>514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516</v>
      </c>
      <c r="B328" s="54" t="s">
        <v>517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514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518</v>
      </c>
      <c r="B329" s="54" t="s">
        <v>519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514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hidden="1" customHeight="1" x14ac:dyDescent="0.25">
      <c r="A332" s="560" t="s">
        <v>520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hidden="1" customHeight="1" x14ac:dyDescent="0.25">
      <c r="A334" s="54" t="s">
        <v>521</v>
      </c>
      <c r="B334" s="54" t="s">
        <v>522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524</v>
      </c>
      <c r="B335" s="54" t="s">
        <v>525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hidden="1" customHeight="1" x14ac:dyDescent="0.2">
      <c r="A339" s="631" t="s">
        <v>530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531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hidden="1" customHeight="1" x14ac:dyDescent="0.25">
      <c r="A342" s="54" t="s">
        <v>532</v>
      </c>
      <c r="B342" s="54" t="s">
        <v>533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0</v>
      </c>
      <c r="Y342" s="542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hidden="1" customHeight="1" x14ac:dyDescent="0.25">
      <c r="A343" s="54" t="s">
        <v>535</v>
      </c>
      <c r="B343" s="54" t="s">
        <v>536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0</v>
      </c>
      <c r="Y343" s="542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hidden="1" customHeight="1" x14ac:dyDescent="0.25">
      <c r="A344" s="54" t="s">
        <v>538</v>
      </c>
      <c r="B344" s="54" t="s">
        <v>539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hidden="1" customHeight="1" x14ac:dyDescent="0.25">
      <c r="A345" s="54" t="s">
        <v>541</v>
      </c>
      <c r="B345" s="54" t="s">
        <v>542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idden="1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0</v>
      </c>
      <c r="Y349" s="543">
        <f>IFERROR(Y342/H342,"0")+IFERROR(Y343/H343,"0")+IFERROR(Y344/H344,"0")+IFERROR(Y345/H345,"0")+IFERROR(Y346/H346,"0")+IFERROR(Y347/H347,"0")+IFERROR(Y348/H348,"0")</f>
        <v>0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544"/>
      <c r="AB349" s="544"/>
      <c r="AC349" s="544"/>
    </row>
    <row r="350" spans="1:68" hidden="1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0</v>
      </c>
      <c r="Y350" s="543">
        <f>IFERROR(SUM(Y342:Y348),"0")</f>
        <v>0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2000</v>
      </c>
      <c r="Y352" s="542">
        <f>IFERROR(IF(X352="",0,CEILING((X352/$H352),1)*$H352),"")</f>
        <v>2010</v>
      </c>
      <c r="Z352" s="36">
        <f>IFERROR(IF(Y352=0,"",ROUNDUP(Y352/H352,0)*0.02175),"")</f>
        <v>2.9144999999999999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2062.6666666666665</v>
      </c>
      <c r="BN352" s="64">
        <f>IFERROR(Y352*I352/H352,"0")</f>
        <v>2072.98</v>
      </c>
      <c r="BO352" s="64">
        <f>IFERROR(1/J352*(X352/H352),"0")</f>
        <v>2.7777777777777777</v>
      </c>
      <c r="BP352" s="64">
        <f>IFERROR(1/J352*(Y352/H352),"0")</f>
        <v>2.7916666666666665</v>
      </c>
    </row>
    <row r="353" spans="1:68" ht="27" hidden="1" customHeight="1" x14ac:dyDescent="0.25">
      <c r="A353" s="54" t="s">
        <v>554</v>
      </c>
      <c r="B353" s="54" t="s">
        <v>555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133.33333333333334</v>
      </c>
      <c r="Y354" s="543">
        <f>IFERROR(Y352/H352,"0")+IFERROR(Y353/H353,"0")</f>
        <v>134</v>
      </c>
      <c r="Z354" s="543">
        <f>IFERROR(IF(Z352="",0,Z352),"0")+IFERROR(IF(Z353="",0,Z353),"0")</f>
        <v>2.9144999999999999</v>
      </c>
      <c r="AA354" s="544"/>
      <c r="AB354" s="544"/>
      <c r="AC354" s="544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2000</v>
      </c>
      <c r="Y355" s="543">
        <f>IFERROR(SUM(Y352:Y353),"0")</f>
        <v>2010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50</v>
      </c>
      <c r="Y358" s="542">
        <f>IFERROR(IF(X358="",0,CEILING((X358/$H358),1)*$H358),"")</f>
        <v>54</v>
      </c>
      <c r="Z358" s="36">
        <f>IFERROR(IF(Y358=0,"",ROUNDUP(Y358/H358,0)*0.01898),"")</f>
        <v>0.11388000000000001</v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52.74444444444444</v>
      </c>
      <c r="BN358" s="64">
        <f>IFERROR(Y358*I358/H358,"0")</f>
        <v>56.963999999999992</v>
      </c>
      <c r="BO358" s="64">
        <f>IFERROR(1/J358*(X358/H358),"0")</f>
        <v>8.6805555555555552E-2</v>
      </c>
      <c r="BP358" s="64">
        <f>IFERROR(1/J358*(Y358/H358),"0")</f>
        <v>9.375E-2</v>
      </c>
    </row>
    <row r="359" spans="1:68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5.5555555555555554</v>
      </c>
      <c r="Y359" s="543">
        <f>IFERROR(Y357/H357,"0")+IFERROR(Y358/H358,"0")</f>
        <v>6</v>
      </c>
      <c r="Z359" s="543">
        <f>IFERROR(IF(Z357="",0,Z357),"0")+IFERROR(IF(Z358="",0,Z358),"0")</f>
        <v>0.11388000000000001</v>
      </c>
      <c r="AA359" s="544"/>
      <c r="AB359" s="544"/>
      <c r="AC359" s="544"/>
    </row>
    <row r="360" spans="1:68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50</v>
      </c>
      <c r="Y360" s="543">
        <f>IFERROR(SUM(Y357:Y358),"0")</f>
        <v>54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250</v>
      </c>
      <c r="Y362" s="542">
        <f>IFERROR(IF(X362="",0,CEILING((X362/$H362),1)*$H362),"")</f>
        <v>252</v>
      </c>
      <c r="Z362" s="36">
        <f>IFERROR(IF(Y362=0,"",ROUNDUP(Y362/H362,0)*0.01898),"")</f>
        <v>0.53144000000000002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263.72222222222223</v>
      </c>
      <c r="BN362" s="64">
        <f>IFERROR(Y362*I362/H362,"0")</f>
        <v>265.83199999999999</v>
      </c>
      <c r="BO362" s="64">
        <f>IFERROR(1/J362*(X362/H362),"0")</f>
        <v>0.43402777777777779</v>
      </c>
      <c r="BP362" s="64">
        <f>IFERROR(1/J362*(Y362/H362),"0")</f>
        <v>0.4375</v>
      </c>
    </row>
    <row r="363" spans="1:68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27.777777777777779</v>
      </c>
      <c r="Y363" s="543">
        <f>IFERROR(Y362/H362,"0")</f>
        <v>28</v>
      </c>
      <c r="Z363" s="543">
        <f>IFERROR(IF(Z362="",0,Z362),"0")</f>
        <v>0.53144000000000002</v>
      </c>
      <c r="AA363" s="544"/>
      <c r="AB363" s="544"/>
      <c r="AC363" s="544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250</v>
      </c>
      <c r="Y364" s="543">
        <f>IFERROR(SUM(Y362:Y362),"0")</f>
        <v>252</v>
      </c>
      <c r="Z364" s="37"/>
      <c r="AA364" s="544"/>
      <c r="AB364" s="544"/>
      <c r="AC364" s="544"/>
    </row>
    <row r="365" spans="1:68" ht="16.5" hidden="1" customHeight="1" x14ac:dyDescent="0.25">
      <c r="A365" s="560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hidden="1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31" t="s">
        <v>585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30</v>
      </c>
      <c r="Y386" s="542">
        <f t="shared" si="36"/>
        <v>32.400000000000006</v>
      </c>
      <c r="Z386" s="36">
        <f>IFERROR(IF(Y386=0,"",ROUNDUP(Y386/H386,0)*0.00902),"")</f>
        <v>5.4120000000000001E-2</v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31.05555555555555</v>
      </c>
      <c r="BN386" s="64">
        <f t="shared" si="38"/>
        <v>33.54</v>
      </c>
      <c r="BO386" s="64">
        <f t="shared" si="39"/>
        <v>4.208754208754209E-2</v>
      </c>
      <c r="BP386" s="64">
        <f t="shared" si="40"/>
        <v>4.5454545454545463E-2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50</v>
      </c>
      <c r="Y387" s="542">
        <f t="shared" si="36"/>
        <v>54</v>
      </c>
      <c r="Z387" s="36">
        <f>IFERROR(IF(Y387=0,"",ROUNDUP(Y387/H387,0)*0.00902),"")</f>
        <v>9.0200000000000002E-2</v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51.759259259259252</v>
      </c>
      <c r="BN387" s="64">
        <f t="shared" si="38"/>
        <v>55.9</v>
      </c>
      <c r="BO387" s="64">
        <f t="shared" si="39"/>
        <v>7.0145903479236812E-2</v>
      </c>
      <c r="BP387" s="64">
        <f t="shared" si="40"/>
        <v>7.575757575757576E-2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14.814814814814815</v>
      </c>
      <c r="Y394" s="543">
        <f>IFERROR(Y385/H385,"0")+IFERROR(Y386/H386,"0")+IFERROR(Y387/H387,"0")+IFERROR(Y388/H388,"0")+IFERROR(Y389/H389,"0")+IFERROR(Y390/H390,"0")+IFERROR(Y391/H391,"0")+IFERROR(Y392/H392,"0")+IFERROR(Y393/H393,"0")</f>
        <v>16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0.14432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80</v>
      </c>
      <c r="Y395" s="543">
        <f>IFERROR(SUM(Y385:Y393),"0")</f>
        <v>86.4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200</v>
      </c>
      <c r="Y407" s="542">
        <f>IFERROR(IF(X407="",0,CEILING((X407/$H407),1)*$H407),"")</f>
        <v>205.20000000000002</v>
      </c>
      <c r="Z407" s="36">
        <f>IFERROR(IF(Y407=0,"",ROUNDUP(Y407/H407,0)*0.00902),"")</f>
        <v>0.34276000000000001</v>
      </c>
      <c r="AA407" s="56"/>
      <c r="AB407" s="57"/>
      <c r="AC407" s="451" t="s">
        <v>623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207.03703703703701</v>
      </c>
      <c r="BN407" s="64">
        <f>IFERROR(Y407*I407/H407,"0")</f>
        <v>212.42</v>
      </c>
      <c r="BO407" s="64">
        <f>IFERROR(1/J407*(X407/H407),"0")</f>
        <v>0.28058361391694725</v>
      </c>
      <c r="BP407" s="64">
        <f>IFERROR(1/J407*(Y407/H407),"0")</f>
        <v>0.2878787878787879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37.037037037037038</v>
      </c>
      <c r="Y411" s="543">
        <f>IFERROR(Y407/H407,"0")+IFERROR(Y408/H408,"0")+IFERROR(Y409/H409,"0")+IFERROR(Y410/H410,"0")</f>
        <v>38</v>
      </c>
      <c r="Z411" s="543">
        <f>IFERROR(IF(Z407="",0,Z407),"0")+IFERROR(IF(Z408="",0,Z408),"0")+IFERROR(IF(Z409="",0,Z409),"0")+IFERROR(IF(Z410="",0,Z410),"0")</f>
        <v>0.34276000000000001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200</v>
      </c>
      <c r="Y412" s="543">
        <f>IFERROR(SUM(Y407:Y410),"0")</f>
        <v>205.20000000000002</v>
      </c>
      <c r="Z412" s="37"/>
      <c r="AA412" s="544"/>
      <c r="AB412" s="544"/>
      <c r="AC412" s="544"/>
    </row>
    <row r="413" spans="1:68" ht="16.5" hidden="1" customHeight="1" x14ac:dyDescent="0.25">
      <c r="A413" s="560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1" t="s">
        <v>636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40</v>
      </c>
      <c r="Y423" s="542">
        <f t="shared" si="42"/>
        <v>42.24</v>
      </c>
      <c r="Z423" s="36">
        <f t="shared" si="43"/>
        <v>9.5680000000000001E-2</v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42.651515151515149</v>
      </c>
      <c r="BN423" s="64">
        <f t="shared" si="45"/>
        <v>45.04</v>
      </c>
      <c r="BO423" s="64">
        <f t="shared" si="46"/>
        <v>7.2843822843822847E-2</v>
      </c>
      <c r="BP423" s="64">
        <f t="shared" si="47"/>
        <v>7.6923076923076927E-2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100</v>
      </c>
      <c r="Y424" s="542">
        <f t="shared" si="42"/>
        <v>100.32000000000001</v>
      </c>
      <c r="Z424" s="36">
        <f t="shared" si="43"/>
        <v>0.22724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106.62878787878788</v>
      </c>
      <c r="BN424" s="64">
        <f t="shared" si="45"/>
        <v>106.97</v>
      </c>
      <c r="BO424" s="64">
        <f t="shared" si="46"/>
        <v>0.18210955710955709</v>
      </c>
      <c r="BP424" s="64">
        <f t="shared" si="47"/>
        <v>0.18269230769230771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200</v>
      </c>
      <c r="Y426" s="542">
        <f t="shared" si="42"/>
        <v>200.64000000000001</v>
      </c>
      <c r="Z426" s="36">
        <f t="shared" si="43"/>
        <v>0.45448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213.25757575757575</v>
      </c>
      <c r="BN426" s="64">
        <f t="shared" si="45"/>
        <v>213.94</v>
      </c>
      <c r="BO426" s="64">
        <f t="shared" si="46"/>
        <v>0.36421911421911418</v>
      </c>
      <c r="BP426" s="64">
        <f t="shared" si="47"/>
        <v>0.36538461538461542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64.393939393939391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65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0.77739999999999998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340</v>
      </c>
      <c r="Y433" s="543">
        <f>IFERROR(SUM(Y421:Y431),"0")</f>
        <v>343.20000000000005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200</v>
      </c>
      <c r="Y435" s="542">
        <f>IFERROR(IF(X435="",0,CEILING((X435/$H435),1)*$H435),"")</f>
        <v>200.64000000000001</v>
      </c>
      <c r="Z435" s="36">
        <f>IFERROR(IF(Y435=0,"",ROUNDUP(Y435/H435,0)*0.01196),"")</f>
        <v>0.45448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213.25757575757575</v>
      </c>
      <c r="BN435" s="64">
        <f>IFERROR(Y435*I435/H435,"0")</f>
        <v>213.94</v>
      </c>
      <c r="BO435" s="64">
        <f>IFERROR(1/J435*(X435/H435),"0")</f>
        <v>0.36421911421911418</v>
      </c>
      <c r="BP435" s="64">
        <f>IFERROR(1/J435*(Y435/H435),"0")</f>
        <v>0.36538461538461542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37.878787878787875</v>
      </c>
      <c r="Y438" s="543">
        <f>IFERROR(Y435/H435,"0")+IFERROR(Y436/H436,"0")+IFERROR(Y437/H437,"0")</f>
        <v>38</v>
      </c>
      <c r="Z438" s="543">
        <f>IFERROR(IF(Z435="",0,Z435),"0")+IFERROR(IF(Z436="",0,Z436),"0")+IFERROR(IF(Z437="",0,Z437),"0")</f>
        <v>0.45448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200</v>
      </c>
      <c r="Y439" s="543">
        <f>IFERROR(SUM(Y435:Y437),"0")</f>
        <v>200.64000000000001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hidden="1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hidden="1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idden="1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hidden="1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696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80</v>
      </c>
      <c r="Y471" s="542">
        <f>IFERROR(IF(X471="",0,CEILING((X471/$H471),1)*$H471),"")</f>
        <v>84</v>
      </c>
      <c r="Z471" s="36">
        <f>IFERROR(IF(Y471=0,"",ROUNDUP(Y471/H471,0)*0.00902),"")</f>
        <v>0.1804</v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84.761904761904759</v>
      </c>
      <c r="BN471" s="64">
        <f>IFERROR(Y471*I471/H471,"0")</f>
        <v>89</v>
      </c>
      <c r="BO471" s="64">
        <f>IFERROR(1/J471*(X471/H471),"0")</f>
        <v>0.14430014430014429</v>
      </c>
      <c r="BP471" s="64">
        <f>IFERROR(1/J471*(Y471/H471),"0")</f>
        <v>0.15151515151515152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30</v>
      </c>
      <c r="Y472" s="542">
        <f>IFERROR(IF(X472="",0,CEILING((X472/$H472),1)*$H472),"")</f>
        <v>33.6</v>
      </c>
      <c r="Z472" s="36">
        <f>IFERROR(IF(Y472=0,"",ROUNDUP(Y472/H472,0)*0.00902),"")</f>
        <v>7.2160000000000002E-2</v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31.785714285714285</v>
      </c>
      <c r="BN472" s="64">
        <f>IFERROR(Y472*I472/H472,"0")</f>
        <v>35.6</v>
      </c>
      <c r="BO472" s="64">
        <f>IFERROR(1/J472*(X472/H472),"0")</f>
        <v>5.4112554112554112E-2</v>
      </c>
      <c r="BP472" s="64">
        <f>IFERROR(1/J472*(Y472/H472),"0")</f>
        <v>6.0606060606060608E-2</v>
      </c>
    </row>
    <row r="473" spans="1:68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26.19047619047619</v>
      </c>
      <c r="Y473" s="543">
        <f>IFERROR(Y471/H471,"0")+IFERROR(Y472/H472,"0")</f>
        <v>28</v>
      </c>
      <c r="Z473" s="543">
        <f>IFERROR(IF(Z471="",0,Z471),"0")+IFERROR(IF(Z472="",0,Z472),"0")</f>
        <v>0.25256000000000001</v>
      </c>
      <c r="AA473" s="544"/>
      <c r="AB473" s="544"/>
      <c r="AC473" s="544"/>
    </row>
    <row r="474" spans="1:68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110</v>
      </c>
      <c r="Y474" s="543">
        <f>IFERROR(SUM(Y471:Y472),"0")</f>
        <v>117.6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800</v>
      </c>
      <c r="Y476" s="542">
        <f>IFERROR(IF(X476="",0,CEILING((X476/$H476),1)*$H476),"")</f>
        <v>801</v>
      </c>
      <c r="Z476" s="36">
        <f>IFERROR(IF(Y476=0,"",ROUNDUP(Y476/H476,0)*0.01898),"")</f>
        <v>1.6892199999999999</v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843.91111111111104</v>
      </c>
      <c r="BN476" s="64">
        <f>IFERROR(Y476*I476/H476,"0")</f>
        <v>844.96599999999989</v>
      </c>
      <c r="BO476" s="64">
        <f>IFERROR(1/J476*(X476/H476),"0")</f>
        <v>1.3888888888888888</v>
      </c>
      <c r="BP476" s="64">
        <f>IFERROR(1/J476*(Y476/H476),"0")</f>
        <v>1.390625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88.888888888888886</v>
      </c>
      <c r="Y477" s="543">
        <f>IFERROR(Y476/H476,"0")</f>
        <v>89</v>
      </c>
      <c r="Z477" s="543">
        <f>IFERROR(IF(Z476="",0,Z476),"0")</f>
        <v>1.6892199999999999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800</v>
      </c>
      <c r="Y478" s="543">
        <f>IFERROR(SUM(Y476:Y476),"0")</f>
        <v>801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163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736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5283.8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5366.9400000000005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737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5524.7119494673061</v>
      </c>
      <c r="Y490" s="543">
        <f>IFERROR(SUM(BN22:BN486),"0")</f>
        <v>5611.8959999999988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738</v>
      </c>
      <c r="Q491" s="626"/>
      <c r="R491" s="626"/>
      <c r="S491" s="626"/>
      <c r="T491" s="626"/>
      <c r="U491" s="626"/>
      <c r="V491" s="627"/>
      <c r="W491" s="37" t="s">
        <v>739</v>
      </c>
      <c r="X491" s="38">
        <f>ROUNDUP(SUM(BO22:BO486),0)</f>
        <v>9</v>
      </c>
      <c r="Y491" s="38">
        <f>ROUNDUP(SUM(BP22:BP486),0)</f>
        <v>9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740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5749.7119494673061</v>
      </c>
      <c r="Y492" s="543">
        <f>GrossWeightTotalR+PalletQtyTotalR*25</f>
        <v>5836.8959999999988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741</v>
      </c>
      <c r="Q493" s="626"/>
      <c r="R493" s="626"/>
      <c r="S493" s="626"/>
      <c r="T493" s="626"/>
      <c r="U493" s="626"/>
      <c r="V493" s="627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684.88337290636139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697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742</v>
      </c>
      <c r="Q494" s="626"/>
      <c r="R494" s="626"/>
      <c r="S494" s="626"/>
      <c r="T494" s="626"/>
      <c r="U494" s="626"/>
      <c r="V494" s="627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9.8231200000000012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250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530</v>
      </c>
      <c r="T496" s="621"/>
      <c r="U496" s="592" t="s">
        <v>585</v>
      </c>
      <c r="V496" s="663"/>
      <c r="W496" s="621"/>
      <c r="X496" s="538" t="s">
        <v>636</v>
      </c>
      <c r="Y496" s="592" t="s">
        <v>696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190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126.9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159.29999999999998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71.400000000000006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834.30000000000018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105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2316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86.4</v>
      </c>
      <c r="V499" s="46">
        <f>IFERROR(Y403*1,"0")+IFERROR(Y407*1,"0")+IFERROR(Y408*1,"0")+IFERROR(Y409*1,"0")+IFERROR(Y410*1,"0")</f>
        <v>205.20000000000002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543.84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918.6</v>
      </c>
      <c r="Z499" s="46">
        <f>IFERROR(Y486*1,"0")</f>
        <v>0</v>
      </c>
      <c r="AB499" s="52"/>
      <c r="AC499" s="52"/>
      <c r="AF499" s="539"/>
    </row>
  </sheetData>
  <sheetProtection algorithmName="SHA-512" hashValue="ja1GUQjaw7DiRMALpNZGp4GTMicZZGKAalw3D1QejLzGTfz7gAp0L/JNNu7xsh19KbKdJgXSjz9VZoGmqL8qKg==" saltValue="d+xitUp46JUZOnHzPZ69dw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1,90"/>
        <filter val="110,00"/>
        <filter val="111,11"/>
        <filter val="121,60"/>
        <filter val="133,33"/>
        <filter val="14,81"/>
        <filter val="150,00"/>
        <filter val="16,17"/>
        <filter val="16,67"/>
        <filter val="19,20"/>
        <filter val="196,00"/>
        <filter val="2 000,00"/>
        <filter val="2,78"/>
        <filter val="20,35"/>
        <filter val="200,00"/>
        <filter val="21,60"/>
        <filter val="250,00"/>
        <filter val="26,19"/>
        <filter val="27,00"/>
        <filter val="27,78"/>
        <filter val="3,70"/>
        <filter val="30,00"/>
        <filter val="340,00"/>
        <filter val="37,04"/>
        <filter val="37,88"/>
        <filter val="40,00"/>
        <filter val="48,00"/>
        <filter val="5 283,80"/>
        <filter val="5 524,71"/>
        <filter val="5 749,71"/>
        <filter val="5,56"/>
        <filter val="50,00"/>
        <filter val="51,92"/>
        <filter val="6,41"/>
        <filter val="600,00"/>
        <filter val="64,39"/>
        <filter val="684,88"/>
        <filter val="70,00"/>
        <filter val="77,00"/>
        <filter val="8,00"/>
        <filter val="80,00"/>
        <filter val="800,00"/>
        <filter val="88,89"/>
        <filter val="9"/>
        <filter val="9,60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5 X387 X392 X407 X421 X423:X424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FA9G/ET78YwWv/wa2Rs8D9Y3SoZJXaMZqdWX52TLqA9unWXg34ExnQv8y5vbNs9IaN6tCdAGHoXAOcrgyrs2YQ==" saltValue="LuBcGaphU7yAIvkRZ3fk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2025-12-03T11:23:12Z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