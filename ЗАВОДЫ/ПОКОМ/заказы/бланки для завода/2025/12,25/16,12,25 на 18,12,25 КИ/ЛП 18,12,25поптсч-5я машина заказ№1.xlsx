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E1CF0D-563E-4DEF-9BE5-39648A21D4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Y385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Y336" i="1" s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Y106" i="1" s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Y90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93" i="1" l="1"/>
  <c r="BN93" i="1"/>
  <c r="Z93" i="1"/>
  <c r="BP110" i="1"/>
  <c r="BN110" i="1"/>
  <c r="Z110" i="1"/>
  <c r="BP171" i="1"/>
  <c r="BN171" i="1"/>
  <c r="Z171" i="1"/>
  <c r="BP197" i="1"/>
  <c r="BN197" i="1"/>
  <c r="Z197" i="1"/>
  <c r="BP219" i="1"/>
  <c r="BN219" i="1"/>
  <c r="Z219" i="1"/>
  <c r="BP252" i="1"/>
  <c r="BN252" i="1"/>
  <c r="Z252" i="1"/>
  <c r="BP284" i="1"/>
  <c r="BN284" i="1"/>
  <c r="Z284" i="1"/>
  <c r="BP288" i="1"/>
  <c r="BN288" i="1"/>
  <c r="Z288" i="1"/>
  <c r="BP315" i="1"/>
  <c r="BN315" i="1"/>
  <c r="Z315" i="1"/>
  <c r="BP347" i="1"/>
  <c r="BN347" i="1"/>
  <c r="Z347" i="1"/>
  <c r="BP384" i="1"/>
  <c r="BN384" i="1"/>
  <c r="Z384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Z42" i="1"/>
  <c r="BN42" i="1"/>
  <c r="D502" i="1"/>
  <c r="Z61" i="1"/>
  <c r="BN61" i="1"/>
  <c r="Z73" i="1"/>
  <c r="BN73" i="1"/>
  <c r="BP105" i="1"/>
  <c r="BN105" i="1"/>
  <c r="Z105" i="1"/>
  <c r="BP109" i="1"/>
  <c r="BN109" i="1"/>
  <c r="Z109" i="1"/>
  <c r="BP129" i="1"/>
  <c r="BN129" i="1"/>
  <c r="Z129" i="1"/>
  <c r="BP174" i="1"/>
  <c r="BN174" i="1"/>
  <c r="Z174" i="1"/>
  <c r="BP207" i="1"/>
  <c r="BN207" i="1"/>
  <c r="Z207" i="1"/>
  <c r="BP234" i="1"/>
  <c r="BN234" i="1"/>
  <c r="Z234" i="1"/>
  <c r="BP263" i="1"/>
  <c r="BN263" i="1"/>
  <c r="Z263" i="1"/>
  <c r="BP303" i="1"/>
  <c r="BN303" i="1"/>
  <c r="Z303" i="1"/>
  <c r="BP325" i="1"/>
  <c r="BN325" i="1"/>
  <c r="Z325" i="1"/>
  <c r="BP357" i="1"/>
  <c r="BN357" i="1"/>
  <c r="Z357" i="1"/>
  <c r="BP394" i="1"/>
  <c r="BN394" i="1"/>
  <c r="Z394" i="1"/>
  <c r="BP431" i="1"/>
  <c r="BN431" i="1"/>
  <c r="Z431" i="1"/>
  <c r="BP463" i="1"/>
  <c r="BN463" i="1"/>
  <c r="Z463" i="1"/>
  <c r="J9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Y78" i="1"/>
  <c r="Z86" i="1"/>
  <c r="BN86" i="1"/>
  <c r="BP86" i="1"/>
  <c r="Z87" i="1"/>
  <c r="Z90" i="1" s="1"/>
  <c r="BN87" i="1"/>
  <c r="Z95" i="1"/>
  <c r="BN95" i="1"/>
  <c r="Z103" i="1"/>
  <c r="BN103" i="1"/>
  <c r="BP118" i="1"/>
  <c r="BN118" i="1"/>
  <c r="Z118" i="1"/>
  <c r="BP150" i="1"/>
  <c r="BN150" i="1"/>
  <c r="Z150" i="1"/>
  <c r="BP169" i="1"/>
  <c r="BN169" i="1"/>
  <c r="Z169" i="1"/>
  <c r="BP182" i="1"/>
  <c r="BN182" i="1"/>
  <c r="Z182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1" i="1"/>
  <c r="BN261" i="1"/>
  <c r="Z261" i="1"/>
  <c r="Y273" i="1"/>
  <c r="BP277" i="1"/>
  <c r="BN277" i="1"/>
  <c r="Z277" i="1"/>
  <c r="BP340" i="1"/>
  <c r="BN340" i="1"/>
  <c r="Z340" i="1"/>
  <c r="BP112" i="1"/>
  <c r="BN112" i="1"/>
  <c r="Z112" i="1"/>
  <c r="Y135" i="1"/>
  <c r="BP133" i="1"/>
  <c r="BN133" i="1"/>
  <c r="Z133" i="1"/>
  <c r="Y178" i="1"/>
  <c r="BP165" i="1"/>
  <c r="BN165" i="1"/>
  <c r="Z165" i="1"/>
  <c r="BP176" i="1"/>
  <c r="BN176" i="1"/>
  <c r="Z176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BP295" i="1"/>
  <c r="BN295" i="1"/>
  <c r="Z295" i="1"/>
  <c r="BP305" i="1"/>
  <c r="BN305" i="1"/>
  <c r="Z305" i="1"/>
  <c r="Y323" i="1"/>
  <c r="BP319" i="1"/>
  <c r="BN319" i="1"/>
  <c r="Z319" i="1"/>
  <c r="Y322" i="1"/>
  <c r="Y120" i="1"/>
  <c r="Y121" i="1"/>
  <c r="Y184" i="1"/>
  <c r="Y183" i="1"/>
  <c r="L502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BP353" i="1"/>
  <c r="BN353" i="1"/>
  <c r="Z353" i="1"/>
  <c r="Y386" i="1"/>
  <c r="BP382" i="1"/>
  <c r="BN382" i="1"/>
  <c r="Z382" i="1"/>
  <c r="Z385" i="1" s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Y25" i="1"/>
  <c r="Y33" i="1"/>
  <c r="Y37" i="1"/>
  <c r="BP111" i="1"/>
  <c r="BN111" i="1"/>
  <c r="Z111" i="1"/>
  <c r="Z113" i="1" s="1"/>
  <c r="G502" i="1"/>
  <c r="Y131" i="1"/>
  <c r="BP128" i="1"/>
  <c r="BN128" i="1"/>
  <c r="Z128" i="1"/>
  <c r="BP145" i="1"/>
  <c r="BN145" i="1"/>
  <c r="Z145" i="1"/>
  <c r="Z146" i="1" s="1"/>
  <c r="Y147" i="1"/>
  <c r="BP175" i="1"/>
  <c r="BN175" i="1"/>
  <c r="Z175" i="1"/>
  <c r="BP192" i="1"/>
  <c r="BN192" i="1"/>
  <c r="Z192" i="1"/>
  <c r="Z193" i="1" s="1"/>
  <c r="Y194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Y222" i="1"/>
  <c r="BP253" i="1"/>
  <c r="BN253" i="1"/>
  <c r="Z253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Y45" i="1"/>
  <c r="Y49" i="1"/>
  <c r="Y58" i="1"/>
  <c r="Y64" i="1"/>
  <c r="BP76" i="1"/>
  <c r="BN76" i="1"/>
  <c r="Z76" i="1"/>
  <c r="Y83" i="1"/>
  <c r="BP80" i="1"/>
  <c r="BN80" i="1"/>
  <c r="Z80" i="1"/>
  <c r="Z82" i="1" s="1"/>
  <c r="BP94" i="1"/>
  <c r="BN94" i="1"/>
  <c r="Z94" i="1"/>
  <c r="BP102" i="1"/>
  <c r="BN102" i="1"/>
  <c r="Z102" i="1"/>
  <c r="BP119" i="1"/>
  <c r="BN119" i="1"/>
  <c r="Z119" i="1"/>
  <c r="Y124" i="1"/>
  <c r="BP123" i="1"/>
  <c r="BN123" i="1"/>
  <c r="Z123" i="1"/>
  <c r="Z124" i="1" s="1"/>
  <c r="Y125" i="1"/>
  <c r="Y152" i="1"/>
  <c r="BP149" i="1"/>
  <c r="BN149" i="1"/>
  <c r="Z149" i="1"/>
  <c r="BP168" i="1"/>
  <c r="BN168" i="1"/>
  <c r="Z168" i="1"/>
  <c r="BP172" i="1"/>
  <c r="BN172" i="1"/>
  <c r="Z172" i="1"/>
  <c r="Y199" i="1"/>
  <c r="BP196" i="1"/>
  <c r="BN196" i="1"/>
  <c r="Z196" i="1"/>
  <c r="Z198" i="1" s="1"/>
  <c r="Y210" i="1"/>
  <c r="BP220" i="1"/>
  <c r="BN220" i="1"/>
  <c r="Z220" i="1"/>
  <c r="Y227" i="1"/>
  <c r="BP224" i="1"/>
  <c r="BN224" i="1"/>
  <c r="Z224" i="1"/>
  <c r="Z226" i="1" s="1"/>
  <c r="Y226" i="1"/>
  <c r="BP271" i="1"/>
  <c r="BN271" i="1"/>
  <c r="Z271" i="1"/>
  <c r="O502" i="1"/>
  <c r="Y279" i="1"/>
  <c r="BP276" i="1"/>
  <c r="BN276" i="1"/>
  <c r="Z276" i="1"/>
  <c r="Y280" i="1"/>
  <c r="BP289" i="1"/>
  <c r="BN289" i="1"/>
  <c r="Z289" i="1"/>
  <c r="Z290" i="1" s="1"/>
  <c r="Y291" i="1"/>
  <c r="BP334" i="1"/>
  <c r="BN334" i="1"/>
  <c r="Z334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Y71" i="1"/>
  <c r="Z68" i="1"/>
  <c r="Z70" i="1" s="1"/>
  <c r="BN68" i="1"/>
  <c r="Y70" i="1"/>
  <c r="BP74" i="1"/>
  <c r="BN74" i="1"/>
  <c r="Z74" i="1"/>
  <c r="Y82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Z329" i="1" s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Z354" i="1" s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97" i="1" l="1"/>
  <c r="Z444" i="1"/>
  <c r="Z285" i="1"/>
  <c r="Z272" i="1"/>
  <c r="Z264" i="1"/>
  <c r="Z77" i="1"/>
  <c r="Z64" i="1"/>
  <c r="Z58" i="1"/>
  <c r="Z130" i="1"/>
  <c r="Z466" i="1"/>
  <c r="Z399" i="1"/>
  <c r="Y493" i="1"/>
  <c r="Z453" i="1"/>
  <c r="Z438" i="1"/>
  <c r="Z177" i="1"/>
  <c r="Y494" i="1"/>
  <c r="Z279" i="1"/>
  <c r="Z221" i="1"/>
  <c r="Y492" i="1"/>
  <c r="Z416" i="1"/>
  <c r="Z316" i="1"/>
  <c r="Z209" i="1"/>
  <c r="Z120" i="1"/>
  <c r="Z106" i="1"/>
  <c r="Z44" i="1"/>
  <c r="Z32" i="1"/>
  <c r="Y496" i="1"/>
  <c r="X495" i="1"/>
  <c r="Z342" i="1"/>
  <c r="Z152" i="1"/>
  <c r="Z300" i="1"/>
  <c r="Z497" i="1" l="1"/>
  <c r="Y495" i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<sst xmlns="http://schemas.openxmlformats.org/spreadsheetml/2006/main" count="2363" uniqueCount="779">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</sst>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0.58333333333333337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1000</v>
      </c>
      <c r="Y53" s="548">
        <f t="shared" si="0"/>
        <v>1004.4000000000001</v>
      </c>
      <c r="Z53" s="36">
        <f>IFERROR(IF(Y53=0,"",ROUNDUP(Y53/H53,0)*0.01898),"")</f>
        <v>1.7651399999999999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1037.9629629629628</v>
      </c>
      <c r="BN53" s="64">
        <f t="shared" si="2"/>
        <v>1042.5300000000002</v>
      </c>
      <c r="BO53" s="64">
        <f t="shared" si="3"/>
        <v>1.4467592592592591</v>
      </c>
      <c r="BP53" s="64">
        <f t="shared" si="4"/>
        <v>1.453125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92.592592592592581</v>
      </c>
      <c r="Y58" s="549">
        <f>IFERROR(Y52/H52,"0")+IFERROR(Y53/H53,"0")+IFERROR(Y54/H54,"0")+IFERROR(Y55/H55,"0")+IFERROR(Y56/H56,"0")+IFERROR(Y57/H57,"0")</f>
        <v>93</v>
      </c>
      <c r="Z58" s="549">
        <f>IFERROR(IF(Z52="",0,Z52),"0")+IFERROR(IF(Z53="",0,Z53),"0")+IFERROR(IF(Z54="",0,Z54),"0")+IFERROR(IF(Z55="",0,Z55),"0")+IFERROR(IF(Z56="",0,Z56),"0")+IFERROR(IF(Z57="",0,Z57),"0")</f>
        <v>1.7651399999999999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1000</v>
      </c>
      <c r="Y59" s="549">
        <f>IFERROR(SUM(Y52:Y57),"0")</f>
        <v>1004.4000000000001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1000</v>
      </c>
      <c r="Y294" s="548">
        <f t="shared" ref="Y294:Y299" si="26">IFERROR(IF(X294="",0,CEILING((X294/$H294),1)*$H294),"")</f>
        <v>1004.4000000000001</v>
      </c>
      <c r="Z294" s="36">
        <f>IFERROR(IF(Y294=0,"",ROUNDUP(Y294/H294,0)*0.01898),"")</f>
        <v>1.7651399999999999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1037.9629629629628</v>
      </c>
      <c r="BN294" s="64">
        <f t="shared" ref="BN294:BN299" si="28">IFERROR(Y294*I294/H294,"0")</f>
        <v>1042.5300000000002</v>
      </c>
      <c r="BO294" s="64">
        <f t="shared" ref="BO294:BO299" si="29">IFERROR(1/J294*(X294/H294),"0")</f>
        <v>1.4467592592592591</v>
      </c>
      <c r="BP294" s="64">
        <f t="shared" ref="BP294:BP299" si="30">IFERROR(1/J294*(Y294/H294),"0")</f>
        <v>1.453125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92.592592592592581</v>
      </c>
      <c r="Y300" s="549">
        <f>IFERROR(Y294/H294,"0")+IFERROR(Y295/H295,"0")+IFERROR(Y296/H296,"0")+IFERROR(Y297/H297,"0")+IFERROR(Y298/H298,"0")+IFERROR(Y299/H299,"0")</f>
        <v>93</v>
      </c>
      <c r="Z300" s="549">
        <f>IFERROR(IF(Z294="",0,Z294),"0")+IFERROR(IF(Z295="",0,Z295),"0")+IFERROR(IF(Z296="",0,Z296),"0")+IFERROR(IF(Z297="",0,Z297),"0")+IFERROR(IF(Z298="",0,Z298),"0")+IFERROR(IF(Z299="",0,Z299),"0")</f>
        <v>1.7651399999999999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1000</v>
      </c>
      <c r="Y301" s="549">
        <f>IFERROR(SUM(Y294:Y299),"0")</f>
        <v>1004.4000000000001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hidden="1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idden="1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hidden="1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1000</v>
      </c>
      <c r="Y312" s="548">
        <f>IFERROR(IF(X312="",0,CEILING((X312/$H312),1)*$H312),"")</f>
        <v>1006.1999999999999</v>
      </c>
      <c r="Z312" s="36">
        <f>IFERROR(IF(Y312=0,"",ROUNDUP(Y312/H312,0)*0.01898),"")</f>
        <v>2.44842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1062.5641025641025</v>
      </c>
      <c r="BN312" s="64">
        <f>IFERROR(Y312*I312/H312,"0")</f>
        <v>1069.152</v>
      </c>
      <c r="BO312" s="64">
        <f>IFERROR(1/J312*(X312/H312),"0")</f>
        <v>2.0032051282051282</v>
      </c>
      <c r="BP312" s="64">
        <f>IFERROR(1/J312*(Y312/H312),"0")</f>
        <v>2.015625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128.2051282051282</v>
      </c>
      <c r="Y316" s="549">
        <f>IFERROR(Y312/H312,"0")+IFERROR(Y313/H313,"0")+IFERROR(Y314/H314,"0")+IFERROR(Y315/H315,"0")</f>
        <v>129</v>
      </c>
      <c r="Z316" s="549">
        <f>IFERROR(IF(Z312="",0,Z312),"0")+IFERROR(IF(Z313="",0,Z313),"0")+IFERROR(IF(Z314="",0,Z314),"0")+IFERROR(IF(Z315="",0,Z315),"0")</f>
        <v>2.44842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1000</v>
      </c>
      <c r="Y317" s="549">
        <f>IFERROR(SUM(Y312:Y315),"0")</f>
        <v>1006.1999999999999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idden="1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0</v>
      </c>
      <c r="Y354" s="549">
        <f>IFERROR(Y347/H347,"0")+IFERROR(Y348/H348,"0")+IFERROR(Y349/H349,"0")+IFERROR(Y350/H350,"0")+IFERROR(Y351/H351,"0")+IFERROR(Y352/H352,"0")+IFERROR(Y353/H353,"0")</f>
        <v>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50"/>
      <c r="AB354" s="550"/>
      <c r="AC354" s="550"/>
    </row>
    <row r="355" spans="1:68" hidden="1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0</v>
      </c>
      <c r="Y355" s="549">
        <f>IFERROR(SUM(Y347:Y353),"0")</f>
        <v>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hidden="1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idden="1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hidden="1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idden="1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hidden="1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3015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3138.4900284900282</v>
      </c>
      <c r="Y493" s="549">
        <f>IFERROR(SUM(BN22:BN489),"0")</f>
        <v>3154.2120000000004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5</v>
      </c>
      <c r="Y494" s="38">
        <f>ROUNDUP(SUM(BP22:BP489),0)</f>
        <v>5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3263.4900284900282</v>
      </c>
      <c r="Y495" s="549">
        <f>GrossWeightTotalR+PalletQtyTotalR*25</f>
        <v>3279.2120000000004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313.39031339031339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315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5.9786999999999999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1004.4000000000001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2010.6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28,21"/>
        <filter val="3 000,00"/>
        <filter val="3 138,49"/>
        <filter val="3 263,49"/>
        <filter val="313,39"/>
        <filter val="5"/>
        <filter val="92,59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