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730E387-B265-41C0-AE63-7944652A513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O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BP144" i="1" s="1"/>
  <c r="P144" i="1"/>
  <c r="X141" i="1"/>
  <c r="X140" i="1"/>
  <c r="BO139" i="1"/>
  <c r="BM139" i="1"/>
  <c r="Y139" i="1"/>
  <c r="BP139" i="1" s="1"/>
  <c r="P139" i="1"/>
  <c r="BO138" i="1"/>
  <c r="BM138" i="1"/>
  <c r="Y138" i="1"/>
  <c r="Y140" i="1" s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P133" i="1"/>
  <c r="X131" i="1"/>
  <c r="X130" i="1"/>
  <c r="BO129" i="1"/>
  <c r="BM129" i="1"/>
  <c r="Y129" i="1"/>
  <c r="BP129" i="1" s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81" i="1" l="1"/>
  <c r="BN81" i="1"/>
  <c r="Z81" i="1"/>
  <c r="BP118" i="1"/>
  <c r="BN118" i="1"/>
  <c r="Z118" i="1"/>
  <c r="BP165" i="1"/>
  <c r="BN165" i="1"/>
  <c r="Z165" i="1"/>
  <c r="BP201" i="1"/>
  <c r="BN201" i="1"/>
  <c r="Z201" i="1"/>
  <c r="BP225" i="1"/>
  <c r="BN225" i="1"/>
  <c r="Z225" i="1"/>
  <c r="BP254" i="1"/>
  <c r="BN254" i="1"/>
  <c r="Z254" i="1"/>
  <c r="BP284" i="1"/>
  <c r="BN284" i="1"/>
  <c r="Z284" i="1"/>
  <c r="BP288" i="1"/>
  <c r="BN288" i="1"/>
  <c r="Z288" i="1"/>
  <c r="BP315" i="1"/>
  <c r="BN315" i="1"/>
  <c r="Z315" i="1"/>
  <c r="BP351" i="1"/>
  <c r="BN351" i="1"/>
  <c r="Z351" i="1"/>
  <c r="BP394" i="1"/>
  <c r="BN394" i="1"/>
  <c r="Z394" i="1"/>
  <c r="BP431" i="1"/>
  <c r="BN431" i="1"/>
  <c r="Z431" i="1"/>
  <c r="BP463" i="1"/>
  <c r="BN463" i="1"/>
  <c r="Z463" i="1"/>
  <c r="X496" i="1"/>
  <c r="Z28" i="1"/>
  <c r="BN28" i="1"/>
  <c r="Z55" i="1"/>
  <c r="BN55" i="1"/>
  <c r="BP67" i="1"/>
  <c r="BN67" i="1"/>
  <c r="Z67" i="1"/>
  <c r="BP89" i="1"/>
  <c r="BN89" i="1"/>
  <c r="Z89" i="1"/>
  <c r="BP150" i="1"/>
  <c r="BN150" i="1"/>
  <c r="Z150" i="1"/>
  <c r="BP182" i="1"/>
  <c r="BN182" i="1"/>
  <c r="Z182" i="1"/>
  <c r="BP213" i="1"/>
  <c r="BN213" i="1"/>
  <c r="Z213" i="1"/>
  <c r="BP236" i="1"/>
  <c r="BN236" i="1"/>
  <c r="Z236" i="1"/>
  <c r="BP268" i="1"/>
  <c r="BN268" i="1"/>
  <c r="Z268" i="1"/>
  <c r="BP303" i="1"/>
  <c r="BN303" i="1"/>
  <c r="Z303" i="1"/>
  <c r="BP333" i="1"/>
  <c r="BN333" i="1"/>
  <c r="Z333" i="1"/>
  <c r="BP378" i="1"/>
  <c r="BN378" i="1"/>
  <c r="Z378" i="1"/>
  <c r="BP413" i="1"/>
  <c r="BN413" i="1"/>
  <c r="Z413" i="1"/>
  <c r="BP441" i="1"/>
  <c r="BN441" i="1"/>
  <c r="Z441" i="1"/>
  <c r="Y481" i="1"/>
  <c r="Y480" i="1"/>
  <c r="BP479" i="1"/>
  <c r="BN479" i="1"/>
  <c r="Z479" i="1"/>
  <c r="Z480" i="1" s="1"/>
  <c r="BP483" i="1"/>
  <c r="BN483" i="1"/>
  <c r="Z483" i="1"/>
  <c r="L502" i="1"/>
  <c r="Y90" i="1"/>
  <c r="Y183" i="1"/>
  <c r="BP299" i="1"/>
  <c r="BN299" i="1"/>
  <c r="Z299" i="1"/>
  <c r="BP313" i="1"/>
  <c r="BN313" i="1"/>
  <c r="Z313" i="1"/>
  <c r="BP349" i="1"/>
  <c r="BN349" i="1"/>
  <c r="Z349" i="1"/>
  <c r="BP363" i="1"/>
  <c r="BN363" i="1"/>
  <c r="Z363" i="1"/>
  <c r="Y369" i="1"/>
  <c r="Y368" i="1"/>
  <c r="BP367" i="1"/>
  <c r="BN367" i="1"/>
  <c r="Z367" i="1"/>
  <c r="Z368" i="1" s="1"/>
  <c r="BP372" i="1"/>
  <c r="BN372" i="1"/>
  <c r="Z372" i="1"/>
  <c r="BP392" i="1"/>
  <c r="BN392" i="1"/>
  <c r="Z392" i="1"/>
  <c r="BP402" i="1"/>
  <c r="BN402" i="1"/>
  <c r="Z402" i="1"/>
  <c r="BP429" i="1"/>
  <c r="BN429" i="1"/>
  <c r="Z429" i="1"/>
  <c r="BP437" i="1"/>
  <c r="BN437" i="1"/>
  <c r="Z437" i="1"/>
  <c r="BP451" i="1"/>
  <c r="BN451" i="1"/>
  <c r="Z451" i="1"/>
  <c r="BP475" i="1"/>
  <c r="BN475" i="1"/>
  <c r="Z475" i="1"/>
  <c r="J9" i="1"/>
  <c r="BP327" i="1"/>
  <c r="BN327" i="1"/>
  <c r="Z327" i="1"/>
  <c r="F9" i="1"/>
  <c r="F10" i="1"/>
  <c r="Z22" i="1"/>
  <c r="BN22" i="1"/>
  <c r="Y32" i="1"/>
  <c r="Z30" i="1"/>
  <c r="BN30" i="1"/>
  <c r="C502" i="1"/>
  <c r="Z53" i="1"/>
  <c r="BN53" i="1"/>
  <c r="Z57" i="1"/>
  <c r="BN57" i="1"/>
  <c r="Y65" i="1"/>
  <c r="Z63" i="1"/>
  <c r="BN63" i="1"/>
  <c r="Z69" i="1"/>
  <c r="BN69" i="1"/>
  <c r="Y77" i="1"/>
  <c r="Z75" i="1"/>
  <c r="BN75" i="1"/>
  <c r="Z86" i="1"/>
  <c r="Z90" i="1" s="1"/>
  <c r="BN86" i="1"/>
  <c r="Z87" i="1"/>
  <c r="BN87" i="1"/>
  <c r="Z95" i="1"/>
  <c r="BN95" i="1"/>
  <c r="Z103" i="1"/>
  <c r="BN103" i="1"/>
  <c r="Z109" i="1"/>
  <c r="BN109" i="1"/>
  <c r="Z110" i="1"/>
  <c r="BN110" i="1"/>
  <c r="Z116" i="1"/>
  <c r="BN116" i="1"/>
  <c r="BP116" i="1"/>
  <c r="Z129" i="1"/>
  <c r="BN129" i="1"/>
  <c r="Y135" i="1"/>
  <c r="Z139" i="1"/>
  <c r="BN139" i="1"/>
  <c r="Z144" i="1"/>
  <c r="BN144" i="1"/>
  <c r="Y178" i="1"/>
  <c r="Z167" i="1"/>
  <c r="BN167" i="1"/>
  <c r="Z171" i="1"/>
  <c r="BN171" i="1"/>
  <c r="Z174" i="1"/>
  <c r="BN174" i="1"/>
  <c r="Z180" i="1"/>
  <c r="BN180" i="1"/>
  <c r="BP180" i="1"/>
  <c r="Z197" i="1"/>
  <c r="BN197" i="1"/>
  <c r="Z203" i="1"/>
  <c r="BN203" i="1"/>
  <c r="Z207" i="1"/>
  <c r="BN207" i="1"/>
  <c r="Z215" i="1"/>
  <c r="BN215" i="1"/>
  <c r="Z219" i="1"/>
  <c r="BN219" i="1"/>
  <c r="Z230" i="1"/>
  <c r="BN230" i="1"/>
  <c r="Z234" i="1"/>
  <c r="BN234" i="1"/>
  <c r="Z238" i="1"/>
  <c r="BN238" i="1"/>
  <c r="Y256" i="1"/>
  <c r="Z252" i="1"/>
  <c r="BN252" i="1"/>
  <c r="Z259" i="1"/>
  <c r="BN259" i="1"/>
  <c r="BP259" i="1"/>
  <c r="Z263" i="1"/>
  <c r="BN263" i="1"/>
  <c r="Z270" i="1"/>
  <c r="BN270" i="1"/>
  <c r="BP277" i="1"/>
  <c r="BN277" i="1"/>
  <c r="BP295" i="1"/>
  <c r="BN295" i="1"/>
  <c r="Z295" i="1"/>
  <c r="BP305" i="1"/>
  <c r="BN305" i="1"/>
  <c r="Z305" i="1"/>
  <c r="Y323" i="1"/>
  <c r="BP319" i="1"/>
  <c r="BN319" i="1"/>
  <c r="Z319" i="1"/>
  <c r="BP340" i="1"/>
  <c r="BN340" i="1"/>
  <c r="Z340" i="1"/>
  <c r="BP353" i="1"/>
  <c r="BN353" i="1"/>
  <c r="Z353" i="1"/>
  <c r="Y386" i="1"/>
  <c r="BP382" i="1"/>
  <c r="BN382" i="1"/>
  <c r="Z382" i="1"/>
  <c r="BP396" i="1"/>
  <c r="BN396" i="1"/>
  <c r="Z396" i="1"/>
  <c r="BP415" i="1"/>
  <c r="BN415" i="1"/>
  <c r="Z415" i="1"/>
  <c r="BP433" i="1"/>
  <c r="BN433" i="1"/>
  <c r="Z433" i="1"/>
  <c r="BP443" i="1"/>
  <c r="BN443" i="1"/>
  <c r="Z443" i="1"/>
  <c r="BP447" i="1"/>
  <c r="BN447" i="1"/>
  <c r="Z447" i="1"/>
  <c r="BP465" i="1"/>
  <c r="BN465" i="1"/>
  <c r="Z465" i="1"/>
  <c r="Y309" i="1"/>
  <c r="Y359" i="1"/>
  <c r="Y445" i="1"/>
  <c r="Y444" i="1"/>
  <c r="Y485" i="1"/>
  <c r="W502" i="1"/>
  <c r="Y25" i="1"/>
  <c r="Y33" i="1"/>
  <c r="Y37" i="1"/>
  <c r="Y45" i="1"/>
  <c r="Y49" i="1"/>
  <c r="Y58" i="1"/>
  <c r="Y64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BP102" i="1"/>
  <c r="BN102" i="1"/>
  <c r="Z102" i="1"/>
  <c r="Y106" i="1"/>
  <c r="BP111" i="1"/>
  <c r="BN111" i="1"/>
  <c r="Z111" i="1"/>
  <c r="Z113" i="1" s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BP145" i="1"/>
  <c r="BN145" i="1"/>
  <c r="Z145" i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Z193" i="1" s="1"/>
  <c r="Y194" i="1"/>
  <c r="Y199" i="1"/>
  <c r="BP196" i="1"/>
  <c r="BN196" i="1"/>
  <c r="Z196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Z290" i="1" s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5" i="1" s="1"/>
  <c r="X494" i="1"/>
  <c r="Z23" i="1"/>
  <c r="Z24" i="1" s="1"/>
  <c r="BN23" i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Y71" i="1"/>
  <c r="Z68" i="1"/>
  <c r="Z70" i="1" s="1"/>
  <c r="BN68" i="1"/>
  <c r="Y70" i="1"/>
  <c r="BP74" i="1"/>
  <c r="BN74" i="1"/>
  <c r="Z74" i="1"/>
  <c r="Y82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Z120" i="1" s="1"/>
  <c r="Y130" i="1"/>
  <c r="BP134" i="1"/>
  <c r="BN134" i="1"/>
  <c r="Z134" i="1"/>
  <c r="Z135" i="1" s="1"/>
  <c r="Y136" i="1"/>
  <c r="Y141" i="1"/>
  <c r="BP138" i="1"/>
  <c r="BN138" i="1"/>
  <c r="Z138" i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BP173" i="1"/>
  <c r="BN173" i="1"/>
  <c r="Z173" i="1"/>
  <c r="Y177" i="1"/>
  <c r="BP181" i="1"/>
  <c r="BN181" i="1"/>
  <c r="Z181" i="1"/>
  <c r="Z183" i="1" s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Y264" i="1"/>
  <c r="BP269" i="1"/>
  <c r="BN269" i="1"/>
  <c r="Z269" i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BP308" i="1"/>
  <c r="BN308" i="1"/>
  <c r="Z308" i="1"/>
  <c r="Y310" i="1"/>
  <c r="Y317" i="1"/>
  <c r="BP312" i="1"/>
  <c r="BN312" i="1"/>
  <c r="Z312" i="1"/>
  <c r="Z316" i="1" s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BP348" i="1"/>
  <c r="BN348" i="1"/>
  <c r="Z348" i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Z354" i="1" s="1"/>
  <c r="BP358" i="1"/>
  <c r="BN358" i="1"/>
  <c r="Z358" i="1"/>
  <c r="Z359" i="1" s="1"/>
  <c r="Y360" i="1"/>
  <c r="Y365" i="1"/>
  <c r="BP362" i="1"/>
  <c r="BN362" i="1"/>
  <c r="Z362" i="1"/>
  <c r="Z364" i="1" s="1"/>
  <c r="BP383" i="1"/>
  <c r="BN383" i="1"/>
  <c r="Z383" i="1"/>
  <c r="Z385" i="1" s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85" i="1" l="1"/>
  <c r="Z272" i="1"/>
  <c r="Z264" i="1"/>
  <c r="Z379" i="1"/>
  <c r="Z140" i="1"/>
  <c r="Z77" i="1"/>
  <c r="Z198" i="1"/>
  <c r="Z146" i="1"/>
  <c r="Z438" i="1"/>
  <c r="Z309" i="1"/>
  <c r="Z177" i="1"/>
  <c r="Y494" i="1"/>
  <c r="Z97" i="1"/>
  <c r="Z453" i="1"/>
  <c r="Z399" i="1"/>
  <c r="Z58" i="1"/>
  <c r="Y493" i="1"/>
  <c r="Z329" i="1"/>
  <c r="Z466" i="1"/>
  <c r="Z300" i="1"/>
  <c r="Z416" i="1"/>
  <c r="Z209" i="1"/>
  <c r="Z106" i="1"/>
  <c r="Z44" i="1"/>
  <c r="Z32" i="1"/>
  <c r="Y496" i="1"/>
  <c r="Z342" i="1"/>
  <c r="Z279" i="1"/>
  <c r="Z221" i="1"/>
  <c r="Z152" i="1"/>
  <c r="Y492" i="1"/>
  <c r="Y495" i="1" l="1"/>
  <c r="Z497" i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<sst xmlns="http://schemas.openxmlformats.org/spreadsheetml/2006/main" count="2363" uniqueCount="779">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</sst>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5" t="s">
        <v>0</v>
      </c>
      <c r="E1" s="571"/>
      <c r="F1" s="571"/>
      <c r="G1" s="12" t="s">
        <v>1</v>
      </c>
      <c r="H1" s="62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3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40" t="s">
        <v>8</v>
      </c>
      <c r="B5" s="561"/>
      <c r="C5" s="562"/>
      <c r="D5" s="629"/>
      <c r="E5" s="630"/>
      <c r="F5" s="835" t="s">
        <v>9</v>
      </c>
      <c r="G5" s="562"/>
      <c r="H5" s="629" t="s">
        <v>778</v>
      </c>
      <c r="I5" s="708"/>
      <c r="J5" s="708"/>
      <c r="K5" s="708"/>
      <c r="L5" s="708"/>
      <c r="M5" s="630"/>
      <c r="N5" s="58"/>
      <c r="P5" s="24" t="s">
        <v>10</v>
      </c>
      <c r="Q5" s="710">
        <v>46009</v>
      </c>
      <c r="R5" s="667"/>
      <c r="T5" s="702" t="s">
        <v>11</v>
      </c>
      <c r="U5" s="703"/>
      <c r="V5" s="705" t="s">
        <v>12</v>
      </c>
      <c r="W5" s="667"/>
      <c r="AB5" s="51"/>
      <c r="AC5" s="51"/>
      <c r="AD5" s="51"/>
      <c r="AE5" s="51"/>
    </row>
    <row r="6" spans="1:32" s="541" customFormat="1" ht="24" customHeight="1" x14ac:dyDescent="0.2">
      <c r="A6" s="640" t="s">
        <v>13</v>
      </c>
      <c r="B6" s="561"/>
      <c r="C6" s="562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67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Четверг</v>
      </c>
      <c r="R6" s="552"/>
      <c r="T6" s="712" t="s">
        <v>16</v>
      </c>
      <c r="U6" s="703"/>
      <c r="V6" s="767" t="s">
        <v>17</v>
      </c>
      <c r="W6" s="59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57"/>
      <c r="U7" s="703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4"/>
      <c r="C8" s="555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24">
        <v>0.58333333333333337</v>
      </c>
      <c r="R8" s="595"/>
      <c r="T8" s="557"/>
      <c r="U8" s="703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76"/>
      <c r="E9" s="566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9"/>
      <c r="P9" s="26" t="s">
        <v>21</v>
      </c>
      <c r="Q9" s="663"/>
      <c r="R9" s="664"/>
      <c r="T9" s="557"/>
      <c r="U9" s="703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76"/>
      <c r="E10" s="566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2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6"/>
      <c r="R11" s="667"/>
      <c r="U11" s="24" t="s">
        <v>27</v>
      </c>
      <c r="V11" s="794" t="s">
        <v>28</v>
      </c>
      <c r="W11" s="664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560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624"/>
      <c r="R12" s="595"/>
      <c r="S12" s="23"/>
      <c r="U12" s="24"/>
      <c r="V12" s="571"/>
      <c r="W12" s="557"/>
      <c r="AB12" s="51"/>
      <c r="AC12" s="51"/>
      <c r="AD12" s="51"/>
      <c r="AE12" s="51"/>
    </row>
    <row r="13" spans="1:32" s="541" customFormat="1" ht="23.25" customHeight="1" x14ac:dyDescent="0.2">
      <c r="A13" s="560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794"/>
      <c r="R13" s="6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560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7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83" t="s">
        <v>38</v>
      </c>
      <c r="D17" s="597" t="s">
        <v>39</v>
      </c>
      <c r="E17" s="651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0"/>
      <c r="R17" s="650"/>
      <c r="S17" s="650"/>
      <c r="T17" s="651"/>
      <c r="U17" s="860" t="s">
        <v>51</v>
      </c>
      <c r="V17" s="562"/>
      <c r="W17" s="597" t="s">
        <v>52</v>
      </c>
      <c r="X17" s="597" t="s">
        <v>53</v>
      </c>
      <c r="Y17" s="858" t="s">
        <v>54</v>
      </c>
      <c r="Z17" s="777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48"/>
      <c r="AF17" s="849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52"/>
      <c r="E18" s="65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8"/>
      <c r="X18" s="598"/>
      <c r="Y18" s="859"/>
      <c r="Z18" s="778"/>
      <c r="AA18" s="761"/>
      <c r="AB18" s="761"/>
      <c r="AC18" s="761"/>
      <c r="AD18" s="850"/>
      <c r="AE18" s="851"/>
      <c r="AF18" s="852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8"/>
      <c r="R22" s="568"/>
      <c r="S22" s="568"/>
      <c r="T22" s="569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8"/>
      <c r="R23" s="568"/>
      <c r="S23" s="568"/>
      <c r="T23" s="569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8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9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9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8"/>
      <c r="R27" s="568"/>
      <c r="S27" s="568"/>
      <c r="T27" s="569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8"/>
      <c r="R28" s="568"/>
      <c r="S28" s="568"/>
      <c r="T28" s="569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8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8"/>
      <c r="R29" s="568"/>
      <c r="S29" s="568"/>
      <c r="T29" s="569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8"/>
      <c r="R30" s="568"/>
      <c r="S30" s="568"/>
      <c r="T30" s="569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1">
        <v>4607091388244</v>
      </c>
      <c r="E31" s="552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8"/>
      <c r="R31" s="568"/>
      <c r="S31" s="568"/>
      <c r="T31" s="569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8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9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9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1">
        <v>4607091388503</v>
      </c>
      <c r="E35" s="552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6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8"/>
      <c r="R35" s="568"/>
      <c r="S35" s="568"/>
      <c r="T35" s="569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8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9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9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563" t="s">
        <v>102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48"/>
      <c r="AB38" s="48"/>
      <c r="AC38" s="48"/>
    </row>
    <row r="39" spans="1:68" ht="16.5" hidden="1" customHeight="1" x14ac:dyDescent="0.25">
      <c r="A39" s="574" t="s">
        <v>103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hidden="1" customHeight="1" x14ac:dyDescent="0.25">
      <c r="A41" s="54" t="s">
        <v>105</v>
      </c>
      <c r="B41" s="54" t="s">
        <v>106</v>
      </c>
      <c r="C41" s="31">
        <v>4301011380</v>
      </c>
      <c r="D41" s="551">
        <v>4607091385670</v>
      </c>
      <c r="E41" s="552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8"/>
      <c r="R41" s="568"/>
      <c r="S41" s="568"/>
      <c r="T41" s="569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1">
        <v>4680115882539</v>
      </c>
      <c r="E42" s="552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8"/>
      <c r="R42" s="568"/>
      <c r="S42" s="568"/>
      <c r="T42" s="569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4301011382</v>
      </c>
      <c r="D43" s="551">
        <v>4607091385687</v>
      </c>
      <c r="E43" s="552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6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8"/>
      <c r="R43" s="568"/>
      <c r="S43" s="568"/>
      <c r="T43" s="569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58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9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9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1">
        <v>4680115884915</v>
      </c>
      <c r="E47" s="552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8"/>
      <c r="R47" s="568"/>
      <c r="S47" s="568"/>
      <c r="T47" s="569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8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9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9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74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104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1">
        <v>4680115885882</v>
      </c>
      <c r="E52" s="552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8"/>
      <c r="R52" s="568"/>
      <c r="S52" s="568"/>
      <c r="T52" s="569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51">
        <v>4680115881426</v>
      </c>
      <c r="E53" s="552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8"/>
      <c r="R53" s="568"/>
      <c r="S53" s="568"/>
      <c r="T53" s="569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1">
        <v>4680115880283</v>
      </c>
      <c r="E54" s="552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8"/>
      <c r="R54" s="568"/>
      <c r="S54" s="568"/>
      <c r="T54" s="569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1">
        <v>4680115881525</v>
      </c>
      <c r="E55" s="552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8"/>
      <c r="R55" s="568"/>
      <c r="S55" s="568"/>
      <c r="T55" s="569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1">
        <v>4680115885899</v>
      </c>
      <c r="E56" s="552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60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8"/>
      <c r="R56" s="568"/>
      <c r="S56" s="568"/>
      <c r="T56" s="569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51">
        <v>4680115881419</v>
      </c>
      <c r="E57" s="552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8"/>
      <c r="R57" s="568"/>
      <c r="S57" s="568"/>
      <c r="T57" s="569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58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9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9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hidden="1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1">
        <v>4680115881440</v>
      </c>
      <c r="E61" s="552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8"/>
      <c r="R61" s="568"/>
      <c r="S61" s="568"/>
      <c r="T61" s="569"/>
      <c r="U61" s="34"/>
      <c r="V61" s="34"/>
      <c r="W61" s="35" t="s">
        <v>69</v>
      </c>
      <c r="X61" s="547">
        <v>300</v>
      </c>
      <c r="Y61" s="548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1">
        <v>4680115885950</v>
      </c>
      <c r="E62" s="552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8"/>
      <c r="R62" s="568"/>
      <c r="S62" s="568"/>
      <c r="T62" s="569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51">
        <v>4680115881433</v>
      </c>
      <c r="E63" s="552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8"/>
      <c r="R63" s="568"/>
      <c r="S63" s="568"/>
      <c r="T63" s="569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8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9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27.777777777777775</v>
      </c>
      <c r="Y64" s="549">
        <f>IFERROR(Y61/H61,"0")+IFERROR(Y62/H62,"0")+IFERROR(Y63/H63,"0")</f>
        <v>28</v>
      </c>
      <c r="Z64" s="549">
        <f>IFERROR(IF(Z61="",0,Z61),"0")+IFERROR(IF(Z62="",0,Z62),"0")+IFERROR(IF(Z63="",0,Z63),"0")</f>
        <v>0.53144000000000002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9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300</v>
      </c>
      <c r="Y65" s="549">
        <f>IFERROR(SUM(Y61:Y63),"0")</f>
        <v>302.40000000000003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1">
        <v>4680115885073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8"/>
      <c r="R67" s="568"/>
      <c r="S67" s="568"/>
      <c r="T67" s="569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1">
        <v>4680115885059</v>
      </c>
      <c r="E68" s="552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8"/>
      <c r="R68" s="568"/>
      <c r="S68" s="568"/>
      <c r="T68" s="569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1">
        <v>4680115885097</v>
      </c>
      <c r="E69" s="552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8"/>
      <c r="R69" s="568"/>
      <c r="S69" s="568"/>
      <c r="T69" s="569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8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9"/>
      <c r="P70" s="553" t="s">
        <v>75</v>
      </c>
      <c r="Q70" s="554"/>
      <c r="R70" s="554"/>
      <c r="S70" s="554"/>
      <c r="T70" s="554"/>
      <c r="U70" s="554"/>
      <c r="V70" s="55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9"/>
      <c r="P71" s="553" t="s">
        <v>75</v>
      </c>
      <c r="Q71" s="554"/>
      <c r="R71" s="554"/>
      <c r="S71" s="554"/>
      <c r="T71" s="554"/>
      <c r="U71" s="554"/>
      <c r="V71" s="55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1">
        <v>4680115885769</v>
      </c>
      <c r="E73" s="552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8"/>
      <c r="R73" s="568"/>
      <c r="S73" s="568"/>
      <c r="T73" s="569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1">
        <v>4680115884311</v>
      </c>
      <c r="E74" s="552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8"/>
      <c r="R74" s="568"/>
      <c r="S74" s="568"/>
      <c r="T74" s="569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1">
        <v>4680115885929</v>
      </c>
      <c r="E75" s="552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8"/>
      <c r="R75" s="568"/>
      <c r="S75" s="568"/>
      <c r="T75" s="569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1">
        <v>4680115884403</v>
      </c>
      <c r="E76" s="552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8"/>
      <c r="R76" s="568"/>
      <c r="S76" s="568"/>
      <c r="T76" s="569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8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9"/>
      <c r="P77" s="553" t="s">
        <v>75</v>
      </c>
      <c r="Q77" s="554"/>
      <c r="R77" s="554"/>
      <c r="S77" s="554"/>
      <c r="T77" s="554"/>
      <c r="U77" s="554"/>
      <c r="V77" s="555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9"/>
      <c r="P78" s="553" t="s">
        <v>75</v>
      </c>
      <c r="Q78" s="554"/>
      <c r="R78" s="554"/>
      <c r="S78" s="554"/>
      <c r="T78" s="554"/>
      <c r="U78" s="554"/>
      <c r="V78" s="555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3"/>
      <c r="AB79" s="543"/>
      <c r="AC79" s="543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51">
        <v>4680115881532</v>
      </c>
      <c r="E80" s="552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8"/>
      <c r="R80" s="568"/>
      <c r="S80" s="568"/>
      <c r="T80" s="569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1">
        <v>4680115881464</v>
      </c>
      <c r="E81" s="552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6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8"/>
      <c r="R81" s="568"/>
      <c r="S81" s="568"/>
      <c r="T81" s="569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8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9"/>
      <c r="P82" s="553" t="s">
        <v>75</v>
      </c>
      <c r="Q82" s="554"/>
      <c r="R82" s="554"/>
      <c r="S82" s="554"/>
      <c r="T82" s="554"/>
      <c r="U82" s="554"/>
      <c r="V82" s="555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9"/>
      <c r="P83" s="553" t="s">
        <v>75</v>
      </c>
      <c r="Q83" s="554"/>
      <c r="R83" s="554"/>
      <c r="S83" s="554"/>
      <c r="T83" s="554"/>
      <c r="U83" s="554"/>
      <c r="V83" s="555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hidden="1" customHeight="1" x14ac:dyDescent="0.25">
      <c r="A84" s="574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2"/>
      <c r="AB84" s="542"/>
      <c r="AC84" s="542"/>
    </row>
    <row r="85" spans="1:68" ht="14.25" hidden="1" customHeight="1" x14ac:dyDescent="0.25">
      <c r="A85" s="556" t="s">
        <v>104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3"/>
      <c r="AB85" s="543"/>
      <c r="AC85" s="543"/>
    </row>
    <row r="86" spans="1:68" ht="27" hidden="1" customHeight="1" x14ac:dyDescent="0.25">
      <c r="A86" s="54" t="s">
        <v>175</v>
      </c>
      <c r="B86" s="54" t="s">
        <v>176</v>
      </c>
      <c r="C86" s="31">
        <v>4301011468</v>
      </c>
      <c r="D86" s="551">
        <v>4680115881327</v>
      </c>
      <c r="E86" s="552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8"/>
      <c r="R86" s="568"/>
      <c r="S86" s="568"/>
      <c r="T86" s="569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1">
        <v>4680115887732</v>
      </c>
      <c r="E87" s="552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1" t="s">
        <v>181</v>
      </c>
      <c r="Q87" s="568"/>
      <c r="R87" s="568"/>
      <c r="S87" s="568"/>
      <c r="T87" s="569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1">
        <v>4680115881518</v>
      </c>
      <c r="E88" s="552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8"/>
      <c r="R88" s="568"/>
      <c r="S88" s="568"/>
      <c r="T88" s="569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185</v>
      </c>
      <c r="B89" s="54" t="s">
        <v>186</v>
      </c>
      <c r="C89" s="31">
        <v>4301011443</v>
      </c>
      <c r="D89" s="551">
        <v>4680115881303</v>
      </c>
      <c r="E89" s="552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8"/>
      <c r="R89" s="568"/>
      <c r="S89" s="568"/>
      <c r="T89" s="569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58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9"/>
      <c r="P90" s="553" t="s">
        <v>75</v>
      </c>
      <c r="Q90" s="554"/>
      <c r="R90" s="554"/>
      <c r="S90" s="554"/>
      <c r="T90" s="554"/>
      <c r="U90" s="554"/>
      <c r="V90" s="555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9"/>
      <c r="P91" s="553" t="s">
        <v>75</v>
      </c>
      <c r="Q91" s="554"/>
      <c r="R91" s="554"/>
      <c r="S91" s="554"/>
      <c r="T91" s="554"/>
      <c r="U91" s="554"/>
      <c r="V91" s="555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1">
        <v>4607091386967</v>
      </c>
      <c r="E93" s="552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8"/>
      <c r="R93" s="568"/>
      <c r="S93" s="568"/>
      <c r="T93" s="569"/>
      <c r="U93" s="34"/>
      <c r="V93" s="34"/>
      <c r="W93" s="35" t="s">
        <v>69</v>
      </c>
      <c r="X93" s="547">
        <v>90</v>
      </c>
      <c r="Y93" s="548">
        <f>IFERROR(IF(X93="",0,CEILING((X93/$H93),1)*$H93),"")</f>
        <v>97.199999999999989</v>
      </c>
      <c r="Z93" s="36">
        <f>IFERROR(IF(Y93=0,"",ROUNDUP(Y93/H93,0)*0.01898),"")</f>
        <v>0.22776000000000002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95.48888888888888</v>
      </c>
      <c r="BN93" s="64">
        <f>IFERROR(Y93*I93/H93,"0")</f>
        <v>103.12799999999999</v>
      </c>
      <c r="BO93" s="64">
        <f>IFERROR(1/J93*(X93/H93),"0")</f>
        <v>0.1736111111111111</v>
      </c>
      <c r="BP93" s="64">
        <f>IFERROR(1/J93*(Y93/H93),"0")</f>
        <v>0.1875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1">
        <v>4680115884953</v>
      </c>
      <c r="E94" s="552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8"/>
      <c r="R94" s="568"/>
      <c r="S94" s="568"/>
      <c r="T94" s="569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193</v>
      </c>
      <c r="B95" s="54" t="s">
        <v>194</v>
      </c>
      <c r="C95" s="31">
        <v>4301051718</v>
      </c>
      <c r="D95" s="551">
        <v>4607091385731</v>
      </c>
      <c r="E95" s="552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8"/>
      <c r="R95" s="568"/>
      <c r="S95" s="568"/>
      <c r="T95" s="569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1">
        <v>4680115880894</v>
      </c>
      <c r="E96" s="552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8"/>
      <c r="R96" s="568"/>
      <c r="S96" s="568"/>
      <c r="T96" s="569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58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9"/>
      <c r="P97" s="553" t="s">
        <v>75</v>
      </c>
      <c r="Q97" s="554"/>
      <c r="R97" s="554"/>
      <c r="S97" s="554"/>
      <c r="T97" s="554"/>
      <c r="U97" s="554"/>
      <c r="V97" s="555"/>
      <c r="W97" s="37" t="s">
        <v>76</v>
      </c>
      <c r="X97" s="549">
        <f>IFERROR(X93/H93,"0")+IFERROR(X94/H94,"0")+IFERROR(X95/H95,"0")+IFERROR(X96/H96,"0")</f>
        <v>11.111111111111111</v>
      </c>
      <c r="Y97" s="549">
        <f>IFERROR(Y93/H93,"0")+IFERROR(Y94/H94,"0")+IFERROR(Y95/H95,"0")+IFERROR(Y96/H96,"0")</f>
        <v>12</v>
      </c>
      <c r="Z97" s="549">
        <f>IFERROR(IF(Z93="",0,Z93),"0")+IFERROR(IF(Z94="",0,Z94),"0")+IFERROR(IF(Z95="",0,Z95),"0")+IFERROR(IF(Z96="",0,Z96),"0")</f>
        <v>0.22776000000000002</v>
      </c>
      <c r="AA97" s="550"/>
      <c r="AB97" s="550"/>
      <c r="AC97" s="550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9"/>
      <c r="P98" s="553" t="s">
        <v>75</v>
      </c>
      <c r="Q98" s="554"/>
      <c r="R98" s="554"/>
      <c r="S98" s="554"/>
      <c r="T98" s="554"/>
      <c r="U98" s="554"/>
      <c r="V98" s="555"/>
      <c r="W98" s="37" t="s">
        <v>69</v>
      </c>
      <c r="X98" s="549">
        <f>IFERROR(SUM(X93:X96),"0")</f>
        <v>90</v>
      </c>
      <c r="Y98" s="549">
        <f>IFERROR(SUM(Y93:Y96),"0")</f>
        <v>97.199999999999989</v>
      </c>
      <c r="Z98" s="37"/>
      <c r="AA98" s="550"/>
      <c r="AB98" s="550"/>
      <c r="AC98" s="550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2"/>
      <c r="AB99" s="542"/>
      <c r="AC99" s="542"/>
    </row>
    <row r="100" spans="1:68" ht="14.25" hidden="1" customHeight="1" x14ac:dyDescent="0.25">
      <c r="A100" s="556" t="s">
        <v>104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3"/>
      <c r="AB100" s="543"/>
      <c r="AC100" s="543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1">
        <v>4680115882133</v>
      </c>
      <c r="E101" s="552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8"/>
      <c r="R101" s="568"/>
      <c r="S101" s="568"/>
      <c r="T101" s="569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1">
        <v>4680115887718</v>
      </c>
      <c r="E102" s="552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3" t="s">
        <v>204</v>
      </c>
      <c r="Q102" s="568"/>
      <c r="R102" s="568"/>
      <c r="S102" s="568"/>
      <c r="T102" s="569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1">
        <v>4680115880269</v>
      </c>
      <c r="E103" s="552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8"/>
      <c r="R103" s="568"/>
      <c r="S103" s="568"/>
      <c r="T103" s="569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1">
        <v>4680115880429</v>
      </c>
      <c r="E104" s="552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8"/>
      <c r="R104" s="568"/>
      <c r="S104" s="568"/>
      <c r="T104" s="569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1">
        <v>4680115881457</v>
      </c>
      <c r="E105" s="552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8"/>
      <c r="R105" s="568"/>
      <c r="S105" s="568"/>
      <c r="T105" s="569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58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9"/>
      <c r="P106" s="553" t="s">
        <v>75</v>
      </c>
      <c r="Q106" s="554"/>
      <c r="R106" s="554"/>
      <c r="S106" s="554"/>
      <c r="T106" s="554"/>
      <c r="U106" s="554"/>
      <c r="V106" s="555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9"/>
      <c r="P107" s="553" t="s">
        <v>75</v>
      </c>
      <c r="Q107" s="554"/>
      <c r="R107" s="554"/>
      <c r="S107" s="554"/>
      <c r="T107" s="554"/>
      <c r="U107" s="554"/>
      <c r="V107" s="555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hidden="1" customHeight="1" x14ac:dyDescent="0.25">
      <c r="A108" s="556" t="s">
        <v>139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1">
        <v>4680115881488</v>
      </c>
      <c r="E109" s="552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8"/>
      <c r="R109" s="568"/>
      <c r="S109" s="568"/>
      <c r="T109" s="569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1">
        <v>4680115887664</v>
      </c>
      <c r="E110" s="552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14" t="s">
        <v>218</v>
      </c>
      <c r="Q110" s="568"/>
      <c r="R110" s="568"/>
      <c r="S110" s="568"/>
      <c r="T110" s="569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1">
        <v>4680115882775</v>
      </c>
      <c r="E111" s="552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8"/>
      <c r="R111" s="568"/>
      <c r="S111" s="568"/>
      <c r="T111" s="569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1">
        <v>4680115880658</v>
      </c>
      <c r="E112" s="552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8"/>
      <c r="R112" s="568"/>
      <c r="S112" s="568"/>
      <c r="T112" s="569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58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9"/>
      <c r="P113" s="553" t="s">
        <v>75</v>
      </c>
      <c r="Q113" s="554"/>
      <c r="R113" s="554"/>
      <c r="S113" s="554"/>
      <c r="T113" s="554"/>
      <c r="U113" s="554"/>
      <c r="V113" s="555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9"/>
      <c r="P114" s="553" t="s">
        <v>75</v>
      </c>
      <c r="Q114" s="554"/>
      <c r="R114" s="554"/>
      <c r="S114" s="554"/>
      <c r="T114" s="554"/>
      <c r="U114" s="554"/>
      <c r="V114" s="555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1">
        <v>4607091385168</v>
      </c>
      <c r="E116" s="552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8"/>
      <c r="R116" s="568"/>
      <c r="S116" s="568"/>
      <c r="T116" s="569"/>
      <c r="U116" s="34"/>
      <c r="V116" s="34"/>
      <c r="W116" s="35" t="s">
        <v>69</v>
      </c>
      <c r="X116" s="547">
        <v>100</v>
      </c>
      <c r="Y116" s="548">
        <f>IFERROR(IF(X116="",0,CEILING((X116/$H116),1)*$H116),"")</f>
        <v>105.3</v>
      </c>
      <c r="Z116" s="36">
        <f>IFERROR(IF(Y116=0,"",ROUNDUP(Y116/H116,0)*0.01898),"")</f>
        <v>0.24674000000000001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106.0246913580247</v>
      </c>
      <c r="BN116" s="64">
        <f>IFERROR(Y116*I116/H116,"0")</f>
        <v>111.64399999999999</v>
      </c>
      <c r="BO116" s="64">
        <f>IFERROR(1/J116*(X116/H116),"0")</f>
        <v>0.19290123456790123</v>
      </c>
      <c r="BP116" s="64">
        <f>IFERROR(1/J116*(Y116/H116),"0")</f>
        <v>0.203125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1">
        <v>4607091383256</v>
      </c>
      <c r="E117" s="552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8"/>
      <c r="R117" s="568"/>
      <c r="S117" s="568"/>
      <c r="T117" s="569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1">
        <v>4607091385748</v>
      </c>
      <c r="E118" s="552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8"/>
      <c r="R118" s="568"/>
      <c r="S118" s="568"/>
      <c r="T118" s="569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1">
        <v>4680115884533</v>
      </c>
      <c r="E119" s="552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8"/>
      <c r="R119" s="568"/>
      <c r="S119" s="568"/>
      <c r="T119" s="569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9"/>
      <c r="P120" s="553" t="s">
        <v>75</v>
      </c>
      <c r="Q120" s="554"/>
      <c r="R120" s="554"/>
      <c r="S120" s="554"/>
      <c r="T120" s="554"/>
      <c r="U120" s="554"/>
      <c r="V120" s="555"/>
      <c r="W120" s="37" t="s">
        <v>76</v>
      </c>
      <c r="X120" s="549">
        <f>IFERROR(X116/H116,"0")+IFERROR(X117/H117,"0")+IFERROR(X118/H118,"0")+IFERROR(X119/H119,"0")</f>
        <v>12.345679012345679</v>
      </c>
      <c r="Y120" s="549">
        <f>IFERROR(Y116/H116,"0")+IFERROR(Y117/H117,"0")+IFERROR(Y118/H118,"0")+IFERROR(Y119/H119,"0")</f>
        <v>13</v>
      </c>
      <c r="Z120" s="549">
        <f>IFERROR(IF(Z116="",0,Z116),"0")+IFERROR(IF(Z117="",0,Z117),"0")+IFERROR(IF(Z118="",0,Z118),"0")+IFERROR(IF(Z119="",0,Z119),"0")</f>
        <v>0.24674000000000001</v>
      </c>
      <c r="AA120" s="550"/>
      <c r="AB120" s="550"/>
      <c r="AC120" s="550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9"/>
      <c r="P121" s="553" t="s">
        <v>75</v>
      </c>
      <c r="Q121" s="554"/>
      <c r="R121" s="554"/>
      <c r="S121" s="554"/>
      <c r="T121" s="554"/>
      <c r="U121" s="554"/>
      <c r="V121" s="555"/>
      <c r="W121" s="37" t="s">
        <v>69</v>
      </c>
      <c r="X121" s="549">
        <f>IFERROR(SUM(X116:X119),"0")</f>
        <v>100</v>
      </c>
      <c r="Y121" s="549">
        <f>IFERROR(SUM(Y116:Y119),"0")</f>
        <v>105.3</v>
      </c>
      <c r="Z121" s="37"/>
      <c r="AA121" s="550"/>
      <c r="AB121" s="550"/>
      <c r="AC121" s="550"/>
    </row>
    <row r="122" spans="1:68" ht="14.25" hidden="1" customHeight="1" x14ac:dyDescent="0.25">
      <c r="A122" s="556" t="s">
        <v>167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1">
        <v>4680115880238</v>
      </c>
      <c r="E123" s="552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8"/>
      <c r="R123" s="568"/>
      <c r="S123" s="568"/>
      <c r="T123" s="569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58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9"/>
      <c r="P124" s="553" t="s">
        <v>75</v>
      </c>
      <c r="Q124" s="554"/>
      <c r="R124" s="554"/>
      <c r="S124" s="554"/>
      <c r="T124" s="554"/>
      <c r="U124" s="554"/>
      <c r="V124" s="555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9"/>
      <c r="P125" s="553" t="s">
        <v>75</v>
      </c>
      <c r="Q125" s="554"/>
      <c r="R125" s="554"/>
      <c r="S125" s="554"/>
      <c r="T125" s="554"/>
      <c r="U125" s="554"/>
      <c r="V125" s="555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2"/>
      <c r="AB126" s="542"/>
      <c r="AC126" s="542"/>
    </row>
    <row r="127" spans="1:68" ht="14.25" hidden="1" customHeight="1" x14ac:dyDescent="0.25">
      <c r="A127" s="556" t="s">
        <v>104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3"/>
      <c r="AB127" s="543"/>
      <c r="AC127" s="543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1">
        <v>4680115882577</v>
      </c>
      <c r="E128" s="552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8"/>
      <c r="R128" s="568"/>
      <c r="S128" s="568"/>
      <c r="T128" s="569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1">
        <v>4680115882577</v>
      </c>
      <c r="E129" s="552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8"/>
      <c r="R129" s="568"/>
      <c r="S129" s="568"/>
      <c r="T129" s="569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58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9"/>
      <c r="P130" s="553" t="s">
        <v>75</v>
      </c>
      <c r="Q130" s="554"/>
      <c r="R130" s="554"/>
      <c r="S130" s="554"/>
      <c r="T130" s="554"/>
      <c r="U130" s="554"/>
      <c r="V130" s="555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9"/>
      <c r="P131" s="553" t="s">
        <v>75</v>
      </c>
      <c r="Q131" s="554"/>
      <c r="R131" s="554"/>
      <c r="S131" s="554"/>
      <c r="T131" s="554"/>
      <c r="U131" s="554"/>
      <c r="V131" s="555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1">
        <v>4680115883444</v>
      </c>
      <c r="E133" s="552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8"/>
      <c r="R133" s="568"/>
      <c r="S133" s="568"/>
      <c r="T133" s="569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1">
        <v>4680115883444</v>
      </c>
      <c r="E134" s="552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8"/>
      <c r="R134" s="568"/>
      <c r="S134" s="568"/>
      <c r="T134" s="569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58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9"/>
      <c r="P135" s="553" t="s">
        <v>75</v>
      </c>
      <c r="Q135" s="554"/>
      <c r="R135" s="554"/>
      <c r="S135" s="554"/>
      <c r="T135" s="554"/>
      <c r="U135" s="554"/>
      <c r="V135" s="555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9"/>
      <c r="P136" s="553" t="s">
        <v>75</v>
      </c>
      <c r="Q136" s="554"/>
      <c r="R136" s="554"/>
      <c r="S136" s="554"/>
      <c r="T136" s="554"/>
      <c r="U136" s="554"/>
      <c r="V136" s="555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1">
        <v>4680115882584</v>
      </c>
      <c r="E138" s="552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8"/>
      <c r="R138" s="568"/>
      <c r="S138" s="568"/>
      <c r="T138" s="569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1">
        <v>4680115882584</v>
      </c>
      <c r="E139" s="552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8"/>
      <c r="R139" s="568"/>
      <c r="S139" s="568"/>
      <c r="T139" s="569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58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9"/>
      <c r="P140" s="553" t="s">
        <v>75</v>
      </c>
      <c r="Q140" s="554"/>
      <c r="R140" s="554"/>
      <c r="S140" s="554"/>
      <c r="T140" s="554"/>
      <c r="U140" s="554"/>
      <c r="V140" s="555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9"/>
      <c r="P141" s="553" t="s">
        <v>75</v>
      </c>
      <c r="Q141" s="554"/>
      <c r="R141" s="554"/>
      <c r="S141" s="554"/>
      <c r="T141" s="554"/>
      <c r="U141" s="554"/>
      <c r="V141" s="555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74" t="s">
        <v>102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2"/>
      <c r="AB142" s="542"/>
      <c r="AC142" s="542"/>
    </row>
    <row r="143" spans="1:68" ht="14.25" hidden="1" customHeight="1" x14ac:dyDescent="0.25">
      <c r="A143" s="556" t="s">
        <v>104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1">
        <v>4680115887374</v>
      </c>
      <c r="E144" s="552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6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8"/>
      <c r="R144" s="568"/>
      <c r="S144" s="568"/>
      <c r="T144" s="569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1">
        <v>4607091384604</v>
      </c>
      <c r="E145" s="552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8"/>
      <c r="R145" s="568"/>
      <c r="S145" s="568"/>
      <c r="T145" s="569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58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9"/>
      <c r="P146" s="553" t="s">
        <v>75</v>
      </c>
      <c r="Q146" s="554"/>
      <c r="R146" s="554"/>
      <c r="S146" s="554"/>
      <c r="T146" s="554"/>
      <c r="U146" s="554"/>
      <c r="V146" s="555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9"/>
      <c r="P147" s="553" t="s">
        <v>75</v>
      </c>
      <c r="Q147" s="554"/>
      <c r="R147" s="554"/>
      <c r="S147" s="554"/>
      <c r="T147" s="554"/>
      <c r="U147" s="554"/>
      <c r="V147" s="555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3"/>
      <c r="AB148" s="543"/>
      <c r="AC148" s="543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1">
        <v>4607091387667</v>
      </c>
      <c r="E149" s="552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8"/>
      <c r="R149" s="568"/>
      <c r="S149" s="568"/>
      <c r="T149" s="569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1">
        <v>4607091387636</v>
      </c>
      <c r="E150" s="552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8"/>
      <c r="R150" s="568"/>
      <c r="S150" s="568"/>
      <c r="T150" s="569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1">
        <v>4607091382426</v>
      </c>
      <c r="E151" s="552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8"/>
      <c r="R151" s="568"/>
      <c r="S151" s="568"/>
      <c r="T151" s="569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9"/>
      <c r="P152" s="553" t="s">
        <v>75</v>
      </c>
      <c r="Q152" s="554"/>
      <c r="R152" s="554"/>
      <c r="S152" s="554"/>
      <c r="T152" s="554"/>
      <c r="U152" s="554"/>
      <c r="V152" s="555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9"/>
      <c r="P153" s="553" t="s">
        <v>75</v>
      </c>
      <c r="Q153" s="554"/>
      <c r="R153" s="554"/>
      <c r="S153" s="554"/>
      <c r="T153" s="554"/>
      <c r="U153" s="554"/>
      <c r="V153" s="555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8"/>
      <c r="R155" s="568"/>
      <c r="S155" s="568"/>
      <c r="T155" s="569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8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9"/>
      <c r="P156" s="553" t="s">
        <v>75</v>
      </c>
      <c r="Q156" s="554"/>
      <c r="R156" s="554"/>
      <c r="S156" s="554"/>
      <c r="T156" s="554"/>
      <c r="U156" s="554"/>
      <c r="V156" s="55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9"/>
      <c r="P157" s="553" t="s">
        <v>75</v>
      </c>
      <c r="Q157" s="554"/>
      <c r="R157" s="554"/>
      <c r="S157" s="554"/>
      <c r="T157" s="554"/>
      <c r="U157" s="554"/>
      <c r="V157" s="55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563" t="s">
        <v>267</v>
      </c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2"/>
      <c r="AB159" s="542"/>
      <c r="AC159" s="542"/>
    </row>
    <row r="160" spans="1:68" ht="14.25" hidden="1" customHeight="1" x14ac:dyDescent="0.25">
      <c r="A160" s="556" t="s">
        <v>139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8"/>
      <c r="R161" s="568"/>
      <c r="S161" s="568"/>
      <c r="T161" s="569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8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9"/>
      <c r="P162" s="553" t="s">
        <v>75</v>
      </c>
      <c r="Q162" s="554"/>
      <c r="R162" s="554"/>
      <c r="S162" s="554"/>
      <c r="T162" s="554"/>
      <c r="U162" s="554"/>
      <c r="V162" s="55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9"/>
      <c r="P163" s="553" t="s">
        <v>75</v>
      </c>
      <c r="Q163" s="554"/>
      <c r="R163" s="554"/>
      <c r="S163" s="554"/>
      <c r="T163" s="554"/>
      <c r="U163" s="554"/>
      <c r="V163" s="55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1">
        <v>4680115887565</v>
      </c>
      <c r="E165" s="552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9" t="s">
        <v>274</v>
      </c>
      <c r="Q165" s="568"/>
      <c r="R165" s="568"/>
      <c r="S165" s="568"/>
      <c r="T165" s="569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1">
        <v>4680115880993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8"/>
      <c r="R166" s="568"/>
      <c r="S166" s="568"/>
      <c r="T166" s="569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1">
        <v>4680115881761</v>
      </c>
      <c r="E167" s="552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8"/>
      <c r="R167" s="568"/>
      <c r="S167" s="568"/>
      <c r="T167" s="569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1">
        <v>4680115881563</v>
      </c>
      <c r="E168" s="552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8"/>
      <c r="R168" s="568"/>
      <c r="S168" s="568"/>
      <c r="T168" s="569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8"/>
      <c r="R169" s="568"/>
      <c r="S169" s="568"/>
      <c r="T169" s="569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8"/>
      <c r="R170" s="568"/>
      <c r="S170" s="568"/>
      <c r="T170" s="569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8"/>
      <c r="R171" s="568"/>
      <c r="S171" s="568"/>
      <c r="T171" s="569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1">
        <v>4680115886537</v>
      </c>
      <c r="E172" s="552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8"/>
      <c r="R172" s="568"/>
      <c r="S172" s="568"/>
      <c r="T172" s="569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1">
        <v>4680115887596</v>
      </c>
      <c r="E173" s="552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86" t="s">
        <v>299</v>
      </c>
      <c r="Q173" s="568"/>
      <c r="R173" s="568"/>
      <c r="S173" s="568"/>
      <c r="T173" s="569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1">
        <v>4680115881679</v>
      </c>
      <c r="E174" s="552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8"/>
      <c r="R174" s="568"/>
      <c r="S174" s="568"/>
      <c r="T174" s="569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1">
        <v>4680115880191</v>
      </c>
      <c r="E175" s="552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8"/>
      <c r="R175" s="568"/>
      <c r="S175" s="568"/>
      <c r="T175" s="569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1">
        <v>4680115883963</v>
      </c>
      <c r="E176" s="552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8"/>
      <c r="R176" s="568"/>
      <c r="S176" s="568"/>
      <c r="T176" s="569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5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9"/>
      <c r="P177" s="553" t="s">
        <v>75</v>
      </c>
      <c r="Q177" s="554"/>
      <c r="R177" s="554"/>
      <c r="S177" s="554"/>
      <c r="T177" s="554"/>
      <c r="U177" s="554"/>
      <c r="V177" s="55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9"/>
      <c r="P178" s="553" t="s">
        <v>75</v>
      </c>
      <c r="Q178" s="554"/>
      <c r="R178" s="554"/>
      <c r="S178" s="554"/>
      <c r="T178" s="554"/>
      <c r="U178" s="554"/>
      <c r="V178" s="555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hidden="1" customHeight="1" x14ac:dyDescent="0.25">
      <c r="A179" s="556" t="s">
        <v>96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1">
        <v>4680115886780</v>
      </c>
      <c r="E180" s="552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8"/>
      <c r="R180" s="568"/>
      <c r="S180" s="568"/>
      <c r="T180" s="569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1">
        <v>4680115886742</v>
      </c>
      <c r="E181" s="552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8"/>
      <c r="R181" s="568"/>
      <c r="S181" s="568"/>
      <c r="T181" s="569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1">
        <v>4680115886766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8"/>
      <c r="R182" s="568"/>
      <c r="S182" s="568"/>
      <c r="T182" s="569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58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9"/>
      <c r="P183" s="553" t="s">
        <v>75</v>
      </c>
      <c r="Q183" s="554"/>
      <c r="R183" s="554"/>
      <c r="S183" s="554"/>
      <c r="T183" s="554"/>
      <c r="U183" s="554"/>
      <c r="V183" s="555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9"/>
      <c r="P184" s="553" t="s">
        <v>75</v>
      </c>
      <c r="Q184" s="554"/>
      <c r="R184" s="554"/>
      <c r="S184" s="554"/>
      <c r="T184" s="554"/>
      <c r="U184" s="554"/>
      <c r="V184" s="555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1">
        <v>4680115886797</v>
      </c>
      <c r="E186" s="552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8"/>
      <c r="R186" s="568"/>
      <c r="S186" s="568"/>
      <c r="T186" s="569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9"/>
      <c r="P187" s="553" t="s">
        <v>75</v>
      </c>
      <c r="Q187" s="554"/>
      <c r="R187" s="554"/>
      <c r="S187" s="554"/>
      <c r="T187" s="554"/>
      <c r="U187" s="554"/>
      <c r="V187" s="555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9"/>
      <c r="P188" s="553" t="s">
        <v>75</v>
      </c>
      <c r="Q188" s="554"/>
      <c r="R188" s="554"/>
      <c r="S188" s="554"/>
      <c r="T188" s="554"/>
      <c r="U188" s="554"/>
      <c r="V188" s="555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2"/>
      <c r="AB189" s="542"/>
      <c r="AC189" s="542"/>
    </row>
    <row r="190" spans="1:68" ht="14.25" hidden="1" customHeight="1" x14ac:dyDescent="0.25">
      <c r="A190" s="556" t="s">
        <v>104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1">
        <v>4680115881402</v>
      </c>
      <c r="E191" s="552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8"/>
      <c r="R191" s="568"/>
      <c r="S191" s="568"/>
      <c r="T191" s="569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1">
        <v>4680115881396</v>
      </c>
      <c r="E192" s="552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8"/>
      <c r="R192" s="568"/>
      <c r="S192" s="568"/>
      <c r="T192" s="569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8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9"/>
      <c r="P193" s="553" t="s">
        <v>75</v>
      </c>
      <c r="Q193" s="554"/>
      <c r="R193" s="554"/>
      <c r="S193" s="554"/>
      <c r="T193" s="554"/>
      <c r="U193" s="554"/>
      <c r="V193" s="55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9"/>
      <c r="P194" s="553" t="s">
        <v>75</v>
      </c>
      <c r="Q194" s="554"/>
      <c r="R194" s="554"/>
      <c r="S194" s="554"/>
      <c r="T194" s="554"/>
      <c r="U194" s="554"/>
      <c r="V194" s="55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6" t="s">
        <v>139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1">
        <v>4680115882935</v>
      </c>
      <c r="E196" s="552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8"/>
      <c r="R196" s="568"/>
      <c r="S196" s="568"/>
      <c r="T196" s="569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1">
        <v>4680115880764</v>
      </c>
      <c r="E197" s="552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8"/>
      <c r="R197" s="568"/>
      <c r="S197" s="568"/>
      <c r="T197" s="569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58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9"/>
      <c r="P198" s="553" t="s">
        <v>75</v>
      </c>
      <c r="Q198" s="554"/>
      <c r="R198" s="554"/>
      <c r="S198" s="554"/>
      <c r="T198" s="554"/>
      <c r="U198" s="554"/>
      <c r="V198" s="55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9"/>
      <c r="P199" s="553" t="s">
        <v>75</v>
      </c>
      <c r="Q199" s="554"/>
      <c r="R199" s="554"/>
      <c r="S199" s="554"/>
      <c r="T199" s="554"/>
      <c r="U199" s="554"/>
      <c r="V199" s="55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3"/>
      <c r="AB200" s="543"/>
      <c r="AC200" s="543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1">
        <v>4680115882683</v>
      </c>
      <c r="E201" s="552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8"/>
      <c r="R201" s="568"/>
      <c r="S201" s="568"/>
      <c r="T201" s="569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1">
        <v>4680115882690</v>
      </c>
      <c r="E202" s="552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8"/>
      <c r="R202" s="568"/>
      <c r="S202" s="568"/>
      <c r="T202" s="569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1">
        <v>4680115882669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8"/>
      <c r="R203" s="568"/>
      <c r="S203" s="568"/>
      <c r="T203" s="569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1">
        <v>4680115882676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8"/>
      <c r="R204" s="568"/>
      <c r="S204" s="568"/>
      <c r="T204" s="569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1">
        <v>4680115884014</v>
      </c>
      <c r="E205" s="552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8"/>
      <c r="R205" s="568"/>
      <c r="S205" s="568"/>
      <c r="T205" s="569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1">
        <v>4680115884007</v>
      </c>
      <c r="E206" s="552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8"/>
      <c r="R206" s="568"/>
      <c r="S206" s="568"/>
      <c r="T206" s="569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1">
        <v>4680115884038</v>
      </c>
      <c r="E207" s="552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8"/>
      <c r="R207" s="568"/>
      <c r="S207" s="568"/>
      <c r="T207" s="569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1">
        <v>4680115884021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8"/>
      <c r="R208" s="568"/>
      <c r="S208" s="568"/>
      <c r="T208" s="569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58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9"/>
      <c r="P209" s="553" t="s">
        <v>75</v>
      </c>
      <c r="Q209" s="554"/>
      <c r="R209" s="554"/>
      <c r="S209" s="554"/>
      <c r="T209" s="554"/>
      <c r="U209" s="554"/>
      <c r="V209" s="55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9"/>
      <c r="P210" s="553" t="s">
        <v>75</v>
      </c>
      <c r="Q210" s="554"/>
      <c r="R210" s="554"/>
      <c r="S210" s="554"/>
      <c r="T210" s="554"/>
      <c r="U210" s="554"/>
      <c r="V210" s="555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1">
        <v>4680115881594</v>
      </c>
      <c r="E212" s="552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8"/>
      <c r="R212" s="568"/>
      <c r="S212" s="568"/>
      <c r="T212" s="569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1">
        <v>4680115881617</v>
      </c>
      <c r="E213" s="552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8"/>
      <c r="R213" s="568"/>
      <c r="S213" s="568"/>
      <c r="T213" s="569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1">
        <v>4680115880573</v>
      </c>
      <c r="E214" s="552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8"/>
      <c r="R214" s="568"/>
      <c r="S214" s="568"/>
      <c r="T214" s="569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1">
        <v>4680115882195</v>
      </c>
      <c r="E215" s="552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8"/>
      <c r="R215" s="568"/>
      <c r="S215" s="568"/>
      <c r="T215" s="569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1">
        <v>4680115882607</v>
      </c>
      <c r="E216" s="552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8"/>
      <c r="R216" s="568"/>
      <c r="S216" s="568"/>
      <c r="T216" s="569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1">
        <v>4680115880092</v>
      </c>
      <c r="E217" s="552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8"/>
      <c r="R217" s="568"/>
      <c r="S217" s="568"/>
      <c r="T217" s="569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1">
        <v>4680115880221</v>
      </c>
      <c r="E218" s="552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8"/>
      <c r="R218" s="568"/>
      <c r="S218" s="568"/>
      <c r="T218" s="569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1">
        <v>4680115880504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6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8"/>
      <c r="R219" s="568"/>
      <c r="S219" s="568"/>
      <c r="T219" s="569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1">
        <v>4680115882164</v>
      </c>
      <c r="E220" s="552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8"/>
      <c r="R220" s="568"/>
      <c r="S220" s="568"/>
      <c r="T220" s="569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58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9"/>
      <c r="P221" s="553" t="s">
        <v>75</v>
      </c>
      <c r="Q221" s="554"/>
      <c r="R221" s="554"/>
      <c r="S221" s="554"/>
      <c r="T221" s="554"/>
      <c r="U221" s="554"/>
      <c r="V221" s="55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9"/>
      <c r="P222" s="553" t="s">
        <v>75</v>
      </c>
      <c r="Q222" s="554"/>
      <c r="R222" s="554"/>
      <c r="S222" s="554"/>
      <c r="T222" s="554"/>
      <c r="U222" s="554"/>
      <c r="V222" s="555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hidden="1" customHeight="1" x14ac:dyDescent="0.25">
      <c r="A223" s="556" t="s">
        <v>167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1">
        <v>4680115880818</v>
      </c>
      <c r="E224" s="552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8"/>
      <c r="R224" s="568"/>
      <c r="S224" s="568"/>
      <c r="T224" s="569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1">
        <v>4680115880801</v>
      </c>
      <c r="E225" s="552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8"/>
      <c r="R225" s="568"/>
      <c r="S225" s="568"/>
      <c r="T225" s="569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58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9"/>
      <c r="P226" s="553" t="s">
        <v>75</v>
      </c>
      <c r="Q226" s="554"/>
      <c r="R226" s="554"/>
      <c r="S226" s="554"/>
      <c r="T226" s="554"/>
      <c r="U226" s="554"/>
      <c r="V226" s="555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9"/>
      <c r="P227" s="553" t="s">
        <v>75</v>
      </c>
      <c r="Q227" s="554"/>
      <c r="R227" s="554"/>
      <c r="S227" s="554"/>
      <c r="T227" s="554"/>
      <c r="U227" s="554"/>
      <c r="V227" s="555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2"/>
      <c r="AB228" s="542"/>
      <c r="AC228" s="542"/>
    </row>
    <row r="229" spans="1:68" ht="14.25" hidden="1" customHeight="1" x14ac:dyDescent="0.25">
      <c r="A229" s="556" t="s">
        <v>104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1">
        <v>4680115884137</v>
      </c>
      <c r="E230" s="552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8"/>
      <c r="R230" s="568"/>
      <c r="S230" s="568"/>
      <c r="T230" s="569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1">
        <v>4680115884236</v>
      </c>
      <c r="E231" s="552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8"/>
      <c r="R231" s="568"/>
      <c r="S231" s="568"/>
      <c r="T231" s="569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1">
        <v>4680115884175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8"/>
      <c r="R232" s="568"/>
      <c r="S232" s="568"/>
      <c r="T232" s="569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1">
        <v>4680115884144</v>
      </c>
      <c r="E233" s="552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8"/>
      <c r="R233" s="568"/>
      <c r="S233" s="568"/>
      <c r="T233" s="569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1">
        <v>4680115884144</v>
      </c>
      <c r="E234" s="552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8"/>
      <c r="R234" s="568"/>
      <c r="S234" s="568"/>
      <c r="T234" s="569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1">
        <v>4680115886551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8"/>
      <c r="R235" s="568"/>
      <c r="S235" s="568"/>
      <c r="T235" s="569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1">
        <v>4680115887282</v>
      </c>
      <c r="E236" s="552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8"/>
      <c r="R236" s="568"/>
      <c r="S236" s="568"/>
      <c r="T236" s="569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1">
        <v>4680115884205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8"/>
      <c r="R237" s="568"/>
      <c r="S237" s="568"/>
      <c r="T237" s="569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1">
        <v>4680115884205</v>
      </c>
      <c r="E238" s="552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8"/>
      <c r="R238" s="568"/>
      <c r="S238" s="568"/>
      <c r="T238" s="569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58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9"/>
      <c r="P239" s="553" t="s">
        <v>75</v>
      </c>
      <c r="Q239" s="554"/>
      <c r="R239" s="554"/>
      <c r="S239" s="554"/>
      <c r="T239" s="554"/>
      <c r="U239" s="554"/>
      <c r="V239" s="55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9"/>
      <c r="P240" s="553" t="s">
        <v>75</v>
      </c>
      <c r="Q240" s="554"/>
      <c r="R240" s="554"/>
      <c r="S240" s="554"/>
      <c r="T240" s="554"/>
      <c r="U240" s="554"/>
      <c r="V240" s="555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56" t="s">
        <v>139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1">
        <v>4680115885981</v>
      </c>
      <c r="E242" s="552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8"/>
      <c r="R242" s="568"/>
      <c r="S242" s="568"/>
      <c r="T242" s="569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8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9"/>
      <c r="P243" s="553" t="s">
        <v>75</v>
      </c>
      <c r="Q243" s="554"/>
      <c r="R243" s="554"/>
      <c r="S243" s="554"/>
      <c r="T243" s="554"/>
      <c r="U243" s="554"/>
      <c r="V243" s="55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9"/>
      <c r="P244" s="553" t="s">
        <v>75</v>
      </c>
      <c r="Q244" s="554"/>
      <c r="R244" s="554"/>
      <c r="S244" s="554"/>
      <c r="T244" s="554"/>
      <c r="U244" s="554"/>
      <c r="V244" s="55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3"/>
      <c r="AB245" s="543"/>
      <c r="AC245" s="543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1">
        <v>4680115886803</v>
      </c>
      <c r="E246" s="552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8"/>
      <c r="R246" s="568"/>
      <c r="S246" s="568"/>
      <c r="T246" s="569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58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9"/>
      <c r="P247" s="553" t="s">
        <v>75</v>
      </c>
      <c r="Q247" s="554"/>
      <c r="R247" s="554"/>
      <c r="S247" s="554"/>
      <c r="T247" s="554"/>
      <c r="U247" s="554"/>
      <c r="V247" s="555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9"/>
      <c r="P248" s="553" t="s">
        <v>75</v>
      </c>
      <c r="Q248" s="554"/>
      <c r="R248" s="554"/>
      <c r="S248" s="554"/>
      <c r="T248" s="554"/>
      <c r="U248" s="554"/>
      <c r="V248" s="555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1">
        <v>4680115886704</v>
      </c>
      <c r="E250" s="552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8"/>
      <c r="R250" s="568"/>
      <c r="S250" s="568"/>
      <c r="T250" s="569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1">
        <v>4680115886681</v>
      </c>
      <c r="E251" s="552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8"/>
      <c r="R251" s="568"/>
      <c r="S251" s="568"/>
      <c r="T251" s="569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1">
        <v>4680115886735</v>
      </c>
      <c r="E252" s="552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8"/>
      <c r="R252" s="568"/>
      <c r="S252" s="568"/>
      <c r="T252" s="569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1">
        <v>4680115886728</v>
      </c>
      <c r="E253" s="552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8"/>
      <c r="R253" s="568"/>
      <c r="S253" s="568"/>
      <c r="T253" s="569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1">
        <v>4680115886711</v>
      </c>
      <c r="E254" s="552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8"/>
      <c r="R254" s="568"/>
      <c r="S254" s="568"/>
      <c r="T254" s="569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5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9"/>
      <c r="P255" s="553" t="s">
        <v>75</v>
      </c>
      <c r="Q255" s="554"/>
      <c r="R255" s="554"/>
      <c r="S255" s="554"/>
      <c r="T255" s="554"/>
      <c r="U255" s="554"/>
      <c r="V255" s="555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9"/>
      <c r="P256" s="553" t="s">
        <v>75</v>
      </c>
      <c r="Q256" s="554"/>
      <c r="R256" s="554"/>
      <c r="S256" s="554"/>
      <c r="T256" s="554"/>
      <c r="U256" s="554"/>
      <c r="V256" s="555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2"/>
      <c r="AB257" s="542"/>
      <c r="AC257" s="542"/>
    </row>
    <row r="258" spans="1:68" ht="14.25" hidden="1" customHeight="1" x14ac:dyDescent="0.25">
      <c r="A258" s="556" t="s">
        <v>104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1">
        <v>4680115885837</v>
      </c>
      <c r="E259" s="552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8"/>
      <c r="R259" s="568"/>
      <c r="S259" s="568"/>
      <c r="T259" s="569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1">
        <v>4680115885851</v>
      </c>
      <c r="E260" s="552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8"/>
      <c r="R260" s="568"/>
      <c r="S260" s="568"/>
      <c r="T260" s="569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1">
        <v>4680115885806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8"/>
      <c r="R261" s="568"/>
      <c r="S261" s="568"/>
      <c r="T261" s="569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1">
        <v>4680115885844</v>
      </c>
      <c r="E262" s="552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8"/>
      <c r="R262" s="568"/>
      <c r="S262" s="568"/>
      <c r="T262" s="569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1">
        <v>4680115885820</v>
      </c>
      <c r="E263" s="552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8"/>
      <c r="R263" s="568"/>
      <c r="S263" s="568"/>
      <c r="T263" s="569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58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9"/>
      <c r="P264" s="553" t="s">
        <v>75</v>
      </c>
      <c r="Q264" s="554"/>
      <c r="R264" s="554"/>
      <c r="S264" s="554"/>
      <c r="T264" s="554"/>
      <c r="U264" s="554"/>
      <c r="V264" s="555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9"/>
      <c r="P265" s="553" t="s">
        <v>75</v>
      </c>
      <c r="Q265" s="554"/>
      <c r="R265" s="554"/>
      <c r="S265" s="554"/>
      <c r="T265" s="554"/>
      <c r="U265" s="554"/>
      <c r="V265" s="555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2"/>
      <c r="AB266" s="542"/>
      <c r="AC266" s="542"/>
    </row>
    <row r="267" spans="1:68" ht="14.25" hidden="1" customHeight="1" x14ac:dyDescent="0.25">
      <c r="A267" s="556" t="s">
        <v>104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1">
        <v>4607091383423</v>
      </c>
      <c r="E268" s="552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8"/>
      <c r="R268" s="568"/>
      <c r="S268" s="568"/>
      <c r="T268" s="569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1">
        <v>4680115886957</v>
      </c>
      <c r="E269" s="552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8"/>
      <c r="R269" s="568"/>
      <c r="S269" s="568"/>
      <c r="T269" s="569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1">
        <v>4680115885660</v>
      </c>
      <c r="E270" s="552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8"/>
      <c r="R270" s="568"/>
      <c r="S270" s="568"/>
      <c r="T270" s="569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1">
        <v>4680115886773</v>
      </c>
      <c r="E271" s="552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8"/>
      <c r="R271" s="568"/>
      <c r="S271" s="568"/>
      <c r="T271" s="569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58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9"/>
      <c r="P272" s="553" t="s">
        <v>75</v>
      </c>
      <c r="Q272" s="554"/>
      <c r="R272" s="554"/>
      <c r="S272" s="554"/>
      <c r="T272" s="554"/>
      <c r="U272" s="554"/>
      <c r="V272" s="55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9"/>
      <c r="P273" s="553" t="s">
        <v>75</v>
      </c>
      <c r="Q273" s="554"/>
      <c r="R273" s="554"/>
      <c r="S273" s="554"/>
      <c r="T273" s="554"/>
      <c r="U273" s="554"/>
      <c r="V273" s="55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2"/>
      <c r="AB274" s="542"/>
      <c r="AC274" s="542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1">
        <v>4680115886186</v>
      </c>
      <c r="E276" s="552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8"/>
      <c r="R276" s="568"/>
      <c r="S276" s="568"/>
      <c r="T276" s="569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1">
        <v>4680115881228</v>
      </c>
      <c r="E277" s="552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8"/>
      <c r="R277" s="568"/>
      <c r="S277" s="568"/>
      <c r="T277" s="569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1">
        <v>4680115881211</v>
      </c>
      <c r="E278" s="552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8"/>
      <c r="R278" s="568"/>
      <c r="S278" s="568"/>
      <c r="T278" s="569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58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9"/>
      <c r="P279" s="553" t="s">
        <v>75</v>
      </c>
      <c r="Q279" s="554"/>
      <c r="R279" s="554"/>
      <c r="S279" s="554"/>
      <c r="T279" s="554"/>
      <c r="U279" s="554"/>
      <c r="V279" s="555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9"/>
      <c r="P280" s="553" t="s">
        <v>75</v>
      </c>
      <c r="Q280" s="554"/>
      <c r="R280" s="554"/>
      <c r="S280" s="554"/>
      <c r="T280" s="554"/>
      <c r="U280" s="554"/>
      <c r="V280" s="555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2"/>
      <c r="AB281" s="542"/>
      <c r="AC281" s="542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1">
        <v>4680115880344</v>
      </c>
      <c r="E283" s="552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8"/>
      <c r="R283" s="568"/>
      <c r="S283" s="568"/>
      <c r="T283" s="569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1">
        <v>4680115886919</v>
      </c>
      <c r="E284" s="552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8"/>
      <c r="R284" s="568"/>
      <c r="S284" s="568"/>
      <c r="T284" s="569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9"/>
      <c r="P285" s="553" t="s">
        <v>75</v>
      </c>
      <c r="Q285" s="554"/>
      <c r="R285" s="554"/>
      <c r="S285" s="554"/>
      <c r="T285" s="554"/>
      <c r="U285" s="554"/>
      <c r="V285" s="55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9"/>
      <c r="P286" s="553" t="s">
        <v>75</v>
      </c>
      <c r="Q286" s="554"/>
      <c r="R286" s="554"/>
      <c r="S286" s="554"/>
      <c r="T286" s="554"/>
      <c r="U286" s="554"/>
      <c r="V286" s="55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3"/>
      <c r="AB287" s="543"/>
      <c r="AC287" s="543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1">
        <v>4680115884618</v>
      </c>
      <c r="E288" s="552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8"/>
      <c r="R288" s="568"/>
      <c r="S288" s="568"/>
      <c r="T288" s="569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1">
        <v>4680115887114</v>
      </c>
      <c r="E289" s="552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8"/>
      <c r="R289" s="568"/>
      <c r="S289" s="568"/>
      <c r="T289" s="569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58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9"/>
      <c r="P290" s="553" t="s">
        <v>75</v>
      </c>
      <c r="Q290" s="554"/>
      <c r="R290" s="554"/>
      <c r="S290" s="554"/>
      <c r="T290" s="554"/>
      <c r="U290" s="554"/>
      <c r="V290" s="555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9"/>
      <c r="P291" s="553" t="s">
        <v>75</v>
      </c>
      <c r="Q291" s="554"/>
      <c r="R291" s="554"/>
      <c r="S291" s="554"/>
      <c r="T291" s="554"/>
      <c r="U291" s="554"/>
      <c r="V291" s="555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2"/>
      <c r="AB292" s="542"/>
      <c r="AC292" s="542"/>
    </row>
    <row r="293" spans="1:68" ht="14.25" hidden="1" customHeight="1" x14ac:dyDescent="0.25">
      <c r="A293" s="556" t="s">
        <v>104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3"/>
      <c r="AB293" s="543"/>
      <c r="AC293" s="543"/>
    </row>
    <row r="294" spans="1:68" ht="27" hidden="1" customHeight="1" x14ac:dyDescent="0.25">
      <c r="A294" s="54" t="s">
        <v>470</v>
      </c>
      <c r="B294" s="54" t="s">
        <v>471</v>
      </c>
      <c r="C294" s="31">
        <v>4301012126</v>
      </c>
      <c r="D294" s="551">
        <v>4607091386004</v>
      </c>
      <c r="E294" s="552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8"/>
      <c r="R294" s="568"/>
      <c r="S294" s="568"/>
      <c r="T294" s="569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hidden="1" customHeight="1" x14ac:dyDescent="0.25">
      <c r="A295" s="54" t="s">
        <v>473</v>
      </c>
      <c r="B295" s="54" t="s">
        <v>474</v>
      </c>
      <c r="C295" s="31">
        <v>4301012024</v>
      </c>
      <c r="D295" s="551">
        <v>4680115885615</v>
      </c>
      <c r="E295" s="552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8"/>
      <c r="R295" s="568"/>
      <c r="S295" s="568"/>
      <c r="T295" s="569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hidden="1" customHeight="1" x14ac:dyDescent="0.25">
      <c r="A296" s="54" t="s">
        <v>476</v>
      </c>
      <c r="B296" s="54" t="s">
        <v>477</v>
      </c>
      <c r="C296" s="31">
        <v>4301011858</v>
      </c>
      <c r="D296" s="551">
        <v>4680115885646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1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8"/>
      <c r="R296" s="568"/>
      <c r="S296" s="568"/>
      <c r="T296" s="569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4301012016</v>
      </c>
      <c r="D297" s="551">
        <v>4680115885554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8"/>
      <c r="R297" s="568"/>
      <c r="S297" s="568"/>
      <c r="T297" s="569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1">
        <v>4680115885622</v>
      </c>
      <c r="E298" s="552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8"/>
      <c r="R298" s="568"/>
      <c r="S298" s="568"/>
      <c r="T298" s="569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484</v>
      </c>
      <c r="B299" s="54" t="s">
        <v>485</v>
      </c>
      <c r="C299" s="31">
        <v>4301011859</v>
      </c>
      <c r="D299" s="551">
        <v>4680115885608</v>
      </c>
      <c r="E299" s="552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8"/>
      <c r="R299" s="568"/>
      <c r="S299" s="568"/>
      <c r="T299" s="569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idden="1" x14ac:dyDescent="0.2">
      <c r="A300" s="558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9"/>
      <c r="P300" s="553" t="s">
        <v>75</v>
      </c>
      <c r="Q300" s="554"/>
      <c r="R300" s="554"/>
      <c r="S300" s="554"/>
      <c r="T300" s="554"/>
      <c r="U300" s="554"/>
      <c r="V300" s="555"/>
      <c r="W300" s="37" t="s">
        <v>76</v>
      </c>
      <c r="X300" s="549">
        <f>IFERROR(X294/H294,"0")+IFERROR(X295/H295,"0")+IFERROR(X296/H296,"0")+IFERROR(X297/H297,"0")+IFERROR(X298/H298,"0")+IFERROR(X299/H299,"0")</f>
        <v>0</v>
      </c>
      <c r="Y300" s="549">
        <f>IFERROR(Y294/H294,"0")+IFERROR(Y295/H295,"0")+IFERROR(Y296/H296,"0")+IFERROR(Y297/H297,"0")+IFERROR(Y298/H298,"0")+IFERROR(Y299/H299,"0")</f>
        <v>0</v>
      </c>
      <c r="Z300" s="549">
        <f>IFERROR(IF(Z294="",0,Z294),"0")+IFERROR(IF(Z295="",0,Z295),"0")+IFERROR(IF(Z296="",0,Z296),"0")+IFERROR(IF(Z297="",0,Z297),"0")+IFERROR(IF(Z298="",0,Z298),"0")+IFERROR(IF(Z299="",0,Z299),"0")</f>
        <v>0</v>
      </c>
      <c r="AA300" s="550"/>
      <c r="AB300" s="550"/>
      <c r="AC300" s="550"/>
    </row>
    <row r="301" spans="1:68" hidden="1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9"/>
      <c r="P301" s="553" t="s">
        <v>75</v>
      </c>
      <c r="Q301" s="554"/>
      <c r="R301" s="554"/>
      <c r="S301" s="554"/>
      <c r="T301" s="554"/>
      <c r="U301" s="554"/>
      <c r="V301" s="555"/>
      <c r="W301" s="37" t="s">
        <v>69</v>
      </c>
      <c r="X301" s="549">
        <f>IFERROR(SUM(X294:X299),"0")</f>
        <v>0</v>
      </c>
      <c r="Y301" s="549">
        <f>IFERROR(SUM(Y294:Y299),"0")</f>
        <v>0</v>
      </c>
      <c r="Z301" s="37"/>
      <c r="AA301" s="550"/>
      <c r="AB301" s="550"/>
      <c r="AC301" s="550"/>
    </row>
    <row r="302" spans="1:68" ht="14.25" hidden="1" customHeight="1" x14ac:dyDescent="0.25">
      <c r="A302" s="556" t="s">
        <v>64</v>
      </c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  <c r="Z302" s="557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1">
        <v>4607091387193</v>
      </c>
      <c r="E303" s="552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8"/>
      <c r="R303" s="568"/>
      <c r="S303" s="568"/>
      <c r="T303" s="569"/>
      <c r="U303" s="34"/>
      <c r="V303" s="34"/>
      <c r="W303" s="35" t="s">
        <v>69</v>
      </c>
      <c r="X303" s="547">
        <v>50</v>
      </c>
      <c r="Y303" s="548">
        <f t="shared" ref="Y303:Y308" si="31">IFERROR(IF(X303="",0,CEILING((X303/$H303),1)*$H303),"")</f>
        <v>50.400000000000006</v>
      </c>
      <c r="Z303" s="36">
        <f>IFERROR(IF(Y303=0,"",ROUNDUP(Y303/H303,0)*0.00902),"")</f>
        <v>0.10824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52.976190476190474</v>
      </c>
      <c r="BN303" s="64">
        <f t="shared" ref="BN303:BN308" si="33">IFERROR(Y303*I303/H303,"0")</f>
        <v>53.400000000000006</v>
      </c>
      <c r="BO303" s="64">
        <f t="shared" ref="BO303:BO308" si="34">IFERROR(1/J303*(X303/H303),"0")</f>
        <v>9.0187590187590191E-2</v>
      </c>
      <c r="BP303" s="64">
        <f t="shared" ref="BP303:BP308" si="35">IFERROR(1/J303*(Y303/H303),"0")</f>
        <v>9.0909090909090912E-2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1">
        <v>4607091387230</v>
      </c>
      <c r="E304" s="552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8"/>
      <c r="R304" s="568"/>
      <c r="S304" s="568"/>
      <c r="T304" s="569"/>
      <c r="U304" s="34"/>
      <c r="V304" s="34"/>
      <c r="W304" s="35" t="s">
        <v>69</v>
      </c>
      <c r="X304" s="547">
        <v>200</v>
      </c>
      <c r="Y304" s="548">
        <f t="shared" si="31"/>
        <v>201.60000000000002</v>
      </c>
      <c r="Z304" s="36">
        <f>IFERROR(IF(Y304=0,"",ROUNDUP(Y304/H304,0)*0.00902),"")</f>
        <v>0.43296000000000001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211.9047619047619</v>
      </c>
      <c r="BN304" s="64">
        <f t="shared" si="33"/>
        <v>213.60000000000002</v>
      </c>
      <c r="BO304" s="64">
        <f t="shared" si="34"/>
        <v>0.36075036075036077</v>
      </c>
      <c r="BP304" s="64">
        <f t="shared" si="35"/>
        <v>0.36363636363636365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1">
        <v>4607091387292</v>
      </c>
      <c r="E305" s="552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8"/>
      <c r="R305" s="568"/>
      <c r="S305" s="568"/>
      <c r="T305" s="569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1">
        <v>4607091387285</v>
      </c>
      <c r="E306" s="552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8"/>
      <c r="R306" s="568"/>
      <c r="S306" s="568"/>
      <c r="T306" s="569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1">
        <v>4607091389845</v>
      </c>
      <c r="E307" s="552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8"/>
      <c r="R307" s="568"/>
      <c r="S307" s="568"/>
      <c r="T307" s="569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1">
        <v>4607091383836</v>
      </c>
      <c r="E308" s="552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8"/>
      <c r="R308" s="568"/>
      <c r="S308" s="568"/>
      <c r="T308" s="569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58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9"/>
      <c r="P309" s="553" t="s">
        <v>75</v>
      </c>
      <c r="Q309" s="554"/>
      <c r="R309" s="554"/>
      <c r="S309" s="554"/>
      <c r="T309" s="554"/>
      <c r="U309" s="554"/>
      <c r="V309" s="555"/>
      <c r="W309" s="37" t="s">
        <v>76</v>
      </c>
      <c r="X309" s="549">
        <f>IFERROR(X303/H303,"0")+IFERROR(X304/H304,"0")+IFERROR(X305/H305,"0")+IFERROR(X306/H306,"0")+IFERROR(X307/H307,"0")+IFERROR(X308/H308,"0")</f>
        <v>59.523809523809526</v>
      </c>
      <c r="Y309" s="549">
        <f>IFERROR(Y303/H303,"0")+IFERROR(Y304/H304,"0")+IFERROR(Y305/H305,"0")+IFERROR(Y306/H306,"0")+IFERROR(Y307/H307,"0")+IFERROR(Y308/H308,"0")</f>
        <v>60</v>
      </c>
      <c r="Z309" s="549">
        <f>IFERROR(IF(Z303="",0,Z303),"0")+IFERROR(IF(Z304="",0,Z304),"0")+IFERROR(IF(Z305="",0,Z305),"0")+IFERROR(IF(Z306="",0,Z306),"0")+IFERROR(IF(Z307="",0,Z307),"0")+IFERROR(IF(Z308="",0,Z308),"0")</f>
        <v>0.54120000000000001</v>
      </c>
      <c r="AA309" s="550"/>
      <c r="AB309" s="550"/>
      <c r="AC309" s="550"/>
    </row>
    <row r="310" spans="1:68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9"/>
      <c r="P310" s="553" t="s">
        <v>75</v>
      </c>
      <c r="Q310" s="554"/>
      <c r="R310" s="554"/>
      <c r="S310" s="554"/>
      <c r="T310" s="554"/>
      <c r="U310" s="554"/>
      <c r="V310" s="555"/>
      <c r="W310" s="37" t="s">
        <v>69</v>
      </c>
      <c r="X310" s="549">
        <f>IFERROR(SUM(X303:X308),"0")</f>
        <v>250</v>
      </c>
      <c r="Y310" s="549">
        <f>IFERROR(SUM(Y303:Y308),"0")</f>
        <v>252.00000000000003</v>
      </c>
      <c r="Z310" s="37"/>
      <c r="AA310" s="550"/>
      <c r="AB310" s="550"/>
      <c r="AC310" s="550"/>
    </row>
    <row r="311" spans="1:68" ht="14.25" hidden="1" customHeight="1" x14ac:dyDescent="0.25">
      <c r="A311" s="556" t="s">
        <v>77</v>
      </c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  <c r="Z311" s="557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1">
        <v>4607091387766</v>
      </c>
      <c r="E312" s="552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8"/>
      <c r="R312" s="568"/>
      <c r="S312" s="568"/>
      <c r="T312" s="569"/>
      <c r="U312" s="34"/>
      <c r="V312" s="34"/>
      <c r="W312" s="35" t="s">
        <v>69</v>
      </c>
      <c r="X312" s="547">
        <v>700</v>
      </c>
      <c r="Y312" s="548">
        <f>IFERROR(IF(X312="",0,CEILING((X312/$H312),1)*$H312),"")</f>
        <v>702</v>
      </c>
      <c r="Z312" s="36">
        <f>IFERROR(IF(Y312=0,"",ROUNDUP(Y312/H312,0)*0.01898),"")</f>
        <v>1.7081999999999999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743.79487179487182</v>
      </c>
      <c r="BN312" s="64">
        <f>IFERROR(Y312*I312/H312,"0")</f>
        <v>745.92000000000007</v>
      </c>
      <c r="BO312" s="64">
        <f>IFERROR(1/J312*(X312/H312),"0")</f>
        <v>1.4022435897435899</v>
      </c>
      <c r="BP312" s="64">
        <f>IFERROR(1/J312*(Y312/H312),"0")</f>
        <v>1.40625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1">
        <v>4607091387957</v>
      </c>
      <c r="E313" s="552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8"/>
      <c r="R313" s="568"/>
      <c r="S313" s="568"/>
      <c r="T313" s="569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1">
        <v>4607091387964</v>
      </c>
      <c r="E314" s="552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8"/>
      <c r="R314" s="568"/>
      <c r="S314" s="568"/>
      <c r="T314" s="569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513</v>
      </c>
      <c r="B315" s="54" t="s">
        <v>514</v>
      </c>
      <c r="C315" s="31">
        <v>4301051734</v>
      </c>
      <c r="D315" s="551">
        <v>4680115884588</v>
      </c>
      <c r="E315" s="552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8"/>
      <c r="R315" s="568"/>
      <c r="S315" s="568"/>
      <c r="T315" s="569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58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9"/>
      <c r="P316" s="553" t="s">
        <v>75</v>
      </c>
      <c r="Q316" s="554"/>
      <c r="R316" s="554"/>
      <c r="S316" s="554"/>
      <c r="T316" s="554"/>
      <c r="U316" s="554"/>
      <c r="V316" s="555"/>
      <c r="W316" s="37" t="s">
        <v>76</v>
      </c>
      <c r="X316" s="549">
        <f>IFERROR(X312/H312,"0")+IFERROR(X313/H313,"0")+IFERROR(X314/H314,"0")+IFERROR(X315/H315,"0")</f>
        <v>89.743589743589752</v>
      </c>
      <c r="Y316" s="549">
        <f>IFERROR(Y312/H312,"0")+IFERROR(Y313/H313,"0")+IFERROR(Y314/H314,"0")+IFERROR(Y315/H315,"0")</f>
        <v>90</v>
      </c>
      <c r="Z316" s="549">
        <f>IFERROR(IF(Z312="",0,Z312),"0")+IFERROR(IF(Z313="",0,Z313),"0")+IFERROR(IF(Z314="",0,Z314),"0")+IFERROR(IF(Z315="",0,Z315),"0")</f>
        <v>1.7081999999999999</v>
      </c>
      <c r="AA316" s="550"/>
      <c r="AB316" s="550"/>
      <c r="AC316" s="550"/>
    </row>
    <row r="317" spans="1:68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9"/>
      <c r="P317" s="553" t="s">
        <v>75</v>
      </c>
      <c r="Q317" s="554"/>
      <c r="R317" s="554"/>
      <c r="S317" s="554"/>
      <c r="T317" s="554"/>
      <c r="U317" s="554"/>
      <c r="V317" s="555"/>
      <c r="W317" s="37" t="s">
        <v>69</v>
      </c>
      <c r="X317" s="549">
        <f>IFERROR(SUM(X312:X315),"0")</f>
        <v>700</v>
      </c>
      <c r="Y317" s="549">
        <f>IFERROR(SUM(Y312:Y315),"0")</f>
        <v>702</v>
      </c>
      <c r="Z317" s="37"/>
      <c r="AA317" s="550"/>
      <c r="AB317" s="550"/>
      <c r="AC317" s="550"/>
    </row>
    <row r="318" spans="1:68" ht="14.25" hidden="1" customHeight="1" x14ac:dyDescent="0.25">
      <c r="A318" s="556" t="s">
        <v>167</v>
      </c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  <c r="Z318" s="557"/>
      <c r="AA318" s="543"/>
      <c r="AB318" s="543"/>
      <c r="AC318" s="543"/>
    </row>
    <row r="319" spans="1:68" ht="27" hidden="1" customHeight="1" x14ac:dyDescent="0.25">
      <c r="A319" s="54" t="s">
        <v>516</v>
      </c>
      <c r="B319" s="54" t="s">
        <v>517</v>
      </c>
      <c r="C319" s="31">
        <v>4301060387</v>
      </c>
      <c r="D319" s="551">
        <v>4607091380880</v>
      </c>
      <c r="E319" s="552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8"/>
      <c r="R319" s="568"/>
      <c r="S319" s="568"/>
      <c r="T319" s="569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519</v>
      </c>
      <c r="B320" s="54" t="s">
        <v>520</v>
      </c>
      <c r="C320" s="31">
        <v>4301060406</v>
      </c>
      <c r="D320" s="551">
        <v>4607091384482</v>
      </c>
      <c r="E320" s="552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8"/>
      <c r="R320" s="568"/>
      <c r="S320" s="568"/>
      <c r="T320" s="569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hidden="1" customHeight="1" x14ac:dyDescent="0.25">
      <c r="A321" s="54" t="s">
        <v>522</v>
      </c>
      <c r="B321" s="54" t="s">
        <v>523</v>
      </c>
      <c r="C321" s="31">
        <v>4301060484</v>
      </c>
      <c r="D321" s="551">
        <v>4607091380897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8"/>
      <c r="R321" s="568"/>
      <c r="S321" s="568"/>
      <c r="T321" s="569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558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9"/>
      <c r="P322" s="553" t="s">
        <v>75</v>
      </c>
      <c r="Q322" s="554"/>
      <c r="R322" s="554"/>
      <c r="S322" s="554"/>
      <c r="T322" s="554"/>
      <c r="U322" s="554"/>
      <c r="V322" s="555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hidden="1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9"/>
      <c r="P323" s="553" t="s">
        <v>75</v>
      </c>
      <c r="Q323" s="554"/>
      <c r="R323" s="554"/>
      <c r="S323" s="554"/>
      <c r="T323" s="554"/>
      <c r="U323" s="554"/>
      <c r="V323" s="555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hidden="1" customHeight="1" x14ac:dyDescent="0.25">
      <c r="A324" s="556" t="s">
        <v>96</v>
      </c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  <c r="Z324" s="557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1">
        <v>4607091388381</v>
      </c>
      <c r="E325" s="552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8"/>
      <c r="R325" s="568"/>
      <c r="S325" s="568"/>
      <c r="T325" s="569"/>
      <c r="U325" s="34"/>
      <c r="V325" s="34"/>
      <c r="W325" s="35" t="s">
        <v>69</v>
      </c>
      <c r="X325" s="547">
        <v>6</v>
      </c>
      <c r="Y325" s="548">
        <f>IFERROR(IF(X325="",0,CEILING((X325/$H325),1)*$H325),"")</f>
        <v>6.08</v>
      </c>
      <c r="Z325" s="36">
        <f>IFERROR(IF(Y325=0,"",ROUNDUP(Y325/H325,0)*0.00902),"")</f>
        <v>1.804E-2</v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6.5328947368421053</v>
      </c>
      <c r="BN325" s="64">
        <f>IFERROR(Y325*I325/H325,"0")</f>
        <v>6.62</v>
      </c>
      <c r="BO325" s="64">
        <f>IFERROR(1/J325*(X325/H325),"0")</f>
        <v>1.4952153110047847E-2</v>
      </c>
      <c r="BP325" s="64">
        <f>IFERROR(1/J325*(Y325/H325),"0")</f>
        <v>1.5151515151515152E-2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1">
        <v>4607091388374</v>
      </c>
      <c r="E326" s="552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8"/>
      <c r="R326" s="568"/>
      <c r="S326" s="568"/>
      <c r="T326" s="569"/>
      <c r="U326" s="34"/>
      <c r="V326" s="34"/>
      <c r="W326" s="35" t="s">
        <v>69</v>
      </c>
      <c r="X326" s="547">
        <v>6</v>
      </c>
      <c r="Y326" s="548">
        <f>IFERROR(IF(X326="",0,CEILING((X326/$H326),1)*$H326),"")</f>
        <v>6.08</v>
      </c>
      <c r="Z326" s="36">
        <f>IFERROR(IF(Y326=0,"",ROUNDUP(Y326/H326,0)*0.00902),"")</f>
        <v>1.804E-2</v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6.4539473684210531</v>
      </c>
      <c r="BN326" s="64">
        <f>IFERROR(Y326*I326/H326,"0")</f>
        <v>6.5399999999999991</v>
      </c>
      <c r="BO326" s="64">
        <f>IFERROR(1/J326*(X326/H326),"0")</f>
        <v>1.4952153110047847E-2</v>
      </c>
      <c r="BP326" s="64">
        <f>IFERROR(1/J326*(Y326/H326),"0")</f>
        <v>1.5151515151515152E-2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1">
        <v>4607091383102</v>
      </c>
      <c r="E327" s="552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8"/>
      <c r="R327" s="568"/>
      <c r="S327" s="568"/>
      <c r="T327" s="569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4301030233</v>
      </c>
      <c r="D328" s="551">
        <v>4607091388404</v>
      </c>
      <c r="E328" s="552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8"/>
      <c r="R328" s="568"/>
      <c r="S328" s="568"/>
      <c r="T328" s="569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58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9"/>
      <c r="P329" s="553" t="s">
        <v>75</v>
      </c>
      <c r="Q329" s="554"/>
      <c r="R329" s="554"/>
      <c r="S329" s="554"/>
      <c r="T329" s="554"/>
      <c r="U329" s="554"/>
      <c r="V329" s="555"/>
      <c r="W329" s="37" t="s">
        <v>76</v>
      </c>
      <c r="X329" s="549">
        <f>IFERROR(X325/H325,"0")+IFERROR(X326/H326,"0")+IFERROR(X327/H327,"0")+IFERROR(X328/H328,"0")</f>
        <v>3.9473684210526314</v>
      </c>
      <c r="Y329" s="549">
        <f>IFERROR(Y325/H325,"0")+IFERROR(Y326/H326,"0")+IFERROR(Y327/H327,"0")+IFERROR(Y328/H328,"0")</f>
        <v>4</v>
      </c>
      <c r="Z329" s="549">
        <f>IFERROR(IF(Z325="",0,Z325),"0")+IFERROR(IF(Z326="",0,Z326),"0")+IFERROR(IF(Z327="",0,Z327),"0")+IFERROR(IF(Z328="",0,Z328),"0")</f>
        <v>3.6080000000000001E-2</v>
      </c>
      <c r="AA329" s="550"/>
      <c r="AB329" s="550"/>
      <c r="AC329" s="550"/>
    </row>
    <row r="330" spans="1:68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9"/>
      <c r="P330" s="553" t="s">
        <v>75</v>
      </c>
      <c r="Q330" s="554"/>
      <c r="R330" s="554"/>
      <c r="S330" s="554"/>
      <c r="T330" s="554"/>
      <c r="U330" s="554"/>
      <c r="V330" s="555"/>
      <c r="W330" s="37" t="s">
        <v>69</v>
      </c>
      <c r="X330" s="549">
        <f>IFERROR(SUM(X325:X328),"0")</f>
        <v>12</v>
      </c>
      <c r="Y330" s="549">
        <f>IFERROR(SUM(Y325:Y328),"0")</f>
        <v>12.16</v>
      </c>
      <c r="Z330" s="37"/>
      <c r="AA330" s="550"/>
      <c r="AB330" s="550"/>
      <c r="AC330" s="550"/>
    </row>
    <row r="331" spans="1:68" ht="14.25" hidden="1" customHeight="1" x14ac:dyDescent="0.25">
      <c r="A331" s="556" t="s">
        <v>535</v>
      </c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  <c r="Z331" s="557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1">
        <v>4680115881808</v>
      </c>
      <c r="E332" s="552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8"/>
      <c r="R332" s="568"/>
      <c r="S332" s="568"/>
      <c r="T332" s="569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1">
        <v>4680115881822</v>
      </c>
      <c r="E333" s="552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6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8"/>
      <c r="R333" s="568"/>
      <c r="S333" s="568"/>
      <c r="T333" s="569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1">
        <v>4680115880016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8"/>
      <c r="R334" s="568"/>
      <c r="S334" s="568"/>
      <c r="T334" s="569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58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9"/>
      <c r="P335" s="553" t="s">
        <v>75</v>
      </c>
      <c r="Q335" s="554"/>
      <c r="R335" s="554"/>
      <c r="S335" s="554"/>
      <c r="T335" s="554"/>
      <c r="U335" s="554"/>
      <c r="V335" s="555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9"/>
      <c r="P336" s="553" t="s">
        <v>75</v>
      </c>
      <c r="Q336" s="554"/>
      <c r="R336" s="554"/>
      <c r="S336" s="554"/>
      <c r="T336" s="554"/>
      <c r="U336" s="554"/>
      <c r="V336" s="555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74" t="s">
        <v>544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2"/>
      <c r="AB337" s="542"/>
      <c r="AC337" s="542"/>
    </row>
    <row r="338" spans="1:68" ht="14.25" hidden="1" customHeight="1" x14ac:dyDescent="0.25">
      <c r="A338" s="556" t="s">
        <v>77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1">
        <v>4607091387919</v>
      </c>
      <c r="E339" s="552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8"/>
      <c r="R339" s="568"/>
      <c r="S339" s="568"/>
      <c r="T339" s="569"/>
      <c r="U339" s="34"/>
      <c r="V339" s="34"/>
      <c r="W339" s="35" t="s">
        <v>69</v>
      </c>
      <c r="X339" s="547">
        <v>90</v>
      </c>
      <c r="Y339" s="548">
        <f>IFERROR(IF(X339="",0,CEILING((X339/$H339),1)*$H339),"")</f>
        <v>97.199999999999989</v>
      </c>
      <c r="Z339" s="36">
        <f>IFERROR(IF(Y339=0,"",ROUNDUP(Y339/H339,0)*0.01898),"")</f>
        <v>0.22776000000000002</v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95.48888888888888</v>
      </c>
      <c r="BN339" s="64">
        <f>IFERROR(Y339*I339/H339,"0")</f>
        <v>103.12799999999999</v>
      </c>
      <c r="BO339" s="64">
        <f>IFERROR(1/J339*(X339/H339),"0")</f>
        <v>0.1736111111111111</v>
      </c>
      <c r="BP339" s="64">
        <f>IFERROR(1/J339*(Y339/H339),"0")</f>
        <v>0.1875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4301051461</v>
      </c>
      <c r="D340" s="551">
        <v>4680115883604</v>
      </c>
      <c r="E340" s="552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8"/>
      <c r="R340" s="568"/>
      <c r="S340" s="568"/>
      <c r="T340" s="569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551</v>
      </c>
      <c r="B341" s="54" t="s">
        <v>552</v>
      </c>
      <c r="C341" s="31">
        <v>4301051864</v>
      </c>
      <c r="D341" s="551">
        <v>4680115883567</v>
      </c>
      <c r="E341" s="552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1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8"/>
      <c r="R341" s="568"/>
      <c r="S341" s="568"/>
      <c r="T341" s="569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58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9"/>
      <c r="P342" s="553" t="s">
        <v>75</v>
      </c>
      <c r="Q342" s="554"/>
      <c r="R342" s="554"/>
      <c r="S342" s="554"/>
      <c r="T342" s="554"/>
      <c r="U342" s="554"/>
      <c r="V342" s="555"/>
      <c r="W342" s="37" t="s">
        <v>76</v>
      </c>
      <c r="X342" s="549">
        <f>IFERROR(X339/H339,"0")+IFERROR(X340/H340,"0")+IFERROR(X341/H341,"0")</f>
        <v>11.111111111111111</v>
      </c>
      <c r="Y342" s="549">
        <f>IFERROR(Y339/H339,"0")+IFERROR(Y340/H340,"0")+IFERROR(Y341/H341,"0")</f>
        <v>12</v>
      </c>
      <c r="Z342" s="549">
        <f>IFERROR(IF(Z339="",0,Z339),"0")+IFERROR(IF(Z340="",0,Z340),"0")+IFERROR(IF(Z341="",0,Z341),"0")</f>
        <v>0.22776000000000002</v>
      </c>
      <c r="AA342" s="550"/>
      <c r="AB342" s="550"/>
      <c r="AC342" s="550"/>
    </row>
    <row r="343" spans="1:68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9"/>
      <c r="P343" s="553" t="s">
        <v>75</v>
      </c>
      <c r="Q343" s="554"/>
      <c r="R343" s="554"/>
      <c r="S343" s="554"/>
      <c r="T343" s="554"/>
      <c r="U343" s="554"/>
      <c r="V343" s="555"/>
      <c r="W343" s="37" t="s">
        <v>69</v>
      </c>
      <c r="X343" s="549">
        <f>IFERROR(SUM(X339:X341),"0")</f>
        <v>90</v>
      </c>
      <c r="Y343" s="549">
        <f>IFERROR(SUM(Y339:Y341),"0")</f>
        <v>97.199999999999989</v>
      </c>
      <c r="Z343" s="37"/>
      <c r="AA343" s="550"/>
      <c r="AB343" s="550"/>
      <c r="AC343" s="550"/>
    </row>
    <row r="344" spans="1:68" ht="27.75" hidden="1" customHeight="1" x14ac:dyDescent="0.2">
      <c r="A344" s="563" t="s">
        <v>554</v>
      </c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48"/>
      <c r="AB344" s="48"/>
      <c r="AC344" s="48"/>
    </row>
    <row r="345" spans="1:68" ht="16.5" hidden="1" customHeight="1" x14ac:dyDescent="0.25">
      <c r="A345" s="574" t="s">
        <v>555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2"/>
      <c r="AB345" s="542"/>
      <c r="AC345" s="542"/>
    </row>
    <row r="346" spans="1:68" ht="14.25" hidden="1" customHeight="1" x14ac:dyDescent="0.25">
      <c r="A346" s="556" t="s">
        <v>104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1">
        <v>4680115884847</v>
      </c>
      <c r="E347" s="552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8"/>
      <c r="R347" s="568"/>
      <c r="S347" s="568"/>
      <c r="T347" s="569"/>
      <c r="U347" s="34"/>
      <c r="V347" s="34"/>
      <c r="W347" s="35" t="s">
        <v>69</v>
      </c>
      <c r="X347" s="547">
        <v>50</v>
      </c>
      <c r="Y347" s="548">
        <f t="shared" ref="Y347:Y353" si="36">IFERROR(IF(X347="",0,CEILING((X347/$H347),1)*$H347),"")</f>
        <v>60</v>
      </c>
      <c r="Z347" s="36">
        <f>IFERROR(IF(Y347=0,"",ROUNDUP(Y347/H347,0)*0.02175),"")</f>
        <v>8.6999999999999994E-2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51.56666666666667</v>
      </c>
      <c r="BN347" s="64">
        <f t="shared" ref="BN347:BN353" si="38">IFERROR(Y347*I347/H347,"0")</f>
        <v>61.88</v>
      </c>
      <c r="BO347" s="64">
        <f t="shared" ref="BO347:BO353" si="39">IFERROR(1/J347*(X347/H347),"0")</f>
        <v>6.9444444444444448E-2</v>
      </c>
      <c r="BP347" s="64">
        <f t="shared" ref="BP347:BP353" si="40">IFERROR(1/J347*(Y347/H347),"0")</f>
        <v>8.3333333333333329E-2</v>
      </c>
    </row>
    <row r="348" spans="1:68" ht="27" hidden="1" customHeight="1" x14ac:dyDescent="0.25">
      <c r="A348" s="54" t="s">
        <v>559</v>
      </c>
      <c r="B348" s="54" t="s">
        <v>560</v>
      </c>
      <c r="C348" s="31">
        <v>4301011870</v>
      </c>
      <c r="D348" s="551">
        <v>4680115884854</v>
      </c>
      <c r="E348" s="552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8"/>
      <c r="R348" s="568"/>
      <c r="S348" s="568"/>
      <c r="T348" s="569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1">
        <v>4680115884830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8"/>
      <c r="R349" s="568"/>
      <c r="S349" s="568"/>
      <c r="T349" s="569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1">
        <v>4680115887046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6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8"/>
      <c r="R350" s="568"/>
      <c r="S350" s="568"/>
      <c r="T350" s="569"/>
      <c r="U350" s="34"/>
      <c r="V350" s="34"/>
      <c r="W350" s="35" t="s">
        <v>69</v>
      </c>
      <c r="X350" s="547">
        <v>300</v>
      </c>
      <c r="Y350" s="548">
        <f t="shared" si="36"/>
        <v>300</v>
      </c>
      <c r="Z350" s="36">
        <f>IFERROR(IF(Y350=0,"",ROUNDUP(Y350/H350,0)*0.02175),"")</f>
        <v>0.43499999999999994</v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309.39999999999998</v>
      </c>
      <c r="BN350" s="64">
        <f t="shared" si="38"/>
        <v>309.39999999999998</v>
      </c>
      <c r="BO350" s="64">
        <f t="shared" si="39"/>
        <v>0.41666666666666663</v>
      </c>
      <c r="BP350" s="64">
        <f t="shared" si="40"/>
        <v>0.41666666666666663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1">
        <v>4680115882638</v>
      </c>
      <c r="E351" s="552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8"/>
      <c r="R351" s="568"/>
      <c r="S351" s="568"/>
      <c r="T351" s="569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1">
        <v>4680115884922</v>
      </c>
      <c r="E352" s="552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8"/>
      <c r="R352" s="568"/>
      <c r="S352" s="568"/>
      <c r="T352" s="569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1">
        <v>4680115884861</v>
      </c>
      <c r="E353" s="552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8"/>
      <c r="R353" s="568"/>
      <c r="S353" s="568"/>
      <c r="T353" s="569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5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9"/>
      <c r="P354" s="553" t="s">
        <v>75</v>
      </c>
      <c r="Q354" s="554"/>
      <c r="R354" s="554"/>
      <c r="S354" s="554"/>
      <c r="T354" s="554"/>
      <c r="U354" s="554"/>
      <c r="V354" s="55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23.333333333333332</v>
      </c>
      <c r="Y354" s="549">
        <f>IFERROR(Y347/H347,"0")+IFERROR(Y348/H348,"0")+IFERROR(Y349/H349,"0")+IFERROR(Y350/H350,"0")+IFERROR(Y351/H351,"0")+IFERROR(Y352/H352,"0")+IFERROR(Y353/H353,"0")</f>
        <v>24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0.52199999999999991</v>
      </c>
      <c r="AA354" s="550"/>
      <c r="AB354" s="550"/>
      <c r="AC354" s="550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9"/>
      <c r="P355" s="553" t="s">
        <v>75</v>
      </c>
      <c r="Q355" s="554"/>
      <c r="R355" s="554"/>
      <c r="S355" s="554"/>
      <c r="T355" s="554"/>
      <c r="U355" s="554"/>
      <c r="V355" s="555"/>
      <c r="W355" s="37" t="s">
        <v>69</v>
      </c>
      <c r="X355" s="549">
        <f>IFERROR(SUM(X347:X353),"0")</f>
        <v>350</v>
      </c>
      <c r="Y355" s="549">
        <f>IFERROR(SUM(Y347:Y353),"0")</f>
        <v>360</v>
      </c>
      <c r="Z355" s="37"/>
      <c r="AA355" s="550"/>
      <c r="AB355" s="550"/>
      <c r="AC355" s="550"/>
    </row>
    <row r="356" spans="1:68" ht="14.25" hidden="1" customHeight="1" x14ac:dyDescent="0.25">
      <c r="A356" s="556" t="s">
        <v>139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1">
        <v>4607091383980</v>
      </c>
      <c r="E357" s="552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8"/>
      <c r="R357" s="568"/>
      <c r="S357" s="568"/>
      <c r="T357" s="569"/>
      <c r="U357" s="34"/>
      <c r="V357" s="34"/>
      <c r="W357" s="35" t="s">
        <v>69</v>
      </c>
      <c r="X357" s="547">
        <v>800</v>
      </c>
      <c r="Y357" s="548">
        <f>IFERROR(IF(X357="",0,CEILING((X357/$H357),1)*$H357),"")</f>
        <v>810</v>
      </c>
      <c r="Z357" s="36">
        <f>IFERROR(IF(Y357=0,"",ROUNDUP(Y357/H357,0)*0.02175),"")</f>
        <v>1.1744999999999999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825.06666666666672</v>
      </c>
      <c r="BN357" s="64">
        <f>IFERROR(Y357*I357/H357,"0")</f>
        <v>835.38</v>
      </c>
      <c r="BO357" s="64">
        <f>IFERROR(1/J357*(X357/H357),"0")</f>
        <v>1.1111111111111112</v>
      </c>
      <c r="BP357" s="64">
        <f>IFERROR(1/J357*(Y357/H357),"0")</f>
        <v>1.125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1">
        <v>4607091384178</v>
      </c>
      <c r="E358" s="552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8"/>
      <c r="R358" s="568"/>
      <c r="S358" s="568"/>
      <c r="T358" s="569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9"/>
      <c r="P359" s="553" t="s">
        <v>75</v>
      </c>
      <c r="Q359" s="554"/>
      <c r="R359" s="554"/>
      <c r="S359" s="554"/>
      <c r="T359" s="554"/>
      <c r="U359" s="554"/>
      <c r="V359" s="555"/>
      <c r="W359" s="37" t="s">
        <v>76</v>
      </c>
      <c r="X359" s="549">
        <f>IFERROR(X357/H357,"0")+IFERROR(X358/H358,"0")</f>
        <v>53.333333333333336</v>
      </c>
      <c r="Y359" s="549">
        <f>IFERROR(Y357/H357,"0")+IFERROR(Y358/H358,"0")</f>
        <v>54</v>
      </c>
      <c r="Z359" s="549">
        <f>IFERROR(IF(Z357="",0,Z357),"0")+IFERROR(IF(Z358="",0,Z358),"0")</f>
        <v>1.1744999999999999</v>
      </c>
      <c r="AA359" s="550"/>
      <c r="AB359" s="550"/>
      <c r="AC359" s="550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9"/>
      <c r="P360" s="553" t="s">
        <v>75</v>
      </c>
      <c r="Q360" s="554"/>
      <c r="R360" s="554"/>
      <c r="S360" s="554"/>
      <c r="T360" s="554"/>
      <c r="U360" s="554"/>
      <c r="V360" s="555"/>
      <c r="W360" s="37" t="s">
        <v>69</v>
      </c>
      <c r="X360" s="549">
        <f>IFERROR(SUM(X357:X358),"0")</f>
        <v>800</v>
      </c>
      <c r="Y360" s="549">
        <f>IFERROR(SUM(Y357:Y358),"0")</f>
        <v>810</v>
      </c>
      <c r="Z360" s="37"/>
      <c r="AA360" s="550"/>
      <c r="AB360" s="550"/>
      <c r="AC360" s="550"/>
    </row>
    <row r="361" spans="1:68" ht="14.25" hidden="1" customHeight="1" x14ac:dyDescent="0.25">
      <c r="A361" s="556" t="s">
        <v>77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43"/>
      <c r="AB361" s="543"/>
      <c r="AC361" s="543"/>
    </row>
    <row r="362" spans="1:68" ht="27" hidden="1" customHeight="1" x14ac:dyDescent="0.25">
      <c r="A362" s="54" t="s">
        <v>581</v>
      </c>
      <c r="B362" s="54" t="s">
        <v>582</v>
      </c>
      <c r="C362" s="31">
        <v>4301051903</v>
      </c>
      <c r="D362" s="551">
        <v>4607091383928</v>
      </c>
      <c r="E362" s="552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8"/>
      <c r="R362" s="568"/>
      <c r="S362" s="568"/>
      <c r="T362" s="569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584</v>
      </c>
      <c r="B363" s="54" t="s">
        <v>585</v>
      </c>
      <c r="C363" s="31">
        <v>4301051897</v>
      </c>
      <c r="D363" s="551">
        <v>4607091384260</v>
      </c>
      <c r="E363" s="552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8"/>
      <c r="R363" s="568"/>
      <c r="S363" s="568"/>
      <c r="T363" s="569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8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9"/>
      <c r="P364" s="553" t="s">
        <v>75</v>
      </c>
      <c r="Q364" s="554"/>
      <c r="R364" s="554"/>
      <c r="S364" s="554"/>
      <c r="T364" s="554"/>
      <c r="U364" s="554"/>
      <c r="V364" s="555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9"/>
      <c r="P365" s="553" t="s">
        <v>75</v>
      </c>
      <c r="Q365" s="554"/>
      <c r="R365" s="554"/>
      <c r="S365" s="554"/>
      <c r="T365" s="554"/>
      <c r="U365" s="554"/>
      <c r="V365" s="555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hidden="1" customHeight="1" x14ac:dyDescent="0.25">
      <c r="A366" s="556" t="s">
        <v>167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43"/>
      <c r="AB366" s="543"/>
      <c r="AC366" s="543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1">
        <v>4607091384673</v>
      </c>
      <c r="E367" s="552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8"/>
      <c r="R367" s="568"/>
      <c r="S367" s="568"/>
      <c r="T367" s="569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58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9"/>
      <c r="P368" s="553" t="s">
        <v>75</v>
      </c>
      <c r="Q368" s="554"/>
      <c r="R368" s="554"/>
      <c r="S368" s="554"/>
      <c r="T368" s="554"/>
      <c r="U368" s="554"/>
      <c r="V368" s="555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9"/>
      <c r="P369" s="553" t="s">
        <v>75</v>
      </c>
      <c r="Q369" s="554"/>
      <c r="R369" s="554"/>
      <c r="S369" s="554"/>
      <c r="T369" s="554"/>
      <c r="U369" s="554"/>
      <c r="V369" s="555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74" t="s">
        <v>590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2"/>
      <c r="AB370" s="542"/>
      <c r="AC370" s="542"/>
    </row>
    <row r="371" spans="1:68" ht="14.25" hidden="1" customHeight="1" x14ac:dyDescent="0.25">
      <c r="A371" s="556" t="s">
        <v>104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1">
        <v>4680115884885</v>
      </c>
      <c r="E372" s="552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8"/>
      <c r="R372" s="568"/>
      <c r="S372" s="568"/>
      <c r="T372" s="569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1">
        <v>4680115884908</v>
      </c>
      <c r="E373" s="552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8"/>
      <c r="R373" s="568"/>
      <c r="S373" s="568"/>
      <c r="T373" s="569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9"/>
      <c r="P374" s="553" t="s">
        <v>75</v>
      </c>
      <c r="Q374" s="554"/>
      <c r="R374" s="554"/>
      <c r="S374" s="554"/>
      <c r="T374" s="554"/>
      <c r="U374" s="554"/>
      <c r="V374" s="555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9"/>
      <c r="P375" s="553" t="s">
        <v>75</v>
      </c>
      <c r="Q375" s="554"/>
      <c r="R375" s="554"/>
      <c r="S375" s="554"/>
      <c r="T375" s="554"/>
      <c r="U375" s="554"/>
      <c r="V375" s="555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56" t="s">
        <v>64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1">
        <v>4607091384802</v>
      </c>
      <c r="E377" s="552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8"/>
      <c r="R377" s="568"/>
      <c r="S377" s="568"/>
      <c r="T377" s="569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1">
        <v>4607091384802</v>
      </c>
      <c r="E378" s="552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8"/>
      <c r="R378" s="568"/>
      <c r="S378" s="568"/>
      <c r="T378" s="569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9"/>
      <c r="P379" s="553" t="s">
        <v>75</v>
      </c>
      <c r="Q379" s="554"/>
      <c r="R379" s="554"/>
      <c r="S379" s="554"/>
      <c r="T379" s="554"/>
      <c r="U379" s="554"/>
      <c r="V379" s="555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9"/>
      <c r="P380" s="553" t="s">
        <v>75</v>
      </c>
      <c r="Q380" s="554"/>
      <c r="R380" s="554"/>
      <c r="S380" s="554"/>
      <c r="T380" s="554"/>
      <c r="U380" s="554"/>
      <c r="V380" s="555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56" t="s">
        <v>77</v>
      </c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  <c r="Z381" s="557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1">
        <v>4607091384246</v>
      </c>
      <c r="E382" s="552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8"/>
      <c r="R382" s="568"/>
      <c r="S382" s="568"/>
      <c r="T382" s="569"/>
      <c r="U382" s="34"/>
      <c r="V382" s="34"/>
      <c r="W382" s="35" t="s">
        <v>69</v>
      </c>
      <c r="X382" s="547">
        <v>300</v>
      </c>
      <c r="Y382" s="548">
        <f>IFERROR(IF(X382="",0,CEILING((X382/$H382),1)*$H382),"")</f>
        <v>306</v>
      </c>
      <c r="Z382" s="36">
        <f>IFERROR(IF(Y382=0,"",ROUNDUP(Y382/H382,0)*0.01898),"")</f>
        <v>0.64532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316.46666666666664</v>
      </c>
      <c r="BN382" s="64">
        <f>IFERROR(Y382*I382/H382,"0")</f>
        <v>322.79599999999999</v>
      </c>
      <c r="BO382" s="64">
        <f>IFERROR(1/J382*(X382/H382),"0")</f>
        <v>0.52083333333333337</v>
      </c>
      <c r="BP382" s="64">
        <f>IFERROR(1/J382*(Y382/H382),"0")</f>
        <v>0.53125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1">
        <v>4607091384253</v>
      </c>
      <c r="E383" s="552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8"/>
      <c r="R383" s="568"/>
      <c r="S383" s="568"/>
      <c r="T383" s="569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1">
        <v>4607091384253</v>
      </c>
      <c r="E384" s="552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8"/>
      <c r="R384" s="568"/>
      <c r="S384" s="568"/>
      <c r="T384" s="569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58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9"/>
      <c r="P385" s="553" t="s">
        <v>75</v>
      </c>
      <c r="Q385" s="554"/>
      <c r="R385" s="554"/>
      <c r="S385" s="554"/>
      <c r="T385" s="554"/>
      <c r="U385" s="554"/>
      <c r="V385" s="555"/>
      <c r="W385" s="37" t="s">
        <v>76</v>
      </c>
      <c r="X385" s="549">
        <f>IFERROR(X382/H382,"0")+IFERROR(X383/H383,"0")+IFERROR(X384/H384,"0")</f>
        <v>33.333333333333336</v>
      </c>
      <c r="Y385" s="549">
        <f>IFERROR(Y382/H382,"0")+IFERROR(Y383/H383,"0")+IFERROR(Y384/H384,"0")</f>
        <v>34</v>
      </c>
      <c r="Z385" s="549">
        <f>IFERROR(IF(Z382="",0,Z382),"0")+IFERROR(IF(Z383="",0,Z383),"0")+IFERROR(IF(Z384="",0,Z384),"0")</f>
        <v>0.64532</v>
      </c>
      <c r="AA385" s="550"/>
      <c r="AB385" s="550"/>
      <c r="AC385" s="550"/>
    </row>
    <row r="386" spans="1:68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9"/>
      <c r="P386" s="553" t="s">
        <v>75</v>
      </c>
      <c r="Q386" s="554"/>
      <c r="R386" s="554"/>
      <c r="S386" s="554"/>
      <c r="T386" s="554"/>
      <c r="U386" s="554"/>
      <c r="V386" s="555"/>
      <c r="W386" s="37" t="s">
        <v>69</v>
      </c>
      <c r="X386" s="549">
        <f>IFERROR(SUM(X382:X384),"0")</f>
        <v>300</v>
      </c>
      <c r="Y386" s="549">
        <f>IFERROR(SUM(Y382:Y384),"0")</f>
        <v>306</v>
      </c>
      <c r="Z386" s="37"/>
      <c r="AA386" s="550"/>
      <c r="AB386" s="550"/>
      <c r="AC386" s="550"/>
    </row>
    <row r="387" spans="1:68" ht="27.75" hidden="1" customHeight="1" x14ac:dyDescent="0.2">
      <c r="A387" s="563" t="s">
        <v>608</v>
      </c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48"/>
      <c r="AB387" s="48"/>
      <c r="AC387" s="48"/>
    </row>
    <row r="388" spans="1:68" ht="16.5" hidden="1" customHeight="1" x14ac:dyDescent="0.25">
      <c r="A388" s="574" t="s">
        <v>609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2"/>
      <c r="AB388" s="542"/>
      <c r="AC388" s="542"/>
    </row>
    <row r="389" spans="1:68" ht="14.25" hidden="1" customHeight="1" x14ac:dyDescent="0.25">
      <c r="A389" s="556" t="s">
        <v>64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3"/>
      <c r="AB389" s="543"/>
      <c r="AC389" s="543"/>
    </row>
    <row r="390" spans="1:68" ht="27" hidden="1" customHeight="1" x14ac:dyDescent="0.25">
      <c r="A390" s="54" t="s">
        <v>610</v>
      </c>
      <c r="B390" s="54" t="s">
        <v>611</v>
      </c>
      <c r="C390" s="31">
        <v>4301031405</v>
      </c>
      <c r="D390" s="551">
        <v>4680115886100</v>
      </c>
      <c r="E390" s="552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8"/>
      <c r="R390" s="568"/>
      <c r="S390" s="568"/>
      <c r="T390" s="569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1">
        <v>4680115886117</v>
      </c>
      <c r="E391" s="552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8"/>
      <c r="R391" s="568"/>
      <c r="S391" s="568"/>
      <c r="T391" s="569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1">
        <v>4680115886124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8"/>
      <c r="R392" s="568"/>
      <c r="S392" s="568"/>
      <c r="T392" s="569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1">
        <v>4680115883147</v>
      </c>
      <c r="E393" s="552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8"/>
      <c r="R393" s="568"/>
      <c r="S393" s="568"/>
      <c r="T393" s="569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1">
        <v>4607091384338</v>
      </c>
      <c r="E394" s="552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8"/>
      <c r="R394" s="568"/>
      <c r="S394" s="568"/>
      <c r="T394" s="569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1">
        <v>4607091389524</v>
      </c>
      <c r="E395" s="552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8"/>
      <c r="R395" s="568"/>
      <c r="S395" s="568"/>
      <c r="T395" s="569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1">
        <v>4680115883161</v>
      </c>
      <c r="E396" s="552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8"/>
      <c r="R396" s="568"/>
      <c r="S396" s="568"/>
      <c r="T396" s="569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1">
        <v>4607091389531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8"/>
      <c r="R397" s="568"/>
      <c r="S397" s="568"/>
      <c r="T397" s="569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1">
        <v>4607091384345</v>
      </c>
      <c r="E398" s="552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8"/>
      <c r="R398" s="568"/>
      <c r="S398" s="568"/>
      <c r="T398" s="569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idden="1" x14ac:dyDescent="0.2">
      <c r="A399" s="558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9"/>
      <c r="P399" s="553" t="s">
        <v>75</v>
      </c>
      <c r="Q399" s="554"/>
      <c r="R399" s="554"/>
      <c r="S399" s="554"/>
      <c r="T399" s="554"/>
      <c r="U399" s="554"/>
      <c r="V399" s="55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hidden="1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9"/>
      <c r="P400" s="553" t="s">
        <v>75</v>
      </c>
      <c r="Q400" s="554"/>
      <c r="R400" s="554"/>
      <c r="S400" s="554"/>
      <c r="T400" s="554"/>
      <c r="U400" s="554"/>
      <c r="V400" s="555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hidden="1" customHeight="1" x14ac:dyDescent="0.25">
      <c r="A401" s="556" t="s">
        <v>77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1">
        <v>4607091384352</v>
      </c>
      <c r="E402" s="552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8"/>
      <c r="R402" s="568"/>
      <c r="S402" s="568"/>
      <c r="T402" s="569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1">
        <v>4607091389654</v>
      </c>
      <c r="E403" s="552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8"/>
      <c r="R403" s="568"/>
      <c r="S403" s="568"/>
      <c r="T403" s="569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9"/>
      <c r="P404" s="553" t="s">
        <v>75</v>
      </c>
      <c r="Q404" s="554"/>
      <c r="R404" s="554"/>
      <c r="S404" s="554"/>
      <c r="T404" s="554"/>
      <c r="U404" s="554"/>
      <c r="V404" s="555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9"/>
      <c r="P405" s="553" t="s">
        <v>75</v>
      </c>
      <c r="Q405" s="554"/>
      <c r="R405" s="554"/>
      <c r="S405" s="554"/>
      <c r="T405" s="554"/>
      <c r="U405" s="554"/>
      <c r="V405" s="555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74" t="s">
        <v>640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2"/>
      <c r="AB406" s="542"/>
      <c r="AC406" s="542"/>
    </row>
    <row r="407" spans="1:68" ht="14.25" hidden="1" customHeight="1" x14ac:dyDescent="0.25">
      <c r="A407" s="556" t="s">
        <v>139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1">
        <v>4680115885240</v>
      </c>
      <c r="E408" s="552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8"/>
      <c r="R408" s="568"/>
      <c r="S408" s="568"/>
      <c r="T408" s="569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58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9"/>
      <c r="P409" s="553" t="s">
        <v>75</v>
      </c>
      <c r="Q409" s="554"/>
      <c r="R409" s="554"/>
      <c r="S409" s="554"/>
      <c r="T409" s="554"/>
      <c r="U409" s="554"/>
      <c r="V409" s="55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9"/>
      <c r="P410" s="553" t="s">
        <v>75</v>
      </c>
      <c r="Q410" s="554"/>
      <c r="R410" s="554"/>
      <c r="S410" s="554"/>
      <c r="T410" s="554"/>
      <c r="U410" s="554"/>
      <c r="V410" s="55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6" t="s">
        <v>64</v>
      </c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  <c r="Z411" s="557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1">
        <v>4680115886094</v>
      </c>
      <c r="E412" s="552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8"/>
      <c r="R412" s="568"/>
      <c r="S412" s="568"/>
      <c r="T412" s="569"/>
      <c r="U412" s="34"/>
      <c r="V412" s="34"/>
      <c r="W412" s="35" t="s">
        <v>69</v>
      </c>
      <c r="X412" s="547">
        <v>10</v>
      </c>
      <c r="Y412" s="548">
        <f>IFERROR(IF(X412="",0,CEILING((X412/$H412),1)*$H412),"")</f>
        <v>10.8</v>
      </c>
      <c r="Z412" s="36">
        <f>IFERROR(IF(Y412=0,"",ROUNDUP(Y412/H412,0)*0.00902),"")</f>
        <v>1.804E-2</v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10.351851851851851</v>
      </c>
      <c r="BN412" s="64">
        <f>IFERROR(Y412*I412/H412,"0")</f>
        <v>11.18</v>
      </c>
      <c r="BO412" s="64">
        <f>IFERROR(1/J412*(X412/H412),"0")</f>
        <v>1.4029180695847361E-2</v>
      </c>
      <c r="BP412" s="64">
        <f>IFERROR(1/J412*(Y412/H412),"0")</f>
        <v>1.5151515151515152E-2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1">
        <v>4607091389425</v>
      </c>
      <c r="E413" s="552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8"/>
      <c r="R413" s="568"/>
      <c r="S413" s="568"/>
      <c r="T413" s="569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1">
        <v>4680115880771</v>
      </c>
      <c r="E414" s="552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8"/>
      <c r="R414" s="568"/>
      <c r="S414" s="568"/>
      <c r="T414" s="569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1">
        <v>4607091389500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8"/>
      <c r="R415" s="568"/>
      <c r="S415" s="568"/>
      <c r="T415" s="569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8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9"/>
      <c r="P416" s="553" t="s">
        <v>75</v>
      </c>
      <c r="Q416" s="554"/>
      <c r="R416" s="554"/>
      <c r="S416" s="554"/>
      <c r="T416" s="554"/>
      <c r="U416" s="554"/>
      <c r="V416" s="555"/>
      <c r="W416" s="37" t="s">
        <v>76</v>
      </c>
      <c r="X416" s="549">
        <f>IFERROR(X412/H412,"0")+IFERROR(X413/H413,"0")+IFERROR(X414/H414,"0")+IFERROR(X415/H415,"0")</f>
        <v>1.8518518518518516</v>
      </c>
      <c r="Y416" s="549">
        <f>IFERROR(Y412/H412,"0")+IFERROR(Y413/H413,"0")+IFERROR(Y414/H414,"0")+IFERROR(Y415/H415,"0")</f>
        <v>2</v>
      </c>
      <c r="Z416" s="549">
        <f>IFERROR(IF(Z412="",0,Z412),"0")+IFERROR(IF(Z413="",0,Z413),"0")+IFERROR(IF(Z414="",0,Z414),"0")+IFERROR(IF(Z415="",0,Z415),"0")</f>
        <v>1.804E-2</v>
      </c>
      <c r="AA416" s="550"/>
      <c r="AB416" s="550"/>
      <c r="AC416" s="550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9"/>
      <c r="P417" s="553" t="s">
        <v>75</v>
      </c>
      <c r="Q417" s="554"/>
      <c r="R417" s="554"/>
      <c r="S417" s="554"/>
      <c r="T417" s="554"/>
      <c r="U417" s="554"/>
      <c r="V417" s="555"/>
      <c r="W417" s="37" t="s">
        <v>69</v>
      </c>
      <c r="X417" s="549">
        <f>IFERROR(SUM(X412:X415),"0")</f>
        <v>10</v>
      </c>
      <c r="Y417" s="549">
        <f>IFERROR(SUM(Y412:Y415),"0")</f>
        <v>10.8</v>
      </c>
      <c r="Z417" s="37"/>
      <c r="AA417" s="550"/>
      <c r="AB417" s="550"/>
      <c r="AC417" s="550"/>
    </row>
    <row r="418" spans="1:68" ht="16.5" hidden="1" customHeight="1" x14ac:dyDescent="0.25">
      <c r="A418" s="574" t="s">
        <v>655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2"/>
      <c r="AB418" s="542"/>
      <c r="AC418" s="542"/>
    </row>
    <row r="419" spans="1:68" ht="14.25" hidden="1" customHeight="1" x14ac:dyDescent="0.25">
      <c r="A419" s="556" t="s">
        <v>64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1">
        <v>4680115885110</v>
      </c>
      <c r="E420" s="552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8"/>
      <c r="R420" s="568"/>
      <c r="S420" s="568"/>
      <c r="T420" s="569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58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9"/>
      <c r="P421" s="553" t="s">
        <v>75</v>
      </c>
      <c r="Q421" s="554"/>
      <c r="R421" s="554"/>
      <c r="S421" s="554"/>
      <c r="T421" s="554"/>
      <c r="U421" s="554"/>
      <c r="V421" s="55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9"/>
      <c r="P422" s="553" t="s">
        <v>75</v>
      </c>
      <c r="Q422" s="554"/>
      <c r="R422" s="554"/>
      <c r="S422" s="554"/>
      <c r="T422" s="554"/>
      <c r="U422" s="554"/>
      <c r="V422" s="55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563" t="s">
        <v>659</v>
      </c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48"/>
      <c r="AB423" s="48"/>
      <c r="AC423" s="48"/>
    </row>
    <row r="424" spans="1:68" ht="16.5" hidden="1" customHeight="1" x14ac:dyDescent="0.25">
      <c r="A424" s="574" t="s">
        <v>659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2"/>
      <c r="AB424" s="542"/>
      <c r="AC424" s="542"/>
    </row>
    <row r="425" spans="1:68" ht="14.25" hidden="1" customHeight="1" x14ac:dyDescent="0.25">
      <c r="A425" s="556" t="s">
        <v>104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3"/>
      <c r="AB425" s="543"/>
      <c r="AC425" s="543"/>
    </row>
    <row r="426" spans="1:68" ht="27" hidden="1" customHeight="1" x14ac:dyDescent="0.25">
      <c r="A426" s="54" t="s">
        <v>660</v>
      </c>
      <c r="B426" s="54" t="s">
        <v>661</v>
      </c>
      <c r="C426" s="31">
        <v>4301011795</v>
      </c>
      <c r="D426" s="551">
        <v>4607091389067</v>
      </c>
      <c r="E426" s="552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8"/>
      <c r="R426" s="568"/>
      <c r="S426" s="568"/>
      <c r="T426" s="569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1">
        <v>4607091383522</v>
      </c>
      <c r="E427" s="552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06" t="s">
        <v>664</v>
      </c>
      <c r="Q427" s="568"/>
      <c r="R427" s="568"/>
      <c r="S427" s="568"/>
      <c r="T427" s="569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1">
        <v>4607091383522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8"/>
      <c r="R428" s="568"/>
      <c r="S428" s="568"/>
      <c r="T428" s="569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1">
        <v>4680115885271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8"/>
      <c r="R429" s="568"/>
      <c r="S429" s="568"/>
      <c r="T429" s="569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670</v>
      </c>
      <c r="B430" s="54" t="s">
        <v>671</v>
      </c>
      <c r="C430" s="31">
        <v>4301011376</v>
      </c>
      <c r="D430" s="551">
        <v>4680115885226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8"/>
      <c r="R430" s="568"/>
      <c r="S430" s="568"/>
      <c r="T430" s="569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1">
        <v>4680115884502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8"/>
      <c r="R431" s="568"/>
      <c r="S431" s="568"/>
      <c r="T431" s="569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1">
        <v>4607091389104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8"/>
      <c r="R432" s="568"/>
      <c r="S432" s="568"/>
      <c r="T432" s="569"/>
      <c r="U432" s="34"/>
      <c r="V432" s="34"/>
      <c r="W432" s="35" t="s">
        <v>69</v>
      </c>
      <c r="X432" s="547">
        <v>20</v>
      </c>
      <c r="Y432" s="548">
        <f t="shared" si="47"/>
        <v>21.12</v>
      </c>
      <c r="Z432" s="36">
        <f t="shared" si="48"/>
        <v>4.7840000000000001E-2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21.325757575757574</v>
      </c>
      <c r="BN432" s="64">
        <f t="shared" si="50"/>
        <v>22.52</v>
      </c>
      <c r="BO432" s="64">
        <f t="shared" si="51"/>
        <v>3.6421911421911424E-2</v>
      </c>
      <c r="BP432" s="64">
        <f t="shared" si="52"/>
        <v>3.8461538461538464E-2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1">
        <v>4680115886391</v>
      </c>
      <c r="E433" s="552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6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8"/>
      <c r="R433" s="568"/>
      <c r="S433" s="568"/>
      <c r="T433" s="569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1">
        <v>4680115880603</v>
      </c>
      <c r="E434" s="552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8"/>
      <c r="R434" s="568"/>
      <c r="S434" s="568"/>
      <c r="T434" s="569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1">
        <v>4680115882782</v>
      </c>
      <c r="E435" s="552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6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8"/>
      <c r="R435" s="568"/>
      <c r="S435" s="568"/>
      <c r="T435" s="569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1">
        <v>4680115885479</v>
      </c>
      <c r="E436" s="552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8"/>
      <c r="R436" s="568"/>
      <c r="S436" s="568"/>
      <c r="T436" s="569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1">
        <v>4607091389982</v>
      </c>
      <c r="E437" s="552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8"/>
      <c r="R437" s="568"/>
      <c r="S437" s="568"/>
      <c r="T437" s="569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58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9"/>
      <c r="P438" s="553" t="s">
        <v>75</v>
      </c>
      <c r="Q438" s="554"/>
      <c r="R438" s="554"/>
      <c r="S438" s="554"/>
      <c r="T438" s="554"/>
      <c r="U438" s="554"/>
      <c r="V438" s="55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3.7878787878787876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4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4.7840000000000001E-2</v>
      </c>
      <c r="AA438" s="550"/>
      <c r="AB438" s="550"/>
      <c r="AC438" s="550"/>
    </row>
    <row r="439" spans="1:68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9"/>
      <c r="P439" s="553" t="s">
        <v>75</v>
      </c>
      <c r="Q439" s="554"/>
      <c r="R439" s="554"/>
      <c r="S439" s="554"/>
      <c r="T439" s="554"/>
      <c r="U439" s="554"/>
      <c r="V439" s="555"/>
      <c r="W439" s="37" t="s">
        <v>69</v>
      </c>
      <c r="X439" s="549">
        <f>IFERROR(SUM(X426:X437),"0")</f>
        <v>20</v>
      </c>
      <c r="Y439" s="549">
        <f>IFERROR(SUM(Y426:Y437),"0")</f>
        <v>21.12</v>
      </c>
      <c r="Z439" s="37"/>
      <c r="AA439" s="550"/>
      <c r="AB439" s="550"/>
      <c r="AC439" s="550"/>
    </row>
    <row r="440" spans="1:68" ht="14.25" hidden="1" customHeight="1" x14ac:dyDescent="0.25">
      <c r="A440" s="556" t="s">
        <v>139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1">
        <v>4607091388930</v>
      </c>
      <c r="E441" s="552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8"/>
      <c r="R441" s="568"/>
      <c r="S441" s="568"/>
      <c r="T441" s="569"/>
      <c r="U441" s="34"/>
      <c r="V441" s="34"/>
      <c r="W441" s="35" t="s">
        <v>69</v>
      </c>
      <c r="X441" s="547">
        <v>390</v>
      </c>
      <c r="Y441" s="548">
        <f>IFERROR(IF(X441="",0,CEILING((X441/$H441),1)*$H441),"")</f>
        <v>390.72</v>
      </c>
      <c r="Z441" s="36">
        <f>IFERROR(IF(Y441=0,"",ROUNDUP(Y441/H441,0)*0.01196),"")</f>
        <v>0.88504000000000005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415.85227272727269</v>
      </c>
      <c r="BN441" s="64">
        <f>IFERROR(Y441*I441/H441,"0")</f>
        <v>416.62</v>
      </c>
      <c r="BO441" s="64">
        <f>IFERROR(1/J441*(X441/H441),"0")</f>
        <v>0.71022727272727271</v>
      </c>
      <c r="BP441" s="64">
        <f>IFERROR(1/J441*(Y441/H441),"0")</f>
        <v>0.71153846153846156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1">
        <v>4680115886407</v>
      </c>
      <c r="E442" s="552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8"/>
      <c r="R442" s="568"/>
      <c r="S442" s="568"/>
      <c r="T442" s="569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1">
        <v>4680115880054</v>
      </c>
      <c r="E443" s="552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8"/>
      <c r="R443" s="568"/>
      <c r="S443" s="568"/>
      <c r="T443" s="569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58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9"/>
      <c r="P444" s="553" t="s">
        <v>75</v>
      </c>
      <c r="Q444" s="554"/>
      <c r="R444" s="554"/>
      <c r="S444" s="554"/>
      <c r="T444" s="554"/>
      <c r="U444" s="554"/>
      <c r="V444" s="555"/>
      <c r="W444" s="37" t="s">
        <v>76</v>
      </c>
      <c r="X444" s="549">
        <f>IFERROR(X441/H441,"0")+IFERROR(X442/H442,"0")+IFERROR(X443/H443,"0")</f>
        <v>73.86363636363636</v>
      </c>
      <c r="Y444" s="549">
        <f>IFERROR(Y441/H441,"0")+IFERROR(Y442/H442,"0")+IFERROR(Y443/H443,"0")</f>
        <v>74</v>
      </c>
      <c r="Z444" s="549">
        <f>IFERROR(IF(Z441="",0,Z441),"0")+IFERROR(IF(Z442="",0,Z442),"0")+IFERROR(IF(Z443="",0,Z443),"0")</f>
        <v>0.88504000000000005</v>
      </c>
      <c r="AA444" s="550"/>
      <c r="AB444" s="550"/>
      <c r="AC444" s="550"/>
    </row>
    <row r="445" spans="1:68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9"/>
      <c r="P445" s="553" t="s">
        <v>75</v>
      </c>
      <c r="Q445" s="554"/>
      <c r="R445" s="554"/>
      <c r="S445" s="554"/>
      <c r="T445" s="554"/>
      <c r="U445" s="554"/>
      <c r="V445" s="555"/>
      <c r="W445" s="37" t="s">
        <v>69</v>
      </c>
      <c r="X445" s="549">
        <f>IFERROR(SUM(X441:X443),"0")</f>
        <v>390</v>
      </c>
      <c r="Y445" s="549">
        <f>IFERROR(SUM(Y441:Y443),"0")</f>
        <v>390.72</v>
      </c>
      <c r="Z445" s="37"/>
      <c r="AA445" s="550"/>
      <c r="AB445" s="550"/>
      <c r="AC445" s="550"/>
    </row>
    <row r="446" spans="1:68" ht="14.25" hidden="1" customHeight="1" x14ac:dyDescent="0.25">
      <c r="A446" s="556" t="s">
        <v>64</v>
      </c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  <c r="Z446" s="557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1">
        <v>4680115883116</v>
      </c>
      <c r="E447" s="552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8"/>
      <c r="R447" s="568"/>
      <c r="S447" s="568"/>
      <c r="T447" s="569"/>
      <c r="U447" s="34"/>
      <c r="V447" s="34"/>
      <c r="W447" s="35" t="s">
        <v>69</v>
      </c>
      <c r="X447" s="547">
        <v>30</v>
      </c>
      <c r="Y447" s="548">
        <f t="shared" ref="Y447:Y452" si="53">IFERROR(IF(X447="",0,CEILING((X447/$H447),1)*$H447),"")</f>
        <v>31.68</v>
      </c>
      <c r="Z447" s="36">
        <f>IFERROR(IF(Y447=0,"",ROUNDUP(Y447/H447,0)*0.01196),"")</f>
        <v>7.1760000000000004E-2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31.988636363636363</v>
      </c>
      <c r="BN447" s="64">
        <f t="shared" ref="BN447:BN452" si="55">IFERROR(Y447*I447/H447,"0")</f>
        <v>33.779999999999994</v>
      </c>
      <c r="BO447" s="64">
        <f t="shared" ref="BO447:BO452" si="56">IFERROR(1/J447*(X447/H447),"0")</f>
        <v>5.4632867132867136E-2</v>
      </c>
      <c r="BP447" s="64">
        <f t="shared" ref="BP447:BP452" si="57">IFERROR(1/J447*(Y447/H447),"0")</f>
        <v>5.7692307692307696E-2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4301031350</v>
      </c>
      <c r="D448" s="551">
        <v>4680115883093</v>
      </c>
      <c r="E448" s="552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8"/>
      <c r="R448" s="568"/>
      <c r="S448" s="568"/>
      <c r="T448" s="569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4301031353</v>
      </c>
      <c r="D449" s="551">
        <v>4680115883109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8"/>
      <c r="R449" s="568"/>
      <c r="S449" s="568"/>
      <c r="T449" s="569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1">
        <v>4680115882072</v>
      </c>
      <c r="E450" s="552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8"/>
      <c r="R450" s="568"/>
      <c r="S450" s="568"/>
      <c r="T450" s="569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1">
        <v>4680115882102</v>
      </c>
      <c r="E451" s="552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8"/>
      <c r="R451" s="568"/>
      <c r="S451" s="568"/>
      <c r="T451" s="569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1">
        <v>4680115882096</v>
      </c>
      <c r="E452" s="552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8"/>
      <c r="R452" s="568"/>
      <c r="S452" s="568"/>
      <c r="T452" s="569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58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9"/>
      <c r="P453" s="553" t="s">
        <v>75</v>
      </c>
      <c r="Q453" s="554"/>
      <c r="R453" s="554"/>
      <c r="S453" s="554"/>
      <c r="T453" s="554"/>
      <c r="U453" s="554"/>
      <c r="V453" s="555"/>
      <c r="W453" s="37" t="s">
        <v>76</v>
      </c>
      <c r="X453" s="549">
        <f>IFERROR(X447/H447,"0")+IFERROR(X448/H448,"0")+IFERROR(X449/H449,"0")+IFERROR(X450/H450,"0")+IFERROR(X451/H451,"0")+IFERROR(X452/H452,"0")</f>
        <v>5.6818181818181817</v>
      </c>
      <c r="Y453" s="549">
        <f>IFERROR(Y447/H447,"0")+IFERROR(Y448/H448,"0")+IFERROR(Y449/H449,"0")+IFERROR(Y450/H450,"0")+IFERROR(Y451/H451,"0")+IFERROR(Y452/H452,"0")</f>
        <v>6</v>
      </c>
      <c r="Z453" s="549">
        <f>IFERROR(IF(Z447="",0,Z447),"0")+IFERROR(IF(Z448="",0,Z448),"0")+IFERROR(IF(Z449="",0,Z449),"0")+IFERROR(IF(Z450="",0,Z450),"0")+IFERROR(IF(Z451="",0,Z451),"0")+IFERROR(IF(Z452="",0,Z452),"0")</f>
        <v>7.1760000000000004E-2</v>
      </c>
      <c r="AA453" s="550"/>
      <c r="AB453" s="550"/>
      <c r="AC453" s="550"/>
    </row>
    <row r="454" spans="1:68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9"/>
      <c r="P454" s="553" t="s">
        <v>75</v>
      </c>
      <c r="Q454" s="554"/>
      <c r="R454" s="554"/>
      <c r="S454" s="554"/>
      <c r="T454" s="554"/>
      <c r="U454" s="554"/>
      <c r="V454" s="555"/>
      <c r="W454" s="37" t="s">
        <v>69</v>
      </c>
      <c r="X454" s="549">
        <f>IFERROR(SUM(X447:X452),"0")</f>
        <v>30</v>
      </c>
      <c r="Y454" s="549">
        <f>IFERROR(SUM(Y447:Y452),"0")</f>
        <v>31.68</v>
      </c>
      <c r="Z454" s="37"/>
      <c r="AA454" s="550"/>
      <c r="AB454" s="550"/>
      <c r="AC454" s="550"/>
    </row>
    <row r="455" spans="1:68" ht="14.25" hidden="1" customHeight="1" x14ac:dyDescent="0.25">
      <c r="A455" s="556" t="s">
        <v>77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1">
        <v>4680115883536</v>
      </c>
      <c r="E456" s="552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8"/>
      <c r="R456" s="568"/>
      <c r="S456" s="568"/>
      <c r="T456" s="569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58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9"/>
      <c r="P457" s="553" t="s">
        <v>75</v>
      </c>
      <c r="Q457" s="554"/>
      <c r="R457" s="554"/>
      <c r="S457" s="554"/>
      <c r="T457" s="554"/>
      <c r="U457" s="554"/>
      <c r="V457" s="55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9"/>
      <c r="P458" s="553" t="s">
        <v>75</v>
      </c>
      <c r="Q458" s="554"/>
      <c r="R458" s="554"/>
      <c r="S458" s="554"/>
      <c r="T458" s="554"/>
      <c r="U458" s="554"/>
      <c r="V458" s="55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563" t="s">
        <v>715</v>
      </c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48"/>
      <c r="AB459" s="48"/>
      <c r="AC459" s="48"/>
    </row>
    <row r="460" spans="1:68" ht="16.5" hidden="1" customHeight="1" x14ac:dyDescent="0.25">
      <c r="A460" s="574" t="s">
        <v>715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2"/>
      <c r="AB460" s="542"/>
      <c r="AC460" s="542"/>
    </row>
    <row r="461" spans="1:68" ht="14.25" hidden="1" customHeight="1" x14ac:dyDescent="0.25">
      <c r="A461" s="556" t="s">
        <v>104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1">
        <v>4640242181011</v>
      </c>
      <c r="E462" s="552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8"/>
      <c r="R462" s="568"/>
      <c r="S462" s="568"/>
      <c r="T462" s="569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1">
        <v>4640242180441</v>
      </c>
      <c r="E463" s="552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8"/>
      <c r="R463" s="568"/>
      <c r="S463" s="568"/>
      <c r="T463" s="569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1">
        <v>4640242180564</v>
      </c>
      <c r="E464" s="552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8"/>
      <c r="R464" s="568"/>
      <c r="S464" s="568"/>
      <c r="T464" s="569"/>
      <c r="U464" s="34"/>
      <c r="V464" s="34"/>
      <c r="W464" s="35" t="s">
        <v>69</v>
      </c>
      <c r="X464" s="547">
        <v>100</v>
      </c>
      <c r="Y464" s="548">
        <f>IFERROR(IF(X464="",0,CEILING((X464/$H464),1)*$H464),"")</f>
        <v>108</v>
      </c>
      <c r="Z464" s="36">
        <f>IFERROR(IF(Y464=0,"",ROUNDUP(Y464/H464,0)*0.01898),"")</f>
        <v>0.17082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103.41666666666667</v>
      </c>
      <c r="BN464" s="64">
        <f>IFERROR(Y464*I464/H464,"0")</f>
        <v>111.69</v>
      </c>
      <c r="BO464" s="64">
        <f>IFERROR(1/J464*(X464/H464),"0")</f>
        <v>0.13020833333333334</v>
      </c>
      <c r="BP464" s="64">
        <f>IFERROR(1/J464*(Y464/H464),"0")</f>
        <v>0.140625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1">
        <v>4640242181189</v>
      </c>
      <c r="E465" s="552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8"/>
      <c r="R465" s="568"/>
      <c r="S465" s="568"/>
      <c r="T465" s="569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58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9"/>
      <c r="P466" s="553" t="s">
        <v>75</v>
      </c>
      <c r="Q466" s="554"/>
      <c r="R466" s="554"/>
      <c r="S466" s="554"/>
      <c r="T466" s="554"/>
      <c r="U466" s="554"/>
      <c r="V466" s="555"/>
      <c r="W466" s="37" t="s">
        <v>76</v>
      </c>
      <c r="X466" s="549">
        <f>IFERROR(X462/H462,"0")+IFERROR(X463/H463,"0")+IFERROR(X464/H464,"0")+IFERROR(X465/H465,"0")</f>
        <v>8.3333333333333339</v>
      </c>
      <c r="Y466" s="549">
        <f>IFERROR(Y462/H462,"0")+IFERROR(Y463/H463,"0")+IFERROR(Y464/H464,"0")+IFERROR(Y465/H465,"0")</f>
        <v>9</v>
      </c>
      <c r="Z466" s="549">
        <f>IFERROR(IF(Z462="",0,Z462),"0")+IFERROR(IF(Z463="",0,Z463),"0")+IFERROR(IF(Z464="",0,Z464),"0")+IFERROR(IF(Z465="",0,Z465),"0")</f>
        <v>0.17082</v>
      </c>
      <c r="AA466" s="550"/>
      <c r="AB466" s="550"/>
      <c r="AC466" s="550"/>
    </row>
    <row r="467" spans="1:68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9"/>
      <c r="P467" s="553" t="s">
        <v>75</v>
      </c>
      <c r="Q467" s="554"/>
      <c r="R467" s="554"/>
      <c r="S467" s="554"/>
      <c r="T467" s="554"/>
      <c r="U467" s="554"/>
      <c r="V467" s="555"/>
      <c r="W467" s="37" t="s">
        <v>69</v>
      </c>
      <c r="X467" s="549">
        <f>IFERROR(SUM(X462:X465),"0")</f>
        <v>100</v>
      </c>
      <c r="Y467" s="549">
        <f>IFERROR(SUM(Y462:Y465),"0")</f>
        <v>108</v>
      </c>
      <c r="Z467" s="37"/>
      <c r="AA467" s="550"/>
      <c r="AB467" s="550"/>
      <c r="AC467" s="550"/>
    </row>
    <row r="468" spans="1:68" ht="14.25" hidden="1" customHeight="1" x14ac:dyDescent="0.25">
      <c r="A468" s="556" t="s">
        <v>139</v>
      </c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  <c r="Z468" s="557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1">
        <v>4640242180519</v>
      </c>
      <c r="E469" s="552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8"/>
      <c r="R469" s="568"/>
      <c r="S469" s="568"/>
      <c r="T469" s="569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1">
        <v>4640242180526</v>
      </c>
      <c r="E470" s="552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8"/>
      <c r="R470" s="568"/>
      <c r="S470" s="568"/>
      <c r="T470" s="569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58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9"/>
      <c r="P471" s="553" t="s">
        <v>75</v>
      </c>
      <c r="Q471" s="554"/>
      <c r="R471" s="554"/>
      <c r="S471" s="554"/>
      <c r="T471" s="554"/>
      <c r="U471" s="554"/>
      <c r="V471" s="55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9"/>
      <c r="P472" s="553" t="s">
        <v>75</v>
      </c>
      <c r="Q472" s="554"/>
      <c r="R472" s="554"/>
      <c r="S472" s="554"/>
      <c r="T472" s="554"/>
      <c r="U472" s="554"/>
      <c r="V472" s="55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6" t="s">
        <v>64</v>
      </c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  <c r="Z473" s="557"/>
      <c r="AA473" s="543"/>
      <c r="AB473" s="543"/>
      <c r="AC473" s="543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1">
        <v>4640242180816</v>
      </c>
      <c r="E474" s="552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8"/>
      <c r="R474" s="568"/>
      <c r="S474" s="568"/>
      <c r="T474" s="569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1">
        <v>4640242180595</v>
      </c>
      <c r="E475" s="552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8"/>
      <c r="R475" s="568"/>
      <c r="S475" s="568"/>
      <c r="T475" s="569"/>
      <c r="U475" s="34"/>
      <c r="V475" s="34"/>
      <c r="W475" s="35" t="s">
        <v>69</v>
      </c>
      <c r="X475" s="547">
        <v>40</v>
      </c>
      <c r="Y475" s="548">
        <f>IFERROR(IF(X475="",0,CEILING((X475/$H475),1)*$H475),"")</f>
        <v>42</v>
      </c>
      <c r="Z475" s="36">
        <f>IFERROR(IF(Y475=0,"",ROUNDUP(Y475/H475,0)*0.00902),"")</f>
        <v>9.0200000000000002E-2</v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42.38095238095238</v>
      </c>
      <c r="BN475" s="64">
        <f>IFERROR(Y475*I475/H475,"0")</f>
        <v>44.5</v>
      </c>
      <c r="BO475" s="64">
        <f>IFERROR(1/J475*(X475/H475),"0")</f>
        <v>7.2150072150072145E-2</v>
      </c>
      <c r="BP475" s="64">
        <f>IFERROR(1/J475*(Y475/H475),"0")</f>
        <v>7.575757575757576E-2</v>
      </c>
    </row>
    <row r="476" spans="1:68" x14ac:dyDescent="0.2">
      <c r="A476" s="55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9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IFERROR(X474/H474,"0")+IFERROR(X475/H475,"0")</f>
        <v>9.5238095238095237</v>
      </c>
      <c r="Y476" s="549">
        <f>IFERROR(Y474/H474,"0")+IFERROR(Y475/H475,"0")</f>
        <v>10</v>
      </c>
      <c r="Z476" s="549">
        <f>IFERROR(IF(Z474="",0,Z474),"0")+IFERROR(IF(Z475="",0,Z475),"0")</f>
        <v>9.0200000000000002E-2</v>
      </c>
      <c r="AA476" s="550"/>
      <c r="AB476" s="550"/>
      <c r="AC476" s="550"/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9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IFERROR(SUM(X474:X475),"0")</f>
        <v>40</v>
      </c>
      <c r="Y477" s="549">
        <f>IFERROR(SUM(Y474:Y475),"0")</f>
        <v>42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1">
        <v>4640242180533</v>
      </c>
      <c r="E479" s="552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8"/>
      <c r="R479" s="568"/>
      <c r="S479" s="568"/>
      <c r="T479" s="569"/>
      <c r="U479" s="34"/>
      <c r="V479" s="34"/>
      <c r="W479" s="35" t="s">
        <v>69</v>
      </c>
      <c r="X479" s="547">
        <v>16</v>
      </c>
      <c r="Y479" s="548">
        <f>IFERROR(IF(X479="",0,CEILING((X479/$H479),1)*$H479),"")</f>
        <v>18</v>
      </c>
      <c r="Z479" s="36">
        <f>IFERROR(IF(Y479=0,"",ROUNDUP(Y479/H479,0)*0.01898),"")</f>
        <v>3.7960000000000001E-2</v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16.87822222222222</v>
      </c>
      <c r="BN479" s="64">
        <f>IFERROR(Y479*I479/H479,"0")</f>
        <v>18.988</v>
      </c>
      <c r="BO479" s="64">
        <f>IFERROR(1/J479*(X479/H479),"0")</f>
        <v>2.7777777777777776E-2</v>
      </c>
      <c r="BP479" s="64">
        <f>IFERROR(1/J479*(Y479/H479),"0")</f>
        <v>3.125E-2</v>
      </c>
    </row>
    <row r="480" spans="1:68" x14ac:dyDescent="0.2">
      <c r="A480" s="558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9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1.7777777777777777</v>
      </c>
      <c r="Y480" s="549">
        <f>IFERROR(Y479/H479,"0")</f>
        <v>2</v>
      </c>
      <c r="Z480" s="549">
        <f>IFERROR(IF(Z479="",0,Z479),"0")</f>
        <v>3.7960000000000001E-2</v>
      </c>
      <c r="AA480" s="550"/>
      <c r="AB480" s="550"/>
      <c r="AC480" s="550"/>
    </row>
    <row r="481" spans="1:68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9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16</v>
      </c>
      <c r="Y481" s="549">
        <f>IFERROR(SUM(Y479:Y479),"0")</f>
        <v>18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167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1">
        <v>4640242180120</v>
      </c>
      <c r="E483" s="552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8"/>
      <c r="R483" s="568"/>
      <c r="S483" s="568"/>
      <c r="T483" s="569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1">
        <v>4640242180137</v>
      </c>
      <c r="E484" s="552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8"/>
      <c r="R484" s="568"/>
      <c r="S484" s="568"/>
      <c r="T484" s="569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58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9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9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4" t="s">
        <v>748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139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1">
        <v>4640242180090</v>
      </c>
      <c r="E489" s="552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8"/>
      <c r="R489" s="568"/>
      <c r="S489" s="568"/>
      <c r="T489" s="569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58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9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9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3"/>
      <c r="P492" s="697" t="s">
        <v>752</v>
      </c>
      <c r="Q492" s="561"/>
      <c r="R492" s="561"/>
      <c r="S492" s="561"/>
      <c r="T492" s="561"/>
      <c r="U492" s="561"/>
      <c r="V492" s="562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3598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3666.5800000000004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3"/>
      <c r="P493" s="697" t="s">
        <v>753</v>
      </c>
      <c r="Q493" s="561"/>
      <c r="R493" s="561"/>
      <c r="S493" s="561"/>
      <c r="T493" s="561"/>
      <c r="U493" s="561"/>
      <c r="V493" s="562"/>
      <c r="W493" s="37" t="s">
        <v>69</v>
      </c>
      <c r="X493" s="549">
        <f>IFERROR(SUM(BM22:BM489),"0")</f>
        <v>3774.7483840941377</v>
      </c>
      <c r="Y493" s="549">
        <f>IFERROR(SUM(BN22:BN489),"0")</f>
        <v>3846.5939999999996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3"/>
      <c r="P494" s="697" t="s">
        <v>754</v>
      </c>
      <c r="Q494" s="561"/>
      <c r="R494" s="561"/>
      <c r="S494" s="561"/>
      <c r="T494" s="561"/>
      <c r="U494" s="561"/>
      <c r="V494" s="562"/>
      <c r="W494" s="37" t="s">
        <v>755</v>
      </c>
      <c r="X494" s="38">
        <f>ROUNDUP(SUM(BO22:BO489),0)</f>
        <v>7</v>
      </c>
      <c r="Y494" s="38">
        <f>ROUNDUP(SUM(BP22:BP489),0)</f>
        <v>7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3"/>
      <c r="P495" s="697" t="s">
        <v>756</v>
      </c>
      <c r="Q495" s="561"/>
      <c r="R495" s="561"/>
      <c r="S495" s="561"/>
      <c r="T495" s="561"/>
      <c r="U495" s="561"/>
      <c r="V495" s="562"/>
      <c r="W495" s="37" t="s">
        <v>69</v>
      </c>
      <c r="X495" s="549">
        <f>GrossWeightTotal+PalletQtyTotal*25</f>
        <v>3949.7483840941377</v>
      </c>
      <c r="Y495" s="549">
        <f>GrossWeightTotalR+PalletQtyTotalR*25</f>
        <v>4021.5939999999996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3"/>
      <c r="P496" s="697" t="s">
        <v>757</v>
      </c>
      <c r="Q496" s="561"/>
      <c r="R496" s="561"/>
      <c r="S496" s="561"/>
      <c r="T496" s="561"/>
      <c r="U496" s="561"/>
      <c r="V496" s="562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430.38055252090339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438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03"/>
      <c r="P497" s="697" t="s">
        <v>758</v>
      </c>
      <c r="Q497" s="561"/>
      <c r="R497" s="561"/>
      <c r="S497" s="561"/>
      <c r="T497" s="561"/>
      <c r="U497" s="561"/>
      <c r="V497" s="562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7.1826600000000012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605" t="s">
        <v>102</v>
      </c>
      <c r="D499" s="609"/>
      <c r="E499" s="609"/>
      <c r="F499" s="609"/>
      <c r="G499" s="609"/>
      <c r="H499" s="610"/>
      <c r="I499" s="605" t="s">
        <v>267</v>
      </c>
      <c r="J499" s="609"/>
      <c r="K499" s="609"/>
      <c r="L499" s="609"/>
      <c r="M499" s="609"/>
      <c r="N499" s="609"/>
      <c r="O499" s="609"/>
      <c r="P499" s="609"/>
      <c r="Q499" s="609"/>
      <c r="R499" s="610"/>
      <c r="S499" s="605" t="s">
        <v>554</v>
      </c>
      <c r="T499" s="610"/>
      <c r="U499" s="605" t="s">
        <v>608</v>
      </c>
      <c r="V499" s="609"/>
      <c r="W499" s="610"/>
      <c r="X499" s="544" t="s">
        <v>659</v>
      </c>
      <c r="Y499" s="605" t="s">
        <v>715</v>
      </c>
      <c r="Z499" s="610"/>
      <c r="AB499" s="52"/>
      <c r="AC499" s="52"/>
      <c r="AF499" s="545"/>
    </row>
    <row r="500" spans="1:32" ht="14.25" customHeight="1" thickTop="1" x14ac:dyDescent="0.2">
      <c r="A500" s="870" t="s">
        <v>761</v>
      </c>
      <c r="B500" s="605" t="s">
        <v>63</v>
      </c>
      <c r="C500" s="605" t="s">
        <v>103</v>
      </c>
      <c r="D500" s="605" t="s">
        <v>120</v>
      </c>
      <c r="E500" s="605" t="s">
        <v>174</v>
      </c>
      <c r="F500" s="605" t="s">
        <v>198</v>
      </c>
      <c r="G500" s="605" t="s">
        <v>237</v>
      </c>
      <c r="H500" s="605" t="s">
        <v>102</v>
      </c>
      <c r="I500" s="605" t="s">
        <v>268</v>
      </c>
      <c r="J500" s="605" t="s">
        <v>321</v>
      </c>
      <c r="K500" s="605" t="s">
        <v>380</v>
      </c>
      <c r="L500" s="605" t="s">
        <v>420</v>
      </c>
      <c r="M500" s="605" t="s">
        <v>436</v>
      </c>
      <c r="N500" s="545"/>
      <c r="O500" s="605" t="s">
        <v>447</v>
      </c>
      <c r="P500" s="605" t="s">
        <v>456</v>
      </c>
      <c r="Q500" s="605" t="s">
        <v>469</v>
      </c>
      <c r="R500" s="605" t="s">
        <v>544</v>
      </c>
      <c r="S500" s="605" t="s">
        <v>555</v>
      </c>
      <c r="T500" s="605" t="s">
        <v>590</v>
      </c>
      <c r="U500" s="605" t="s">
        <v>609</v>
      </c>
      <c r="V500" s="605" t="s">
        <v>640</v>
      </c>
      <c r="W500" s="605" t="s">
        <v>655</v>
      </c>
      <c r="X500" s="605" t="s">
        <v>659</v>
      </c>
      <c r="Y500" s="605" t="s">
        <v>715</v>
      </c>
      <c r="Z500" s="605" t="s">
        <v>748</v>
      </c>
      <c r="AB500" s="52"/>
      <c r="AC500" s="52"/>
      <c r="AF500" s="545"/>
    </row>
    <row r="501" spans="1:32" ht="13.5" customHeight="1" thickBot="1" x14ac:dyDescent="0.25">
      <c r="A501" s="871"/>
      <c r="B501" s="606"/>
      <c r="C501" s="606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545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302.40000000000003</v>
      </c>
      <c r="E502" s="46">
        <f>IFERROR(Y86*1,"0")+IFERROR(Y87*1,"0")+IFERROR(Y88*1,"0")+IFERROR(Y89*1,"0")+IFERROR(Y93*1,"0")+IFERROR(Y94*1,"0")+IFERROR(Y95*1,"0")+IFERROR(Y96*1,"0")</f>
        <v>97.199999999999989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105.3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966.16000000000008</v>
      </c>
      <c r="R502" s="46">
        <f>IFERROR(Y339*1,"0")+IFERROR(Y340*1,"0")+IFERROR(Y341*1,"0")</f>
        <v>97.199999999999989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1170</v>
      </c>
      <c r="T502" s="46">
        <f>IFERROR(Y372*1,"0")+IFERROR(Y373*1,"0")+IFERROR(Y377*1,"0")+IFERROR(Y378*1,"0")+IFERROR(Y382*1,"0")+IFERROR(Y383*1,"0")+IFERROR(Y384*1,"0")</f>
        <v>306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10.8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443.52000000000004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168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78"/>
        <filter val="1,85"/>
        <filter val="10,00"/>
        <filter val="100,00"/>
        <filter val="11,11"/>
        <filter val="12,00"/>
        <filter val="12,35"/>
        <filter val="16,00"/>
        <filter val="20,00"/>
        <filter val="200,00"/>
        <filter val="23,33"/>
        <filter val="250,00"/>
        <filter val="27,78"/>
        <filter val="3 598,00"/>
        <filter val="3 774,75"/>
        <filter val="3 949,75"/>
        <filter val="3,79"/>
        <filter val="3,95"/>
        <filter val="30,00"/>
        <filter val="300,00"/>
        <filter val="33,33"/>
        <filter val="350,00"/>
        <filter val="390,00"/>
        <filter val="40,00"/>
        <filter val="430,38"/>
        <filter val="5,68"/>
        <filter val="50,00"/>
        <filter val="53,33"/>
        <filter val="59,52"/>
        <filter val="6,00"/>
        <filter val="7"/>
        <filter val="700,00"/>
        <filter val="73,86"/>
        <filter val="8,33"/>
        <filter val="800,00"/>
        <filter val="89,74"/>
        <filter val="9,52"/>
        <filter val="90,00"/>
      </filters>
    </filterColumn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167:E167"/>
    <mergeCell ref="D161:E161"/>
    <mergeCell ref="A164:Z164"/>
    <mergeCell ref="A17:A18"/>
    <mergeCell ref="C17:C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2025-12-16T11:42:17Z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