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8D2799F-E00D-45C3-9619-5E424D5EC29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Y476" i="1" s="1"/>
  <c r="P474" i="1"/>
  <c r="X472" i="1"/>
  <c r="X471" i="1"/>
  <c r="BO470" i="1"/>
  <c r="BM470" i="1"/>
  <c r="Y470" i="1"/>
  <c r="P470" i="1"/>
  <c r="BO469" i="1"/>
  <c r="BM469" i="1"/>
  <c r="Y469" i="1"/>
  <c r="BP469" i="1" s="1"/>
  <c r="P469" i="1"/>
  <c r="X467" i="1"/>
  <c r="X466" i="1"/>
  <c r="BO465" i="1"/>
  <c r="BM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BP449" i="1" s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BP437" i="1" s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O426" i="1"/>
  <c r="BM426" i="1"/>
  <c r="Y426" i="1"/>
  <c r="P426" i="1"/>
  <c r="X422" i="1"/>
  <c r="X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O377" i="1"/>
  <c r="BM377" i="1"/>
  <c r="Y377" i="1"/>
  <c r="BP377" i="1" s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P326" i="1"/>
  <c r="BO325" i="1"/>
  <c r="BM325" i="1"/>
  <c r="Y325" i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BP303" i="1" s="1"/>
  <c r="P303" i="1"/>
  <c r="X301" i="1"/>
  <c r="X300" i="1"/>
  <c r="BO299" i="1"/>
  <c r="BM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Y290" i="1" s="1"/>
  <c r="P288" i="1"/>
  <c r="X286" i="1"/>
  <c r="X285" i="1"/>
  <c r="BO284" i="1"/>
  <c r="BM284" i="1"/>
  <c r="Y284" i="1"/>
  <c r="BP284" i="1" s="1"/>
  <c r="P284" i="1"/>
  <c r="BO283" i="1"/>
  <c r="BM283" i="1"/>
  <c r="Y283" i="1"/>
  <c r="P283" i="1"/>
  <c r="X280" i="1"/>
  <c r="X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O502" i="1" s="1"/>
  <c r="P276" i="1"/>
  <c r="X273" i="1"/>
  <c r="X272" i="1"/>
  <c r="BO271" i="1"/>
  <c r="BM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O191" i="1"/>
  <c r="BM191" i="1"/>
  <c r="Y191" i="1"/>
  <c r="BP191" i="1" s="1"/>
  <c r="P191" i="1"/>
  <c r="X188" i="1"/>
  <c r="X187" i="1"/>
  <c r="BO186" i="1"/>
  <c r="BM186" i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Y184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X163" i="1"/>
  <c r="X162" i="1"/>
  <c r="BO161" i="1"/>
  <c r="BM161" i="1"/>
  <c r="Y161" i="1"/>
  <c r="I502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BP145" i="1" s="1"/>
  <c r="P145" i="1"/>
  <c r="BO144" i="1"/>
  <c r="BM144" i="1"/>
  <c r="Y144" i="1"/>
  <c r="BP144" i="1" s="1"/>
  <c r="P144" i="1"/>
  <c r="X141" i="1"/>
  <c r="X140" i="1"/>
  <c r="BO139" i="1"/>
  <c r="BM139" i="1"/>
  <c r="Y139" i="1"/>
  <c r="BP139" i="1" s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O133" i="1"/>
  <c r="BM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6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42" i="1" l="1"/>
  <c r="BN42" i="1"/>
  <c r="D502" i="1"/>
  <c r="Z61" i="1"/>
  <c r="BN61" i="1"/>
  <c r="Z73" i="1"/>
  <c r="BN73" i="1"/>
  <c r="Z95" i="1"/>
  <c r="BN95" i="1"/>
  <c r="F502" i="1"/>
  <c r="Z103" i="1"/>
  <c r="BN103" i="1"/>
  <c r="Z116" i="1"/>
  <c r="BN116" i="1"/>
  <c r="Z139" i="1"/>
  <c r="BN139" i="1"/>
  <c r="Z169" i="1"/>
  <c r="BN169" i="1"/>
  <c r="Z176" i="1"/>
  <c r="BN176" i="1"/>
  <c r="Z197" i="1"/>
  <c r="BN197" i="1"/>
  <c r="Y209" i="1"/>
  <c r="Z207" i="1"/>
  <c r="BN207" i="1"/>
  <c r="Y222" i="1"/>
  <c r="Z219" i="1"/>
  <c r="BN219" i="1"/>
  <c r="Z235" i="1"/>
  <c r="BN235" i="1"/>
  <c r="Z260" i="1"/>
  <c r="BN260" i="1"/>
  <c r="Z284" i="1"/>
  <c r="BN284" i="1"/>
  <c r="Z303" i="1"/>
  <c r="BN303" i="1"/>
  <c r="Z315" i="1"/>
  <c r="BN315" i="1"/>
  <c r="Z327" i="1"/>
  <c r="BN327" i="1"/>
  <c r="Z350" i="1"/>
  <c r="BN350" i="1"/>
  <c r="Z377" i="1"/>
  <c r="BN377" i="1"/>
  <c r="Z395" i="1"/>
  <c r="BN395" i="1"/>
  <c r="Z414" i="1"/>
  <c r="BN414" i="1"/>
  <c r="Z429" i="1"/>
  <c r="BN429" i="1"/>
  <c r="Z437" i="1"/>
  <c r="BN437" i="1"/>
  <c r="Z449" i="1"/>
  <c r="BN449" i="1"/>
  <c r="Z469" i="1"/>
  <c r="BN469" i="1"/>
  <c r="BP305" i="1"/>
  <c r="BN305" i="1"/>
  <c r="Z305" i="1"/>
  <c r="BP319" i="1"/>
  <c r="BN319" i="1"/>
  <c r="Z319" i="1"/>
  <c r="BP333" i="1"/>
  <c r="BN333" i="1"/>
  <c r="Z333" i="1"/>
  <c r="BP352" i="1"/>
  <c r="BN352" i="1"/>
  <c r="Z352" i="1"/>
  <c r="BP383" i="1"/>
  <c r="BN383" i="1"/>
  <c r="Z383" i="1"/>
  <c r="BP397" i="1"/>
  <c r="BN397" i="1"/>
  <c r="Z397" i="1"/>
  <c r="Y422" i="1"/>
  <c r="W502" i="1"/>
  <c r="Y421" i="1"/>
  <c r="BP420" i="1"/>
  <c r="BN420" i="1"/>
  <c r="Z420" i="1"/>
  <c r="Z421" i="1" s="1"/>
  <c r="X502" i="1"/>
  <c r="BP426" i="1"/>
  <c r="BN426" i="1"/>
  <c r="Z426" i="1"/>
  <c r="BP431" i="1"/>
  <c r="BN431" i="1"/>
  <c r="Z431" i="1"/>
  <c r="BP441" i="1"/>
  <c r="BN441" i="1"/>
  <c r="Z441" i="1"/>
  <c r="BP451" i="1"/>
  <c r="BN451" i="1"/>
  <c r="Z451" i="1"/>
  <c r="BP475" i="1"/>
  <c r="BN475" i="1"/>
  <c r="Z475" i="1"/>
  <c r="Y481" i="1"/>
  <c r="Y480" i="1"/>
  <c r="BP479" i="1"/>
  <c r="BN479" i="1"/>
  <c r="Z479" i="1"/>
  <c r="Z480" i="1" s="1"/>
  <c r="BP483" i="1"/>
  <c r="BN483" i="1"/>
  <c r="Z483" i="1"/>
  <c r="J9" i="1"/>
  <c r="F9" i="1"/>
  <c r="F10" i="1"/>
  <c r="Z22" i="1"/>
  <c r="BN22" i="1"/>
  <c r="Y32" i="1"/>
  <c r="Z30" i="1"/>
  <c r="BN30" i="1"/>
  <c r="C502" i="1"/>
  <c r="Z53" i="1"/>
  <c r="BN53" i="1"/>
  <c r="Z57" i="1"/>
  <c r="BN57" i="1"/>
  <c r="Y65" i="1"/>
  <c r="Z63" i="1"/>
  <c r="BN63" i="1"/>
  <c r="Y71" i="1"/>
  <c r="Z69" i="1"/>
  <c r="BN69" i="1"/>
  <c r="Y77" i="1"/>
  <c r="Z75" i="1"/>
  <c r="BN75" i="1"/>
  <c r="Z86" i="1"/>
  <c r="BN86" i="1"/>
  <c r="Z87" i="1"/>
  <c r="BN87" i="1"/>
  <c r="Z93" i="1"/>
  <c r="BN93" i="1"/>
  <c r="BP93" i="1"/>
  <c r="Z105" i="1"/>
  <c r="BN105" i="1"/>
  <c r="Y114" i="1"/>
  <c r="Z112" i="1"/>
  <c r="BN112" i="1"/>
  <c r="Y120" i="1"/>
  <c r="Z118" i="1"/>
  <c r="BN118" i="1"/>
  <c r="G502" i="1"/>
  <c r="Z133" i="1"/>
  <c r="BN133" i="1"/>
  <c r="BP133" i="1"/>
  <c r="Z144" i="1"/>
  <c r="BN144" i="1"/>
  <c r="Y152" i="1"/>
  <c r="Y178" i="1"/>
  <c r="Z167" i="1"/>
  <c r="BN167" i="1"/>
  <c r="Z171" i="1"/>
  <c r="BN171" i="1"/>
  <c r="Z174" i="1"/>
  <c r="BN174" i="1"/>
  <c r="Z180" i="1"/>
  <c r="BN180" i="1"/>
  <c r="BP180" i="1"/>
  <c r="Z186" i="1"/>
  <c r="Z187" i="1" s="1"/>
  <c r="BN186" i="1"/>
  <c r="BP186" i="1"/>
  <c r="Y187" i="1"/>
  <c r="Z191" i="1"/>
  <c r="BN191" i="1"/>
  <c r="Z201" i="1"/>
  <c r="BN201" i="1"/>
  <c r="BP201" i="1"/>
  <c r="Z205" i="1"/>
  <c r="BN205" i="1"/>
  <c r="Z213" i="1"/>
  <c r="BN213" i="1"/>
  <c r="Z217" i="1"/>
  <c r="BN217" i="1"/>
  <c r="Z224" i="1"/>
  <c r="BN224" i="1"/>
  <c r="BP224" i="1"/>
  <c r="Z233" i="1"/>
  <c r="BN233" i="1"/>
  <c r="Z237" i="1"/>
  <c r="BN237" i="1"/>
  <c r="Z253" i="1"/>
  <c r="BN253" i="1"/>
  <c r="Z262" i="1"/>
  <c r="BN262" i="1"/>
  <c r="Z271" i="1"/>
  <c r="BN271" i="1"/>
  <c r="Z277" i="1"/>
  <c r="BN277" i="1"/>
  <c r="Z288" i="1"/>
  <c r="BN288" i="1"/>
  <c r="BP288" i="1"/>
  <c r="Z297" i="1"/>
  <c r="BN297" i="1"/>
  <c r="BP299" i="1"/>
  <c r="BN299" i="1"/>
  <c r="Z299" i="1"/>
  <c r="BP313" i="1"/>
  <c r="BN313" i="1"/>
  <c r="Z313" i="1"/>
  <c r="Y329" i="1"/>
  <c r="BP325" i="1"/>
  <c r="BN325" i="1"/>
  <c r="Z325" i="1"/>
  <c r="BP348" i="1"/>
  <c r="BN348" i="1"/>
  <c r="Z348" i="1"/>
  <c r="BP373" i="1"/>
  <c r="BN373" i="1"/>
  <c r="Z373" i="1"/>
  <c r="BP393" i="1"/>
  <c r="BN393" i="1"/>
  <c r="Z393" i="1"/>
  <c r="Y409" i="1"/>
  <c r="BP408" i="1"/>
  <c r="BN408" i="1"/>
  <c r="Z408" i="1"/>
  <c r="Z409" i="1" s="1"/>
  <c r="BP412" i="1"/>
  <c r="BN412" i="1"/>
  <c r="Z412" i="1"/>
  <c r="BP427" i="1"/>
  <c r="BN427" i="1"/>
  <c r="Z427" i="1"/>
  <c r="BP435" i="1"/>
  <c r="BN435" i="1"/>
  <c r="Z435" i="1"/>
  <c r="Y453" i="1"/>
  <c r="BP447" i="1"/>
  <c r="BN447" i="1"/>
  <c r="Z447" i="1"/>
  <c r="BP465" i="1"/>
  <c r="BN465" i="1"/>
  <c r="Z465" i="1"/>
  <c r="Y379" i="1"/>
  <c r="Y471" i="1"/>
  <c r="Y25" i="1"/>
  <c r="Y33" i="1"/>
  <c r="Y37" i="1"/>
  <c r="Y45" i="1"/>
  <c r="Y49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8" i="1"/>
  <c r="Y210" i="1"/>
  <c r="BP232" i="1"/>
  <c r="BN232" i="1"/>
  <c r="Z232" i="1"/>
  <c r="BP236" i="1"/>
  <c r="BN236" i="1"/>
  <c r="Z236" i="1"/>
  <c r="BP252" i="1"/>
  <c r="BN252" i="1"/>
  <c r="Z252" i="1"/>
  <c r="BP261" i="1"/>
  <c r="BN261" i="1"/>
  <c r="Z261" i="1"/>
  <c r="BP270" i="1"/>
  <c r="BN270" i="1"/>
  <c r="Z270" i="1"/>
  <c r="BP296" i="1"/>
  <c r="BN296" i="1"/>
  <c r="Z296" i="1"/>
  <c r="Y300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Z322" i="1" s="1"/>
  <c r="Y322" i="1"/>
  <c r="BP384" i="1"/>
  <c r="BN384" i="1"/>
  <c r="Z384" i="1"/>
  <c r="Y386" i="1"/>
  <c r="U502" i="1"/>
  <c r="Y399" i="1"/>
  <c r="BP390" i="1"/>
  <c r="BN390" i="1"/>
  <c r="Z390" i="1"/>
  <c r="BP394" i="1"/>
  <c r="BN394" i="1"/>
  <c r="Z394" i="1"/>
  <c r="BP398" i="1"/>
  <c r="BN398" i="1"/>
  <c r="Z398" i="1"/>
  <c r="Y400" i="1"/>
  <c r="Y405" i="1"/>
  <c r="BP402" i="1"/>
  <c r="BN402" i="1"/>
  <c r="Z402" i="1"/>
  <c r="Z404" i="1" s="1"/>
  <c r="Y404" i="1"/>
  <c r="H9" i="1"/>
  <c r="B502" i="1"/>
  <c r="X493" i="1"/>
  <c r="X494" i="1"/>
  <c r="Z23" i="1"/>
  <c r="BN23" i="1"/>
  <c r="Y24" i="1"/>
  <c r="X492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BN74" i="1"/>
  <c r="Z76" i="1"/>
  <c r="BN76" i="1"/>
  <c r="Z80" i="1"/>
  <c r="Z82" i="1" s="1"/>
  <c r="BN80" i="1"/>
  <c r="BP80" i="1"/>
  <c r="E502" i="1"/>
  <c r="Z88" i="1"/>
  <c r="Z90" i="1" s="1"/>
  <c r="BN88" i="1"/>
  <c r="Y91" i="1"/>
  <c r="Z94" i="1"/>
  <c r="BN94" i="1"/>
  <c r="Z96" i="1"/>
  <c r="BN96" i="1"/>
  <c r="Z101" i="1"/>
  <c r="BN101" i="1"/>
  <c r="BP101" i="1"/>
  <c r="Z102" i="1"/>
  <c r="BN102" i="1"/>
  <c r="Z104" i="1"/>
  <c r="BN104" i="1"/>
  <c r="Y107" i="1"/>
  <c r="Z111" i="1"/>
  <c r="Z113" i="1" s="1"/>
  <c r="BN111" i="1"/>
  <c r="Z117" i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Z140" i="1" s="1"/>
  <c r="BN138" i="1"/>
  <c r="BP138" i="1"/>
  <c r="H502" i="1"/>
  <c r="Z145" i="1"/>
  <c r="Z146" i="1" s="1"/>
  <c r="BN145" i="1"/>
  <c r="Y146" i="1"/>
  <c r="Z149" i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BN181" i="1"/>
  <c r="J502" i="1"/>
  <c r="Z192" i="1"/>
  <c r="Z193" i="1" s="1"/>
  <c r="BN192" i="1"/>
  <c r="Y193" i="1"/>
  <c r="Z196" i="1"/>
  <c r="Z198" i="1" s="1"/>
  <c r="BN196" i="1"/>
  <c r="BP196" i="1"/>
  <c r="Z202" i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Y221" i="1"/>
  <c r="BP225" i="1"/>
  <c r="BN225" i="1"/>
  <c r="Z225" i="1"/>
  <c r="Z226" i="1" s="1"/>
  <c r="Y227" i="1"/>
  <c r="K502" i="1"/>
  <c r="Y239" i="1"/>
  <c r="BP230" i="1"/>
  <c r="BN230" i="1"/>
  <c r="Z230" i="1"/>
  <c r="BP234" i="1"/>
  <c r="BN234" i="1"/>
  <c r="Z234" i="1"/>
  <c r="BP238" i="1"/>
  <c r="BN238" i="1"/>
  <c r="Z238" i="1"/>
  <c r="Y240" i="1"/>
  <c r="Y243" i="1"/>
  <c r="BP242" i="1"/>
  <c r="BN242" i="1"/>
  <c r="Z242" i="1"/>
  <c r="Z243" i="1" s="1"/>
  <c r="Y244" i="1"/>
  <c r="Y247" i="1"/>
  <c r="BP246" i="1"/>
  <c r="BN246" i="1"/>
  <c r="Z246" i="1"/>
  <c r="Z247" i="1" s="1"/>
  <c r="Y248" i="1"/>
  <c r="Y255" i="1"/>
  <c r="BP250" i="1"/>
  <c r="BN250" i="1"/>
  <c r="Z250" i="1"/>
  <c r="BP254" i="1"/>
  <c r="BN254" i="1"/>
  <c r="Z254" i="1"/>
  <c r="Y256" i="1"/>
  <c r="L502" i="1"/>
  <c r="Y264" i="1"/>
  <c r="BP259" i="1"/>
  <c r="BN259" i="1"/>
  <c r="Z259" i="1"/>
  <c r="Z264" i="1" s="1"/>
  <c r="BP263" i="1"/>
  <c r="BN263" i="1"/>
  <c r="Z263" i="1"/>
  <c r="Y265" i="1"/>
  <c r="M502" i="1"/>
  <c r="Y272" i="1"/>
  <c r="Y273" i="1"/>
  <c r="BP268" i="1"/>
  <c r="BN268" i="1"/>
  <c r="Z268" i="1"/>
  <c r="Z272" i="1" s="1"/>
  <c r="BP278" i="1"/>
  <c r="BN278" i="1"/>
  <c r="Z278" i="1"/>
  <c r="Y280" i="1"/>
  <c r="P502" i="1"/>
  <c r="Y286" i="1"/>
  <c r="BP283" i="1"/>
  <c r="BN283" i="1"/>
  <c r="Z283" i="1"/>
  <c r="Z285" i="1" s="1"/>
  <c r="Y285" i="1"/>
  <c r="BP328" i="1"/>
  <c r="BN328" i="1"/>
  <c r="Z328" i="1"/>
  <c r="Y330" i="1"/>
  <c r="Y335" i="1"/>
  <c r="BP332" i="1"/>
  <c r="BN332" i="1"/>
  <c r="Z332" i="1"/>
  <c r="Y336" i="1"/>
  <c r="BP341" i="1"/>
  <c r="BN341" i="1"/>
  <c r="Z341" i="1"/>
  <c r="Y343" i="1"/>
  <c r="Y354" i="1"/>
  <c r="BP347" i="1"/>
  <c r="BN347" i="1"/>
  <c r="Z347" i="1"/>
  <c r="S502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502" i="1"/>
  <c r="Y375" i="1"/>
  <c r="BP372" i="1"/>
  <c r="BN372" i="1"/>
  <c r="Z372" i="1"/>
  <c r="Z374" i="1" s="1"/>
  <c r="Y374" i="1"/>
  <c r="BP415" i="1"/>
  <c r="BN415" i="1"/>
  <c r="Z415" i="1"/>
  <c r="BP430" i="1"/>
  <c r="BN430" i="1"/>
  <c r="Z430" i="1"/>
  <c r="BP434" i="1"/>
  <c r="BN434" i="1"/>
  <c r="Z434" i="1"/>
  <c r="Y438" i="1"/>
  <c r="Z444" i="1"/>
  <c r="BP442" i="1"/>
  <c r="BN442" i="1"/>
  <c r="Z442" i="1"/>
  <c r="Y444" i="1"/>
  <c r="BP484" i="1"/>
  <c r="BN484" i="1"/>
  <c r="Z484" i="1"/>
  <c r="Y486" i="1"/>
  <c r="Z502" i="1"/>
  <c r="Y490" i="1"/>
  <c r="BP489" i="1"/>
  <c r="BN489" i="1"/>
  <c r="Z489" i="1"/>
  <c r="Z490" i="1" s="1"/>
  <c r="Y491" i="1"/>
  <c r="Y279" i="1"/>
  <c r="BP276" i="1"/>
  <c r="BN276" i="1"/>
  <c r="Z276" i="1"/>
  <c r="Z279" i="1" s="1"/>
  <c r="BP289" i="1"/>
  <c r="BN289" i="1"/>
  <c r="Z289" i="1"/>
  <c r="Z290" i="1" s="1"/>
  <c r="Y291" i="1"/>
  <c r="Q502" i="1"/>
  <c r="Y301" i="1"/>
  <c r="BP294" i="1"/>
  <c r="BN294" i="1"/>
  <c r="Z294" i="1"/>
  <c r="BP298" i="1"/>
  <c r="BN298" i="1"/>
  <c r="Z298" i="1"/>
  <c r="Y309" i="1"/>
  <c r="BP306" i="1"/>
  <c r="BN306" i="1"/>
  <c r="Z306" i="1"/>
  <c r="BP314" i="1"/>
  <c r="BN314" i="1"/>
  <c r="Z314" i="1"/>
  <c r="Y323" i="1"/>
  <c r="BP326" i="1"/>
  <c r="BN326" i="1"/>
  <c r="Z326" i="1"/>
  <c r="Z329" i="1" s="1"/>
  <c r="BP334" i="1"/>
  <c r="BN334" i="1"/>
  <c r="Z334" i="1"/>
  <c r="R502" i="1"/>
  <c r="Y342" i="1"/>
  <c r="BP339" i="1"/>
  <c r="BN339" i="1"/>
  <c r="Z339" i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BP378" i="1"/>
  <c r="BN378" i="1"/>
  <c r="Z378" i="1"/>
  <c r="Z379" i="1" s="1"/>
  <c r="Y380" i="1"/>
  <c r="Y385" i="1"/>
  <c r="BP382" i="1"/>
  <c r="BN382" i="1"/>
  <c r="Z382" i="1"/>
  <c r="Z385" i="1" s="1"/>
  <c r="BP392" i="1"/>
  <c r="BN392" i="1"/>
  <c r="Z392" i="1"/>
  <c r="BP396" i="1"/>
  <c r="BN396" i="1"/>
  <c r="Z396" i="1"/>
  <c r="BP413" i="1"/>
  <c r="BN413" i="1"/>
  <c r="Z413" i="1"/>
  <c r="BP450" i="1"/>
  <c r="BN450" i="1"/>
  <c r="Z450" i="1"/>
  <c r="BP464" i="1"/>
  <c r="BN464" i="1"/>
  <c r="Z464" i="1"/>
  <c r="V502" i="1"/>
  <c r="Y410" i="1"/>
  <c r="Y417" i="1"/>
  <c r="Y416" i="1"/>
  <c r="BP428" i="1"/>
  <c r="BN428" i="1"/>
  <c r="Z428" i="1"/>
  <c r="BP432" i="1"/>
  <c r="BN432" i="1"/>
  <c r="Z432" i="1"/>
  <c r="BP436" i="1"/>
  <c r="BN436" i="1"/>
  <c r="Z436" i="1"/>
  <c r="Y445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Z471" i="1" s="1"/>
  <c r="Y472" i="1"/>
  <c r="Y477" i="1"/>
  <c r="BP474" i="1"/>
  <c r="BN474" i="1"/>
  <c r="Z474" i="1"/>
  <c r="Z476" i="1" s="1"/>
  <c r="Y485" i="1"/>
  <c r="Y502" i="1"/>
  <c r="Y439" i="1"/>
  <c r="Z416" i="1" l="1"/>
  <c r="Z342" i="1"/>
  <c r="Z485" i="1"/>
  <c r="Z183" i="1"/>
  <c r="Z24" i="1"/>
  <c r="Z438" i="1"/>
  <c r="Z209" i="1"/>
  <c r="Z77" i="1"/>
  <c r="Y493" i="1"/>
  <c r="Z309" i="1"/>
  <c r="Z466" i="1"/>
  <c r="Z300" i="1"/>
  <c r="Z177" i="1"/>
  <c r="Z120" i="1"/>
  <c r="Z97" i="1"/>
  <c r="Y494" i="1"/>
  <c r="Y495" i="1" s="1"/>
  <c r="Z335" i="1"/>
  <c r="Z255" i="1"/>
  <c r="Z152" i="1"/>
  <c r="Z106" i="1"/>
  <c r="Z44" i="1"/>
  <c r="Z32" i="1"/>
  <c r="Y496" i="1"/>
  <c r="X495" i="1"/>
  <c r="Z316" i="1"/>
  <c r="Z354" i="1"/>
  <c r="Z239" i="1"/>
  <c r="Z399" i="1"/>
  <c r="Y492" i="1"/>
  <c r="Z497" i="1" l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<sst xmlns="http://schemas.openxmlformats.org/spreadsheetml/2006/main" count="2363" uniqueCount="779">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</sst>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46009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Четверг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3500</v>
      </c>
      <c r="Y53" s="548">
        <f t="shared" si="0"/>
        <v>3510.0000000000005</v>
      </c>
      <c r="Z53" s="36">
        <f>IFERROR(IF(Y53=0,"",ROUNDUP(Y53/H53,0)*0.01898),"")</f>
        <v>6.1684999999999999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3632.87037037037</v>
      </c>
      <c r="BN53" s="64">
        <f t="shared" si="2"/>
        <v>3643.2500000000005</v>
      </c>
      <c r="BO53" s="64">
        <f t="shared" si="3"/>
        <v>5.0636574074074074</v>
      </c>
      <c r="BP53" s="64">
        <f t="shared" si="4"/>
        <v>5.078125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324.07407407407408</v>
      </c>
      <c r="Y58" s="549">
        <f>IFERROR(Y52/H52,"0")+IFERROR(Y53/H53,"0")+IFERROR(Y54/H54,"0")+IFERROR(Y55/H55,"0")+IFERROR(Y56/H56,"0")+IFERROR(Y57/H57,"0")</f>
        <v>325</v>
      </c>
      <c r="Z58" s="549">
        <f>IFERROR(IF(Z52="",0,Z52),"0")+IFERROR(IF(Z53="",0,Z53),"0")+IFERROR(IF(Z54="",0,Z54),"0")+IFERROR(IF(Z55="",0,Z55),"0")+IFERROR(IF(Z56="",0,Z56),"0")+IFERROR(IF(Z57="",0,Z57),"0")</f>
        <v>6.1684999999999999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3500</v>
      </c>
      <c r="Y59" s="549">
        <f>IFERROR(SUM(Y52:Y57),"0")</f>
        <v>3510.0000000000005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500</v>
      </c>
      <c r="Y61" s="548">
        <f>IFERROR(IF(X61="",0,CEILING((X61/$H61),1)*$H61),"")</f>
        <v>507.6</v>
      </c>
      <c r="Z61" s="36">
        <f>IFERROR(IF(Y61=0,"",ROUNDUP(Y61/H61,0)*0.01898),"")</f>
        <v>0.89205999999999996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518.98148148148141</v>
      </c>
      <c r="BN61" s="64">
        <f>IFERROR(Y61*I61/H61,"0")</f>
        <v>526.87</v>
      </c>
      <c r="BO61" s="64">
        <f>IFERROR(1/J61*(X61/H61),"0")</f>
        <v>0.72337962962962954</v>
      </c>
      <c r="BP61" s="64">
        <f>IFERROR(1/J61*(Y61/H61),"0")</f>
        <v>0.734375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46.296296296296291</v>
      </c>
      <c r="Y64" s="549">
        <f>IFERROR(Y61/H61,"0")+IFERROR(Y62/H62,"0")+IFERROR(Y63/H63,"0")</f>
        <v>47</v>
      </c>
      <c r="Z64" s="549">
        <f>IFERROR(IF(Z61="",0,Z61),"0")+IFERROR(IF(Z62="",0,Z62),"0")+IFERROR(IF(Z63="",0,Z63),"0")</f>
        <v>0.89205999999999996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500</v>
      </c>
      <c r="Y65" s="549">
        <f>IFERROR(SUM(Y61:Y63),"0")</f>
        <v>507.6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hidden="1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hidden="1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hidden="1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hidden="1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hidden="1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hidden="1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hidden="1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idden="1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hidden="1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hidden="1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0</v>
      </c>
      <c r="Y120" s="549">
        <f>IFERROR(Y116/H116,"0")+IFERROR(Y117/H117,"0")+IFERROR(Y118/H118,"0")+IFERROR(Y119/H119,"0")</f>
        <v>0</v>
      </c>
      <c r="Z120" s="549">
        <f>IFERROR(IF(Z116="",0,Z116),"0")+IFERROR(IF(Z117="",0,Z117),"0")+IFERROR(IF(Z118="",0,Z118),"0")+IFERROR(IF(Z119="",0,Z119),"0")</f>
        <v>0</v>
      </c>
      <c r="AA120" s="550"/>
      <c r="AB120" s="550"/>
      <c r="AC120" s="550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0</v>
      </c>
      <c r="Y121" s="549">
        <f>IFERROR(SUM(Y116:Y119),"0")</f>
        <v>0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hidden="1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idden="1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hidden="1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hidden="1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hidden="1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idden="1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hidden="1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hidden="1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hidden="1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idden="1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hidden="1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hidden="1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hidden="1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hidden="1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hidden="1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hidden="1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idden="1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hidden="1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3000</v>
      </c>
      <c r="Y294" s="548">
        <f t="shared" ref="Y294:Y299" si="26">IFERROR(IF(X294="",0,CEILING((X294/$H294),1)*$H294),"")</f>
        <v>3002.4</v>
      </c>
      <c r="Z294" s="36">
        <f>IFERROR(IF(Y294=0,"",ROUNDUP(Y294/H294,0)*0.01898),"")</f>
        <v>5.27644</v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3113.8888888888887</v>
      </c>
      <c r="BN294" s="64">
        <f t="shared" ref="BN294:BN299" si="28">IFERROR(Y294*I294/H294,"0")</f>
        <v>3116.38</v>
      </c>
      <c r="BO294" s="64">
        <f t="shared" ref="BO294:BO299" si="29">IFERROR(1/J294*(X294/H294),"0")</f>
        <v>4.3402777777777777</v>
      </c>
      <c r="BP294" s="64">
        <f t="shared" ref="BP294:BP299" si="30">IFERROR(1/J294*(Y294/H294),"0")</f>
        <v>4.34375</v>
      </c>
    </row>
    <row r="295" spans="1:68" ht="27" hidden="1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hidden="1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hidden="1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277.77777777777777</v>
      </c>
      <c r="Y300" s="549">
        <f>IFERROR(Y294/H294,"0")+IFERROR(Y295/H295,"0")+IFERROR(Y296/H296,"0")+IFERROR(Y297/H297,"0")+IFERROR(Y298/H298,"0")+IFERROR(Y299/H299,"0")</f>
        <v>278</v>
      </c>
      <c r="Z300" s="549">
        <f>IFERROR(IF(Z294="",0,Z294),"0")+IFERROR(IF(Z295="",0,Z295),"0")+IFERROR(IF(Z296="",0,Z296),"0")+IFERROR(IF(Z297="",0,Z297),"0")+IFERROR(IF(Z298="",0,Z298),"0")+IFERROR(IF(Z299="",0,Z299),"0")</f>
        <v>5.27644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3000</v>
      </c>
      <c r="Y301" s="549">
        <f>IFERROR(SUM(Y294:Y299),"0")</f>
        <v>3002.4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hidden="1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hidden="1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idden="1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0</v>
      </c>
      <c r="Y309" s="549">
        <f>IFERROR(Y303/H303,"0")+IFERROR(Y304/H304,"0")+IFERROR(Y305/H305,"0")+IFERROR(Y306/H306,"0")+IFERROR(Y307/H307,"0")+IFERROR(Y308/H308,"0")</f>
        <v>0</v>
      </c>
      <c r="Z309" s="549">
        <f>IFERROR(IF(Z303="",0,Z303),"0")+IFERROR(IF(Z304="",0,Z304),"0")+IFERROR(IF(Z305="",0,Z305),"0")+IFERROR(IF(Z306="",0,Z306),"0")+IFERROR(IF(Z307="",0,Z307),"0")+IFERROR(IF(Z308="",0,Z308),"0")</f>
        <v>0</v>
      </c>
      <c r="AA309" s="550"/>
      <c r="AB309" s="550"/>
      <c r="AC309" s="550"/>
    </row>
    <row r="310" spans="1:68" hidden="1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0</v>
      </c>
      <c r="Y310" s="549">
        <f>IFERROR(SUM(Y303:Y308),"0")</f>
        <v>0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6000</v>
      </c>
      <c r="Y312" s="548">
        <f>IFERROR(IF(X312="",0,CEILING((X312/$H312),1)*$H312),"")</f>
        <v>6006</v>
      </c>
      <c r="Z312" s="36">
        <f>IFERROR(IF(Y312=0,"",ROUNDUP(Y312/H312,0)*0.01898),"")</f>
        <v>14.614600000000001</v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6375.3846153846152</v>
      </c>
      <c r="BN312" s="64">
        <f>IFERROR(Y312*I312/H312,"0")</f>
        <v>6381.76</v>
      </c>
      <c r="BO312" s="64">
        <f>IFERROR(1/J312*(X312/H312),"0")</f>
        <v>12.01923076923077</v>
      </c>
      <c r="BP312" s="64">
        <f>IFERROR(1/J312*(Y312/H312),"0")</f>
        <v>12.03125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769.23076923076928</v>
      </c>
      <c r="Y316" s="549">
        <f>IFERROR(Y312/H312,"0")+IFERROR(Y313/H313,"0")+IFERROR(Y314/H314,"0")+IFERROR(Y315/H315,"0")</f>
        <v>770</v>
      </c>
      <c r="Z316" s="549">
        <f>IFERROR(IF(Z312="",0,Z312),"0")+IFERROR(IF(Z313="",0,Z313),"0")+IFERROR(IF(Z314="",0,Z314),"0")+IFERROR(IF(Z315="",0,Z315),"0")</f>
        <v>14.614600000000001</v>
      </c>
      <c r="AA316" s="550"/>
      <c r="AB316" s="550"/>
      <c r="AC316" s="550"/>
    </row>
    <row r="317" spans="1:68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6000</v>
      </c>
      <c r="Y317" s="549">
        <f>IFERROR(SUM(Y312:Y315),"0")</f>
        <v>6006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hidden="1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hidden="1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hidden="1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hidden="1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0</v>
      </c>
      <c r="Y342" s="549">
        <f>IFERROR(Y339/H339,"0")+IFERROR(Y340/H340,"0")+IFERROR(Y341/H341,"0")</f>
        <v>0</v>
      </c>
      <c r="Z342" s="549">
        <f>IFERROR(IF(Z339="",0,Z339),"0")+IFERROR(IF(Z340="",0,Z340),"0")+IFERROR(IF(Z341="",0,Z341),"0")</f>
        <v>0</v>
      </c>
      <c r="AA342" s="550"/>
      <c r="AB342" s="550"/>
      <c r="AC342" s="550"/>
    </row>
    <row r="343" spans="1:68" hidden="1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0</v>
      </c>
      <c r="Y343" s="549">
        <f>IFERROR(SUM(Y339:Y341),"0")</f>
        <v>0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hidden="1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hidden="1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5000</v>
      </c>
      <c r="Y350" s="548">
        <f t="shared" si="36"/>
        <v>5010</v>
      </c>
      <c r="Z350" s="36">
        <f>IFERROR(IF(Y350=0,"",ROUNDUP(Y350/H350,0)*0.02175),"")</f>
        <v>7.2644999999999991</v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5156.666666666667</v>
      </c>
      <c r="BN350" s="64">
        <f t="shared" si="38"/>
        <v>5166.9799999999996</v>
      </c>
      <c r="BO350" s="64">
        <f t="shared" si="39"/>
        <v>6.9444444444444438</v>
      </c>
      <c r="BP350" s="64">
        <f t="shared" si="40"/>
        <v>6.958333333333333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333.33333333333331</v>
      </c>
      <c r="Y354" s="549">
        <f>IFERROR(Y347/H347,"0")+IFERROR(Y348/H348,"0")+IFERROR(Y349/H349,"0")+IFERROR(Y350/H350,"0")+IFERROR(Y351/H351,"0")+IFERROR(Y352/H352,"0")+IFERROR(Y353/H353,"0")</f>
        <v>334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7.2644999999999991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5000</v>
      </c>
      <c r="Y355" s="549">
        <f>IFERROR(SUM(Y347:Y353),"0")</f>
        <v>5010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hidden="1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hidden="1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hidden="1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hidden="1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hidden="1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hidden="1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hidden="1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hidden="1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hidden="1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hidden="1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hidden="1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hidden="1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idden="1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50"/>
      <c r="AB438" s="550"/>
      <c r="AC438" s="550"/>
    </row>
    <row r="439" spans="1:68" hidden="1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0</v>
      </c>
      <c r="Y439" s="549">
        <f>IFERROR(SUM(Y426:Y437),"0")</f>
        <v>0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hidden="1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hidden="1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hidden="1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hidden="1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hidden="1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idden="1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hidden="1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hidden="1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18000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18036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18797.792022792022</v>
      </c>
      <c r="Y493" s="549">
        <f>IFERROR(SUM(BN22:BN489),"0")</f>
        <v>18835.240000000002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30</v>
      </c>
      <c r="Y494" s="38">
        <f>ROUNDUP(SUM(BP22:BP489),0)</f>
        <v>30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19547.792022792022</v>
      </c>
      <c r="Y495" s="549">
        <f>GrossWeightTotalR+PalletQtyTotalR*25</f>
        <v>19585.240000000002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1750.7122507122506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1754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34.216099999999997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4017.6000000000004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0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9008.4</v>
      </c>
      <c r="R502" s="46">
        <f>IFERROR(Y339*1,"0")+IFERROR(Y340*1,"0")+IFERROR(Y341*1,"0")</f>
        <v>0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5010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0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50,71"/>
        <filter val="18 000,00"/>
        <filter val="18 797,79"/>
        <filter val="19 547,79"/>
        <filter val="277,78"/>
        <filter val="3 000,00"/>
        <filter val="3 500,00"/>
        <filter val="30"/>
        <filter val="324,07"/>
        <filter val="333,33"/>
        <filter val="46,30"/>
        <filter val="5 000,00"/>
        <filter val="500,00"/>
        <filter val="6 000,00"/>
        <filter val="769,23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2025-12-16T11:36:50Z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