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97A7F0C-D744-472B-B3F2-82A5CBB0A6E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заказа'!$B$319:$B$319</definedName>
    <definedName name="ProductId154">'Бланк заказа'!$B$320:$B$320</definedName>
    <definedName name="ProductId155">'Бланк заказа'!$B$321:$B$321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заказа'!$B$334:$B$334</definedName>
    <definedName name="ProductId163">'Бланк заказа'!$B$339:$B$339</definedName>
    <definedName name="ProductId164">'Бланк заказа'!$B$340:$B$340</definedName>
    <definedName name="ProductId165">'Бланк заказа'!$B$341:$B$341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заказа'!$B$357:$B$357</definedName>
    <definedName name="ProductId174">'Бланк заказа'!$B$358:$B$358</definedName>
    <definedName name="ProductId175">'Бланк заказа'!$B$362:$B$362</definedName>
    <definedName name="ProductId176">'Бланк заказа'!$B$363:$B$363</definedName>
    <definedName name="ProductId177">'Бланк заказа'!$B$367:$B$367</definedName>
    <definedName name="ProductId178">'Бланк заказа'!$B$372:$B$372</definedName>
    <definedName name="ProductId179">'Бланк заказа'!$B$373:$B$373</definedName>
    <definedName name="ProductId18">'Бланк заказа'!$B$57:$B$57</definedName>
    <definedName name="ProductId180">'Бланк заказа'!$B$377:$B$377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заказа'!$B$456:$B$456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заказа'!$B$469:$B$469</definedName>
    <definedName name="ProductId229">'Бланк заказа'!$B$470:$B$470</definedName>
    <definedName name="ProductId23">'Бланк заказа'!$B$68:$B$68</definedName>
    <definedName name="ProductId230">'Бланк заказа'!$B$474:$B$474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заказа'!$X$319:$X$319</definedName>
    <definedName name="SalesQty154">'Бланк заказа'!$X$320:$X$320</definedName>
    <definedName name="SalesQty155">'Бланк заказа'!$X$321:$X$321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заказа'!$X$334:$X$334</definedName>
    <definedName name="SalesQty163">'Бланк заказа'!$X$339:$X$339</definedName>
    <definedName name="SalesQty164">'Бланк заказа'!$X$340:$X$340</definedName>
    <definedName name="SalesQty165">'Бланк заказа'!$X$341:$X$341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заказа'!$X$357:$X$357</definedName>
    <definedName name="SalesQty174">'Бланк заказа'!$X$358:$X$358</definedName>
    <definedName name="SalesQty175">'Бланк заказа'!$X$362:$X$362</definedName>
    <definedName name="SalesQty176">'Бланк заказа'!$X$363:$X$363</definedName>
    <definedName name="SalesQty177">'Бланк заказа'!$X$367:$X$367</definedName>
    <definedName name="SalesQty178">'Бланк заказа'!$X$372:$X$372</definedName>
    <definedName name="SalesQty179">'Бланк заказа'!$X$373:$X$373</definedName>
    <definedName name="SalesQty18">'Бланк заказа'!$X$57:$X$57</definedName>
    <definedName name="SalesQty180">'Бланк заказа'!$X$377:$X$377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заказа'!$X$456:$X$456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заказа'!$X$469:$X$469</definedName>
    <definedName name="SalesQty229">'Бланк заказа'!$X$470:$X$470</definedName>
    <definedName name="SalesQty23">'Бланк заказа'!$X$68:$X$68</definedName>
    <definedName name="SalesQty230">'Бланк заказа'!$X$474:$X$474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заказа'!$Y$319:$Y$319</definedName>
    <definedName name="SalesRoundBox154">'Бланк заказа'!$Y$320:$Y$320</definedName>
    <definedName name="SalesRoundBox155">'Бланк заказа'!$Y$321:$Y$321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заказа'!$Y$334:$Y$334</definedName>
    <definedName name="SalesRoundBox163">'Бланк заказа'!$Y$339:$Y$339</definedName>
    <definedName name="SalesRoundBox164">'Бланк заказа'!$Y$340:$Y$340</definedName>
    <definedName name="SalesRoundBox165">'Бланк заказа'!$Y$341:$Y$341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заказа'!$Y$357:$Y$357</definedName>
    <definedName name="SalesRoundBox174">'Бланк заказа'!$Y$358:$Y$358</definedName>
    <definedName name="SalesRoundBox175">'Бланк заказа'!$Y$362:$Y$362</definedName>
    <definedName name="SalesRoundBox176">'Бланк заказа'!$Y$363:$Y$363</definedName>
    <definedName name="SalesRoundBox177">'Бланк заказа'!$Y$367:$Y$367</definedName>
    <definedName name="SalesRoundBox178">'Бланк заказа'!$Y$372:$Y$372</definedName>
    <definedName name="SalesRoundBox179">'Бланк заказа'!$Y$373:$Y$373</definedName>
    <definedName name="SalesRoundBox18">'Бланк заказа'!$Y$57:$Y$57</definedName>
    <definedName name="SalesRoundBox180">'Бланк заказа'!$Y$377:$Y$377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заказа'!$Y$456:$Y$456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заказа'!$Y$469:$Y$469</definedName>
    <definedName name="SalesRoundBox229">'Бланк заказа'!$Y$470:$Y$470</definedName>
    <definedName name="SalesRoundBox23">'Бланк заказа'!$Y$68:$Y$68</definedName>
    <definedName name="SalesRoundBox230">'Бланк заказа'!$Y$474:$Y$474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заказа'!$W$319:$W$319</definedName>
    <definedName name="UnitOfMeasure154">'Бланк заказа'!$W$320:$W$320</definedName>
    <definedName name="UnitOfMeasure155">'Бланк заказа'!$W$321:$W$321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заказа'!$W$334:$W$334</definedName>
    <definedName name="UnitOfMeasure163">'Бланк заказа'!$W$339:$W$339</definedName>
    <definedName name="UnitOfMeasure164">'Бланк заказа'!$W$340:$W$340</definedName>
    <definedName name="UnitOfMeasure165">'Бланк заказа'!$W$341:$W$341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заказа'!$W$357:$W$357</definedName>
    <definedName name="UnitOfMeasure174">'Бланк заказа'!$W$358:$W$358</definedName>
    <definedName name="UnitOfMeasure175">'Бланк заказа'!$W$362:$W$362</definedName>
    <definedName name="UnitOfMeasure176">'Бланк заказа'!$W$363:$W$363</definedName>
    <definedName name="UnitOfMeasure177">'Бланк заказа'!$W$367:$W$367</definedName>
    <definedName name="UnitOfMeasure178">'Бланк заказа'!$W$372:$W$372</definedName>
    <definedName name="UnitOfMeasure179">'Бланк заказа'!$W$373:$W$373</definedName>
    <definedName name="UnitOfMeasure18">'Бланк заказа'!$W$57:$W$57</definedName>
    <definedName name="UnitOfMeasure180">'Бланк заказа'!$W$377:$W$377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заказа'!$W$456:$W$456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заказа'!$W$469:$W$469</definedName>
    <definedName name="UnitOfMeasure229">'Бланк заказа'!$W$470:$W$470</definedName>
    <definedName name="UnitOfMeasure23">'Бланк заказа'!$W$68:$W$68</definedName>
    <definedName name="UnitOfMeasure230">'Бланк заказа'!$W$474:$W$474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BO474" i="1"/>
  <c r="BM474" i="1"/>
  <c r="Y474" i="1"/>
  <c r="P474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X467" i="1"/>
  <c r="X466" i="1"/>
  <c r="BO465" i="1"/>
  <c r="BM465" i="1"/>
  <c r="Y465" i="1"/>
  <c r="P465" i="1"/>
  <c r="BO464" i="1"/>
  <c r="BM464" i="1"/>
  <c r="Y464" i="1"/>
  <c r="P464" i="1"/>
  <c r="BO463" i="1"/>
  <c r="BM463" i="1"/>
  <c r="Y463" i="1"/>
  <c r="P463" i="1"/>
  <c r="BO462" i="1"/>
  <c r="BM462" i="1"/>
  <c r="Y462" i="1"/>
  <c r="P462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BP426" i="1"/>
  <c r="BO426" i="1"/>
  <c r="BN426" i="1"/>
  <c r="BM426" i="1"/>
  <c r="Z426" i="1"/>
  <c r="Y426" i="1"/>
  <c r="P426" i="1"/>
  <c r="X422" i="1"/>
  <c r="Y421" i="1"/>
  <c r="X421" i="1"/>
  <c r="BP420" i="1"/>
  <c r="BO420" i="1"/>
  <c r="BN420" i="1"/>
  <c r="BM420" i="1"/>
  <c r="Z420" i="1"/>
  <c r="Z421" i="1" s="1"/>
  <c r="Y420" i="1"/>
  <c r="Y422" i="1" s="1"/>
  <c r="P420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X405" i="1"/>
  <c r="X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69" i="1"/>
  <c r="X368" i="1"/>
  <c r="BO367" i="1"/>
  <c r="BM367" i="1"/>
  <c r="Y367" i="1"/>
  <c r="P367" i="1"/>
  <c r="X365" i="1"/>
  <c r="X364" i="1"/>
  <c r="BO363" i="1"/>
  <c r="BM363" i="1"/>
  <c r="Y363" i="1"/>
  <c r="P363" i="1"/>
  <c r="BO362" i="1"/>
  <c r="BM362" i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X343" i="1"/>
  <c r="X342" i="1"/>
  <c r="BO341" i="1"/>
  <c r="BM341" i="1"/>
  <c r="Y341" i="1"/>
  <c r="P341" i="1"/>
  <c r="BO340" i="1"/>
  <c r="BM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30" i="1"/>
  <c r="X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BO325" i="1"/>
  <c r="BM325" i="1"/>
  <c r="Y325" i="1"/>
  <c r="P325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BO312" i="1"/>
  <c r="BM312" i="1"/>
  <c r="Y312" i="1"/>
  <c r="P312" i="1"/>
  <c r="X310" i="1"/>
  <c r="X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X301" i="1"/>
  <c r="X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O295" i="1"/>
  <c r="BM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P288" i="1"/>
  <c r="X286" i="1"/>
  <c r="X285" i="1"/>
  <c r="BO284" i="1"/>
  <c r="BM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O277" i="1"/>
  <c r="BM277" i="1"/>
  <c r="Y277" i="1"/>
  <c r="P277" i="1"/>
  <c r="BO276" i="1"/>
  <c r="BM276" i="1"/>
  <c r="Y276" i="1"/>
  <c r="Y280" i="1" s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X265" i="1"/>
  <c r="X264" i="1"/>
  <c r="BO263" i="1"/>
  <c r="BM263" i="1"/>
  <c r="Y263" i="1"/>
  <c r="P263" i="1"/>
  <c r="BO262" i="1"/>
  <c r="BM262" i="1"/>
  <c r="Y262" i="1"/>
  <c r="P262" i="1"/>
  <c r="BO261" i="1"/>
  <c r="BM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BO251" i="1"/>
  <c r="BM251" i="1"/>
  <c r="Y251" i="1"/>
  <c r="P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O225" i="1"/>
  <c r="BM225" i="1"/>
  <c r="Y225" i="1"/>
  <c r="P225" i="1"/>
  <c r="BO224" i="1"/>
  <c r="BM224" i="1"/>
  <c r="Y224" i="1"/>
  <c r="Y226" i="1" s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Y198" i="1" s="1"/>
  <c r="P196" i="1"/>
  <c r="X194" i="1"/>
  <c r="X193" i="1"/>
  <c r="BO192" i="1"/>
  <c r="BM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X163" i="1"/>
  <c r="X162" i="1"/>
  <c r="BO161" i="1"/>
  <c r="BM161" i="1"/>
  <c r="Y161" i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7" i="1"/>
  <c r="X146" i="1"/>
  <c r="BO145" i="1"/>
  <c r="BM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O138" i="1"/>
  <c r="BM138" i="1"/>
  <c r="Y138" i="1"/>
  <c r="Y140" i="1" s="1"/>
  <c r="P138" i="1"/>
  <c r="X136" i="1"/>
  <c r="X135" i="1"/>
  <c r="BO134" i="1"/>
  <c r="BM134" i="1"/>
  <c r="Y134" i="1"/>
  <c r="P134" i="1"/>
  <c r="BO133" i="1"/>
  <c r="BM133" i="1"/>
  <c r="Y133" i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P128" i="1"/>
  <c r="X125" i="1"/>
  <c r="X124" i="1"/>
  <c r="BO123" i="1"/>
  <c r="BM123" i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X114" i="1"/>
  <c r="X113" i="1"/>
  <c r="BO112" i="1"/>
  <c r="BM112" i="1"/>
  <c r="Y112" i="1"/>
  <c r="P112" i="1"/>
  <c r="BO111" i="1"/>
  <c r="BM111" i="1"/>
  <c r="Y111" i="1"/>
  <c r="P111" i="1"/>
  <c r="BO110" i="1"/>
  <c r="BM110" i="1"/>
  <c r="Y110" i="1"/>
  <c r="BP110" i="1" s="1"/>
  <c r="BO109" i="1"/>
  <c r="BM109" i="1"/>
  <c r="Y109" i="1"/>
  <c r="P109" i="1"/>
  <c r="X107" i="1"/>
  <c r="X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P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X71" i="1"/>
  <c r="X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1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4" i="1" s="1"/>
  <c r="BM22" i="1"/>
  <c r="Y22" i="1"/>
  <c r="B502" i="1" s="1"/>
  <c r="P22" i="1"/>
  <c r="H10" i="1"/>
  <c r="A9" i="1"/>
  <c r="F10" i="1" s="1"/>
  <c r="D7" i="1"/>
  <c r="Q6" i="1"/>
  <c r="P2" i="1"/>
  <c r="BP105" i="1" l="1"/>
  <c r="BN105" i="1"/>
  <c r="Z105" i="1"/>
  <c r="BP139" i="1"/>
  <c r="BN139" i="1"/>
  <c r="Z139" i="1"/>
  <c r="BP176" i="1"/>
  <c r="BN176" i="1"/>
  <c r="Z176" i="1"/>
  <c r="BP207" i="1"/>
  <c r="BN207" i="1"/>
  <c r="Z207" i="1"/>
  <c r="BP234" i="1"/>
  <c r="BN234" i="1"/>
  <c r="Z234" i="1"/>
  <c r="BP263" i="1"/>
  <c r="BN263" i="1"/>
  <c r="Z263" i="1"/>
  <c r="BP303" i="1"/>
  <c r="BN303" i="1"/>
  <c r="Z303" i="1"/>
  <c r="BP325" i="1"/>
  <c r="BN325" i="1"/>
  <c r="Z325" i="1"/>
  <c r="BP357" i="1"/>
  <c r="BN357" i="1"/>
  <c r="Z357" i="1"/>
  <c r="BP394" i="1"/>
  <c r="BN394" i="1"/>
  <c r="Z394" i="1"/>
  <c r="BP431" i="1"/>
  <c r="BN431" i="1"/>
  <c r="Z431" i="1"/>
  <c r="BP463" i="1"/>
  <c r="BN463" i="1"/>
  <c r="Z463" i="1"/>
  <c r="X496" i="1"/>
  <c r="Z27" i="1"/>
  <c r="BN27" i="1"/>
  <c r="Z43" i="1"/>
  <c r="BN43" i="1"/>
  <c r="Z62" i="1"/>
  <c r="BN62" i="1"/>
  <c r="Z81" i="1"/>
  <c r="BN81" i="1"/>
  <c r="Z86" i="1"/>
  <c r="BN86" i="1"/>
  <c r="Z87" i="1"/>
  <c r="BN87" i="1"/>
  <c r="BP93" i="1"/>
  <c r="BN93" i="1"/>
  <c r="Z93" i="1"/>
  <c r="BP112" i="1"/>
  <c r="BN112" i="1"/>
  <c r="Z112" i="1"/>
  <c r="I502" i="1"/>
  <c r="Y177" i="1"/>
  <c r="BP169" i="1"/>
  <c r="BN169" i="1"/>
  <c r="Z169" i="1"/>
  <c r="BP197" i="1"/>
  <c r="BN197" i="1"/>
  <c r="Z197" i="1"/>
  <c r="BP219" i="1"/>
  <c r="BN219" i="1"/>
  <c r="Z219" i="1"/>
  <c r="BP252" i="1"/>
  <c r="BN252" i="1"/>
  <c r="Z252" i="1"/>
  <c r="BP284" i="1"/>
  <c r="BN284" i="1"/>
  <c r="Z284" i="1"/>
  <c r="BP288" i="1"/>
  <c r="BN288" i="1"/>
  <c r="Z288" i="1"/>
  <c r="BP315" i="1"/>
  <c r="BN315" i="1"/>
  <c r="Z315" i="1"/>
  <c r="BP347" i="1"/>
  <c r="BN347" i="1"/>
  <c r="Z347" i="1"/>
  <c r="BP384" i="1"/>
  <c r="BN384" i="1"/>
  <c r="Z384" i="1"/>
  <c r="BP413" i="1"/>
  <c r="BN413" i="1"/>
  <c r="Z413" i="1"/>
  <c r="BP441" i="1"/>
  <c r="BN441" i="1"/>
  <c r="Z441" i="1"/>
  <c r="Y481" i="1"/>
  <c r="Y480" i="1"/>
  <c r="BP479" i="1"/>
  <c r="BN479" i="1"/>
  <c r="Z479" i="1"/>
  <c r="Z480" i="1" s="1"/>
  <c r="BP483" i="1"/>
  <c r="BN483" i="1"/>
  <c r="Z483" i="1"/>
  <c r="Y114" i="1"/>
  <c r="Y330" i="1"/>
  <c r="Y135" i="1"/>
  <c r="BP133" i="1"/>
  <c r="BN133" i="1"/>
  <c r="Z133" i="1"/>
  <c r="BP167" i="1"/>
  <c r="BN167" i="1"/>
  <c r="Z167" i="1"/>
  <c r="BP174" i="1"/>
  <c r="BN174" i="1"/>
  <c r="Z174" i="1"/>
  <c r="Y188" i="1"/>
  <c r="Y187" i="1"/>
  <c r="BP186" i="1"/>
  <c r="BN186" i="1"/>
  <c r="Z186" i="1"/>
  <c r="Z187" i="1" s="1"/>
  <c r="BP191" i="1"/>
  <c r="BN191" i="1"/>
  <c r="Z191" i="1"/>
  <c r="BP205" i="1"/>
  <c r="BN205" i="1"/>
  <c r="Z205" i="1"/>
  <c r="BP217" i="1"/>
  <c r="BN217" i="1"/>
  <c r="Z217" i="1"/>
  <c r="BP232" i="1"/>
  <c r="BN232" i="1"/>
  <c r="Z232" i="1"/>
  <c r="Y244" i="1"/>
  <c r="Y243" i="1"/>
  <c r="BP242" i="1"/>
  <c r="BN242" i="1"/>
  <c r="Z242" i="1"/>
  <c r="Z243" i="1" s="1"/>
  <c r="Y248" i="1"/>
  <c r="Y247" i="1"/>
  <c r="BP246" i="1"/>
  <c r="BN246" i="1"/>
  <c r="Z246" i="1"/>
  <c r="Z247" i="1" s="1"/>
  <c r="Y256" i="1"/>
  <c r="BP250" i="1"/>
  <c r="BN250" i="1"/>
  <c r="Z250" i="1"/>
  <c r="BP261" i="1"/>
  <c r="BN261" i="1"/>
  <c r="Z261" i="1"/>
  <c r="BP277" i="1"/>
  <c r="BN277" i="1"/>
  <c r="Z277" i="1"/>
  <c r="BP340" i="1"/>
  <c r="BN340" i="1"/>
  <c r="Z340" i="1"/>
  <c r="BP353" i="1"/>
  <c r="BN353" i="1"/>
  <c r="Z353" i="1"/>
  <c r="Y386" i="1"/>
  <c r="BP382" i="1"/>
  <c r="BN382" i="1"/>
  <c r="Z382" i="1"/>
  <c r="Y385" i="1"/>
  <c r="X493" i="1"/>
  <c r="X495" i="1" s="1"/>
  <c r="Z23" i="1"/>
  <c r="BN23" i="1"/>
  <c r="X492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Z56" i="1"/>
  <c r="BN56" i="1"/>
  <c r="Y64" i="1"/>
  <c r="Z68" i="1"/>
  <c r="BN68" i="1"/>
  <c r="Z69" i="1"/>
  <c r="BN69" i="1"/>
  <c r="Z75" i="1"/>
  <c r="BN75" i="1"/>
  <c r="Z89" i="1"/>
  <c r="BN89" i="1"/>
  <c r="Y97" i="1"/>
  <c r="Z95" i="1"/>
  <c r="BN95" i="1"/>
  <c r="F502" i="1"/>
  <c r="Z103" i="1"/>
  <c r="BN103" i="1"/>
  <c r="Z109" i="1"/>
  <c r="BN109" i="1"/>
  <c r="BP109" i="1"/>
  <c r="Z110" i="1"/>
  <c r="BN110" i="1"/>
  <c r="Y113" i="1"/>
  <c r="Z116" i="1"/>
  <c r="BN116" i="1"/>
  <c r="BP116" i="1"/>
  <c r="Y121" i="1"/>
  <c r="BP118" i="1"/>
  <c r="BN118" i="1"/>
  <c r="Z118" i="1"/>
  <c r="H502" i="1"/>
  <c r="BP144" i="1"/>
  <c r="BN144" i="1"/>
  <c r="Z144" i="1"/>
  <c r="BP171" i="1"/>
  <c r="BN171" i="1"/>
  <c r="Z171" i="1"/>
  <c r="Y184" i="1"/>
  <c r="BP180" i="1"/>
  <c r="BN180" i="1"/>
  <c r="Z180" i="1"/>
  <c r="BP201" i="1"/>
  <c r="BN201" i="1"/>
  <c r="Z201" i="1"/>
  <c r="BP213" i="1"/>
  <c r="BN213" i="1"/>
  <c r="Z213" i="1"/>
  <c r="BP225" i="1"/>
  <c r="BN225" i="1"/>
  <c r="Z225" i="1"/>
  <c r="BP236" i="1"/>
  <c r="BN236" i="1"/>
  <c r="Z236" i="1"/>
  <c r="BP254" i="1"/>
  <c r="BN254" i="1"/>
  <c r="Z254" i="1"/>
  <c r="BP268" i="1"/>
  <c r="BN268" i="1"/>
  <c r="Z268" i="1"/>
  <c r="Q502" i="1"/>
  <c r="BP295" i="1"/>
  <c r="BN295" i="1"/>
  <c r="Z295" i="1"/>
  <c r="BP305" i="1"/>
  <c r="BN305" i="1"/>
  <c r="Z305" i="1"/>
  <c r="Y323" i="1"/>
  <c r="BP319" i="1"/>
  <c r="BN319" i="1"/>
  <c r="Z319" i="1"/>
  <c r="Y322" i="1"/>
  <c r="BP396" i="1"/>
  <c r="BN396" i="1"/>
  <c r="Z396" i="1"/>
  <c r="BP415" i="1"/>
  <c r="BN415" i="1"/>
  <c r="Z415" i="1"/>
  <c r="BP433" i="1"/>
  <c r="BN433" i="1"/>
  <c r="Z433" i="1"/>
  <c r="BP443" i="1"/>
  <c r="BN443" i="1"/>
  <c r="Z443" i="1"/>
  <c r="BP447" i="1"/>
  <c r="BN447" i="1"/>
  <c r="Z447" i="1"/>
  <c r="BP465" i="1"/>
  <c r="BN465" i="1"/>
  <c r="Z465" i="1"/>
  <c r="G502" i="1"/>
  <c r="Y136" i="1"/>
  <c r="Y147" i="1"/>
  <c r="Y153" i="1"/>
  <c r="Y178" i="1"/>
  <c r="Y183" i="1"/>
  <c r="Y194" i="1"/>
  <c r="Y210" i="1"/>
  <c r="L502" i="1"/>
  <c r="BP299" i="1"/>
  <c r="BN299" i="1"/>
  <c r="Z299" i="1"/>
  <c r="BP313" i="1"/>
  <c r="BN313" i="1"/>
  <c r="Z313" i="1"/>
  <c r="BP327" i="1"/>
  <c r="BN327" i="1"/>
  <c r="Z327" i="1"/>
  <c r="BP349" i="1"/>
  <c r="BN349" i="1"/>
  <c r="Z349" i="1"/>
  <c r="BP363" i="1"/>
  <c r="BN363" i="1"/>
  <c r="Z363" i="1"/>
  <c r="Y369" i="1"/>
  <c r="Y368" i="1"/>
  <c r="BP367" i="1"/>
  <c r="BN367" i="1"/>
  <c r="Z367" i="1"/>
  <c r="Z368" i="1" s="1"/>
  <c r="BP372" i="1"/>
  <c r="BN372" i="1"/>
  <c r="Z372" i="1"/>
  <c r="BP392" i="1"/>
  <c r="BN392" i="1"/>
  <c r="Z392" i="1"/>
  <c r="BP402" i="1"/>
  <c r="BN402" i="1"/>
  <c r="Z402" i="1"/>
  <c r="BP429" i="1"/>
  <c r="BN429" i="1"/>
  <c r="Z429" i="1"/>
  <c r="BP437" i="1"/>
  <c r="BN437" i="1"/>
  <c r="Z437" i="1"/>
  <c r="BP451" i="1"/>
  <c r="BN451" i="1"/>
  <c r="Z451" i="1"/>
  <c r="BP475" i="1"/>
  <c r="BN475" i="1"/>
  <c r="Z475" i="1"/>
  <c r="Y309" i="1"/>
  <c r="Y359" i="1"/>
  <c r="Y445" i="1"/>
  <c r="Y444" i="1"/>
  <c r="Y485" i="1"/>
  <c r="W502" i="1"/>
  <c r="H9" i="1"/>
  <c r="A10" i="1"/>
  <c r="Y24" i="1"/>
  <c r="Y32" i="1"/>
  <c r="Y44" i="1"/>
  <c r="Y59" i="1"/>
  <c r="Y65" i="1"/>
  <c r="Y70" i="1"/>
  <c r="BP74" i="1"/>
  <c r="BN74" i="1"/>
  <c r="Z74" i="1"/>
  <c r="BP88" i="1"/>
  <c r="BN88" i="1"/>
  <c r="Z88" i="1"/>
  <c r="Z90" i="1" s="1"/>
  <c r="BP96" i="1"/>
  <c r="BN96" i="1"/>
  <c r="Z96" i="1"/>
  <c r="Y98" i="1"/>
  <c r="F9" i="1"/>
  <c r="J9" i="1"/>
  <c r="Z22" i="1"/>
  <c r="BN22" i="1"/>
  <c r="BP22" i="1"/>
  <c r="Y25" i="1"/>
  <c r="Z28" i="1"/>
  <c r="BN28" i="1"/>
  <c r="Z30" i="1"/>
  <c r="BN30" i="1"/>
  <c r="C502" i="1"/>
  <c r="Z42" i="1"/>
  <c r="Z44" i="1" s="1"/>
  <c r="BN42" i="1"/>
  <c r="Y45" i="1"/>
  <c r="D502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70" i="1" s="1"/>
  <c r="BN67" i="1"/>
  <c r="BP67" i="1"/>
  <c r="Y77" i="1"/>
  <c r="BP76" i="1"/>
  <c r="BN76" i="1"/>
  <c r="Z76" i="1"/>
  <c r="Y78" i="1"/>
  <c r="Y83" i="1"/>
  <c r="BP80" i="1"/>
  <c r="BN80" i="1"/>
  <c r="Z80" i="1"/>
  <c r="Y90" i="1"/>
  <c r="BP94" i="1"/>
  <c r="BN94" i="1"/>
  <c r="Z94" i="1"/>
  <c r="E502" i="1"/>
  <c r="Y91" i="1"/>
  <c r="Z101" i="1"/>
  <c r="BN101" i="1"/>
  <c r="BP101" i="1"/>
  <c r="Z102" i="1"/>
  <c r="BN102" i="1"/>
  <c r="Z104" i="1"/>
  <c r="BN104" i="1"/>
  <c r="Y107" i="1"/>
  <c r="Z111" i="1"/>
  <c r="BN111" i="1"/>
  <c r="BP111" i="1"/>
  <c r="Z117" i="1"/>
  <c r="BN117" i="1"/>
  <c r="BP117" i="1"/>
  <c r="Z119" i="1"/>
  <c r="BN119" i="1"/>
  <c r="Z123" i="1"/>
  <c r="Z124" i="1" s="1"/>
  <c r="BN123" i="1"/>
  <c r="BP123" i="1"/>
  <c r="Y124" i="1"/>
  <c r="Z128" i="1"/>
  <c r="Z130" i="1" s="1"/>
  <c r="BN128" i="1"/>
  <c r="BP128" i="1"/>
  <c r="Y131" i="1"/>
  <c r="Z134" i="1"/>
  <c r="Z135" i="1" s="1"/>
  <c r="BN134" i="1"/>
  <c r="BP134" i="1"/>
  <c r="Z138" i="1"/>
  <c r="BN138" i="1"/>
  <c r="BP138" i="1"/>
  <c r="Y141" i="1"/>
  <c r="Z145" i="1"/>
  <c r="Z146" i="1" s="1"/>
  <c r="BN145" i="1"/>
  <c r="BP145" i="1"/>
  <c r="Y146" i="1"/>
  <c r="Z149" i="1"/>
  <c r="BN149" i="1"/>
  <c r="BP149" i="1"/>
  <c r="Z151" i="1"/>
  <c r="BN151" i="1"/>
  <c r="Y152" i="1"/>
  <c r="Z155" i="1"/>
  <c r="Z156" i="1" s="1"/>
  <c r="BN155" i="1"/>
  <c r="BP155" i="1"/>
  <c r="Y156" i="1"/>
  <c r="Z161" i="1"/>
  <c r="Z162" i="1" s="1"/>
  <c r="BN161" i="1"/>
  <c r="BP161" i="1"/>
  <c r="Y162" i="1"/>
  <c r="Z166" i="1"/>
  <c r="BN166" i="1"/>
  <c r="BP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BP181" i="1"/>
  <c r="J502" i="1"/>
  <c r="Z192" i="1"/>
  <c r="Z193" i="1" s="1"/>
  <c r="BN192" i="1"/>
  <c r="BP192" i="1"/>
  <c r="Y193" i="1"/>
  <c r="Z196" i="1"/>
  <c r="Z198" i="1" s="1"/>
  <c r="BN196" i="1"/>
  <c r="BP196" i="1"/>
  <c r="Y199" i="1"/>
  <c r="Y209" i="1"/>
  <c r="Z202" i="1"/>
  <c r="BN202" i="1"/>
  <c r="BP202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Y239" i="1"/>
  <c r="BP251" i="1"/>
  <c r="BN251" i="1"/>
  <c r="Z251" i="1"/>
  <c r="Y255" i="1"/>
  <c r="BP260" i="1"/>
  <c r="BN260" i="1"/>
  <c r="Z260" i="1"/>
  <c r="Y264" i="1"/>
  <c r="BP269" i="1"/>
  <c r="BN269" i="1"/>
  <c r="Z269" i="1"/>
  <c r="BP278" i="1"/>
  <c r="BN278" i="1"/>
  <c r="Z278" i="1"/>
  <c r="P502" i="1"/>
  <c r="Y286" i="1"/>
  <c r="BP283" i="1"/>
  <c r="BN283" i="1"/>
  <c r="Z283" i="1"/>
  <c r="Z285" i="1" s="1"/>
  <c r="Y290" i="1"/>
  <c r="BP296" i="1"/>
  <c r="BN296" i="1"/>
  <c r="Z296" i="1"/>
  <c r="Y300" i="1"/>
  <c r="BP304" i="1"/>
  <c r="BN304" i="1"/>
  <c r="Z304" i="1"/>
  <c r="BP308" i="1"/>
  <c r="BN308" i="1"/>
  <c r="Z308" i="1"/>
  <c r="Y310" i="1"/>
  <c r="Y317" i="1"/>
  <c r="BP312" i="1"/>
  <c r="BN312" i="1"/>
  <c r="Z312" i="1"/>
  <c r="Y316" i="1"/>
  <c r="BP320" i="1"/>
  <c r="BN320" i="1"/>
  <c r="Z320" i="1"/>
  <c r="Y329" i="1"/>
  <c r="BP328" i="1"/>
  <c r="BN328" i="1"/>
  <c r="Z328" i="1"/>
  <c r="Y335" i="1"/>
  <c r="BP332" i="1"/>
  <c r="BN332" i="1"/>
  <c r="Z332" i="1"/>
  <c r="BP341" i="1"/>
  <c r="BN341" i="1"/>
  <c r="Z341" i="1"/>
  <c r="BP348" i="1"/>
  <c r="BN348" i="1"/>
  <c r="Z348" i="1"/>
  <c r="Y354" i="1"/>
  <c r="BP352" i="1"/>
  <c r="BN352" i="1"/>
  <c r="Z352" i="1"/>
  <c r="BP391" i="1"/>
  <c r="BN391" i="1"/>
  <c r="Z391" i="1"/>
  <c r="U502" i="1"/>
  <c r="BP395" i="1"/>
  <c r="BN395" i="1"/>
  <c r="Z395" i="1"/>
  <c r="Y399" i="1"/>
  <c r="BP403" i="1"/>
  <c r="BN403" i="1"/>
  <c r="Z403" i="1"/>
  <c r="Y405" i="1"/>
  <c r="V502" i="1"/>
  <c r="Y409" i="1"/>
  <c r="BP408" i="1"/>
  <c r="BN408" i="1"/>
  <c r="Z408" i="1"/>
  <c r="Z409" i="1" s="1"/>
  <c r="Y410" i="1"/>
  <c r="Y417" i="1"/>
  <c r="BP412" i="1"/>
  <c r="BN412" i="1"/>
  <c r="Z412" i="1"/>
  <c r="Y416" i="1"/>
  <c r="BP428" i="1"/>
  <c r="BN428" i="1"/>
  <c r="Z428" i="1"/>
  <c r="Y438" i="1"/>
  <c r="BP432" i="1"/>
  <c r="BN432" i="1"/>
  <c r="Z432" i="1"/>
  <c r="BP436" i="1"/>
  <c r="BN436" i="1"/>
  <c r="Z436" i="1"/>
  <c r="Z471" i="1"/>
  <c r="Y106" i="1"/>
  <c r="Y130" i="1"/>
  <c r="Y163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Z264" i="1" s="1"/>
  <c r="BP271" i="1"/>
  <c r="BN271" i="1"/>
  <c r="Z271" i="1"/>
  <c r="Y273" i="1"/>
  <c r="O502" i="1"/>
  <c r="Y279" i="1"/>
  <c r="BP276" i="1"/>
  <c r="BN276" i="1"/>
  <c r="Z276" i="1"/>
  <c r="BP289" i="1"/>
  <c r="BN289" i="1"/>
  <c r="Z289" i="1"/>
  <c r="Z290" i="1" s="1"/>
  <c r="Y291" i="1"/>
  <c r="Y301" i="1"/>
  <c r="BP294" i="1"/>
  <c r="BN294" i="1"/>
  <c r="Z294" i="1"/>
  <c r="BP298" i="1"/>
  <c r="BN298" i="1"/>
  <c r="Z298" i="1"/>
  <c r="BP306" i="1"/>
  <c r="BN306" i="1"/>
  <c r="Z306" i="1"/>
  <c r="BP314" i="1"/>
  <c r="BN314" i="1"/>
  <c r="Z314" i="1"/>
  <c r="BP326" i="1"/>
  <c r="BN326" i="1"/>
  <c r="Z326" i="1"/>
  <c r="BP334" i="1"/>
  <c r="BN334" i="1"/>
  <c r="Z334" i="1"/>
  <c r="Y336" i="1"/>
  <c r="R502" i="1"/>
  <c r="Y343" i="1"/>
  <c r="Y342" i="1"/>
  <c r="BP339" i="1"/>
  <c r="BN339" i="1"/>
  <c r="Z339" i="1"/>
  <c r="BP373" i="1"/>
  <c r="BN373" i="1"/>
  <c r="Z373" i="1"/>
  <c r="Z374" i="1" s="1"/>
  <c r="Y375" i="1"/>
  <c r="Y380" i="1"/>
  <c r="BP377" i="1"/>
  <c r="BN377" i="1"/>
  <c r="Z377" i="1"/>
  <c r="Z379" i="1" s="1"/>
  <c r="Y379" i="1"/>
  <c r="K502" i="1"/>
  <c r="Y240" i="1"/>
  <c r="Y265" i="1"/>
  <c r="M502" i="1"/>
  <c r="Y272" i="1"/>
  <c r="S502" i="1"/>
  <c r="BP350" i="1"/>
  <c r="BN350" i="1"/>
  <c r="Z350" i="1"/>
  <c r="BP358" i="1"/>
  <c r="BN358" i="1"/>
  <c r="Z358" i="1"/>
  <c r="Z359" i="1" s="1"/>
  <c r="Y360" i="1"/>
  <c r="Y365" i="1"/>
  <c r="BP362" i="1"/>
  <c r="BN362" i="1"/>
  <c r="Z362" i="1"/>
  <c r="BP383" i="1"/>
  <c r="BN383" i="1"/>
  <c r="Z383" i="1"/>
  <c r="Z385" i="1" s="1"/>
  <c r="Y400" i="1"/>
  <c r="BP393" i="1"/>
  <c r="BN393" i="1"/>
  <c r="Z393" i="1"/>
  <c r="BP397" i="1"/>
  <c r="BN397" i="1"/>
  <c r="Z397" i="1"/>
  <c r="Y404" i="1"/>
  <c r="BP414" i="1"/>
  <c r="BN414" i="1"/>
  <c r="Z414" i="1"/>
  <c r="BP448" i="1"/>
  <c r="BN448" i="1"/>
  <c r="Z448" i="1"/>
  <c r="BP452" i="1"/>
  <c r="BN452" i="1"/>
  <c r="Z452" i="1"/>
  <c r="Y454" i="1"/>
  <c r="Y457" i="1"/>
  <c r="BP456" i="1"/>
  <c r="BN456" i="1"/>
  <c r="Z456" i="1"/>
  <c r="Z457" i="1" s="1"/>
  <c r="Y458" i="1"/>
  <c r="Y467" i="1"/>
  <c r="BP462" i="1"/>
  <c r="BN462" i="1"/>
  <c r="Z462" i="1"/>
  <c r="Y466" i="1"/>
  <c r="BP470" i="1"/>
  <c r="BN470" i="1"/>
  <c r="Z470" i="1"/>
  <c r="Y472" i="1"/>
  <c r="Y477" i="1"/>
  <c r="BP474" i="1"/>
  <c r="BN474" i="1"/>
  <c r="Z474" i="1"/>
  <c r="Z476" i="1" s="1"/>
  <c r="Y476" i="1"/>
  <c r="Y502" i="1"/>
  <c r="Y355" i="1"/>
  <c r="T502" i="1"/>
  <c r="Y374" i="1"/>
  <c r="X502" i="1"/>
  <c r="BP430" i="1"/>
  <c r="BN430" i="1"/>
  <c r="Z430" i="1"/>
  <c r="BP434" i="1"/>
  <c r="BN434" i="1"/>
  <c r="Z434" i="1"/>
  <c r="BP442" i="1"/>
  <c r="BN442" i="1"/>
  <c r="Z442" i="1"/>
  <c r="Y453" i="1"/>
  <c r="BP450" i="1"/>
  <c r="BN450" i="1"/>
  <c r="Z450" i="1"/>
  <c r="BP464" i="1"/>
  <c r="BN464" i="1"/>
  <c r="Z464" i="1"/>
  <c r="Y471" i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58" i="1" l="1"/>
  <c r="Z444" i="1"/>
  <c r="Z364" i="1"/>
  <c r="Z329" i="1"/>
  <c r="Z404" i="1"/>
  <c r="Z309" i="1"/>
  <c r="Z140" i="1"/>
  <c r="Z120" i="1"/>
  <c r="Z97" i="1"/>
  <c r="Z82" i="1"/>
  <c r="Z24" i="1"/>
  <c r="Z77" i="1"/>
  <c r="Z453" i="1"/>
  <c r="Z438" i="1"/>
  <c r="Z239" i="1"/>
  <c r="Z209" i="1"/>
  <c r="Z354" i="1"/>
  <c r="Z342" i="1"/>
  <c r="Z399" i="1"/>
  <c r="Z322" i="1"/>
  <c r="Z255" i="1"/>
  <c r="Z177" i="1"/>
  <c r="Z113" i="1"/>
  <c r="Z106" i="1"/>
  <c r="Z64" i="1"/>
  <c r="Z32" i="1"/>
  <c r="Z335" i="1"/>
  <c r="Y494" i="1"/>
  <c r="Z466" i="1"/>
  <c r="Z300" i="1"/>
  <c r="Z279" i="1"/>
  <c r="Z221" i="1"/>
  <c r="Z416" i="1"/>
  <c r="Z316" i="1"/>
  <c r="Z272" i="1"/>
  <c r="Z152" i="1"/>
  <c r="Y492" i="1"/>
  <c r="Y493" i="1"/>
  <c r="Y496" i="1"/>
  <c r="Z497" i="1" l="1"/>
  <c r="Y495" i="1"/>
</calcChain>
</file>

<file path=xl/sharedStrings.xml><?xml version="1.0" encoding="utf-8"?>
<sst xmlns="http://schemas.openxmlformats.org/spreadsheetml/2006/main" count="2363" uniqueCount="779">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</sst>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5" t="s">
        <v>0</v>
      </c>
      <c r="E1" s="571"/>
      <c r="F1" s="571"/>
      <c r="G1" s="12" t="s">
        <v>1</v>
      </c>
      <c r="H1" s="62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83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40" t="s">
        <v>8</v>
      </c>
      <c r="B5" s="561"/>
      <c r="C5" s="562"/>
      <c r="D5" s="629"/>
      <c r="E5" s="630"/>
      <c r="F5" s="835" t="s">
        <v>9</v>
      </c>
      <c r="G5" s="562"/>
      <c r="H5" s="629" t="s">
        <v>778</v>
      </c>
      <c r="I5" s="708"/>
      <c r="J5" s="708"/>
      <c r="K5" s="708"/>
      <c r="L5" s="708"/>
      <c r="M5" s="630"/>
      <c r="N5" s="58"/>
      <c r="P5" s="24" t="s">
        <v>10</v>
      </c>
      <c r="Q5" s="710">
        <v>46008</v>
      </c>
      <c r="R5" s="667"/>
      <c r="T5" s="702" t="s">
        <v>11</v>
      </c>
      <c r="U5" s="703"/>
      <c r="V5" s="705" t="s">
        <v>12</v>
      </c>
      <c r="W5" s="667"/>
      <c r="AB5" s="51"/>
      <c r="AC5" s="51"/>
      <c r="AD5" s="51"/>
      <c r="AE5" s="51"/>
    </row>
    <row r="6" spans="1:32" s="541" customFormat="1" ht="24" customHeight="1" x14ac:dyDescent="0.2">
      <c r="A6" s="640" t="s">
        <v>13</v>
      </c>
      <c r="B6" s="561"/>
      <c r="C6" s="562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67"/>
      <c r="N6" s="59"/>
      <c r="P6" s="24" t="s">
        <v>15</v>
      </c>
      <c r="Q6" s="711" t="str">
        <f>IF(Q5=0," ",CHOOSE(WEEKDAY(Q5,2),"Понедельник","Вторник","Среда","Четверг","Пятница","Суббота","Воскресенье"))</f>
        <v>Среда</v>
      </c>
      <c r="R6" s="552"/>
      <c r="T6" s="712" t="s">
        <v>16</v>
      </c>
      <c r="U6" s="703"/>
      <c r="V6" s="767" t="s">
        <v>17</v>
      </c>
      <c r="W6" s="59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57"/>
      <c r="U7" s="703"/>
      <c r="V7" s="768"/>
      <c r="W7" s="769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4"/>
      <c r="C8" s="555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24">
        <v>0.58333333333333337</v>
      </c>
      <c r="R8" s="595"/>
      <c r="T8" s="557"/>
      <c r="U8" s="703"/>
      <c r="V8" s="768"/>
      <c r="W8" s="769"/>
      <c r="AB8" s="51"/>
      <c r="AC8" s="51"/>
      <c r="AD8" s="51"/>
      <c r="AE8" s="51"/>
    </row>
    <row r="9" spans="1:32" s="541" customFormat="1" ht="39.950000000000003" customHeight="1" x14ac:dyDescent="0.2">
      <c r="A9" s="70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76"/>
      <c r="E9" s="566"/>
      <c r="F9" s="70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9"/>
      <c r="P9" s="26" t="s">
        <v>21</v>
      </c>
      <c r="Q9" s="663"/>
      <c r="R9" s="664"/>
      <c r="T9" s="557"/>
      <c r="U9" s="703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70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76"/>
      <c r="E10" s="566"/>
      <c r="F10" s="70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2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13"/>
      <c r="R10" s="714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6"/>
      <c r="R11" s="667"/>
      <c r="U11" s="24" t="s">
        <v>27</v>
      </c>
      <c r="V11" s="794" t="s">
        <v>28</v>
      </c>
      <c r="W11" s="664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560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624"/>
      <c r="R12" s="595"/>
      <c r="S12" s="23"/>
      <c r="U12" s="24"/>
      <c r="V12" s="571"/>
      <c r="W12" s="557"/>
      <c r="AB12" s="51"/>
      <c r="AC12" s="51"/>
      <c r="AD12" s="51"/>
      <c r="AE12" s="51"/>
    </row>
    <row r="13" spans="1:32" s="541" customFormat="1" ht="23.25" customHeight="1" x14ac:dyDescent="0.2">
      <c r="A13" s="560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794"/>
      <c r="R13" s="6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560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7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570" t="s">
        <v>35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572"/>
      <c r="Q16" s="572"/>
      <c r="R16" s="572"/>
      <c r="S16" s="572"/>
      <c r="T16" s="57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83" t="s">
        <v>38</v>
      </c>
      <c r="D17" s="597" t="s">
        <v>39</v>
      </c>
      <c r="E17" s="651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0"/>
      <c r="R17" s="650"/>
      <c r="S17" s="650"/>
      <c r="T17" s="651"/>
      <c r="U17" s="860" t="s">
        <v>51</v>
      </c>
      <c r="V17" s="562"/>
      <c r="W17" s="597" t="s">
        <v>52</v>
      </c>
      <c r="X17" s="597" t="s">
        <v>53</v>
      </c>
      <c r="Y17" s="858" t="s">
        <v>54</v>
      </c>
      <c r="Z17" s="777" t="s">
        <v>55</v>
      </c>
      <c r="AA17" s="760" t="s">
        <v>56</v>
      </c>
      <c r="AB17" s="760" t="s">
        <v>57</v>
      </c>
      <c r="AC17" s="760" t="s">
        <v>58</v>
      </c>
      <c r="AD17" s="760" t="s">
        <v>59</v>
      </c>
      <c r="AE17" s="848"/>
      <c r="AF17" s="849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52"/>
      <c r="E18" s="654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8"/>
      <c r="X18" s="598"/>
      <c r="Y18" s="859"/>
      <c r="Z18" s="778"/>
      <c r="AA18" s="761"/>
      <c r="AB18" s="761"/>
      <c r="AC18" s="761"/>
      <c r="AD18" s="850"/>
      <c r="AE18" s="851"/>
      <c r="AF18" s="852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74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1">
        <v>4680115887510</v>
      </c>
      <c r="E22" s="552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8"/>
      <c r="R22" s="568"/>
      <c r="S22" s="568"/>
      <c r="T22" s="569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1">
        <v>4680115886643</v>
      </c>
      <c r="E23" s="552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57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8"/>
      <c r="R23" s="568"/>
      <c r="S23" s="568"/>
      <c r="T23" s="569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8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9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9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1">
        <v>4680115885912</v>
      </c>
      <c r="E27" s="552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8"/>
      <c r="R27" s="568"/>
      <c r="S27" s="568"/>
      <c r="T27" s="569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1">
        <v>4607091388237</v>
      </c>
      <c r="E28" s="552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8"/>
      <c r="R28" s="568"/>
      <c r="S28" s="568"/>
      <c r="T28" s="569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4301052063</v>
      </c>
      <c r="D29" s="551">
        <v>4680115887350</v>
      </c>
      <c r="E29" s="552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8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8"/>
      <c r="R29" s="568"/>
      <c r="S29" s="568"/>
      <c r="T29" s="569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4301051863</v>
      </c>
      <c r="D30" s="551">
        <v>4680115885905</v>
      </c>
      <c r="E30" s="552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91</v>
      </c>
      <c r="M30" s="33" t="s">
        <v>87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8"/>
      <c r="R30" s="568"/>
      <c r="S30" s="568"/>
      <c r="T30" s="569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 t="s">
        <v>93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94</v>
      </c>
      <c r="B31" s="54" t="s">
        <v>95</v>
      </c>
      <c r="C31" s="31">
        <v>4301051851</v>
      </c>
      <c r="D31" s="551">
        <v>4607091388244</v>
      </c>
      <c r="E31" s="552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 t="s">
        <v>91</v>
      </c>
      <c r="M31" s="33" t="s">
        <v>87</v>
      </c>
      <c r="N31" s="33"/>
      <c r="O31" s="32">
        <v>40</v>
      </c>
      <c r="P31" s="6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8"/>
      <c r="R31" s="568"/>
      <c r="S31" s="568"/>
      <c r="T31" s="569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92</v>
      </c>
      <c r="AG31" s="64"/>
      <c r="AJ31" s="68" t="s">
        <v>93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58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9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9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56" t="s">
        <v>96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97</v>
      </c>
      <c r="B35" s="54" t="s">
        <v>98</v>
      </c>
      <c r="C35" s="31">
        <v>4301032013</v>
      </c>
      <c r="D35" s="551">
        <v>4607091388503</v>
      </c>
      <c r="E35" s="552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99</v>
      </c>
      <c r="N35" s="33"/>
      <c r="O35" s="32">
        <v>120</v>
      </c>
      <c r="P35" s="76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8"/>
      <c r="R35" s="568"/>
      <c r="S35" s="568"/>
      <c r="T35" s="569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100</v>
      </c>
      <c r="AG35" s="64"/>
      <c r="AJ35" s="68"/>
      <c r="AK35" s="68">
        <v>0</v>
      </c>
      <c r="BB35" s="84" t="s">
        <v>101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58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9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59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563" t="s">
        <v>102</v>
      </c>
      <c r="B38" s="564"/>
      <c r="C38" s="564"/>
      <c r="D38" s="564"/>
      <c r="E38" s="564"/>
      <c r="F38" s="564"/>
      <c r="G38" s="564"/>
      <c r="H38" s="564"/>
      <c r="I38" s="564"/>
      <c r="J38" s="564"/>
      <c r="K38" s="564"/>
      <c r="L38" s="564"/>
      <c r="M38" s="564"/>
      <c r="N38" s="564"/>
      <c r="O38" s="564"/>
      <c r="P38" s="564"/>
      <c r="Q38" s="564"/>
      <c r="R38" s="564"/>
      <c r="S38" s="564"/>
      <c r="T38" s="564"/>
      <c r="U38" s="564"/>
      <c r="V38" s="564"/>
      <c r="W38" s="564"/>
      <c r="X38" s="564"/>
      <c r="Y38" s="564"/>
      <c r="Z38" s="564"/>
      <c r="AA38" s="48"/>
      <c r="AB38" s="48"/>
      <c r="AC38" s="48"/>
    </row>
    <row r="39" spans="1:68" ht="16.5" hidden="1" customHeight="1" x14ac:dyDescent="0.25">
      <c r="A39" s="574" t="s">
        <v>103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56" t="s">
        <v>104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105</v>
      </c>
      <c r="B41" s="54" t="s">
        <v>106</v>
      </c>
      <c r="C41" s="31">
        <v>4301011380</v>
      </c>
      <c r="D41" s="551">
        <v>4607091385670</v>
      </c>
      <c r="E41" s="552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107</v>
      </c>
      <c r="L41" s="32" t="s">
        <v>108</v>
      </c>
      <c r="M41" s="33" t="s">
        <v>109</v>
      </c>
      <c r="N41" s="33"/>
      <c r="O41" s="32">
        <v>50</v>
      </c>
      <c r="P41" s="7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8"/>
      <c r="R41" s="568"/>
      <c r="S41" s="568"/>
      <c r="T41" s="569"/>
      <c r="U41" s="34"/>
      <c r="V41" s="34"/>
      <c r="W41" s="35" t="s">
        <v>69</v>
      </c>
      <c r="X41" s="547">
        <v>1850</v>
      </c>
      <c r="Y41" s="548">
        <f>IFERROR(IF(X41="",0,CEILING((X41/$H41),1)*$H41),"")</f>
        <v>1857.6000000000001</v>
      </c>
      <c r="Z41" s="36">
        <f>IFERROR(IF(Y41=0,"",ROUNDUP(Y41/H41,0)*0.01898),"")</f>
        <v>3.2645599999999999</v>
      </c>
      <c r="AA41" s="56"/>
      <c r="AB41" s="57"/>
      <c r="AC41" s="85" t="s">
        <v>110</v>
      </c>
      <c r="AG41" s="64"/>
      <c r="AJ41" s="68" t="s">
        <v>93</v>
      </c>
      <c r="AK41" s="68">
        <v>86.4</v>
      </c>
      <c r="BB41" s="86" t="s">
        <v>1</v>
      </c>
      <c r="BM41" s="64">
        <f>IFERROR(X41*I41/H41,"0")</f>
        <v>1920.2314814814813</v>
      </c>
      <c r="BN41" s="64">
        <f>IFERROR(Y41*I41/H41,"0")</f>
        <v>1928.1200000000001</v>
      </c>
      <c r="BO41" s="64">
        <f>IFERROR(1/J41*(X41/H41),"0")</f>
        <v>2.6765046296296293</v>
      </c>
      <c r="BP41" s="64">
        <f>IFERROR(1/J41*(Y41/H41),"0")</f>
        <v>2.6875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1">
        <v>4680115882539</v>
      </c>
      <c r="E42" s="552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113</v>
      </c>
      <c r="L42" s="32"/>
      <c r="M42" s="33" t="s">
        <v>80</v>
      </c>
      <c r="N42" s="33"/>
      <c r="O42" s="32">
        <v>50</v>
      </c>
      <c r="P42" s="6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8"/>
      <c r="R42" s="568"/>
      <c r="S42" s="568"/>
      <c r="T42" s="569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110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114</v>
      </c>
      <c r="B43" s="54" t="s">
        <v>115</v>
      </c>
      <c r="C43" s="31">
        <v>4301011382</v>
      </c>
      <c r="D43" s="551">
        <v>4607091385687</v>
      </c>
      <c r="E43" s="552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113</v>
      </c>
      <c r="L43" s="32" t="s">
        <v>116</v>
      </c>
      <c r="M43" s="33" t="s">
        <v>80</v>
      </c>
      <c r="N43" s="33"/>
      <c r="O43" s="32">
        <v>50</v>
      </c>
      <c r="P43" s="6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8"/>
      <c r="R43" s="568"/>
      <c r="S43" s="568"/>
      <c r="T43" s="569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110</v>
      </c>
      <c r="AG43" s="64"/>
      <c r="AJ43" s="68" t="s">
        <v>93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58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9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171.29629629629628</v>
      </c>
      <c r="Y44" s="549">
        <f>IFERROR(Y41/H41,"0")+IFERROR(Y42/H42,"0")+IFERROR(Y43/H43,"0")</f>
        <v>172</v>
      </c>
      <c r="Z44" s="549">
        <f>IFERROR(IF(Z41="",0,Z41),"0")+IFERROR(IF(Z42="",0,Z42),"0")+IFERROR(IF(Z43="",0,Z43),"0")</f>
        <v>3.2645599999999999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9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1850</v>
      </c>
      <c r="Y45" s="549">
        <f>IFERROR(SUM(Y41:Y43),"0")</f>
        <v>1857.6000000000001</v>
      </c>
      <c r="Z45" s="37"/>
      <c r="AA45" s="550"/>
      <c r="AB45" s="550"/>
      <c r="AC45" s="550"/>
    </row>
    <row r="46" spans="1:68" ht="14.25" hidden="1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117</v>
      </c>
      <c r="B47" s="54" t="s">
        <v>118</v>
      </c>
      <c r="C47" s="31">
        <v>4301051820</v>
      </c>
      <c r="D47" s="551">
        <v>4680115884915</v>
      </c>
      <c r="E47" s="552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 t="s">
        <v>91</v>
      </c>
      <c r="M47" s="33" t="s">
        <v>80</v>
      </c>
      <c r="N47" s="33"/>
      <c r="O47" s="32">
        <v>40</v>
      </c>
      <c r="P47" s="64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8"/>
      <c r="R47" s="568"/>
      <c r="S47" s="568"/>
      <c r="T47" s="569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119</v>
      </c>
      <c r="AG47" s="64"/>
      <c r="AJ47" s="68" t="s">
        <v>93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58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9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9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74" t="s">
        <v>120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56" t="s">
        <v>104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121</v>
      </c>
      <c r="B52" s="54" t="s">
        <v>122</v>
      </c>
      <c r="C52" s="31">
        <v>4301012030</v>
      </c>
      <c r="D52" s="551">
        <v>4680115885882</v>
      </c>
      <c r="E52" s="552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107</v>
      </c>
      <c r="L52" s="32" t="s">
        <v>108</v>
      </c>
      <c r="M52" s="33" t="s">
        <v>80</v>
      </c>
      <c r="N52" s="33"/>
      <c r="O52" s="32">
        <v>50</v>
      </c>
      <c r="P52" s="66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8"/>
      <c r="R52" s="568"/>
      <c r="S52" s="568"/>
      <c r="T52" s="569"/>
      <c r="U52" s="34"/>
      <c r="V52" s="34"/>
      <c r="W52" s="35" t="s">
        <v>69</v>
      </c>
      <c r="X52" s="547">
        <v>250</v>
      </c>
      <c r="Y52" s="548">
        <f t="shared" ref="Y52:Y57" si="0">IFERROR(IF(X52="",0,CEILING((X52/$H52),1)*$H52),"")</f>
        <v>257.59999999999997</v>
      </c>
      <c r="Z52" s="36">
        <f>IFERROR(IF(Y52=0,"",ROUNDUP(Y52/H52,0)*0.01898),"")</f>
        <v>0.43653999999999998</v>
      </c>
      <c r="AA52" s="56"/>
      <c r="AB52" s="57"/>
      <c r="AC52" s="93" t="s">
        <v>123</v>
      </c>
      <c r="AG52" s="64"/>
      <c r="AJ52" s="68" t="s">
        <v>93</v>
      </c>
      <c r="AK52" s="68">
        <v>89.6</v>
      </c>
      <c r="BB52" s="94" t="s">
        <v>1</v>
      </c>
      <c r="BM52" s="64">
        <f t="shared" ref="BM52:BM57" si="1">IFERROR(X52*I52/H52,"0")</f>
        <v>259.15178571428572</v>
      </c>
      <c r="BN52" s="64">
        <f t="shared" ref="BN52:BN57" si="2">IFERROR(Y52*I52/H52,"0")</f>
        <v>267.02999999999997</v>
      </c>
      <c r="BO52" s="64">
        <f t="shared" ref="BO52:BO57" si="3">IFERROR(1/J52*(X52/H52),"0")</f>
        <v>0.34877232142857145</v>
      </c>
      <c r="BP52" s="64">
        <f t="shared" ref="BP52:BP57" si="4">IFERROR(1/J52*(Y52/H52),"0")</f>
        <v>0.359375</v>
      </c>
    </row>
    <row r="53" spans="1:68" ht="27" customHeight="1" x14ac:dyDescent="0.25">
      <c r="A53" s="54" t="s">
        <v>124</v>
      </c>
      <c r="B53" s="54" t="s">
        <v>125</v>
      </c>
      <c r="C53" s="31">
        <v>4301011816</v>
      </c>
      <c r="D53" s="551">
        <v>4680115881426</v>
      </c>
      <c r="E53" s="552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107</v>
      </c>
      <c r="L53" s="32"/>
      <c r="M53" s="33" t="s">
        <v>109</v>
      </c>
      <c r="N53" s="33"/>
      <c r="O53" s="32">
        <v>50</v>
      </c>
      <c r="P53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8"/>
      <c r="R53" s="568"/>
      <c r="S53" s="568"/>
      <c r="T53" s="569"/>
      <c r="U53" s="34"/>
      <c r="V53" s="34"/>
      <c r="W53" s="35" t="s">
        <v>69</v>
      </c>
      <c r="X53" s="547">
        <v>900</v>
      </c>
      <c r="Y53" s="548">
        <f t="shared" si="0"/>
        <v>907.2</v>
      </c>
      <c r="Z53" s="36">
        <f>IFERROR(IF(Y53=0,"",ROUNDUP(Y53/H53,0)*0.01898),"")</f>
        <v>1.59432</v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934.16666666666663</v>
      </c>
      <c r="BN53" s="64">
        <f t="shared" si="2"/>
        <v>941.6400000000001</v>
      </c>
      <c r="BO53" s="64">
        <f t="shared" si="3"/>
        <v>1.3020833333333333</v>
      </c>
      <c r="BP53" s="64">
        <f t="shared" si="4"/>
        <v>1.3125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4301011386</v>
      </c>
      <c r="D54" s="551">
        <v>4680115880283</v>
      </c>
      <c r="E54" s="552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113</v>
      </c>
      <c r="L54" s="32"/>
      <c r="M54" s="33" t="s">
        <v>109</v>
      </c>
      <c r="N54" s="33"/>
      <c r="O54" s="32">
        <v>45</v>
      </c>
      <c r="P54" s="82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8"/>
      <c r="R54" s="568"/>
      <c r="S54" s="568"/>
      <c r="T54" s="569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130</v>
      </c>
      <c r="B55" s="54" t="s">
        <v>131</v>
      </c>
      <c r="C55" s="31">
        <v>4301011806</v>
      </c>
      <c r="D55" s="551">
        <v>4680115881525</v>
      </c>
      <c r="E55" s="552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113</v>
      </c>
      <c r="L55" s="32"/>
      <c r="M55" s="33" t="s">
        <v>109</v>
      </c>
      <c r="N55" s="33"/>
      <c r="O55" s="32">
        <v>50</v>
      </c>
      <c r="P55" s="67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8"/>
      <c r="R55" s="568"/>
      <c r="S55" s="568"/>
      <c r="T55" s="569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4301011589</v>
      </c>
      <c r="D56" s="551">
        <v>4680115885899</v>
      </c>
      <c r="E56" s="552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 t="s">
        <v>91</v>
      </c>
      <c r="M56" s="33" t="s">
        <v>87</v>
      </c>
      <c r="N56" s="33"/>
      <c r="O56" s="32">
        <v>50</v>
      </c>
      <c r="P56" s="60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8"/>
      <c r="R56" s="568"/>
      <c r="S56" s="568"/>
      <c r="T56" s="569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135</v>
      </c>
      <c r="AG56" s="64"/>
      <c r="AJ56" s="68" t="s">
        <v>93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136</v>
      </c>
      <c r="B57" s="54" t="s">
        <v>137</v>
      </c>
      <c r="C57" s="31">
        <v>4301011801</v>
      </c>
      <c r="D57" s="551">
        <v>4680115881419</v>
      </c>
      <c r="E57" s="552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113</v>
      </c>
      <c r="L57" s="32"/>
      <c r="M57" s="33" t="s">
        <v>109</v>
      </c>
      <c r="N57" s="33"/>
      <c r="O57" s="32">
        <v>50</v>
      </c>
      <c r="P57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8"/>
      <c r="R57" s="568"/>
      <c r="S57" s="568"/>
      <c r="T57" s="569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138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58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9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105.6547619047619</v>
      </c>
      <c r="Y58" s="549">
        <f>IFERROR(Y52/H52,"0")+IFERROR(Y53/H53,"0")+IFERROR(Y54/H54,"0")+IFERROR(Y55/H55,"0")+IFERROR(Y56/H56,"0")+IFERROR(Y57/H57,"0")</f>
        <v>107</v>
      </c>
      <c r="Z58" s="549">
        <f>IFERROR(IF(Z52="",0,Z52),"0")+IFERROR(IF(Z53="",0,Z53),"0")+IFERROR(IF(Z54="",0,Z54),"0")+IFERROR(IF(Z55="",0,Z55),"0")+IFERROR(IF(Z56="",0,Z56),"0")+IFERROR(IF(Z57="",0,Z57),"0")</f>
        <v>2.0308600000000001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9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1150</v>
      </c>
      <c r="Y59" s="549">
        <f>IFERROR(SUM(Y52:Y57),"0")</f>
        <v>1164.8</v>
      </c>
      <c r="Z59" s="37"/>
      <c r="AA59" s="550"/>
      <c r="AB59" s="550"/>
      <c r="AC59" s="550"/>
    </row>
    <row r="60" spans="1:68" ht="14.25" hidden="1" customHeight="1" x14ac:dyDescent="0.25">
      <c r="A60" s="556" t="s">
        <v>139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140</v>
      </c>
      <c r="B61" s="54" t="s">
        <v>141</v>
      </c>
      <c r="C61" s="31">
        <v>4301020298</v>
      </c>
      <c r="D61" s="551">
        <v>4680115881440</v>
      </c>
      <c r="E61" s="552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107</v>
      </c>
      <c r="L61" s="32" t="s">
        <v>108</v>
      </c>
      <c r="M61" s="33" t="s">
        <v>109</v>
      </c>
      <c r="N61" s="33"/>
      <c r="O61" s="32">
        <v>50</v>
      </c>
      <c r="P61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8"/>
      <c r="R61" s="568"/>
      <c r="S61" s="568"/>
      <c r="T61" s="569"/>
      <c r="U61" s="34"/>
      <c r="V61" s="34"/>
      <c r="W61" s="35" t="s">
        <v>69</v>
      </c>
      <c r="X61" s="547">
        <v>380</v>
      </c>
      <c r="Y61" s="548">
        <f>IFERROR(IF(X61="",0,CEILING((X61/$H61),1)*$H61),"")</f>
        <v>388.8</v>
      </c>
      <c r="Z61" s="36">
        <f>IFERROR(IF(Y61=0,"",ROUNDUP(Y61/H61,0)*0.01898),"")</f>
        <v>0.68328</v>
      </c>
      <c r="AA61" s="56"/>
      <c r="AB61" s="57"/>
      <c r="AC61" s="105" t="s">
        <v>142</v>
      </c>
      <c r="AG61" s="64"/>
      <c r="AJ61" s="68" t="s">
        <v>93</v>
      </c>
      <c r="AK61" s="68">
        <v>86.4</v>
      </c>
      <c r="BB61" s="106" t="s">
        <v>1</v>
      </c>
      <c r="BM61" s="64">
        <f>IFERROR(X61*I61/H61,"0")</f>
        <v>394.42592592592592</v>
      </c>
      <c r="BN61" s="64">
        <f>IFERROR(Y61*I61/H61,"0")</f>
        <v>403.56</v>
      </c>
      <c r="BO61" s="64">
        <f>IFERROR(1/J61*(X61/H61),"0")</f>
        <v>0.54976851851851849</v>
      </c>
      <c r="BP61" s="64">
        <f>IFERROR(1/J61*(Y61/H61),"0")</f>
        <v>0.5625</v>
      </c>
    </row>
    <row r="62" spans="1:68" ht="16.5" hidden="1" customHeight="1" x14ac:dyDescent="0.25">
      <c r="A62" s="54" t="s">
        <v>143</v>
      </c>
      <c r="B62" s="54" t="s">
        <v>144</v>
      </c>
      <c r="C62" s="31">
        <v>4301020358</v>
      </c>
      <c r="D62" s="551">
        <v>4680115885950</v>
      </c>
      <c r="E62" s="552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8"/>
      <c r="R62" s="568"/>
      <c r="S62" s="568"/>
      <c r="T62" s="569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142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145</v>
      </c>
      <c r="B63" s="54" t="s">
        <v>146</v>
      </c>
      <c r="C63" s="31">
        <v>4301020296</v>
      </c>
      <c r="D63" s="551">
        <v>4680115881433</v>
      </c>
      <c r="E63" s="552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109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8"/>
      <c r="R63" s="568"/>
      <c r="S63" s="568"/>
      <c r="T63" s="569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142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58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9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35.185185185185183</v>
      </c>
      <c r="Y64" s="549">
        <f>IFERROR(Y61/H61,"0")+IFERROR(Y62/H62,"0")+IFERROR(Y63/H63,"0")</f>
        <v>36</v>
      </c>
      <c r="Z64" s="549">
        <f>IFERROR(IF(Z61="",0,Z61),"0")+IFERROR(IF(Z62="",0,Z62),"0")+IFERROR(IF(Z63="",0,Z63),"0")</f>
        <v>0.68328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9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380</v>
      </c>
      <c r="Y65" s="549">
        <f>IFERROR(SUM(Y61:Y63),"0")</f>
        <v>388.8</v>
      </c>
      <c r="Z65" s="37"/>
      <c r="AA65" s="550"/>
      <c r="AB65" s="550"/>
      <c r="AC65" s="550"/>
    </row>
    <row r="66" spans="1:68" ht="14.25" hidden="1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147</v>
      </c>
      <c r="B67" s="54" t="s">
        <v>148</v>
      </c>
      <c r="C67" s="31">
        <v>4301031243</v>
      </c>
      <c r="D67" s="551">
        <v>4680115885073</v>
      </c>
      <c r="E67" s="552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8"/>
      <c r="R67" s="568"/>
      <c r="S67" s="568"/>
      <c r="T67" s="569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4301031241</v>
      </c>
      <c r="D68" s="551">
        <v>4680115885059</v>
      </c>
      <c r="E68" s="552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68"/>
      <c r="R68" s="568"/>
      <c r="S68" s="568"/>
      <c r="T68" s="569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153</v>
      </c>
      <c r="B69" s="54" t="s">
        <v>154</v>
      </c>
      <c r="C69" s="31">
        <v>4301031316</v>
      </c>
      <c r="D69" s="551">
        <v>4680115885097</v>
      </c>
      <c r="E69" s="552"/>
      <c r="F69" s="546">
        <v>0.3</v>
      </c>
      <c r="G69" s="32">
        <v>6</v>
      </c>
      <c r="H69" s="546">
        <v>1.8</v>
      </c>
      <c r="I69" s="546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68"/>
      <c r="R69" s="568"/>
      <c r="S69" s="568"/>
      <c r="T69" s="569"/>
      <c r="U69" s="34"/>
      <c r="V69" s="34"/>
      <c r="W69" s="35" t="s">
        <v>69</v>
      </c>
      <c r="X69" s="547">
        <v>0</v>
      </c>
      <c r="Y69" s="548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155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58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9"/>
      <c r="P70" s="553" t="s">
        <v>75</v>
      </c>
      <c r="Q70" s="554"/>
      <c r="R70" s="554"/>
      <c r="S70" s="554"/>
      <c r="T70" s="554"/>
      <c r="U70" s="554"/>
      <c r="V70" s="555"/>
      <c r="W70" s="37" t="s">
        <v>76</v>
      </c>
      <c r="X70" s="549">
        <f>IFERROR(X67/H67,"0")+IFERROR(X68/H68,"0")+IFERROR(X69/H69,"0")</f>
        <v>0</v>
      </c>
      <c r="Y70" s="549">
        <f>IFERROR(Y67/H67,"0")+IFERROR(Y68/H68,"0")+IFERROR(Y69/H69,"0")</f>
        <v>0</v>
      </c>
      <c r="Z70" s="549">
        <f>IFERROR(IF(Z67="",0,Z67),"0")+IFERROR(IF(Z68="",0,Z68),"0")+IFERROR(IF(Z69="",0,Z69),"0")</f>
        <v>0</v>
      </c>
      <c r="AA70" s="550"/>
      <c r="AB70" s="550"/>
      <c r="AC70" s="550"/>
    </row>
    <row r="71" spans="1:68" hidden="1" x14ac:dyDescent="0.2">
      <c r="A71" s="557"/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9"/>
      <c r="P71" s="553" t="s">
        <v>75</v>
      </c>
      <c r="Q71" s="554"/>
      <c r="R71" s="554"/>
      <c r="S71" s="554"/>
      <c r="T71" s="554"/>
      <c r="U71" s="554"/>
      <c r="V71" s="555"/>
      <c r="W71" s="37" t="s">
        <v>69</v>
      </c>
      <c r="X71" s="549">
        <f>IFERROR(SUM(X67:X69),"0")</f>
        <v>0</v>
      </c>
      <c r="Y71" s="549">
        <f>IFERROR(SUM(Y67:Y69),"0")</f>
        <v>0</v>
      </c>
      <c r="Z71" s="37"/>
      <c r="AA71" s="550"/>
      <c r="AB71" s="550"/>
      <c r="AC71" s="550"/>
    </row>
    <row r="72" spans="1:68" ht="14.25" hidden="1" customHeight="1" x14ac:dyDescent="0.25">
      <c r="A72" s="556" t="s">
        <v>77</v>
      </c>
      <c r="B72" s="557"/>
      <c r="C72" s="557"/>
      <c r="D72" s="557"/>
      <c r="E72" s="557"/>
      <c r="F72" s="557"/>
      <c r="G72" s="557"/>
      <c r="H72" s="557"/>
      <c r="I72" s="557"/>
      <c r="J72" s="557"/>
      <c r="K72" s="557"/>
      <c r="L72" s="557"/>
      <c r="M72" s="557"/>
      <c r="N72" s="557"/>
      <c r="O72" s="557"/>
      <c r="P72" s="557"/>
      <c r="Q72" s="557"/>
      <c r="R72" s="557"/>
      <c r="S72" s="557"/>
      <c r="T72" s="557"/>
      <c r="U72" s="557"/>
      <c r="V72" s="557"/>
      <c r="W72" s="557"/>
      <c r="X72" s="557"/>
      <c r="Y72" s="557"/>
      <c r="Z72" s="557"/>
      <c r="AA72" s="543"/>
      <c r="AB72" s="543"/>
      <c r="AC72" s="543"/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51">
        <v>4680115885769</v>
      </c>
      <c r="E73" s="552"/>
      <c r="F73" s="546">
        <v>1.4</v>
      </c>
      <c r="G73" s="32">
        <v>6</v>
      </c>
      <c r="H73" s="546">
        <v>8.4</v>
      </c>
      <c r="I73" s="546">
        <v>8.81</v>
      </c>
      <c r="J73" s="32">
        <v>64</v>
      </c>
      <c r="K73" s="32" t="s">
        <v>107</v>
      </c>
      <c r="L73" s="32"/>
      <c r="M73" s="33" t="s">
        <v>80</v>
      </c>
      <c r="N73" s="33"/>
      <c r="O73" s="32">
        <v>45</v>
      </c>
      <c r="P73" s="60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68"/>
      <c r="R73" s="568"/>
      <c r="S73" s="568"/>
      <c r="T73" s="569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51">
        <v>4680115884311</v>
      </c>
      <c r="E74" s="552"/>
      <c r="F74" s="546">
        <v>0.3</v>
      </c>
      <c r="G74" s="32">
        <v>6</v>
      </c>
      <c r="H74" s="546">
        <v>1.8</v>
      </c>
      <c r="I74" s="546">
        <v>2.0459999999999998</v>
      </c>
      <c r="J74" s="32">
        <v>182</v>
      </c>
      <c r="K74" s="32" t="s">
        <v>67</v>
      </c>
      <c r="L74" s="32" t="s">
        <v>91</v>
      </c>
      <c r="M74" s="33" t="s">
        <v>80</v>
      </c>
      <c r="N74" s="33"/>
      <c r="O74" s="32">
        <v>40</v>
      </c>
      <c r="P74" s="7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68"/>
      <c r="R74" s="568"/>
      <c r="S74" s="568"/>
      <c r="T74" s="569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161</v>
      </c>
      <c r="AG74" s="64"/>
      <c r="AJ74" s="68" t="s">
        <v>93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4301051844</v>
      </c>
      <c r="D75" s="551">
        <v>4680115885929</v>
      </c>
      <c r="E75" s="552"/>
      <c r="F75" s="546">
        <v>0.42</v>
      </c>
      <c r="G75" s="32">
        <v>6</v>
      </c>
      <c r="H75" s="546">
        <v>2.52</v>
      </c>
      <c r="I75" s="546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4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68"/>
      <c r="R75" s="568"/>
      <c r="S75" s="568"/>
      <c r="T75" s="569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164</v>
      </c>
      <c r="B76" s="54" t="s">
        <v>165</v>
      </c>
      <c r="C76" s="31">
        <v>4301051929</v>
      </c>
      <c r="D76" s="551">
        <v>4680115884403</v>
      </c>
      <c r="E76" s="552"/>
      <c r="F76" s="546">
        <v>0.3</v>
      </c>
      <c r="G76" s="32">
        <v>6</v>
      </c>
      <c r="H76" s="546">
        <v>1.8</v>
      </c>
      <c r="I76" s="546">
        <v>1.98</v>
      </c>
      <c r="J76" s="32">
        <v>182</v>
      </c>
      <c r="K76" s="32" t="s">
        <v>67</v>
      </c>
      <c r="L76" s="32" t="s">
        <v>91</v>
      </c>
      <c r="M76" s="33" t="s">
        <v>80</v>
      </c>
      <c r="N76" s="33"/>
      <c r="O76" s="32">
        <v>40</v>
      </c>
      <c r="P76" s="7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68"/>
      <c r="R76" s="568"/>
      <c r="S76" s="568"/>
      <c r="T76" s="569"/>
      <c r="U76" s="34"/>
      <c r="V76" s="34"/>
      <c r="W76" s="35" t="s">
        <v>69</v>
      </c>
      <c r="X76" s="547">
        <v>0</v>
      </c>
      <c r="Y76" s="548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166</v>
      </c>
      <c r="AG76" s="64"/>
      <c r="AJ76" s="68" t="s">
        <v>93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8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9"/>
      <c r="P77" s="553" t="s">
        <v>75</v>
      </c>
      <c r="Q77" s="554"/>
      <c r="R77" s="554"/>
      <c r="S77" s="554"/>
      <c r="T77" s="554"/>
      <c r="U77" s="554"/>
      <c r="V77" s="555"/>
      <c r="W77" s="37" t="s">
        <v>76</v>
      </c>
      <c r="X77" s="549">
        <f>IFERROR(X73/H73,"0")+IFERROR(X74/H74,"0")+IFERROR(X75/H75,"0")+IFERROR(X76/H76,"0")</f>
        <v>0</v>
      </c>
      <c r="Y77" s="549">
        <f>IFERROR(Y73/H73,"0")+IFERROR(Y74/H74,"0")+IFERROR(Y75/H75,"0")+IFERROR(Y76/H76,"0")</f>
        <v>0</v>
      </c>
      <c r="Z77" s="549">
        <f>IFERROR(IF(Z73="",0,Z73),"0")+IFERROR(IF(Z74="",0,Z74),"0")+IFERROR(IF(Z75="",0,Z75),"0")+IFERROR(IF(Z76="",0,Z76),"0")</f>
        <v>0</v>
      </c>
      <c r="AA77" s="550"/>
      <c r="AB77" s="550"/>
      <c r="AC77" s="550"/>
    </row>
    <row r="78" spans="1:68" hidden="1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9"/>
      <c r="P78" s="553" t="s">
        <v>75</v>
      </c>
      <c r="Q78" s="554"/>
      <c r="R78" s="554"/>
      <c r="S78" s="554"/>
      <c r="T78" s="554"/>
      <c r="U78" s="554"/>
      <c r="V78" s="555"/>
      <c r="W78" s="37" t="s">
        <v>69</v>
      </c>
      <c r="X78" s="549">
        <f>IFERROR(SUM(X73:X76),"0")</f>
        <v>0</v>
      </c>
      <c r="Y78" s="549">
        <f>IFERROR(SUM(Y73:Y76),"0")</f>
        <v>0</v>
      </c>
      <c r="Z78" s="37"/>
      <c r="AA78" s="550"/>
      <c r="AB78" s="550"/>
      <c r="AC78" s="550"/>
    </row>
    <row r="79" spans="1:68" ht="14.25" hidden="1" customHeight="1" x14ac:dyDescent="0.25">
      <c r="A79" s="556" t="s">
        <v>167</v>
      </c>
      <c r="B79" s="557"/>
      <c r="C79" s="557"/>
      <c r="D79" s="557"/>
      <c r="E79" s="557"/>
      <c r="F79" s="557"/>
      <c r="G79" s="557"/>
      <c r="H79" s="557"/>
      <c r="I79" s="557"/>
      <c r="J79" s="557"/>
      <c r="K79" s="557"/>
      <c r="L79" s="557"/>
      <c r="M79" s="557"/>
      <c r="N79" s="557"/>
      <c r="O79" s="557"/>
      <c r="P79" s="557"/>
      <c r="Q79" s="557"/>
      <c r="R79" s="557"/>
      <c r="S79" s="557"/>
      <c r="T79" s="557"/>
      <c r="U79" s="557"/>
      <c r="V79" s="557"/>
      <c r="W79" s="557"/>
      <c r="X79" s="557"/>
      <c r="Y79" s="557"/>
      <c r="Z79" s="557"/>
      <c r="AA79" s="543"/>
      <c r="AB79" s="543"/>
      <c r="AC79" s="543"/>
    </row>
    <row r="80" spans="1:68" ht="27" customHeight="1" x14ac:dyDescent="0.25">
      <c r="A80" s="54" t="s">
        <v>168</v>
      </c>
      <c r="B80" s="54" t="s">
        <v>169</v>
      </c>
      <c r="C80" s="31">
        <v>4301060455</v>
      </c>
      <c r="D80" s="551">
        <v>4680115881532</v>
      </c>
      <c r="E80" s="552"/>
      <c r="F80" s="546">
        <v>1.3</v>
      </c>
      <c r="G80" s="32">
        <v>6</v>
      </c>
      <c r="H80" s="546">
        <v>7.8</v>
      </c>
      <c r="I80" s="546">
        <v>8.2100000000000009</v>
      </c>
      <c r="J80" s="32">
        <v>64</v>
      </c>
      <c r="K80" s="32" t="s">
        <v>107</v>
      </c>
      <c r="L80" s="32" t="s">
        <v>108</v>
      </c>
      <c r="M80" s="33" t="s">
        <v>87</v>
      </c>
      <c r="N80" s="33"/>
      <c r="O80" s="32">
        <v>30</v>
      </c>
      <c r="P80" s="7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68"/>
      <c r="R80" s="568"/>
      <c r="S80" s="568"/>
      <c r="T80" s="569"/>
      <c r="U80" s="34"/>
      <c r="V80" s="34"/>
      <c r="W80" s="35" t="s">
        <v>69</v>
      </c>
      <c r="X80" s="547">
        <v>30</v>
      </c>
      <c r="Y80" s="548">
        <f>IFERROR(IF(X80="",0,CEILING((X80/$H80),1)*$H80),"")</f>
        <v>31.2</v>
      </c>
      <c r="Z80" s="36">
        <f>IFERROR(IF(Y80=0,"",ROUNDUP(Y80/H80,0)*0.01898),"")</f>
        <v>7.5920000000000001E-2</v>
      </c>
      <c r="AA80" s="56"/>
      <c r="AB80" s="57"/>
      <c r="AC80" s="125" t="s">
        <v>170</v>
      </c>
      <c r="AG80" s="64"/>
      <c r="AJ80" s="68" t="s">
        <v>93</v>
      </c>
      <c r="AK80" s="68">
        <v>62.4</v>
      </c>
      <c r="BB80" s="126" t="s">
        <v>1</v>
      </c>
      <c r="BM80" s="64">
        <f>IFERROR(X80*I80/H80,"0")</f>
        <v>31.57692307692308</v>
      </c>
      <c r="BN80" s="64">
        <f>IFERROR(Y80*I80/H80,"0")</f>
        <v>32.840000000000003</v>
      </c>
      <c r="BO80" s="64">
        <f>IFERROR(1/J80*(X80/H80),"0")</f>
        <v>6.0096153846153848E-2</v>
      </c>
      <c r="BP80" s="64">
        <f>IFERROR(1/J80*(Y80/H80),"0")</f>
        <v>6.25E-2</v>
      </c>
    </row>
    <row r="81" spans="1:68" ht="27" hidden="1" customHeight="1" x14ac:dyDescent="0.25">
      <c r="A81" s="54" t="s">
        <v>171</v>
      </c>
      <c r="B81" s="54" t="s">
        <v>172</v>
      </c>
      <c r="C81" s="31">
        <v>4301060351</v>
      </c>
      <c r="D81" s="551">
        <v>4680115881464</v>
      </c>
      <c r="E81" s="552"/>
      <c r="F81" s="546">
        <v>0.4</v>
      </c>
      <c r="G81" s="32">
        <v>6</v>
      </c>
      <c r="H81" s="546">
        <v>2.4</v>
      </c>
      <c r="I81" s="546">
        <v>2.59</v>
      </c>
      <c r="J81" s="32">
        <v>132</v>
      </c>
      <c r="K81" s="32" t="s">
        <v>113</v>
      </c>
      <c r="L81" s="32" t="s">
        <v>116</v>
      </c>
      <c r="M81" s="33" t="s">
        <v>80</v>
      </c>
      <c r="N81" s="33"/>
      <c r="O81" s="32">
        <v>30</v>
      </c>
      <c r="P81" s="6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68"/>
      <c r="R81" s="568"/>
      <c r="S81" s="568"/>
      <c r="T81" s="569"/>
      <c r="U81" s="34"/>
      <c r="V81" s="34"/>
      <c r="W81" s="35" t="s">
        <v>69</v>
      </c>
      <c r="X81" s="547">
        <v>0</v>
      </c>
      <c r="Y81" s="548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173</v>
      </c>
      <c r="AG81" s="64"/>
      <c r="AJ81" s="68" t="s">
        <v>93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8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9"/>
      <c r="P82" s="553" t="s">
        <v>75</v>
      </c>
      <c r="Q82" s="554"/>
      <c r="R82" s="554"/>
      <c r="S82" s="554"/>
      <c r="T82" s="554"/>
      <c r="U82" s="554"/>
      <c r="V82" s="555"/>
      <c r="W82" s="37" t="s">
        <v>76</v>
      </c>
      <c r="X82" s="549">
        <f>IFERROR(X80/H80,"0")+IFERROR(X81/H81,"0")</f>
        <v>3.8461538461538463</v>
      </c>
      <c r="Y82" s="549">
        <f>IFERROR(Y80/H80,"0")+IFERROR(Y81/H81,"0")</f>
        <v>4</v>
      </c>
      <c r="Z82" s="549">
        <f>IFERROR(IF(Z80="",0,Z80),"0")+IFERROR(IF(Z81="",0,Z81),"0")</f>
        <v>7.5920000000000001E-2</v>
      </c>
      <c r="AA82" s="550"/>
      <c r="AB82" s="550"/>
      <c r="AC82" s="550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9"/>
      <c r="P83" s="553" t="s">
        <v>75</v>
      </c>
      <c r="Q83" s="554"/>
      <c r="R83" s="554"/>
      <c r="S83" s="554"/>
      <c r="T83" s="554"/>
      <c r="U83" s="554"/>
      <c r="V83" s="555"/>
      <c r="W83" s="37" t="s">
        <v>69</v>
      </c>
      <c r="X83" s="549">
        <f>IFERROR(SUM(X80:X81),"0")</f>
        <v>30</v>
      </c>
      <c r="Y83" s="549">
        <f>IFERROR(SUM(Y80:Y81),"0")</f>
        <v>31.2</v>
      </c>
      <c r="Z83" s="37"/>
      <c r="AA83" s="550"/>
      <c r="AB83" s="550"/>
      <c r="AC83" s="550"/>
    </row>
    <row r="84" spans="1:68" ht="16.5" hidden="1" customHeight="1" x14ac:dyDescent="0.25">
      <c r="A84" s="574" t="s">
        <v>174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2"/>
      <c r="AB84" s="542"/>
      <c r="AC84" s="542"/>
    </row>
    <row r="85" spans="1:68" ht="14.25" hidden="1" customHeight="1" x14ac:dyDescent="0.25">
      <c r="A85" s="556" t="s">
        <v>104</v>
      </c>
      <c r="B85" s="557"/>
      <c r="C85" s="557"/>
      <c r="D85" s="557"/>
      <c r="E85" s="557"/>
      <c r="F85" s="557"/>
      <c r="G85" s="557"/>
      <c r="H85" s="557"/>
      <c r="I85" s="557"/>
      <c r="J85" s="557"/>
      <c r="K85" s="557"/>
      <c r="L85" s="557"/>
      <c r="M85" s="557"/>
      <c r="N85" s="557"/>
      <c r="O85" s="557"/>
      <c r="P85" s="557"/>
      <c r="Q85" s="557"/>
      <c r="R85" s="557"/>
      <c r="S85" s="557"/>
      <c r="T85" s="557"/>
      <c r="U85" s="557"/>
      <c r="V85" s="557"/>
      <c r="W85" s="557"/>
      <c r="X85" s="557"/>
      <c r="Y85" s="557"/>
      <c r="Z85" s="557"/>
      <c r="AA85" s="543"/>
      <c r="AB85" s="543"/>
      <c r="AC85" s="543"/>
    </row>
    <row r="86" spans="1:68" ht="27" customHeight="1" x14ac:dyDescent="0.25">
      <c r="A86" s="54" t="s">
        <v>175</v>
      </c>
      <c r="B86" s="54" t="s">
        <v>176</v>
      </c>
      <c r="C86" s="31">
        <v>4301011468</v>
      </c>
      <c r="D86" s="551">
        <v>4680115881327</v>
      </c>
      <c r="E86" s="552"/>
      <c r="F86" s="546">
        <v>1.35</v>
      </c>
      <c r="G86" s="32">
        <v>8</v>
      </c>
      <c r="H86" s="546">
        <v>10.8</v>
      </c>
      <c r="I86" s="546">
        <v>11.21</v>
      </c>
      <c r="J86" s="32">
        <v>64</v>
      </c>
      <c r="K86" s="32" t="s">
        <v>107</v>
      </c>
      <c r="L86" s="32" t="s">
        <v>108</v>
      </c>
      <c r="M86" s="33" t="s">
        <v>87</v>
      </c>
      <c r="N86" s="33"/>
      <c r="O86" s="32">
        <v>50</v>
      </c>
      <c r="P86" s="5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68"/>
      <c r="R86" s="568"/>
      <c r="S86" s="568"/>
      <c r="T86" s="569"/>
      <c r="U86" s="34"/>
      <c r="V86" s="34"/>
      <c r="W86" s="35" t="s">
        <v>69</v>
      </c>
      <c r="X86" s="547">
        <v>580</v>
      </c>
      <c r="Y86" s="548">
        <f>IFERROR(IF(X86="",0,CEILING((X86/$H86),1)*$H86),"")</f>
        <v>583.20000000000005</v>
      </c>
      <c r="Z86" s="36">
        <f>IFERROR(IF(Y86=0,"",ROUNDUP(Y86/H86,0)*0.01898),"")</f>
        <v>1.0249200000000001</v>
      </c>
      <c r="AA86" s="56"/>
      <c r="AB86" s="57"/>
      <c r="AC86" s="129" t="s">
        <v>177</v>
      </c>
      <c r="AG86" s="64"/>
      <c r="AJ86" s="68" t="s">
        <v>93</v>
      </c>
      <c r="AK86" s="68">
        <v>86.4</v>
      </c>
      <c r="BB86" s="130" t="s">
        <v>1</v>
      </c>
      <c r="BM86" s="64">
        <f>IFERROR(X86*I86/H86,"0")</f>
        <v>602.01851851851848</v>
      </c>
      <c r="BN86" s="64">
        <f>IFERROR(Y86*I86/H86,"0")</f>
        <v>605.34000000000015</v>
      </c>
      <c r="BO86" s="64">
        <f>IFERROR(1/J86*(X86/H86),"0")</f>
        <v>0.83912037037037035</v>
      </c>
      <c r="BP86" s="64">
        <f>IFERROR(1/J86*(Y86/H86),"0")</f>
        <v>0.84375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4301011261</v>
      </c>
      <c r="D87" s="551">
        <v>4680115887732</v>
      </c>
      <c r="E87" s="552"/>
      <c r="F87" s="546">
        <v>0.17</v>
      </c>
      <c r="G87" s="32">
        <v>10</v>
      </c>
      <c r="H87" s="546">
        <v>1.7</v>
      </c>
      <c r="I87" s="546">
        <v>1.8</v>
      </c>
      <c r="J87" s="32">
        <v>192</v>
      </c>
      <c r="K87" s="32" t="s">
        <v>180</v>
      </c>
      <c r="L87" s="32"/>
      <c r="M87" s="33" t="s">
        <v>68</v>
      </c>
      <c r="N87" s="33"/>
      <c r="O87" s="32">
        <v>30</v>
      </c>
      <c r="P87" s="721" t="s">
        <v>181</v>
      </c>
      <c r="Q87" s="568"/>
      <c r="R87" s="568"/>
      <c r="S87" s="568"/>
      <c r="T87" s="569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183</v>
      </c>
      <c r="B88" s="54" t="s">
        <v>184</v>
      </c>
      <c r="C88" s="31">
        <v>4301011476</v>
      </c>
      <c r="D88" s="551">
        <v>4680115881518</v>
      </c>
      <c r="E88" s="552"/>
      <c r="F88" s="546">
        <v>0.4</v>
      </c>
      <c r="G88" s="32">
        <v>10</v>
      </c>
      <c r="H88" s="546">
        <v>4</v>
      </c>
      <c r="I88" s="546">
        <v>4.1900000000000004</v>
      </c>
      <c r="J88" s="32">
        <v>132</v>
      </c>
      <c r="K88" s="32" t="s">
        <v>113</v>
      </c>
      <c r="L88" s="32"/>
      <c r="M88" s="33" t="s">
        <v>80</v>
      </c>
      <c r="N88" s="33"/>
      <c r="O88" s="32">
        <v>50</v>
      </c>
      <c r="P88" s="72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68"/>
      <c r="R88" s="568"/>
      <c r="S88" s="568"/>
      <c r="T88" s="569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177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185</v>
      </c>
      <c r="B89" s="54" t="s">
        <v>186</v>
      </c>
      <c r="C89" s="31">
        <v>4301011443</v>
      </c>
      <c r="D89" s="551">
        <v>4680115881303</v>
      </c>
      <c r="E89" s="552"/>
      <c r="F89" s="546">
        <v>0.45</v>
      </c>
      <c r="G89" s="32">
        <v>10</v>
      </c>
      <c r="H89" s="546">
        <v>4.5</v>
      </c>
      <c r="I89" s="546">
        <v>4.6900000000000004</v>
      </c>
      <c r="J89" s="32">
        <v>132</v>
      </c>
      <c r="K89" s="32" t="s">
        <v>113</v>
      </c>
      <c r="L89" s="32" t="s">
        <v>116</v>
      </c>
      <c r="M89" s="33" t="s">
        <v>87</v>
      </c>
      <c r="N89" s="33"/>
      <c r="O89" s="32">
        <v>50</v>
      </c>
      <c r="P89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68"/>
      <c r="R89" s="568"/>
      <c r="S89" s="568"/>
      <c r="T89" s="569"/>
      <c r="U89" s="34"/>
      <c r="V89" s="34"/>
      <c r="W89" s="35" t="s">
        <v>69</v>
      </c>
      <c r="X89" s="547">
        <v>0</v>
      </c>
      <c r="Y89" s="548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177</v>
      </c>
      <c r="AG89" s="64"/>
      <c r="AJ89" s="68" t="s">
        <v>93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58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9"/>
      <c r="P90" s="553" t="s">
        <v>75</v>
      </c>
      <c r="Q90" s="554"/>
      <c r="R90" s="554"/>
      <c r="S90" s="554"/>
      <c r="T90" s="554"/>
      <c r="U90" s="554"/>
      <c r="V90" s="555"/>
      <c r="W90" s="37" t="s">
        <v>76</v>
      </c>
      <c r="X90" s="549">
        <f>IFERROR(X86/H86,"0")+IFERROR(X87/H87,"0")+IFERROR(X88/H88,"0")+IFERROR(X89/H89,"0")</f>
        <v>53.703703703703702</v>
      </c>
      <c r="Y90" s="549">
        <f>IFERROR(Y86/H86,"0")+IFERROR(Y87/H87,"0")+IFERROR(Y88/H88,"0")+IFERROR(Y89/H89,"0")</f>
        <v>54</v>
      </c>
      <c r="Z90" s="549">
        <f>IFERROR(IF(Z86="",0,Z86),"0")+IFERROR(IF(Z87="",0,Z87),"0")+IFERROR(IF(Z88="",0,Z88),"0")+IFERROR(IF(Z89="",0,Z89),"0")</f>
        <v>1.0249200000000001</v>
      </c>
      <c r="AA90" s="550"/>
      <c r="AB90" s="550"/>
      <c r="AC90" s="550"/>
    </row>
    <row r="91" spans="1:68" x14ac:dyDescent="0.2">
      <c r="A91" s="557"/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9"/>
      <c r="P91" s="553" t="s">
        <v>75</v>
      </c>
      <c r="Q91" s="554"/>
      <c r="R91" s="554"/>
      <c r="S91" s="554"/>
      <c r="T91" s="554"/>
      <c r="U91" s="554"/>
      <c r="V91" s="555"/>
      <c r="W91" s="37" t="s">
        <v>69</v>
      </c>
      <c r="X91" s="549">
        <f>IFERROR(SUM(X86:X89),"0")</f>
        <v>580</v>
      </c>
      <c r="Y91" s="549">
        <f>IFERROR(SUM(Y86:Y89),"0")</f>
        <v>583.20000000000005</v>
      </c>
      <c r="Z91" s="37"/>
      <c r="AA91" s="550"/>
      <c r="AB91" s="550"/>
      <c r="AC91" s="550"/>
    </row>
    <row r="92" spans="1:68" ht="14.25" hidden="1" customHeight="1" x14ac:dyDescent="0.25">
      <c r="A92" s="556" t="s">
        <v>77</v>
      </c>
      <c r="B92" s="557"/>
      <c r="C92" s="557"/>
      <c r="D92" s="557"/>
      <c r="E92" s="557"/>
      <c r="F92" s="557"/>
      <c r="G92" s="557"/>
      <c r="H92" s="557"/>
      <c r="I92" s="557"/>
      <c r="J92" s="557"/>
      <c r="K92" s="557"/>
      <c r="L92" s="557"/>
      <c r="M92" s="557"/>
      <c r="N92" s="557"/>
      <c r="O92" s="557"/>
      <c r="P92" s="557"/>
      <c r="Q92" s="557"/>
      <c r="R92" s="557"/>
      <c r="S92" s="557"/>
      <c r="T92" s="557"/>
      <c r="U92" s="557"/>
      <c r="V92" s="557"/>
      <c r="W92" s="557"/>
      <c r="X92" s="557"/>
      <c r="Y92" s="557"/>
      <c r="Z92" s="557"/>
      <c r="AA92" s="543"/>
      <c r="AB92" s="543"/>
      <c r="AC92" s="543"/>
    </row>
    <row r="93" spans="1:68" ht="27" customHeight="1" x14ac:dyDescent="0.25">
      <c r="A93" s="54" t="s">
        <v>187</v>
      </c>
      <c r="B93" s="54" t="s">
        <v>188</v>
      </c>
      <c r="C93" s="31">
        <v>4301051712</v>
      </c>
      <c r="D93" s="551">
        <v>4607091386967</v>
      </c>
      <c r="E93" s="552"/>
      <c r="F93" s="546">
        <v>1.35</v>
      </c>
      <c r="G93" s="32">
        <v>6</v>
      </c>
      <c r="H93" s="546">
        <v>8.1</v>
      </c>
      <c r="I93" s="546">
        <v>8.5939999999999994</v>
      </c>
      <c r="J93" s="32">
        <v>64</v>
      </c>
      <c r="K93" s="32" t="s">
        <v>107</v>
      </c>
      <c r="L93" s="32" t="s">
        <v>108</v>
      </c>
      <c r="M93" s="33" t="s">
        <v>87</v>
      </c>
      <c r="N93" s="33"/>
      <c r="O93" s="32">
        <v>45</v>
      </c>
      <c r="P93" s="7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68"/>
      <c r="R93" s="568"/>
      <c r="S93" s="568"/>
      <c r="T93" s="569"/>
      <c r="U93" s="34"/>
      <c r="V93" s="34"/>
      <c r="W93" s="35" t="s">
        <v>69</v>
      </c>
      <c r="X93" s="547">
        <v>48</v>
      </c>
      <c r="Y93" s="548">
        <f>IFERROR(IF(X93="",0,CEILING((X93/$H93),1)*$H93),"")</f>
        <v>48.599999999999994</v>
      </c>
      <c r="Z93" s="36">
        <f>IFERROR(IF(Y93=0,"",ROUNDUP(Y93/H93,0)*0.01898),"")</f>
        <v>0.11388000000000001</v>
      </c>
      <c r="AA93" s="56"/>
      <c r="AB93" s="57"/>
      <c r="AC93" s="137" t="s">
        <v>189</v>
      </c>
      <c r="AG93" s="64"/>
      <c r="AJ93" s="68" t="s">
        <v>93</v>
      </c>
      <c r="AK93" s="68">
        <v>64.8</v>
      </c>
      <c r="BB93" s="138" t="s">
        <v>1</v>
      </c>
      <c r="BM93" s="64">
        <f>IFERROR(X93*I93/H93,"0")</f>
        <v>50.927407407407401</v>
      </c>
      <c r="BN93" s="64">
        <f>IFERROR(Y93*I93/H93,"0")</f>
        <v>51.563999999999993</v>
      </c>
      <c r="BO93" s="64">
        <f>IFERROR(1/J93*(X93/H93),"0")</f>
        <v>9.2592592592592601E-2</v>
      </c>
      <c r="BP93" s="64">
        <f>IFERROR(1/J93*(Y93/H93),"0")</f>
        <v>9.375E-2</v>
      </c>
    </row>
    <row r="94" spans="1:68" ht="27" hidden="1" customHeight="1" x14ac:dyDescent="0.25">
      <c r="A94" s="54" t="s">
        <v>190</v>
      </c>
      <c r="B94" s="54" t="s">
        <v>191</v>
      </c>
      <c r="C94" s="31">
        <v>4301051788</v>
      </c>
      <c r="D94" s="551">
        <v>4680115884953</v>
      </c>
      <c r="E94" s="552"/>
      <c r="F94" s="546">
        <v>0.37</v>
      </c>
      <c r="G94" s="32">
        <v>6</v>
      </c>
      <c r="H94" s="546">
        <v>2.2200000000000002</v>
      </c>
      <c r="I94" s="546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68"/>
      <c r="R94" s="568"/>
      <c r="S94" s="568"/>
      <c r="T94" s="569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192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193</v>
      </c>
      <c r="B95" s="54" t="s">
        <v>194</v>
      </c>
      <c r="C95" s="31">
        <v>4301051718</v>
      </c>
      <c r="D95" s="551">
        <v>4607091385731</v>
      </c>
      <c r="E95" s="552"/>
      <c r="F95" s="546">
        <v>0.45</v>
      </c>
      <c r="G95" s="32">
        <v>6</v>
      </c>
      <c r="H95" s="546">
        <v>2.7</v>
      </c>
      <c r="I95" s="546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68"/>
      <c r="R95" s="568"/>
      <c r="S95" s="568"/>
      <c r="T95" s="569"/>
      <c r="U95" s="34"/>
      <c r="V95" s="34"/>
      <c r="W95" s="35" t="s">
        <v>69</v>
      </c>
      <c r="X95" s="547">
        <v>67.5</v>
      </c>
      <c r="Y95" s="548">
        <f>IFERROR(IF(X95="",0,CEILING((X95/$H95),1)*$H95),"")</f>
        <v>67.5</v>
      </c>
      <c r="Z95" s="36">
        <f>IFERROR(IF(Y95=0,"",ROUNDUP(Y95/H95,0)*0.00651),"")</f>
        <v>0.16275000000000001</v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73.8</v>
      </c>
      <c r="BN95" s="64">
        <f>IFERROR(Y95*I95/H95,"0")</f>
        <v>73.8</v>
      </c>
      <c r="BO95" s="64">
        <f>IFERROR(1/J95*(X95/H95),"0")</f>
        <v>0.13736263736263737</v>
      </c>
      <c r="BP95" s="64">
        <f>IFERROR(1/J95*(Y95/H95),"0")</f>
        <v>0.13736263736263737</v>
      </c>
    </row>
    <row r="96" spans="1:68" ht="16.5" hidden="1" customHeight="1" x14ac:dyDescent="0.25">
      <c r="A96" s="54" t="s">
        <v>195</v>
      </c>
      <c r="B96" s="54" t="s">
        <v>196</v>
      </c>
      <c r="C96" s="31">
        <v>4301051438</v>
      </c>
      <c r="D96" s="551">
        <v>4680115880894</v>
      </c>
      <c r="E96" s="552"/>
      <c r="F96" s="546">
        <v>0.33</v>
      </c>
      <c r="G96" s="32">
        <v>6</v>
      </c>
      <c r="H96" s="546">
        <v>1.98</v>
      </c>
      <c r="I96" s="546">
        <v>2.238</v>
      </c>
      <c r="J96" s="32">
        <v>182</v>
      </c>
      <c r="K96" s="32" t="s">
        <v>67</v>
      </c>
      <c r="L96" s="32" t="s">
        <v>91</v>
      </c>
      <c r="M96" s="33" t="s">
        <v>80</v>
      </c>
      <c r="N96" s="33"/>
      <c r="O96" s="32">
        <v>45</v>
      </c>
      <c r="P96" s="74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68"/>
      <c r="R96" s="568"/>
      <c r="S96" s="568"/>
      <c r="T96" s="569"/>
      <c r="U96" s="34"/>
      <c r="V96" s="34"/>
      <c r="W96" s="35" t="s">
        <v>69</v>
      </c>
      <c r="X96" s="547">
        <v>0</v>
      </c>
      <c r="Y96" s="54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93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58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9"/>
      <c r="P97" s="553" t="s">
        <v>75</v>
      </c>
      <c r="Q97" s="554"/>
      <c r="R97" s="554"/>
      <c r="S97" s="554"/>
      <c r="T97" s="554"/>
      <c r="U97" s="554"/>
      <c r="V97" s="555"/>
      <c r="W97" s="37" t="s">
        <v>76</v>
      </c>
      <c r="X97" s="549">
        <f>IFERROR(X93/H93,"0")+IFERROR(X94/H94,"0")+IFERROR(X95/H95,"0")+IFERROR(X96/H96,"0")</f>
        <v>30.925925925925927</v>
      </c>
      <c r="Y97" s="549">
        <f>IFERROR(Y93/H93,"0")+IFERROR(Y94/H94,"0")+IFERROR(Y95/H95,"0")+IFERROR(Y96/H96,"0")</f>
        <v>31</v>
      </c>
      <c r="Z97" s="549">
        <f>IFERROR(IF(Z93="",0,Z93),"0")+IFERROR(IF(Z94="",0,Z94),"0")+IFERROR(IF(Z95="",0,Z95),"0")+IFERROR(IF(Z96="",0,Z96),"0")</f>
        <v>0.27663000000000004</v>
      </c>
      <c r="AA97" s="550"/>
      <c r="AB97" s="550"/>
      <c r="AC97" s="550"/>
    </row>
    <row r="98" spans="1:68" x14ac:dyDescent="0.2">
      <c r="A98" s="557"/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9"/>
      <c r="P98" s="553" t="s">
        <v>75</v>
      </c>
      <c r="Q98" s="554"/>
      <c r="R98" s="554"/>
      <c r="S98" s="554"/>
      <c r="T98" s="554"/>
      <c r="U98" s="554"/>
      <c r="V98" s="555"/>
      <c r="W98" s="37" t="s">
        <v>69</v>
      </c>
      <c r="X98" s="549">
        <f>IFERROR(SUM(X93:X96),"0")</f>
        <v>115.5</v>
      </c>
      <c r="Y98" s="549">
        <f>IFERROR(SUM(Y93:Y96),"0")</f>
        <v>116.1</v>
      </c>
      <c r="Z98" s="37"/>
      <c r="AA98" s="550"/>
      <c r="AB98" s="550"/>
      <c r="AC98" s="550"/>
    </row>
    <row r="99" spans="1:68" ht="16.5" hidden="1" customHeight="1" x14ac:dyDescent="0.25">
      <c r="A99" s="574" t="s">
        <v>198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2"/>
      <c r="AB99" s="542"/>
      <c r="AC99" s="542"/>
    </row>
    <row r="100" spans="1:68" ht="14.25" hidden="1" customHeight="1" x14ac:dyDescent="0.25">
      <c r="A100" s="556" t="s">
        <v>104</v>
      </c>
      <c r="B100" s="557"/>
      <c r="C100" s="557"/>
      <c r="D100" s="557"/>
      <c r="E100" s="557"/>
      <c r="F100" s="557"/>
      <c r="G100" s="557"/>
      <c r="H100" s="557"/>
      <c r="I100" s="557"/>
      <c r="J100" s="557"/>
      <c r="K100" s="557"/>
      <c r="L100" s="557"/>
      <c r="M100" s="557"/>
      <c r="N100" s="557"/>
      <c r="O100" s="557"/>
      <c r="P100" s="557"/>
      <c r="Q100" s="557"/>
      <c r="R100" s="557"/>
      <c r="S100" s="557"/>
      <c r="T100" s="557"/>
      <c r="U100" s="557"/>
      <c r="V100" s="557"/>
      <c r="W100" s="557"/>
      <c r="X100" s="557"/>
      <c r="Y100" s="557"/>
      <c r="Z100" s="557"/>
      <c r="AA100" s="543"/>
      <c r="AB100" s="543"/>
      <c r="AC100" s="543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51">
        <v>4680115882133</v>
      </c>
      <c r="E101" s="552"/>
      <c r="F101" s="546">
        <v>1.35</v>
      </c>
      <c r="G101" s="32">
        <v>8</v>
      </c>
      <c r="H101" s="546">
        <v>10.8</v>
      </c>
      <c r="I101" s="546">
        <v>11.21</v>
      </c>
      <c r="J101" s="32">
        <v>64</v>
      </c>
      <c r="K101" s="32" t="s">
        <v>107</v>
      </c>
      <c r="L101" s="32" t="s">
        <v>108</v>
      </c>
      <c r="M101" s="33" t="s">
        <v>109</v>
      </c>
      <c r="N101" s="33"/>
      <c r="O101" s="32">
        <v>50</v>
      </c>
      <c r="P101" s="80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68"/>
      <c r="R101" s="568"/>
      <c r="S101" s="568"/>
      <c r="T101" s="569"/>
      <c r="U101" s="34"/>
      <c r="V101" s="34"/>
      <c r="W101" s="35" t="s">
        <v>69</v>
      </c>
      <c r="X101" s="547">
        <v>350</v>
      </c>
      <c r="Y101" s="548">
        <f>IFERROR(IF(X101="",0,CEILING((X101/$H101),1)*$H101),"")</f>
        <v>356.40000000000003</v>
      </c>
      <c r="Z101" s="36">
        <f>IFERROR(IF(Y101=0,"",ROUNDUP(Y101/H101,0)*0.01898),"")</f>
        <v>0.62634000000000001</v>
      </c>
      <c r="AA101" s="56"/>
      <c r="AB101" s="57"/>
      <c r="AC101" s="145" t="s">
        <v>201</v>
      </c>
      <c r="AG101" s="64"/>
      <c r="AJ101" s="68" t="s">
        <v>93</v>
      </c>
      <c r="AK101" s="68">
        <v>86.4</v>
      </c>
      <c r="BB101" s="146" t="s">
        <v>1</v>
      </c>
      <c r="BM101" s="64">
        <f>IFERROR(X101*I101/H101,"0")</f>
        <v>363.28703703703707</v>
      </c>
      <c r="BN101" s="64">
        <f>IFERROR(Y101*I101/H101,"0")</f>
        <v>369.93</v>
      </c>
      <c r="BO101" s="64">
        <f>IFERROR(1/J101*(X101/H101),"0")</f>
        <v>0.5063657407407407</v>
      </c>
      <c r="BP101" s="64">
        <f>IFERROR(1/J101*(Y101/H101),"0")</f>
        <v>0.515625</v>
      </c>
    </row>
    <row r="102" spans="1:68" ht="27" hidden="1" customHeight="1" x14ac:dyDescent="0.25">
      <c r="A102" s="54" t="s">
        <v>202</v>
      </c>
      <c r="B102" s="54" t="s">
        <v>203</v>
      </c>
      <c r="C102" s="31">
        <v>4301012051</v>
      </c>
      <c r="D102" s="551">
        <v>4680115887718</v>
      </c>
      <c r="E102" s="552"/>
      <c r="F102" s="546">
        <v>0.11</v>
      </c>
      <c r="G102" s="32">
        <v>10</v>
      </c>
      <c r="H102" s="546">
        <v>1.1000000000000001</v>
      </c>
      <c r="I102" s="546">
        <v>1.31</v>
      </c>
      <c r="J102" s="32">
        <v>192</v>
      </c>
      <c r="K102" s="32" t="s">
        <v>180</v>
      </c>
      <c r="L102" s="32"/>
      <c r="M102" s="33" t="s">
        <v>68</v>
      </c>
      <c r="N102" s="33"/>
      <c r="O102" s="32">
        <v>30</v>
      </c>
      <c r="P102" s="843" t="s">
        <v>204</v>
      </c>
      <c r="Q102" s="568"/>
      <c r="R102" s="568"/>
      <c r="S102" s="568"/>
      <c r="T102" s="569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206</v>
      </c>
      <c r="B103" s="54" t="s">
        <v>207</v>
      </c>
      <c r="C103" s="31">
        <v>4301011417</v>
      </c>
      <c r="D103" s="551">
        <v>4680115880269</v>
      </c>
      <c r="E103" s="552"/>
      <c r="F103" s="546">
        <v>0.375</v>
      </c>
      <c r="G103" s="32">
        <v>10</v>
      </c>
      <c r="H103" s="546">
        <v>3.75</v>
      </c>
      <c r="I103" s="546">
        <v>3.94</v>
      </c>
      <c r="J103" s="32">
        <v>132</v>
      </c>
      <c r="K103" s="32" t="s">
        <v>113</v>
      </c>
      <c r="L103" s="32" t="s">
        <v>116</v>
      </c>
      <c r="M103" s="33" t="s">
        <v>80</v>
      </c>
      <c r="N103" s="33"/>
      <c r="O103" s="32">
        <v>50</v>
      </c>
      <c r="P103" s="6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68"/>
      <c r="R103" s="568"/>
      <c r="S103" s="568"/>
      <c r="T103" s="569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93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208</v>
      </c>
      <c r="B104" s="54" t="s">
        <v>209</v>
      </c>
      <c r="C104" s="31">
        <v>4301011415</v>
      </c>
      <c r="D104" s="551">
        <v>4680115880429</v>
      </c>
      <c r="E104" s="552"/>
      <c r="F104" s="546">
        <v>0.45</v>
      </c>
      <c r="G104" s="32">
        <v>10</v>
      </c>
      <c r="H104" s="546">
        <v>4.5</v>
      </c>
      <c r="I104" s="546">
        <v>4.6900000000000004</v>
      </c>
      <c r="J104" s="32">
        <v>132</v>
      </c>
      <c r="K104" s="32" t="s">
        <v>113</v>
      </c>
      <c r="L104" s="32" t="s">
        <v>116</v>
      </c>
      <c r="M104" s="33" t="s">
        <v>80</v>
      </c>
      <c r="N104" s="33"/>
      <c r="O104" s="32">
        <v>50</v>
      </c>
      <c r="P104" s="5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68"/>
      <c r="R104" s="568"/>
      <c r="S104" s="568"/>
      <c r="T104" s="569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93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hidden="1" customHeight="1" x14ac:dyDescent="0.25">
      <c r="A105" s="54" t="s">
        <v>210</v>
      </c>
      <c r="B105" s="54" t="s">
        <v>211</v>
      </c>
      <c r="C105" s="31">
        <v>4301011462</v>
      </c>
      <c r="D105" s="551">
        <v>4680115881457</v>
      </c>
      <c r="E105" s="552"/>
      <c r="F105" s="546">
        <v>0.75</v>
      </c>
      <c r="G105" s="32">
        <v>6</v>
      </c>
      <c r="H105" s="546">
        <v>4.5</v>
      </c>
      <c r="I105" s="546">
        <v>4.6900000000000004</v>
      </c>
      <c r="J105" s="32">
        <v>132</v>
      </c>
      <c r="K105" s="32" t="s">
        <v>113</v>
      </c>
      <c r="L105" s="32"/>
      <c r="M105" s="33" t="s">
        <v>80</v>
      </c>
      <c r="N105" s="33"/>
      <c r="O105" s="32">
        <v>50</v>
      </c>
      <c r="P105" s="7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68"/>
      <c r="R105" s="568"/>
      <c r="S105" s="568"/>
      <c r="T105" s="569"/>
      <c r="U105" s="34"/>
      <c r="V105" s="34"/>
      <c r="W105" s="35" t="s">
        <v>69</v>
      </c>
      <c r="X105" s="547">
        <v>0</v>
      </c>
      <c r="Y105" s="548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58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59"/>
      <c r="P106" s="553" t="s">
        <v>75</v>
      </c>
      <c r="Q106" s="554"/>
      <c r="R106" s="554"/>
      <c r="S106" s="554"/>
      <c r="T106" s="554"/>
      <c r="U106" s="554"/>
      <c r="V106" s="555"/>
      <c r="W106" s="37" t="s">
        <v>76</v>
      </c>
      <c r="X106" s="549">
        <f>IFERROR(X101/H101,"0")+IFERROR(X102/H102,"0")+IFERROR(X103/H103,"0")+IFERROR(X104/H104,"0")+IFERROR(X105/H105,"0")</f>
        <v>32.407407407407405</v>
      </c>
      <c r="Y106" s="549">
        <f>IFERROR(Y101/H101,"0")+IFERROR(Y102/H102,"0")+IFERROR(Y103/H103,"0")+IFERROR(Y104/H104,"0")+IFERROR(Y105/H105,"0")</f>
        <v>33</v>
      </c>
      <c r="Z106" s="549">
        <f>IFERROR(IF(Z101="",0,Z101),"0")+IFERROR(IF(Z102="",0,Z102),"0")+IFERROR(IF(Z103="",0,Z103),"0")+IFERROR(IF(Z104="",0,Z104),"0")+IFERROR(IF(Z105="",0,Z105),"0")</f>
        <v>0.62634000000000001</v>
      </c>
      <c r="AA106" s="550"/>
      <c r="AB106" s="550"/>
      <c r="AC106" s="550"/>
    </row>
    <row r="107" spans="1:68" x14ac:dyDescent="0.2">
      <c r="A107" s="557"/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9"/>
      <c r="P107" s="553" t="s">
        <v>75</v>
      </c>
      <c r="Q107" s="554"/>
      <c r="R107" s="554"/>
      <c r="S107" s="554"/>
      <c r="T107" s="554"/>
      <c r="U107" s="554"/>
      <c r="V107" s="555"/>
      <c r="W107" s="37" t="s">
        <v>69</v>
      </c>
      <c r="X107" s="549">
        <f>IFERROR(SUM(X101:X105),"0")</f>
        <v>350</v>
      </c>
      <c r="Y107" s="549">
        <f>IFERROR(SUM(Y101:Y105),"0")</f>
        <v>356.40000000000003</v>
      </c>
      <c r="Z107" s="37"/>
      <c r="AA107" s="550"/>
      <c r="AB107" s="550"/>
      <c r="AC107" s="550"/>
    </row>
    <row r="108" spans="1:68" ht="14.25" hidden="1" customHeight="1" x14ac:dyDescent="0.25">
      <c r="A108" s="556" t="s">
        <v>139</v>
      </c>
      <c r="B108" s="557"/>
      <c r="C108" s="557"/>
      <c r="D108" s="557"/>
      <c r="E108" s="557"/>
      <c r="F108" s="557"/>
      <c r="G108" s="557"/>
      <c r="H108" s="557"/>
      <c r="I108" s="557"/>
      <c r="J108" s="557"/>
      <c r="K108" s="557"/>
      <c r="L108" s="557"/>
      <c r="M108" s="557"/>
      <c r="N108" s="557"/>
      <c r="O108" s="557"/>
      <c r="P108" s="557"/>
      <c r="Q108" s="557"/>
      <c r="R108" s="557"/>
      <c r="S108" s="557"/>
      <c r="T108" s="557"/>
      <c r="U108" s="557"/>
      <c r="V108" s="557"/>
      <c r="W108" s="557"/>
      <c r="X108" s="557"/>
      <c r="Y108" s="557"/>
      <c r="Z108" s="557"/>
      <c r="AA108" s="543"/>
      <c r="AB108" s="543"/>
      <c r="AC108" s="543"/>
    </row>
    <row r="109" spans="1:68" ht="16.5" hidden="1" customHeight="1" x14ac:dyDescent="0.25">
      <c r="A109" s="54" t="s">
        <v>212</v>
      </c>
      <c r="B109" s="54" t="s">
        <v>213</v>
      </c>
      <c r="C109" s="31">
        <v>4301020345</v>
      </c>
      <c r="D109" s="551">
        <v>4680115881488</v>
      </c>
      <c r="E109" s="552"/>
      <c r="F109" s="546">
        <v>1.35</v>
      </c>
      <c r="G109" s="32">
        <v>8</v>
      </c>
      <c r="H109" s="546">
        <v>10.8</v>
      </c>
      <c r="I109" s="546">
        <v>11.21</v>
      </c>
      <c r="J109" s="32">
        <v>64</v>
      </c>
      <c r="K109" s="32" t="s">
        <v>107</v>
      </c>
      <c r="L109" s="32"/>
      <c r="M109" s="33" t="s">
        <v>109</v>
      </c>
      <c r="N109" s="33"/>
      <c r="O109" s="32">
        <v>55</v>
      </c>
      <c r="P109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68"/>
      <c r="R109" s="568"/>
      <c r="S109" s="568"/>
      <c r="T109" s="569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215</v>
      </c>
      <c r="B110" s="54" t="s">
        <v>216</v>
      </c>
      <c r="C110" s="31">
        <v>4301020186</v>
      </c>
      <c r="D110" s="551">
        <v>4680115887664</v>
      </c>
      <c r="E110" s="552"/>
      <c r="F110" s="546">
        <v>0.1</v>
      </c>
      <c r="G110" s="32">
        <v>10</v>
      </c>
      <c r="H110" s="546">
        <v>1</v>
      </c>
      <c r="I110" s="546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14" t="s">
        <v>218</v>
      </c>
      <c r="Q110" s="568"/>
      <c r="R110" s="568"/>
      <c r="S110" s="568"/>
      <c r="T110" s="569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220</v>
      </c>
      <c r="B111" s="54" t="s">
        <v>221</v>
      </c>
      <c r="C111" s="31">
        <v>4301020346</v>
      </c>
      <c r="D111" s="551">
        <v>4680115882775</v>
      </c>
      <c r="E111" s="552"/>
      <c r="F111" s="546">
        <v>0.3</v>
      </c>
      <c r="G111" s="32">
        <v>8</v>
      </c>
      <c r="H111" s="546">
        <v>2.4</v>
      </c>
      <c r="I111" s="546">
        <v>2.5</v>
      </c>
      <c r="J111" s="32">
        <v>234</v>
      </c>
      <c r="K111" s="32" t="s">
        <v>73</v>
      </c>
      <c r="L111" s="32"/>
      <c r="M111" s="33" t="s">
        <v>109</v>
      </c>
      <c r="N111" s="33"/>
      <c r="O111" s="32">
        <v>55</v>
      </c>
      <c r="P111" s="79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68"/>
      <c r="R111" s="568"/>
      <c r="S111" s="568"/>
      <c r="T111" s="569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hidden="1" customHeight="1" x14ac:dyDescent="0.25">
      <c r="A112" s="54" t="s">
        <v>222</v>
      </c>
      <c r="B112" s="54" t="s">
        <v>223</v>
      </c>
      <c r="C112" s="31">
        <v>4301020344</v>
      </c>
      <c r="D112" s="551">
        <v>4680115880658</v>
      </c>
      <c r="E112" s="552"/>
      <c r="F112" s="546">
        <v>0.4</v>
      </c>
      <c r="G112" s="32">
        <v>6</v>
      </c>
      <c r="H112" s="546">
        <v>2.4</v>
      </c>
      <c r="I112" s="546">
        <v>2.58</v>
      </c>
      <c r="J112" s="32">
        <v>182</v>
      </c>
      <c r="K112" s="32" t="s">
        <v>67</v>
      </c>
      <c r="L112" s="32"/>
      <c r="M112" s="33" t="s">
        <v>109</v>
      </c>
      <c r="N112" s="33"/>
      <c r="O112" s="32">
        <v>55</v>
      </c>
      <c r="P112" s="79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68"/>
      <c r="R112" s="568"/>
      <c r="S112" s="568"/>
      <c r="T112" s="569"/>
      <c r="U112" s="34"/>
      <c r="V112" s="34"/>
      <c r="W112" s="35" t="s">
        <v>69</v>
      </c>
      <c r="X112" s="547">
        <v>0</v>
      </c>
      <c r="Y112" s="548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idden="1" x14ac:dyDescent="0.2">
      <c r="A113" s="558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59"/>
      <c r="P113" s="553" t="s">
        <v>75</v>
      </c>
      <c r="Q113" s="554"/>
      <c r="R113" s="554"/>
      <c r="S113" s="554"/>
      <c r="T113" s="554"/>
      <c r="U113" s="554"/>
      <c r="V113" s="555"/>
      <c r="W113" s="37" t="s">
        <v>76</v>
      </c>
      <c r="X113" s="549">
        <f>IFERROR(X109/H109,"0")+IFERROR(X110/H110,"0")+IFERROR(X111/H111,"0")+IFERROR(X112/H112,"0")</f>
        <v>0</v>
      </c>
      <c r="Y113" s="549">
        <f>IFERROR(Y109/H109,"0")+IFERROR(Y110/H110,"0")+IFERROR(Y111/H111,"0")+IFERROR(Y112/H112,"0")</f>
        <v>0</v>
      </c>
      <c r="Z113" s="549">
        <f>IFERROR(IF(Z109="",0,Z109),"0")+IFERROR(IF(Z110="",0,Z110),"0")+IFERROR(IF(Z111="",0,Z111),"0")+IFERROR(IF(Z112="",0,Z112),"0")</f>
        <v>0</v>
      </c>
      <c r="AA113" s="550"/>
      <c r="AB113" s="550"/>
      <c r="AC113" s="550"/>
    </row>
    <row r="114" spans="1:68" hidden="1" x14ac:dyDescent="0.2">
      <c r="A114" s="557"/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9"/>
      <c r="P114" s="553" t="s">
        <v>75</v>
      </c>
      <c r="Q114" s="554"/>
      <c r="R114" s="554"/>
      <c r="S114" s="554"/>
      <c r="T114" s="554"/>
      <c r="U114" s="554"/>
      <c r="V114" s="555"/>
      <c r="W114" s="37" t="s">
        <v>69</v>
      </c>
      <c r="X114" s="549">
        <f>IFERROR(SUM(X109:X112),"0")</f>
        <v>0</v>
      </c>
      <c r="Y114" s="549">
        <f>IFERROR(SUM(Y109:Y112),"0")</f>
        <v>0</v>
      </c>
      <c r="Z114" s="37"/>
      <c r="AA114" s="550"/>
      <c r="AB114" s="550"/>
      <c r="AC114" s="550"/>
    </row>
    <row r="115" spans="1:68" ht="14.25" hidden="1" customHeight="1" x14ac:dyDescent="0.25">
      <c r="A115" s="556" t="s">
        <v>77</v>
      </c>
      <c r="B115" s="557"/>
      <c r="C115" s="557"/>
      <c r="D115" s="557"/>
      <c r="E115" s="557"/>
      <c r="F115" s="557"/>
      <c r="G115" s="557"/>
      <c r="H115" s="557"/>
      <c r="I115" s="557"/>
      <c r="J115" s="557"/>
      <c r="K115" s="557"/>
      <c r="L115" s="557"/>
      <c r="M115" s="557"/>
      <c r="N115" s="557"/>
      <c r="O115" s="557"/>
      <c r="P115" s="557"/>
      <c r="Q115" s="557"/>
      <c r="R115" s="557"/>
      <c r="S115" s="557"/>
      <c r="T115" s="557"/>
      <c r="U115" s="557"/>
      <c r="V115" s="557"/>
      <c r="W115" s="557"/>
      <c r="X115" s="557"/>
      <c r="Y115" s="557"/>
      <c r="Z115" s="557"/>
      <c r="AA115" s="543"/>
      <c r="AB115" s="543"/>
      <c r="AC115" s="543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51">
        <v>4607091385168</v>
      </c>
      <c r="E116" s="552"/>
      <c r="F116" s="546">
        <v>1.35</v>
      </c>
      <c r="G116" s="32">
        <v>6</v>
      </c>
      <c r="H116" s="546">
        <v>8.1</v>
      </c>
      <c r="I116" s="546">
        <v>8.5879999999999992</v>
      </c>
      <c r="J116" s="32">
        <v>64</v>
      </c>
      <c r="K116" s="32" t="s">
        <v>107</v>
      </c>
      <c r="L116" s="32" t="s">
        <v>108</v>
      </c>
      <c r="M116" s="33" t="s">
        <v>87</v>
      </c>
      <c r="N116" s="33"/>
      <c r="O116" s="32">
        <v>45</v>
      </c>
      <c r="P116" s="63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68"/>
      <c r="R116" s="568"/>
      <c r="S116" s="568"/>
      <c r="T116" s="569"/>
      <c r="U116" s="34"/>
      <c r="V116" s="34"/>
      <c r="W116" s="35" t="s">
        <v>69</v>
      </c>
      <c r="X116" s="547">
        <v>446</v>
      </c>
      <c r="Y116" s="548">
        <f>IFERROR(IF(X116="",0,CEILING((X116/$H116),1)*$H116),"")</f>
        <v>453.59999999999997</v>
      </c>
      <c r="Z116" s="36">
        <f>IFERROR(IF(Y116=0,"",ROUNDUP(Y116/H116,0)*0.01898),"")</f>
        <v>1.06288</v>
      </c>
      <c r="AA116" s="56"/>
      <c r="AB116" s="57"/>
      <c r="AC116" s="163" t="s">
        <v>226</v>
      </c>
      <c r="AG116" s="64"/>
      <c r="AJ116" s="68" t="s">
        <v>93</v>
      </c>
      <c r="AK116" s="68">
        <v>64.8</v>
      </c>
      <c r="BB116" s="164" t="s">
        <v>1</v>
      </c>
      <c r="BM116" s="64">
        <f>IFERROR(X116*I116/H116,"0")</f>
        <v>472.87012345679011</v>
      </c>
      <c r="BN116" s="64">
        <f>IFERROR(Y116*I116/H116,"0")</f>
        <v>480.92799999999994</v>
      </c>
      <c r="BO116" s="64">
        <f>IFERROR(1/J116*(X116/H116),"0")</f>
        <v>0.8603395061728395</v>
      </c>
      <c r="BP116" s="64">
        <f>IFERROR(1/J116*(Y116/H116),"0")</f>
        <v>0.875</v>
      </c>
    </row>
    <row r="117" spans="1:68" ht="27" hidden="1" customHeight="1" x14ac:dyDescent="0.25">
      <c r="A117" s="54" t="s">
        <v>227</v>
      </c>
      <c r="B117" s="54" t="s">
        <v>228</v>
      </c>
      <c r="C117" s="31">
        <v>4301051730</v>
      </c>
      <c r="D117" s="551">
        <v>4607091383256</v>
      </c>
      <c r="E117" s="552"/>
      <c r="F117" s="546">
        <v>0.33</v>
      </c>
      <c r="G117" s="32">
        <v>6</v>
      </c>
      <c r="H117" s="546">
        <v>1.98</v>
      </c>
      <c r="I117" s="546">
        <v>2.226</v>
      </c>
      <c r="J117" s="32">
        <v>182</v>
      </c>
      <c r="K117" s="32" t="s">
        <v>67</v>
      </c>
      <c r="L117" s="32" t="s">
        <v>91</v>
      </c>
      <c r="M117" s="33" t="s">
        <v>87</v>
      </c>
      <c r="N117" s="33"/>
      <c r="O117" s="32">
        <v>45</v>
      </c>
      <c r="P117" s="6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68"/>
      <c r="R117" s="568"/>
      <c r="S117" s="568"/>
      <c r="T117" s="569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 t="s">
        <v>93</v>
      </c>
      <c r="AK117" s="68">
        <v>27.72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51">
        <v>4607091385748</v>
      </c>
      <c r="E118" s="552"/>
      <c r="F118" s="546">
        <v>0.45</v>
      </c>
      <c r="G118" s="32">
        <v>6</v>
      </c>
      <c r="H118" s="546">
        <v>2.7</v>
      </c>
      <c r="I118" s="546">
        <v>2.952</v>
      </c>
      <c r="J118" s="32">
        <v>182</v>
      </c>
      <c r="K118" s="32" t="s">
        <v>67</v>
      </c>
      <c r="L118" s="32" t="s">
        <v>91</v>
      </c>
      <c r="M118" s="33" t="s">
        <v>87</v>
      </c>
      <c r="N118" s="33"/>
      <c r="O118" s="32">
        <v>45</v>
      </c>
      <c r="P118" s="6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68"/>
      <c r="R118" s="568"/>
      <c r="S118" s="568"/>
      <c r="T118" s="569"/>
      <c r="U118" s="34"/>
      <c r="V118" s="34"/>
      <c r="W118" s="35" t="s">
        <v>69</v>
      </c>
      <c r="X118" s="547">
        <v>112.5</v>
      </c>
      <c r="Y118" s="548">
        <f>IFERROR(IF(X118="",0,CEILING((X118/$H118),1)*$H118),"")</f>
        <v>113.4</v>
      </c>
      <c r="Z118" s="36">
        <f>IFERROR(IF(Y118=0,"",ROUNDUP(Y118/H118,0)*0.00651),"")</f>
        <v>0.27342</v>
      </c>
      <c r="AA118" s="56"/>
      <c r="AB118" s="57"/>
      <c r="AC118" s="167" t="s">
        <v>226</v>
      </c>
      <c r="AG118" s="64"/>
      <c r="AJ118" s="68" t="s">
        <v>93</v>
      </c>
      <c r="AK118" s="68">
        <v>37.799999999999997</v>
      </c>
      <c r="BB118" s="168" t="s">
        <v>1</v>
      </c>
      <c r="BM118" s="64">
        <f>IFERROR(X118*I118/H118,"0")</f>
        <v>123</v>
      </c>
      <c r="BN118" s="64">
        <f>IFERROR(Y118*I118/H118,"0")</f>
        <v>123.98399999999999</v>
      </c>
      <c r="BO118" s="64">
        <f>IFERROR(1/J118*(X118/H118),"0")</f>
        <v>0.22893772893772893</v>
      </c>
      <c r="BP118" s="64">
        <f>IFERROR(1/J118*(Y118/H118),"0")</f>
        <v>0.23076923076923078</v>
      </c>
    </row>
    <row r="119" spans="1:68" ht="16.5" hidden="1" customHeight="1" x14ac:dyDescent="0.25">
      <c r="A119" s="54" t="s">
        <v>231</v>
      </c>
      <c r="B119" s="54" t="s">
        <v>232</v>
      </c>
      <c r="C119" s="31">
        <v>4301051740</v>
      </c>
      <c r="D119" s="551">
        <v>4680115884533</v>
      </c>
      <c r="E119" s="552"/>
      <c r="F119" s="546">
        <v>0.3</v>
      </c>
      <c r="G119" s="32">
        <v>6</v>
      </c>
      <c r="H119" s="546">
        <v>1.8</v>
      </c>
      <c r="I119" s="546">
        <v>1.98</v>
      </c>
      <c r="J119" s="32">
        <v>182</v>
      </c>
      <c r="K119" s="32" t="s">
        <v>67</v>
      </c>
      <c r="L119" s="32" t="s">
        <v>91</v>
      </c>
      <c r="M119" s="33" t="s">
        <v>80</v>
      </c>
      <c r="N119" s="33"/>
      <c r="O119" s="32">
        <v>45</v>
      </c>
      <c r="P119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68"/>
      <c r="R119" s="568"/>
      <c r="S119" s="568"/>
      <c r="T119" s="569"/>
      <c r="U119" s="34"/>
      <c r="V119" s="34"/>
      <c r="W119" s="35" t="s">
        <v>69</v>
      </c>
      <c r="X119" s="547">
        <v>0</v>
      </c>
      <c r="Y119" s="548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 t="s">
        <v>93</v>
      </c>
      <c r="AK119" s="68">
        <v>25.2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8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9"/>
      <c r="P120" s="553" t="s">
        <v>75</v>
      </c>
      <c r="Q120" s="554"/>
      <c r="R120" s="554"/>
      <c r="S120" s="554"/>
      <c r="T120" s="554"/>
      <c r="U120" s="554"/>
      <c r="V120" s="555"/>
      <c r="W120" s="37" t="s">
        <v>76</v>
      </c>
      <c r="X120" s="549">
        <f>IFERROR(X116/H116,"0")+IFERROR(X117/H117,"0")+IFERROR(X118/H118,"0")+IFERROR(X119/H119,"0")</f>
        <v>96.728395061728392</v>
      </c>
      <c r="Y120" s="549">
        <f>IFERROR(Y116/H116,"0")+IFERROR(Y117/H117,"0")+IFERROR(Y118/H118,"0")+IFERROR(Y119/H119,"0")</f>
        <v>98</v>
      </c>
      <c r="Z120" s="549">
        <f>IFERROR(IF(Z116="",0,Z116),"0")+IFERROR(IF(Z117="",0,Z117),"0")+IFERROR(IF(Z118="",0,Z118),"0")+IFERROR(IF(Z119="",0,Z119),"0")</f>
        <v>1.3363</v>
      </c>
      <c r="AA120" s="550"/>
      <c r="AB120" s="550"/>
      <c r="AC120" s="550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9"/>
      <c r="P121" s="553" t="s">
        <v>75</v>
      </c>
      <c r="Q121" s="554"/>
      <c r="R121" s="554"/>
      <c r="S121" s="554"/>
      <c r="T121" s="554"/>
      <c r="U121" s="554"/>
      <c r="V121" s="555"/>
      <c r="W121" s="37" t="s">
        <v>69</v>
      </c>
      <c r="X121" s="549">
        <f>IFERROR(SUM(X116:X119),"0")</f>
        <v>558.5</v>
      </c>
      <c r="Y121" s="549">
        <f>IFERROR(SUM(Y116:Y119),"0")</f>
        <v>567</v>
      </c>
      <c r="Z121" s="37"/>
      <c r="AA121" s="550"/>
      <c r="AB121" s="550"/>
      <c r="AC121" s="550"/>
    </row>
    <row r="122" spans="1:68" ht="14.25" hidden="1" customHeight="1" x14ac:dyDescent="0.25">
      <c r="A122" s="556" t="s">
        <v>167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43"/>
      <c r="AB122" s="543"/>
      <c r="AC122" s="543"/>
    </row>
    <row r="123" spans="1:68" ht="16.5" hidden="1" customHeight="1" x14ac:dyDescent="0.25">
      <c r="A123" s="54" t="s">
        <v>234</v>
      </c>
      <c r="B123" s="54" t="s">
        <v>235</v>
      </c>
      <c r="C123" s="31">
        <v>4301060317</v>
      </c>
      <c r="D123" s="551">
        <v>4680115880238</v>
      </c>
      <c r="E123" s="552"/>
      <c r="F123" s="546">
        <v>0.33</v>
      </c>
      <c r="G123" s="32">
        <v>6</v>
      </c>
      <c r="H123" s="546">
        <v>1.98</v>
      </c>
      <c r="I123" s="546">
        <v>2.238</v>
      </c>
      <c r="J123" s="32">
        <v>182</v>
      </c>
      <c r="K123" s="32" t="s">
        <v>67</v>
      </c>
      <c r="L123" s="32" t="s">
        <v>91</v>
      </c>
      <c r="M123" s="33" t="s">
        <v>80</v>
      </c>
      <c r="N123" s="33"/>
      <c r="O123" s="32">
        <v>40</v>
      </c>
      <c r="P123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68"/>
      <c r="R123" s="568"/>
      <c r="S123" s="568"/>
      <c r="T123" s="569"/>
      <c r="U123" s="34"/>
      <c r="V123" s="34"/>
      <c r="W123" s="35" t="s">
        <v>69</v>
      </c>
      <c r="X123" s="547">
        <v>0</v>
      </c>
      <c r="Y123" s="54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 t="s">
        <v>93</v>
      </c>
      <c r="AK123" s="68">
        <v>27.72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idden="1" x14ac:dyDescent="0.2">
      <c r="A124" s="558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59"/>
      <c r="P124" s="553" t="s">
        <v>75</v>
      </c>
      <c r="Q124" s="554"/>
      <c r="R124" s="554"/>
      <c r="S124" s="554"/>
      <c r="T124" s="554"/>
      <c r="U124" s="554"/>
      <c r="V124" s="555"/>
      <c r="W124" s="37" t="s">
        <v>76</v>
      </c>
      <c r="X124" s="549">
        <f>IFERROR(X123/H123,"0")</f>
        <v>0</v>
      </c>
      <c r="Y124" s="549">
        <f>IFERROR(Y123/H123,"0")</f>
        <v>0</v>
      </c>
      <c r="Z124" s="549">
        <f>IFERROR(IF(Z123="",0,Z123),"0")</f>
        <v>0</v>
      </c>
      <c r="AA124" s="550"/>
      <c r="AB124" s="550"/>
      <c r="AC124" s="550"/>
    </row>
    <row r="125" spans="1:68" hidden="1" x14ac:dyDescent="0.2">
      <c r="A125" s="557"/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9"/>
      <c r="P125" s="553" t="s">
        <v>75</v>
      </c>
      <c r="Q125" s="554"/>
      <c r="R125" s="554"/>
      <c r="S125" s="554"/>
      <c r="T125" s="554"/>
      <c r="U125" s="554"/>
      <c r="V125" s="555"/>
      <c r="W125" s="37" t="s">
        <v>69</v>
      </c>
      <c r="X125" s="549">
        <f>IFERROR(SUM(X123:X123),"0")</f>
        <v>0</v>
      </c>
      <c r="Y125" s="549">
        <f>IFERROR(SUM(Y123:Y123),"0")</f>
        <v>0</v>
      </c>
      <c r="Z125" s="37"/>
      <c r="AA125" s="550"/>
      <c r="AB125" s="550"/>
      <c r="AC125" s="550"/>
    </row>
    <row r="126" spans="1:68" ht="16.5" hidden="1" customHeight="1" x14ac:dyDescent="0.25">
      <c r="A126" s="574" t="s">
        <v>237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2"/>
      <c r="AB126" s="542"/>
      <c r="AC126" s="542"/>
    </row>
    <row r="127" spans="1:68" ht="14.25" hidden="1" customHeight="1" x14ac:dyDescent="0.25">
      <c r="A127" s="556" t="s">
        <v>104</v>
      </c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7"/>
      <c r="P127" s="557"/>
      <c r="Q127" s="557"/>
      <c r="R127" s="557"/>
      <c r="S127" s="557"/>
      <c r="T127" s="557"/>
      <c r="U127" s="557"/>
      <c r="V127" s="557"/>
      <c r="W127" s="557"/>
      <c r="X127" s="557"/>
      <c r="Y127" s="557"/>
      <c r="Z127" s="557"/>
      <c r="AA127" s="543"/>
      <c r="AB127" s="543"/>
      <c r="AC127" s="543"/>
    </row>
    <row r="128" spans="1:68" ht="27" hidden="1" customHeight="1" x14ac:dyDescent="0.25">
      <c r="A128" s="54" t="s">
        <v>238</v>
      </c>
      <c r="B128" s="54" t="s">
        <v>239</v>
      </c>
      <c r="C128" s="31">
        <v>4301011562</v>
      </c>
      <c r="D128" s="551">
        <v>4680115882577</v>
      </c>
      <c r="E128" s="552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91</v>
      </c>
      <c r="M128" s="33" t="s">
        <v>99</v>
      </c>
      <c r="N128" s="33"/>
      <c r="O128" s="32">
        <v>90</v>
      </c>
      <c r="P128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68"/>
      <c r="R128" s="568"/>
      <c r="S128" s="568"/>
      <c r="T128" s="569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93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hidden="1" customHeight="1" x14ac:dyDescent="0.25">
      <c r="A129" s="54" t="s">
        <v>238</v>
      </c>
      <c r="B129" s="54" t="s">
        <v>241</v>
      </c>
      <c r="C129" s="31">
        <v>4301011564</v>
      </c>
      <c r="D129" s="551">
        <v>4680115882577</v>
      </c>
      <c r="E129" s="552"/>
      <c r="F129" s="546">
        <v>0.4</v>
      </c>
      <c r="G129" s="32">
        <v>8</v>
      </c>
      <c r="H129" s="546">
        <v>3.2</v>
      </c>
      <c r="I129" s="546">
        <v>3.38</v>
      </c>
      <c r="J129" s="32">
        <v>182</v>
      </c>
      <c r="K129" s="32" t="s">
        <v>67</v>
      </c>
      <c r="L129" s="32" t="s">
        <v>91</v>
      </c>
      <c r="M129" s="33" t="s">
        <v>99</v>
      </c>
      <c r="N129" s="33"/>
      <c r="O129" s="32">
        <v>90</v>
      </c>
      <c r="P129" s="6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68"/>
      <c r="R129" s="568"/>
      <c r="S129" s="568"/>
      <c r="T129" s="569"/>
      <c r="U129" s="34"/>
      <c r="V129" s="34"/>
      <c r="W129" s="35" t="s">
        <v>69</v>
      </c>
      <c r="X129" s="547">
        <v>0</v>
      </c>
      <c r="Y129" s="54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93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558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59"/>
      <c r="P130" s="553" t="s">
        <v>75</v>
      </c>
      <c r="Q130" s="554"/>
      <c r="R130" s="554"/>
      <c r="S130" s="554"/>
      <c r="T130" s="554"/>
      <c r="U130" s="554"/>
      <c r="V130" s="555"/>
      <c r="W130" s="37" t="s">
        <v>76</v>
      </c>
      <c r="X130" s="549">
        <f>IFERROR(X128/H128,"0")+IFERROR(X129/H129,"0")</f>
        <v>0</v>
      </c>
      <c r="Y130" s="549">
        <f>IFERROR(Y128/H128,"0")+IFERROR(Y129/H129,"0")</f>
        <v>0</v>
      </c>
      <c r="Z130" s="549">
        <f>IFERROR(IF(Z128="",0,Z128),"0")+IFERROR(IF(Z129="",0,Z129),"0")</f>
        <v>0</v>
      </c>
      <c r="AA130" s="550"/>
      <c r="AB130" s="550"/>
      <c r="AC130" s="550"/>
    </row>
    <row r="131" spans="1:68" hidden="1" x14ac:dyDescent="0.2">
      <c r="A131" s="557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9"/>
      <c r="P131" s="553" t="s">
        <v>75</v>
      </c>
      <c r="Q131" s="554"/>
      <c r="R131" s="554"/>
      <c r="S131" s="554"/>
      <c r="T131" s="554"/>
      <c r="U131" s="554"/>
      <c r="V131" s="555"/>
      <c r="W131" s="37" t="s">
        <v>69</v>
      </c>
      <c r="X131" s="549">
        <f>IFERROR(SUM(X128:X129),"0")</f>
        <v>0</v>
      </c>
      <c r="Y131" s="549">
        <f>IFERROR(SUM(Y128:Y129),"0")</f>
        <v>0</v>
      </c>
      <c r="Z131" s="37"/>
      <c r="AA131" s="550"/>
      <c r="AB131" s="550"/>
      <c r="AC131" s="550"/>
    </row>
    <row r="132" spans="1:68" ht="14.25" hidden="1" customHeight="1" x14ac:dyDescent="0.25">
      <c r="A132" s="556" t="s">
        <v>64</v>
      </c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7"/>
      <c r="P132" s="557"/>
      <c r="Q132" s="557"/>
      <c r="R132" s="557"/>
      <c r="S132" s="557"/>
      <c r="T132" s="557"/>
      <c r="U132" s="557"/>
      <c r="V132" s="557"/>
      <c r="W132" s="557"/>
      <c r="X132" s="557"/>
      <c r="Y132" s="557"/>
      <c r="Z132" s="557"/>
      <c r="AA132" s="543"/>
      <c r="AB132" s="543"/>
      <c r="AC132" s="543"/>
    </row>
    <row r="133" spans="1:68" ht="27" hidden="1" customHeight="1" x14ac:dyDescent="0.25">
      <c r="A133" s="54" t="s">
        <v>242</v>
      </c>
      <c r="B133" s="54" t="s">
        <v>243</v>
      </c>
      <c r="C133" s="31">
        <v>4301031235</v>
      </c>
      <c r="D133" s="551">
        <v>4680115883444</v>
      </c>
      <c r="E133" s="552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91</v>
      </c>
      <c r="M133" s="33" t="s">
        <v>99</v>
      </c>
      <c r="N133" s="33"/>
      <c r="O133" s="32">
        <v>90</v>
      </c>
      <c r="P133" s="82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68"/>
      <c r="R133" s="568"/>
      <c r="S133" s="568"/>
      <c r="T133" s="569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 t="s">
        <v>93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hidden="1" customHeight="1" x14ac:dyDescent="0.25">
      <c r="A134" s="54" t="s">
        <v>242</v>
      </c>
      <c r="B134" s="54" t="s">
        <v>245</v>
      </c>
      <c r="C134" s="31">
        <v>4301031234</v>
      </c>
      <c r="D134" s="551">
        <v>4680115883444</v>
      </c>
      <c r="E134" s="552"/>
      <c r="F134" s="546">
        <v>0.35</v>
      </c>
      <c r="G134" s="32">
        <v>8</v>
      </c>
      <c r="H134" s="546">
        <v>2.8</v>
      </c>
      <c r="I134" s="546">
        <v>3.0680000000000001</v>
      </c>
      <c r="J134" s="32">
        <v>182</v>
      </c>
      <c r="K134" s="32" t="s">
        <v>67</v>
      </c>
      <c r="L134" s="32" t="s">
        <v>91</v>
      </c>
      <c r="M134" s="33" t="s">
        <v>99</v>
      </c>
      <c r="N134" s="33"/>
      <c r="O134" s="32">
        <v>90</v>
      </c>
      <c r="P134" s="80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68"/>
      <c r="R134" s="568"/>
      <c r="S134" s="568"/>
      <c r="T134" s="569"/>
      <c r="U134" s="34"/>
      <c r="V134" s="34"/>
      <c r="W134" s="35" t="s">
        <v>69</v>
      </c>
      <c r="X134" s="547">
        <v>0</v>
      </c>
      <c r="Y134" s="54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93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idden="1" x14ac:dyDescent="0.2">
      <c r="A135" s="558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59"/>
      <c r="P135" s="553" t="s">
        <v>75</v>
      </c>
      <c r="Q135" s="554"/>
      <c r="R135" s="554"/>
      <c r="S135" s="554"/>
      <c r="T135" s="554"/>
      <c r="U135" s="554"/>
      <c r="V135" s="555"/>
      <c r="W135" s="37" t="s">
        <v>76</v>
      </c>
      <c r="X135" s="549">
        <f>IFERROR(X133/H133,"0")+IFERROR(X134/H134,"0")</f>
        <v>0</v>
      </c>
      <c r="Y135" s="549">
        <f>IFERROR(Y133/H133,"0")+IFERROR(Y134/H134,"0")</f>
        <v>0</v>
      </c>
      <c r="Z135" s="549">
        <f>IFERROR(IF(Z133="",0,Z133),"0")+IFERROR(IF(Z134="",0,Z134),"0")</f>
        <v>0</v>
      </c>
      <c r="AA135" s="550"/>
      <c r="AB135" s="550"/>
      <c r="AC135" s="550"/>
    </row>
    <row r="136" spans="1:68" hidden="1" x14ac:dyDescent="0.2">
      <c r="A136" s="557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9"/>
      <c r="P136" s="553" t="s">
        <v>75</v>
      </c>
      <c r="Q136" s="554"/>
      <c r="R136" s="554"/>
      <c r="S136" s="554"/>
      <c r="T136" s="554"/>
      <c r="U136" s="554"/>
      <c r="V136" s="555"/>
      <c r="W136" s="37" t="s">
        <v>69</v>
      </c>
      <c r="X136" s="549">
        <f>IFERROR(SUM(X133:X134),"0")</f>
        <v>0</v>
      </c>
      <c r="Y136" s="549">
        <f>IFERROR(SUM(Y133:Y134),"0")</f>
        <v>0</v>
      </c>
      <c r="Z136" s="37"/>
      <c r="AA136" s="550"/>
      <c r="AB136" s="550"/>
      <c r="AC136" s="550"/>
    </row>
    <row r="137" spans="1:68" ht="14.25" hidden="1" customHeight="1" x14ac:dyDescent="0.25">
      <c r="A137" s="556" t="s">
        <v>77</v>
      </c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7"/>
      <c r="P137" s="557"/>
      <c r="Q137" s="557"/>
      <c r="R137" s="557"/>
      <c r="S137" s="557"/>
      <c r="T137" s="557"/>
      <c r="U137" s="557"/>
      <c r="V137" s="557"/>
      <c r="W137" s="557"/>
      <c r="X137" s="557"/>
      <c r="Y137" s="557"/>
      <c r="Z137" s="557"/>
      <c r="AA137" s="543"/>
      <c r="AB137" s="543"/>
      <c r="AC137" s="543"/>
    </row>
    <row r="138" spans="1:68" ht="16.5" hidden="1" customHeight="1" x14ac:dyDescent="0.25">
      <c r="A138" s="54" t="s">
        <v>246</v>
      </c>
      <c r="B138" s="54" t="s">
        <v>247</v>
      </c>
      <c r="C138" s="31">
        <v>4301051477</v>
      </c>
      <c r="D138" s="551">
        <v>4680115882584</v>
      </c>
      <c r="E138" s="552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99</v>
      </c>
      <c r="N138" s="33"/>
      <c r="O138" s="32">
        <v>60</v>
      </c>
      <c r="P138" s="72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68"/>
      <c r="R138" s="568"/>
      <c r="S138" s="568"/>
      <c r="T138" s="569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hidden="1" customHeight="1" x14ac:dyDescent="0.25">
      <c r="A139" s="54" t="s">
        <v>246</v>
      </c>
      <c r="B139" s="54" t="s">
        <v>248</v>
      </c>
      <c r="C139" s="31">
        <v>4301051476</v>
      </c>
      <c r="D139" s="551">
        <v>4680115882584</v>
      </c>
      <c r="E139" s="552"/>
      <c r="F139" s="546">
        <v>0.33</v>
      </c>
      <c r="G139" s="32">
        <v>8</v>
      </c>
      <c r="H139" s="546">
        <v>2.64</v>
      </c>
      <c r="I139" s="546">
        <v>2.9079999999999999</v>
      </c>
      <c r="J139" s="32">
        <v>182</v>
      </c>
      <c r="K139" s="32" t="s">
        <v>67</v>
      </c>
      <c r="L139" s="32" t="s">
        <v>91</v>
      </c>
      <c r="M139" s="33" t="s">
        <v>99</v>
      </c>
      <c r="N139" s="33"/>
      <c r="O139" s="32">
        <v>60</v>
      </c>
      <c r="P139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68"/>
      <c r="R139" s="568"/>
      <c r="S139" s="568"/>
      <c r="T139" s="569"/>
      <c r="U139" s="34"/>
      <c r="V139" s="34"/>
      <c r="W139" s="35" t="s">
        <v>69</v>
      </c>
      <c r="X139" s="547">
        <v>0</v>
      </c>
      <c r="Y139" s="548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 t="s">
        <v>93</v>
      </c>
      <c r="AK139" s="68">
        <v>36.96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idden="1" x14ac:dyDescent="0.2">
      <c r="A140" s="558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59"/>
      <c r="P140" s="553" t="s">
        <v>75</v>
      </c>
      <c r="Q140" s="554"/>
      <c r="R140" s="554"/>
      <c r="S140" s="554"/>
      <c r="T140" s="554"/>
      <c r="U140" s="554"/>
      <c r="V140" s="555"/>
      <c r="W140" s="37" t="s">
        <v>76</v>
      </c>
      <c r="X140" s="549">
        <f>IFERROR(X138/H138,"0")+IFERROR(X139/H139,"0")</f>
        <v>0</v>
      </c>
      <c r="Y140" s="549">
        <f>IFERROR(Y138/H138,"0")+IFERROR(Y139/H139,"0")</f>
        <v>0</v>
      </c>
      <c r="Z140" s="549">
        <f>IFERROR(IF(Z138="",0,Z138),"0")+IFERROR(IF(Z139="",0,Z139),"0")</f>
        <v>0</v>
      </c>
      <c r="AA140" s="550"/>
      <c r="AB140" s="550"/>
      <c r="AC140" s="550"/>
    </row>
    <row r="141" spans="1:68" hidden="1" x14ac:dyDescent="0.2">
      <c r="A141" s="557"/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9"/>
      <c r="P141" s="553" t="s">
        <v>75</v>
      </c>
      <c r="Q141" s="554"/>
      <c r="R141" s="554"/>
      <c r="S141" s="554"/>
      <c r="T141" s="554"/>
      <c r="U141" s="554"/>
      <c r="V141" s="555"/>
      <c r="W141" s="37" t="s">
        <v>69</v>
      </c>
      <c r="X141" s="549">
        <f>IFERROR(SUM(X138:X139),"0")</f>
        <v>0</v>
      </c>
      <c r="Y141" s="549">
        <f>IFERROR(SUM(Y138:Y139),"0")</f>
        <v>0</v>
      </c>
      <c r="Z141" s="37"/>
      <c r="AA141" s="550"/>
      <c r="AB141" s="550"/>
      <c r="AC141" s="550"/>
    </row>
    <row r="142" spans="1:68" ht="16.5" hidden="1" customHeight="1" x14ac:dyDescent="0.25">
      <c r="A142" s="574" t="s">
        <v>102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2"/>
      <c r="AB142" s="542"/>
      <c r="AC142" s="542"/>
    </row>
    <row r="143" spans="1:68" ht="14.25" hidden="1" customHeight="1" x14ac:dyDescent="0.25">
      <c r="A143" s="556" t="s">
        <v>104</v>
      </c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7"/>
      <c r="P143" s="557"/>
      <c r="Q143" s="557"/>
      <c r="R143" s="557"/>
      <c r="S143" s="557"/>
      <c r="T143" s="557"/>
      <c r="U143" s="557"/>
      <c r="V143" s="557"/>
      <c r="W143" s="557"/>
      <c r="X143" s="557"/>
      <c r="Y143" s="557"/>
      <c r="Z143" s="557"/>
      <c r="AA143" s="543"/>
      <c r="AB143" s="543"/>
      <c r="AC143" s="543"/>
    </row>
    <row r="144" spans="1:68" ht="27" hidden="1" customHeight="1" x14ac:dyDescent="0.25">
      <c r="A144" s="54" t="s">
        <v>249</v>
      </c>
      <c r="B144" s="54" t="s">
        <v>250</v>
      </c>
      <c r="C144" s="31">
        <v>4301012244</v>
      </c>
      <c r="D144" s="551">
        <v>4680115887374</v>
      </c>
      <c r="E144" s="552"/>
      <c r="F144" s="546">
        <v>1.6</v>
      </c>
      <c r="G144" s="32">
        <v>8</v>
      </c>
      <c r="H144" s="546">
        <v>12.8</v>
      </c>
      <c r="I144" s="546">
        <v>13.21</v>
      </c>
      <c r="J144" s="32">
        <v>64</v>
      </c>
      <c r="K144" s="32" t="s">
        <v>107</v>
      </c>
      <c r="L144" s="32"/>
      <c r="M144" s="33" t="s">
        <v>109</v>
      </c>
      <c r="N144" s="33"/>
      <c r="O144" s="32">
        <v>55</v>
      </c>
      <c r="P144" s="6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68"/>
      <c r="R144" s="568"/>
      <c r="S144" s="568"/>
      <c r="T144" s="569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hidden="1" customHeight="1" x14ac:dyDescent="0.25">
      <c r="A145" s="54" t="s">
        <v>252</v>
      </c>
      <c r="B145" s="54" t="s">
        <v>253</v>
      </c>
      <c r="C145" s="31">
        <v>4301011705</v>
      </c>
      <c r="D145" s="551">
        <v>4607091384604</v>
      </c>
      <c r="E145" s="552"/>
      <c r="F145" s="546">
        <v>0.4</v>
      </c>
      <c r="G145" s="32">
        <v>10</v>
      </c>
      <c r="H145" s="546">
        <v>4</v>
      </c>
      <c r="I145" s="546">
        <v>4.1900000000000004</v>
      </c>
      <c r="J145" s="32">
        <v>132</v>
      </c>
      <c r="K145" s="32" t="s">
        <v>113</v>
      </c>
      <c r="L145" s="32" t="s">
        <v>116</v>
      </c>
      <c r="M145" s="33" t="s">
        <v>109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68"/>
      <c r="R145" s="568"/>
      <c r="S145" s="568"/>
      <c r="T145" s="569"/>
      <c r="U145" s="34"/>
      <c r="V145" s="34"/>
      <c r="W145" s="35" t="s">
        <v>69</v>
      </c>
      <c r="X145" s="547">
        <v>0</v>
      </c>
      <c r="Y145" s="548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 t="s">
        <v>93</v>
      </c>
      <c r="AK145" s="68">
        <v>48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558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59"/>
      <c r="P146" s="553" t="s">
        <v>75</v>
      </c>
      <c r="Q146" s="554"/>
      <c r="R146" s="554"/>
      <c r="S146" s="554"/>
      <c r="T146" s="554"/>
      <c r="U146" s="554"/>
      <c r="V146" s="555"/>
      <c r="W146" s="37" t="s">
        <v>76</v>
      </c>
      <c r="X146" s="549">
        <f>IFERROR(X144/H144,"0")+IFERROR(X145/H145,"0")</f>
        <v>0</v>
      </c>
      <c r="Y146" s="549">
        <f>IFERROR(Y144/H144,"0")+IFERROR(Y145/H145,"0")</f>
        <v>0</v>
      </c>
      <c r="Z146" s="549">
        <f>IFERROR(IF(Z144="",0,Z144),"0")+IFERROR(IF(Z145="",0,Z145),"0")</f>
        <v>0</v>
      </c>
      <c r="AA146" s="550"/>
      <c r="AB146" s="550"/>
      <c r="AC146" s="550"/>
    </row>
    <row r="147" spans="1:68" hidden="1" x14ac:dyDescent="0.2">
      <c r="A147" s="557"/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9"/>
      <c r="P147" s="553" t="s">
        <v>75</v>
      </c>
      <c r="Q147" s="554"/>
      <c r="R147" s="554"/>
      <c r="S147" s="554"/>
      <c r="T147" s="554"/>
      <c r="U147" s="554"/>
      <c r="V147" s="555"/>
      <c r="W147" s="37" t="s">
        <v>69</v>
      </c>
      <c r="X147" s="549">
        <f>IFERROR(SUM(X144:X145),"0")</f>
        <v>0</v>
      </c>
      <c r="Y147" s="549">
        <f>IFERROR(SUM(Y144:Y145),"0")</f>
        <v>0</v>
      </c>
      <c r="Z147" s="37"/>
      <c r="AA147" s="550"/>
      <c r="AB147" s="550"/>
      <c r="AC147" s="550"/>
    </row>
    <row r="148" spans="1:68" ht="14.25" hidden="1" customHeight="1" x14ac:dyDescent="0.25">
      <c r="A148" s="556" t="s">
        <v>64</v>
      </c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7"/>
      <c r="P148" s="557"/>
      <c r="Q148" s="557"/>
      <c r="R148" s="557"/>
      <c r="S148" s="557"/>
      <c r="T148" s="557"/>
      <c r="U148" s="557"/>
      <c r="V148" s="557"/>
      <c r="W148" s="557"/>
      <c r="X148" s="557"/>
      <c r="Y148" s="557"/>
      <c r="Z148" s="557"/>
      <c r="AA148" s="543"/>
      <c r="AB148" s="543"/>
      <c r="AC148" s="543"/>
    </row>
    <row r="149" spans="1:68" ht="16.5" hidden="1" customHeight="1" x14ac:dyDescent="0.25">
      <c r="A149" s="54" t="s">
        <v>255</v>
      </c>
      <c r="B149" s="54" t="s">
        <v>256</v>
      </c>
      <c r="C149" s="31">
        <v>4301030895</v>
      </c>
      <c r="D149" s="551">
        <v>4607091387667</v>
      </c>
      <c r="E149" s="552"/>
      <c r="F149" s="546">
        <v>0.9</v>
      </c>
      <c r="G149" s="32">
        <v>10</v>
      </c>
      <c r="H149" s="546">
        <v>9</v>
      </c>
      <c r="I149" s="546">
        <v>9.56</v>
      </c>
      <c r="J149" s="32">
        <v>64</v>
      </c>
      <c r="K149" s="32" t="s">
        <v>107</v>
      </c>
      <c r="L149" s="32" t="s">
        <v>108</v>
      </c>
      <c r="M149" s="33" t="s">
        <v>109</v>
      </c>
      <c r="N149" s="33"/>
      <c r="O149" s="32">
        <v>40</v>
      </c>
      <c r="P149" s="85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68"/>
      <c r="R149" s="568"/>
      <c r="S149" s="568"/>
      <c r="T149" s="569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 t="s">
        <v>93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hidden="1" customHeight="1" x14ac:dyDescent="0.25">
      <c r="A150" s="54" t="s">
        <v>258</v>
      </c>
      <c r="B150" s="54" t="s">
        <v>259</v>
      </c>
      <c r="C150" s="31">
        <v>4301030961</v>
      </c>
      <c r="D150" s="551">
        <v>4607091387636</v>
      </c>
      <c r="E150" s="552"/>
      <c r="F150" s="546">
        <v>0.7</v>
      </c>
      <c r="G150" s="32">
        <v>6</v>
      </c>
      <c r="H150" s="546">
        <v>4.2</v>
      </c>
      <c r="I150" s="546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8"/>
      <c r="R150" s="568"/>
      <c r="S150" s="568"/>
      <c r="T150" s="569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51">
        <v>4607091382426</v>
      </c>
      <c r="E151" s="552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107</v>
      </c>
      <c r="L151" s="32" t="s">
        <v>108</v>
      </c>
      <c r="M151" s="33" t="s">
        <v>68</v>
      </c>
      <c r="N151" s="33"/>
      <c r="O151" s="32">
        <v>40</v>
      </c>
      <c r="P151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8"/>
      <c r="R151" s="568"/>
      <c r="S151" s="568"/>
      <c r="T151" s="569"/>
      <c r="U151" s="34"/>
      <c r="V151" s="34"/>
      <c r="W151" s="35" t="s">
        <v>69</v>
      </c>
      <c r="X151" s="547">
        <v>30</v>
      </c>
      <c r="Y151" s="548">
        <f>IFERROR(IF(X151="",0,CEILING((X151/$H151),1)*$H151),"")</f>
        <v>36</v>
      </c>
      <c r="Z151" s="36">
        <f>IFERROR(IF(Y151=0,"",ROUNDUP(Y151/H151,0)*0.01898),"")</f>
        <v>7.5920000000000001E-2</v>
      </c>
      <c r="AA151" s="56"/>
      <c r="AB151" s="57"/>
      <c r="AC151" s="193" t="s">
        <v>263</v>
      </c>
      <c r="AG151" s="64"/>
      <c r="AJ151" s="68" t="s">
        <v>93</v>
      </c>
      <c r="AK151" s="68">
        <v>72</v>
      </c>
      <c r="BB151" s="194" t="s">
        <v>1</v>
      </c>
      <c r="BM151" s="64">
        <f>IFERROR(X151*I151/H151,"0")</f>
        <v>31.866666666666667</v>
      </c>
      <c r="BN151" s="64">
        <f>IFERROR(Y151*I151/H151,"0")</f>
        <v>38.24</v>
      </c>
      <c r="BO151" s="64">
        <f>IFERROR(1/J151*(X151/H151),"0")</f>
        <v>5.2083333333333336E-2</v>
      </c>
      <c r="BP151" s="64">
        <f>IFERROR(1/J151*(Y151/H151),"0")</f>
        <v>6.25E-2</v>
      </c>
    </row>
    <row r="152" spans="1:68" x14ac:dyDescent="0.2">
      <c r="A152" s="558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9"/>
      <c r="P152" s="553" t="s">
        <v>75</v>
      </c>
      <c r="Q152" s="554"/>
      <c r="R152" s="554"/>
      <c r="S152" s="554"/>
      <c r="T152" s="554"/>
      <c r="U152" s="554"/>
      <c r="V152" s="555"/>
      <c r="W152" s="37" t="s">
        <v>76</v>
      </c>
      <c r="X152" s="549">
        <f>IFERROR(X149/H149,"0")+IFERROR(X150/H150,"0")+IFERROR(X151/H151,"0")</f>
        <v>3.3333333333333335</v>
      </c>
      <c r="Y152" s="549">
        <f>IFERROR(Y149/H149,"0")+IFERROR(Y150/H150,"0")+IFERROR(Y151/H151,"0")</f>
        <v>4</v>
      </c>
      <c r="Z152" s="549">
        <f>IFERROR(IF(Z149="",0,Z149),"0")+IFERROR(IF(Z150="",0,Z150),"0")+IFERROR(IF(Z151="",0,Z151),"0")</f>
        <v>7.5920000000000001E-2</v>
      </c>
      <c r="AA152" s="550"/>
      <c r="AB152" s="550"/>
      <c r="AC152" s="550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9"/>
      <c r="P153" s="553" t="s">
        <v>75</v>
      </c>
      <c r="Q153" s="554"/>
      <c r="R153" s="554"/>
      <c r="S153" s="554"/>
      <c r="T153" s="554"/>
      <c r="U153" s="554"/>
      <c r="V153" s="555"/>
      <c r="W153" s="37" t="s">
        <v>69</v>
      </c>
      <c r="X153" s="549">
        <f>IFERROR(SUM(X149:X151),"0")</f>
        <v>30</v>
      </c>
      <c r="Y153" s="549">
        <f>IFERROR(SUM(Y149:Y151),"0")</f>
        <v>36</v>
      </c>
      <c r="Z153" s="37"/>
      <c r="AA153" s="550"/>
      <c r="AB153" s="550"/>
      <c r="AC153" s="550"/>
    </row>
    <row r="154" spans="1:68" ht="14.25" hidden="1" customHeight="1" x14ac:dyDescent="0.25">
      <c r="A154" s="556" t="s">
        <v>77</v>
      </c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7"/>
      <c r="P154" s="557"/>
      <c r="Q154" s="557"/>
      <c r="R154" s="557"/>
      <c r="S154" s="557"/>
      <c r="T154" s="557"/>
      <c r="U154" s="557"/>
      <c r="V154" s="557"/>
      <c r="W154" s="557"/>
      <c r="X154" s="557"/>
      <c r="Y154" s="557"/>
      <c r="Z154" s="557"/>
      <c r="AA154" s="543"/>
      <c r="AB154" s="543"/>
      <c r="AC154" s="543"/>
    </row>
    <row r="155" spans="1:68" ht="27" hidden="1" customHeight="1" x14ac:dyDescent="0.25">
      <c r="A155" s="54" t="s">
        <v>264</v>
      </c>
      <c r="B155" s="54" t="s">
        <v>265</v>
      </c>
      <c r="C155" s="31">
        <v>4301052064</v>
      </c>
      <c r="D155" s="551">
        <v>4680115887459</v>
      </c>
      <c r="E155" s="552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8"/>
      <c r="R155" s="568"/>
      <c r="S155" s="568"/>
      <c r="T155" s="569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8"/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9"/>
      <c r="P156" s="553" t="s">
        <v>75</v>
      </c>
      <c r="Q156" s="554"/>
      <c r="R156" s="554"/>
      <c r="S156" s="554"/>
      <c r="T156" s="554"/>
      <c r="U156" s="554"/>
      <c r="V156" s="555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7"/>
      <c r="B157" s="557"/>
      <c r="C157" s="557"/>
      <c r="D157" s="557"/>
      <c r="E157" s="557"/>
      <c r="F157" s="557"/>
      <c r="G157" s="557"/>
      <c r="H157" s="557"/>
      <c r="I157" s="557"/>
      <c r="J157" s="557"/>
      <c r="K157" s="557"/>
      <c r="L157" s="557"/>
      <c r="M157" s="557"/>
      <c r="N157" s="557"/>
      <c r="O157" s="559"/>
      <c r="P157" s="553" t="s">
        <v>75</v>
      </c>
      <c r="Q157" s="554"/>
      <c r="R157" s="554"/>
      <c r="S157" s="554"/>
      <c r="T157" s="554"/>
      <c r="U157" s="554"/>
      <c r="V157" s="555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563" t="s">
        <v>267</v>
      </c>
      <c r="B158" s="564"/>
      <c r="C158" s="564"/>
      <c r="D158" s="564"/>
      <c r="E158" s="564"/>
      <c r="F158" s="564"/>
      <c r="G158" s="564"/>
      <c r="H158" s="564"/>
      <c r="I158" s="564"/>
      <c r="J158" s="564"/>
      <c r="K158" s="564"/>
      <c r="L158" s="564"/>
      <c r="M158" s="564"/>
      <c r="N158" s="564"/>
      <c r="O158" s="564"/>
      <c r="P158" s="564"/>
      <c r="Q158" s="564"/>
      <c r="R158" s="564"/>
      <c r="S158" s="564"/>
      <c r="T158" s="564"/>
      <c r="U158" s="564"/>
      <c r="V158" s="564"/>
      <c r="W158" s="564"/>
      <c r="X158" s="564"/>
      <c r="Y158" s="564"/>
      <c r="Z158" s="564"/>
      <c r="AA158" s="48"/>
      <c r="AB158" s="48"/>
      <c r="AC158" s="48"/>
    </row>
    <row r="159" spans="1:68" ht="16.5" hidden="1" customHeight="1" x14ac:dyDescent="0.25">
      <c r="A159" s="574" t="s">
        <v>268</v>
      </c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7"/>
      <c r="P159" s="557"/>
      <c r="Q159" s="557"/>
      <c r="R159" s="557"/>
      <c r="S159" s="557"/>
      <c r="T159" s="557"/>
      <c r="U159" s="557"/>
      <c r="V159" s="557"/>
      <c r="W159" s="557"/>
      <c r="X159" s="557"/>
      <c r="Y159" s="557"/>
      <c r="Z159" s="557"/>
      <c r="AA159" s="542"/>
      <c r="AB159" s="542"/>
      <c r="AC159" s="542"/>
    </row>
    <row r="160" spans="1:68" ht="14.25" hidden="1" customHeight="1" x14ac:dyDescent="0.25">
      <c r="A160" s="556" t="s">
        <v>139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43"/>
      <c r="AB160" s="543"/>
      <c r="AC160" s="543"/>
    </row>
    <row r="161" spans="1:68" ht="27" hidden="1" customHeight="1" x14ac:dyDescent="0.25">
      <c r="A161" s="54" t="s">
        <v>269</v>
      </c>
      <c r="B161" s="54" t="s">
        <v>270</v>
      </c>
      <c r="C161" s="31">
        <v>4301020323</v>
      </c>
      <c r="D161" s="551">
        <v>4680115886223</v>
      </c>
      <c r="E161" s="552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8"/>
      <c r="R161" s="568"/>
      <c r="S161" s="568"/>
      <c r="T161" s="569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8"/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9"/>
      <c r="P162" s="553" t="s">
        <v>75</v>
      </c>
      <c r="Q162" s="554"/>
      <c r="R162" s="554"/>
      <c r="S162" s="554"/>
      <c r="T162" s="554"/>
      <c r="U162" s="554"/>
      <c r="V162" s="555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7"/>
      <c r="B163" s="557"/>
      <c r="C163" s="557"/>
      <c r="D163" s="557"/>
      <c r="E163" s="557"/>
      <c r="F163" s="557"/>
      <c r="G163" s="557"/>
      <c r="H163" s="557"/>
      <c r="I163" s="557"/>
      <c r="J163" s="557"/>
      <c r="K163" s="557"/>
      <c r="L163" s="557"/>
      <c r="M163" s="557"/>
      <c r="N163" s="557"/>
      <c r="O163" s="559"/>
      <c r="P163" s="553" t="s">
        <v>75</v>
      </c>
      <c r="Q163" s="554"/>
      <c r="R163" s="554"/>
      <c r="S163" s="554"/>
      <c r="T163" s="554"/>
      <c r="U163" s="554"/>
      <c r="V163" s="555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6" t="s">
        <v>64</v>
      </c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57"/>
      <c r="P164" s="557"/>
      <c r="Q164" s="557"/>
      <c r="R164" s="557"/>
      <c r="S164" s="557"/>
      <c r="T164" s="557"/>
      <c r="U164" s="557"/>
      <c r="V164" s="557"/>
      <c r="W164" s="557"/>
      <c r="X164" s="557"/>
      <c r="Y164" s="557"/>
      <c r="Z164" s="557"/>
      <c r="AA164" s="543"/>
      <c r="AB164" s="543"/>
      <c r="AC164" s="543"/>
    </row>
    <row r="165" spans="1:68" ht="37.5" hidden="1" customHeight="1" x14ac:dyDescent="0.25">
      <c r="A165" s="54" t="s">
        <v>272</v>
      </c>
      <c r="B165" s="54" t="s">
        <v>273</v>
      </c>
      <c r="C165" s="31">
        <v>4301031447</v>
      </c>
      <c r="D165" s="551">
        <v>4680115887565</v>
      </c>
      <c r="E165" s="552"/>
      <c r="F165" s="546">
        <v>0.08</v>
      </c>
      <c r="G165" s="32">
        <v>10</v>
      </c>
      <c r="H165" s="546">
        <v>0.8</v>
      </c>
      <c r="I165" s="546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9" t="s">
        <v>274</v>
      </c>
      <c r="Q165" s="568"/>
      <c r="R165" s="568"/>
      <c r="S165" s="568"/>
      <c r="T165" s="569"/>
      <c r="U165" s="34"/>
      <c r="V165" s="34"/>
      <c r="W165" s="35" t="s">
        <v>69</v>
      </c>
      <c r="X165" s="547">
        <v>0</v>
      </c>
      <c r="Y165" s="548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51">
        <v>4680115880993</v>
      </c>
      <c r="E166" s="552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113</v>
      </c>
      <c r="L166" s="32" t="s">
        <v>116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8"/>
      <c r="R166" s="568"/>
      <c r="S166" s="568"/>
      <c r="T166" s="569"/>
      <c r="U166" s="34"/>
      <c r="V166" s="34"/>
      <c r="W166" s="35" t="s">
        <v>69</v>
      </c>
      <c r="X166" s="547">
        <v>50</v>
      </c>
      <c r="Y166" s="548">
        <f t="shared" si="5"/>
        <v>50.400000000000006</v>
      </c>
      <c r="Z166" s="36">
        <f>IFERROR(IF(Y166=0,"",ROUNDUP(Y166/H166,0)*0.00902),"")</f>
        <v>0.10824</v>
      </c>
      <c r="AA166" s="56"/>
      <c r="AB166" s="57"/>
      <c r="AC166" s="201" t="s">
        <v>279</v>
      </c>
      <c r="AG166" s="64"/>
      <c r="AJ166" s="68" t="s">
        <v>93</v>
      </c>
      <c r="AK166" s="68">
        <v>50.4</v>
      </c>
      <c r="BB166" s="202" t="s">
        <v>1</v>
      </c>
      <c r="BM166" s="64">
        <f t="shared" si="6"/>
        <v>52.976190476190474</v>
      </c>
      <c r="BN166" s="64">
        <f t="shared" si="7"/>
        <v>53.400000000000006</v>
      </c>
      <c r="BO166" s="64">
        <f t="shared" si="8"/>
        <v>9.0187590187590191E-2</v>
      </c>
      <c r="BP166" s="64">
        <f t="shared" si="9"/>
        <v>9.0909090909090912E-2</v>
      </c>
    </row>
    <row r="167" spans="1:68" ht="27" hidden="1" customHeight="1" x14ac:dyDescent="0.25">
      <c r="A167" s="54" t="s">
        <v>280</v>
      </c>
      <c r="B167" s="54" t="s">
        <v>281</v>
      </c>
      <c r="C167" s="31">
        <v>4301031204</v>
      </c>
      <c r="D167" s="551">
        <v>4680115881761</v>
      </c>
      <c r="E167" s="552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113</v>
      </c>
      <c r="L167" s="32"/>
      <c r="M167" s="33" t="s">
        <v>68</v>
      </c>
      <c r="N167" s="33"/>
      <c r="O167" s="32">
        <v>40</v>
      </c>
      <c r="P167" s="67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8"/>
      <c r="R167" s="568"/>
      <c r="S167" s="568"/>
      <c r="T167" s="569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51">
        <v>4680115881563</v>
      </c>
      <c r="E168" s="552"/>
      <c r="F168" s="546">
        <v>0.7</v>
      </c>
      <c r="G168" s="32">
        <v>6</v>
      </c>
      <c r="H168" s="546">
        <v>4.2</v>
      </c>
      <c r="I168" s="546">
        <v>4.3899999999999997</v>
      </c>
      <c r="J168" s="32">
        <v>132</v>
      </c>
      <c r="K168" s="32" t="s">
        <v>113</v>
      </c>
      <c r="L168" s="32" t="s">
        <v>116</v>
      </c>
      <c r="M168" s="33" t="s">
        <v>68</v>
      </c>
      <c r="N168" s="33"/>
      <c r="O168" s="32">
        <v>40</v>
      </c>
      <c r="P168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8"/>
      <c r="R168" s="568"/>
      <c r="S168" s="568"/>
      <c r="T168" s="569"/>
      <c r="U168" s="34"/>
      <c r="V168" s="34"/>
      <c r="W168" s="35" t="s">
        <v>69</v>
      </c>
      <c r="X168" s="547">
        <v>20</v>
      </c>
      <c r="Y168" s="548">
        <f t="shared" si="5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285</v>
      </c>
      <c r="AG168" s="64"/>
      <c r="AJ168" s="68" t="s">
        <v>93</v>
      </c>
      <c r="AK168" s="68">
        <v>50.4</v>
      </c>
      <c r="BB168" s="206" t="s">
        <v>1</v>
      </c>
      <c r="BM168" s="64">
        <f t="shared" si="6"/>
        <v>20.904761904761902</v>
      </c>
      <c r="BN168" s="64">
        <f t="shared" si="7"/>
        <v>21.95</v>
      </c>
      <c r="BO168" s="64">
        <f t="shared" si="8"/>
        <v>3.6075036075036072E-2</v>
      </c>
      <c r="BP168" s="64">
        <f t="shared" si="9"/>
        <v>3.787878787878788E-2</v>
      </c>
    </row>
    <row r="169" spans="1:68" ht="27" hidden="1" customHeight="1" x14ac:dyDescent="0.25">
      <c r="A169" s="54" t="s">
        <v>286</v>
      </c>
      <c r="B169" s="54" t="s">
        <v>287</v>
      </c>
      <c r="C169" s="31">
        <v>4301031199</v>
      </c>
      <c r="D169" s="551">
        <v>4680115880986</v>
      </c>
      <c r="E169" s="552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73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8"/>
      <c r="R169" s="568"/>
      <c r="S169" s="568"/>
      <c r="T169" s="569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93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289</v>
      </c>
      <c r="B170" s="54" t="s">
        <v>290</v>
      </c>
      <c r="C170" s="31">
        <v>4301031443</v>
      </c>
      <c r="D170" s="551">
        <v>4680115887213</v>
      </c>
      <c r="E170" s="552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8"/>
      <c r="R170" s="568"/>
      <c r="S170" s="568"/>
      <c r="T170" s="569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292</v>
      </c>
      <c r="B171" s="54" t="s">
        <v>293</v>
      </c>
      <c r="C171" s="31">
        <v>4301031205</v>
      </c>
      <c r="D171" s="551">
        <v>4680115881785</v>
      </c>
      <c r="E171" s="552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8"/>
      <c r="R171" s="568"/>
      <c r="S171" s="568"/>
      <c r="T171" s="569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 t="s">
        <v>93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294</v>
      </c>
      <c r="B172" s="54" t="s">
        <v>295</v>
      </c>
      <c r="C172" s="31">
        <v>4301031399</v>
      </c>
      <c r="D172" s="551">
        <v>4680115886537</v>
      </c>
      <c r="E172" s="552"/>
      <c r="F172" s="546">
        <v>0.3</v>
      </c>
      <c r="G172" s="32">
        <v>6</v>
      </c>
      <c r="H172" s="546">
        <v>1.8</v>
      </c>
      <c r="I172" s="546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8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68"/>
      <c r="R172" s="568"/>
      <c r="S172" s="568"/>
      <c r="T172" s="569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297</v>
      </c>
      <c r="B173" s="54" t="s">
        <v>298</v>
      </c>
      <c r="C173" s="31">
        <v>4301031279</v>
      </c>
      <c r="D173" s="551">
        <v>4680115887596</v>
      </c>
      <c r="E173" s="552"/>
      <c r="F173" s="546">
        <v>0.08</v>
      </c>
      <c r="G173" s="32">
        <v>10</v>
      </c>
      <c r="H173" s="546">
        <v>0.8</v>
      </c>
      <c r="I173" s="546">
        <v>1.01</v>
      </c>
      <c r="J173" s="32">
        <v>336</v>
      </c>
      <c r="K173" s="32" t="s">
        <v>180</v>
      </c>
      <c r="L173" s="32"/>
      <c r="M173" s="33" t="s">
        <v>68</v>
      </c>
      <c r="N173" s="33"/>
      <c r="O173" s="32">
        <v>45</v>
      </c>
      <c r="P173" s="686" t="s">
        <v>299</v>
      </c>
      <c r="Q173" s="568"/>
      <c r="R173" s="568"/>
      <c r="S173" s="568"/>
      <c r="T173" s="569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hidden="1" customHeight="1" x14ac:dyDescent="0.25">
      <c r="A174" s="54" t="s">
        <v>301</v>
      </c>
      <c r="B174" s="54" t="s">
        <v>302</v>
      </c>
      <c r="C174" s="31">
        <v>4301031202</v>
      </c>
      <c r="D174" s="551">
        <v>4680115881679</v>
      </c>
      <c r="E174" s="552"/>
      <c r="F174" s="546">
        <v>0.35</v>
      </c>
      <c r="G174" s="32">
        <v>6</v>
      </c>
      <c r="H174" s="546">
        <v>2.1</v>
      </c>
      <c r="I174" s="546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5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68"/>
      <c r="R174" s="568"/>
      <c r="S174" s="568"/>
      <c r="T174" s="569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93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303</v>
      </c>
      <c r="B175" s="54" t="s">
        <v>304</v>
      </c>
      <c r="C175" s="31">
        <v>4301031158</v>
      </c>
      <c r="D175" s="551">
        <v>4680115880191</v>
      </c>
      <c r="E175" s="552"/>
      <c r="F175" s="546">
        <v>0.4</v>
      </c>
      <c r="G175" s="32">
        <v>6</v>
      </c>
      <c r="H175" s="546">
        <v>2.4</v>
      </c>
      <c r="I175" s="546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68"/>
      <c r="R175" s="568"/>
      <c r="S175" s="568"/>
      <c r="T175" s="569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305</v>
      </c>
      <c r="B176" s="54" t="s">
        <v>306</v>
      </c>
      <c r="C176" s="31">
        <v>4301031245</v>
      </c>
      <c r="D176" s="551">
        <v>4680115883963</v>
      </c>
      <c r="E176" s="552"/>
      <c r="F176" s="546">
        <v>0.28000000000000003</v>
      </c>
      <c r="G176" s="32">
        <v>6</v>
      </c>
      <c r="H176" s="546">
        <v>1.68</v>
      </c>
      <c r="I176" s="546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7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68"/>
      <c r="R176" s="568"/>
      <c r="S176" s="568"/>
      <c r="T176" s="569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58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9"/>
      <c r="P177" s="553" t="s">
        <v>75</v>
      </c>
      <c r="Q177" s="554"/>
      <c r="R177" s="554"/>
      <c r="S177" s="554"/>
      <c r="T177" s="554"/>
      <c r="U177" s="554"/>
      <c r="V177" s="555"/>
      <c r="W177" s="37" t="s">
        <v>76</v>
      </c>
      <c r="X177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16.666666666666668</v>
      </c>
      <c r="Y177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17</v>
      </c>
      <c r="Z177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0.15334</v>
      </c>
      <c r="AA177" s="550"/>
      <c r="AB177" s="550"/>
      <c r="AC177" s="550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9"/>
      <c r="P178" s="553" t="s">
        <v>75</v>
      </c>
      <c r="Q178" s="554"/>
      <c r="R178" s="554"/>
      <c r="S178" s="554"/>
      <c r="T178" s="554"/>
      <c r="U178" s="554"/>
      <c r="V178" s="555"/>
      <c r="W178" s="37" t="s">
        <v>69</v>
      </c>
      <c r="X178" s="549">
        <f>IFERROR(SUM(X165:X176),"0")</f>
        <v>70</v>
      </c>
      <c r="Y178" s="549">
        <f>IFERROR(SUM(Y165:Y176),"0")</f>
        <v>71.400000000000006</v>
      </c>
      <c r="Z178" s="37"/>
      <c r="AA178" s="550"/>
      <c r="AB178" s="550"/>
      <c r="AC178" s="550"/>
    </row>
    <row r="179" spans="1:68" ht="14.25" hidden="1" customHeight="1" x14ac:dyDescent="0.25">
      <c r="A179" s="556" t="s">
        <v>96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43"/>
      <c r="AB179" s="543"/>
      <c r="AC179" s="543"/>
    </row>
    <row r="180" spans="1:68" ht="27" hidden="1" customHeight="1" x14ac:dyDescent="0.25">
      <c r="A180" s="54" t="s">
        <v>308</v>
      </c>
      <c r="B180" s="54" t="s">
        <v>309</v>
      </c>
      <c r="C180" s="31">
        <v>4301032053</v>
      </c>
      <c r="D180" s="551">
        <v>4680115886780</v>
      </c>
      <c r="E180" s="552"/>
      <c r="F180" s="546">
        <v>7.0000000000000007E-2</v>
      </c>
      <c r="G180" s="32">
        <v>18</v>
      </c>
      <c r="H180" s="546">
        <v>1.26</v>
      </c>
      <c r="I180" s="546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68"/>
      <c r="R180" s="568"/>
      <c r="S180" s="568"/>
      <c r="T180" s="569"/>
      <c r="U180" s="34"/>
      <c r="V180" s="34"/>
      <c r="W180" s="35" t="s">
        <v>69</v>
      </c>
      <c r="X180" s="547">
        <v>0</v>
      </c>
      <c r="Y180" s="548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hidden="1" customHeight="1" x14ac:dyDescent="0.25">
      <c r="A181" s="54" t="s">
        <v>313</v>
      </c>
      <c r="B181" s="54" t="s">
        <v>314</v>
      </c>
      <c r="C181" s="31">
        <v>4301032051</v>
      </c>
      <c r="D181" s="551">
        <v>4680115886742</v>
      </c>
      <c r="E181" s="552"/>
      <c r="F181" s="546">
        <v>7.0000000000000007E-2</v>
      </c>
      <c r="G181" s="32">
        <v>18</v>
      </c>
      <c r="H181" s="546">
        <v>1.26</v>
      </c>
      <c r="I181" s="546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68"/>
      <c r="R181" s="568"/>
      <c r="S181" s="568"/>
      <c r="T181" s="569"/>
      <c r="U181" s="34"/>
      <c r="V181" s="34"/>
      <c r="W181" s="35" t="s">
        <v>69</v>
      </c>
      <c r="X181" s="547">
        <v>0</v>
      </c>
      <c r="Y181" s="548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316</v>
      </c>
      <c r="B182" s="54" t="s">
        <v>317</v>
      </c>
      <c r="C182" s="31">
        <v>4301032052</v>
      </c>
      <c r="D182" s="551">
        <v>4680115886766</v>
      </c>
      <c r="E182" s="552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68"/>
      <c r="R182" s="568"/>
      <c r="S182" s="568"/>
      <c r="T182" s="569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idden="1" x14ac:dyDescent="0.2">
      <c r="A183" s="558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9"/>
      <c r="P183" s="553" t="s">
        <v>75</v>
      </c>
      <c r="Q183" s="554"/>
      <c r="R183" s="554"/>
      <c r="S183" s="554"/>
      <c r="T183" s="554"/>
      <c r="U183" s="554"/>
      <c r="V183" s="555"/>
      <c r="W183" s="37" t="s">
        <v>76</v>
      </c>
      <c r="X183" s="549">
        <f>IFERROR(X180/H180,"0")+IFERROR(X181/H181,"0")+IFERROR(X182/H182,"0")</f>
        <v>0</v>
      </c>
      <c r="Y183" s="549">
        <f>IFERROR(Y180/H180,"0")+IFERROR(Y181/H181,"0")+IFERROR(Y182/H182,"0")</f>
        <v>0</v>
      </c>
      <c r="Z183" s="549">
        <f>IFERROR(IF(Z180="",0,Z180),"0")+IFERROR(IF(Z181="",0,Z181),"0")+IFERROR(IF(Z182="",0,Z182),"0")</f>
        <v>0</v>
      </c>
      <c r="AA183" s="550"/>
      <c r="AB183" s="550"/>
      <c r="AC183" s="550"/>
    </row>
    <row r="184" spans="1:68" hidden="1" x14ac:dyDescent="0.2">
      <c r="A184" s="557"/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9"/>
      <c r="P184" s="553" t="s">
        <v>75</v>
      </c>
      <c r="Q184" s="554"/>
      <c r="R184" s="554"/>
      <c r="S184" s="554"/>
      <c r="T184" s="554"/>
      <c r="U184" s="554"/>
      <c r="V184" s="555"/>
      <c r="W184" s="37" t="s">
        <v>69</v>
      </c>
      <c r="X184" s="549">
        <f>IFERROR(SUM(X180:X182),"0")</f>
        <v>0</v>
      </c>
      <c r="Y184" s="549">
        <f>IFERROR(SUM(Y180:Y182),"0")</f>
        <v>0</v>
      </c>
      <c r="Z184" s="37"/>
      <c r="AA184" s="550"/>
      <c r="AB184" s="550"/>
      <c r="AC184" s="550"/>
    </row>
    <row r="185" spans="1:68" ht="14.25" hidden="1" customHeight="1" x14ac:dyDescent="0.25">
      <c r="A185" s="556" t="s">
        <v>318</v>
      </c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57"/>
      <c r="P185" s="557"/>
      <c r="Q185" s="557"/>
      <c r="R185" s="557"/>
      <c r="S185" s="557"/>
      <c r="T185" s="557"/>
      <c r="U185" s="557"/>
      <c r="V185" s="557"/>
      <c r="W185" s="557"/>
      <c r="X185" s="557"/>
      <c r="Y185" s="557"/>
      <c r="Z185" s="557"/>
      <c r="AA185" s="543"/>
      <c r="AB185" s="543"/>
      <c r="AC185" s="543"/>
    </row>
    <row r="186" spans="1:68" ht="27" hidden="1" customHeight="1" x14ac:dyDescent="0.25">
      <c r="A186" s="54" t="s">
        <v>319</v>
      </c>
      <c r="B186" s="54" t="s">
        <v>320</v>
      </c>
      <c r="C186" s="31">
        <v>4301170013</v>
      </c>
      <c r="D186" s="551">
        <v>4680115886797</v>
      </c>
      <c r="E186" s="552"/>
      <c r="F186" s="546">
        <v>7.0000000000000007E-2</v>
      </c>
      <c r="G186" s="32">
        <v>18</v>
      </c>
      <c r="H186" s="546">
        <v>1.26</v>
      </c>
      <c r="I186" s="546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68"/>
      <c r="R186" s="568"/>
      <c r="S186" s="568"/>
      <c r="T186" s="569"/>
      <c r="U186" s="34"/>
      <c r="V186" s="34"/>
      <c r="W186" s="35" t="s">
        <v>69</v>
      </c>
      <c r="X186" s="547">
        <v>0</v>
      </c>
      <c r="Y186" s="548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9"/>
      <c r="P187" s="553" t="s">
        <v>75</v>
      </c>
      <c r="Q187" s="554"/>
      <c r="R187" s="554"/>
      <c r="S187" s="554"/>
      <c r="T187" s="554"/>
      <c r="U187" s="554"/>
      <c r="V187" s="555"/>
      <c r="W187" s="37" t="s">
        <v>76</v>
      </c>
      <c r="X187" s="549">
        <f>IFERROR(X186/H186,"0")</f>
        <v>0</v>
      </c>
      <c r="Y187" s="549">
        <f>IFERROR(Y186/H186,"0")</f>
        <v>0</v>
      </c>
      <c r="Z187" s="549">
        <f>IFERROR(IF(Z186="",0,Z186),"0")</f>
        <v>0</v>
      </c>
      <c r="AA187" s="550"/>
      <c r="AB187" s="550"/>
      <c r="AC187" s="550"/>
    </row>
    <row r="188" spans="1:68" hidden="1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9"/>
      <c r="P188" s="553" t="s">
        <v>75</v>
      </c>
      <c r="Q188" s="554"/>
      <c r="R188" s="554"/>
      <c r="S188" s="554"/>
      <c r="T188" s="554"/>
      <c r="U188" s="554"/>
      <c r="V188" s="555"/>
      <c r="W188" s="37" t="s">
        <v>69</v>
      </c>
      <c r="X188" s="549">
        <f>IFERROR(SUM(X186:X186),"0")</f>
        <v>0</v>
      </c>
      <c r="Y188" s="549">
        <f>IFERROR(SUM(Y186:Y186),"0")</f>
        <v>0</v>
      </c>
      <c r="Z188" s="37"/>
      <c r="AA188" s="550"/>
      <c r="AB188" s="550"/>
      <c r="AC188" s="550"/>
    </row>
    <row r="189" spans="1:68" ht="16.5" hidden="1" customHeight="1" x14ac:dyDescent="0.25">
      <c r="A189" s="574" t="s">
        <v>321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42"/>
      <c r="AB189" s="542"/>
      <c r="AC189" s="542"/>
    </row>
    <row r="190" spans="1:68" ht="14.25" hidden="1" customHeight="1" x14ac:dyDescent="0.25">
      <c r="A190" s="556" t="s">
        <v>104</v>
      </c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57"/>
      <c r="P190" s="557"/>
      <c r="Q190" s="557"/>
      <c r="R190" s="557"/>
      <c r="S190" s="557"/>
      <c r="T190" s="557"/>
      <c r="U190" s="557"/>
      <c r="V190" s="557"/>
      <c r="W190" s="557"/>
      <c r="X190" s="557"/>
      <c r="Y190" s="557"/>
      <c r="Z190" s="557"/>
      <c r="AA190" s="543"/>
      <c r="AB190" s="543"/>
      <c r="AC190" s="543"/>
    </row>
    <row r="191" spans="1:68" ht="27" hidden="1" customHeight="1" x14ac:dyDescent="0.25">
      <c r="A191" s="54" t="s">
        <v>322</v>
      </c>
      <c r="B191" s="54" t="s">
        <v>323</v>
      </c>
      <c r="C191" s="31">
        <v>4301011450</v>
      </c>
      <c r="D191" s="551">
        <v>4680115881402</v>
      </c>
      <c r="E191" s="552"/>
      <c r="F191" s="546">
        <v>1.35</v>
      </c>
      <c r="G191" s="32">
        <v>8</v>
      </c>
      <c r="H191" s="546">
        <v>10.8</v>
      </c>
      <c r="I191" s="546">
        <v>11.21</v>
      </c>
      <c r="J191" s="32">
        <v>64</v>
      </c>
      <c r="K191" s="32" t="s">
        <v>107</v>
      </c>
      <c r="L191" s="32"/>
      <c r="M191" s="33" t="s">
        <v>109</v>
      </c>
      <c r="N191" s="33"/>
      <c r="O191" s="32">
        <v>55</v>
      </c>
      <c r="P191" s="82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68"/>
      <c r="R191" s="568"/>
      <c r="S191" s="568"/>
      <c r="T191" s="569"/>
      <c r="U191" s="34"/>
      <c r="V191" s="34"/>
      <c r="W191" s="35" t="s">
        <v>69</v>
      </c>
      <c r="X191" s="547">
        <v>0</v>
      </c>
      <c r="Y191" s="548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325</v>
      </c>
      <c r="B192" s="54" t="s">
        <v>326</v>
      </c>
      <c r="C192" s="31">
        <v>4301011768</v>
      </c>
      <c r="D192" s="551">
        <v>4680115881396</v>
      </c>
      <c r="E192" s="552"/>
      <c r="F192" s="546">
        <v>0.45</v>
      </c>
      <c r="G192" s="32">
        <v>6</v>
      </c>
      <c r="H192" s="546">
        <v>2.7</v>
      </c>
      <c r="I192" s="546">
        <v>2.88</v>
      </c>
      <c r="J192" s="32">
        <v>182</v>
      </c>
      <c r="K192" s="32" t="s">
        <v>67</v>
      </c>
      <c r="L192" s="32" t="s">
        <v>91</v>
      </c>
      <c r="M192" s="33" t="s">
        <v>109</v>
      </c>
      <c r="N192" s="33"/>
      <c r="O192" s="32">
        <v>55</v>
      </c>
      <c r="P192" s="6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68"/>
      <c r="R192" s="568"/>
      <c r="S192" s="568"/>
      <c r="T192" s="569"/>
      <c r="U192" s="34"/>
      <c r="V192" s="34"/>
      <c r="W192" s="35" t="s">
        <v>69</v>
      </c>
      <c r="X192" s="547">
        <v>0</v>
      </c>
      <c r="Y192" s="54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93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8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9"/>
      <c r="P193" s="553" t="s">
        <v>75</v>
      </c>
      <c r="Q193" s="554"/>
      <c r="R193" s="554"/>
      <c r="S193" s="554"/>
      <c r="T193" s="554"/>
      <c r="U193" s="554"/>
      <c r="V193" s="555"/>
      <c r="W193" s="37" t="s">
        <v>76</v>
      </c>
      <c r="X193" s="549">
        <f>IFERROR(X191/H191,"0")+IFERROR(X192/H192,"0")</f>
        <v>0</v>
      </c>
      <c r="Y193" s="549">
        <f>IFERROR(Y191/H191,"0")+IFERROR(Y192/H192,"0")</f>
        <v>0</v>
      </c>
      <c r="Z193" s="549">
        <f>IFERROR(IF(Z191="",0,Z191),"0")+IFERROR(IF(Z192="",0,Z192),"0")</f>
        <v>0</v>
      </c>
      <c r="AA193" s="550"/>
      <c r="AB193" s="550"/>
      <c r="AC193" s="550"/>
    </row>
    <row r="194" spans="1:68" hidden="1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9"/>
      <c r="P194" s="553" t="s">
        <v>75</v>
      </c>
      <c r="Q194" s="554"/>
      <c r="R194" s="554"/>
      <c r="S194" s="554"/>
      <c r="T194" s="554"/>
      <c r="U194" s="554"/>
      <c r="V194" s="555"/>
      <c r="W194" s="37" t="s">
        <v>69</v>
      </c>
      <c r="X194" s="549">
        <f>IFERROR(SUM(X191:X192),"0")</f>
        <v>0</v>
      </c>
      <c r="Y194" s="549">
        <f>IFERROR(SUM(Y191:Y192),"0")</f>
        <v>0</v>
      </c>
      <c r="Z194" s="37"/>
      <c r="AA194" s="550"/>
      <c r="AB194" s="550"/>
      <c r="AC194" s="550"/>
    </row>
    <row r="195" spans="1:68" ht="14.25" hidden="1" customHeight="1" x14ac:dyDescent="0.25">
      <c r="A195" s="556" t="s">
        <v>139</v>
      </c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57"/>
      <c r="P195" s="557"/>
      <c r="Q195" s="557"/>
      <c r="R195" s="557"/>
      <c r="S195" s="557"/>
      <c r="T195" s="557"/>
      <c r="U195" s="557"/>
      <c r="V195" s="557"/>
      <c r="W195" s="557"/>
      <c r="X195" s="557"/>
      <c r="Y195" s="557"/>
      <c r="Z195" s="557"/>
      <c r="AA195" s="543"/>
      <c r="AB195" s="543"/>
      <c r="AC195" s="543"/>
    </row>
    <row r="196" spans="1:68" ht="16.5" hidden="1" customHeight="1" x14ac:dyDescent="0.25">
      <c r="A196" s="54" t="s">
        <v>327</v>
      </c>
      <c r="B196" s="54" t="s">
        <v>328</v>
      </c>
      <c r="C196" s="31">
        <v>4301020261</v>
      </c>
      <c r="D196" s="551">
        <v>4680115882935</v>
      </c>
      <c r="E196" s="552"/>
      <c r="F196" s="546">
        <v>1.35</v>
      </c>
      <c r="G196" s="32">
        <v>8</v>
      </c>
      <c r="H196" s="546">
        <v>10.8</v>
      </c>
      <c r="I196" s="546">
        <v>11.21</v>
      </c>
      <c r="J196" s="32">
        <v>64</v>
      </c>
      <c r="K196" s="32" t="s">
        <v>107</v>
      </c>
      <c r="L196" s="32"/>
      <c r="M196" s="33" t="s">
        <v>109</v>
      </c>
      <c r="N196" s="33"/>
      <c r="O196" s="32">
        <v>50</v>
      </c>
      <c r="P196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68"/>
      <c r="R196" s="568"/>
      <c r="S196" s="568"/>
      <c r="T196" s="569"/>
      <c r="U196" s="34"/>
      <c r="V196" s="34"/>
      <c r="W196" s="35" t="s">
        <v>69</v>
      </c>
      <c r="X196" s="547">
        <v>0</v>
      </c>
      <c r="Y196" s="548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330</v>
      </c>
      <c r="B197" s="54" t="s">
        <v>331</v>
      </c>
      <c r="C197" s="31">
        <v>4301020220</v>
      </c>
      <c r="D197" s="551">
        <v>4680115880764</v>
      </c>
      <c r="E197" s="552"/>
      <c r="F197" s="546">
        <v>0.35</v>
      </c>
      <c r="G197" s="32">
        <v>6</v>
      </c>
      <c r="H197" s="546">
        <v>2.1</v>
      </c>
      <c r="I197" s="546">
        <v>2.2799999999999998</v>
      </c>
      <c r="J197" s="32">
        <v>182</v>
      </c>
      <c r="K197" s="32" t="s">
        <v>67</v>
      </c>
      <c r="L197" s="32"/>
      <c r="M197" s="33" t="s">
        <v>109</v>
      </c>
      <c r="N197" s="33"/>
      <c r="O197" s="32">
        <v>50</v>
      </c>
      <c r="P197" s="68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68"/>
      <c r="R197" s="568"/>
      <c r="S197" s="568"/>
      <c r="T197" s="569"/>
      <c r="U197" s="34"/>
      <c r="V197" s="34"/>
      <c r="W197" s="35" t="s">
        <v>69</v>
      </c>
      <c r="X197" s="547">
        <v>0</v>
      </c>
      <c r="Y197" s="548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558"/>
      <c r="B198" s="557"/>
      <c r="C198" s="557"/>
      <c r="D198" s="557"/>
      <c r="E198" s="557"/>
      <c r="F198" s="557"/>
      <c r="G198" s="557"/>
      <c r="H198" s="557"/>
      <c r="I198" s="557"/>
      <c r="J198" s="557"/>
      <c r="K198" s="557"/>
      <c r="L198" s="557"/>
      <c r="M198" s="557"/>
      <c r="N198" s="557"/>
      <c r="O198" s="559"/>
      <c r="P198" s="553" t="s">
        <v>75</v>
      </c>
      <c r="Q198" s="554"/>
      <c r="R198" s="554"/>
      <c r="S198" s="554"/>
      <c r="T198" s="554"/>
      <c r="U198" s="554"/>
      <c r="V198" s="555"/>
      <c r="W198" s="37" t="s">
        <v>76</v>
      </c>
      <c r="X198" s="549">
        <f>IFERROR(X196/H196,"0")+IFERROR(X197/H197,"0")</f>
        <v>0</v>
      </c>
      <c r="Y198" s="549">
        <f>IFERROR(Y196/H196,"0")+IFERROR(Y197/H197,"0")</f>
        <v>0</v>
      </c>
      <c r="Z198" s="549">
        <f>IFERROR(IF(Z196="",0,Z196),"0")+IFERROR(IF(Z197="",0,Z197),"0")</f>
        <v>0</v>
      </c>
      <c r="AA198" s="550"/>
      <c r="AB198" s="550"/>
      <c r="AC198" s="550"/>
    </row>
    <row r="199" spans="1:68" hidden="1" x14ac:dyDescent="0.2">
      <c r="A199" s="557"/>
      <c r="B199" s="557"/>
      <c r="C199" s="557"/>
      <c r="D199" s="557"/>
      <c r="E199" s="557"/>
      <c r="F199" s="557"/>
      <c r="G199" s="557"/>
      <c r="H199" s="557"/>
      <c r="I199" s="557"/>
      <c r="J199" s="557"/>
      <c r="K199" s="557"/>
      <c r="L199" s="557"/>
      <c r="M199" s="557"/>
      <c r="N199" s="557"/>
      <c r="O199" s="559"/>
      <c r="P199" s="553" t="s">
        <v>75</v>
      </c>
      <c r="Q199" s="554"/>
      <c r="R199" s="554"/>
      <c r="S199" s="554"/>
      <c r="T199" s="554"/>
      <c r="U199" s="554"/>
      <c r="V199" s="555"/>
      <c r="W199" s="37" t="s">
        <v>69</v>
      </c>
      <c r="X199" s="549">
        <f>IFERROR(SUM(X196:X197),"0")</f>
        <v>0</v>
      </c>
      <c r="Y199" s="549">
        <f>IFERROR(SUM(Y196:Y197),"0")</f>
        <v>0</v>
      </c>
      <c r="Z199" s="37"/>
      <c r="AA199" s="550"/>
      <c r="AB199" s="550"/>
      <c r="AC199" s="550"/>
    </row>
    <row r="200" spans="1:68" ht="14.25" hidden="1" customHeight="1" x14ac:dyDescent="0.25">
      <c r="A200" s="556" t="s">
        <v>64</v>
      </c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57"/>
      <c r="P200" s="557"/>
      <c r="Q200" s="557"/>
      <c r="R200" s="557"/>
      <c r="S200" s="557"/>
      <c r="T200" s="557"/>
      <c r="U200" s="557"/>
      <c r="V200" s="557"/>
      <c r="W200" s="557"/>
      <c r="X200" s="557"/>
      <c r="Y200" s="557"/>
      <c r="Z200" s="557"/>
      <c r="AA200" s="543"/>
      <c r="AB200" s="543"/>
      <c r="AC200" s="543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51">
        <v>4680115882683</v>
      </c>
      <c r="E201" s="552"/>
      <c r="F201" s="546">
        <v>0.9</v>
      </c>
      <c r="G201" s="32">
        <v>6</v>
      </c>
      <c r="H201" s="546">
        <v>5.4</v>
      </c>
      <c r="I201" s="546">
        <v>5.59</v>
      </c>
      <c r="J201" s="32">
        <v>132</v>
      </c>
      <c r="K201" s="32" t="s">
        <v>113</v>
      </c>
      <c r="L201" s="32" t="s">
        <v>116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68"/>
      <c r="R201" s="568"/>
      <c r="S201" s="568"/>
      <c r="T201" s="569"/>
      <c r="U201" s="34"/>
      <c r="V201" s="34"/>
      <c r="W201" s="35" t="s">
        <v>69</v>
      </c>
      <c r="X201" s="547">
        <v>200</v>
      </c>
      <c r="Y201" s="548">
        <f t="shared" ref="Y201:Y208" si="10">IFERROR(IF(X201="",0,CEILING((X201/$H201),1)*$H201),"")</f>
        <v>205.20000000000002</v>
      </c>
      <c r="Z201" s="36">
        <f>IFERROR(IF(Y201=0,"",ROUNDUP(Y201/H201,0)*0.00902),"")</f>
        <v>0.34276000000000001</v>
      </c>
      <c r="AA201" s="56"/>
      <c r="AB201" s="57"/>
      <c r="AC201" s="239" t="s">
        <v>334</v>
      </c>
      <c r="AG201" s="64"/>
      <c r="AJ201" s="68" t="s">
        <v>93</v>
      </c>
      <c r="AK201" s="68">
        <v>64.8</v>
      </c>
      <c r="BB201" s="240" t="s">
        <v>1</v>
      </c>
      <c r="BM201" s="64">
        <f t="shared" ref="BM201:BM208" si="11">IFERROR(X201*I201/H201,"0")</f>
        <v>207.03703703703701</v>
      </c>
      <c r="BN201" s="64">
        <f t="shared" ref="BN201:BN208" si="12">IFERROR(Y201*I201/H201,"0")</f>
        <v>212.42</v>
      </c>
      <c r="BO201" s="64">
        <f t="shared" ref="BO201:BO208" si="13">IFERROR(1/J201*(X201/H201),"0")</f>
        <v>0.28058361391694725</v>
      </c>
      <c r="BP201" s="64">
        <f t="shared" ref="BP201:BP208" si="14">IFERROR(1/J201*(Y201/H201),"0")</f>
        <v>0.2878787878787879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51">
        <v>4680115882690</v>
      </c>
      <c r="E202" s="552"/>
      <c r="F202" s="546">
        <v>0.9</v>
      </c>
      <c r="G202" s="32">
        <v>6</v>
      </c>
      <c r="H202" s="546">
        <v>5.4</v>
      </c>
      <c r="I202" s="546">
        <v>5.59</v>
      </c>
      <c r="J202" s="32">
        <v>132</v>
      </c>
      <c r="K202" s="32" t="s">
        <v>113</v>
      </c>
      <c r="L202" s="32" t="s">
        <v>116</v>
      </c>
      <c r="M202" s="33" t="s">
        <v>68</v>
      </c>
      <c r="N202" s="33"/>
      <c r="O202" s="32">
        <v>40</v>
      </c>
      <c r="P202" s="87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68"/>
      <c r="R202" s="568"/>
      <c r="S202" s="568"/>
      <c r="T202" s="569"/>
      <c r="U202" s="34"/>
      <c r="V202" s="34"/>
      <c r="W202" s="35" t="s">
        <v>69</v>
      </c>
      <c r="X202" s="547">
        <v>120</v>
      </c>
      <c r="Y202" s="548">
        <f t="shared" si="10"/>
        <v>124.2</v>
      </c>
      <c r="Z202" s="36">
        <f>IFERROR(IF(Y202=0,"",ROUNDUP(Y202/H202,0)*0.00902),"")</f>
        <v>0.20746000000000001</v>
      </c>
      <c r="AA202" s="56"/>
      <c r="AB202" s="57"/>
      <c r="AC202" s="241" t="s">
        <v>337</v>
      </c>
      <c r="AG202" s="64"/>
      <c r="AJ202" s="68" t="s">
        <v>93</v>
      </c>
      <c r="AK202" s="68">
        <v>64.8</v>
      </c>
      <c r="BB202" s="242" t="s">
        <v>1</v>
      </c>
      <c r="BM202" s="64">
        <f t="shared" si="11"/>
        <v>124.2222222222222</v>
      </c>
      <c r="BN202" s="64">
        <f t="shared" si="12"/>
        <v>128.57</v>
      </c>
      <c r="BO202" s="64">
        <f t="shared" si="13"/>
        <v>0.16835016835016836</v>
      </c>
      <c r="BP202" s="64">
        <f t="shared" si="14"/>
        <v>0.17424242424242425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51">
        <v>4680115882669</v>
      </c>
      <c r="E203" s="552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113</v>
      </c>
      <c r="L203" s="32" t="s">
        <v>116</v>
      </c>
      <c r="M203" s="33" t="s">
        <v>68</v>
      </c>
      <c r="N203" s="33"/>
      <c r="O203" s="32">
        <v>40</v>
      </c>
      <c r="P203" s="7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68"/>
      <c r="R203" s="568"/>
      <c r="S203" s="568"/>
      <c r="T203" s="569"/>
      <c r="U203" s="34"/>
      <c r="V203" s="34"/>
      <c r="W203" s="35" t="s">
        <v>69</v>
      </c>
      <c r="X203" s="547">
        <v>100</v>
      </c>
      <c r="Y203" s="548">
        <f t="shared" si="10"/>
        <v>102.60000000000001</v>
      </c>
      <c r="Z203" s="36">
        <f>IFERROR(IF(Y203=0,"",ROUNDUP(Y203/H203,0)*0.00902),"")</f>
        <v>0.17138</v>
      </c>
      <c r="AA203" s="56"/>
      <c r="AB203" s="57"/>
      <c r="AC203" s="243" t="s">
        <v>340</v>
      </c>
      <c r="AG203" s="64"/>
      <c r="AJ203" s="68" t="s">
        <v>93</v>
      </c>
      <c r="AK203" s="68">
        <v>64.8</v>
      </c>
      <c r="BB203" s="244" t="s">
        <v>1</v>
      </c>
      <c r="BM203" s="64">
        <f t="shared" si="11"/>
        <v>103.5185185185185</v>
      </c>
      <c r="BN203" s="64">
        <f t="shared" si="12"/>
        <v>106.21</v>
      </c>
      <c r="BO203" s="64">
        <f t="shared" si="13"/>
        <v>0.14029180695847362</v>
      </c>
      <c r="BP203" s="64">
        <f t="shared" si="14"/>
        <v>0.14393939393939395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51">
        <v>4680115882676</v>
      </c>
      <c r="E204" s="552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113</v>
      </c>
      <c r="L204" s="32" t="s">
        <v>116</v>
      </c>
      <c r="M204" s="33" t="s">
        <v>68</v>
      </c>
      <c r="N204" s="33"/>
      <c r="O204" s="32">
        <v>40</v>
      </c>
      <c r="P204" s="73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68"/>
      <c r="R204" s="568"/>
      <c r="S204" s="568"/>
      <c r="T204" s="569"/>
      <c r="U204" s="34"/>
      <c r="V204" s="34"/>
      <c r="W204" s="35" t="s">
        <v>69</v>
      </c>
      <c r="X204" s="547">
        <v>320</v>
      </c>
      <c r="Y204" s="548">
        <f t="shared" si="10"/>
        <v>324</v>
      </c>
      <c r="Z204" s="36">
        <f>IFERROR(IF(Y204=0,"",ROUNDUP(Y204/H204,0)*0.00902),"")</f>
        <v>0.54120000000000001</v>
      </c>
      <c r="AA204" s="56"/>
      <c r="AB204" s="57"/>
      <c r="AC204" s="245" t="s">
        <v>343</v>
      </c>
      <c r="AG204" s="64"/>
      <c r="AJ204" s="68" t="s">
        <v>93</v>
      </c>
      <c r="AK204" s="68">
        <v>64.8</v>
      </c>
      <c r="BB204" s="246" t="s">
        <v>1</v>
      </c>
      <c r="BM204" s="64">
        <f t="shared" si="11"/>
        <v>331.25925925925924</v>
      </c>
      <c r="BN204" s="64">
        <f t="shared" si="12"/>
        <v>335.4</v>
      </c>
      <c r="BO204" s="64">
        <f t="shared" si="13"/>
        <v>0.44893378226711556</v>
      </c>
      <c r="BP204" s="64">
        <f t="shared" si="14"/>
        <v>0.45454545454545453</v>
      </c>
    </row>
    <row r="205" spans="1:68" ht="27" hidden="1" customHeight="1" x14ac:dyDescent="0.25">
      <c r="A205" s="54" t="s">
        <v>344</v>
      </c>
      <c r="B205" s="54" t="s">
        <v>345</v>
      </c>
      <c r="C205" s="31">
        <v>4301031223</v>
      </c>
      <c r="D205" s="551">
        <v>4680115884014</v>
      </c>
      <c r="E205" s="552"/>
      <c r="F205" s="546">
        <v>0.3</v>
      </c>
      <c r="G205" s="32">
        <v>6</v>
      </c>
      <c r="H205" s="546">
        <v>1.8</v>
      </c>
      <c r="I205" s="546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68"/>
      <c r="R205" s="568"/>
      <c r="S205" s="568"/>
      <c r="T205" s="569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93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346</v>
      </c>
      <c r="B206" s="54" t="s">
        <v>347</v>
      </c>
      <c r="C206" s="31">
        <v>4301031222</v>
      </c>
      <c r="D206" s="551">
        <v>4680115884007</v>
      </c>
      <c r="E206" s="552"/>
      <c r="F206" s="546">
        <v>0.3</v>
      </c>
      <c r="G206" s="32">
        <v>6</v>
      </c>
      <c r="H206" s="546">
        <v>1.8</v>
      </c>
      <c r="I206" s="546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68"/>
      <c r="R206" s="568"/>
      <c r="S206" s="568"/>
      <c r="T206" s="569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93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4301031229</v>
      </c>
      <c r="D207" s="551">
        <v>4680115884038</v>
      </c>
      <c r="E207" s="552"/>
      <c r="F207" s="546">
        <v>0.3</v>
      </c>
      <c r="G207" s="32">
        <v>6</v>
      </c>
      <c r="H207" s="546">
        <v>1.8</v>
      </c>
      <c r="I207" s="546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68"/>
      <c r="R207" s="568"/>
      <c r="S207" s="568"/>
      <c r="T207" s="569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350</v>
      </c>
      <c r="B208" s="54" t="s">
        <v>351</v>
      </c>
      <c r="C208" s="31">
        <v>4301031225</v>
      </c>
      <c r="D208" s="551">
        <v>4680115884021</v>
      </c>
      <c r="E208" s="552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68"/>
      <c r="R208" s="568"/>
      <c r="S208" s="568"/>
      <c r="T208" s="569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93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58"/>
      <c r="B209" s="557"/>
      <c r="C209" s="557"/>
      <c r="D209" s="557"/>
      <c r="E209" s="557"/>
      <c r="F209" s="557"/>
      <c r="G209" s="557"/>
      <c r="H209" s="557"/>
      <c r="I209" s="557"/>
      <c r="J209" s="557"/>
      <c r="K209" s="557"/>
      <c r="L209" s="557"/>
      <c r="M209" s="557"/>
      <c r="N209" s="557"/>
      <c r="O209" s="559"/>
      <c r="P209" s="553" t="s">
        <v>75</v>
      </c>
      <c r="Q209" s="554"/>
      <c r="R209" s="554"/>
      <c r="S209" s="554"/>
      <c r="T209" s="554"/>
      <c r="U209" s="554"/>
      <c r="V209" s="555"/>
      <c r="W209" s="37" t="s">
        <v>76</v>
      </c>
      <c r="X209" s="549">
        <f>IFERROR(X201/H201,"0")+IFERROR(X202/H202,"0")+IFERROR(X203/H203,"0")+IFERROR(X204/H204,"0")+IFERROR(X205/H205,"0")+IFERROR(X206/H206,"0")+IFERROR(X207/H207,"0")+IFERROR(X208/H208,"0")</f>
        <v>137.03703703703701</v>
      </c>
      <c r="Y209" s="549">
        <f>IFERROR(Y201/H201,"0")+IFERROR(Y202/H202,"0")+IFERROR(Y203/H203,"0")+IFERROR(Y204/H204,"0")+IFERROR(Y205/H205,"0")+IFERROR(Y206/H206,"0")+IFERROR(Y207/H207,"0")+IFERROR(Y208/H208,"0")</f>
        <v>140</v>
      </c>
      <c r="Z209" s="549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1.2627999999999999</v>
      </c>
      <c r="AA209" s="550"/>
      <c r="AB209" s="550"/>
      <c r="AC209" s="550"/>
    </row>
    <row r="210" spans="1:68" x14ac:dyDescent="0.2">
      <c r="A210" s="557"/>
      <c r="B210" s="557"/>
      <c r="C210" s="557"/>
      <c r="D210" s="557"/>
      <c r="E210" s="557"/>
      <c r="F210" s="557"/>
      <c r="G210" s="557"/>
      <c r="H210" s="557"/>
      <c r="I210" s="557"/>
      <c r="J210" s="557"/>
      <c r="K210" s="557"/>
      <c r="L210" s="557"/>
      <c r="M210" s="557"/>
      <c r="N210" s="557"/>
      <c r="O210" s="559"/>
      <c r="P210" s="553" t="s">
        <v>75</v>
      </c>
      <c r="Q210" s="554"/>
      <c r="R210" s="554"/>
      <c r="S210" s="554"/>
      <c r="T210" s="554"/>
      <c r="U210" s="554"/>
      <c r="V210" s="555"/>
      <c r="W210" s="37" t="s">
        <v>69</v>
      </c>
      <c r="X210" s="549">
        <f>IFERROR(SUM(X201:X208),"0")</f>
        <v>740</v>
      </c>
      <c r="Y210" s="549">
        <f>IFERROR(SUM(Y201:Y208),"0")</f>
        <v>756</v>
      </c>
      <c r="Z210" s="37"/>
      <c r="AA210" s="550"/>
      <c r="AB210" s="550"/>
      <c r="AC210" s="550"/>
    </row>
    <row r="211" spans="1:68" ht="14.25" hidden="1" customHeight="1" x14ac:dyDescent="0.25">
      <c r="A211" s="556" t="s">
        <v>77</v>
      </c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57"/>
      <c r="P211" s="557"/>
      <c r="Q211" s="557"/>
      <c r="R211" s="557"/>
      <c r="S211" s="557"/>
      <c r="T211" s="557"/>
      <c r="U211" s="557"/>
      <c r="V211" s="557"/>
      <c r="W211" s="557"/>
      <c r="X211" s="557"/>
      <c r="Y211" s="557"/>
      <c r="Z211" s="557"/>
      <c r="AA211" s="543"/>
      <c r="AB211" s="543"/>
      <c r="AC211" s="543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51">
        <v>4680115881594</v>
      </c>
      <c r="E212" s="552"/>
      <c r="F212" s="546">
        <v>1.35</v>
      </c>
      <c r="G212" s="32">
        <v>6</v>
      </c>
      <c r="H212" s="546">
        <v>8.1</v>
      </c>
      <c r="I212" s="546">
        <v>8.5939999999999994</v>
      </c>
      <c r="J212" s="32">
        <v>64</v>
      </c>
      <c r="K212" s="32" t="s">
        <v>107</v>
      </c>
      <c r="L212" s="32"/>
      <c r="M212" s="33" t="s">
        <v>80</v>
      </c>
      <c r="N212" s="33"/>
      <c r="O212" s="32">
        <v>40</v>
      </c>
      <c r="P212" s="7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68"/>
      <c r="R212" s="568"/>
      <c r="S212" s="568"/>
      <c r="T212" s="569"/>
      <c r="U212" s="34"/>
      <c r="V212" s="34"/>
      <c r="W212" s="35" t="s">
        <v>69</v>
      </c>
      <c r="X212" s="547">
        <v>50</v>
      </c>
      <c r="Y212" s="548">
        <f t="shared" ref="Y212:Y220" si="15">IFERROR(IF(X212="",0,CEILING((X212/$H212),1)*$H212),"")</f>
        <v>56.699999999999996</v>
      </c>
      <c r="Z212" s="36">
        <f>IFERROR(IF(Y212=0,"",ROUNDUP(Y212/H212,0)*0.01898),"")</f>
        <v>0.13286000000000001</v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53.049382716049386</v>
      </c>
      <c r="BN212" s="64">
        <f t="shared" ref="BN212:BN220" si="17">IFERROR(Y212*I212/H212,"0")</f>
        <v>60.157999999999994</v>
      </c>
      <c r="BO212" s="64">
        <f t="shared" ref="BO212:BO220" si="18">IFERROR(1/J212*(X212/H212),"0")</f>
        <v>9.6450617283950615E-2</v>
      </c>
      <c r="BP212" s="64">
        <f t="shared" ref="BP212:BP220" si="19">IFERROR(1/J212*(Y212/H212),"0")</f>
        <v>0.109375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51">
        <v>4680115881617</v>
      </c>
      <c r="E213" s="552"/>
      <c r="F213" s="546">
        <v>1.35</v>
      </c>
      <c r="G213" s="32">
        <v>6</v>
      </c>
      <c r="H213" s="546">
        <v>8.1</v>
      </c>
      <c r="I213" s="546">
        <v>8.5760000000000005</v>
      </c>
      <c r="J213" s="32">
        <v>64</v>
      </c>
      <c r="K213" s="32" t="s">
        <v>107</v>
      </c>
      <c r="L213" s="32"/>
      <c r="M213" s="33" t="s">
        <v>80</v>
      </c>
      <c r="N213" s="33"/>
      <c r="O213" s="32">
        <v>40</v>
      </c>
      <c r="P213" s="5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68"/>
      <c r="R213" s="568"/>
      <c r="S213" s="568"/>
      <c r="T213" s="569"/>
      <c r="U213" s="34"/>
      <c r="V213" s="34"/>
      <c r="W213" s="35" t="s">
        <v>69</v>
      </c>
      <c r="X213" s="547">
        <v>50</v>
      </c>
      <c r="Y213" s="548">
        <f t="shared" si="15"/>
        <v>56.699999999999996</v>
      </c>
      <c r="Z213" s="36">
        <f>IFERROR(IF(Y213=0,"",ROUNDUP(Y213/H213,0)*0.01898),"")</f>
        <v>0.13286000000000001</v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52.938271604938272</v>
      </c>
      <c r="BN213" s="64">
        <f t="shared" si="17"/>
        <v>60.031999999999996</v>
      </c>
      <c r="BO213" s="64">
        <f t="shared" si="18"/>
        <v>9.6450617283950615E-2</v>
      </c>
      <c r="BP213" s="64">
        <f t="shared" si="19"/>
        <v>0.109375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51">
        <v>4680115880573</v>
      </c>
      <c r="E214" s="552"/>
      <c r="F214" s="546">
        <v>1.45</v>
      </c>
      <c r="G214" s="32">
        <v>6</v>
      </c>
      <c r="H214" s="546">
        <v>8.6999999999999993</v>
      </c>
      <c r="I214" s="546">
        <v>9.1940000000000008</v>
      </c>
      <c r="J214" s="32">
        <v>64</v>
      </c>
      <c r="K214" s="32" t="s">
        <v>107</v>
      </c>
      <c r="L214" s="32" t="s">
        <v>108</v>
      </c>
      <c r="M214" s="33" t="s">
        <v>80</v>
      </c>
      <c r="N214" s="33"/>
      <c r="O214" s="32">
        <v>45</v>
      </c>
      <c r="P21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68"/>
      <c r="R214" s="568"/>
      <c r="S214" s="568"/>
      <c r="T214" s="569"/>
      <c r="U214" s="34"/>
      <c r="V214" s="34"/>
      <c r="W214" s="35" t="s">
        <v>69</v>
      </c>
      <c r="X214" s="547">
        <v>30</v>
      </c>
      <c r="Y214" s="548">
        <f t="shared" si="15"/>
        <v>34.799999999999997</v>
      </c>
      <c r="Z214" s="36">
        <f>IFERROR(IF(Y214=0,"",ROUNDUP(Y214/H214,0)*0.01898),"")</f>
        <v>7.5920000000000001E-2</v>
      </c>
      <c r="AA214" s="56"/>
      <c r="AB214" s="57"/>
      <c r="AC214" s="259" t="s">
        <v>360</v>
      </c>
      <c r="AG214" s="64"/>
      <c r="AJ214" s="68" t="s">
        <v>93</v>
      </c>
      <c r="AK214" s="68">
        <v>69.599999999999994</v>
      </c>
      <c r="BB214" s="260" t="s">
        <v>1</v>
      </c>
      <c r="BM214" s="64">
        <f t="shared" si="16"/>
        <v>31.703448275862076</v>
      </c>
      <c r="BN214" s="64">
        <f t="shared" si="17"/>
        <v>36.776000000000003</v>
      </c>
      <c r="BO214" s="64">
        <f t="shared" si="18"/>
        <v>5.387931034482759E-2</v>
      </c>
      <c r="BP214" s="64">
        <f t="shared" si="19"/>
        <v>6.25E-2</v>
      </c>
    </row>
    <row r="215" spans="1:68" ht="27" hidden="1" customHeight="1" x14ac:dyDescent="0.25">
      <c r="A215" s="54" t="s">
        <v>361</v>
      </c>
      <c r="B215" s="54" t="s">
        <v>362</v>
      </c>
      <c r="C215" s="31">
        <v>4301051407</v>
      </c>
      <c r="D215" s="551">
        <v>4680115882195</v>
      </c>
      <c r="E215" s="552"/>
      <c r="F215" s="546">
        <v>0.4</v>
      </c>
      <c r="G215" s="32">
        <v>6</v>
      </c>
      <c r="H215" s="546">
        <v>2.4</v>
      </c>
      <c r="I215" s="546">
        <v>2.67</v>
      </c>
      <c r="J215" s="32">
        <v>182</v>
      </c>
      <c r="K215" s="32" t="s">
        <v>67</v>
      </c>
      <c r="L215" s="32" t="s">
        <v>91</v>
      </c>
      <c r="M215" s="33" t="s">
        <v>80</v>
      </c>
      <c r="N215" s="33"/>
      <c r="O215" s="32">
        <v>40</v>
      </c>
      <c r="P215" s="5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68"/>
      <c r="R215" s="568"/>
      <c r="S215" s="568"/>
      <c r="T215" s="569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93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4301051752</v>
      </c>
      <c r="D216" s="551">
        <v>4680115882607</v>
      </c>
      <c r="E216" s="552"/>
      <c r="F216" s="546">
        <v>0.3</v>
      </c>
      <c r="G216" s="32">
        <v>6</v>
      </c>
      <c r="H216" s="546">
        <v>1.8</v>
      </c>
      <c r="I216" s="546">
        <v>2.052</v>
      </c>
      <c r="J216" s="32">
        <v>182</v>
      </c>
      <c r="K216" s="32" t="s">
        <v>67</v>
      </c>
      <c r="L216" s="32" t="s">
        <v>91</v>
      </c>
      <c r="M216" s="33" t="s">
        <v>87</v>
      </c>
      <c r="N216" s="33"/>
      <c r="O216" s="32">
        <v>45</v>
      </c>
      <c r="P216" s="7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68"/>
      <c r="R216" s="568"/>
      <c r="S216" s="568"/>
      <c r="T216" s="569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 t="s">
        <v>93</v>
      </c>
      <c r="AK216" s="68">
        <v>25.2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51">
        <v>4680115880092</v>
      </c>
      <c r="E217" s="552"/>
      <c r="F217" s="546">
        <v>0.4</v>
      </c>
      <c r="G217" s="32">
        <v>6</v>
      </c>
      <c r="H217" s="546">
        <v>2.4</v>
      </c>
      <c r="I217" s="546">
        <v>2.6520000000000001</v>
      </c>
      <c r="J217" s="32">
        <v>182</v>
      </c>
      <c r="K217" s="32" t="s">
        <v>67</v>
      </c>
      <c r="L217" s="32" t="s">
        <v>91</v>
      </c>
      <c r="M217" s="33" t="s">
        <v>80</v>
      </c>
      <c r="N217" s="33"/>
      <c r="O217" s="32">
        <v>45</v>
      </c>
      <c r="P217" s="74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68"/>
      <c r="R217" s="568"/>
      <c r="S217" s="568"/>
      <c r="T217" s="569"/>
      <c r="U217" s="34"/>
      <c r="V217" s="34"/>
      <c r="W217" s="35" t="s">
        <v>69</v>
      </c>
      <c r="X217" s="547">
        <v>48</v>
      </c>
      <c r="Y217" s="548">
        <f t="shared" si="15"/>
        <v>48</v>
      </c>
      <c r="Z217" s="36">
        <f t="shared" si="20"/>
        <v>0.13020000000000001</v>
      </c>
      <c r="AA217" s="56"/>
      <c r="AB217" s="57"/>
      <c r="AC217" s="265" t="s">
        <v>360</v>
      </c>
      <c r="AG217" s="64"/>
      <c r="AJ217" s="68" t="s">
        <v>93</v>
      </c>
      <c r="AK217" s="68">
        <v>33.6</v>
      </c>
      <c r="BB217" s="266" t="s">
        <v>1</v>
      </c>
      <c r="BM217" s="64">
        <f t="shared" si="16"/>
        <v>53.040000000000006</v>
      </c>
      <c r="BN217" s="64">
        <f t="shared" si="17"/>
        <v>53.040000000000006</v>
      </c>
      <c r="BO217" s="64">
        <f t="shared" si="18"/>
        <v>0.1098901098901099</v>
      </c>
      <c r="BP217" s="64">
        <f t="shared" si="19"/>
        <v>0.1098901098901099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551">
        <v>4680115880221</v>
      </c>
      <c r="E218" s="552"/>
      <c r="F218" s="546">
        <v>0.4</v>
      </c>
      <c r="G218" s="32">
        <v>6</v>
      </c>
      <c r="H218" s="546">
        <v>2.4</v>
      </c>
      <c r="I218" s="546">
        <v>2.6520000000000001</v>
      </c>
      <c r="J218" s="32">
        <v>182</v>
      </c>
      <c r="K218" s="32" t="s">
        <v>67</v>
      </c>
      <c r="L218" s="32" t="s">
        <v>91</v>
      </c>
      <c r="M218" s="33" t="s">
        <v>80</v>
      </c>
      <c r="N218" s="33"/>
      <c r="O218" s="32">
        <v>45</v>
      </c>
      <c r="P218" s="8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68"/>
      <c r="R218" s="568"/>
      <c r="S218" s="568"/>
      <c r="T218" s="569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93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369</v>
      </c>
      <c r="B219" s="54" t="s">
        <v>370</v>
      </c>
      <c r="C219" s="31">
        <v>4301051945</v>
      </c>
      <c r="D219" s="551">
        <v>4680115880504</v>
      </c>
      <c r="E219" s="552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91</v>
      </c>
      <c r="M219" s="33" t="s">
        <v>87</v>
      </c>
      <c r="N219" s="33"/>
      <c r="O219" s="32">
        <v>40</v>
      </c>
      <c r="P219" s="6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68"/>
      <c r="R219" s="568"/>
      <c r="S219" s="568"/>
      <c r="T219" s="569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93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372</v>
      </c>
      <c r="B220" s="54" t="s">
        <v>373</v>
      </c>
      <c r="C220" s="31">
        <v>4301051410</v>
      </c>
      <c r="D220" s="551">
        <v>4680115882164</v>
      </c>
      <c r="E220" s="552"/>
      <c r="F220" s="546">
        <v>0.4</v>
      </c>
      <c r="G220" s="32">
        <v>6</v>
      </c>
      <c r="H220" s="546">
        <v>2.4</v>
      </c>
      <c r="I220" s="546">
        <v>2.6579999999999999</v>
      </c>
      <c r="J220" s="32">
        <v>182</v>
      </c>
      <c r="K220" s="32" t="s">
        <v>67</v>
      </c>
      <c r="L220" s="32" t="s">
        <v>91</v>
      </c>
      <c r="M220" s="33" t="s">
        <v>80</v>
      </c>
      <c r="N220" s="33"/>
      <c r="O220" s="32">
        <v>40</v>
      </c>
      <c r="P220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68"/>
      <c r="R220" s="568"/>
      <c r="S220" s="568"/>
      <c r="T220" s="569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93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58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9"/>
      <c r="P221" s="553" t="s">
        <v>75</v>
      </c>
      <c r="Q221" s="554"/>
      <c r="R221" s="554"/>
      <c r="S221" s="554"/>
      <c r="T221" s="554"/>
      <c r="U221" s="554"/>
      <c r="V221" s="555"/>
      <c r="W221" s="37" t="s">
        <v>76</v>
      </c>
      <c r="X221" s="549">
        <f>IFERROR(X212/H212,"0")+IFERROR(X213/H213,"0")+IFERROR(X214/H214,"0")+IFERROR(X215/H215,"0")+IFERROR(X216/H216,"0")+IFERROR(X217/H217,"0")+IFERROR(X218/H218,"0")+IFERROR(X219/H219,"0")+IFERROR(X220/H220,"0")</f>
        <v>35.793954874414645</v>
      </c>
      <c r="Y221" s="549">
        <f>IFERROR(Y212/H212,"0")+IFERROR(Y213/H213,"0")+IFERROR(Y214/H214,"0")+IFERROR(Y215/H215,"0")+IFERROR(Y216/H216,"0")+IFERROR(Y217/H217,"0")+IFERROR(Y218/H218,"0")+IFERROR(Y219/H219,"0")+IFERROR(Y220/H220,"0")</f>
        <v>38</v>
      </c>
      <c r="Z221" s="549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0.47184000000000004</v>
      </c>
      <c r="AA221" s="550"/>
      <c r="AB221" s="550"/>
      <c r="AC221" s="550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9"/>
      <c r="P222" s="553" t="s">
        <v>75</v>
      </c>
      <c r="Q222" s="554"/>
      <c r="R222" s="554"/>
      <c r="S222" s="554"/>
      <c r="T222" s="554"/>
      <c r="U222" s="554"/>
      <c r="V222" s="555"/>
      <c r="W222" s="37" t="s">
        <v>69</v>
      </c>
      <c r="X222" s="549">
        <f>IFERROR(SUM(X212:X220),"0")</f>
        <v>178</v>
      </c>
      <c r="Y222" s="549">
        <f>IFERROR(SUM(Y212:Y220),"0")</f>
        <v>196.2</v>
      </c>
      <c r="Z222" s="37"/>
      <c r="AA222" s="550"/>
      <c r="AB222" s="550"/>
      <c r="AC222" s="550"/>
    </row>
    <row r="223" spans="1:68" ht="14.25" hidden="1" customHeight="1" x14ac:dyDescent="0.25">
      <c r="A223" s="556" t="s">
        <v>167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43"/>
      <c r="AB223" s="543"/>
      <c r="AC223" s="543"/>
    </row>
    <row r="224" spans="1:68" ht="27" hidden="1" customHeight="1" x14ac:dyDescent="0.25">
      <c r="A224" s="54" t="s">
        <v>374</v>
      </c>
      <c r="B224" s="54" t="s">
        <v>375</v>
      </c>
      <c r="C224" s="31">
        <v>4301060463</v>
      </c>
      <c r="D224" s="551">
        <v>4680115880818</v>
      </c>
      <c r="E224" s="552"/>
      <c r="F224" s="546">
        <v>0.4</v>
      </c>
      <c r="G224" s="32">
        <v>6</v>
      </c>
      <c r="H224" s="546">
        <v>2.4</v>
      </c>
      <c r="I224" s="546">
        <v>2.6520000000000001</v>
      </c>
      <c r="J224" s="32">
        <v>182</v>
      </c>
      <c r="K224" s="32" t="s">
        <v>67</v>
      </c>
      <c r="L224" s="32" t="s">
        <v>91</v>
      </c>
      <c r="M224" s="33" t="s">
        <v>87</v>
      </c>
      <c r="N224" s="33"/>
      <c r="O224" s="32">
        <v>40</v>
      </c>
      <c r="P224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68"/>
      <c r="R224" s="568"/>
      <c r="S224" s="568"/>
      <c r="T224" s="569"/>
      <c r="U224" s="34"/>
      <c r="V224" s="34"/>
      <c r="W224" s="35" t="s">
        <v>69</v>
      </c>
      <c r="X224" s="547">
        <v>0</v>
      </c>
      <c r="Y224" s="548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 t="s">
        <v>93</v>
      </c>
      <c r="AK224" s="68">
        <v>33.6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hidden="1" customHeight="1" x14ac:dyDescent="0.25">
      <c r="A225" s="54" t="s">
        <v>377</v>
      </c>
      <c r="B225" s="54" t="s">
        <v>378</v>
      </c>
      <c r="C225" s="31">
        <v>4301060389</v>
      </c>
      <c r="D225" s="551">
        <v>4680115880801</v>
      </c>
      <c r="E225" s="552"/>
      <c r="F225" s="546">
        <v>0.4</v>
      </c>
      <c r="G225" s="32">
        <v>6</v>
      </c>
      <c r="H225" s="546">
        <v>2.4</v>
      </c>
      <c r="I225" s="546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68"/>
      <c r="R225" s="568"/>
      <c r="S225" s="568"/>
      <c r="T225" s="569"/>
      <c r="U225" s="34"/>
      <c r="V225" s="34"/>
      <c r="W225" s="35" t="s">
        <v>69</v>
      </c>
      <c r="X225" s="547">
        <v>0</v>
      </c>
      <c r="Y225" s="548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idden="1" x14ac:dyDescent="0.2">
      <c r="A226" s="558"/>
      <c r="B226" s="557"/>
      <c r="C226" s="557"/>
      <c r="D226" s="557"/>
      <c r="E226" s="557"/>
      <c r="F226" s="557"/>
      <c r="G226" s="557"/>
      <c r="H226" s="557"/>
      <c r="I226" s="557"/>
      <c r="J226" s="557"/>
      <c r="K226" s="557"/>
      <c r="L226" s="557"/>
      <c r="M226" s="557"/>
      <c r="N226" s="557"/>
      <c r="O226" s="559"/>
      <c r="P226" s="553" t="s">
        <v>75</v>
      </c>
      <c r="Q226" s="554"/>
      <c r="R226" s="554"/>
      <c r="S226" s="554"/>
      <c r="T226" s="554"/>
      <c r="U226" s="554"/>
      <c r="V226" s="555"/>
      <c r="W226" s="37" t="s">
        <v>76</v>
      </c>
      <c r="X226" s="549">
        <f>IFERROR(X224/H224,"0")+IFERROR(X225/H225,"0")</f>
        <v>0</v>
      </c>
      <c r="Y226" s="549">
        <f>IFERROR(Y224/H224,"0")+IFERROR(Y225/H225,"0")</f>
        <v>0</v>
      </c>
      <c r="Z226" s="549">
        <f>IFERROR(IF(Z224="",0,Z224),"0")+IFERROR(IF(Z225="",0,Z225),"0")</f>
        <v>0</v>
      </c>
      <c r="AA226" s="550"/>
      <c r="AB226" s="550"/>
      <c r="AC226" s="550"/>
    </row>
    <row r="227" spans="1:68" hidden="1" x14ac:dyDescent="0.2">
      <c r="A227" s="557"/>
      <c r="B227" s="557"/>
      <c r="C227" s="557"/>
      <c r="D227" s="557"/>
      <c r="E227" s="557"/>
      <c r="F227" s="557"/>
      <c r="G227" s="557"/>
      <c r="H227" s="557"/>
      <c r="I227" s="557"/>
      <c r="J227" s="557"/>
      <c r="K227" s="557"/>
      <c r="L227" s="557"/>
      <c r="M227" s="557"/>
      <c r="N227" s="557"/>
      <c r="O227" s="559"/>
      <c r="P227" s="553" t="s">
        <v>75</v>
      </c>
      <c r="Q227" s="554"/>
      <c r="R227" s="554"/>
      <c r="S227" s="554"/>
      <c r="T227" s="554"/>
      <c r="U227" s="554"/>
      <c r="V227" s="555"/>
      <c r="W227" s="37" t="s">
        <v>69</v>
      </c>
      <c r="X227" s="549">
        <f>IFERROR(SUM(X224:X225),"0")</f>
        <v>0</v>
      </c>
      <c r="Y227" s="549">
        <f>IFERROR(SUM(Y224:Y225),"0")</f>
        <v>0</v>
      </c>
      <c r="Z227" s="37"/>
      <c r="AA227" s="550"/>
      <c r="AB227" s="550"/>
      <c r="AC227" s="550"/>
    </row>
    <row r="228" spans="1:68" ht="16.5" hidden="1" customHeight="1" x14ac:dyDescent="0.25">
      <c r="A228" s="574" t="s">
        <v>380</v>
      </c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57"/>
      <c r="P228" s="557"/>
      <c r="Q228" s="557"/>
      <c r="R228" s="557"/>
      <c r="S228" s="557"/>
      <c r="T228" s="557"/>
      <c r="U228" s="557"/>
      <c r="V228" s="557"/>
      <c r="W228" s="557"/>
      <c r="X228" s="557"/>
      <c r="Y228" s="557"/>
      <c r="Z228" s="557"/>
      <c r="AA228" s="542"/>
      <c r="AB228" s="542"/>
      <c r="AC228" s="542"/>
    </row>
    <row r="229" spans="1:68" ht="14.25" hidden="1" customHeight="1" x14ac:dyDescent="0.25">
      <c r="A229" s="556" t="s">
        <v>104</v>
      </c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57"/>
      <c r="P229" s="557"/>
      <c r="Q229" s="557"/>
      <c r="R229" s="557"/>
      <c r="S229" s="557"/>
      <c r="T229" s="557"/>
      <c r="U229" s="557"/>
      <c r="V229" s="557"/>
      <c r="W229" s="557"/>
      <c r="X229" s="557"/>
      <c r="Y229" s="557"/>
      <c r="Z229" s="557"/>
      <c r="AA229" s="543"/>
      <c r="AB229" s="543"/>
      <c r="AC229" s="543"/>
    </row>
    <row r="230" spans="1:68" ht="27" hidden="1" customHeight="1" x14ac:dyDescent="0.25">
      <c r="A230" s="54" t="s">
        <v>381</v>
      </c>
      <c r="B230" s="54" t="s">
        <v>382</v>
      </c>
      <c r="C230" s="31">
        <v>4301011826</v>
      </c>
      <c r="D230" s="551">
        <v>4680115884137</v>
      </c>
      <c r="E230" s="552"/>
      <c r="F230" s="546">
        <v>1.45</v>
      </c>
      <c r="G230" s="32">
        <v>8</v>
      </c>
      <c r="H230" s="546">
        <v>11.6</v>
      </c>
      <c r="I230" s="546">
        <v>12.01</v>
      </c>
      <c r="J230" s="32">
        <v>64</v>
      </c>
      <c r="K230" s="32" t="s">
        <v>107</v>
      </c>
      <c r="L230" s="32"/>
      <c r="M230" s="33" t="s">
        <v>109</v>
      </c>
      <c r="N230" s="33"/>
      <c r="O230" s="32">
        <v>55</v>
      </c>
      <c r="P230" s="6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68"/>
      <c r="R230" s="568"/>
      <c r="S230" s="568"/>
      <c r="T230" s="569"/>
      <c r="U230" s="34"/>
      <c r="V230" s="34"/>
      <c r="W230" s="35" t="s">
        <v>69</v>
      </c>
      <c r="X230" s="547">
        <v>0</v>
      </c>
      <c r="Y230" s="548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hidden="1" customHeight="1" x14ac:dyDescent="0.25">
      <c r="A231" s="54" t="s">
        <v>384</v>
      </c>
      <c r="B231" s="54" t="s">
        <v>385</v>
      </c>
      <c r="C231" s="31">
        <v>4301011724</v>
      </c>
      <c r="D231" s="551">
        <v>4680115884236</v>
      </c>
      <c r="E231" s="552"/>
      <c r="F231" s="546">
        <v>1.45</v>
      </c>
      <c r="G231" s="32">
        <v>8</v>
      </c>
      <c r="H231" s="546">
        <v>11.6</v>
      </c>
      <c r="I231" s="546">
        <v>12.01</v>
      </c>
      <c r="J231" s="32">
        <v>64</v>
      </c>
      <c r="K231" s="32" t="s">
        <v>107</v>
      </c>
      <c r="L231" s="32"/>
      <c r="M231" s="33" t="s">
        <v>109</v>
      </c>
      <c r="N231" s="33"/>
      <c r="O231" s="32">
        <v>55</v>
      </c>
      <c r="P231" s="82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68"/>
      <c r="R231" s="568"/>
      <c r="S231" s="568"/>
      <c r="T231" s="569"/>
      <c r="U231" s="34"/>
      <c r="V231" s="34"/>
      <c r="W231" s="35" t="s">
        <v>69</v>
      </c>
      <c r="X231" s="547">
        <v>0</v>
      </c>
      <c r="Y231" s="548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387</v>
      </c>
      <c r="B232" s="54" t="s">
        <v>388</v>
      </c>
      <c r="C232" s="31">
        <v>4301011721</v>
      </c>
      <c r="D232" s="551">
        <v>4680115884175</v>
      </c>
      <c r="E232" s="552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107</v>
      </c>
      <c r="L232" s="32"/>
      <c r="M232" s="33" t="s">
        <v>109</v>
      </c>
      <c r="N232" s="33"/>
      <c r="O232" s="32">
        <v>55</v>
      </c>
      <c r="P232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68"/>
      <c r="R232" s="568"/>
      <c r="S232" s="568"/>
      <c r="T232" s="569"/>
      <c r="U232" s="34"/>
      <c r="V232" s="34"/>
      <c r="W232" s="35" t="s">
        <v>69</v>
      </c>
      <c r="X232" s="547">
        <v>0</v>
      </c>
      <c r="Y232" s="548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390</v>
      </c>
      <c r="B233" s="54" t="s">
        <v>391</v>
      </c>
      <c r="C233" s="31">
        <v>4301011824</v>
      </c>
      <c r="D233" s="551">
        <v>4680115884144</v>
      </c>
      <c r="E233" s="552"/>
      <c r="F233" s="546">
        <v>0.4</v>
      </c>
      <c r="G233" s="32">
        <v>10</v>
      </c>
      <c r="H233" s="546">
        <v>4</v>
      </c>
      <c r="I233" s="546">
        <v>4.1900000000000004</v>
      </c>
      <c r="J233" s="32">
        <v>132</v>
      </c>
      <c r="K233" s="32" t="s">
        <v>113</v>
      </c>
      <c r="L233" s="32" t="s">
        <v>116</v>
      </c>
      <c r="M233" s="33" t="s">
        <v>109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68"/>
      <c r="R233" s="568"/>
      <c r="S233" s="568"/>
      <c r="T233" s="569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 t="s">
        <v>93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390</v>
      </c>
      <c r="B234" s="54" t="s">
        <v>392</v>
      </c>
      <c r="C234" s="31">
        <v>4301012196</v>
      </c>
      <c r="D234" s="551">
        <v>4680115884144</v>
      </c>
      <c r="E234" s="552"/>
      <c r="F234" s="546">
        <v>0.4</v>
      </c>
      <c r="G234" s="32">
        <v>10</v>
      </c>
      <c r="H234" s="546">
        <v>4</v>
      </c>
      <c r="I234" s="546">
        <v>4.1900000000000004</v>
      </c>
      <c r="J234" s="32">
        <v>132</v>
      </c>
      <c r="K234" s="32" t="s">
        <v>113</v>
      </c>
      <c r="L234" s="32"/>
      <c r="M234" s="33" t="s">
        <v>109</v>
      </c>
      <c r="N234" s="33"/>
      <c r="O234" s="32">
        <v>55</v>
      </c>
      <c r="P234" s="61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68"/>
      <c r="R234" s="568"/>
      <c r="S234" s="568"/>
      <c r="T234" s="569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4301012149</v>
      </c>
      <c r="D235" s="551">
        <v>4680115886551</v>
      </c>
      <c r="E235" s="552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113</v>
      </c>
      <c r="L235" s="32"/>
      <c r="M235" s="33" t="s">
        <v>109</v>
      </c>
      <c r="N235" s="33"/>
      <c r="O235" s="32">
        <v>55</v>
      </c>
      <c r="P235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68"/>
      <c r="R235" s="568"/>
      <c r="S235" s="568"/>
      <c r="T235" s="569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396</v>
      </c>
      <c r="B236" s="54" t="s">
        <v>397</v>
      </c>
      <c r="C236" s="31">
        <v>4301012228</v>
      </c>
      <c r="D236" s="551">
        <v>4680115887282</v>
      </c>
      <c r="E236" s="552"/>
      <c r="F236" s="546">
        <v>0.4</v>
      </c>
      <c r="G236" s="32">
        <v>6</v>
      </c>
      <c r="H236" s="546">
        <v>2.4</v>
      </c>
      <c r="I236" s="546">
        <v>2.58</v>
      </c>
      <c r="J236" s="32">
        <v>182</v>
      </c>
      <c r="K236" s="32" t="s">
        <v>67</v>
      </c>
      <c r="L236" s="32"/>
      <c r="M236" s="33" t="s">
        <v>109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68"/>
      <c r="R236" s="568"/>
      <c r="S236" s="568"/>
      <c r="T236" s="569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398</v>
      </c>
      <c r="B237" s="54" t="s">
        <v>399</v>
      </c>
      <c r="C237" s="31">
        <v>4301011722</v>
      </c>
      <c r="D237" s="551">
        <v>4680115884205</v>
      </c>
      <c r="E237" s="552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113</v>
      </c>
      <c r="L237" s="32" t="s">
        <v>116</v>
      </c>
      <c r="M237" s="33" t="s">
        <v>109</v>
      </c>
      <c r="N237" s="33"/>
      <c r="O237" s="32">
        <v>55</v>
      </c>
      <c r="P237" s="61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68"/>
      <c r="R237" s="568"/>
      <c r="S237" s="568"/>
      <c r="T237" s="569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93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398</v>
      </c>
      <c r="B238" s="54" t="s">
        <v>400</v>
      </c>
      <c r="C238" s="31">
        <v>4301012195</v>
      </c>
      <c r="D238" s="551">
        <v>4680115884205</v>
      </c>
      <c r="E238" s="552"/>
      <c r="F238" s="546">
        <v>0.4</v>
      </c>
      <c r="G238" s="32">
        <v>10</v>
      </c>
      <c r="H238" s="546">
        <v>4</v>
      </c>
      <c r="I238" s="546">
        <v>4.1900000000000004</v>
      </c>
      <c r="J238" s="32">
        <v>132</v>
      </c>
      <c r="K238" s="32" t="s">
        <v>113</v>
      </c>
      <c r="L238" s="32"/>
      <c r="M238" s="33" t="s">
        <v>109</v>
      </c>
      <c r="N238" s="33"/>
      <c r="O238" s="32">
        <v>55</v>
      </c>
      <c r="P238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68"/>
      <c r="R238" s="568"/>
      <c r="S238" s="568"/>
      <c r="T238" s="569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idden="1" x14ac:dyDescent="0.2">
      <c r="A239" s="558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9"/>
      <c r="P239" s="553" t="s">
        <v>75</v>
      </c>
      <c r="Q239" s="554"/>
      <c r="R239" s="554"/>
      <c r="S239" s="554"/>
      <c r="T239" s="554"/>
      <c r="U239" s="554"/>
      <c r="V239" s="555"/>
      <c r="W239" s="37" t="s">
        <v>76</v>
      </c>
      <c r="X239" s="549">
        <f>IFERROR(X230/H230,"0")+IFERROR(X231/H231,"0")+IFERROR(X232/H232,"0")+IFERROR(X233/H233,"0")+IFERROR(X234/H234,"0")+IFERROR(X235/H235,"0")+IFERROR(X236/H236,"0")+IFERROR(X237/H237,"0")+IFERROR(X238/H238,"0")</f>
        <v>0</v>
      </c>
      <c r="Y239" s="549">
        <f>IFERROR(Y230/H230,"0")+IFERROR(Y231/H231,"0")+IFERROR(Y232/H232,"0")+IFERROR(Y233/H233,"0")+IFERROR(Y234/H234,"0")+IFERROR(Y235/H235,"0")+IFERROR(Y236/H236,"0")+IFERROR(Y237/H237,"0")+IFERROR(Y238/H238,"0")</f>
        <v>0</v>
      </c>
      <c r="Z239" s="549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50"/>
      <c r="AB239" s="550"/>
      <c r="AC239" s="550"/>
    </row>
    <row r="240" spans="1:68" hidden="1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9"/>
      <c r="P240" s="553" t="s">
        <v>75</v>
      </c>
      <c r="Q240" s="554"/>
      <c r="R240" s="554"/>
      <c r="S240" s="554"/>
      <c r="T240" s="554"/>
      <c r="U240" s="554"/>
      <c r="V240" s="555"/>
      <c r="W240" s="37" t="s">
        <v>69</v>
      </c>
      <c r="X240" s="549">
        <f>IFERROR(SUM(X230:X238),"0")</f>
        <v>0</v>
      </c>
      <c r="Y240" s="549">
        <f>IFERROR(SUM(Y230:Y238),"0")</f>
        <v>0</v>
      </c>
      <c r="Z240" s="37"/>
      <c r="AA240" s="550"/>
      <c r="AB240" s="550"/>
      <c r="AC240" s="550"/>
    </row>
    <row r="241" spans="1:68" ht="14.25" hidden="1" customHeight="1" x14ac:dyDescent="0.25">
      <c r="A241" s="556" t="s">
        <v>139</v>
      </c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57"/>
      <c r="P241" s="557"/>
      <c r="Q241" s="557"/>
      <c r="R241" s="557"/>
      <c r="S241" s="557"/>
      <c r="T241" s="557"/>
      <c r="U241" s="557"/>
      <c r="V241" s="557"/>
      <c r="W241" s="557"/>
      <c r="X241" s="557"/>
      <c r="Y241" s="557"/>
      <c r="Z241" s="557"/>
      <c r="AA241" s="543"/>
      <c r="AB241" s="543"/>
      <c r="AC241" s="543"/>
    </row>
    <row r="242" spans="1:68" ht="27" hidden="1" customHeight="1" x14ac:dyDescent="0.25">
      <c r="A242" s="54" t="s">
        <v>401</v>
      </c>
      <c r="B242" s="54" t="s">
        <v>402</v>
      </c>
      <c r="C242" s="31">
        <v>4301020377</v>
      </c>
      <c r="D242" s="551">
        <v>4680115885981</v>
      </c>
      <c r="E242" s="552"/>
      <c r="F242" s="546">
        <v>0.33</v>
      </c>
      <c r="G242" s="32">
        <v>6</v>
      </c>
      <c r="H242" s="546">
        <v>1.98</v>
      </c>
      <c r="I242" s="546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68"/>
      <c r="R242" s="568"/>
      <c r="S242" s="568"/>
      <c r="T242" s="569"/>
      <c r="U242" s="34"/>
      <c r="V242" s="34"/>
      <c r="W242" s="35" t="s">
        <v>69</v>
      </c>
      <c r="X242" s="547">
        <v>0</v>
      </c>
      <c r="Y242" s="548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8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9"/>
      <c r="P243" s="553" t="s">
        <v>75</v>
      </c>
      <c r="Q243" s="554"/>
      <c r="R243" s="554"/>
      <c r="S243" s="554"/>
      <c r="T243" s="554"/>
      <c r="U243" s="554"/>
      <c r="V243" s="555"/>
      <c r="W243" s="37" t="s">
        <v>76</v>
      </c>
      <c r="X243" s="549">
        <f>IFERROR(X242/H242,"0")</f>
        <v>0</v>
      </c>
      <c r="Y243" s="549">
        <f>IFERROR(Y242/H242,"0")</f>
        <v>0</v>
      </c>
      <c r="Z243" s="549">
        <f>IFERROR(IF(Z242="",0,Z242),"0")</f>
        <v>0</v>
      </c>
      <c r="AA243" s="550"/>
      <c r="AB243" s="550"/>
      <c r="AC243" s="550"/>
    </row>
    <row r="244" spans="1:68" hidden="1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9"/>
      <c r="P244" s="553" t="s">
        <v>75</v>
      </c>
      <c r="Q244" s="554"/>
      <c r="R244" s="554"/>
      <c r="S244" s="554"/>
      <c r="T244" s="554"/>
      <c r="U244" s="554"/>
      <c r="V244" s="555"/>
      <c r="W244" s="37" t="s">
        <v>69</v>
      </c>
      <c r="X244" s="549">
        <f>IFERROR(SUM(X242:X242),"0")</f>
        <v>0</v>
      </c>
      <c r="Y244" s="549">
        <f>IFERROR(SUM(Y242:Y242),"0")</f>
        <v>0</v>
      </c>
      <c r="Z244" s="37"/>
      <c r="AA244" s="550"/>
      <c r="AB244" s="550"/>
      <c r="AC244" s="550"/>
    </row>
    <row r="245" spans="1:68" ht="14.25" hidden="1" customHeight="1" x14ac:dyDescent="0.25">
      <c r="A245" s="556" t="s">
        <v>404</v>
      </c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57"/>
      <c r="P245" s="557"/>
      <c r="Q245" s="557"/>
      <c r="R245" s="557"/>
      <c r="S245" s="557"/>
      <c r="T245" s="557"/>
      <c r="U245" s="557"/>
      <c r="V245" s="557"/>
      <c r="W245" s="557"/>
      <c r="X245" s="557"/>
      <c r="Y245" s="557"/>
      <c r="Z245" s="557"/>
      <c r="AA245" s="543"/>
      <c r="AB245" s="543"/>
      <c r="AC245" s="543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51">
        <v>4680115886803</v>
      </c>
      <c r="E246" s="552"/>
      <c r="F246" s="546">
        <v>0.12</v>
      </c>
      <c r="G246" s="32">
        <v>15</v>
      </c>
      <c r="H246" s="546">
        <v>1.8</v>
      </c>
      <c r="I246" s="546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68"/>
      <c r="R246" s="568"/>
      <c r="S246" s="568"/>
      <c r="T246" s="569"/>
      <c r="U246" s="34"/>
      <c r="V246" s="34"/>
      <c r="W246" s="35" t="s">
        <v>69</v>
      </c>
      <c r="X246" s="547">
        <v>18</v>
      </c>
      <c r="Y246" s="548">
        <f>IFERROR(IF(X246="",0,CEILING((X246/$H246),1)*$H246),"")</f>
        <v>18</v>
      </c>
      <c r="Z246" s="36">
        <f>IFERROR(IF(Y246=0,"",ROUNDUP(Y246/H246,0)*0.0059),"")</f>
        <v>5.8999999999999997E-2</v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19.750000000000004</v>
      </c>
      <c r="BN246" s="64">
        <f>IFERROR(Y246*I246/H246,"0")</f>
        <v>19.750000000000004</v>
      </c>
      <c r="BO246" s="64">
        <f>IFERROR(1/J246*(X246/H246),"0")</f>
        <v>4.6296296296296294E-2</v>
      </c>
      <c r="BP246" s="64">
        <f>IFERROR(1/J246*(Y246/H246),"0")</f>
        <v>4.6296296296296294E-2</v>
      </c>
    </row>
    <row r="247" spans="1:68" x14ac:dyDescent="0.2">
      <c r="A247" s="558"/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9"/>
      <c r="P247" s="553" t="s">
        <v>75</v>
      </c>
      <c r="Q247" s="554"/>
      <c r="R247" s="554"/>
      <c r="S247" s="554"/>
      <c r="T247" s="554"/>
      <c r="U247" s="554"/>
      <c r="V247" s="555"/>
      <c r="W247" s="37" t="s">
        <v>76</v>
      </c>
      <c r="X247" s="549">
        <f>IFERROR(X246/H246,"0")</f>
        <v>10</v>
      </c>
      <c r="Y247" s="549">
        <f>IFERROR(Y246/H246,"0")</f>
        <v>10</v>
      </c>
      <c r="Z247" s="549">
        <f>IFERROR(IF(Z246="",0,Z246),"0")</f>
        <v>5.8999999999999997E-2</v>
      </c>
      <c r="AA247" s="550"/>
      <c r="AB247" s="550"/>
      <c r="AC247" s="550"/>
    </row>
    <row r="248" spans="1:68" x14ac:dyDescent="0.2">
      <c r="A248" s="557"/>
      <c r="B248" s="557"/>
      <c r="C248" s="557"/>
      <c r="D248" s="557"/>
      <c r="E248" s="557"/>
      <c r="F248" s="557"/>
      <c r="G248" s="557"/>
      <c r="H248" s="557"/>
      <c r="I248" s="557"/>
      <c r="J248" s="557"/>
      <c r="K248" s="557"/>
      <c r="L248" s="557"/>
      <c r="M248" s="557"/>
      <c r="N248" s="557"/>
      <c r="O248" s="559"/>
      <c r="P248" s="553" t="s">
        <v>75</v>
      </c>
      <c r="Q248" s="554"/>
      <c r="R248" s="554"/>
      <c r="S248" s="554"/>
      <c r="T248" s="554"/>
      <c r="U248" s="554"/>
      <c r="V248" s="555"/>
      <c r="W248" s="37" t="s">
        <v>69</v>
      </c>
      <c r="X248" s="549">
        <f>IFERROR(SUM(X246:X246),"0")</f>
        <v>18</v>
      </c>
      <c r="Y248" s="549">
        <f>IFERROR(SUM(Y246:Y246),"0")</f>
        <v>18</v>
      </c>
      <c r="Z248" s="37"/>
      <c r="AA248" s="550"/>
      <c r="AB248" s="550"/>
      <c r="AC248" s="550"/>
    </row>
    <row r="249" spans="1:68" ht="14.25" hidden="1" customHeight="1" x14ac:dyDescent="0.25">
      <c r="A249" s="556" t="s">
        <v>408</v>
      </c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57"/>
      <c r="P249" s="557"/>
      <c r="Q249" s="557"/>
      <c r="R249" s="557"/>
      <c r="S249" s="557"/>
      <c r="T249" s="557"/>
      <c r="U249" s="557"/>
      <c r="V249" s="557"/>
      <c r="W249" s="557"/>
      <c r="X249" s="557"/>
      <c r="Y249" s="557"/>
      <c r="Z249" s="557"/>
      <c r="AA249" s="543"/>
      <c r="AB249" s="543"/>
      <c r="AC249" s="543"/>
    </row>
    <row r="250" spans="1:68" ht="27" hidden="1" customHeight="1" x14ac:dyDescent="0.25">
      <c r="A250" s="54" t="s">
        <v>409</v>
      </c>
      <c r="B250" s="54" t="s">
        <v>410</v>
      </c>
      <c r="C250" s="31">
        <v>4301041004</v>
      </c>
      <c r="D250" s="551">
        <v>4680115886704</v>
      </c>
      <c r="E250" s="552"/>
      <c r="F250" s="546">
        <v>5.5E-2</v>
      </c>
      <c r="G250" s="32">
        <v>18</v>
      </c>
      <c r="H250" s="546">
        <v>0.99</v>
      </c>
      <c r="I250" s="546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68"/>
      <c r="R250" s="568"/>
      <c r="S250" s="568"/>
      <c r="T250" s="569"/>
      <c r="U250" s="34"/>
      <c r="V250" s="34"/>
      <c r="W250" s="35" t="s">
        <v>69</v>
      </c>
      <c r="X250" s="547">
        <v>0</v>
      </c>
      <c r="Y250" s="54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412</v>
      </c>
      <c r="B251" s="54" t="s">
        <v>413</v>
      </c>
      <c r="C251" s="31">
        <v>4301041008</v>
      </c>
      <c r="D251" s="551">
        <v>4680115886681</v>
      </c>
      <c r="E251" s="552"/>
      <c r="F251" s="546">
        <v>0.12</v>
      </c>
      <c r="G251" s="32">
        <v>15</v>
      </c>
      <c r="H251" s="546">
        <v>1.8</v>
      </c>
      <c r="I251" s="546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68"/>
      <c r="R251" s="568"/>
      <c r="S251" s="568"/>
      <c r="T251" s="569"/>
      <c r="U251" s="34"/>
      <c r="V251" s="34"/>
      <c r="W251" s="35" t="s">
        <v>69</v>
      </c>
      <c r="X251" s="547">
        <v>0</v>
      </c>
      <c r="Y251" s="548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414</v>
      </c>
      <c r="B252" s="54" t="s">
        <v>415</v>
      </c>
      <c r="C252" s="31">
        <v>4301041007</v>
      </c>
      <c r="D252" s="551">
        <v>4680115886735</v>
      </c>
      <c r="E252" s="552"/>
      <c r="F252" s="546">
        <v>0.05</v>
      </c>
      <c r="G252" s="32">
        <v>18</v>
      </c>
      <c r="H252" s="546">
        <v>0.9</v>
      </c>
      <c r="I252" s="546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68"/>
      <c r="R252" s="568"/>
      <c r="S252" s="568"/>
      <c r="T252" s="569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416</v>
      </c>
      <c r="B253" s="54" t="s">
        <v>417</v>
      </c>
      <c r="C253" s="31">
        <v>4301041006</v>
      </c>
      <c r="D253" s="551">
        <v>4680115886728</v>
      </c>
      <c r="E253" s="552"/>
      <c r="F253" s="546">
        <v>5.5E-2</v>
      </c>
      <c r="G253" s="32">
        <v>18</v>
      </c>
      <c r="H253" s="546">
        <v>0.99</v>
      </c>
      <c r="I253" s="546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68"/>
      <c r="R253" s="568"/>
      <c r="S253" s="568"/>
      <c r="T253" s="569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51">
        <v>4680115886711</v>
      </c>
      <c r="E254" s="552"/>
      <c r="F254" s="546">
        <v>5.5E-2</v>
      </c>
      <c r="G254" s="32">
        <v>18</v>
      </c>
      <c r="H254" s="546">
        <v>0.99</v>
      </c>
      <c r="I254" s="546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68"/>
      <c r="R254" s="568"/>
      <c r="S254" s="568"/>
      <c r="T254" s="569"/>
      <c r="U254" s="34"/>
      <c r="V254" s="34"/>
      <c r="W254" s="35" t="s">
        <v>69</v>
      </c>
      <c r="X254" s="547">
        <v>19.25</v>
      </c>
      <c r="Y254" s="548">
        <f>IFERROR(IF(X254="",0,CEILING((X254/$H254),1)*$H254),"")</f>
        <v>19.8</v>
      </c>
      <c r="Z254" s="36">
        <f>IFERROR(IF(Y254=0,"",ROUNDUP(Y254/H254,0)*0.0059),"")</f>
        <v>0.11799999999999999</v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22.944444444444443</v>
      </c>
      <c r="BN254" s="64">
        <f>IFERROR(Y254*I254/H254,"0")</f>
        <v>23.6</v>
      </c>
      <c r="BO254" s="64">
        <f>IFERROR(1/J254*(X254/H254),"0")</f>
        <v>9.0020576131687235E-2</v>
      </c>
      <c r="BP254" s="64">
        <f>IFERROR(1/J254*(Y254/H254),"0")</f>
        <v>9.2592592592592587E-2</v>
      </c>
    </row>
    <row r="255" spans="1:68" x14ac:dyDescent="0.2">
      <c r="A255" s="558"/>
      <c r="B255" s="557"/>
      <c r="C255" s="557"/>
      <c r="D255" s="557"/>
      <c r="E255" s="557"/>
      <c r="F255" s="557"/>
      <c r="G255" s="557"/>
      <c r="H255" s="557"/>
      <c r="I255" s="557"/>
      <c r="J255" s="557"/>
      <c r="K255" s="557"/>
      <c r="L255" s="557"/>
      <c r="M255" s="557"/>
      <c r="N255" s="557"/>
      <c r="O255" s="559"/>
      <c r="P255" s="553" t="s">
        <v>75</v>
      </c>
      <c r="Q255" s="554"/>
      <c r="R255" s="554"/>
      <c r="S255" s="554"/>
      <c r="T255" s="554"/>
      <c r="U255" s="554"/>
      <c r="V255" s="555"/>
      <c r="W255" s="37" t="s">
        <v>76</v>
      </c>
      <c r="X255" s="549">
        <f>IFERROR(X250/H250,"0")+IFERROR(X251/H251,"0")+IFERROR(X252/H252,"0")+IFERROR(X253/H253,"0")+IFERROR(X254/H254,"0")</f>
        <v>19.444444444444443</v>
      </c>
      <c r="Y255" s="549">
        <f>IFERROR(Y250/H250,"0")+IFERROR(Y251/H251,"0")+IFERROR(Y252/H252,"0")+IFERROR(Y253/H253,"0")+IFERROR(Y254/H254,"0")</f>
        <v>20</v>
      </c>
      <c r="Z255" s="549">
        <f>IFERROR(IF(Z250="",0,Z250),"0")+IFERROR(IF(Z251="",0,Z251),"0")+IFERROR(IF(Z252="",0,Z252),"0")+IFERROR(IF(Z253="",0,Z253),"0")+IFERROR(IF(Z254="",0,Z254),"0")</f>
        <v>0.11799999999999999</v>
      </c>
      <c r="AA255" s="550"/>
      <c r="AB255" s="550"/>
      <c r="AC255" s="550"/>
    </row>
    <row r="256" spans="1:68" x14ac:dyDescent="0.2">
      <c r="A256" s="557"/>
      <c r="B256" s="557"/>
      <c r="C256" s="557"/>
      <c r="D256" s="557"/>
      <c r="E256" s="557"/>
      <c r="F256" s="557"/>
      <c r="G256" s="557"/>
      <c r="H256" s="557"/>
      <c r="I256" s="557"/>
      <c r="J256" s="557"/>
      <c r="K256" s="557"/>
      <c r="L256" s="557"/>
      <c r="M256" s="557"/>
      <c r="N256" s="557"/>
      <c r="O256" s="559"/>
      <c r="P256" s="553" t="s">
        <v>75</v>
      </c>
      <c r="Q256" s="554"/>
      <c r="R256" s="554"/>
      <c r="S256" s="554"/>
      <c r="T256" s="554"/>
      <c r="U256" s="554"/>
      <c r="V256" s="555"/>
      <c r="W256" s="37" t="s">
        <v>69</v>
      </c>
      <c r="X256" s="549">
        <f>IFERROR(SUM(X250:X254),"0")</f>
        <v>19.25</v>
      </c>
      <c r="Y256" s="549">
        <f>IFERROR(SUM(Y250:Y254),"0")</f>
        <v>19.8</v>
      </c>
      <c r="Z256" s="37"/>
      <c r="AA256" s="550"/>
      <c r="AB256" s="550"/>
      <c r="AC256" s="550"/>
    </row>
    <row r="257" spans="1:68" ht="16.5" hidden="1" customHeight="1" x14ac:dyDescent="0.25">
      <c r="A257" s="574" t="s">
        <v>420</v>
      </c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57"/>
      <c r="P257" s="557"/>
      <c r="Q257" s="557"/>
      <c r="R257" s="557"/>
      <c r="S257" s="557"/>
      <c r="T257" s="557"/>
      <c r="U257" s="557"/>
      <c r="V257" s="557"/>
      <c r="W257" s="557"/>
      <c r="X257" s="557"/>
      <c r="Y257" s="557"/>
      <c r="Z257" s="557"/>
      <c r="AA257" s="542"/>
      <c r="AB257" s="542"/>
      <c r="AC257" s="542"/>
    </row>
    <row r="258" spans="1:68" ht="14.25" hidden="1" customHeight="1" x14ac:dyDescent="0.25">
      <c r="A258" s="556" t="s">
        <v>104</v>
      </c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57"/>
      <c r="P258" s="557"/>
      <c r="Q258" s="557"/>
      <c r="R258" s="557"/>
      <c r="S258" s="557"/>
      <c r="T258" s="557"/>
      <c r="U258" s="557"/>
      <c r="V258" s="557"/>
      <c r="W258" s="557"/>
      <c r="X258" s="557"/>
      <c r="Y258" s="557"/>
      <c r="Z258" s="557"/>
      <c r="AA258" s="543"/>
      <c r="AB258" s="543"/>
      <c r="AC258" s="543"/>
    </row>
    <row r="259" spans="1:68" ht="27" hidden="1" customHeight="1" x14ac:dyDescent="0.25">
      <c r="A259" s="54" t="s">
        <v>421</v>
      </c>
      <c r="B259" s="54" t="s">
        <v>422</v>
      </c>
      <c r="C259" s="31">
        <v>4301011855</v>
      </c>
      <c r="D259" s="551">
        <v>4680115885837</v>
      </c>
      <c r="E259" s="552"/>
      <c r="F259" s="546">
        <v>1.35</v>
      </c>
      <c r="G259" s="32">
        <v>8</v>
      </c>
      <c r="H259" s="546">
        <v>10.8</v>
      </c>
      <c r="I259" s="546">
        <v>11.21</v>
      </c>
      <c r="J259" s="32">
        <v>64</v>
      </c>
      <c r="K259" s="32" t="s">
        <v>107</v>
      </c>
      <c r="L259" s="32" t="s">
        <v>108</v>
      </c>
      <c r="M259" s="33" t="s">
        <v>109</v>
      </c>
      <c r="N259" s="33"/>
      <c r="O259" s="32">
        <v>55</v>
      </c>
      <c r="P259" s="6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68"/>
      <c r="R259" s="568"/>
      <c r="S259" s="568"/>
      <c r="T259" s="569"/>
      <c r="U259" s="34"/>
      <c r="V259" s="34"/>
      <c r="W259" s="35" t="s">
        <v>69</v>
      </c>
      <c r="X259" s="547">
        <v>0</v>
      </c>
      <c r="Y259" s="54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93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hidden="1" customHeight="1" x14ac:dyDescent="0.25">
      <c r="A260" s="54" t="s">
        <v>424</v>
      </c>
      <c r="B260" s="54" t="s">
        <v>425</v>
      </c>
      <c r="C260" s="31">
        <v>4301011853</v>
      </c>
      <c r="D260" s="551">
        <v>4680115885851</v>
      </c>
      <c r="E260" s="552"/>
      <c r="F260" s="546">
        <v>1.35</v>
      </c>
      <c r="G260" s="32">
        <v>8</v>
      </c>
      <c r="H260" s="546">
        <v>10.8</v>
      </c>
      <c r="I260" s="546">
        <v>11.21</v>
      </c>
      <c r="J260" s="32">
        <v>64</v>
      </c>
      <c r="K260" s="32" t="s">
        <v>107</v>
      </c>
      <c r="L260" s="32"/>
      <c r="M260" s="33" t="s">
        <v>109</v>
      </c>
      <c r="N260" s="33"/>
      <c r="O260" s="32">
        <v>55</v>
      </c>
      <c r="P260" s="72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68"/>
      <c r="R260" s="568"/>
      <c r="S260" s="568"/>
      <c r="T260" s="569"/>
      <c r="U260" s="34"/>
      <c r="V260" s="34"/>
      <c r="W260" s="35" t="s">
        <v>69</v>
      </c>
      <c r="X260" s="547">
        <v>0</v>
      </c>
      <c r="Y260" s="548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51">
        <v>4680115885806</v>
      </c>
      <c r="E261" s="552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107</v>
      </c>
      <c r="L261" s="32" t="s">
        <v>108</v>
      </c>
      <c r="M261" s="33" t="s">
        <v>109</v>
      </c>
      <c r="N261" s="33"/>
      <c r="O261" s="32">
        <v>55</v>
      </c>
      <c r="P261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68"/>
      <c r="R261" s="568"/>
      <c r="S261" s="568"/>
      <c r="T261" s="569"/>
      <c r="U261" s="34"/>
      <c r="V261" s="34"/>
      <c r="W261" s="35" t="s">
        <v>69</v>
      </c>
      <c r="X261" s="547">
        <v>110</v>
      </c>
      <c r="Y261" s="548">
        <f>IFERROR(IF(X261="",0,CEILING((X261/$H261),1)*$H261),"")</f>
        <v>118.80000000000001</v>
      </c>
      <c r="Z261" s="36">
        <f>IFERROR(IF(Y261=0,"",ROUNDUP(Y261/H261,0)*0.01898),"")</f>
        <v>0.20877999999999999</v>
      </c>
      <c r="AA261" s="56"/>
      <c r="AB261" s="57"/>
      <c r="AC261" s="313" t="s">
        <v>429</v>
      </c>
      <c r="AG261" s="64"/>
      <c r="AJ261" s="68" t="s">
        <v>93</v>
      </c>
      <c r="AK261" s="68">
        <v>86.4</v>
      </c>
      <c r="BB261" s="314" t="s">
        <v>1</v>
      </c>
      <c r="BM261" s="64">
        <f>IFERROR(X261*I261/H261,"0")</f>
        <v>114.17592592592594</v>
      </c>
      <c r="BN261" s="64">
        <f>IFERROR(Y261*I261/H261,"0")</f>
        <v>123.31000000000002</v>
      </c>
      <c r="BO261" s="64">
        <f>IFERROR(1/J261*(X261/H261),"0")</f>
        <v>0.15914351851851852</v>
      </c>
      <c r="BP261" s="64">
        <f>IFERROR(1/J261*(Y261/H261),"0")</f>
        <v>0.171875</v>
      </c>
    </row>
    <row r="262" spans="1:68" ht="27" hidden="1" customHeight="1" x14ac:dyDescent="0.25">
      <c r="A262" s="54" t="s">
        <v>430</v>
      </c>
      <c r="B262" s="54" t="s">
        <v>431</v>
      </c>
      <c r="C262" s="31">
        <v>4301011852</v>
      </c>
      <c r="D262" s="551">
        <v>4680115885844</v>
      </c>
      <c r="E262" s="552"/>
      <c r="F262" s="546">
        <v>0.4</v>
      </c>
      <c r="G262" s="32">
        <v>10</v>
      </c>
      <c r="H262" s="546">
        <v>4</v>
      </c>
      <c r="I262" s="546">
        <v>4.1900000000000004</v>
      </c>
      <c r="J262" s="32">
        <v>132</v>
      </c>
      <c r="K262" s="32" t="s">
        <v>113</v>
      </c>
      <c r="L262" s="32"/>
      <c r="M262" s="33" t="s">
        <v>109</v>
      </c>
      <c r="N262" s="33"/>
      <c r="O262" s="32">
        <v>55</v>
      </c>
      <c r="P262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68"/>
      <c r="R262" s="568"/>
      <c r="S262" s="568"/>
      <c r="T262" s="569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433</v>
      </c>
      <c r="B263" s="54" t="s">
        <v>434</v>
      </c>
      <c r="C263" s="31">
        <v>4301011851</v>
      </c>
      <c r="D263" s="551">
        <v>4680115885820</v>
      </c>
      <c r="E263" s="552"/>
      <c r="F263" s="546">
        <v>0.4</v>
      </c>
      <c r="G263" s="32">
        <v>10</v>
      </c>
      <c r="H263" s="546">
        <v>4</v>
      </c>
      <c r="I263" s="546">
        <v>4.1900000000000004</v>
      </c>
      <c r="J263" s="32">
        <v>132</v>
      </c>
      <c r="K263" s="32" t="s">
        <v>113</v>
      </c>
      <c r="L263" s="32" t="s">
        <v>116</v>
      </c>
      <c r="M263" s="33" t="s">
        <v>109</v>
      </c>
      <c r="N263" s="33"/>
      <c r="O263" s="32">
        <v>55</v>
      </c>
      <c r="P263" s="8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68"/>
      <c r="R263" s="568"/>
      <c r="S263" s="568"/>
      <c r="T263" s="569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 t="s">
        <v>93</v>
      </c>
      <c r="AK263" s="68">
        <v>48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58"/>
      <c r="B264" s="557"/>
      <c r="C264" s="557"/>
      <c r="D264" s="557"/>
      <c r="E264" s="557"/>
      <c r="F264" s="557"/>
      <c r="G264" s="557"/>
      <c r="H264" s="557"/>
      <c r="I264" s="557"/>
      <c r="J264" s="557"/>
      <c r="K264" s="557"/>
      <c r="L264" s="557"/>
      <c r="M264" s="557"/>
      <c r="N264" s="557"/>
      <c r="O264" s="559"/>
      <c r="P264" s="553" t="s">
        <v>75</v>
      </c>
      <c r="Q264" s="554"/>
      <c r="R264" s="554"/>
      <c r="S264" s="554"/>
      <c r="T264" s="554"/>
      <c r="U264" s="554"/>
      <c r="V264" s="555"/>
      <c r="W264" s="37" t="s">
        <v>76</v>
      </c>
      <c r="X264" s="549">
        <f>IFERROR(X259/H259,"0")+IFERROR(X260/H260,"0")+IFERROR(X261/H261,"0")+IFERROR(X262/H262,"0")+IFERROR(X263/H263,"0")</f>
        <v>10.185185185185185</v>
      </c>
      <c r="Y264" s="549">
        <f>IFERROR(Y259/H259,"0")+IFERROR(Y260/H260,"0")+IFERROR(Y261/H261,"0")+IFERROR(Y262/H262,"0")+IFERROR(Y263/H263,"0")</f>
        <v>11</v>
      </c>
      <c r="Z264" s="549">
        <f>IFERROR(IF(Z259="",0,Z259),"0")+IFERROR(IF(Z260="",0,Z260),"0")+IFERROR(IF(Z261="",0,Z261),"0")+IFERROR(IF(Z262="",0,Z262),"0")+IFERROR(IF(Z263="",0,Z263),"0")</f>
        <v>0.20877999999999999</v>
      </c>
      <c r="AA264" s="550"/>
      <c r="AB264" s="550"/>
      <c r="AC264" s="550"/>
    </row>
    <row r="265" spans="1:68" x14ac:dyDescent="0.2">
      <c r="A265" s="557"/>
      <c r="B265" s="557"/>
      <c r="C265" s="557"/>
      <c r="D265" s="557"/>
      <c r="E265" s="557"/>
      <c r="F265" s="557"/>
      <c r="G265" s="557"/>
      <c r="H265" s="557"/>
      <c r="I265" s="557"/>
      <c r="J265" s="557"/>
      <c r="K265" s="557"/>
      <c r="L265" s="557"/>
      <c r="M265" s="557"/>
      <c r="N265" s="557"/>
      <c r="O265" s="559"/>
      <c r="P265" s="553" t="s">
        <v>75</v>
      </c>
      <c r="Q265" s="554"/>
      <c r="R265" s="554"/>
      <c r="S265" s="554"/>
      <c r="T265" s="554"/>
      <c r="U265" s="554"/>
      <c r="V265" s="555"/>
      <c r="W265" s="37" t="s">
        <v>69</v>
      </c>
      <c r="X265" s="549">
        <f>IFERROR(SUM(X259:X263),"0")</f>
        <v>110</v>
      </c>
      <c r="Y265" s="549">
        <f>IFERROR(SUM(Y259:Y263),"0")</f>
        <v>118.80000000000001</v>
      </c>
      <c r="Z265" s="37"/>
      <c r="AA265" s="550"/>
      <c r="AB265" s="550"/>
      <c r="AC265" s="550"/>
    </row>
    <row r="266" spans="1:68" ht="16.5" hidden="1" customHeight="1" x14ac:dyDescent="0.25">
      <c r="A266" s="574" t="s">
        <v>436</v>
      </c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57"/>
      <c r="P266" s="557"/>
      <c r="Q266" s="557"/>
      <c r="R266" s="557"/>
      <c r="S266" s="557"/>
      <c r="T266" s="557"/>
      <c r="U266" s="557"/>
      <c r="V266" s="557"/>
      <c r="W266" s="557"/>
      <c r="X266" s="557"/>
      <c r="Y266" s="557"/>
      <c r="Z266" s="557"/>
      <c r="AA266" s="542"/>
      <c r="AB266" s="542"/>
      <c r="AC266" s="542"/>
    </row>
    <row r="267" spans="1:68" ht="14.25" hidden="1" customHeight="1" x14ac:dyDescent="0.25">
      <c r="A267" s="556" t="s">
        <v>104</v>
      </c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7"/>
      <c r="P267" s="557"/>
      <c r="Q267" s="557"/>
      <c r="R267" s="557"/>
      <c r="S267" s="557"/>
      <c r="T267" s="557"/>
      <c r="U267" s="557"/>
      <c r="V267" s="557"/>
      <c r="W267" s="557"/>
      <c r="X267" s="557"/>
      <c r="Y267" s="557"/>
      <c r="Z267" s="557"/>
      <c r="AA267" s="543"/>
      <c r="AB267" s="543"/>
      <c r="AC267" s="543"/>
    </row>
    <row r="268" spans="1:68" ht="27" hidden="1" customHeight="1" x14ac:dyDescent="0.25">
      <c r="A268" s="54" t="s">
        <v>437</v>
      </c>
      <c r="B268" s="54" t="s">
        <v>438</v>
      </c>
      <c r="C268" s="31">
        <v>4301011223</v>
      </c>
      <c r="D268" s="551">
        <v>4607091383423</v>
      </c>
      <c r="E268" s="552"/>
      <c r="F268" s="546">
        <v>1.35</v>
      </c>
      <c r="G268" s="32">
        <v>8</v>
      </c>
      <c r="H268" s="546">
        <v>10.8</v>
      </c>
      <c r="I268" s="546">
        <v>11.305999999999999</v>
      </c>
      <c r="J268" s="32">
        <v>64</v>
      </c>
      <c r="K268" s="32" t="s">
        <v>107</v>
      </c>
      <c r="L268" s="32"/>
      <c r="M268" s="33" t="s">
        <v>80</v>
      </c>
      <c r="N268" s="33"/>
      <c r="O268" s="32">
        <v>35</v>
      </c>
      <c r="P268" s="63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68"/>
      <c r="R268" s="568"/>
      <c r="S268" s="568"/>
      <c r="T268" s="569"/>
      <c r="U268" s="34"/>
      <c r="V268" s="34"/>
      <c r="W268" s="35" t="s">
        <v>69</v>
      </c>
      <c r="X268" s="547">
        <v>0</v>
      </c>
      <c r="Y268" s="548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110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hidden="1" customHeight="1" x14ac:dyDescent="0.25">
      <c r="A269" s="54" t="s">
        <v>439</v>
      </c>
      <c r="B269" s="54" t="s">
        <v>440</v>
      </c>
      <c r="C269" s="31">
        <v>4301012199</v>
      </c>
      <c r="D269" s="551">
        <v>4680115886957</v>
      </c>
      <c r="E269" s="552"/>
      <c r="F269" s="546">
        <v>1.35</v>
      </c>
      <c r="G269" s="32">
        <v>8</v>
      </c>
      <c r="H269" s="546">
        <v>10.8</v>
      </c>
      <c r="I269" s="546">
        <v>11.21</v>
      </c>
      <c r="J269" s="32">
        <v>64</v>
      </c>
      <c r="K269" s="32" t="s">
        <v>107</v>
      </c>
      <c r="L269" s="32"/>
      <c r="M269" s="33" t="s">
        <v>80</v>
      </c>
      <c r="N269" s="33"/>
      <c r="O269" s="32">
        <v>30</v>
      </c>
      <c r="P269" s="78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68"/>
      <c r="R269" s="568"/>
      <c r="S269" s="568"/>
      <c r="T269" s="569"/>
      <c r="U269" s="34"/>
      <c r="V269" s="34"/>
      <c r="W269" s="35" t="s">
        <v>69</v>
      </c>
      <c r="X269" s="547">
        <v>0</v>
      </c>
      <c r="Y269" s="548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hidden="1" customHeight="1" x14ac:dyDescent="0.25">
      <c r="A270" s="54" t="s">
        <v>442</v>
      </c>
      <c r="B270" s="54" t="s">
        <v>443</v>
      </c>
      <c r="C270" s="31">
        <v>4301012098</v>
      </c>
      <c r="D270" s="551">
        <v>4680115885660</v>
      </c>
      <c r="E270" s="552"/>
      <c r="F270" s="546">
        <v>1.35</v>
      </c>
      <c r="G270" s="32">
        <v>8</v>
      </c>
      <c r="H270" s="546">
        <v>10.8</v>
      </c>
      <c r="I270" s="546">
        <v>11.21</v>
      </c>
      <c r="J270" s="32">
        <v>64</v>
      </c>
      <c r="K270" s="32" t="s">
        <v>107</v>
      </c>
      <c r="L270" s="32"/>
      <c r="M270" s="33" t="s">
        <v>80</v>
      </c>
      <c r="N270" s="33"/>
      <c r="O270" s="32">
        <v>35</v>
      </c>
      <c r="P270" s="7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68"/>
      <c r="R270" s="568"/>
      <c r="S270" s="568"/>
      <c r="T270" s="569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444</v>
      </c>
      <c r="B271" s="54" t="s">
        <v>445</v>
      </c>
      <c r="C271" s="31">
        <v>4301012176</v>
      </c>
      <c r="D271" s="551">
        <v>4680115886773</v>
      </c>
      <c r="E271" s="552"/>
      <c r="F271" s="546">
        <v>0.9</v>
      </c>
      <c r="G271" s="32">
        <v>10</v>
      </c>
      <c r="H271" s="546">
        <v>9</v>
      </c>
      <c r="I271" s="546">
        <v>9.41</v>
      </c>
      <c r="J271" s="32">
        <v>64</v>
      </c>
      <c r="K271" s="32" t="s">
        <v>107</v>
      </c>
      <c r="L271" s="32"/>
      <c r="M271" s="33" t="s">
        <v>109</v>
      </c>
      <c r="N271" s="33"/>
      <c r="O271" s="32">
        <v>31</v>
      </c>
      <c r="P271" s="68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68"/>
      <c r="R271" s="568"/>
      <c r="S271" s="568"/>
      <c r="T271" s="569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idden="1" x14ac:dyDescent="0.2">
      <c r="A272" s="558"/>
      <c r="B272" s="557"/>
      <c r="C272" s="557"/>
      <c r="D272" s="557"/>
      <c r="E272" s="557"/>
      <c r="F272" s="557"/>
      <c r="G272" s="557"/>
      <c r="H272" s="557"/>
      <c r="I272" s="557"/>
      <c r="J272" s="557"/>
      <c r="K272" s="557"/>
      <c r="L272" s="557"/>
      <c r="M272" s="557"/>
      <c r="N272" s="557"/>
      <c r="O272" s="559"/>
      <c r="P272" s="553" t="s">
        <v>75</v>
      </c>
      <c r="Q272" s="554"/>
      <c r="R272" s="554"/>
      <c r="S272" s="554"/>
      <c r="T272" s="554"/>
      <c r="U272" s="554"/>
      <c r="V272" s="555"/>
      <c r="W272" s="37" t="s">
        <v>76</v>
      </c>
      <c r="X272" s="549">
        <f>IFERROR(X268/H268,"0")+IFERROR(X269/H269,"0")+IFERROR(X270/H270,"0")+IFERROR(X271/H271,"0")</f>
        <v>0</v>
      </c>
      <c r="Y272" s="549">
        <f>IFERROR(Y268/H268,"0")+IFERROR(Y269/H269,"0")+IFERROR(Y270/H270,"0")+IFERROR(Y271/H271,"0")</f>
        <v>0</v>
      </c>
      <c r="Z272" s="549">
        <f>IFERROR(IF(Z268="",0,Z268),"0")+IFERROR(IF(Z269="",0,Z269),"0")+IFERROR(IF(Z270="",0,Z270),"0")+IFERROR(IF(Z271="",0,Z271),"0")</f>
        <v>0</v>
      </c>
      <c r="AA272" s="550"/>
      <c r="AB272" s="550"/>
      <c r="AC272" s="550"/>
    </row>
    <row r="273" spans="1:68" hidden="1" x14ac:dyDescent="0.2">
      <c r="A273" s="557"/>
      <c r="B273" s="557"/>
      <c r="C273" s="557"/>
      <c r="D273" s="557"/>
      <c r="E273" s="557"/>
      <c r="F273" s="557"/>
      <c r="G273" s="557"/>
      <c r="H273" s="557"/>
      <c r="I273" s="557"/>
      <c r="J273" s="557"/>
      <c r="K273" s="557"/>
      <c r="L273" s="557"/>
      <c r="M273" s="557"/>
      <c r="N273" s="557"/>
      <c r="O273" s="559"/>
      <c r="P273" s="553" t="s">
        <v>75</v>
      </c>
      <c r="Q273" s="554"/>
      <c r="R273" s="554"/>
      <c r="S273" s="554"/>
      <c r="T273" s="554"/>
      <c r="U273" s="554"/>
      <c r="V273" s="555"/>
      <c r="W273" s="37" t="s">
        <v>69</v>
      </c>
      <c r="X273" s="549">
        <f>IFERROR(SUM(X268:X271),"0")</f>
        <v>0</v>
      </c>
      <c r="Y273" s="549">
        <f>IFERROR(SUM(Y268:Y271),"0")</f>
        <v>0</v>
      </c>
      <c r="Z273" s="37"/>
      <c r="AA273" s="550"/>
      <c r="AB273" s="550"/>
      <c r="AC273" s="550"/>
    </row>
    <row r="274" spans="1:68" ht="16.5" hidden="1" customHeight="1" x14ac:dyDescent="0.25">
      <c r="A274" s="574" t="s">
        <v>447</v>
      </c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7"/>
      <c r="P274" s="557"/>
      <c r="Q274" s="557"/>
      <c r="R274" s="557"/>
      <c r="S274" s="557"/>
      <c r="T274" s="557"/>
      <c r="U274" s="557"/>
      <c r="V274" s="557"/>
      <c r="W274" s="557"/>
      <c r="X274" s="557"/>
      <c r="Y274" s="557"/>
      <c r="Z274" s="557"/>
      <c r="AA274" s="542"/>
      <c r="AB274" s="542"/>
      <c r="AC274" s="542"/>
    </row>
    <row r="275" spans="1:68" ht="14.25" hidden="1" customHeight="1" x14ac:dyDescent="0.25">
      <c r="A275" s="556" t="s">
        <v>77</v>
      </c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7"/>
      <c r="P275" s="557"/>
      <c r="Q275" s="557"/>
      <c r="R275" s="557"/>
      <c r="S275" s="557"/>
      <c r="T275" s="557"/>
      <c r="U275" s="557"/>
      <c r="V275" s="557"/>
      <c r="W275" s="557"/>
      <c r="X275" s="557"/>
      <c r="Y275" s="557"/>
      <c r="Z275" s="557"/>
      <c r="AA275" s="543"/>
      <c r="AB275" s="543"/>
      <c r="AC275" s="543"/>
    </row>
    <row r="276" spans="1:68" ht="27" hidden="1" customHeight="1" x14ac:dyDescent="0.25">
      <c r="A276" s="54" t="s">
        <v>448</v>
      </c>
      <c r="B276" s="54" t="s">
        <v>449</v>
      </c>
      <c r="C276" s="31">
        <v>4301051893</v>
      </c>
      <c r="D276" s="551">
        <v>4680115886186</v>
      </c>
      <c r="E276" s="552"/>
      <c r="F276" s="546">
        <v>0.3</v>
      </c>
      <c r="G276" s="32">
        <v>6</v>
      </c>
      <c r="H276" s="546">
        <v>1.8</v>
      </c>
      <c r="I276" s="546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68"/>
      <c r="R276" s="568"/>
      <c r="S276" s="568"/>
      <c r="T276" s="569"/>
      <c r="U276" s="34"/>
      <c r="V276" s="34"/>
      <c r="W276" s="35" t="s">
        <v>69</v>
      </c>
      <c r="X276" s="547">
        <v>0</v>
      </c>
      <c r="Y276" s="548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hidden="1" customHeight="1" x14ac:dyDescent="0.25">
      <c r="A277" s="54" t="s">
        <v>451</v>
      </c>
      <c r="B277" s="54" t="s">
        <v>452</v>
      </c>
      <c r="C277" s="31">
        <v>4301051795</v>
      </c>
      <c r="D277" s="551">
        <v>4680115881228</v>
      </c>
      <c r="E277" s="552"/>
      <c r="F277" s="546">
        <v>0.4</v>
      </c>
      <c r="G277" s="32">
        <v>6</v>
      </c>
      <c r="H277" s="546">
        <v>2.4</v>
      </c>
      <c r="I277" s="546">
        <v>2.6520000000000001</v>
      </c>
      <c r="J277" s="32">
        <v>182</v>
      </c>
      <c r="K277" s="32" t="s">
        <v>67</v>
      </c>
      <c r="L277" s="32"/>
      <c r="M277" s="33" t="s">
        <v>87</v>
      </c>
      <c r="N277" s="33"/>
      <c r="O277" s="32">
        <v>40</v>
      </c>
      <c r="P277" s="82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68"/>
      <c r="R277" s="568"/>
      <c r="S277" s="568"/>
      <c r="T277" s="569"/>
      <c r="U277" s="34"/>
      <c r="V277" s="34"/>
      <c r="W277" s="35" t="s">
        <v>69</v>
      </c>
      <c r="X277" s="547">
        <v>0</v>
      </c>
      <c r="Y277" s="548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51">
        <v>4680115881211</v>
      </c>
      <c r="E278" s="552"/>
      <c r="F278" s="546">
        <v>0.4</v>
      </c>
      <c r="G278" s="32">
        <v>6</v>
      </c>
      <c r="H278" s="546">
        <v>2.4</v>
      </c>
      <c r="I278" s="546">
        <v>2.58</v>
      </c>
      <c r="J278" s="32">
        <v>182</v>
      </c>
      <c r="K278" s="32" t="s">
        <v>67</v>
      </c>
      <c r="L278" s="32" t="s">
        <v>91</v>
      </c>
      <c r="M278" s="33" t="s">
        <v>80</v>
      </c>
      <c r="N278" s="33"/>
      <c r="O278" s="32">
        <v>45</v>
      </c>
      <c r="P278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68"/>
      <c r="R278" s="568"/>
      <c r="S278" s="568"/>
      <c r="T278" s="569"/>
      <c r="U278" s="34"/>
      <c r="V278" s="34"/>
      <c r="W278" s="35" t="s">
        <v>69</v>
      </c>
      <c r="X278" s="547">
        <v>4</v>
      </c>
      <c r="Y278" s="548">
        <f>IFERROR(IF(X278="",0,CEILING((X278/$H278),1)*$H278),"")</f>
        <v>4.8</v>
      </c>
      <c r="Z278" s="36">
        <f>IFERROR(IF(Y278=0,"",ROUNDUP(Y278/H278,0)*0.00651),"")</f>
        <v>1.302E-2</v>
      </c>
      <c r="AA278" s="56"/>
      <c r="AB278" s="57"/>
      <c r="AC278" s="331" t="s">
        <v>450</v>
      </c>
      <c r="AG278" s="64"/>
      <c r="AJ278" s="68" t="s">
        <v>93</v>
      </c>
      <c r="AK278" s="68">
        <v>33.6</v>
      </c>
      <c r="BB278" s="332" t="s">
        <v>1</v>
      </c>
      <c r="BM278" s="64">
        <f>IFERROR(X278*I278/H278,"0")</f>
        <v>4.3000000000000007</v>
      </c>
      <c r="BN278" s="64">
        <f>IFERROR(Y278*I278/H278,"0")</f>
        <v>5.16</v>
      </c>
      <c r="BO278" s="64">
        <f>IFERROR(1/J278*(X278/H278),"0")</f>
        <v>9.1575091575091579E-3</v>
      </c>
      <c r="BP278" s="64">
        <f>IFERROR(1/J278*(Y278/H278),"0")</f>
        <v>1.098901098901099E-2</v>
      </c>
    </row>
    <row r="279" spans="1:68" x14ac:dyDescent="0.2">
      <c r="A279" s="558"/>
      <c r="B279" s="557"/>
      <c r="C279" s="557"/>
      <c r="D279" s="557"/>
      <c r="E279" s="557"/>
      <c r="F279" s="557"/>
      <c r="G279" s="557"/>
      <c r="H279" s="557"/>
      <c r="I279" s="557"/>
      <c r="J279" s="557"/>
      <c r="K279" s="557"/>
      <c r="L279" s="557"/>
      <c r="M279" s="557"/>
      <c r="N279" s="557"/>
      <c r="O279" s="559"/>
      <c r="P279" s="553" t="s">
        <v>75</v>
      </c>
      <c r="Q279" s="554"/>
      <c r="R279" s="554"/>
      <c r="S279" s="554"/>
      <c r="T279" s="554"/>
      <c r="U279" s="554"/>
      <c r="V279" s="555"/>
      <c r="W279" s="37" t="s">
        <v>76</v>
      </c>
      <c r="X279" s="549">
        <f>IFERROR(X276/H276,"0")+IFERROR(X277/H277,"0")+IFERROR(X278/H278,"0")</f>
        <v>1.6666666666666667</v>
      </c>
      <c r="Y279" s="549">
        <f>IFERROR(Y276/H276,"0")+IFERROR(Y277/H277,"0")+IFERROR(Y278/H278,"0")</f>
        <v>2</v>
      </c>
      <c r="Z279" s="549">
        <f>IFERROR(IF(Z276="",0,Z276),"0")+IFERROR(IF(Z277="",0,Z277),"0")+IFERROR(IF(Z278="",0,Z278),"0")</f>
        <v>1.302E-2</v>
      </c>
      <c r="AA279" s="550"/>
      <c r="AB279" s="550"/>
      <c r="AC279" s="550"/>
    </row>
    <row r="280" spans="1:68" x14ac:dyDescent="0.2">
      <c r="A280" s="557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9"/>
      <c r="P280" s="553" t="s">
        <v>75</v>
      </c>
      <c r="Q280" s="554"/>
      <c r="R280" s="554"/>
      <c r="S280" s="554"/>
      <c r="T280" s="554"/>
      <c r="U280" s="554"/>
      <c r="V280" s="555"/>
      <c r="W280" s="37" t="s">
        <v>69</v>
      </c>
      <c r="X280" s="549">
        <f>IFERROR(SUM(X276:X278),"0")</f>
        <v>4</v>
      </c>
      <c r="Y280" s="549">
        <f>IFERROR(SUM(Y276:Y278),"0")</f>
        <v>4.8</v>
      </c>
      <c r="Z280" s="37"/>
      <c r="AA280" s="550"/>
      <c r="AB280" s="550"/>
      <c r="AC280" s="550"/>
    </row>
    <row r="281" spans="1:68" ht="16.5" hidden="1" customHeight="1" x14ac:dyDescent="0.25">
      <c r="A281" s="574" t="s">
        <v>456</v>
      </c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7"/>
      <c r="P281" s="557"/>
      <c r="Q281" s="557"/>
      <c r="R281" s="557"/>
      <c r="S281" s="557"/>
      <c r="T281" s="557"/>
      <c r="U281" s="557"/>
      <c r="V281" s="557"/>
      <c r="W281" s="557"/>
      <c r="X281" s="557"/>
      <c r="Y281" s="557"/>
      <c r="Z281" s="557"/>
      <c r="AA281" s="542"/>
      <c r="AB281" s="542"/>
      <c r="AC281" s="542"/>
    </row>
    <row r="282" spans="1:68" ht="14.25" hidden="1" customHeight="1" x14ac:dyDescent="0.25">
      <c r="A282" s="556" t="s">
        <v>64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43"/>
      <c r="AB282" s="543"/>
      <c r="AC282" s="543"/>
    </row>
    <row r="283" spans="1:68" ht="27" hidden="1" customHeight="1" x14ac:dyDescent="0.25">
      <c r="A283" s="54" t="s">
        <v>457</v>
      </c>
      <c r="B283" s="54" t="s">
        <v>458</v>
      </c>
      <c r="C283" s="31">
        <v>4301031307</v>
      </c>
      <c r="D283" s="551">
        <v>4680115880344</v>
      </c>
      <c r="E283" s="552"/>
      <c r="F283" s="546">
        <v>0.28000000000000003</v>
      </c>
      <c r="G283" s="32">
        <v>6</v>
      </c>
      <c r="H283" s="546">
        <v>1.68</v>
      </c>
      <c r="I283" s="546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68"/>
      <c r="R283" s="568"/>
      <c r="S283" s="568"/>
      <c r="T283" s="569"/>
      <c r="U283" s="34"/>
      <c r="V283" s="34"/>
      <c r="W283" s="35" t="s">
        <v>69</v>
      </c>
      <c r="X283" s="547">
        <v>0</v>
      </c>
      <c r="Y283" s="548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460</v>
      </c>
      <c r="B284" s="54" t="s">
        <v>461</v>
      </c>
      <c r="C284" s="31">
        <v>4301031429</v>
      </c>
      <c r="D284" s="551">
        <v>4680115886919</v>
      </c>
      <c r="E284" s="552"/>
      <c r="F284" s="546">
        <v>0.4</v>
      </c>
      <c r="G284" s="32">
        <v>6</v>
      </c>
      <c r="H284" s="546">
        <v>2.4</v>
      </c>
      <c r="I284" s="546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9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68"/>
      <c r="R284" s="568"/>
      <c r="S284" s="568"/>
      <c r="T284" s="569"/>
      <c r="U284" s="34"/>
      <c r="V284" s="34"/>
      <c r="W284" s="35" t="s">
        <v>69</v>
      </c>
      <c r="X284" s="547">
        <v>0</v>
      </c>
      <c r="Y284" s="548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9"/>
      <c r="P285" s="553" t="s">
        <v>75</v>
      </c>
      <c r="Q285" s="554"/>
      <c r="R285" s="554"/>
      <c r="S285" s="554"/>
      <c r="T285" s="554"/>
      <c r="U285" s="554"/>
      <c r="V285" s="555"/>
      <c r="W285" s="37" t="s">
        <v>76</v>
      </c>
      <c r="X285" s="549">
        <f>IFERROR(X283/H283,"0")+IFERROR(X284/H284,"0")</f>
        <v>0</v>
      </c>
      <c r="Y285" s="549">
        <f>IFERROR(Y283/H283,"0")+IFERROR(Y284/H284,"0")</f>
        <v>0</v>
      </c>
      <c r="Z285" s="549">
        <f>IFERROR(IF(Z283="",0,Z283),"0")+IFERROR(IF(Z284="",0,Z284),"0")</f>
        <v>0</v>
      </c>
      <c r="AA285" s="550"/>
      <c r="AB285" s="550"/>
      <c r="AC285" s="550"/>
    </row>
    <row r="286" spans="1:68" hidden="1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9"/>
      <c r="P286" s="553" t="s">
        <v>75</v>
      </c>
      <c r="Q286" s="554"/>
      <c r="R286" s="554"/>
      <c r="S286" s="554"/>
      <c r="T286" s="554"/>
      <c r="U286" s="554"/>
      <c r="V286" s="555"/>
      <c r="W286" s="37" t="s">
        <v>69</v>
      </c>
      <c r="X286" s="549">
        <f>IFERROR(SUM(X283:X284),"0")</f>
        <v>0</v>
      </c>
      <c r="Y286" s="549">
        <f>IFERROR(SUM(Y283:Y284),"0")</f>
        <v>0</v>
      </c>
      <c r="Z286" s="37"/>
      <c r="AA286" s="550"/>
      <c r="AB286" s="550"/>
      <c r="AC286" s="550"/>
    </row>
    <row r="287" spans="1:68" ht="14.25" hidden="1" customHeight="1" x14ac:dyDescent="0.25">
      <c r="A287" s="556" t="s">
        <v>77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43"/>
      <c r="AB287" s="543"/>
      <c r="AC287" s="543"/>
    </row>
    <row r="288" spans="1:68" ht="37.5" hidden="1" customHeight="1" x14ac:dyDescent="0.25">
      <c r="A288" s="54" t="s">
        <v>463</v>
      </c>
      <c r="B288" s="54" t="s">
        <v>464</v>
      </c>
      <c r="C288" s="31">
        <v>4301051782</v>
      </c>
      <c r="D288" s="551">
        <v>4680115884618</v>
      </c>
      <c r="E288" s="552"/>
      <c r="F288" s="546">
        <v>0.6</v>
      </c>
      <c r="G288" s="32">
        <v>6</v>
      </c>
      <c r="H288" s="546">
        <v>3.6</v>
      </c>
      <c r="I288" s="546">
        <v>3.79</v>
      </c>
      <c r="J288" s="32">
        <v>132</v>
      </c>
      <c r="K288" s="32" t="s">
        <v>113</v>
      </c>
      <c r="L288" s="32" t="s">
        <v>116</v>
      </c>
      <c r="M288" s="33" t="s">
        <v>80</v>
      </c>
      <c r="N288" s="33"/>
      <c r="O288" s="32">
        <v>45</v>
      </c>
      <c r="P288" s="84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68"/>
      <c r="R288" s="568"/>
      <c r="S288" s="568"/>
      <c r="T288" s="569"/>
      <c r="U288" s="34"/>
      <c r="V288" s="34"/>
      <c r="W288" s="35" t="s">
        <v>69</v>
      </c>
      <c r="X288" s="547">
        <v>0</v>
      </c>
      <c r="Y288" s="548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 t="s">
        <v>93</v>
      </c>
      <c r="AK288" s="68">
        <v>43.2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hidden="1" customHeight="1" x14ac:dyDescent="0.25">
      <c r="A289" s="54" t="s">
        <v>466</v>
      </c>
      <c r="B289" s="54" t="s">
        <v>467</v>
      </c>
      <c r="C289" s="31">
        <v>4301052057</v>
      </c>
      <c r="D289" s="551">
        <v>4680115887114</v>
      </c>
      <c r="E289" s="552"/>
      <c r="F289" s="546">
        <v>0.55000000000000004</v>
      </c>
      <c r="G289" s="32">
        <v>6</v>
      </c>
      <c r="H289" s="546">
        <v>3.3</v>
      </c>
      <c r="I289" s="546">
        <v>3.49</v>
      </c>
      <c r="J289" s="32">
        <v>132</v>
      </c>
      <c r="K289" s="32" t="s">
        <v>113</v>
      </c>
      <c r="L289" s="32"/>
      <c r="M289" s="33" t="s">
        <v>80</v>
      </c>
      <c r="N289" s="33"/>
      <c r="O289" s="32">
        <v>45</v>
      </c>
      <c r="P289" s="68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68"/>
      <c r="R289" s="568"/>
      <c r="S289" s="568"/>
      <c r="T289" s="569"/>
      <c r="U289" s="34"/>
      <c r="V289" s="34"/>
      <c r="W289" s="35" t="s">
        <v>69</v>
      </c>
      <c r="X289" s="547">
        <v>0</v>
      </c>
      <c r="Y289" s="54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idden="1" x14ac:dyDescent="0.2">
      <c r="A290" s="558"/>
      <c r="B290" s="557"/>
      <c r="C290" s="557"/>
      <c r="D290" s="557"/>
      <c r="E290" s="557"/>
      <c r="F290" s="557"/>
      <c r="G290" s="557"/>
      <c r="H290" s="557"/>
      <c r="I290" s="557"/>
      <c r="J290" s="557"/>
      <c r="K290" s="557"/>
      <c r="L290" s="557"/>
      <c r="M290" s="557"/>
      <c r="N290" s="557"/>
      <c r="O290" s="559"/>
      <c r="P290" s="553" t="s">
        <v>75</v>
      </c>
      <c r="Q290" s="554"/>
      <c r="R290" s="554"/>
      <c r="S290" s="554"/>
      <c r="T290" s="554"/>
      <c r="U290" s="554"/>
      <c r="V290" s="555"/>
      <c r="W290" s="37" t="s">
        <v>76</v>
      </c>
      <c r="X290" s="549">
        <f>IFERROR(X288/H288,"0")+IFERROR(X289/H289,"0")</f>
        <v>0</v>
      </c>
      <c r="Y290" s="549">
        <f>IFERROR(Y288/H288,"0")+IFERROR(Y289/H289,"0")</f>
        <v>0</v>
      </c>
      <c r="Z290" s="549">
        <f>IFERROR(IF(Z288="",0,Z288),"0")+IFERROR(IF(Z289="",0,Z289),"0")</f>
        <v>0</v>
      </c>
      <c r="AA290" s="550"/>
      <c r="AB290" s="550"/>
      <c r="AC290" s="550"/>
    </row>
    <row r="291" spans="1:68" hidden="1" x14ac:dyDescent="0.2">
      <c r="A291" s="557"/>
      <c r="B291" s="557"/>
      <c r="C291" s="557"/>
      <c r="D291" s="557"/>
      <c r="E291" s="557"/>
      <c r="F291" s="557"/>
      <c r="G291" s="557"/>
      <c r="H291" s="557"/>
      <c r="I291" s="557"/>
      <c r="J291" s="557"/>
      <c r="K291" s="557"/>
      <c r="L291" s="557"/>
      <c r="M291" s="557"/>
      <c r="N291" s="557"/>
      <c r="O291" s="559"/>
      <c r="P291" s="553" t="s">
        <v>75</v>
      </c>
      <c r="Q291" s="554"/>
      <c r="R291" s="554"/>
      <c r="S291" s="554"/>
      <c r="T291" s="554"/>
      <c r="U291" s="554"/>
      <c r="V291" s="555"/>
      <c r="W291" s="37" t="s">
        <v>69</v>
      </c>
      <c r="X291" s="549">
        <f>IFERROR(SUM(X288:X289),"0")</f>
        <v>0</v>
      </c>
      <c r="Y291" s="549">
        <f>IFERROR(SUM(Y288:Y289),"0")</f>
        <v>0</v>
      </c>
      <c r="Z291" s="37"/>
      <c r="AA291" s="550"/>
      <c r="AB291" s="550"/>
      <c r="AC291" s="550"/>
    </row>
    <row r="292" spans="1:68" ht="16.5" hidden="1" customHeight="1" x14ac:dyDescent="0.25">
      <c r="A292" s="574" t="s">
        <v>469</v>
      </c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57"/>
      <c r="P292" s="557"/>
      <c r="Q292" s="557"/>
      <c r="R292" s="557"/>
      <c r="S292" s="557"/>
      <c r="T292" s="557"/>
      <c r="U292" s="557"/>
      <c r="V292" s="557"/>
      <c r="W292" s="557"/>
      <c r="X292" s="557"/>
      <c r="Y292" s="557"/>
      <c r="Z292" s="557"/>
      <c r="AA292" s="542"/>
      <c r="AB292" s="542"/>
      <c r="AC292" s="542"/>
    </row>
    <row r="293" spans="1:68" ht="14.25" hidden="1" customHeight="1" x14ac:dyDescent="0.25">
      <c r="A293" s="556" t="s">
        <v>104</v>
      </c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57"/>
      <c r="P293" s="557"/>
      <c r="Q293" s="557"/>
      <c r="R293" s="557"/>
      <c r="S293" s="557"/>
      <c r="T293" s="557"/>
      <c r="U293" s="557"/>
      <c r="V293" s="557"/>
      <c r="W293" s="557"/>
      <c r="X293" s="557"/>
      <c r="Y293" s="557"/>
      <c r="Z293" s="557"/>
      <c r="AA293" s="543"/>
      <c r="AB293" s="543"/>
      <c r="AC293" s="543"/>
    </row>
    <row r="294" spans="1:68" ht="27" hidden="1" customHeight="1" x14ac:dyDescent="0.25">
      <c r="A294" s="54" t="s">
        <v>470</v>
      </c>
      <c r="B294" s="54" t="s">
        <v>471</v>
      </c>
      <c r="C294" s="31">
        <v>4301012126</v>
      </c>
      <c r="D294" s="551">
        <v>4607091386004</v>
      </c>
      <c r="E294" s="552"/>
      <c r="F294" s="546">
        <v>1.35</v>
      </c>
      <c r="G294" s="32">
        <v>8</v>
      </c>
      <c r="H294" s="546">
        <v>10.8</v>
      </c>
      <c r="I294" s="546">
        <v>11.21</v>
      </c>
      <c r="J294" s="32">
        <v>64</v>
      </c>
      <c r="K294" s="32" t="s">
        <v>107</v>
      </c>
      <c r="L294" s="32"/>
      <c r="M294" s="33" t="s">
        <v>109</v>
      </c>
      <c r="N294" s="33"/>
      <c r="O294" s="32">
        <v>55</v>
      </c>
      <c r="P294" s="80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4" s="568"/>
      <c r="R294" s="568"/>
      <c r="S294" s="568"/>
      <c r="T294" s="569"/>
      <c r="U294" s="34"/>
      <c r="V294" s="34"/>
      <c r="W294" s="35" t="s">
        <v>69</v>
      </c>
      <c r="X294" s="547">
        <v>0</v>
      </c>
      <c r="Y294" s="548">
        <f t="shared" ref="Y294:Y299" si="26"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 t="shared" ref="BM294:BM299" si="27">IFERROR(X294*I294/H294,"0")</f>
        <v>0</v>
      </c>
      <c r="BN294" s="64">
        <f t="shared" ref="BN294:BN299" si="28">IFERROR(Y294*I294/H294,"0")</f>
        <v>0</v>
      </c>
      <c r="BO294" s="64">
        <f t="shared" ref="BO294:BO299" si="29">IFERROR(1/J294*(X294/H294),"0")</f>
        <v>0</v>
      </c>
      <c r="BP294" s="64">
        <f t="shared" ref="BP294:BP299" si="30">IFERROR(1/J294*(Y294/H294),"0")</f>
        <v>0</v>
      </c>
    </row>
    <row r="295" spans="1:68" ht="27" customHeight="1" x14ac:dyDescent="0.25">
      <c r="A295" s="54" t="s">
        <v>473</v>
      </c>
      <c r="B295" s="54" t="s">
        <v>474</v>
      </c>
      <c r="C295" s="31">
        <v>4301012024</v>
      </c>
      <c r="D295" s="551">
        <v>4680115885615</v>
      </c>
      <c r="E295" s="552"/>
      <c r="F295" s="546">
        <v>1.35</v>
      </c>
      <c r="G295" s="32">
        <v>8</v>
      </c>
      <c r="H295" s="546">
        <v>10.8</v>
      </c>
      <c r="I295" s="546">
        <v>11.21</v>
      </c>
      <c r="J295" s="32">
        <v>64</v>
      </c>
      <c r="K295" s="32" t="s">
        <v>107</v>
      </c>
      <c r="L295" s="32" t="s">
        <v>108</v>
      </c>
      <c r="M295" s="33" t="s">
        <v>80</v>
      </c>
      <c r="N295" s="33"/>
      <c r="O295" s="32">
        <v>55</v>
      </c>
      <c r="P295" s="80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5" s="568"/>
      <c r="R295" s="568"/>
      <c r="S295" s="568"/>
      <c r="T295" s="569"/>
      <c r="U295" s="34"/>
      <c r="V295" s="34"/>
      <c r="W295" s="35" t="s">
        <v>69</v>
      </c>
      <c r="X295" s="547">
        <v>50</v>
      </c>
      <c r="Y295" s="548">
        <f t="shared" si="26"/>
        <v>54</v>
      </c>
      <c r="Z295" s="36">
        <f>IFERROR(IF(Y295=0,"",ROUNDUP(Y295/H295,0)*0.01898),"")</f>
        <v>9.4899999999999998E-2</v>
      </c>
      <c r="AA295" s="56"/>
      <c r="AB295" s="57"/>
      <c r="AC295" s="343" t="s">
        <v>475</v>
      </c>
      <c r="AG295" s="64"/>
      <c r="AJ295" s="68" t="s">
        <v>93</v>
      </c>
      <c r="AK295" s="68">
        <v>86.4</v>
      </c>
      <c r="BB295" s="344" t="s">
        <v>1</v>
      </c>
      <c r="BM295" s="64">
        <f t="shared" si="27"/>
        <v>51.898148148148145</v>
      </c>
      <c r="BN295" s="64">
        <f t="shared" si="28"/>
        <v>56.05</v>
      </c>
      <c r="BO295" s="64">
        <f t="shared" si="29"/>
        <v>7.2337962962962965E-2</v>
      </c>
      <c r="BP295" s="64">
        <f t="shared" si="30"/>
        <v>7.8125E-2</v>
      </c>
    </row>
    <row r="296" spans="1:68" ht="37.5" customHeight="1" x14ac:dyDescent="0.25">
      <c r="A296" s="54" t="s">
        <v>476</v>
      </c>
      <c r="B296" s="54" t="s">
        <v>477</v>
      </c>
      <c r="C296" s="31">
        <v>4301011858</v>
      </c>
      <c r="D296" s="551">
        <v>4680115885646</v>
      </c>
      <c r="E296" s="552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107</v>
      </c>
      <c r="L296" s="32" t="s">
        <v>108</v>
      </c>
      <c r="M296" s="33" t="s">
        <v>109</v>
      </c>
      <c r="N296" s="33"/>
      <c r="O296" s="32">
        <v>55</v>
      </c>
      <c r="P296" s="71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6" s="568"/>
      <c r="R296" s="568"/>
      <c r="S296" s="568"/>
      <c r="T296" s="569"/>
      <c r="U296" s="34"/>
      <c r="V296" s="34"/>
      <c r="W296" s="35" t="s">
        <v>69</v>
      </c>
      <c r="X296" s="547">
        <v>70</v>
      </c>
      <c r="Y296" s="548">
        <f t="shared" si="26"/>
        <v>75.600000000000009</v>
      </c>
      <c r="Z296" s="36">
        <f>IFERROR(IF(Y296=0,"",ROUNDUP(Y296/H296,0)*0.01898),"")</f>
        <v>0.13286000000000001</v>
      </c>
      <c r="AA296" s="56"/>
      <c r="AB296" s="57"/>
      <c r="AC296" s="345" t="s">
        <v>478</v>
      </c>
      <c r="AG296" s="64"/>
      <c r="AJ296" s="68" t="s">
        <v>93</v>
      </c>
      <c r="AK296" s="68">
        <v>86.4</v>
      </c>
      <c r="BB296" s="346" t="s">
        <v>1</v>
      </c>
      <c r="BM296" s="64">
        <f t="shared" si="27"/>
        <v>72.657407407407405</v>
      </c>
      <c r="BN296" s="64">
        <f t="shared" si="28"/>
        <v>78.47</v>
      </c>
      <c r="BO296" s="64">
        <f t="shared" si="29"/>
        <v>0.10127314814814814</v>
      </c>
      <c r="BP296" s="64">
        <f t="shared" si="30"/>
        <v>0.109375</v>
      </c>
    </row>
    <row r="297" spans="1:68" ht="27" customHeight="1" x14ac:dyDescent="0.25">
      <c r="A297" s="54" t="s">
        <v>479</v>
      </c>
      <c r="B297" s="54" t="s">
        <v>480</v>
      </c>
      <c r="C297" s="31">
        <v>4301012016</v>
      </c>
      <c r="D297" s="551">
        <v>4680115885554</v>
      </c>
      <c r="E297" s="552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107</v>
      </c>
      <c r="L297" s="32"/>
      <c r="M297" s="33" t="s">
        <v>80</v>
      </c>
      <c r="N297" s="33"/>
      <c r="O297" s="32">
        <v>55</v>
      </c>
      <c r="P297" s="86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7" s="568"/>
      <c r="R297" s="568"/>
      <c r="S297" s="568"/>
      <c r="T297" s="569"/>
      <c r="U297" s="34"/>
      <c r="V297" s="34"/>
      <c r="W297" s="35" t="s">
        <v>69</v>
      </c>
      <c r="X297" s="547">
        <v>70</v>
      </c>
      <c r="Y297" s="548">
        <f t="shared" si="26"/>
        <v>75.600000000000009</v>
      </c>
      <c r="Z297" s="36">
        <f>IFERROR(IF(Y297=0,"",ROUNDUP(Y297/H297,0)*0.01898),"")</f>
        <v>0.13286000000000001</v>
      </c>
      <c r="AA297" s="56"/>
      <c r="AB297" s="57"/>
      <c r="AC297" s="347" t="s">
        <v>481</v>
      </c>
      <c r="AG297" s="64"/>
      <c r="AJ297" s="68"/>
      <c r="AK297" s="68">
        <v>0</v>
      </c>
      <c r="BB297" s="348" t="s">
        <v>1</v>
      </c>
      <c r="BM297" s="64">
        <f t="shared" si="27"/>
        <v>72.657407407407405</v>
      </c>
      <c r="BN297" s="64">
        <f t="shared" si="28"/>
        <v>78.47</v>
      </c>
      <c r="BO297" s="64">
        <f t="shared" si="29"/>
        <v>0.10127314814814814</v>
      </c>
      <c r="BP297" s="64">
        <f t="shared" si="30"/>
        <v>0.109375</v>
      </c>
    </row>
    <row r="298" spans="1:68" ht="27" hidden="1" customHeight="1" x14ac:dyDescent="0.25">
      <c r="A298" s="54" t="s">
        <v>482</v>
      </c>
      <c r="B298" s="54" t="s">
        <v>483</v>
      </c>
      <c r="C298" s="31">
        <v>4301011857</v>
      </c>
      <c r="D298" s="551">
        <v>4680115885622</v>
      </c>
      <c r="E298" s="552"/>
      <c r="F298" s="546">
        <v>0.4</v>
      </c>
      <c r="G298" s="32">
        <v>10</v>
      </c>
      <c r="H298" s="546">
        <v>4</v>
      </c>
      <c r="I298" s="546">
        <v>4.1900000000000004</v>
      </c>
      <c r="J298" s="32">
        <v>132</v>
      </c>
      <c r="K298" s="32" t="s">
        <v>113</v>
      </c>
      <c r="L298" s="32" t="s">
        <v>116</v>
      </c>
      <c r="M298" s="33" t="s">
        <v>109</v>
      </c>
      <c r="N298" s="33"/>
      <c r="O298" s="32">
        <v>55</v>
      </c>
      <c r="P298" s="82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8" s="568"/>
      <c r="R298" s="568"/>
      <c r="S298" s="568"/>
      <c r="T298" s="569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IFERROR(IF(Y298=0,"",ROUNDUP(Y298/H298,0)*0.00902),"")</f>
        <v/>
      </c>
      <c r="AA298" s="56"/>
      <c r="AB298" s="57"/>
      <c r="AC298" s="349" t="s">
        <v>475</v>
      </c>
      <c r="AG298" s="64"/>
      <c r="AJ298" s="68" t="s">
        <v>93</v>
      </c>
      <c r="AK298" s="68">
        <v>48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484</v>
      </c>
      <c r="B299" s="54" t="s">
        <v>485</v>
      </c>
      <c r="C299" s="31">
        <v>4301011859</v>
      </c>
      <c r="D299" s="551">
        <v>4680115885608</v>
      </c>
      <c r="E299" s="552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113</v>
      </c>
      <c r="L299" s="32" t="s">
        <v>116</v>
      </c>
      <c r="M299" s="33" t="s">
        <v>109</v>
      </c>
      <c r="N299" s="33"/>
      <c r="O299" s="32">
        <v>55</v>
      </c>
      <c r="P299" s="73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9" s="568"/>
      <c r="R299" s="568"/>
      <c r="S299" s="568"/>
      <c r="T299" s="569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486</v>
      </c>
      <c r="AG299" s="64"/>
      <c r="AJ299" s="68" t="s">
        <v>93</v>
      </c>
      <c r="AK299" s="68">
        <v>48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x14ac:dyDescent="0.2">
      <c r="A300" s="558"/>
      <c r="B300" s="557"/>
      <c r="C300" s="557"/>
      <c r="D300" s="557"/>
      <c r="E300" s="557"/>
      <c r="F300" s="557"/>
      <c r="G300" s="557"/>
      <c r="H300" s="557"/>
      <c r="I300" s="557"/>
      <c r="J300" s="557"/>
      <c r="K300" s="557"/>
      <c r="L300" s="557"/>
      <c r="M300" s="557"/>
      <c r="N300" s="557"/>
      <c r="O300" s="559"/>
      <c r="P300" s="553" t="s">
        <v>75</v>
      </c>
      <c r="Q300" s="554"/>
      <c r="R300" s="554"/>
      <c r="S300" s="554"/>
      <c r="T300" s="554"/>
      <c r="U300" s="554"/>
      <c r="V300" s="555"/>
      <c r="W300" s="37" t="s">
        <v>76</v>
      </c>
      <c r="X300" s="549">
        <f>IFERROR(X294/H294,"0")+IFERROR(X295/H295,"0")+IFERROR(X296/H296,"0")+IFERROR(X297/H297,"0")+IFERROR(X298/H298,"0")+IFERROR(X299/H299,"0")</f>
        <v>17.592592592592592</v>
      </c>
      <c r="Y300" s="549">
        <f>IFERROR(Y294/H294,"0")+IFERROR(Y295/H295,"0")+IFERROR(Y296/H296,"0")+IFERROR(Y297/H297,"0")+IFERROR(Y298/H298,"0")+IFERROR(Y299/H299,"0")</f>
        <v>19</v>
      </c>
      <c r="Z300" s="549">
        <f>IFERROR(IF(Z294="",0,Z294),"0")+IFERROR(IF(Z295="",0,Z295),"0")+IFERROR(IF(Z296="",0,Z296),"0")+IFERROR(IF(Z297="",0,Z297),"0")+IFERROR(IF(Z298="",0,Z298),"0")+IFERROR(IF(Z299="",0,Z299),"0")</f>
        <v>0.36062000000000005</v>
      </c>
      <c r="AA300" s="550"/>
      <c r="AB300" s="550"/>
      <c r="AC300" s="550"/>
    </row>
    <row r="301" spans="1:68" x14ac:dyDescent="0.2">
      <c r="A301" s="557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59"/>
      <c r="P301" s="553" t="s">
        <v>75</v>
      </c>
      <c r="Q301" s="554"/>
      <c r="R301" s="554"/>
      <c r="S301" s="554"/>
      <c r="T301" s="554"/>
      <c r="U301" s="554"/>
      <c r="V301" s="555"/>
      <c r="W301" s="37" t="s">
        <v>69</v>
      </c>
      <c r="X301" s="549">
        <f>IFERROR(SUM(X294:X299),"0")</f>
        <v>190</v>
      </c>
      <c r="Y301" s="549">
        <f>IFERROR(SUM(Y294:Y299),"0")</f>
        <v>205.20000000000005</v>
      </c>
      <c r="Z301" s="37"/>
      <c r="AA301" s="550"/>
      <c r="AB301" s="550"/>
      <c r="AC301" s="550"/>
    </row>
    <row r="302" spans="1:68" ht="14.25" hidden="1" customHeight="1" x14ac:dyDescent="0.25">
      <c r="A302" s="556" t="s">
        <v>64</v>
      </c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57"/>
      <c r="P302" s="557"/>
      <c r="Q302" s="557"/>
      <c r="R302" s="557"/>
      <c r="S302" s="557"/>
      <c r="T302" s="557"/>
      <c r="U302" s="557"/>
      <c r="V302" s="557"/>
      <c r="W302" s="557"/>
      <c r="X302" s="557"/>
      <c r="Y302" s="557"/>
      <c r="Z302" s="557"/>
      <c r="AA302" s="543"/>
      <c r="AB302" s="543"/>
      <c r="AC302" s="543"/>
    </row>
    <row r="303" spans="1:68" ht="27" customHeight="1" x14ac:dyDescent="0.25">
      <c r="A303" s="54" t="s">
        <v>487</v>
      </c>
      <c r="B303" s="54" t="s">
        <v>488</v>
      </c>
      <c r="C303" s="31">
        <v>4301030878</v>
      </c>
      <c r="D303" s="551">
        <v>4607091387193</v>
      </c>
      <c r="E303" s="552"/>
      <c r="F303" s="546">
        <v>0.7</v>
      </c>
      <c r="G303" s="32">
        <v>6</v>
      </c>
      <c r="H303" s="546">
        <v>4.2</v>
      </c>
      <c r="I303" s="546">
        <v>4.45</v>
      </c>
      <c r="J303" s="32">
        <v>132</v>
      </c>
      <c r="K303" s="32" t="s">
        <v>113</v>
      </c>
      <c r="L303" s="32" t="s">
        <v>116</v>
      </c>
      <c r="M303" s="33" t="s">
        <v>68</v>
      </c>
      <c r="N303" s="33"/>
      <c r="O303" s="32">
        <v>35</v>
      </c>
      <c r="P303" s="69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3" s="568"/>
      <c r="R303" s="568"/>
      <c r="S303" s="568"/>
      <c r="T303" s="569"/>
      <c r="U303" s="34"/>
      <c r="V303" s="34"/>
      <c r="W303" s="35" t="s">
        <v>69</v>
      </c>
      <c r="X303" s="547">
        <v>40</v>
      </c>
      <c r="Y303" s="548">
        <f t="shared" ref="Y303:Y308" si="31">IFERROR(IF(X303="",0,CEILING((X303/$H303),1)*$H303),"")</f>
        <v>42</v>
      </c>
      <c r="Z303" s="36">
        <f>IFERROR(IF(Y303=0,"",ROUNDUP(Y303/H303,0)*0.00902),"")</f>
        <v>9.0200000000000002E-2</v>
      </c>
      <c r="AA303" s="56"/>
      <c r="AB303" s="57"/>
      <c r="AC303" s="353" t="s">
        <v>489</v>
      </c>
      <c r="AG303" s="64"/>
      <c r="AJ303" s="68" t="s">
        <v>93</v>
      </c>
      <c r="AK303" s="68">
        <v>50.4</v>
      </c>
      <c r="BB303" s="354" t="s">
        <v>1</v>
      </c>
      <c r="BM303" s="64">
        <f t="shared" ref="BM303:BM308" si="32">IFERROR(X303*I303/H303,"0")</f>
        <v>42.38095238095238</v>
      </c>
      <c r="BN303" s="64">
        <f t="shared" ref="BN303:BN308" si="33">IFERROR(Y303*I303/H303,"0")</f>
        <v>44.5</v>
      </c>
      <c r="BO303" s="64">
        <f t="shared" ref="BO303:BO308" si="34">IFERROR(1/J303*(X303/H303),"0")</f>
        <v>7.2150072150072145E-2</v>
      </c>
      <c r="BP303" s="64">
        <f t="shared" ref="BP303:BP308" si="35">IFERROR(1/J303*(Y303/H303),"0")</f>
        <v>7.575757575757576E-2</v>
      </c>
    </row>
    <row r="304" spans="1:68" ht="27" customHeight="1" x14ac:dyDescent="0.25">
      <c r="A304" s="54" t="s">
        <v>490</v>
      </c>
      <c r="B304" s="54" t="s">
        <v>491</v>
      </c>
      <c r="C304" s="31">
        <v>4301031153</v>
      </c>
      <c r="D304" s="551">
        <v>4607091387230</v>
      </c>
      <c r="E304" s="552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113</v>
      </c>
      <c r="L304" s="32" t="s">
        <v>116</v>
      </c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4" s="568"/>
      <c r="R304" s="568"/>
      <c r="S304" s="568"/>
      <c r="T304" s="569"/>
      <c r="U304" s="34"/>
      <c r="V304" s="34"/>
      <c r="W304" s="35" t="s">
        <v>69</v>
      </c>
      <c r="X304" s="547">
        <v>40</v>
      </c>
      <c r="Y304" s="548">
        <f t="shared" si="31"/>
        <v>42</v>
      </c>
      <c r="Z304" s="36">
        <f>IFERROR(IF(Y304=0,"",ROUNDUP(Y304/H304,0)*0.00902),"")</f>
        <v>9.0200000000000002E-2</v>
      </c>
      <c r="AA304" s="56"/>
      <c r="AB304" s="57"/>
      <c r="AC304" s="355" t="s">
        <v>492</v>
      </c>
      <c r="AG304" s="64"/>
      <c r="AJ304" s="68" t="s">
        <v>93</v>
      </c>
      <c r="AK304" s="68">
        <v>50.4</v>
      </c>
      <c r="BB304" s="356" t="s">
        <v>1</v>
      </c>
      <c r="BM304" s="64">
        <f t="shared" si="32"/>
        <v>42.38095238095238</v>
      </c>
      <c r="BN304" s="64">
        <f t="shared" si="33"/>
        <v>44.5</v>
      </c>
      <c r="BO304" s="64">
        <f t="shared" si="34"/>
        <v>7.2150072150072145E-2</v>
      </c>
      <c r="BP304" s="64">
        <f t="shared" si="35"/>
        <v>7.575757575757576E-2</v>
      </c>
    </row>
    <row r="305" spans="1:68" ht="27" hidden="1" customHeight="1" x14ac:dyDescent="0.25">
      <c r="A305" s="54" t="s">
        <v>493</v>
      </c>
      <c r="B305" s="54" t="s">
        <v>494</v>
      </c>
      <c r="C305" s="31">
        <v>4301031154</v>
      </c>
      <c r="D305" s="551">
        <v>4607091387292</v>
      </c>
      <c r="E305" s="552"/>
      <c r="F305" s="546">
        <v>0.73</v>
      </c>
      <c r="G305" s="32">
        <v>6</v>
      </c>
      <c r="H305" s="546">
        <v>4.38</v>
      </c>
      <c r="I305" s="546">
        <v>4.63</v>
      </c>
      <c r="J305" s="32">
        <v>132</v>
      </c>
      <c r="K305" s="32" t="s">
        <v>113</v>
      </c>
      <c r="L305" s="32"/>
      <c r="M305" s="33" t="s">
        <v>68</v>
      </c>
      <c r="N305" s="33"/>
      <c r="O305" s="32">
        <v>45</v>
      </c>
      <c r="P305" s="69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5" s="568"/>
      <c r="R305" s="568"/>
      <c r="S305" s="568"/>
      <c r="T305" s="569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495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496</v>
      </c>
      <c r="B306" s="54" t="s">
        <v>497</v>
      </c>
      <c r="C306" s="31">
        <v>4301031152</v>
      </c>
      <c r="D306" s="551">
        <v>4607091387285</v>
      </c>
      <c r="E306" s="552"/>
      <c r="F306" s="546">
        <v>0.35</v>
      </c>
      <c r="G306" s="32">
        <v>6</v>
      </c>
      <c r="H306" s="546">
        <v>2.1</v>
      </c>
      <c r="I306" s="546">
        <v>2.23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6" s="568"/>
      <c r="R306" s="568"/>
      <c r="S306" s="568"/>
      <c r="T306" s="569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IFERROR(IF(Y306=0,"",ROUNDUP(Y306/H306,0)*0.00502),"")</f>
        <v/>
      </c>
      <c r="AA306" s="56"/>
      <c r="AB306" s="57"/>
      <c r="AC306" s="359" t="s">
        <v>492</v>
      </c>
      <c r="AG306" s="64"/>
      <c r="AJ306" s="68" t="s">
        <v>93</v>
      </c>
      <c r="AK306" s="68">
        <v>37.799999999999997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498</v>
      </c>
      <c r="B307" s="54" t="s">
        <v>499</v>
      </c>
      <c r="C307" s="31">
        <v>4301031305</v>
      </c>
      <c r="D307" s="551">
        <v>4607091389845</v>
      </c>
      <c r="E307" s="552"/>
      <c r="F307" s="546">
        <v>0.35</v>
      </c>
      <c r="G307" s="32">
        <v>6</v>
      </c>
      <c r="H307" s="546">
        <v>2.1</v>
      </c>
      <c r="I307" s="546">
        <v>2.2000000000000002</v>
      </c>
      <c r="J307" s="32">
        <v>234</v>
      </c>
      <c r="K307" s="32" t="s">
        <v>73</v>
      </c>
      <c r="L307" s="32" t="s">
        <v>288</v>
      </c>
      <c r="M307" s="33" t="s">
        <v>68</v>
      </c>
      <c r="N307" s="33"/>
      <c r="O307" s="32">
        <v>40</v>
      </c>
      <c r="P307" s="87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7" s="568"/>
      <c r="R307" s="568"/>
      <c r="S307" s="568"/>
      <c r="T307" s="569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500</v>
      </c>
      <c r="AG307" s="64"/>
      <c r="AJ307" s="68" t="s">
        <v>93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501</v>
      </c>
      <c r="B308" s="54" t="s">
        <v>502</v>
      </c>
      <c r="C308" s="31">
        <v>4301031066</v>
      </c>
      <c r="D308" s="551">
        <v>4607091383836</v>
      </c>
      <c r="E308" s="552"/>
      <c r="F308" s="546">
        <v>0.3</v>
      </c>
      <c r="G308" s="32">
        <v>6</v>
      </c>
      <c r="H308" s="546">
        <v>1.8</v>
      </c>
      <c r="I308" s="546">
        <v>2.028</v>
      </c>
      <c r="J308" s="32">
        <v>182</v>
      </c>
      <c r="K308" s="32" t="s">
        <v>67</v>
      </c>
      <c r="L308" s="32" t="s">
        <v>91</v>
      </c>
      <c r="M308" s="33" t="s">
        <v>68</v>
      </c>
      <c r="N308" s="33"/>
      <c r="O308" s="32">
        <v>40</v>
      </c>
      <c r="P308" s="7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8" s="568"/>
      <c r="R308" s="568"/>
      <c r="S308" s="568"/>
      <c r="T308" s="569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IFERROR(IF(Y308=0,"",ROUNDUP(Y308/H308,0)*0.00651),"")</f>
        <v/>
      </c>
      <c r="AA308" s="56"/>
      <c r="AB308" s="57"/>
      <c r="AC308" s="363" t="s">
        <v>503</v>
      </c>
      <c r="AG308" s="64"/>
      <c r="AJ308" s="68" t="s">
        <v>93</v>
      </c>
      <c r="AK308" s="68">
        <v>25.2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x14ac:dyDescent="0.2">
      <c r="A309" s="558"/>
      <c r="B309" s="557"/>
      <c r="C309" s="557"/>
      <c r="D309" s="557"/>
      <c r="E309" s="557"/>
      <c r="F309" s="557"/>
      <c r="G309" s="557"/>
      <c r="H309" s="557"/>
      <c r="I309" s="557"/>
      <c r="J309" s="557"/>
      <c r="K309" s="557"/>
      <c r="L309" s="557"/>
      <c r="M309" s="557"/>
      <c r="N309" s="557"/>
      <c r="O309" s="559"/>
      <c r="P309" s="553" t="s">
        <v>75</v>
      </c>
      <c r="Q309" s="554"/>
      <c r="R309" s="554"/>
      <c r="S309" s="554"/>
      <c r="T309" s="554"/>
      <c r="U309" s="554"/>
      <c r="V309" s="555"/>
      <c r="W309" s="37" t="s">
        <v>76</v>
      </c>
      <c r="X309" s="549">
        <f>IFERROR(X303/H303,"0")+IFERROR(X304/H304,"0")+IFERROR(X305/H305,"0")+IFERROR(X306/H306,"0")+IFERROR(X307/H307,"0")+IFERROR(X308/H308,"0")</f>
        <v>19.047619047619047</v>
      </c>
      <c r="Y309" s="549">
        <f>IFERROR(Y303/H303,"0")+IFERROR(Y304/H304,"0")+IFERROR(Y305/H305,"0")+IFERROR(Y306/H306,"0")+IFERROR(Y307/H307,"0")+IFERROR(Y308/H308,"0")</f>
        <v>20</v>
      </c>
      <c r="Z309" s="549">
        <f>IFERROR(IF(Z303="",0,Z303),"0")+IFERROR(IF(Z304="",0,Z304),"0")+IFERROR(IF(Z305="",0,Z305),"0")+IFERROR(IF(Z306="",0,Z306),"0")+IFERROR(IF(Z307="",0,Z307),"0")+IFERROR(IF(Z308="",0,Z308),"0")</f>
        <v>0.1804</v>
      </c>
      <c r="AA309" s="550"/>
      <c r="AB309" s="550"/>
      <c r="AC309" s="550"/>
    </row>
    <row r="310" spans="1:68" x14ac:dyDescent="0.2">
      <c r="A310" s="557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59"/>
      <c r="P310" s="553" t="s">
        <v>75</v>
      </c>
      <c r="Q310" s="554"/>
      <c r="R310" s="554"/>
      <c r="S310" s="554"/>
      <c r="T310" s="554"/>
      <c r="U310" s="554"/>
      <c r="V310" s="555"/>
      <c r="W310" s="37" t="s">
        <v>69</v>
      </c>
      <c r="X310" s="549">
        <f>IFERROR(SUM(X303:X308),"0")</f>
        <v>80</v>
      </c>
      <c r="Y310" s="549">
        <f>IFERROR(SUM(Y303:Y308),"0")</f>
        <v>84</v>
      </c>
      <c r="Z310" s="37"/>
      <c r="AA310" s="550"/>
      <c r="AB310" s="550"/>
      <c r="AC310" s="550"/>
    </row>
    <row r="311" spans="1:68" ht="14.25" hidden="1" customHeight="1" x14ac:dyDescent="0.25">
      <c r="A311" s="556" t="s">
        <v>77</v>
      </c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57"/>
      <c r="P311" s="557"/>
      <c r="Q311" s="557"/>
      <c r="R311" s="557"/>
      <c r="S311" s="557"/>
      <c r="T311" s="557"/>
      <c r="U311" s="557"/>
      <c r="V311" s="557"/>
      <c r="W311" s="557"/>
      <c r="X311" s="557"/>
      <c r="Y311" s="557"/>
      <c r="Z311" s="557"/>
      <c r="AA311" s="543"/>
      <c r="AB311" s="543"/>
      <c r="AC311" s="543"/>
    </row>
    <row r="312" spans="1:68" ht="27" hidden="1" customHeight="1" x14ac:dyDescent="0.25">
      <c r="A312" s="54" t="s">
        <v>504</v>
      </c>
      <c r="B312" s="54" t="s">
        <v>505</v>
      </c>
      <c r="C312" s="31">
        <v>4301051100</v>
      </c>
      <c r="D312" s="551">
        <v>4607091387766</v>
      </c>
      <c r="E312" s="552"/>
      <c r="F312" s="546">
        <v>1.3</v>
      </c>
      <c r="G312" s="32">
        <v>6</v>
      </c>
      <c r="H312" s="546">
        <v>7.8</v>
      </c>
      <c r="I312" s="546">
        <v>8.2880000000000003</v>
      </c>
      <c r="J312" s="32">
        <v>64</v>
      </c>
      <c r="K312" s="32" t="s">
        <v>107</v>
      </c>
      <c r="L312" s="32" t="s">
        <v>108</v>
      </c>
      <c r="M312" s="33" t="s">
        <v>80</v>
      </c>
      <c r="N312" s="33"/>
      <c r="O312" s="32">
        <v>40</v>
      </c>
      <c r="P312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2" s="568"/>
      <c r="R312" s="568"/>
      <c r="S312" s="568"/>
      <c r="T312" s="569"/>
      <c r="U312" s="34"/>
      <c r="V312" s="34"/>
      <c r="W312" s="35" t="s">
        <v>69</v>
      </c>
      <c r="X312" s="547">
        <v>0</v>
      </c>
      <c r="Y312" s="548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 t="s">
        <v>93</v>
      </c>
      <c r="AK312" s="68">
        <v>62.4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hidden="1" customHeight="1" x14ac:dyDescent="0.25">
      <c r="A313" s="54" t="s">
        <v>507</v>
      </c>
      <c r="B313" s="54" t="s">
        <v>508</v>
      </c>
      <c r="C313" s="31">
        <v>4301051818</v>
      </c>
      <c r="D313" s="551">
        <v>4607091387957</v>
      </c>
      <c r="E313" s="552"/>
      <c r="F313" s="546">
        <v>1.3</v>
      </c>
      <c r="G313" s="32">
        <v>6</v>
      </c>
      <c r="H313" s="546">
        <v>7.8</v>
      </c>
      <c r="I313" s="546">
        <v>8.2940000000000005</v>
      </c>
      <c r="J313" s="32">
        <v>64</v>
      </c>
      <c r="K313" s="32" t="s">
        <v>107</v>
      </c>
      <c r="L313" s="32"/>
      <c r="M313" s="33" t="s">
        <v>80</v>
      </c>
      <c r="N313" s="33"/>
      <c r="O313" s="32">
        <v>40</v>
      </c>
      <c r="P313" s="8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3" s="568"/>
      <c r="R313" s="568"/>
      <c r="S313" s="568"/>
      <c r="T313" s="569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510</v>
      </c>
      <c r="B314" s="54" t="s">
        <v>511</v>
      </c>
      <c r="C314" s="31">
        <v>4301051819</v>
      </c>
      <c r="D314" s="551">
        <v>4607091387964</v>
      </c>
      <c r="E314" s="552"/>
      <c r="F314" s="546">
        <v>1.35</v>
      </c>
      <c r="G314" s="32">
        <v>6</v>
      </c>
      <c r="H314" s="546">
        <v>8.1</v>
      </c>
      <c r="I314" s="546">
        <v>8.5760000000000005</v>
      </c>
      <c r="J314" s="32">
        <v>64</v>
      </c>
      <c r="K314" s="32" t="s">
        <v>107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4" s="568"/>
      <c r="R314" s="568"/>
      <c r="S314" s="568"/>
      <c r="T314" s="569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513</v>
      </c>
      <c r="B315" s="54" t="s">
        <v>514</v>
      </c>
      <c r="C315" s="31">
        <v>4301051734</v>
      </c>
      <c r="D315" s="551">
        <v>4680115884588</v>
      </c>
      <c r="E315" s="552"/>
      <c r="F315" s="546">
        <v>0.5</v>
      </c>
      <c r="G315" s="32">
        <v>6</v>
      </c>
      <c r="H315" s="546">
        <v>3</v>
      </c>
      <c r="I315" s="546">
        <v>3.246</v>
      </c>
      <c r="J315" s="32">
        <v>182</v>
      </c>
      <c r="K315" s="32" t="s">
        <v>67</v>
      </c>
      <c r="L315" s="32" t="s">
        <v>91</v>
      </c>
      <c r="M315" s="33" t="s">
        <v>80</v>
      </c>
      <c r="N315" s="33"/>
      <c r="O315" s="32">
        <v>40</v>
      </c>
      <c r="P315" s="8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5" s="568"/>
      <c r="R315" s="568"/>
      <c r="S315" s="568"/>
      <c r="T315" s="569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IFERROR(IF(Y315=0,"",ROUNDUP(Y315/H315,0)*0.00651),"")</f>
        <v/>
      </c>
      <c r="AA315" s="56"/>
      <c r="AB315" s="57"/>
      <c r="AC315" s="371" t="s">
        <v>515</v>
      </c>
      <c r="AG315" s="64"/>
      <c r="AJ315" s="68" t="s">
        <v>93</v>
      </c>
      <c r="AK315" s="68">
        <v>42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558"/>
      <c r="B316" s="557"/>
      <c r="C316" s="557"/>
      <c r="D316" s="557"/>
      <c r="E316" s="557"/>
      <c r="F316" s="557"/>
      <c r="G316" s="557"/>
      <c r="H316" s="557"/>
      <c r="I316" s="557"/>
      <c r="J316" s="557"/>
      <c r="K316" s="557"/>
      <c r="L316" s="557"/>
      <c r="M316" s="557"/>
      <c r="N316" s="557"/>
      <c r="O316" s="559"/>
      <c r="P316" s="553" t="s">
        <v>75</v>
      </c>
      <c r="Q316" s="554"/>
      <c r="R316" s="554"/>
      <c r="S316" s="554"/>
      <c r="T316" s="554"/>
      <c r="U316" s="554"/>
      <c r="V316" s="555"/>
      <c r="W316" s="37" t="s">
        <v>76</v>
      </c>
      <c r="X316" s="549">
        <f>IFERROR(X312/H312,"0")+IFERROR(X313/H313,"0")+IFERROR(X314/H314,"0")+IFERROR(X315/H315,"0")</f>
        <v>0</v>
      </c>
      <c r="Y316" s="549">
        <f>IFERROR(Y312/H312,"0")+IFERROR(Y313/H313,"0")+IFERROR(Y314/H314,"0")+IFERROR(Y315/H315,"0")</f>
        <v>0</v>
      </c>
      <c r="Z316" s="549">
        <f>IFERROR(IF(Z312="",0,Z312),"0")+IFERROR(IF(Z313="",0,Z313),"0")+IFERROR(IF(Z314="",0,Z314),"0")+IFERROR(IF(Z315="",0,Z315),"0")</f>
        <v>0</v>
      </c>
      <c r="AA316" s="550"/>
      <c r="AB316" s="550"/>
      <c r="AC316" s="550"/>
    </row>
    <row r="317" spans="1:68" hidden="1" x14ac:dyDescent="0.2">
      <c r="A317" s="557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59"/>
      <c r="P317" s="553" t="s">
        <v>75</v>
      </c>
      <c r="Q317" s="554"/>
      <c r="R317" s="554"/>
      <c r="S317" s="554"/>
      <c r="T317" s="554"/>
      <c r="U317" s="554"/>
      <c r="V317" s="555"/>
      <c r="W317" s="37" t="s">
        <v>69</v>
      </c>
      <c r="X317" s="549">
        <f>IFERROR(SUM(X312:X315),"0")</f>
        <v>0</v>
      </c>
      <c r="Y317" s="549">
        <f>IFERROR(SUM(Y312:Y315),"0")</f>
        <v>0</v>
      </c>
      <c r="Z317" s="37"/>
      <c r="AA317" s="550"/>
      <c r="AB317" s="550"/>
      <c r="AC317" s="550"/>
    </row>
    <row r="318" spans="1:68" ht="14.25" hidden="1" customHeight="1" x14ac:dyDescent="0.25">
      <c r="A318" s="556" t="s">
        <v>167</v>
      </c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7"/>
      <c r="P318" s="557"/>
      <c r="Q318" s="557"/>
      <c r="R318" s="557"/>
      <c r="S318" s="557"/>
      <c r="T318" s="557"/>
      <c r="U318" s="557"/>
      <c r="V318" s="557"/>
      <c r="W318" s="557"/>
      <c r="X318" s="557"/>
      <c r="Y318" s="557"/>
      <c r="Z318" s="557"/>
      <c r="AA318" s="543"/>
      <c r="AB318" s="543"/>
      <c r="AC318" s="543"/>
    </row>
    <row r="319" spans="1:68" ht="27" customHeight="1" x14ac:dyDescent="0.25">
      <c r="A319" s="54" t="s">
        <v>516</v>
      </c>
      <c r="B319" s="54" t="s">
        <v>517</v>
      </c>
      <c r="C319" s="31">
        <v>4301060387</v>
      </c>
      <c r="D319" s="551">
        <v>4607091380880</v>
      </c>
      <c r="E319" s="552"/>
      <c r="F319" s="546">
        <v>1.4</v>
      </c>
      <c r="G319" s="32">
        <v>6</v>
      </c>
      <c r="H319" s="546">
        <v>8.4</v>
      </c>
      <c r="I319" s="546">
        <v>8.8940000000000001</v>
      </c>
      <c r="J319" s="32">
        <v>64</v>
      </c>
      <c r="K319" s="32" t="s">
        <v>107</v>
      </c>
      <c r="L319" s="32" t="s">
        <v>108</v>
      </c>
      <c r="M319" s="33" t="s">
        <v>80</v>
      </c>
      <c r="N319" s="33"/>
      <c r="O319" s="32">
        <v>30</v>
      </c>
      <c r="P319" s="8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9" s="568"/>
      <c r="R319" s="568"/>
      <c r="S319" s="568"/>
      <c r="T319" s="569"/>
      <c r="U319" s="34"/>
      <c r="V319" s="34"/>
      <c r="W319" s="35" t="s">
        <v>69</v>
      </c>
      <c r="X319" s="547">
        <v>30</v>
      </c>
      <c r="Y319" s="548">
        <f>IFERROR(IF(X319="",0,CEILING((X319/$H319),1)*$H319),"")</f>
        <v>33.6</v>
      </c>
      <c r="Z319" s="36">
        <f>IFERROR(IF(Y319=0,"",ROUNDUP(Y319/H319,0)*0.01898),"")</f>
        <v>7.5920000000000001E-2</v>
      </c>
      <c r="AA319" s="56"/>
      <c r="AB319" s="57"/>
      <c r="AC319" s="373" t="s">
        <v>518</v>
      </c>
      <c r="AG319" s="64"/>
      <c r="AJ319" s="68" t="s">
        <v>93</v>
      </c>
      <c r="AK319" s="68">
        <v>67.2</v>
      </c>
      <c r="BB319" s="374" t="s">
        <v>1</v>
      </c>
      <c r="BM319" s="64">
        <f>IFERROR(X319*I319/H319,"0")</f>
        <v>31.764285714285712</v>
      </c>
      <c r="BN319" s="64">
        <f>IFERROR(Y319*I319/H319,"0")</f>
        <v>35.576000000000001</v>
      </c>
      <c r="BO319" s="64">
        <f>IFERROR(1/J319*(X319/H319),"0")</f>
        <v>5.5803571428571425E-2</v>
      </c>
      <c r="BP319" s="64">
        <f>IFERROR(1/J319*(Y319/H319),"0")</f>
        <v>6.25E-2</v>
      </c>
    </row>
    <row r="320" spans="1:68" ht="27" customHeight="1" x14ac:dyDescent="0.25">
      <c r="A320" s="54" t="s">
        <v>519</v>
      </c>
      <c r="B320" s="54" t="s">
        <v>520</v>
      </c>
      <c r="C320" s="31">
        <v>4301060406</v>
      </c>
      <c r="D320" s="551">
        <v>4607091384482</v>
      </c>
      <c r="E320" s="552"/>
      <c r="F320" s="546">
        <v>1.3</v>
      </c>
      <c r="G320" s="32">
        <v>6</v>
      </c>
      <c r="H320" s="546">
        <v>7.8</v>
      </c>
      <c r="I320" s="546">
        <v>8.2940000000000005</v>
      </c>
      <c r="J320" s="32">
        <v>64</v>
      </c>
      <c r="K320" s="32" t="s">
        <v>107</v>
      </c>
      <c r="L320" s="32" t="s">
        <v>108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0" s="568"/>
      <c r="R320" s="568"/>
      <c r="S320" s="568"/>
      <c r="T320" s="569"/>
      <c r="U320" s="34"/>
      <c r="V320" s="34"/>
      <c r="W320" s="35" t="s">
        <v>69</v>
      </c>
      <c r="X320" s="547">
        <v>134</v>
      </c>
      <c r="Y320" s="548">
        <f>IFERROR(IF(X320="",0,CEILING((X320/$H320),1)*$H320),"")</f>
        <v>140.4</v>
      </c>
      <c r="Z320" s="36">
        <f>IFERROR(IF(Y320=0,"",ROUNDUP(Y320/H320,0)*0.01898),"")</f>
        <v>0.34164</v>
      </c>
      <c r="AA320" s="56"/>
      <c r="AB320" s="57"/>
      <c r="AC320" s="375" t="s">
        <v>521</v>
      </c>
      <c r="AG320" s="64"/>
      <c r="AJ320" s="68" t="s">
        <v>93</v>
      </c>
      <c r="AK320" s="68">
        <v>62.4</v>
      </c>
      <c r="BB320" s="376" t="s">
        <v>1</v>
      </c>
      <c r="BM320" s="64">
        <f>IFERROR(X320*I320/H320,"0")</f>
        <v>142.48666666666665</v>
      </c>
      <c r="BN320" s="64">
        <f>IFERROR(Y320*I320/H320,"0")</f>
        <v>149.29200000000003</v>
      </c>
      <c r="BO320" s="64">
        <f>IFERROR(1/J320*(X320/H320),"0")</f>
        <v>0.26842948717948717</v>
      </c>
      <c r="BP320" s="64">
        <f>IFERROR(1/J320*(Y320/H320),"0")</f>
        <v>0.28125</v>
      </c>
    </row>
    <row r="321" spans="1:68" ht="16.5" customHeight="1" x14ac:dyDescent="0.25">
      <c r="A321" s="54" t="s">
        <v>522</v>
      </c>
      <c r="B321" s="54" t="s">
        <v>523</v>
      </c>
      <c r="C321" s="31">
        <v>4301060484</v>
      </c>
      <c r="D321" s="551">
        <v>4607091380897</v>
      </c>
      <c r="E321" s="552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107</v>
      </c>
      <c r="L321" s="32" t="s">
        <v>108</v>
      </c>
      <c r="M321" s="33" t="s">
        <v>87</v>
      </c>
      <c r="N321" s="33"/>
      <c r="O321" s="32">
        <v>30</v>
      </c>
      <c r="P321" s="79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1" s="568"/>
      <c r="R321" s="568"/>
      <c r="S321" s="568"/>
      <c r="T321" s="569"/>
      <c r="U321" s="34"/>
      <c r="V321" s="34"/>
      <c r="W321" s="35" t="s">
        <v>69</v>
      </c>
      <c r="X321" s="547">
        <v>40</v>
      </c>
      <c r="Y321" s="548">
        <f>IFERROR(IF(X321="",0,CEILING((X321/$H321),1)*$H321),"")</f>
        <v>42</v>
      </c>
      <c r="Z321" s="36">
        <f>IFERROR(IF(Y321=0,"",ROUNDUP(Y321/H321,0)*0.01898),"")</f>
        <v>9.4899999999999998E-2</v>
      </c>
      <c r="AA321" s="56"/>
      <c r="AB321" s="57"/>
      <c r="AC321" s="377" t="s">
        <v>524</v>
      </c>
      <c r="AG321" s="64"/>
      <c r="AJ321" s="68" t="s">
        <v>93</v>
      </c>
      <c r="AK321" s="68">
        <v>67.2</v>
      </c>
      <c r="BB321" s="378" t="s">
        <v>1</v>
      </c>
      <c r="BM321" s="64">
        <f>IFERROR(X321*I321/H321,"0")</f>
        <v>42.352380952380948</v>
      </c>
      <c r="BN321" s="64">
        <f>IFERROR(Y321*I321/H321,"0")</f>
        <v>44.47</v>
      </c>
      <c r="BO321" s="64">
        <f>IFERROR(1/J321*(X321/H321),"0")</f>
        <v>7.4404761904761904E-2</v>
      </c>
      <c r="BP321" s="64">
        <f>IFERROR(1/J321*(Y321/H321),"0")</f>
        <v>7.8125E-2</v>
      </c>
    </row>
    <row r="322" spans="1:68" x14ac:dyDescent="0.2">
      <c r="A322" s="558"/>
      <c r="B322" s="557"/>
      <c r="C322" s="557"/>
      <c r="D322" s="557"/>
      <c r="E322" s="557"/>
      <c r="F322" s="557"/>
      <c r="G322" s="557"/>
      <c r="H322" s="557"/>
      <c r="I322" s="557"/>
      <c r="J322" s="557"/>
      <c r="K322" s="557"/>
      <c r="L322" s="557"/>
      <c r="M322" s="557"/>
      <c r="N322" s="557"/>
      <c r="O322" s="559"/>
      <c r="P322" s="553" t="s">
        <v>75</v>
      </c>
      <c r="Q322" s="554"/>
      <c r="R322" s="554"/>
      <c r="S322" s="554"/>
      <c r="T322" s="554"/>
      <c r="U322" s="554"/>
      <c r="V322" s="555"/>
      <c r="W322" s="37" t="s">
        <v>76</v>
      </c>
      <c r="X322" s="549">
        <f>IFERROR(X319/H319,"0")+IFERROR(X320/H320,"0")+IFERROR(X321/H321,"0")</f>
        <v>25.512820512820515</v>
      </c>
      <c r="Y322" s="549">
        <f>IFERROR(Y319/H319,"0")+IFERROR(Y320/H320,"0")+IFERROR(Y321/H321,"0")</f>
        <v>27</v>
      </c>
      <c r="Z322" s="549">
        <f>IFERROR(IF(Z319="",0,Z319),"0")+IFERROR(IF(Z320="",0,Z320),"0")+IFERROR(IF(Z321="",0,Z321),"0")</f>
        <v>0.51246000000000003</v>
      </c>
      <c r="AA322" s="550"/>
      <c r="AB322" s="550"/>
      <c r="AC322" s="550"/>
    </row>
    <row r="323" spans="1:68" x14ac:dyDescent="0.2">
      <c r="A323" s="557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59"/>
      <c r="P323" s="553" t="s">
        <v>75</v>
      </c>
      <c r="Q323" s="554"/>
      <c r="R323" s="554"/>
      <c r="S323" s="554"/>
      <c r="T323" s="554"/>
      <c r="U323" s="554"/>
      <c r="V323" s="555"/>
      <c r="W323" s="37" t="s">
        <v>69</v>
      </c>
      <c r="X323" s="549">
        <f>IFERROR(SUM(X319:X321),"0")</f>
        <v>204</v>
      </c>
      <c r="Y323" s="549">
        <f>IFERROR(SUM(Y319:Y321),"0")</f>
        <v>216</v>
      </c>
      <c r="Z323" s="37"/>
      <c r="AA323" s="550"/>
      <c r="AB323" s="550"/>
      <c r="AC323" s="550"/>
    </row>
    <row r="324" spans="1:68" ht="14.25" hidden="1" customHeight="1" x14ac:dyDescent="0.25">
      <c r="A324" s="556" t="s">
        <v>96</v>
      </c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57"/>
      <c r="P324" s="557"/>
      <c r="Q324" s="557"/>
      <c r="R324" s="557"/>
      <c r="S324" s="557"/>
      <c r="T324" s="557"/>
      <c r="U324" s="557"/>
      <c r="V324" s="557"/>
      <c r="W324" s="557"/>
      <c r="X324" s="557"/>
      <c r="Y324" s="557"/>
      <c r="Z324" s="557"/>
      <c r="AA324" s="543"/>
      <c r="AB324" s="543"/>
      <c r="AC324" s="543"/>
    </row>
    <row r="325" spans="1:68" ht="27" hidden="1" customHeight="1" x14ac:dyDescent="0.25">
      <c r="A325" s="54" t="s">
        <v>525</v>
      </c>
      <c r="B325" s="54" t="s">
        <v>526</v>
      </c>
      <c r="C325" s="31">
        <v>4301030235</v>
      </c>
      <c r="D325" s="551">
        <v>4607091388381</v>
      </c>
      <c r="E325" s="552"/>
      <c r="F325" s="546">
        <v>0.38</v>
      </c>
      <c r="G325" s="32">
        <v>8</v>
      </c>
      <c r="H325" s="546">
        <v>3.04</v>
      </c>
      <c r="I325" s="546">
        <v>3.31</v>
      </c>
      <c r="J325" s="32">
        <v>132</v>
      </c>
      <c r="K325" s="32" t="s">
        <v>113</v>
      </c>
      <c r="L325" s="32"/>
      <c r="M325" s="33" t="s">
        <v>99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5" s="568"/>
      <c r="R325" s="568"/>
      <c r="S325" s="568"/>
      <c r="T325" s="569"/>
      <c r="U325" s="34"/>
      <c r="V325" s="34"/>
      <c r="W325" s="35" t="s">
        <v>69</v>
      </c>
      <c r="X325" s="547">
        <v>0</v>
      </c>
      <c r="Y325" s="548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527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528</v>
      </c>
      <c r="B326" s="54" t="s">
        <v>529</v>
      </c>
      <c r="C326" s="31">
        <v>4301030232</v>
      </c>
      <c r="D326" s="551">
        <v>4607091388374</v>
      </c>
      <c r="E326" s="552"/>
      <c r="F326" s="546">
        <v>0.38</v>
      </c>
      <c r="G326" s="32">
        <v>8</v>
      </c>
      <c r="H326" s="546">
        <v>3.04</v>
      </c>
      <c r="I326" s="546">
        <v>3.27</v>
      </c>
      <c r="J326" s="32">
        <v>132</v>
      </c>
      <c r="K326" s="32" t="s">
        <v>113</v>
      </c>
      <c r="L326" s="32"/>
      <c r="M326" s="33" t="s">
        <v>99</v>
      </c>
      <c r="N326" s="33"/>
      <c r="O326" s="32">
        <v>180</v>
      </c>
      <c r="P326" s="5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6" s="568"/>
      <c r="R326" s="568"/>
      <c r="S326" s="568"/>
      <c r="T326" s="569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530</v>
      </c>
      <c r="B327" s="54" t="s">
        <v>531</v>
      </c>
      <c r="C327" s="31">
        <v>4301032015</v>
      </c>
      <c r="D327" s="551">
        <v>4607091383102</v>
      </c>
      <c r="E327" s="552"/>
      <c r="F327" s="546">
        <v>0.17</v>
      </c>
      <c r="G327" s="32">
        <v>15</v>
      </c>
      <c r="H327" s="546">
        <v>2.5499999999999998</v>
      </c>
      <c r="I327" s="546">
        <v>2.9550000000000001</v>
      </c>
      <c r="J327" s="32">
        <v>182</v>
      </c>
      <c r="K327" s="32" t="s">
        <v>67</v>
      </c>
      <c r="L327" s="32"/>
      <c r="M327" s="33" t="s">
        <v>99</v>
      </c>
      <c r="N327" s="33"/>
      <c r="O327" s="32">
        <v>180</v>
      </c>
      <c r="P327" s="7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7" s="568"/>
      <c r="R327" s="568"/>
      <c r="S327" s="568"/>
      <c r="T327" s="569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532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4301030233</v>
      </c>
      <c r="D328" s="551">
        <v>4607091388404</v>
      </c>
      <c r="E328" s="552"/>
      <c r="F328" s="546">
        <v>0.17</v>
      </c>
      <c r="G328" s="32">
        <v>15</v>
      </c>
      <c r="H328" s="546">
        <v>2.5499999999999998</v>
      </c>
      <c r="I328" s="546">
        <v>2.88</v>
      </c>
      <c r="J328" s="32">
        <v>182</v>
      </c>
      <c r="K328" s="32" t="s">
        <v>67</v>
      </c>
      <c r="L328" s="32" t="s">
        <v>91</v>
      </c>
      <c r="M328" s="33" t="s">
        <v>99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8" s="568"/>
      <c r="R328" s="568"/>
      <c r="S328" s="568"/>
      <c r="T328" s="569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527</v>
      </c>
      <c r="AG328" s="64"/>
      <c r="AJ328" s="68" t="s">
        <v>93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558"/>
      <c r="B329" s="557"/>
      <c r="C329" s="557"/>
      <c r="D329" s="557"/>
      <c r="E329" s="557"/>
      <c r="F329" s="557"/>
      <c r="G329" s="557"/>
      <c r="H329" s="557"/>
      <c r="I329" s="557"/>
      <c r="J329" s="557"/>
      <c r="K329" s="557"/>
      <c r="L329" s="557"/>
      <c r="M329" s="557"/>
      <c r="N329" s="557"/>
      <c r="O329" s="559"/>
      <c r="P329" s="553" t="s">
        <v>75</v>
      </c>
      <c r="Q329" s="554"/>
      <c r="R329" s="554"/>
      <c r="S329" s="554"/>
      <c r="T329" s="554"/>
      <c r="U329" s="554"/>
      <c r="V329" s="555"/>
      <c r="W329" s="37" t="s">
        <v>76</v>
      </c>
      <c r="X329" s="549">
        <f>IFERROR(X325/H325,"0")+IFERROR(X326/H326,"0")+IFERROR(X327/H327,"0")+IFERROR(X328/H328,"0")</f>
        <v>0</v>
      </c>
      <c r="Y329" s="549">
        <f>IFERROR(Y325/H325,"0")+IFERROR(Y326/H326,"0")+IFERROR(Y327/H327,"0")+IFERROR(Y328/H328,"0")</f>
        <v>0</v>
      </c>
      <c r="Z329" s="549">
        <f>IFERROR(IF(Z325="",0,Z325),"0")+IFERROR(IF(Z326="",0,Z326),"0")+IFERROR(IF(Z327="",0,Z327),"0")+IFERROR(IF(Z328="",0,Z328),"0")</f>
        <v>0</v>
      </c>
      <c r="AA329" s="550"/>
      <c r="AB329" s="550"/>
      <c r="AC329" s="550"/>
    </row>
    <row r="330" spans="1:68" hidden="1" x14ac:dyDescent="0.2">
      <c r="A330" s="557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59"/>
      <c r="P330" s="553" t="s">
        <v>75</v>
      </c>
      <c r="Q330" s="554"/>
      <c r="R330" s="554"/>
      <c r="S330" s="554"/>
      <c r="T330" s="554"/>
      <c r="U330" s="554"/>
      <c r="V330" s="555"/>
      <c r="W330" s="37" t="s">
        <v>69</v>
      </c>
      <c r="X330" s="549">
        <f>IFERROR(SUM(X325:X328),"0")</f>
        <v>0</v>
      </c>
      <c r="Y330" s="549">
        <f>IFERROR(SUM(Y325:Y328),"0")</f>
        <v>0</v>
      </c>
      <c r="Z330" s="37"/>
      <c r="AA330" s="550"/>
      <c r="AB330" s="550"/>
      <c r="AC330" s="550"/>
    </row>
    <row r="331" spans="1:68" ht="14.25" hidden="1" customHeight="1" x14ac:dyDescent="0.25">
      <c r="A331" s="556" t="s">
        <v>535</v>
      </c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7"/>
      <c r="P331" s="557"/>
      <c r="Q331" s="557"/>
      <c r="R331" s="557"/>
      <c r="S331" s="557"/>
      <c r="T331" s="557"/>
      <c r="U331" s="557"/>
      <c r="V331" s="557"/>
      <c r="W331" s="557"/>
      <c r="X331" s="557"/>
      <c r="Y331" s="557"/>
      <c r="Z331" s="557"/>
      <c r="AA331" s="543"/>
      <c r="AB331" s="543"/>
      <c r="AC331" s="543"/>
    </row>
    <row r="332" spans="1:68" ht="16.5" hidden="1" customHeight="1" x14ac:dyDescent="0.25">
      <c r="A332" s="54" t="s">
        <v>536</v>
      </c>
      <c r="B332" s="54" t="s">
        <v>537</v>
      </c>
      <c r="C332" s="31">
        <v>4301180007</v>
      </c>
      <c r="D332" s="551">
        <v>4680115881808</v>
      </c>
      <c r="E332" s="552"/>
      <c r="F332" s="546">
        <v>0.1</v>
      </c>
      <c r="G332" s="32">
        <v>20</v>
      </c>
      <c r="H332" s="546">
        <v>2</v>
      </c>
      <c r="I332" s="546">
        <v>2.2400000000000002</v>
      </c>
      <c r="J332" s="32">
        <v>238</v>
      </c>
      <c r="K332" s="32" t="s">
        <v>67</v>
      </c>
      <c r="L332" s="32"/>
      <c r="M332" s="33" t="s">
        <v>538</v>
      </c>
      <c r="N332" s="33"/>
      <c r="O332" s="32">
        <v>730</v>
      </c>
      <c r="P332" s="7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2" s="568"/>
      <c r="R332" s="568"/>
      <c r="S332" s="568"/>
      <c r="T332" s="569"/>
      <c r="U332" s="34"/>
      <c r="V332" s="34"/>
      <c r="W332" s="35" t="s">
        <v>69</v>
      </c>
      <c r="X332" s="547">
        <v>0</v>
      </c>
      <c r="Y332" s="548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539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540</v>
      </c>
      <c r="B333" s="54" t="s">
        <v>541</v>
      </c>
      <c r="C333" s="31">
        <v>4301180006</v>
      </c>
      <c r="D333" s="551">
        <v>4680115881822</v>
      </c>
      <c r="E333" s="552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6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3" s="568"/>
      <c r="R333" s="568"/>
      <c r="S333" s="568"/>
      <c r="T333" s="569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542</v>
      </c>
      <c r="B334" s="54" t="s">
        <v>543</v>
      </c>
      <c r="C334" s="31">
        <v>4301180001</v>
      </c>
      <c r="D334" s="551">
        <v>4680115880016</v>
      </c>
      <c r="E334" s="552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4" s="568"/>
      <c r="R334" s="568"/>
      <c r="S334" s="568"/>
      <c r="T334" s="569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idden="1" x14ac:dyDescent="0.2">
      <c r="A335" s="558"/>
      <c r="B335" s="557"/>
      <c r="C335" s="557"/>
      <c r="D335" s="557"/>
      <c r="E335" s="557"/>
      <c r="F335" s="557"/>
      <c r="G335" s="557"/>
      <c r="H335" s="557"/>
      <c r="I335" s="557"/>
      <c r="J335" s="557"/>
      <c r="K335" s="557"/>
      <c r="L335" s="557"/>
      <c r="M335" s="557"/>
      <c r="N335" s="557"/>
      <c r="O335" s="559"/>
      <c r="P335" s="553" t="s">
        <v>75</v>
      </c>
      <c r="Q335" s="554"/>
      <c r="R335" s="554"/>
      <c r="S335" s="554"/>
      <c r="T335" s="554"/>
      <c r="U335" s="554"/>
      <c r="V335" s="555"/>
      <c r="W335" s="37" t="s">
        <v>76</v>
      </c>
      <c r="X335" s="549">
        <f>IFERROR(X332/H332,"0")+IFERROR(X333/H333,"0")+IFERROR(X334/H334,"0")</f>
        <v>0</v>
      </c>
      <c r="Y335" s="549">
        <f>IFERROR(Y332/H332,"0")+IFERROR(Y333/H333,"0")+IFERROR(Y334/H334,"0")</f>
        <v>0</v>
      </c>
      <c r="Z335" s="549">
        <f>IFERROR(IF(Z332="",0,Z332),"0")+IFERROR(IF(Z333="",0,Z333),"0")+IFERROR(IF(Z334="",0,Z334),"0")</f>
        <v>0</v>
      </c>
      <c r="AA335" s="550"/>
      <c r="AB335" s="550"/>
      <c r="AC335" s="550"/>
    </row>
    <row r="336" spans="1:68" hidden="1" x14ac:dyDescent="0.2">
      <c r="A336" s="557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59"/>
      <c r="P336" s="553" t="s">
        <v>75</v>
      </c>
      <c r="Q336" s="554"/>
      <c r="R336" s="554"/>
      <c r="S336" s="554"/>
      <c r="T336" s="554"/>
      <c r="U336" s="554"/>
      <c r="V336" s="555"/>
      <c r="W336" s="37" t="s">
        <v>69</v>
      </c>
      <c r="X336" s="549">
        <f>IFERROR(SUM(X332:X334),"0")</f>
        <v>0</v>
      </c>
      <c r="Y336" s="549">
        <f>IFERROR(SUM(Y332:Y334),"0")</f>
        <v>0</v>
      </c>
      <c r="Z336" s="37"/>
      <c r="AA336" s="550"/>
      <c r="AB336" s="550"/>
      <c r="AC336" s="550"/>
    </row>
    <row r="337" spans="1:68" ht="16.5" hidden="1" customHeight="1" x14ac:dyDescent="0.25">
      <c r="A337" s="574" t="s">
        <v>544</v>
      </c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57"/>
      <c r="P337" s="557"/>
      <c r="Q337" s="557"/>
      <c r="R337" s="557"/>
      <c r="S337" s="557"/>
      <c r="T337" s="557"/>
      <c r="U337" s="557"/>
      <c r="V337" s="557"/>
      <c r="W337" s="557"/>
      <c r="X337" s="557"/>
      <c r="Y337" s="557"/>
      <c r="Z337" s="557"/>
      <c r="AA337" s="542"/>
      <c r="AB337" s="542"/>
      <c r="AC337" s="542"/>
    </row>
    <row r="338" spans="1:68" ht="14.25" hidden="1" customHeight="1" x14ac:dyDescent="0.25">
      <c r="A338" s="556" t="s">
        <v>77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3"/>
      <c r="AB338" s="543"/>
      <c r="AC338" s="543"/>
    </row>
    <row r="339" spans="1:68" ht="27" customHeight="1" x14ac:dyDescent="0.25">
      <c r="A339" s="54" t="s">
        <v>545</v>
      </c>
      <c r="B339" s="54" t="s">
        <v>546</v>
      </c>
      <c r="C339" s="31">
        <v>4301051489</v>
      </c>
      <c r="D339" s="551">
        <v>4607091387919</v>
      </c>
      <c r="E339" s="552"/>
      <c r="F339" s="546">
        <v>1.35</v>
      </c>
      <c r="G339" s="32">
        <v>6</v>
      </c>
      <c r="H339" s="546">
        <v>8.1</v>
      </c>
      <c r="I339" s="546">
        <v>8.5939999999999994</v>
      </c>
      <c r="J339" s="32">
        <v>64</v>
      </c>
      <c r="K339" s="32" t="s">
        <v>107</v>
      </c>
      <c r="L339" s="32" t="s">
        <v>108</v>
      </c>
      <c r="M339" s="33" t="s">
        <v>87</v>
      </c>
      <c r="N339" s="33"/>
      <c r="O339" s="32">
        <v>45</v>
      </c>
      <c r="P339" s="63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9" s="568"/>
      <c r="R339" s="568"/>
      <c r="S339" s="568"/>
      <c r="T339" s="569"/>
      <c r="U339" s="34"/>
      <c r="V339" s="34"/>
      <c r="W339" s="35" t="s">
        <v>69</v>
      </c>
      <c r="X339" s="547">
        <v>106</v>
      </c>
      <c r="Y339" s="548">
        <f>IFERROR(IF(X339="",0,CEILING((X339/$H339),1)*$H339),"")</f>
        <v>113.39999999999999</v>
      </c>
      <c r="Z339" s="36">
        <f>IFERROR(IF(Y339=0,"",ROUNDUP(Y339/H339,0)*0.01898),"")</f>
        <v>0.26572000000000001</v>
      </c>
      <c r="AA339" s="56"/>
      <c r="AB339" s="57"/>
      <c r="AC339" s="393" t="s">
        <v>547</v>
      </c>
      <c r="AG339" s="64"/>
      <c r="AJ339" s="68" t="s">
        <v>93</v>
      </c>
      <c r="AK339" s="68">
        <v>64.8</v>
      </c>
      <c r="BB339" s="394" t="s">
        <v>1</v>
      </c>
      <c r="BM339" s="64">
        <f>IFERROR(X339*I339/H339,"0")</f>
        <v>112.46469135802469</v>
      </c>
      <c r="BN339" s="64">
        <f>IFERROR(Y339*I339/H339,"0")</f>
        <v>120.31599999999999</v>
      </c>
      <c r="BO339" s="64">
        <f>IFERROR(1/J339*(X339/H339),"0")</f>
        <v>0.20447530864197533</v>
      </c>
      <c r="BP339" s="64">
        <f>IFERROR(1/J339*(Y339/H339),"0")</f>
        <v>0.21875</v>
      </c>
    </row>
    <row r="340" spans="1:68" ht="27" hidden="1" customHeight="1" x14ac:dyDescent="0.25">
      <c r="A340" s="54" t="s">
        <v>548</v>
      </c>
      <c r="B340" s="54" t="s">
        <v>549</v>
      </c>
      <c r="C340" s="31">
        <v>4301051461</v>
      </c>
      <c r="D340" s="551">
        <v>4680115883604</v>
      </c>
      <c r="E340" s="552"/>
      <c r="F340" s="546">
        <v>0.35</v>
      </c>
      <c r="G340" s="32">
        <v>6</v>
      </c>
      <c r="H340" s="546">
        <v>2.1</v>
      </c>
      <c r="I340" s="546">
        <v>2.3519999999999999</v>
      </c>
      <c r="J340" s="32">
        <v>182</v>
      </c>
      <c r="K340" s="32" t="s">
        <v>67</v>
      </c>
      <c r="L340" s="32" t="s">
        <v>91</v>
      </c>
      <c r="M340" s="33" t="s">
        <v>80</v>
      </c>
      <c r="N340" s="33"/>
      <c r="O340" s="32">
        <v>45</v>
      </c>
      <c r="P340" s="7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0" s="568"/>
      <c r="R340" s="568"/>
      <c r="S340" s="568"/>
      <c r="T340" s="569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93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551</v>
      </c>
      <c r="B341" s="54" t="s">
        <v>552</v>
      </c>
      <c r="C341" s="31">
        <v>4301051864</v>
      </c>
      <c r="D341" s="551">
        <v>4680115883567</v>
      </c>
      <c r="E341" s="552"/>
      <c r="F341" s="546">
        <v>0.35</v>
      </c>
      <c r="G341" s="32">
        <v>6</v>
      </c>
      <c r="H341" s="546">
        <v>2.1</v>
      </c>
      <c r="I341" s="546">
        <v>2.34</v>
      </c>
      <c r="J341" s="32">
        <v>182</v>
      </c>
      <c r="K341" s="32" t="s">
        <v>67</v>
      </c>
      <c r="L341" s="32" t="s">
        <v>91</v>
      </c>
      <c r="M341" s="33" t="s">
        <v>87</v>
      </c>
      <c r="N341" s="33"/>
      <c r="O341" s="32">
        <v>40</v>
      </c>
      <c r="P341" s="81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1" s="568"/>
      <c r="R341" s="568"/>
      <c r="S341" s="568"/>
      <c r="T341" s="569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553</v>
      </c>
      <c r="AG341" s="64"/>
      <c r="AJ341" s="68" t="s">
        <v>93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558"/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9"/>
      <c r="P342" s="553" t="s">
        <v>75</v>
      </c>
      <c r="Q342" s="554"/>
      <c r="R342" s="554"/>
      <c r="S342" s="554"/>
      <c r="T342" s="554"/>
      <c r="U342" s="554"/>
      <c r="V342" s="555"/>
      <c r="W342" s="37" t="s">
        <v>76</v>
      </c>
      <c r="X342" s="549">
        <f>IFERROR(X339/H339,"0")+IFERROR(X340/H340,"0")+IFERROR(X341/H341,"0")</f>
        <v>13.086419753086421</v>
      </c>
      <c r="Y342" s="549">
        <f>IFERROR(Y339/H339,"0")+IFERROR(Y340/H340,"0")+IFERROR(Y341/H341,"0")</f>
        <v>14</v>
      </c>
      <c r="Z342" s="549">
        <f>IFERROR(IF(Z339="",0,Z339),"0")+IFERROR(IF(Z340="",0,Z340),"0")+IFERROR(IF(Z341="",0,Z341),"0")</f>
        <v>0.26572000000000001</v>
      </c>
      <c r="AA342" s="550"/>
      <c r="AB342" s="550"/>
      <c r="AC342" s="550"/>
    </row>
    <row r="343" spans="1:68" x14ac:dyDescent="0.2">
      <c r="A343" s="557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59"/>
      <c r="P343" s="553" t="s">
        <v>75</v>
      </c>
      <c r="Q343" s="554"/>
      <c r="R343" s="554"/>
      <c r="S343" s="554"/>
      <c r="T343" s="554"/>
      <c r="U343" s="554"/>
      <c r="V343" s="555"/>
      <c r="W343" s="37" t="s">
        <v>69</v>
      </c>
      <c r="X343" s="549">
        <f>IFERROR(SUM(X339:X341),"0")</f>
        <v>106</v>
      </c>
      <c r="Y343" s="549">
        <f>IFERROR(SUM(Y339:Y341),"0")</f>
        <v>113.39999999999999</v>
      </c>
      <c r="Z343" s="37"/>
      <c r="AA343" s="550"/>
      <c r="AB343" s="550"/>
      <c r="AC343" s="550"/>
    </row>
    <row r="344" spans="1:68" ht="27.75" hidden="1" customHeight="1" x14ac:dyDescent="0.2">
      <c r="A344" s="563" t="s">
        <v>554</v>
      </c>
      <c r="B344" s="564"/>
      <c r="C344" s="564"/>
      <c r="D344" s="564"/>
      <c r="E344" s="564"/>
      <c r="F344" s="564"/>
      <c r="G344" s="564"/>
      <c r="H344" s="564"/>
      <c r="I344" s="564"/>
      <c r="J344" s="564"/>
      <c r="K344" s="564"/>
      <c r="L344" s="564"/>
      <c r="M344" s="564"/>
      <c r="N344" s="564"/>
      <c r="O344" s="564"/>
      <c r="P344" s="564"/>
      <c r="Q344" s="564"/>
      <c r="R344" s="564"/>
      <c r="S344" s="564"/>
      <c r="T344" s="564"/>
      <c r="U344" s="564"/>
      <c r="V344" s="564"/>
      <c r="W344" s="564"/>
      <c r="X344" s="564"/>
      <c r="Y344" s="564"/>
      <c r="Z344" s="564"/>
      <c r="AA344" s="48"/>
      <c r="AB344" s="48"/>
      <c r="AC344" s="48"/>
    </row>
    <row r="345" spans="1:68" ht="16.5" hidden="1" customHeight="1" x14ac:dyDescent="0.25">
      <c r="A345" s="574" t="s">
        <v>555</v>
      </c>
      <c r="B345" s="557"/>
      <c r="C345" s="557"/>
      <c r="D345" s="557"/>
      <c r="E345" s="557"/>
      <c r="F345" s="557"/>
      <c r="G345" s="557"/>
      <c r="H345" s="557"/>
      <c r="I345" s="557"/>
      <c r="J345" s="557"/>
      <c r="K345" s="557"/>
      <c r="L345" s="557"/>
      <c r="M345" s="557"/>
      <c r="N345" s="557"/>
      <c r="O345" s="557"/>
      <c r="P345" s="557"/>
      <c r="Q345" s="557"/>
      <c r="R345" s="557"/>
      <c r="S345" s="557"/>
      <c r="T345" s="557"/>
      <c r="U345" s="557"/>
      <c r="V345" s="557"/>
      <c r="W345" s="557"/>
      <c r="X345" s="557"/>
      <c r="Y345" s="557"/>
      <c r="Z345" s="557"/>
      <c r="AA345" s="542"/>
      <c r="AB345" s="542"/>
      <c r="AC345" s="542"/>
    </row>
    <row r="346" spans="1:68" ht="14.25" hidden="1" customHeight="1" x14ac:dyDescent="0.25">
      <c r="A346" s="556" t="s">
        <v>104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3"/>
      <c r="AB346" s="543"/>
      <c r="AC346" s="543"/>
    </row>
    <row r="347" spans="1:68" ht="37.5" customHeight="1" x14ac:dyDescent="0.25">
      <c r="A347" s="54" t="s">
        <v>556</v>
      </c>
      <c r="B347" s="54" t="s">
        <v>557</v>
      </c>
      <c r="C347" s="31">
        <v>4301011869</v>
      </c>
      <c r="D347" s="551">
        <v>4680115884847</v>
      </c>
      <c r="E347" s="552"/>
      <c r="F347" s="546">
        <v>2.5</v>
      </c>
      <c r="G347" s="32">
        <v>6</v>
      </c>
      <c r="H347" s="546">
        <v>15</v>
      </c>
      <c r="I347" s="546">
        <v>15.47</v>
      </c>
      <c r="J347" s="32">
        <v>48</v>
      </c>
      <c r="K347" s="32" t="s">
        <v>107</v>
      </c>
      <c r="L347" s="32"/>
      <c r="M347" s="33" t="s">
        <v>68</v>
      </c>
      <c r="N347" s="33"/>
      <c r="O347" s="32">
        <v>60</v>
      </c>
      <c r="P347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7" s="568"/>
      <c r="R347" s="568"/>
      <c r="S347" s="568"/>
      <c r="T347" s="569"/>
      <c r="U347" s="34"/>
      <c r="V347" s="34"/>
      <c r="W347" s="35" t="s">
        <v>69</v>
      </c>
      <c r="X347" s="547">
        <v>1620</v>
      </c>
      <c r="Y347" s="548">
        <f t="shared" ref="Y347:Y353" si="36">IFERROR(IF(X347="",0,CEILING((X347/$H347),1)*$H347),"")</f>
        <v>1620</v>
      </c>
      <c r="Z347" s="36">
        <f>IFERROR(IF(Y347=0,"",ROUNDUP(Y347/H347,0)*0.02175),"")</f>
        <v>2.3489999999999998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ref="BM347:BM353" si="37">IFERROR(X347*I347/H347,"0")</f>
        <v>1670.76</v>
      </c>
      <c r="BN347" s="64">
        <f t="shared" ref="BN347:BN353" si="38">IFERROR(Y347*I347/H347,"0")</f>
        <v>1670.76</v>
      </c>
      <c r="BO347" s="64">
        <f t="shared" ref="BO347:BO353" si="39">IFERROR(1/J347*(X347/H347),"0")</f>
        <v>2.25</v>
      </c>
      <c r="BP347" s="64">
        <f t="shared" ref="BP347:BP353" si="40">IFERROR(1/J347*(Y347/H347),"0")</f>
        <v>2.25</v>
      </c>
    </row>
    <row r="348" spans="1:68" ht="27" customHeight="1" x14ac:dyDescent="0.25">
      <c r="A348" s="54" t="s">
        <v>559</v>
      </c>
      <c r="B348" s="54" t="s">
        <v>560</v>
      </c>
      <c r="C348" s="31">
        <v>4301011870</v>
      </c>
      <c r="D348" s="551">
        <v>4680115884854</v>
      </c>
      <c r="E348" s="552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107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8" s="568"/>
      <c r="R348" s="568"/>
      <c r="S348" s="568"/>
      <c r="T348" s="569"/>
      <c r="U348" s="34"/>
      <c r="V348" s="34"/>
      <c r="W348" s="35" t="s">
        <v>69</v>
      </c>
      <c r="X348" s="547">
        <v>395</v>
      </c>
      <c r="Y348" s="548">
        <f t="shared" si="36"/>
        <v>405</v>
      </c>
      <c r="Z348" s="36">
        <f>IFERROR(IF(Y348=0,"",ROUNDUP(Y348/H348,0)*0.02175),"")</f>
        <v>0.58724999999999994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7"/>
        <v>407.37666666666672</v>
      </c>
      <c r="BN348" s="64">
        <f t="shared" si="38"/>
        <v>417.69</v>
      </c>
      <c r="BO348" s="64">
        <f t="shared" si="39"/>
        <v>0.54861111111111105</v>
      </c>
      <c r="BP348" s="64">
        <f t="shared" si="40"/>
        <v>0.5625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51">
        <v>4680115884830</v>
      </c>
      <c r="E349" s="552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107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68"/>
      <c r="R349" s="568"/>
      <c r="S349" s="568"/>
      <c r="T349" s="569"/>
      <c r="U349" s="34"/>
      <c r="V349" s="34"/>
      <c r="W349" s="35" t="s">
        <v>69</v>
      </c>
      <c r="X349" s="547">
        <v>2345</v>
      </c>
      <c r="Y349" s="548">
        <f t="shared" si="36"/>
        <v>2355</v>
      </c>
      <c r="Z349" s="36">
        <f>IFERROR(IF(Y349=0,"",ROUNDUP(Y349/H349,0)*0.02175),"")</f>
        <v>3.4147499999999997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7"/>
        <v>2418.4766666666669</v>
      </c>
      <c r="BN349" s="64">
        <f t="shared" si="38"/>
        <v>2428.79</v>
      </c>
      <c r="BO349" s="64">
        <f t="shared" si="39"/>
        <v>3.2569444444444446</v>
      </c>
      <c r="BP349" s="64">
        <f t="shared" si="40"/>
        <v>3.270833333333333</v>
      </c>
    </row>
    <row r="350" spans="1:68" ht="27" hidden="1" customHeight="1" x14ac:dyDescent="0.25">
      <c r="A350" s="54" t="s">
        <v>565</v>
      </c>
      <c r="B350" s="54" t="s">
        <v>566</v>
      </c>
      <c r="C350" s="31">
        <v>4301012215</v>
      </c>
      <c r="D350" s="551">
        <v>4680115887046</v>
      </c>
      <c r="E350" s="552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107</v>
      </c>
      <c r="L350" s="32"/>
      <c r="M350" s="33" t="s">
        <v>87</v>
      </c>
      <c r="N350" s="33"/>
      <c r="O350" s="32">
        <v>60</v>
      </c>
      <c r="P350" s="66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0" s="568"/>
      <c r="R350" s="568"/>
      <c r="S350" s="568"/>
      <c r="T350" s="569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4301011433</v>
      </c>
      <c r="D351" s="551">
        <v>4680115882638</v>
      </c>
      <c r="E351" s="552"/>
      <c r="F351" s="546">
        <v>0.4</v>
      </c>
      <c r="G351" s="32">
        <v>10</v>
      </c>
      <c r="H351" s="546">
        <v>4</v>
      </c>
      <c r="I351" s="546">
        <v>4.1900000000000004</v>
      </c>
      <c r="J351" s="32">
        <v>132</v>
      </c>
      <c r="K351" s="32" t="s">
        <v>113</v>
      </c>
      <c r="L351" s="32"/>
      <c r="M351" s="33" t="s">
        <v>109</v>
      </c>
      <c r="N351" s="33"/>
      <c r="O351" s="32">
        <v>90</v>
      </c>
      <c r="P351" s="6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1" s="568"/>
      <c r="R351" s="568"/>
      <c r="S351" s="568"/>
      <c r="T351" s="569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IFERROR(IF(Y351=0,"",ROUNDUP(Y351/H351,0)*0.00902),"")</f>
        <v/>
      </c>
      <c r="AA351" s="56"/>
      <c r="AB351" s="57"/>
      <c r="AC351" s="407" t="s">
        <v>570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571</v>
      </c>
      <c r="B352" s="54" t="s">
        <v>572</v>
      </c>
      <c r="C352" s="31">
        <v>4301011952</v>
      </c>
      <c r="D352" s="551">
        <v>4680115884922</v>
      </c>
      <c r="E352" s="552"/>
      <c r="F352" s="546">
        <v>0.5</v>
      </c>
      <c r="G352" s="32">
        <v>10</v>
      </c>
      <c r="H352" s="546">
        <v>5</v>
      </c>
      <c r="I352" s="546">
        <v>5.19</v>
      </c>
      <c r="J352" s="32">
        <v>132</v>
      </c>
      <c r="K352" s="32" t="s">
        <v>113</v>
      </c>
      <c r="L352" s="32"/>
      <c r="M352" s="33" t="s">
        <v>68</v>
      </c>
      <c r="N352" s="33"/>
      <c r="O352" s="32">
        <v>60</v>
      </c>
      <c r="P352" s="64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2" s="568"/>
      <c r="R352" s="568"/>
      <c r="S352" s="568"/>
      <c r="T352" s="569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hidden="1" customHeight="1" x14ac:dyDescent="0.25">
      <c r="A353" s="54" t="s">
        <v>573</v>
      </c>
      <c r="B353" s="54" t="s">
        <v>574</v>
      </c>
      <c r="C353" s="31">
        <v>4301011868</v>
      </c>
      <c r="D353" s="551">
        <v>4680115884861</v>
      </c>
      <c r="E353" s="552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113</v>
      </c>
      <c r="L353" s="32" t="s">
        <v>116</v>
      </c>
      <c r="M353" s="33" t="s">
        <v>68</v>
      </c>
      <c r="N353" s="33"/>
      <c r="O353" s="32">
        <v>60</v>
      </c>
      <c r="P35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3" s="568"/>
      <c r="R353" s="568"/>
      <c r="S353" s="568"/>
      <c r="T353" s="569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564</v>
      </c>
      <c r="AG353" s="64"/>
      <c r="AJ353" s="68" t="s">
        <v>93</v>
      </c>
      <c r="AK353" s="68">
        <v>60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x14ac:dyDescent="0.2">
      <c r="A354" s="558"/>
      <c r="B354" s="557"/>
      <c r="C354" s="557"/>
      <c r="D354" s="557"/>
      <c r="E354" s="557"/>
      <c r="F354" s="557"/>
      <c r="G354" s="557"/>
      <c r="H354" s="557"/>
      <c r="I354" s="557"/>
      <c r="J354" s="557"/>
      <c r="K354" s="557"/>
      <c r="L354" s="557"/>
      <c r="M354" s="557"/>
      <c r="N354" s="557"/>
      <c r="O354" s="559"/>
      <c r="P354" s="553" t="s">
        <v>75</v>
      </c>
      <c r="Q354" s="554"/>
      <c r="R354" s="554"/>
      <c r="S354" s="554"/>
      <c r="T354" s="554"/>
      <c r="U354" s="554"/>
      <c r="V354" s="555"/>
      <c r="W354" s="37" t="s">
        <v>76</v>
      </c>
      <c r="X354" s="549">
        <f>IFERROR(X347/H347,"0")+IFERROR(X348/H348,"0")+IFERROR(X349/H349,"0")+IFERROR(X350/H350,"0")+IFERROR(X351/H351,"0")+IFERROR(X352/H352,"0")+IFERROR(X353/H353,"0")</f>
        <v>290.66666666666669</v>
      </c>
      <c r="Y354" s="549">
        <f>IFERROR(Y347/H347,"0")+IFERROR(Y348/H348,"0")+IFERROR(Y349/H349,"0")+IFERROR(Y350/H350,"0")+IFERROR(Y351/H351,"0")+IFERROR(Y352/H352,"0")+IFERROR(Y353/H353,"0")</f>
        <v>292</v>
      </c>
      <c r="Z354" s="549">
        <f>IFERROR(IF(Z347="",0,Z347),"0")+IFERROR(IF(Z348="",0,Z348),"0")+IFERROR(IF(Z349="",0,Z349),"0")+IFERROR(IF(Z350="",0,Z350),"0")+IFERROR(IF(Z351="",0,Z351),"0")+IFERROR(IF(Z352="",0,Z352),"0")+IFERROR(IF(Z353="",0,Z353),"0")</f>
        <v>6.3509999999999991</v>
      </c>
      <c r="AA354" s="550"/>
      <c r="AB354" s="550"/>
      <c r="AC354" s="550"/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9"/>
      <c r="P355" s="553" t="s">
        <v>75</v>
      </c>
      <c r="Q355" s="554"/>
      <c r="R355" s="554"/>
      <c r="S355" s="554"/>
      <c r="T355" s="554"/>
      <c r="U355" s="554"/>
      <c r="V355" s="555"/>
      <c r="W355" s="37" t="s">
        <v>69</v>
      </c>
      <c r="X355" s="549">
        <f>IFERROR(SUM(X347:X353),"0")</f>
        <v>4360</v>
      </c>
      <c r="Y355" s="549">
        <f>IFERROR(SUM(Y347:Y353),"0")</f>
        <v>4380</v>
      </c>
      <c r="Z355" s="37"/>
      <c r="AA355" s="550"/>
      <c r="AB355" s="550"/>
      <c r="AC355" s="550"/>
    </row>
    <row r="356" spans="1:68" ht="14.25" hidden="1" customHeight="1" x14ac:dyDescent="0.25">
      <c r="A356" s="556" t="s">
        <v>139</v>
      </c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7"/>
      <c r="P356" s="557"/>
      <c r="Q356" s="557"/>
      <c r="R356" s="557"/>
      <c r="S356" s="557"/>
      <c r="T356" s="557"/>
      <c r="U356" s="557"/>
      <c r="V356" s="557"/>
      <c r="W356" s="557"/>
      <c r="X356" s="557"/>
      <c r="Y356" s="557"/>
      <c r="Z356" s="557"/>
      <c r="AA356" s="543"/>
      <c r="AB356" s="543"/>
      <c r="AC356" s="543"/>
    </row>
    <row r="357" spans="1:68" ht="27" customHeight="1" x14ac:dyDescent="0.25">
      <c r="A357" s="54" t="s">
        <v>575</v>
      </c>
      <c r="B357" s="54" t="s">
        <v>576</v>
      </c>
      <c r="C357" s="31">
        <v>4301020178</v>
      </c>
      <c r="D357" s="551">
        <v>4607091383980</v>
      </c>
      <c r="E357" s="552"/>
      <c r="F357" s="546">
        <v>2.5</v>
      </c>
      <c r="G357" s="32">
        <v>6</v>
      </c>
      <c r="H357" s="546">
        <v>15</v>
      </c>
      <c r="I357" s="546">
        <v>15.47</v>
      </c>
      <c r="J357" s="32">
        <v>48</v>
      </c>
      <c r="K357" s="32" t="s">
        <v>107</v>
      </c>
      <c r="L357" s="32"/>
      <c r="M357" s="33" t="s">
        <v>109</v>
      </c>
      <c r="N357" s="33"/>
      <c r="O357" s="32">
        <v>50</v>
      </c>
      <c r="P357" s="83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7" s="568"/>
      <c r="R357" s="568"/>
      <c r="S357" s="568"/>
      <c r="T357" s="569"/>
      <c r="U357" s="34"/>
      <c r="V357" s="34"/>
      <c r="W357" s="35" t="s">
        <v>69</v>
      </c>
      <c r="X357" s="547">
        <v>1170</v>
      </c>
      <c r="Y357" s="548">
        <f>IFERROR(IF(X357="",0,CEILING((X357/$H357),1)*$H357),"")</f>
        <v>1170</v>
      </c>
      <c r="Z357" s="36">
        <f>IFERROR(IF(Y357=0,"",ROUNDUP(Y357/H357,0)*0.02175),"")</f>
        <v>1.6964999999999999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1206.6600000000001</v>
      </c>
      <c r="BN357" s="64">
        <f>IFERROR(Y357*I357/H357,"0")</f>
        <v>1206.6600000000001</v>
      </c>
      <c r="BO357" s="64">
        <f>IFERROR(1/J357*(X357/H357),"0")</f>
        <v>1.625</v>
      </c>
      <c r="BP357" s="64">
        <f>IFERROR(1/J357*(Y357/H357),"0")</f>
        <v>1.625</v>
      </c>
    </row>
    <row r="358" spans="1:68" ht="27" hidden="1" customHeight="1" x14ac:dyDescent="0.25">
      <c r="A358" s="54" t="s">
        <v>578</v>
      </c>
      <c r="B358" s="54" t="s">
        <v>579</v>
      </c>
      <c r="C358" s="31">
        <v>4301020179</v>
      </c>
      <c r="D358" s="551">
        <v>4607091384178</v>
      </c>
      <c r="E358" s="552"/>
      <c r="F358" s="546">
        <v>0.4</v>
      </c>
      <c r="G358" s="32">
        <v>10</v>
      </c>
      <c r="H358" s="546">
        <v>4</v>
      </c>
      <c r="I358" s="546">
        <v>4.1900000000000004</v>
      </c>
      <c r="J358" s="32">
        <v>132</v>
      </c>
      <c r="K358" s="32" t="s">
        <v>113</v>
      </c>
      <c r="L358" s="32"/>
      <c r="M358" s="33" t="s">
        <v>109</v>
      </c>
      <c r="N358" s="33"/>
      <c r="O358" s="32">
        <v>50</v>
      </c>
      <c r="P358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8" s="568"/>
      <c r="R358" s="568"/>
      <c r="S358" s="568"/>
      <c r="T358" s="569"/>
      <c r="U358" s="34"/>
      <c r="V358" s="34"/>
      <c r="W358" s="35" t="s">
        <v>69</v>
      </c>
      <c r="X358" s="547">
        <v>0</v>
      </c>
      <c r="Y358" s="54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15" t="s">
        <v>580</v>
      </c>
      <c r="AG358" s="64"/>
      <c r="AJ358" s="68"/>
      <c r="AK358" s="68">
        <v>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8"/>
      <c r="B359" s="557"/>
      <c r="C359" s="557"/>
      <c r="D359" s="557"/>
      <c r="E359" s="557"/>
      <c r="F359" s="557"/>
      <c r="G359" s="557"/>
      <c r="H359" s="557"/>
      <c r="I359" s="557"/>
      <c r="J359" s="557"/>
      <c r="K359" s="557"/>
      <c r="L359" s="557"/>
      <c r="M359" s="557"/>
      <c r="N359" s="557"/>
      <c r="O359" s="559"/>
      <c r="P359" s="553" t="s">
        <v>75</v>
      </c>
      <c r="Q359" s="554"/>
      <c r="R359" s="554"/>
      <c r="S359" s="554"/>
      <c r="T359" s="554"/>
      <c r="U359" s="554"/>
      <c r="V359" s="555"/>
      <c r="W359" s="37" t="s">
        <v>76</v>
      </c>
      <c r="X359" s="549">
        <f>IFERROR(X357/H357,"0")+IFERROR(X358/H358,"0")</f>
        <v>78</v>
      </c>
      <c r="Y359" s="549">
        <f>IFERROR(Y357/H357,"0")+IFERROR(Y358/H358,"0")</f>
        <v>78</v>
      </c>
      <c r="Z359" s="549">
        <f>IFERROR(IF(Z357="",0,Z357),"0")+IFERROR(IF(Z358="",0,Z358),"0")</f>
        <v>1.6964999999999999</v>
      </c>
      <c r="AA359" s="550"/>
      <c r="AB359" s="550"/>
      <c r="AC359" s="550"/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9"/>
      <c r="P360" s="553" t="s">
        <v>75</v>
      </c>
      <c r="Q360" s="554"/>
      <c r="R360" s="554"/>
      <c r="S360" s="554"/>
      <c r="T360" s="554"/>
      <c r="U360" s="554"/>
      <c r="V360" s="555"/>
      <c r="W360" s="37" t="s">
        <v>69</v>
      </c>
      <c r="X360" s="549">
        <f>IFERROR(SUM(X357:X358),"0")</f>
        <v>1170</v>
      </c>
      <c r="Y360" s="549">
        <f>IFERROR(SUM(Y357:Y358),"0")</f>
        <v>1170</v>
      </c>
      <c r="Z360" s="37"/>
      <c r="AA360" s="550"/>
      <c r="AB360" s="550"/>
      <c r="AC360" s="550"/>
    </row>
    <row r="361" spans="1:68" ht="14.25" hidden="1" customHeight="1" x14ac:dyDescent="0.25">
      <c r="A361" s="556" t="s">
        <v>77</v>
      </c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7"/>
      <c r="P361" s="557"/>
      <c r="Q361" s="557"/>
      <c r="R361" s="557"/>
      <c r="S361" s="557"/>
      <c r="T361" s="557"/>
      <c r="U361" s="557"/>
      <c r="V361" s="557"/>
      <c r="W361" s="557"/>
      <c r="X361" s="557"/>
      <c r="Y361" s="557"/>
      <c r="Z361" s="557"/>
      <c r="AA361" s="543"/>
      <c r="AB361" s="543"/>
      <c r="AC361" s="543"/>
    </row>
    <row r="362" spans="1:68" ht="27" customHeight="1" x14ac:dyDescent="0.25">
      <c r="A362" s="54" t="s">
        <v>581</v>
      </c>
      <c r="B362" s="54" t="s">
        <v>582</v>
      </c>
      <c r="C362" s="31">
        <v>4301051903</v>
      </c>
      <c r="D362" s="551">
        <v>4607091383928</v>
      </c>
      <c r="E362" s="552"/>
      <c r="F362" s="546">
        <v>1.5</v>
      </c>
      <c r="G362" s="32">
        <v>6</v>
      </c>
      <c r="H362" s="546">
        <v>9</v>
      </c>
      <c r="I362" s="546">
        <v>9.5</v>
      </c>
      <c r="J362" s="32">
        <v>64</v>
      </c>
      <c r="K362" s="32" t="s">
        <v>107</v>
      </c>
      <c r="L362" s="32" t="s">
        <v>108</v>
      </c>
      <c r="M362" s="33" t="s">
        <v>80</v>
      </c>
      <c r="N362" s="33"/>
      <c r="O362" s="32">
        <v>40</v>
      </c>
      <c r="P362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2" s="568"/>
      <c r="R362" s="568"/>
      <c r="S362" s="568"/>
      <c r="T362" s="569"/>
      <c r="U362" s="34"/>
      <c r="V362" s="34"/>
      <c r="W362" s="35" t="s">
        <v>69</v>
      </c>
      <c r="X362" s="547">
        <v>30</v>
      </c>
      <c r="Y362" s="548">
        <f>IFERROR(IF(X362="",0,CEILING((X362/$H362),1)*$H362),"")</f>
        <v>36</v>
      </c>
      <c r="Z362" s="36">
        <f>IFERROR(IF(Y362=0,"",ROUNDUP(Y362/H362,0)*0.01898),"")</f>
        <v>7.5920000000000001E-2</v>
      </c>
      <c r="AA362" s="56"/>
      <c r="AB362" s="57"/>
      <c r="AC362" s="417" t="s">
        <v>583</v>
      </c>
      <c r="AG362" s="64"/>
      <c r="AJ362" s="68" t="s">
        <v>93</v>
      </c>
      <c r="AK362" s="68">
        <v>72</v>
      </c>
      <c r="BB362" s="418" t="s">
        <v>1</v>
      </c>
      <c r="BM362" s="64">
        <f>IFERROR(X362*I362/H362,"0")</f>
        <v>31.666666666666668</v>
      </c>
      <c r="BN362" s="64">
        <f>IFERROR(Y362*I362/H362,"0")</f>
        <v>38</v>
      </c>
      <c r="BO362" s="64">
        <f>IFERROR(1/J362*(X362/H362),"0")</f>
        <v>5.2083333333333336E-2</v>
      </c>
      <c r="BP362" s="64">
        <f>IFERROR(1/J362*(Y362/H362),"0")</f>
        <v>6.25E-2</v>
      </c>
    </row>
    <row r="363" spans="1:68" ht="27" hidden="1" customHeight="1" x14ac:dyDescent="0.25">
      <c r="A363" s="54" t="s">
        <v>584</v>
      </c>
      <c r="B363" s="54" t="s">
        <v>585</v>
      </c>
      <c r="C363" s="31">
        <v>4301051897</v>
      </c>
      <c r="D363" s="551">
        <v>4607091384260</v>
      </c>
      <c r="E363" s="552"/>
      <c r="F363" s="546">
        <v>1.5</v>
      </c>
      <c r="G363" s="32">
        <v>6</v>
      </c>
      <c r="H363" s="546">
        <v>9</v>
      </c>
      <c r="I363" s="546">
        <v>9.4939999999999998</v>
      </c>
      <c r="J363" s="32">
        <v>64</v>
      </c>
      <c r="K363" s="32" t="s">
        <v>107</v>
      </c>
      <c r="L363" s="32" t="s">
        <v>108</v>
      </c>
      <c r="M363" s="33" t="s">
        <v>80</v>
      </c>
      <c r="N363" s="33"/>
      <c r="O363" s="32">
        <v>40</v>
      </c>
      <c r="P363" s="8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3" s="568"/>
      <c r="R363" s="568"/>
      <c r="S363" s="568"/>
      <c r="T363" s="569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586</v>
      </c>
      <c r="AG363" s="64"/>
      <c r="AJ363" s="68" t="s">
        <v>93</v>
      </c>
      <c r="AK363" s="68">
        <v>72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8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9"/>
      <c r="P364" s="553" t="s">
        <v>75</v>
      </c>
      <c r="Q364" s="554"/>
      <c r="R364" s="554"/>
      <c r="S364" s="554"/>
      <c r="T364" s="554"/>
      <c r="U364" s="554"/>
      <c r="V364" s="555"/>
      <c r="W364" s="37" t="s">
        <v>76</v>
      </c>
      <c r="X364" s="549">
        <f>IFERROR(X362/H362,"0")+IFERROR(X363/H363,"0")</f>
        <v>3.3333333333333335</v>
      </c>
      <c r="Y364" s="549">
        <f>IFERROR(Y362/H362,"0")+IFERROR(Y363/H363,"0")</f>
        <v>4</v>
      </c>
      <c r="Z364" s="549">
        <f>IFERROR(IF(Z362="",0,Z362),"0")+IFERROR(IF(Z363="",0,Z363),"0")</f>
        <v>7.5920000000000001E-2</v>
      </c>
      <c r="AA364" s="550"/>
      <c r="AB364" s="550"/>
      <c r="AC364" s="550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9"/>
      <c r="P365" s="553" t="s">
        <v>75</v>
      </c>
      <c r="Q365" s="554"/>
      <c r="R365" s="554"/>
      <c r="S365" s="554"/>
      <c r="T365" s="554"/>
      <c r="U365" s="554"/>
      <c r="V365" s="555"/>
      <c r="W365" s="37" t="s">
        <v>69</v>
      </c>
      <c r="X365" s="549">
        <f>IFERROR(SUM(X362:X363),"0")</f>
        <v>30</v>
      </c>
      <c r="Y365" s="549">
        <f>IFERROR(SUM(Y362:Y363),"0")</f>
        <v>36</v>
      </c>
      <c r="Z365" s="37"/>
      <c r="AA365" s="550"/>
      <c r="AB365" s="550"/>
      <c r="AC365" s="550"/>
    </row>
    <row r="366" spans="1:68" ht="14.25" hidden="1" customHeight="1" x14ac:dyDescent="0.25">
      <c r="A366" s="556" t="s">
        <v>167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43"/>
      <c r="AB366" s="543"/>
      <c r="AC366" s="543"/>
    </row>
    <row r="367" spans="1:68" ht="16.5" hidden="1" customHeight="1" x14ac:dyDescent="0.25">
      <c r="A367" s="54" t="s">
        <v>587</v>
      </c>
      <c r="B367" s="54" t="s">
        <v>588</v>
      </c>
      <c r="C367" s="31">
        <v>4301060524</v>
      </c>
      <c r="D367" s="551">
        <v>4607091384673</v>
      </c>
      <c r="E367" s="552"/>
      <c r="F367" s="546">
        <v>1.5</v>
      </c>
      <c r="G367" s="32">
        <v>6</v>
      </c>
      <c r="H367" s="546">
        <v>9</v>
      </c>
      <c r="I367" s="546">
        <v>9.4939999999999998</v>
      </c>
      <c r="J367" s="32">
        <v>64</v>
      </c>
      <c r="K367" s="32" t="s">
        <v>107</v>
      </c>
      <c r="L367" s="32"/>
      <c r="M367" s="33" t="s">
        <v>80</v>
      </c>
      <c r="N367" s="33"/>
      <c r="O367" s="32">
        <v>40</v>
      </c>
      <c r="P367" s="8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7" s="568"/>
      <c r="R367" s="568"/>
      <c r="S367" s="568"/>
      <c r="T367" s="569"/>
      <c r="U367" s="34"/>
      <c r="V367" s="34"/>
      <c r="W367" s="35" t="s">
        <v>69</v>
      </c>
      <c r="X367" s="547">
        <v>0</v>
      </c>
      <c r="Y367" s="548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1" t="s">
        <v>589</v>
      </c>
      <c r="AG367" s="64"/>
      <c r="AJ367" s="68"/>
      <c r="AK367" s="68">
        <v>0</v>
      </c>
      <c r="BB367" s="42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58"/>
      <c r="B368" s="557"/>
      <c r="C368" s="557"/>
      <c r="D368" s="557"/>
      <c r="E368" s="557"/>
      <c r="F368" s="557"/>
      <c r="G368" s="557"/>
      <c r="H368" s="557"/>
      <c r="I368" s="557"/>
      <c r="J368" s="557"/>
      <c r="K368" s="557"/>
      <c r="L368" s="557"/>
      <c r="M368" s="557"/>
      <c r="N368" s="557"/>
      <c r="O368" s="559"/>
      <c r="P368" s="553" t="s">
        <v>75</v>
      </c>
      <c r="Q368" s="554"/>
      <c r="R368" s="554"/>
      <c r="S368" s="554"/>
      <c r="T368" s="554"/>
      <c r="U368" s="554"/>
      <c r="V368" s="555"/>
      <c r="W368" s="37" t="s">
        <v>76</v>
      </c>
      <c r="X368" s="549">
        <f>IFERROR(X367/H367,"0")</f>
        <v>0</v>
      </c>
      <c r="Y368" s="549">
        <f>IFERROR(Y367/H367,"0")</f>
        <v>0</v>
      </c>
      <c r="Z368" s="549">
        <f>IFERROR(IF(Z367="",0,Z367),"0")</f>
        <v>0</v>
      </c>
      <c r="AA368" s="550"/>
      <c r="AB368" s="550"/>
      <c r="AC368" s="550"/>
    </row>
    <row r="369" spans="1:68" hidden="1" x14ac:dyDescent="0.2">
      <c r="A369" s="557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59"/>
      <c r="P369" s="553" t="s">
        <v>75</v>
      </c>
      <c r="Q369" s="554"/>
      <c r="R369" s="554"/>
      <c r="S369" s="554"/>
      <c r="T369" s="554"/>
      <c r="U369" s="554"/>
      <c r="V369" s="555"/>
      <c r="W369" s="37" t="s">
        <v>69</v>
      </c>
      <c r="X369" s="549">
        <f>IFERROR(SUM(X367:X367),"0")</f>
        <v>0</v>
      </c>
      <c r="Y369" s="549">
        <f>IFERROR(SUM(Y367:Y367),"0")</f>
        <v>0</v>
      </c>
      <c r="Z369" s="37"/>
      <c r="AA369" s="550"/>
      <c r="AB369" s="550"/>
      <c r="AC369" s="550"/>
    </row>
    <row r="370" spans="1:68" ht="16.5" hidden="1" customHeight="1" x14ac:dyDescent="0.25">
      <c r="A370" s="574" t="s">
        <v>590</v>
      </c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7"/>
      <c r="P370" s="557"/>
      <c r="Q370" s="557"/>
      <c r="R370" s="557"/>
      <c r="S370" s="557"/>
      <c r="T370" s="557"/>
      <c r="U370" s="557"/>
      <c r="V370" s="557"/>
      <c r="W370" s="557"/>
      <c r="X370" s="557"/>
      <c r="Y370" s="557"/>
      <c r="Z370" s="557"/>
      <c r="AA370" s="542"/>
      <c r="AB370" s="542"/>
      <c r="AC370" s="542"/>
    </row>
    <row r="371" spans="1:68" ht="14.25" hidden="1" customHeight="1" x14ac:dyDescent="0.25">
      <c r="A371" s="556" t="s">
        <v>104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3"/>
      <c r="AB371" s="543"/>
      <c r="AC371" s="543"/>
    </row>
    <row r="372" spans="1:68" ht="37.5" customHeight="1" x14ac:dyDescent="0.25">
      <c r="A372" s="54" t="s">
        <v>591</v>
      </c>
      <c r="B372" s="54" t="s">
        <v>592</v>
      </c>
      <c r="C372" s="31">
        <v>4301011875</v>
      </c>
      <c r="D372" s="551">
        <v>4680115884885</v>
      </c>
      <c r="E372" s="552"/>
      <c r="F372" s="546">
        <v>0.8</v>
      </c>
      <c r="G372" s="32">
        <v>15</v>
      </c>
      <c r="H372" s="546">
        <v>12</v>
      </c>
      <c r="I372" s="546">
        <v>12.41</v>
      </c>
      <c r="J372" s="32">
        <v>64</v>
      </c>
      <c r="K372" s="32" t="s">
        <v>107</v>
      </c>
      <c r="L372" s="32" t="s">
        <v>108</v>
      </c>
      <c r="M372" s="33" t="s">
        <v>68</v>
      </c>
      <c r="N372" s="33"/>
      <c r="O372" s="32">
        <v>60</v>
      </c>
      <c r="P372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2" s="568"/>
      <c r="R372" s="568"/>
      <c r="S372" s="568"/>
      <c r="T372" s="569"/>
      <c r="U372" s="34"/>
      <c r="V372" s="34"/>
      <c r="W372" s="35" t="s">
        <v>69</v>
      </c>
      <c r="X372" s="547">
        <v>50</v>
      </c>
      <c r="Y372" s="548">
        <f>IFERROR(IF(X372="",0,CEILING((X372/$H372),1)*$H372),"")</f>
        <v>60</v>
      </c>
      <c r="Z372" s="36">
        <f>IFERROR(IF(Y372=0,"",ROUNDUP(Y372/H372,0)*0.01898),"")</f>
        <v>9.4899999999999998E-2</v>
      </c>
      <c r="AA372" s="56"/>
      <c r="AB372" s="57"/>
      <c r="AC372" s="423" t="s">
        <v>593</v>
      </c>
      <c r="AG372" s="64"/>
      <c r="AJ372" s="68" t="s">
        <v>93</v>
      </c>
      <c r="AK372" s="68">
        <v>96</v>
      </c>
      <c r="BB372" s="424" t="s">
        <v>1</v>
      </c>
      <c r="BM372" s="64">
        <f>IFERROR(X372*I372/H372,"0")</f>
        <v>51.708333333333336</v>
      </c>
      <c r="BN372" s="64">
        <f>IFERROR(Y372*I372/H372,"0")</f>
        <v>62.050000000000004</v>
      </c>
      <c r="BO372" s="64">
        <f>IFERROR(1/J372*(X372/H372),"0")</f>
        <v>6.5104166666666671E-2</v>
      </c>
      <c r="BP372" s="64">
        <f>IFERROR(1/J372*(Y372/H372),"0")</f>
        <v>7.8125E-2</v>
      </c>
    </row>
    <row r="373" spans="1:68" ht="37.5" hidden="1" customHeight="1" x14ac:dyDescent="0.25">
      <c r="A373" s="54" t="s">
        <v>594</v>
      </c>
      <c r="B373" s="54" t="s">
        <v>595</v>
      </c>
      <c r="C373" s="31">
        <v>4301011871</v>
      </c>
      <c r="D373" s="551">
        <v>4680115884908</v>
      </c>
      <c r="E373" s="552"/>
      <c r="F373" s="546">
        <v>0.4</v>
      </c>
      <c r="G373" s="32">
        <v>10</v>
      </c>
      <c r="H373" s="546">
        <v>4</v>
      </c>
      <c r="I373" s="546">
        <v>4.1900000000000004</v>
      </c>
      <c r="J373" s="32">
        <v>132</v>
      </c>
      <c r="K373" s="32" t="s">
        <v>113</v>
      </c>
      <c r="L373" s="32" t="s">
        <v>116</v>
      </c>
      <c r="M373" s="33" t="s">
        <v>68</v>
      </c>
      <c r="N373" s="33"/>
      <c r="O373" s="32">
        <v>60</v>
      </c>
      <c r="P373" s="8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3" s="568"/>
      <c r="R373" s="568"/>
      <c r="S373" s="568"/>
      <c r="T373" s="569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25" t="s">
        <v>593</v>
      </c>
      <c r="AG373" s="64"/>
      <c r="AJ373" s="68" t="s">
        <v>93</v>
      </c>
      <c r="AK373" s="68">
        <v>48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8"/>
      <c r="B374" s="557"/>
      <c r="C374" s="557"/>
      <c r="D374" s="557"/>
      <c r="E374" s="557"/>
      <c r="F374" s="557"/>
      <c r="G374" s="557"/>
      <c r="H374" s="557"/>
      <c r="I374" s="557"/>
      <c r="J374" s="557"/>
      <c r="K374" s="557"/>
      <c r="L374" s="557"/>
      <c r="M374" s="557"/>
      <c r="N374" s="557"/>
      <c r="O374" s="559"/>
      <c r="P374" s="553" t="s">
        <v>75</v>
      </c>
      <c r="Q374" s="554"/>
      <c r="R374" s="554"/>
      <c r="S374" s="554"/>
      <c r="T374" s="554"/>
      <c r="U374" s="554"/>
      <c r="V374" s="555"/>
      <c r="W374" s="37" t="s">
        <v>76</v>
      </c>
      <c r="X374" s="549">
        <f>IFERROR(X372/H372,"0")+IFERROR(X373/H373,"0")</f>
        <v>4.166666666666667</v>
      </c>
      <c r="Y374" s="549">
        <f>IFERROR(Y372/H372,"0")+IFERROR(Y373/H373,"0")</f>
        <v>5</v>
      </c>
      <c r="Z374" s="549">
        <f>IFERROR(IF(Z372="",0,Z372),"0")+IFERROR(IF(Z373="",0,Z373),"0")</f>
        <v>9.4899999999999998E-2</v>
      </c>
      <c r="AA374" s="550"/>
      <c r="AB374" s="550"/>
      <c r="AC374" s="550"/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9"/>
      <c r="P375" s="553" t="s">
        <v>75</v>
      </c>
      <c r="Q375" s="554"/>
      <c r="R375" s="554"/>
      <c r="S375" s="554"/>
      <c r="T375" s="554"/>
      <c r="U375" s="554"/>
      <c r="V375" s="555"/>
      <c r="W375" s="37" t="s">
        <v>69</v>
      </c>
      <c r="X375" s="549">
        <f>IFERROR(SUM(X372:X373),"0")</f>
        <v>50</v>
      </c>
      <c r="Y375" s="549">
        <f>IFERROR(SUM(Y372:Y373),"0")</f>
        <v>60</v>
      </c>
      <c r="Z375" s="37"/>
      <c r="AA375" s="550"/>
      <c r="AB375" s="550"/>
      <c r="AC375" s="550"/>
    </row>
    <row r="376" spans="1:68" ht="14.25" hidden="1" customHeight="1" x14ac:dyDescent="0.25">
      <c r="A376" s="556" t="s">
        <v>64</v>
      </c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7"/>
      <c r="P376" s="557"/>
      <c r="Q376" s="557"/>
      <c r="R376" s="557"/>
      <c r="S376" s="557"/>
      <c r="T376" s="557"/>
      <c r="U376" s="557"/>
      <c r="V376" s="557"/>
      <c r="W376" s="557"/>
      <c r="X376" s="557"/>
      <c r="Y376" s="557"/>
      <c r="Z376" s="557"/>
      <c r="AA376" s="543"/>
      <c r="AB376" s="543"/>
      <c r="AC376" s="543"/>
    </row>
    <row r="377" spans="1:68" ht="27" hidden="1" customHeight="1" x14ac:dyDescent="0.25">
      <c r="A377" s="54" t="s">
        <v>596</v>
      </c>
      <c r="B377" s="54" t="s">
        <v>597</v>
      </c>
      <c r="C377" s="31">
        <v>4301031303</v>
      </c>
      <c r="D377" s="551">
        <v>4607091384802</v>
      </c>
      <c r="E377" s="552"/>
      <c r="F377" s="546">
        <v>0.73</v>
      </c>
      <c r="G377" s="32">
        <v>6</v>
      </c>
      <c r="H377" s="546">
        <v>4.38</v>
      </c>
      <c r="I377" s="546">
        <v>4.63</v>
      </c>
      <c r="J377" s="32">
        <v>132</v>
      </c>
      <c r="K377" s="32" t="s">
        <v>113</v>
      </c>
      <c r="L377" s="32" t="s">
        <v>116</v>
      </c>
      <c r="M377" s="33" t="s">
        <v>68</v>
      </c>
      <c r="N377" s="33"/>
      <c r="O377" s="32">
        <v>35</v>
      </c>
      <c r="P377" s="72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68"/>
      <c r="R377" s="568"/>
      <c r="S377" s="568"/>
      <c r="T377" s="569"/>
      <c r="U377" s="34"/>
      <c r="V377" s="34"/>
      <c r="W377" s="35" t="s">
        <v>69</v>
      </c>
      <c r="X377" s="547">
        <v>0</v>
      </c>
      <c r="Y377" s="548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598</v>
      </c>
      <c r="AG377" s="64"/>
      <c r="AJ377" s="68" t="s">
        <v>93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596</v>
      </c>
      <c r="B378" s="54" t="s">
        <v>599</v>
      </c>
      <c r="C378" s="31">
        <v>4301031457</v>
      </c>
      <c r="D378" s="551">
        <v>4607091384802</v>
      </c>
      <c r="E378" s="552"/>
      <c r="F378" s="546">
        <v>0.7</v>
      </c>
      <c r="G378" s="32">
        <v>6</v>
      </c>
      <c r="H378" s="546">
        <v>4.2</v>
      </c>
      <c r="I378" s="546">
        <v>4.45</v>
      </c>
      <c r="J378" s="32">
        <v>132</v>
      </c>
      <c r="K378" s="32" t="s">
        <v>113</v>
      </c>
      <c r="L378" s="32"/>
      <c r="M378" s="33" t="s">
        <v>68</v>
      </c>
      <c r="N378" s="33"/>
      <c r="O378" s="32">
        <v>50</v>
      </c>
      <c r="P378" s="6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68"/>
      <c r="R378" s="568"/>
      <c r="S378" s="568"/>
      <c r="T378" s="569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600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58"/>
      <c r="B379" s="557"/>
      <c r="C379" s="557"/>
      <c r="D379" s="557"/>
      <c r="E379" s="557"/>
      <c r="F379" s="557"/>
      <c r="G379" s="557"/>
      <c r="H379" s="557"/>
      <c r="I379" s="557"/>
      <c r="J379" s="557"/>
      <c r="K379" s="557"/>
      <c r="L379" s="557"/>
      <c r="M379" s="557"/>
      <c r="N379" s="557"/>
      <c r="O379" s="559"/>
      <c r="P379" s="553" t="s">
        <v>75</v>
      </c>
      <c r="Q379" s="554"/>
      <c r="R379" s="554"/>
      <c r="S379" s="554"/>
      <c r="T379" s="554"/>
      <c r="U379" s="554"/>
      <c r="V379" s="555"/>
      <c r="W379" s="37" t="s">
        <v>76</v>
      </c>
      <c r="X379" s="549">
        <f>IFERROR(X377/H377,"0")+IFERROR(X378/H378,"0")</f>
        <v>0</v>
      </c>
      <c r="Y379" s="549">
        <f>IFERROR(Y377/H377,"0")+IFERROR(Y378/H378,"0")</f>
        <v>0</v>
      </c>
      <c r="Z379" s="549">
        <f>IFERROR(IF(Z377="",0,Z377),"0")+IFERROR(IF(Z378="",0,Z378),"0")</f>
        <v>0</v>
      </c>
      <c r="AA379" s="550"/>
      <c r="AB379" s="550"/>
      <c r="AC379" s="550"/>
    </row>
    <row r="380" spans="1:68" hidden="1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9"/>
      <c r="P380" s="553" t="s">
        <v>75</v>
      </c>
      <c r="Q380" s="554"/>
      <c r="R380" s="554"/>
      <c r="S380" s="554"/>
      <c r="T380" s="554"/>
      <c r="U380" s="554"/>
      <c r="V380" s="555"/>
      <c r="W380" s="37" t="s">
        <v>69</v>
      </c>
      <c r="X380" s="549">
        <f>IFERROR(SUM(X377:X378),"0")</f>
        <v>0</v>
      </c>
      <c r="Y380" s="549">
        <f>IFERROR(SUM(Y377:Y378),"0")</f>
        <v>0</v>
      </c>
      <c r="Z380" s="37"/>
      <c r="AA380" s="550"/>
      <c r="AB380" s="550"/>
      <c r="AC380" s="550"/>
    </row>
    <row r="381" spans="1:68" ht="14.25" hidden="1" customHeight="1" x14ac:dyDescent="0.25">
      <c r="A381" s="556" t="s">
        <v>77</v>
      </c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7"/>
      <c r="P381" s="557"/>
      <c r="Q381" s="557"/>
      <c r="R381" s="557"/>
      <c r="S381" s="557"/>
      <c r="T381" s="557"/>
      <c r="U381" s="557"/>
      <c r="V381" s="557"/>
      <c r="W381" s="557"/>
      <c r="X381" s="557"/>
      <c r="Y381" s="557"/>
      <c r="Z381" s="557"/>
      <c r="AA381" s="543"/>
      <c r="AB381" s="543"/>
      <c r="AC381" s="543"/>
    </row>
    <row r="382" spans="1:68" ht="27" customHeight="1" x14ac:dyDescent="0.25">
      <c r="A382" s="54" t="s">
        <v>601</v>
      </c>
      <c r="B382" s="54" t="s">
        <v>602</v>
      </c>
      <c r="C382" s="31">
        <v>4301051899</v>
      </c>
      <c r="D382" s="551">
        <v>4607091384246</v>
      </c>
      <c r="E382" s="552"/>
      <c r="F382" s="546">
        <v>1.5</v>
      </c>
      <c r="G382" s="32">
        <v>6</v>
      </c>
      <c r="H382" s="546">
        <v>9</v>
      </c>
      <c r="I382" s="546">
        <v>9.4939999999999998</v>
      </c>
      <c r="J382" s="32">
        <v>64</v>
      </c>
      <c r="K382" s="32" t="s">
        <v>107</v>
      </c>
      <c r="L382" s="32" t="s">
        <v>108</v>
      </c>
      <c r="M382" s="33" t="s">
        <v>80</v>
      </c>
      <c r="N382" s="33"/>
      <c r="O382" s="32">
        <v>40</v>
      </c>
      <c r="P382" s="6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68"/>
      <c r="R382" s="568"/>
      <c r="S382" s="568"/>
      <c r="T382" s="569"/>
      <c r="U382" s="34"/>
      <c r="V382" s="34"/>
      <c r="W382" s="35" t="s">
        <v>69</v>
      </c>
      <c r="X382" s="547">
        <v>2020</v>
      </c>
      <c r="Y382" s="548">
        <f>IFERROR(IF(X382="",0,CEILING((X382/$H382),1)*$H382),"")</f>
        <v>2025</v>
      </c>
      <c r="Z382" s="36">
        <f>IFERROR(IF(Y382=0,"",ROUNDUP(Y382/H382,0)*0.01898),"")</f>
        <v>4.2705000000000002</v>
      </c>
      <c r="AA382" s="56"/>
      <c r="AB382" s="57"/>
      <c r="AC382" s="431" t="s">
        <v>603</v>
      </c>
      <c r="AG382" s="64"/>
      <c r="AJ382" s="68" t="s">
        <v>93</v>
      </c>
      <c r="AK382" s="68">
        <v>72</v>
      </c>
      <c r="BB382" s="432" t="s">
        <v>1</v>
      </c>
      <c r="BM382" s="64">
        <f>IFERROR(X382*I382/H382,"0")</f>
        <v>2130.8755555555558</v>
      </c>
      <c r="BN382" s="64">
        <f>IFERROR(Y382*I382/H382,"0")</f>
        <v>2136.1499999999996</v>
      </c>
      <c r="BO382" s="64">
        <f>IFERROR(1/J382*(X382/H382),"0")</f>
        <v>3.5069444444444446</v>
      </c>
      <c r="BP382" s="64">
        <f>IFERROR(1/J382*(Y382/H382),"0")</f>
        <v>3.515625</v>
      </c>
    </row>
    <row r="383" spans="1:68" ht="27" hidden="1" customHeight="1" x14ac:dyDescent="0.25">
      <c r="A383" s="54" t="s">
        <v>604</v>
      </c>
      <c r="B383" s="54" t="s">
        <v>605</v>
      </c>
      <c r="C383" s="31">
        <v>4301051660</v>
      </c>
      <c r="D383" s="551">
        <v>4607091384253</v>
      </c>
      <c r="E383" s="552"/>
      <c r="F383" s="546">
        <v>0.4</v>
      </c>
      <c r="G383" s="32">
        <v>6</v>
      </c>
      <c r="H383" s="546">
        <v>2.4</v>
      </c>
      <c r="I383" s="546">
        <v>2.6640000000000001</v>
      </c>
      <c r="J383" s="32">
        <v>182</v>
      </c>
      <c r="K383" s="32" t="s">
        <v>67</v>
      </c>
      <c r="L383" s="32" t="s">
        <v>91</v>
      </c>
      <c r="M383" s="33" t="s">
        <v>80</v>
      </c>
      <c r="N383" s="33"/>
      <c r="O383" s="32">
        <v>40</v>
      </c>
      <c r="P383" s="8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68"/>
      <c r="R383" s="568"/>
      <c r="S383" s="568"/>
      <c r="T383" s="569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603</v>
      </c>
      <c r="AG383" s="64"/>
      <c r="AJ383" s="68" t="s">
        <v>93</v>
      </c>
      <c r="AK383" s="68">
        <v>33.6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606</v>
      </c>
      <c r="C384" s="31">
        <v>4301052069</v>
      </c>
      <c r="D384" s="551">
        <v>4607091384253</v>
      </c>
      <c r="E384" s="552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68"/>
      <c r="R384" s="568"/>
      <c r="S384" s="568"/>
      <c r="T384" s="569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607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558"/>
      <c r="B385" s="557"/>
      <c r="C385" s="557"/>
      <c r="D385" s="557"/>
      <c r="E385" s="557"/>
      <c r="F385" s="557"/>
      <c r="G385" s="557"/>
      <c r="H385" s="557"/>
      <c r="I385" s="557"/>
      <c r="J385" s="557"/>
      <c r="K385" s="557"/>
      <c r="L385" s="557"/>
      <c r="M385" s="557"/>
      <c r="N385" s="557"/>
      <c r="O385" s="559"/>
      <c r="P385" s="553" t="s">
        <v>75</v>
      </c>
      <c r="Q385" s="554"/>
      <c r="R385" s="554"/>
      <c r="S385" s="554"/>
      <c r="T385" s="554"/>
      <c r="U385" s="554"/>
      <c r="V385" s="555"/>
      <c r="W385" s="37" t="s">
        <v>76</v>
      </c>
      <c r="X385" s="549">
        <f>IFERROR(X382/H382,"0")+IFERROR(X383/H383,"0")+IFERROR(X384/H384,"0")</f>
        <v>224.44444444444446</v>
      </c>
      <c r="Y385" s="549">
        <f>IFERROR(Y382/H382,"0")+IFERROR(Y383/H383,"0")+IFERROR(Y384/H384,"0")</f>
        <v>225</v>
      </c>
      <c r="Z385" s="549">
        <f>IFERROR(IF(Z382="",0,Z382),"0")+IFERROR(IF(Z383="",0,Z383),"0")+IFERROR(IF(Z384="",0,Z384),"0")</f>
        <v>4.2705000000000002</v>
      </c>
      <c r="AA385" s="550"/>
      <c r="AB385" s="550"/>
      <c r="AC385" s="550"/>
    </row>
    <row r="386" spans="1:68" x14ac:dyDescent="0.2">
      <c r="A386" s="557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59"/>
      <c r="P386" s="553" t="s">
        <v>75</v>
      </c>
      <c r="Q386" s="554"/>
      <c r="R386" s="554"/>
      <c r="S386" s="554"/>
      <c r="T386" s="554"/>
      <c r="U386" s="554"/>
      <c r="V386" s="555"/>
      <c r="W386" s="37" t="s">
        <v>69</v>
      </c>
      <c r="X386" s="549">
        <f>IFERROR(SUM(X382:X384),"0")</f>
        <v>2020</v>
      </c>
      <c r="Y386" s="549">
        <f>IFERROR(SUM(Y382:Y384),"0")</f>
        <v>2025</v>
      </c>
      <c r="Z386" s="37"/>
      <c r="AA386" s="550"/>
      <c r="AB386" s="550"/>
      <c r="AC386" s="550"/>
    </row>
    <row r="387" spans="1:68" ht="27.75" hidden="1" customHeight="1" x14ac:dyDescent="0.2">
      <c r="A387" s="563" t="s">
        <v>608</v>
      </c>
      <c r="B387" s="564"/>
      <c r="C387" s="564"/>
      <c r="D387" s="564"/>
      <c r="E387" s="564"/>
      <c r="F387" s="564"/>
      <c r="G387" s="564"/>
      <c r="H387" s="564"/>
      <c r="I387" s="564"/>
      <c r="J387" s="564"/>
      <c r="K387" s="564"/>
      <c r="L387" s="564"/>
      <c r="M387" s="564"/>
      <c r="N387" s="564"/>
      <c r="O387" s="564"/>
      <c r="P387" s="564"/>
      <c r="Q387" s="564"/>
      <c r="R387" s="564"/>
      <c r="S387" s="564"/>
      <c r="T387" s="564"/>
      <c r="U387" s="564"/>
      <c r="V387" s="564"/>
      <c r="W387" s="564"/>
      <c r="X387" s="564"/>
      <c r="Y387" s="564"/>
      <c r="Z387" s="564"/>
      <c r="AA387" s="48"/>
      <c r="AB387" s="48"/>
      <c r="AC387" s="48"/>
    </row>
    <row r="388" spans="1:68" ht="16.5" hidden="1" customHeight="1" x14ac:dyDescent="0.25">
      <c r="A388" s="574" t="s">
        <v>609</v>
      </c>
      <c r="B388" s="557"/>
      <c r="C388" s="557"/>
      <c r="D388" s="557"/>
      <c r="E388" s="557"/>
      <c r="F388" s="557"/>
      <c r="G388" s="557"/>
      <c r="H388" s="557"/>
      <c r="I388" s="557"/>
      <c r="J388" s="557"/>
      <c r="K388" s="557"/>
      <c r="L388" s="557"/>
      <c r="M388" s="557"/>
      <c r="N388" s="557"/>
      <c r="O388" s="557"/>
      <c r="P388" s="557"/>
      <c r="Q388" s="557"/>
      <c r="R388" s="557"/>
      <c r="S388" s="557"/>
      <c r="T388" s="557"/>
      <c r="U388" s="557"/>
      <c r="V388" s="557"/>
      <c r="W388" s="557"/>
      <c r="X388" s="557"/>
      <c r="Y388" s="557"/>
      <c r="Z388" s="557"/>
      <c r="AA388" s="542"/>
      <c r="AB388" s="542"/>
      <c r="AC388" s="542"/>
    </row>
    <row r="389" spans="1:68" ht="14.25" hidden="1" customHeight="1" x14ac:dyDescent="0.25">
      <c r="A389" s="556" t="s">
        <v>64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3"/>
      <c r="AB389" s="543"/>
      <c r="AC389" s="543"/>
    </row>
    <row r="390" spans="1:68" ht="27" customHeight="1" x14ac:dyDescent="0.25">
      <c r="A390" s="54" t="s">
        <v>610</v>
      </c>
      <c r="B390" s="54" t="s">
        <v>611</v>
      </c>
      <c r="C390" s="31">
        <v>4301031405</v>
      </c>
      <c r="D390" s="551">
        <v>4680115886100</v>
      </c>
      <c r="E390" s="552"/>
      <c r="F390" s="546">
        <v>0.9</v>
      </c>
      <c r="G390" s="32">
        <v>6</v>
      </c>
      <c r="H390" s="546">
        <v>5.4</v>
      </c>
      <c r="I390" s="546">
        <v>5.59</v>
      </c>
      <c r="J390" s="32">
        <v>132</v>
      </c>
      <c r="K390" s="32" t="s">
        <v>113</v>
      </c>
      <c r="L390" s="32" t="s">
        <v>116</v>
      </c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68"/>
      <c r="R390" s="568"/>
      <c r="S390" s="568"/>
      <c r="T390" s="569"/>
      <c r="U390" s="34"/>
      <c r="V390" s="34"/>
      <c r="W390" s="35" t="s">
        <v>69</v>
      </c>
      <c r="X390" s="547">
        <v>60</v>
      </c>
      <c r="Y390" s="548">
        <f t="shared" ref="Y390:Y398" si="41">IFERROR(IF(X390="",0,CEILING((X390/$H390),1)*$H390),"")</f>
        <v>64.800000000000011</v>
      </c>
      <c r="Z390" s="36">
        <f>IFERROR(IF(Y390=0,"",ROUNDUP(Y390/H390,0)*0.00902),"")</f>
        <v>0.10824</v>
      </c>
      <c r="AA390" s="56"/>
      <c r="AB390" s="57"/>
      <c r="AC390" s="437" t="s">
        <v>612</v>
      </c>
      <c r="AG390" s="64"/>
      <c r="AJ390" s="68" t="s">
        <v>93</v>
      </c>
      <c r="AK390" s="68">
        <v>64.8</v>
      </c>
      <c r="BB390" s="438" t="s">
        <v>1</v>
      </c>
      <c r="BM390" s="64">
        <f t="shared" ref="BM390:BM398" si="42">IFERROR(X390*I390/H390,"0")</f>
        <v>62.1111111111111</v>
      </c>
      <c r="BN390" s="64">
        <f t="shared" ref="BN390:BN398" si="43">IFERROR(Y390*I390/H390,"0")</f>
        <v>67.08</v>
      </c>
      <c r="BO390" s="64">
        <f t="shared" ref="BO390:BO398" si="44">IFERROR(1/J390*(X390/H390),"0")</f>
        <v>8.4175084175084181E-2</v>
      </c>
      <c r="BP390" s="64">
        <f t="shared" ref="BP390:BP398" si="45">IFERROR(1/J390*(Y390/H390),"0")</f>
        <v>9.0909090909090925E-2</v>
      </c>
    </row>
    <row r="391" spans="1:68" ht="27" hidden="1" customHeight="1" x14ac:dyDescent="0.25">
      <c r="A391" s="54" t="s">
        <v>613</v>
      </c>
      <c r="B391" s="54" t="s">
        <v>614</v>
      </c>
      <c r="C391" s="31">
        <v>4301031406</v>
      </c>
      <c r="D391" s="551">
        <v>4680115886117</v>
      </c>
      <c r="E391" s="552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113</v>
      </c>
      <c r="L391" s="32"/>
      <c r="M391" s="33" t="s">
        <v>68</v>
      </c>
      <c r="N391" s="33"/>
      <c r="O391" s="32">
        <v>50</v>
      </c>
      <c r="P391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68"/>
      <c r="R391" s="568"/>
      <c r="S391" s="568"/>
      <c r="T391" s="569"/>
      <c r="U391" s="34"/>
      <c r="V391" s="34"/>
      <c r="W391" s="35" t="s">
        <v>69</v>
      </c>
      <c r="X391" s="547">
        <v>0</v>
      </c>
      <c r="Y391" s="548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4301031402</v>
      </c>
      <c r="D392" s="551">
        <v>4680115886124</v>
      </c>
      <c r="E392" s="552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113</v>
      </c>
      <c r="L392" s="32" t="s">
        <v>116</v>
      </c>
      <c r="M392" s="33" t="s">
        <v>68</v>
      </c>
      <c r="N392" s="33"/>
      <c r="O392" s="32">
        <v>50</v>
      </c>
      <c r="P392" s="5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68"/>
      <c r="R392" s="568"/>
      <c r="S392" s="568"/>
      <c r="T392" s="569"/>
      <c r="U392" s="34"/>
      <c r="V392" s="34"/>
      <c r="W392" s="35" t="s">
        <v>69</v>
      </c>
      <c r="X392" s="547">
        <v>90</v>
      </c>
      <c r="Y392" s="548">
        <f t="shared" si="41"/>
        <v>91.800000000000011</v>
      </c>
      <c r="Z392" s="36">
        <f>IFERROR(IF(Y392=0,"",ROUNDUP(Y392/H392,0)*0.00902),"")</f>
        <v>0.15334</v>
      </c>
      <c r="AA392" s="56"/>
      <c r="AB392" s="57"/>
      <c r="AC392" s="441" t="s">
        <v>618</v>
      </c>
      <c r="AG392" s="64"/>
      <c r="AJ392" s="68" t="s">
        <v>93</v>
      </c>
      <c r="AK392" s="68">
        <v>64.8</v>
      </c>
      <c r="BB392" s="442" t="s">
        <v>1</v>
      </c>
      <c r="BM392" s="64">
        <f t="shared" si="42"/>
        <v>93.166666666666657</v>
      </c>
      <c r="BN392" s="64">
        <f t="shared" si="43"/>
        <v>95.03</v>
      </c>
      <c r="BO392" s="64">
        <f t="shared" si="44"/>
        <v>0.12626262626262624</v>
      </c>
      <c r="BP392" s="64">
        <f t="shared" si="45"/>
        <v>0.12878787878787878</v>
      </c>
    </row>
    <row r="393" spans="1:68" ht="27" hidden="1" customHeight="1" x14ac:dyDescent="0.25">
      <c r="A393" s="54" t="s">
        <v>619</v>
      </c>
      <c r="B393" s="54" t="s">
        <v>620</v>
      </c>
      <c r="C393" s="31">
        <v>4301031366</v>
      </c>
      <c r="D393" s="551">
        <v>4680115883147</v>
      </c>
      <c r="E393" s="552"/>
      <c r="F393" s="546">
        <v>0.28000000000000003</v>
      </c>
      <c r="G393" s="32">
        <v>6</v>
      </c>
      <c r="H393" s="546">
        <v>1.68</v>
      </c>
      <c r="I393" s="546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68"/>
      <c r="R393" s="568"/>
      <c r="S393" s="568"/>
      <c r="T393" s="569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621</v>
      </c>
      <c r="B394" s="54" t="s">
        <v>622</v>
      </c>
      <c r="C394" s="31">
        <v>4301031362</v>
      </c>
      <c r="D394" s="551">
        <v>4607091384338</v>
      </c>
      <c r="E394" s="552"/>
      <c r="F394" s="546">
        <v>0.35</v>
      </c>
      <c r="G394" s="32">
        <v>6</v>
      </c>
      <c r="H394" s="546">
        <v>2.1</v>
      </c>
      <c r="I394" s="546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68"/>
      <c r="R394" s="568"/>
      <c r="S394" s="568"/>
      <c r="T394" s="569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si="46"/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623</v>
      </c>
      <c r="B395" s="54" t="s">
        <v>624</v>
      </c>
      <c r="C395" s="31">
        <v>4301031361</v>
      </c>
      <c r="D395" s="551">
        <v>4607091389524</v>
      </c>
      <c r="E395" s="552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68"/>
      <c r="R395" s="568"/>
      <c r="S395" s="568"/>
      <c r="T395" s="569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626</v>
      </c>
      <c r="B396" s="54" t="s">
        <v>627</v>
      </c>
      <c r="C396" s="31">
        <v>4301031364</v>
      </c>
      <c r="D396" s="551">
        <v>4680115883161</v>
      </c>
      <c r="E396" s="552"/>
      <c r="F396" s="546">
        <v>0.28000000000000003</v>
      </c>
      <c r="G396" s="32">
        <v>6</v>
      </c>
      <c r="H396" s="546">
        <v>1.68</v>
      </c>
      <c r="I396" s="546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68"/>
      <c r="R396" s="568"/>
      <c r="S396" s="568"/>
      <c r="T396" s="569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629</v>
      </c>
      <c r="B397" s="54" t="s">
        <v>630</v>
      </c>
      <c r="C397" s="31">
        <v>4301031358</v>
      </c>
      <c r="D397" s="551">
        <v>4607091389531</v>
      </c>
      <c r="E397" s="552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6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68"/>
      <c r="R397" s="568"/>
      <c r="S397" s="568"/>
      <c r="T397" s="569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631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632</v>
      </c>
      <c r="B398" s="54" t="s">
        <v>633</v>
      </c>
      <c r="C398" s="31">
        <v>4301031360</v>
      </c>
      <c r="D398" s="551">
        <v>4607091384345</v>
      </c>
      <c r="E398" s="552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68"/>
      <c r="R398" s="568"/>
      <c r="S398" s="568"/>
      <c r="T398" s="569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628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x14ac:dyDescent="0.2">
      <c r="A399" s="558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9"/>
      <c r="P399" s="553" t="s">
        <v>75</v>
      </c>
      <c r="Q399" s="554"/>
      <c r="R399" s="554"/>
      <c r="S399" s="554"/>
      <c r="T399" s="554"/>
      <c r="U399" s="554"/>
      <c r="V399" s="555"/>
      <c r="W399" s="37" t="s">
        <v>76</v>
      </c>
      <c r="X399" s="549">
        <f>IFERROR(X390/H390,"0")+IFERROR(X391/H391,"0")+IFERROR(X392/H392,"0")+IFERROR(X393/H393,"0")+IFERROR(X394/H394,"0")+IFERROR(X395/H395,"0")+IFERROR(X396/H396,"0")+IFERROR(X397/H397,"0")+IFERROR(X398/H398,"0")</f>
        <v>27.777777777777775</v>
      </c>
      <c r="Y399" s="549">
        <f>IFERROR(Y390/H390,"0")+IFERROR(Y391/H391,"0")+IFERROR(Y392/H392,"0")+IFERROR(Y393/H393,"0")+IFERROR(Y394/H394,"0")+IFERROR(Y395/H395,"0")+IFERROR(Y396/H396,"0")+IFERROR(Y397/H397,"0")+IFERROR(Y398/H398,"0")</f>
        <v>29</v>
      </c>
      <c r="Z399" s="549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0.26158000000000003</v>
      </c>
      <c r="AA399" s="550"/>
      <c r="AB399" s="550"/>
      <c r="AC399" s="550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9"/>
      <c r="P400" s="553" t="s">
        <v>75</v>
      </c>
      <c r="Q400" s="554"/>
      <c r="R400" s="554"/>
      <c r="S400" s="554"/>
      <c r="T400" s="554"/>
      <c r="U400" s="554"/>
      <c r="V400" s="555"/>
      <c r="W400" s="37" t="s">
        <v>69</v>
      </c>
      <c r="X400" s="549">
        <f>IFERROR(SUM(X390:X398),"0")</f>
        <v>150</v>
      </c>
      <c r="Y400" s="549">
        <f>IFERROR(SUM(Y390:Y398),"0")</f>
        <v>156.60000000000002</v>
      </c>
      <c r="Z400" s="37"/>
      <c r="AA400" s="550"/>
      <c r="AB400" s="550"/>
      <c r="AC400" s="550"/>
    </row>
    <row r="401" spans="1:68" ht="14.25" hidden="1" customHeight="1" x14ac:dyDescent="0.25">
      <c r="A401" s="556" t="s">
        <v>77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43"/>
      <c r="AB401" s="543"/>
      <c r="AC401" s="543"/>
    </row>
    <row r="402" spans="1:68" ht="27" hidden="1" customHeight="1" x14ac:dyDescent="0.25">
      <c r="A402" s="54" t="s">
        <v>634</v>
      </c>
      <c r="B402" s="54" t="s">
        <v>635</v>
      </c>
      <c r="C402" s="31">
        <v>4301051284</v>
      </c>
      <c r="D402" s="551">
        <v>4607091384352</v>
      </c>
      <c r="E402" s="552"/>
      <c r="F402" s="546">
        <v>0.6</v>
      </c>
      <c r="G402" s="32">
        <v>4</v>
      </c>
      <c r="H402" s="546">
        <v>2.4</v>
      </c>
      <c r="I402" s="546">
        <v>2.6259999999999999</v>
      </c>
      <c r="J402" s="32">
        <v>132</v>
      </c>
      <c r="K402" s="32" t="s">
        <v>113</v>
      </c>
      <c r="L402" s="32" t="s">
        <v>116</v>
      </c>
      <c r="M402" s="33" t="s">
        <v>80</v>
      </c>
      <c r="N402" s="33"/>
      <c r="O402" s="32">
        <v>45</v>
      </c>
      <c r="P402" s="62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68"/>
      <c r="R402" s="568"/>
      <c r="S402" s="568"/>
      <c r="T402" s="569"/>
      <c r="U402" s="34"/>
      <c r="V402" s="34"/>
      <c r="W402" s="35" t="s">
        <v>69</v>
      </c>
      <c r="X402" s="547">
        <v>0</v>
      </c>
      <c r="Y402" s="548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636</v>
      </c>
      <c r="AG402" s="64"/>
      <c r="AJ402" s="68" t="s">
        <v>93</v>
      </c>
      <c r="AK402" s="68">
        <v>28.8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637</v>
      </c>
      <c r="B403" s="54" t="s">
        <v>638</v>
      </c>
      <c r="C403" s="31">
        <v>4301051431</v>
      </c>
      <c r="D403" s="551">
        <v>4607091389654</v>
      </c>
      <c r="E403" s="552"/>
      <c r="F403" s="546">
        <v>0.33</v>
      </c>
      <c r="G403" s="32">
        <v>6</v>
      </c>
      <c r="H403" s="546">
        <v>1.98</v>
      </c>
      <c r="I403" s="546">
        <v>2.238</v>
      </c>
      <c r="J403" s="32">
        <v>182</v>
      </c>
      <c r="K403" s="32" t="s">
        <v>67</v>
      </c>
      <c r="L403" s="32" t="s">
        <v>91</v>
      </c>
      <c r="M403" s="33" t="s">
        <v>80</v>
      </c>
      <c r="N403" s="33"/>
      <c r="O403" s="32">
        <v>45</v>
      </c>
      <c r="P403" s="6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68"/>
      <c r="R403" s="568"/>
      <c r="S403" s="568"/>
      <c r="T403" s="569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639</v>
      </c>
      <c r="AG403" s="64"/>
      <c r="AJ403" s="68" t="s">
        <v>93</v>
      </c>
      <c r="AK403" s="68">
        <v>27.72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9"/>
      <c r="P404" s="553" t="s">
        <v>75</v>
      </c>
      <c r="Q404" s="554"/>
      <c r="R404" s="554"/>
      <c r="S404" s="554"/>
      <c r="T404" s="554"/>
      <c r="U404" s="554"/>
      <c r="V404" s="555"/>
      <c r="W404" s="37" t="s">
        <v>76</v>
      </c>
      <c r="X404" s="549">
        <f>IFERROR(X402/H402,"0")+IFERROR(X403/H403,"0")</f>
        <v>0</v>
      </c>
      <c r="Y404" s="549">
        <f>IFERROR(Y402/H402,"0")+IFERROR(Y403/H403,"0")</f>
        <v>0</v>
      </c>
      <c r="Z404" s="549">
        <f>IFERROR(IF(Z402="",0,Z402),"0")+IFERROR(IF(Z403="",0,Z403),"0")</f>
        <v>0</v>
      </c>
      <c r="AA404" s="550"/>
      <c r="AB404" s="550"/>
      <c r="AC404" s="550"/>
    </row>
    <row r="405" spans="1:68" hidden="1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9"/>
      <c r="P405" s="553" t="s">
        <v>75</v>
      </c>
      <c r="Q405" s="554"/>
      <c r="R405" s="554"/>
      <c r="S405" s="554"/>
      <c r="T405" s="554"/>
      <c r="U405" s="554"/>
      <c r="V405" s="555"/>
      <c r="W405" s="37" t="s">
        <v>69</v>
      </c>
      <c r="X405" s="549">
        <f>IFERROR(SUM(X402:X403),"0")</f>
        <v>0</v>
      </c>
      <c r="Y405" s="549">
        <f>IFERROR(SUM(Y402:Y403),"0")</f>
        <v>0</v>
      </c>
      <c r="Z405" s="37"/>
      <c r="AA405" s="550"/>
      <c r="AB405" s="550"/>
      <c r="AC405" s="550"/>
    </row>
    <row r="406" spans="1:68" ht="16.5" hidden="1" customHeight="1" x14ac:dyDescent="0.25">
      <c r="A406" s="574" t="s">
        <v>640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42"/>
      <c r="AB406" s="542"/>
      <c r="AC406" s="542"/>
    </row>
    <row r="407" spans="1:68" ht="14.25" hidden="1" customHeight="1" x14ac:dyDescent="0.25">
      <c r="A407" s="556" t="s">
        <v>139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3"/>
      <c r="AB407" s="543"/>
      <c r="AC407" s="543"/>
    </row>
    <row r="408" spans="1:68" ht="27" hidden="1" customHeight="1" x14ac:dyDescent="0.25">
      <c r="A408" s="54" t="s">
        <v>641</v>
      </c>
      <c r="B408" s="54" t="s">
        <v>642</v>
      </c>
      <c r="C408" s="31">
        <v>4301020319</v>
      </c>
      <c r="D408" s="551">
        <v>4680115885240</v>
      </c>
      <c r="E408" s="552"/>
      <c r="F408" s="546">
        <v>0.35</v>
      </c>
      <c r="G408" s="32">
        <v>6</v>
      </c>
      <c r="H408" s="546">
        <v>2.1</v>
      </c>
      <c r="I408" s="546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81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68"/>
      <c r="R408" s="568"/>
      <c r="S408" s="568"/>
      <c r="T408" s="569"/>
      <c r="U408" s="34"/>
      <c r="V408" s="34"/>
      <c r="W408" s="35" t="s">
        <v>69</v>
      </c>
      <c r="X408" s="547">
        <v>0</v>
      </c>
      <c r="Y408" s="548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643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58"/>
      <c r="B409" s="557"/>
      <c r="C409" s="557"/>
      <c r="D409" s="557"/>
      <c r="E409" s="557"/>
      <c r="F409" s="557"/>
      <c r="G409" s="557"/>
      <c r="H409" s="557"/>
      <c r="I409" s="557"/>
      <c r="J409" s="557"/>
      <c r="K409" s="557"/>
      <c r="L409" s="557"/>
      <c r="M409" s="557"/>
      <c r="N409" s="557"/>
      <c r="O409" s="559"/>
      <c r="P409" s="553" t="s">
        <v>75</v>
      </c>
      <c r="Q409" s="554"/>
      <c r="R409" s="554"/>
      <c r="S409" s="554"/>
      <c r="T409" s="554"/>
      <c r="U409" s="554"/>
      <c r="V409" s="555"/>
      <c r="W409" s="37" t="s">
        <v>76</v>
      </c>
      <c r="X409" s="549">
        <f>IFERROR(X408/H408,"0")</f>
        <v>0</v>
      </c>
      <c r="Y409" s="549">
        <f>IFERROR(Y408/H408,"0")</f>
        <v>0</v>
      </c>
      <c r="Z409" s="549">
        <f>IFERROR(IF(Z408="",0,Z408),"0")</f>
        <v>0</v>
      </c>
      <c r="AA409" s="550"/>
      <c r="AB409" s="550"/>
      <c r="AC409" s="550"/>
    </row>
    <row r="410" spans="1:68" hidden="1" x14ac:dyDescent="0.2">
      <c r="A410" s="557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59"/>
      <c r="P410" s="553" t="s">
        <v>75</v>
      </c>
      <c r="Q410" s="554"/>
      <c r="R410" s="554"/>
      <c r="S410" s="554"/>
      <c r="T410" s="554"/>
      <c r="U410" s="554"/>
      <c r="V410" s="555"/>
      <c r="W410" s="37" t="s">
        <v>69</v>
      </c>
      <c r="X410" s="549">
        <f>IFERROR(SUM(X408:X408),"0")</f>
        <v>0</v>
      </c>
      <c r="Y410" s="549">
        <f>IFERROR(SUM(Y408:Y408),"0")</f>
        <v>0</v>
      </c>
      <c r="Z410" s="37"/>
      <c r="AA410" s="550"/>
      <c r="AB410" s="550"/>
      <c r="AC410" s="550"/>
    </row>
    <row r="411" spans="1:68" ht="14.25" hidden="1" customHeight="1" x14ac:dyDescent="0.25">
      <c r="A411" s="556" t="s">
        <v>64</v>
      </c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7"/>
      <c r="P411" s="557"/>
      <c r="Q411" s="557"/>
      <c r="R411" s="557"/>
      <c r="S411" s="557"/>
      <c r="T411" s="557"/>
      <c r="U411" s="557"/>
      <c r="V411" s="557"/>
      <c r="W411" s="557"/>
      <c r="X411" s="557"/>
      <c r="Y411" s="557"/>
      <c r="Z411" s="557"/>
      <c r="AA411" s="543"/>
      <c r="AB411" s="543"/>
      <c r="AC411" s="543"/>
    </row>
    <row r="412" spans="1:68" ht="27" customHeight="1" x14ac:dyDescent="0.25">
      <c r="A412" s="54" t="s">
        <v>644</v>
      </c>
      <c r="B412" s="54" t="s">
        <v>645</v>
      </c>
      <c r="C412" s="31">
        <v>4301031403</v>
      </c>
      <c r="D412" s="551">
        <v>4680115886094</v>
      </c>
      <c r="E412" s="552"/>
      <c r="F412" s="546">
        <v>0.9</v>
      </c>
      <c r="G412" s="32">
        <v>6</v>
      </c>
      <c r="H412" s="546">
        <v>5.4</v>
      </c>
      <c r="I412" s="546">
        <v>5.59</v>
      </c>
      <c r="J412" s="32">
        <v>132</v>
      </c>
      <c r="K412" s="32" t="s">
        <v>113</v>
      </c>
      <c r="L412" s="32" t="s">
        <v>116</v>
      </c>
      <c r="M412" s="33" t="s">
        <v>109</v>
      </c>
      <c r="N412" s="33"/>
      <c r="O412" s="32">
        <v>50</v>
      </c>
      <c r="P412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68"/>
      <c r="R412" s="568"/>
      <c r="S412" s="568"/>
      <c r="T412" s="569"/>
      <c r="U412" s="34"/>
      <c r="V412" s="34"/>
      <c r="W412" s="35" t="s">
        <v>69</v>
      </c>
      <c r="X412" s="547">
        <v>190</v>
      </c>
      <c r="Y412" s="548">
        <f>IFERROR(IF(X412="",0,CEILING((X412/$H412),1)*$H412),"")</f>
        <v>194.4</v>
      </c>
      <c r="Z412" s="36">
        <f>IFERROR(IF(Y412=0,"",ROUNDUP(Y412/H412,0)*0.00902),"")</f>
        <v>0.32472000000000001</v>
      </c>
      <c r="AA412" s="56"/>
      <c r="AB412" s="57"/>
      <c r="AC412" s="461" t="s">
        <v>646</v>
      </c>
      <c r="AG412" s="64"/>
      <c r="AJ412" s="68" t="s">
        <v>93</v>
      </c>
      <c r="AK412" s="68">
        <v>64.8</v>
      </c>
      <c r="BB412" s="462" t="s">
        <v>1</v>
      </c>
      <c r="BM412" s="64">
        <f>IFERROR(X412*I412/H412,"0")</f>
        <v>196.68518518518516</v>
      </c>
      <c r="BN412" s="64">
        <f>IFERROR(Y412*I412/H412,"0")</f>
        <v>201.23999999999998</v>
      </c>
      <c r="BO412" s="64">
        <f>IFERROR(1/J412*(X412/H412),"0")</f>
        <v>0.2665544332210999</v>
      </c>
      <c r="BP412" s="64">
        <f>IFERROR(1/J412*(Y412/H412),"0")</f>
        <v>0.27272727272727271</v>
      </c>
    </row>
    <row r="413" spans="1:68" ht="27" hidden="1" customHeight="1" x14ac:dyDescent="0.25">
      <c r="A413" s="54" t="s">
        <v>647</v>
      </c>
      <c r="B413" s="54" t="s">
        <v>648</v>
      </c>
      <c r="C413" s="31">
        <v>4301031363</v>
      </c>
      <c r="D413" s="551">
        <v>4607091389425</v>
      </c>
      <c r="E413" s="552"/>
      <c r="F413" s="546">
        <v>0.35</v>
      </c>
      <c r="G413" s="32">
        <v>6</v>
      </c>
      <c r="H413" s="546">
        <v>2.1</v>
      </c>
      <c r="I413" s="546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68"/>
      <c r="R413" s="568"/>
      <c r="S413" s="568"/>
      <c r="T413" s="569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650</v>
      </c>
      <c r="B414" s="54" t="s">
        <v>651</v>
      </c>
      <c r="C414" s="31">
        <v>4301031373</v>
      </c>
      <c r="D414" s="551">
        <v>4680115880771</v>
      </c>
      <c r="E414" s="552"/>
      <c r="F414" s="546">
        <v>0.28000000000000003</v>
      </c>
      <c r="G414" s="32">
        <v>6</v>
      </c>
      <c r="H414" s="546">
        <v>1.68</v>
      </c>
      <c r="I414" s="546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68"/>
      <c r="R414" s="568"/>
      <c r="S414" s="568"/>
      <c r="T414" s="569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652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653</v>
      </c>
      <c r="B415" s="54" t="s">
        <v>654</v>
      </c>
      <c r="C415" s="31">
        <v>4301031359</v>
      </c>
      <c r="D415" s="551">
        <v>4607091389500</v>
      </c>
      <c r="E415" s="552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68"/>
      <c r="R415" s="568"/>
      <c r="S415" s="568"/>
      <c r="T415" s="569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8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9"/>
      <c r="P416" s="553" t="s">
        <v>75</v>
      </c>
      <c r="Q416" s="554"/>
      <c r="R416" s="554"/>
      <c r="S416" s="554"/>
      <c r="T416" s="554"/>
      <c r="U416" s="554"/>
      <c r="V416" s="555"/>
      <c r="W416" s="37" t="s">
        <v>76</v>
      </c>
      <c r="X416" s="549">
        <f>IFERROR(X412/H412,"0")+IFERROR(X413/H413,"0")+IFERROR(X414/H414,"0")+IFERROR(X415/H415,"0")</f>
        <v>35.185185185185183</v>
      </c>
      <c r="Y416" s="549">
        <f>IFERROR(Y412/H412,"0")+IFERROR(Y413/H413,"0")+IFERROR(Y414/H414,"0")+IFERROR(Y415/H415,"0")</f>
        <v>36</v>
      </c>
      <c r="Z416" s="549">
        <f>IFERROR(IF(Z412="",0,Z412),"0")+IFERROR(IF(Z413="",0,Z413),"0")+IFERROR(IF(Z414="",0,Z414),"0")+IFERROR(IF(Z415="",0,Z415),"0")</f>
        <v>0.32472000000000001</v>
      </c>
      <c r="AA416" s="550"/>
      <c r="AB416" s="550"/>
      <c r="AC416" s="550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9"/>
      <c r="P417" s="553" t="s">
        <v>75</v>
      </c>
      <c r="Q417" s="554"/>
      <c r="R417" s="554"/>
      <c r="S417" s="554"/>
      <c r="T417" s="554"/>
      <c r="U417" s="554"/>
      <c r="V417" s="555"/>
      <c r="W417" s="37" t="s">
        <v>69</v>
      </c>
      <c r="X417" s="549">
        <f>IFERROR(SUM(X412:X415),"0")</f>
        <v>190</v>
      </c>
      <c r="Y417" s="549">
        <f>IFERROR(SUM(Y412:Y415),"0")</f>
        <v>194.4</v>
      </c>
      <c r="Z417" s="37"/>
      <c r="AA417" s="550"/>
      <c r="AB417" s="550"/>
      <c r="AC417" s="550"/>
    </row>
    <row r="418" spans="1:68" ht="16.5" hidden="1" customHeight="1" x14ac:dyDescent="0.25">
      <c r="A418" s="574" t="s">
        <v>655</v>
      </c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57"/>
      <c r="P418" s="557"/>
      <c r="Q418" s="557"/>
      <c r="R418" s="557"/>
      <c r="S418" s="557"/>
      <c r="T418" s="557"/>
      <c r="U418" s="557"/>
      <c r="V418" s="557"/>
      <c r="W418" s="557"/>
      <c r="X418" s="557"/>
      <c r="Y418" s="557"/>
      <c r="Z418" s="557"/>
      <c r="AA418" s="542"/>
      <c r="AB418" s="542"/>
      <c r="AC418" s="542"/>
    </row>
    <row r="419" spans="1:68" ht="14.25" hidden="1" customHeight="1" x14ac:dyDescent="0.25">
      <c r="A419" s="556" t="s">
        <v>64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3"/>
      <c r="AB419" s="543"/>
      <c r="AC419" s="543"/>
    </row>
    <row r="420" spans="1:68" ht="27" hidden="1" customHeight="1" x14ac:dyDescent="0.25">
      <c r="A420" s="54" t="s">
        <v>656</v>
      </c>
      <c r="B420" s="54" t="s">
        <v>657</v>
      </c>
      <c r="C420" s="31">
        <v>4301031347</v>
      </c>
      <c r="D420" s="551">
        <v>4680115885110</v>
      </c>
      <c r="E420" s="552"/>
      <c r="F420" s="546">
        <v>0.2</v>
      </c>
      <c r="G420" s="32">
        <v>6</v>
      </c>
      <c r="H420" s="546">
        <v>1.2</v>
      </c>
      <c r="I420" s="546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8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68"/>
      <c r="R420" s="568"/>
      <c r="S420" s="568"/>
      <c r="T420" s="569"/>
      <c r="U420" s="34"/>
      <c r="V420" s="34"/>
      <c r="W420" s="35" t="s">
        <v>69</v>
      </c>
      <c r="X420" s="547">
        <v>0</v>
      </c>
      <c r="Y420" s="548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658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58"/>
      <c r="B421" s="557"/>
      <c r="C421" s="557"/>
      <c r="D421" s="557"/>
      <c r="E421" s="557"/>
      <c r="F421" s="557"/>
      <c r="G421" s="557"/>
      <c r="H421" s="557"/>
      <c r="I421" s="557"/>
      <c r="J421" s="557"/>
      <c r="K421" s="557"/>
      <c r="L421" s="557"/>
      <c r="M421" s="557"/>
      <c r="N421" s="557"/>
      <c r="O421" s="559"/>
      <c r="P421" s="553" t="s">
        <v>75</v>
      </c>
      <c r="Q421" s="554"/>
      <c r="R421" s="554"/>
      <c r="S421" s="554"/>
      <c r="T421" s="554"/>
      <c r="U421" s="554"/>
      <c r="V421" s="555"/>
      <c r="W421" s="37" t="s">
        <v>76</v>
      </c>
      <c r="X421" s="549">
        <f>IFERROR(X420/H420,"0")</f>
        <v>0</v>
      </c>
      <c r="Y421" s="549">
        <f>IFERROR(Y420/H420,"0")</f>
        <v>0</v>
      </c>
      <c r="Z421" s="549">
        <f>IFERROR(IF(Z420="",0,Z420),"0")</f>
        <v>0</v>
      </c>
      <c r="AA421" s="550"/>
      <c r="AB421" s="550"/>
      <c r="AC421" s="550"/>
    </row>
    <row r="422" spans="1:68" hidden="1" x14ac:dyDescent="0.2">
      <c r="A422" s="557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59"/>
      <c r="P422" s="553" t="s">
        <v>75</v>
      </c>
      <c r="Q422" s="554"/>
      <c r="R422" s="554"/>
      <c r="S422" s="554"/>
      <c r="T422" s="554"/>
      <c r="U422" s="554"/>
      <c r="V422" s="555"/>
      <c r="W422" s="37" t="s">
        <v>69</v>
      </c>
      <c r="X422" s="549">
        <f>IFERROR(SUM(X420:X420),"0")</f>
        <v>0</v>
      </c>
      <c r="Y422" s="549">
        <f>IFERROR(SUM(Y420:Y420),"0")</f>
        <v>0</v>
      </c>
      <c r="Z422" s="37"/>
      <c r="AA422" s="550"/>
      <c r="AB422" s="550"/>
      <c r="AC422" s="550"/>
    </row>
    <row r="423" spans="1:68" ht="27.75" hidden="1" customHeight="1" x14ac:dyDescent="0.2">
      <c r="A423" s="563" t="s">
        <v>659</v>
      </c>
      <c r="B423" s="564"/>
      <c r="C423" s="564"/>
      <c r="D423" s="564"/>
      <c r="E423" s="564"/>
      <c r="F423" s="564"/>
      <c r="G423" s="564"/>
      <c r="H423" s="564"/>
      <c r="I423" s="564"/>
      <c r="J423" s="564"/>
      <c r="K423" s="564"/>
      <c r="L423" s="564"/>
      <c r="M423" s="564"/>
      <c r="N423" s="564"/>
      <c r="O423" s="564"/>
      <c r="P423" s="564"/>
      <c r="Q423" s="564"/>
      <c r="R423" s="564"/>
      <c r="S423" s="564"/>
      <c r="T423" s="564"/>
      <c r="U423" s="564"/>
      <c r="V423" s="564"/>
      <c r="W423" s="564"/>
      <c r="X423" s="564"/>
      <c r="Y423" s="564"/>
      <c r="Z423" s="564"/>
      <c r="AA423" s="48"/>
      <c r="AB423" s="48"/>
      <c r="AC423" s="48"/>
    </row>
    <row r="424" spans="1:68" ht="16.5" hidden="1" customHeight="1" x14ac:dyDescent="0.25">
      <c r="A424" s="574" t="s">
        <v>659</v>
      </c>
      <c r="B424" s="557"/>
      <c r="C424" s="557"/>
      <c r="D424" s="557"/>
      <c r="E424" s="557"/>
      <c r="F424" s="557"/>
      <c r="G424" s="557"/>
      <c r="H424" s="557"/>
      <c r="I424" s="557"/>
      <c r="J424" s="557"/>
      <c r="K424" s="557"/>
      <c r="L424" s="557"/>
      <c r="M424" s="557"/>
      <c r="N424" s="557"/>
      <c r="O424" s="557"/>
      <c r="P424" s="557"/>
      <c r="Q424" s="557"/>
      <c r="R424" s="557"/>
      <c r="S424" s="557"/>
      <c r="T424" s="557"/>
      <c r="U424" s="557"/>
      <c r="V424" s="557"/>
      <c r="W424" s="557"/>
      <c r="X424" s="557"/>
      <c r="Y424" s="557"/>
      <c r="Z424" s="557"/>
      <c r="AA424" s="542"/>
      <c r="AB424" s="542"/>
      <c r="AC424" s="542"/>
    </row>
    <row r="425" spans="1:68" ht="14.25" hidden="1" customHeight="1" x14ac:dyDescent="0.25">
      <c r="A425" s="556" t="s">
        <v>104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3"/>
      <c r="AB425" s="543"/>
      <c r="AC425" s="543"/>
    </row>
    <row r="426" spans="1:68" ht="27" customHeight="1" x14ac:dyDescent="0.25">
      <c r="A426" s="54" t="s">
        <v>660</v>
      </c>
      <c r="B426" s="54" t="s">
        <v>661</v>
      </c>
      <c r="C426" s="31">
        <v>4301011795</v>
      </c>
      <c r="D426" s="551">
        <v>4607091389067</v>
      </c>
      <c r="E426" s="552"/>
      <c r="F426" s="546">
        <v>0.88</v>
      </c>
      <c r="G426" s="32">
        <v>6</v>
      </c>
      <c r="H426" s="546">
        <v>5.28</v>
      </c>
      <c r="I426" s="546">
        <v>5.63</v>
      </c>
      <c r="J426" s="32">
        <v>104</v>
      </c>
      <c r="K426" s="32" t="s">
        <v>107</v>
      </c>
      <c r="L426" s="32" t="s">
        <v>108</v>
      </c>
      <c r="M426" s="33" t="s">
        <v>109</v>
      </c>
      <c r="N426" s="33"/>
      <c r="O426" s="32">
        <v>60</v>
      </c>
      <c r="P426" s="6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68"/>
      <c r="R426" s="568"/>
      <c r="S426" s="568"/>
      <c r="T426" s="569"/>
      <c r="U426" s="34"/>
      <c r="V426" s="34"/>
      <c r="W426" s="35" t="s">
        <v>69</v>
      </c>
      <c r="X426" s="547">
        <v>100</v>
      </c>
      <c r="Y426" s="548">
        <f t="shared" ref="Y426:Y437" si="47">IFERROR(IF(X426="",0,CEILING((X426/$H426),1)*$H426),"")</f>
        <v>100.32000000000001</v>
      </c>
      <c r="Z426" s="36">
        <f t="shared" ref="Z426:Z432" si="48">IFERROR(IF(Y426=0,"",ROUNDUP(Y426/H426,0)*0.01196),"")</f>
        <v>0.22724</v>
      </c>
      <c r="AA426" s="56"/>
      <c r="AB426" s="57"/>
      <c r="AC426" s="471" t="s">
        <v>110</v>
      </c>
      <c r="AG426" s="64"/>
      <c r="AJ426" s="68" t="s">
        <v>93</v>
      </c>
      <c r="AK426" s="68">
        <v>42.24</v>
      </c>
      <c r="BB426" s="472" t="s">
        <v>1</v>
      </c>
      <c r="BM426" s="64">
        <f t="shared" ref="BM426:BM437" si="49">IFERROR(X426*I426/H426,"0")</f>
        <v>106.62878787878788</v>
      </c>
      <c r="BN426" s="64">
        <f t="shared" ref="BN426:BN437" si="50">IFERROR(Y426*I426/H426,"0")</f>
        <v>106.97</v>
      </c>
      <c r="BO426" s="64">
        <f t="shared" ref="BO426:BO437" si="51">IFERROR(1/J426*(X426/H426),"0")</f>
        <v>0.18210955710955709</v>
      </c>
      <c r="BP426" s="64">
        <f t="shared" ref="BP426:BP437" si="52">IFERROR(1/J426*(Y426/H426),"0")</f>
        <v>0.18269230769230771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4301012210</v>
      </c>
      <c r="D427" s="551">
        <v>4607091383522</v>
      </c>
      <c r="E427" s="552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107</v>
      </c>
      <c r="L427" s="32"/>
      <c r="M427" s="33" t="s">
        <v>109</v>
      </c>
      <c r="N427" s="33"/>
      <c r="O427" s="32">
        <v>60</v>
      </c>
      <c r="P427" s="806" t="s">
        <v>664</v>
      </c>
      <c r="Q427" s="568"/>
      <c r="R427" s="568"/>
      <c r="S427" s="568"/>
      <c r="T427" s="569"/>
      <c r="U427" s="34"/>
      <c r="V427" s="34"/>
      <c r="W427" s="35" t="s">
        <v>69</v>
      </c>
      <c r="X427" s="547">
        <v>0</v>
      </c>
      <c r="Y427" s="548">
        <f t="shared" si="47"/>
        <v>0</v>
      </c>
      <c r="Z427" s="36" t="str">
        <f t="shared" si="48"/>
        <v/>
      </c>
      <c r="AA427" s="56"/>
      <c r="AB427" s="57"/>
      <c r="AC427" s="473" t="s">
        <v>665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666</v>
      </c>
      <c r="C428" s="31">
        <v>4301012145</v>
      </c>
      <c r="D428" s="551">
        <v>4607091383522</v>
      </c>
      <c r="E428" s="552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107</v>
      </c>
      <c r="L428" s="32"/>
      <c r="M428" s="33" t="s">
        <v>109</v>
      </c>
      <c r="N428" s="33"/>
      <c r="O428" s="32">
        <v>60</v>
      </c>
      <c r="P428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68"/>
      <c r="R428" s="568"/>
      <c r="S428" s="568"/>
      <c r="T428" s="569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665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4301011961</v>
      </c>
      <c r="D429" s="551">
        <v>4680115885271</v>
      </c>
      <c r="E429" s="552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107</v>
      </c>
      <c r="L429" s="32" t="s">
        <v>108</v>
      </c>
      <c r="M429" s="33" t="s">
        <v>109</v>
      </c>
      <c r="N429" s="33"/>
      <c r="O429" s="32">
        <v>60</v>
      </c>
      <c r="P429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68"/>
      <c r="R429" s="568"/>
      <c r="S429" s="568"/>
      <c r="T429" s="569"/>
      <c r="U429" s="34"/>
      <c r="V429" s="34"/>
      <c r="W429" s="35" t="s">
        <v>69</v>
      </c>
      <c r="X429" s="547">
        <v>75</v>
      </c>
      <c r="Y429" s="548">
        <f t="shared" si="47"/>
        <v>79.2</v>
      </c>
      <c r="Z429" s="36">
        <f t="shared" si="48"/>
        <v>0.1794</v>
      </c>
      <c r="AA429" s="56"/>
      <c r="AB429" s="57"/>
      <c r="AC429" s="477" t="s">
        <v>669</v>
      </c>
      <c r="AG429" s="64"/>
      <c r="AJ429" s="68" t="s">
        <v>93</v>
      </c>
      <c r="AK429" s="68">
        <v>42.24</v>
      </c>
      <c r="BB429" s="478" t="s">
        <v>1</v>
      </c>
      <c r="BM429" s="64">
        <f t="shared" si="49"/>
        <v>79.971590909090907</v>
      </c>
      <c r="BN429" s="64">
        <f t="shared" si="50"/>
        <v>84.45</v>
      </c>
      <c r="BO429" s="64">
        <f t="shared" si="51"/>
        <v>0.13658216783216784</v>
      </c>
      <c r="BP429" s="64">
        <f t="shared" si="52"/>
        <v>0.14423076923076925</v>
      </c>
    </row>
    <row r="430" spans="1:68" ht="27" customHeight="1" x14ac:dyDescent="0.25">
      <c r="A430" s="54" t="s">
        <v>670</v>
      </c>
      <c r="B430" s="54" t="s">
        <v>671</v>
      </c>
      <c r="C430" s="31">
        <v>4301011376</v>
      </c>
      <c r="D430" s="551">
        <v>4680115885226</v>
      </c>
      <c r="E430" s="552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107</v>
      </c>
      <c r="L430" s="32" t="s">
        <v>108</v>
      </c>
      <c r="M430" s="33" t="s">
        <v>80</v>
      </c>
      <c r="N430" s="33"/>
      <c r="O430" s="32">
        <v>60</v>
      </c>
      <c r="P430" s="84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68"/>
      <c r="R430" s="568"/>
      <c r="S430" s="568"/>
      <c r="T430" s="569"/>
      <c r="U430" s="34"/>
      <c r="V430" s="34"/>
      <c r="W430" s="35" t="s">
        <v>69</v>
      </c>
      <c r="X430" s="547">
        <v>330</v>
      </c>
      <c r="Y430" s="548">
        <f t="shared" si="47"/>
        <v>332.64000000000004</v>
      </c>
      <c r="Z430" s="36">
        <f t="shared" si="48"/>
        <v>0.75348000000000004</v>
      </c>
      <c r="AA430" s="56"/>
      <c r="AB430" s="57"/>
      <c r="AC430" s="479" t="s">
        <v>672</v>
      </c>
      <c r="AG430" s="64"/>
      <c r="AJ430" s="68" t="s">
        <v>93</v>
      </c>
      <c r="AK430" s="68">
        <v>42.24</v>
      </c>
      <c r="BB430" s="480" t="s">
        <v>1</v>
      </c>
      <c r="BM430" s="64">
        <f t="shared" si="49"/>
        <v>351.87499999999994</v>
      </c>
      <c r="BN430" s="64">
        <f t="shared" si="50"/>
        <v>354.69</v>
      </c>
      <c r="BO430" s="64">
        <f t="shared" si="51"/>
        <v>0.60096153846153855</v>
      </c>
      <c r="BP430" s="64">
        <f t="shared" si="52"/>
        <v>0.60576923076923084</v>
      </c>
    </row>
    <row r="431" spans="1:68" ht="16.5" hidden="1" customHeight="1" x14ac:dyDescent="0.25">
      <c r="A431" s="54" t="s">
        <v>673</v>
      </c>
      <c r="B431" s="54" t="s">
        <v>674</v>
      </c>
      <c r="C431" s="31">
        <v>4301011774</v>
      </c>
      <c r="D431" s="551">
        <v>4680115884502</v>
      </c>
      <c r="E431" s="552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107</v>
      </c>
      <c r="L431" s="32"/>
      <c r="M431" s="33" t="s">
        <v>109</v>
      </c>
      <c r="N431" s="33"/>
      <c r="O431" s="32">
        <v>60</v>
      </c>
      <c r="P431" s="6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68"/>
      <c r="R431" s="568"/>
      <c r="S431" s="568"/>
      <c r="T431" s="569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675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4301011771</v>
      </c>
      <c r="D432" s="551">
        <v>4607091389104</v>
      </c>
      <c r="E432" s="552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107</v>
      </c>
      <c r="L432" s="32" t="s">
        <v>108</v>
      </c>
      <c r="M432" s="33" t="s">
        <v>109</v>
      </c>
      <c r="N432" s="33"/>
      <c r="O432" s="32">
        <v>60</v>
      </c>
      <c r="P432" s="5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68"/>
      <c r="R432" s="568"/>
      <c r="S432" s="568"/>
      <c r="T432" s="569"/>
      <c r="U432" s="34"/>
      <c r="V432" s="34"/>
      <c r="W432" s="35" t="s">
        <v>69</v>
      </c>
      <c r="X432" s="547">
        <v>855</v>
      </c>
      <c r="Y432" s="548">
        <f t="shared" si="47"/>
        <v>855.36</v>
      </c>
      <c r="Z432" s="36">
        <f t="shared" si="48"/>
        <v>1.9375200000000001</v>
      </c>
      <c r="AA432" s="56"/>
      <c r="AB432" s="57"/>
      <c r="AC432" s="483" t="s">
        <v>678</v>
      </c>
      <c r="AG432" s="64"/>
      <c r="AJ432" s="68" t="s">
        <v>93</v>
      </c>
      <c r="AK432" s="68">
        <v>42.24</v>
      </c>
      <c r="BB432" s="484" t="s">
        <v>1</v>
      </c>
      <c r="BM432" s="64">
        <f t="shared" si="49"/>
        <v>911.67613636363626</v>
      </c>
      <c r="BN432" s="64">
        <f t="shared" si="50"/>
        <v>912.06</v>
      </c>
      <c r="BO432" s="64">
        <f t="shared" si="51"/>
        <v>1.5570367132867133</v>
      </c>
      <c r="BP432" s="64">
        <f t="shared" si="52"/>
        <v>1.5576923076923077</v>
      </c>
    </row>
    <row r="433" spans="1:68" ht="27" hidden="1" customHeight="1" x14ac:dyDescent="0.25">
      <c r="A433" s="54" t="s">
        <v>679</v>
      </c>
      <c r="B433" s="54" t="s">
        <v>680</v>
      </c>
      <c r="C433" s="31">
        <v>4301012125</v>
      </c>
      <c r="D433" s="551">
        <v>4680115886391</v>
      </c>
      <c r="E433" s="552"/>
      <c r="F433" s="546">
        <v>0.4</v>
      </c>
      <c r="G433" s="32">
        <v>6</v>
      </c>
      <c r="H433" s="546">
        <v>2.4</v>
      </c>
      <c r="I433" s="546">
        <v>2.58</v>
      </c>
      <c r="J433" s="32">
        <v>182</v>
      </c>
      <c r="K433" s="32" t="s">
        <v>67</v>
      </c>
      <c r="L433" s="32"/>
      <c r="M433" s="33" t="s">
        <v>80</v>
      </c>
      <c r="N433" s="33"/>
      <c r="O433" s="32">
        <v>60</v>
      </c>
      <c r="P433" s="86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68"/>
      <c r="R433" s="568"/>
      <c r="S433" s="568"/>
      <c r="T433" s="569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110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681</v>
      </c>
      <c r="B434" s="54" t="s">
        <v>682</v>
      </c>
      <c r="C434" s="31">
        <v>4301012035</v>
      </c>
      <c r="D434" s="551">
        <v>4680115880603</v>
      </c>
      <c r="E434" s="552"/>
      <c r="F434" s="546">
        <v>0.6</v>
      </c>
      <c r="G434" s="32">
        <v>8</v>
      </c>
      <c r="H434" s="546">
        <v>4.8</v>
      </c>
      <c r="I434" s="546">
        <v>6.91</v>
      </c>
      <c r="J434" s="32">
        <v>132</v>
      </c>
      <c r="K434" s="32" t="s">
        <v>113</v>
      </c>
      <c r="L434" s="32"/>
      <c r="M434" s="33" t="s">
        <v>109</v>
      </c>
      <c r="N434" s="33"/>
      <c r="O434" s="32">
        <v>60</v>
      </c>
      <c r="P434" s="8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68"/>
      <c r="R434" s="568"/>
      <c r="S434" s="568"/>
      <c r="T434" s="569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110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683</v>
      </c>
      <c r="B435" s="54" t="s">
        <v>684</v>
      </c>
      <c r="C435" s="31">
        <v>4301012036</v>
      </c>
      <c r="D435" s="551">
        <v>4680115882782</v>
      </c>
      <c r="E435" s="552"/>
      <c r="F435" s="546">
        <v>0.6</v>
      </c>
      <c r="G435" s="32">
        <v>8</v>
      </c>
      <c r="H435" s="546">
        <v>4.8</v>
      </c>
      <c r="I435" s="546">
        <v>6.96</v>
      </c>
      <c r="J435" s="32">
        <v>120</v>
      </c>
      <c r="K435" s="32" t="s">
        <v>113</v>
      </c>
      <c r="L435" s="32"/>
      <c r="M435" s="33" t="s">
        <v>109</v>
      </c>
      <c r="N435" s="33"/>
      <c r="O435" s="32">
        <v>60</v>
      </c>
      <c r="P435" s="86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68"/>
      <c r="R435" s="568"/>
      <c r="S435" s="568"/>
      <c r="T435" s="569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669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685</v>
      </c>
      <c r="B436" s="54" t="s">
        <v>686</v>
      </c>
      <c r="C436" s="31">
        <v>4301012050</v>
      </c>
      <c r="D436" s="551">
        <v>4680115885479</v>
      </c>
      <c r="E436" s="552"/>
      <c r="F436" s="546">
        <v>0.4</v>
      </c>
      <c r="G436" s="32">
        <v>6</v>
      </c>
      <c r="H436" s="546">
        <v>2.4</v>
      </c>
      <c r="I436" s="546">
        <v>2.58</v>
      </c>
      <c r="J436" s="32">
        <v>182</v>
      </c>
      <c r="K436" s="32" t="s">
        <v>67</v>
      </c>
      <c r="L436" s="32"/>
      <c r="M436" s="33" t="s">
        <v>109</v>
      </c>
      <c r="N436" s="33"/>
      <c r="O436" s="32">
        <v>60</v>
      </c>
      <c r="P436" s="81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68"/>
      <c r="R436" s="568"/>
      <c r="S436" s="568"/>
      <c r="T436" s="569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687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688</v>
      </c>
      <c r="B437" s="54" t="s">
        <v>689</v>
      </c>
      <c r="C437" s="31">
        <v>4301012034</v>
      </c>
      <c r="D437" s="551">
        <v>4607091389982</v>
      </c>
      <c r="E437" s="552"/>
      <c r="F437" s="546">
        <v>0.6</v>
      </c>
      <c r="G437" s="32">
        <v>8</v>
      </c>
      <c r="H437" s="546">
        <v>4.8</v>
      </c>
      <c r="I437" s="546">
        <v>6.91</v>
      </c>
      <c r="J437" s="32">
        <v>132</v>
      </c>
      <c r="K437" s="32" t="s">
        <v>113</v>
      </c>
      <c r="L437" s="32"/>
      <c r="M437" s="33" t="s">
        <v>109</v>
      </c>
      <c r="N437" s="33"/>
      <c r="O437" s="32">
        <v>60</v>
      </c>
      <c r="P437" s="8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68"/>
      <c r="R437" s="568"/>
      <c r="S437" s="568"/>
      <c r="T437" s="569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678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x14ac:dyDescent="0.2">
      <c r="A438" s="558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9"/>
      <c r="P438" s="553" t="s">
        <v>75</v>
      </c>
      <c r="Q438" s="554"/>
      <c r="R438" s="554"/>
      <c r="S438" s="554"/>
      <c r="T438" s="554"/>
      <c r="U438" s="554"/>
      <c r="V438" s="555"/>
      <c r="W438" s="37" t="s">
        <v>76</v>
      </c>
      <c r="X438" s="549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257.57575757575756</v>
      </c>
      <c r="Y438" s="549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259</v>
      </c>
      <c r="Z438" s="549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3.0976400000000002</v>
      </c>
      <c r="AA438" s="550"/>
      <c r="AB438" s="550"/>
      <c r="AC438" s="550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9"/>
      <c r="P439" s="553" t="s">
        <v>75</v>
      </c>
      <c r="Q439" s="554"/>
      <c r="R439" s="554"/>
      <c r="S439" s="554"/>
      <c r="T439" s="554"/>
      <c r="U439" s="554"/>
      <c r="V439" s="555"/>
      <c r="W439" s="37" t="s">
        <v>69</v>
      </c>
      <c r="X439" s="549">
        <f>IFERROR(SUM(X426:X437),"0")</f>
        <v>1360</v>
      </c>
      <c r="Y439" s="549">
        <f>IFERROR(SUM(Y426:Y437),"0")</f>
        <v>1367.52</v>
      </c>
      <c r="Z439" s="37"/>
      <c r="AA439" s="550"/>
      <c r="AB439" s="550"/>
      <c r="AC439" s="550"/>
    </row>
    <row r="440" spans="1:68" ht="14.25" hidden="1" customHeight="1" x14ac:dyDescent="0.25">
      <c r="A440" s="556" t="s">
        <v>139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43"/>
      <c r="AB440" s="543"/>
      <c r="AC440" s="543"/>
    </row>
    <row r="441" spans="1:68" ht="16.5" customHeight="1" x14ac:dyDescent="0.25">
      <c r="A441" s="54" t="s">
        <v>690</v>
      </c>
      <c r="B441" s="54" t="s">
        <v>691</v>
      </c>
      <c r="C441" s="31">
        <v>4301020334</v>
      </c>
      <c r="D441" s="551">
        <v>4607091388930</v>
      </c>
      <c r="E441" s="552"/>
      <c r="F441" s="546">
        <v>0.88</v>
      </c>
      <c r="G441" s="32">
        <v>6</v>
      </c>
      <c r="H441" s="546">
        <v>5.28</v>
      </c>
      <c r="I441" s="546">
        <v>5.63</v>
      </c>
      <c r="J441" s="32">
        <v>104</v>
      </c>
      <c r="K441" s="32" t="s">
        <v>107</v>
      </c>
      <c r="L441" s="32" t="s">
        <v>108</v>
      </c>
      <c r="M441" s="33" t="s">
        <v>80</v>
      </c>
      <c r="N441" s="33"/>
      <c r="O441" s="32">
        <v>70</v>
      </c>
      <c r="P441" s="7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68"/>
      <c r="R441" s="568"/>
      <c r="S441" s="568"/>
      <c r="T441" s="569"/>
      <c r="U441" s="34"/>
      <c r="V441" s="34"/>
      <c r="W441" s="35" t="s">
        <v>69</v>
      </c>
      <c r="X441" s="547">
        <v>745</v>
      </c>
      <c r="Y441" s="548">
        <f>IFERROR(IF(X441="",0,CEILING((X441/$H441),1)*$H441),"")</f>
        <v>749.76</v>
      </c>
      <c r="Z441" s="36">
        <f>IFERROR(IF(Y441=0,"",ROUNDUP(Y441/H441,0)*0.01196),"")</f>
        <v>1.6983200000000001</v>
      </c>
      <c r="AA441" s="56"/>
      <c r="AB441" s="57"/>
      <c r="AC441" s="495" t="s">
        <v>692</v>
      </c>
      <c r="AG441" s="64"/>
      <c r="AJ441" s="68" t="s">
        <v>93</v>
      </c>
      <c r="AK441" s="68">
        <v>42.24</v>
      </c>
      <c r="BB441" s="496" t="s">
        <v>1</v>
      </c>
      <c r="BM441" s="64">
        <f>IFERROR(X441*I441/H441,"0")</f>
        <v>794.38446969696975</v>
      </c>
      <c r="BN441" s="64">
        <f>IFERROR(Y441*I441/H441,"0")</f>
        <v>799.45999999999992</v>
      </c>
      <c r="BO441" s="64">
        <f>IFERROR(1/J441*(X441/H441),"0")</f>
        <v>1.3567162004662006</v>
      </c>
      <c r="BP441" s="64">
        <f>IFERROR(1/J441*(Y441/H441),"0")</f>
        <v>1.3653846153846154</v>
      </c>
    </row>
    <row r="442" spans="1:68" ht="16.5" hidden="1" customHeight="1" x14ac:dyDescent="0.25">
      <c r="A442" s="54" t="s">
        <v>693</v>
      </c>
      <c r="B442" s="54" t="s">
        <v>694</v>
      </c>
      <c r="C442" s="31">
        <v>4301020384</v>
      </c>
      <c r="D442" s="551">
        <v>4680115886407</v>
      </c>
      <c r="E442" s="552"/>
      <c r="F442" s="546">
        <v>0.4</v>
      </c>
      <c r="G442" s="32">
        <v>6</v>
      </c>
      <c r="H442" s="546">
        <v>2.4</v>
      </c>
      <c r="I442" s="546">
        <v>2.58</v>
      </c>
      <c r="J442" s="32">
        <v>182</v>
      </c>
      <c r="K442" s="32" t="s">
        <v>67</v>
      </c>
      <c r="L442" s="32"/>
      <c r="M442" s="33" t="s">
        <v>80</v>
      </c>
      <c r="N442" s="33"/>
      <c r="O442" s="32">
        <v>70</v>
      </c>
      <c r="P442" s="8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68"/>
      <c r="R442" s="568"/>
      <c r="S442" s="568"/>
      <c r="T442" s="569"/>
      <c r="U442" s="34"/>
      <c r="V442" s="34"/>
      <c r="W442" s="35" t="s">
        <v>69</v>
      </c>
      <c r="X442" s="547">
        <v>0</v>
      </c>
      <c r="Y442" s="548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692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695</v>
      </c>
      <c r="B443" s="54" t="s">
        <v>696</v>
      </c>
      <c r="C443" s="31">
        <v>4301020385</v>
      </c>
      <c r="D443" s="551">
        <v>4680115880054</v>
      </c>
      <c r="E443" s="552"/>
      <c r="F443" s="546">
        <v>0.6</v>
      </c>
      <c r="G443" s="32">
        <v>8</v>
      </c>
      <c r="H443" s="546">
        <v>4.8</v>
      </c>
      <c r="I443" s="546">
        <v>6.91</v>
      </c>
      <c r="J443" s="32">
        <v>132</v>
      </c>
      <c r="K443" s="32" t="s">
        <v>113</v>
      </c>
      <c r="L443" s="32"/>
      <c r="M443" s="33" t="s">
        <v>109</v>
      </c>
      <c r="N443" s="33"/>
      <c r="O443" s="32">
        <v>70</v>
      </c>
      <c r="P443" s="60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68"/>
      <c r="R443" s="568"/>
      <c r="S443" s="568"/>
      <c r="T443" s="569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692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58"/>
      <c r="B444" s="557"/>
      <c r="C444" s="557"/>
      <c r="D444" s="557"/>
      <c r="E444" s="557"/>
      <c r="F444" s="557"/>
      <c r="G444" s="557"/>
      <c r="H444" s="557"/>
      <c r="I444" s="557"/>
      <c r="J444" s="557"/>
      <c r="K444" s="557"/>
      <c r="L444" s="557"/>
      <c r="M444" s="557"/>
      <c r="N444" s="557"/>
      <c r="O444" s="559"/>
      <c r="P444" s="553" t="s">
        <v>75</v>
      </c>
      <c r="Q444" s="554"/>
      <c r="R444" s="554"/>
      <c r="S444" s="554"/>
      <c r="T444" s="554"/>
      <c r="U444" s="554"/>
      <c r="V444" s="555"/>
      <c r="W444" s="37" t="s">
        <v>76</v>
      </c>
      <c r="X444" s="549">
        <f>IFERROR(X441/H441,"0")+IFERROR(X442/H442,"0")+IFERROR(X443/H443,"0")</f>
        <v>141.09848484848484</v>
      </c>
      <c r="Y444" s="549">
        <f>IFERROR(Y441/H441,"0")+IFERROR(Y442/H442,"0")+IFERROR(Y443/H443,"0")</f>
        <v>142</v>
      </c>
      <c r="Z444" s="549">
        <f>IFERROR(IF(Z441="",0,Z441),"0")+IFERROR(IF(Z442="",0,Z442),"0")+IFERROR(IF(Z443="",0,Z443),"0")</f>
        <v>1.6983200000000001</v>
      </c>
      <c r="AA444" s="550"/>
      <c r="AB444" s="550"/>
      <c r="AC444" s="550"/>
    </row>
    <row r="445" spans="1:68" x14ac:dyDescent="0.2">
      <c r="A445" s="557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59"/>
      <c r="P445" s="553" t="s">
        <v>75</v>
      </c>
      <c r="Q445" s="554"/>
      <c r="R445" s="554"/>
      <c r="S445" s="554"/>
      <c r="T445" s="554"/>
      <c r="U445" s="554"/>
      <c r="V445" s="555"/>
      <c r="W445" s="37" t="s">
        <v>69</v>
      </c>
      <c r="X445" s="549">
        <f>IFERROR(SUM(X441:X443),"0")</f>
        <v>745</v>
      </c>
      <c r="Y445" s="549">
        <f>IFERROR(SUM(Y441:Y443),"0")</f>
        <v>749.76</v>
      </c>
      <c r="Z445" s="37"/>
      <c r="AA445" s="550"/>
      <c r="AB445" s="550"/>
      <c r="AC445" s="550"/>
    </row>
    <row r="446" spans="1:68" ht="14.25" hidden="1" customHeight="1" x14ac:dyDescent="0.25">
      <c r="A446" s="556" t="s">
        <v>64</v>
      </c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57"/>
      <c r="P446" s="557"/>
      <c r="Q446" s="557"/>
      <c r="R446" s="557"/>
      <c r="S446" s="557"/>
      <c r="T446" s="557"/>
      <c r="U446" s="557"/>
      <c r="V446" s="557"/>
      <c r="W446" s="557"/>
      <c r="X446" s="557"/>
      <c r="Y446" s="557"/>
      <c r="Z446" s="557"/>
      <c r="AA446" s="543"/>
      <c r="AB446" s="543"/>
      <c r="AC446" s="543"/>
    </row>
    <row r="447" spans="1:68" ht="27" customHeight="1" x14ac:dyDescent="0.25">
      <c r="A447" s="54" t="s">
        <v>697</v>
      </c>
      <c r="B447" s="54" t="s">
        <v>698</v>
      </c>
      <c r="C447" s="31">
        <v>4301031349</v>
      </c>
      <c r="D447" s="551">
        <v>4680115883116</v>
      </c>
      <c r="E447" s="552"/>
      <c r="F447" s="546">
        <v>0.88</v>
      </c>
      <c r="G447" s="32">
        <v>6</v>
      </c>
      <c r="H447" s="546">
        <v>5.28</v>
      </c>
      <c r="I447" s="546">
        <v>5.63</v>
      </c>
      <c r="J447" s="32">
        <v>104</v>
      </c>
      <c r="K447" s="32" t="s">
        <v>107</v>
      </c>
      <c r="L447" s="32" t="s">
        <v>108</v>
      </c>
      <c r="M447" s="33" t="s">
        <v>109</v>
      </c>
      <c r="N447" s="33"/>
      <c r="O447" s="32">
        <v>70</v>
      </c>
      <c r="P447" s="8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68"/>
      <c r="R447" s="568"/>
      <c r="S447" s="568"/>
      <c r="T447" s="569"/>
      <c r="U447" s="34"/>
      <c r="V447" s="34"/>
      <c r="W447" s="35" t="s">
        <v>69</v>
      </c>
      <c r="X447" s="547">
        <v>75</v>
      </c>
      <c r="Y447" s="548">
        <f t="shared" ref="Y447:Y452" si="53">IFERROR(IF(X447="",0,CEILING((X447/$H447),1)*$H447),"")</f>
        <v>79.2</v>
      </c>
      <c r="Z447" s="36">
        <f>IFERROR(IF(Y447=0,"",ROUNDUP(Y447/H447,0)*0.01196),"")</f>
        <v>0.1794</v>
      </c>
      <c r="AA447" s="56"/>
      <c r="AB447" s="57"/>
      <c r="AC447" s="501" t="s">
        <v>699</v>
      </c>
      <c r="AG447" s="64"/>
      <c r="AJ447" s="68" t="s">
        <v>93</v>
      </c>
      <c r="AK447" s="68">
        <v>42.24</v>
      </c>
      <c r="BB447" s="502" t="s">
        <v>1</v>
      </c>
      <c r="BM447" s="64">
        <f t="shared" ref="BM447:BM452" si="54">IFERROR(X447*I447/H447,"0")</f>
        <v>79.971590909090907</v>
      </c>
      <c r="BN447" s="64">
        <f t="shared" ref="BN447:BN452" si="55">IFERROR(Y447*I447/H447,"0")</f>
        <v>84.45</v>
      </c>
      <c r="BO447" s="64">
        <f t="shared" ref="BO447:BO452" si="56">IFERROR(1/J447*(X447/H447),"0")</f>
        <v>0.13658216783216784</v>
      </c>
      <c r="BP447" s="64">
        <f t="shared" ref="BP447:BP452" si="57">IFERROR(1/J447*(Y447/H447),"0")</f>
        <v>0.14423076923076925</v>
      </c>
    </row>
    <row r="448" spans="1:68" ht="27" customHeight="1" x14ac:dyDescent="0.25">
      <c r="A448" s="54" t="s">
        <v>700</v>
      </c>
      <c r="B448" s="54" t="s">
        <v>701</v>
      </c>
      <c r="C448" s="31">
        <v>4301031350</v>
      </c>
      <c r="D448" s="551">
        <v>4680115883093</v>
      </c>
      <c r="E448" s="552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107</v>
      </c>
      <c r="L448" s="32" t="s">
        <v>108</v>
      </c>
      <c r="M448" s="33" t="s">
        <v>68</v>
      </c>
      <c r="N448" s="33"/>
      <c r="O448" s="32">
        <v>70</v>
      </c>
      <c r="P448" s="7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68"/>
      <c r="R448" s="568"/>
      <c r="S448" s="568"/>
      <c r="T448" s="569"/>
      <c r="U448" s="34"/>
      <c r="V448" s="34"/>
      <c r="W448" s="35" t="s">
        <v>69</v>
      </c>
      <c r="X448" s="547">
        <v>400</v>
      </c>
      <c r="Y448" s="548">
        <f t="shared" si="53"/>
        <v>401.28000000000003</v>
      </c>
      <c r="Z448" s="36">
        <f>IFERROR(IF(Y448=0,"",ROUNDUP(Y448/H448,0)*0.01196),"")</f>
        <v>0.90895999999999999</v>
      </c>
      <c r="AA448" s="56"/>
      <c r="AB448" s="57"/>
      <c r="AC448" s="503" t="s">
        <v>702</v>
      </c>
      <c r="AG448" s="64"/>
      <c r="AJ448" s="68" t="s">
        <v>93</v>
      </c>
      <c r="AK448" s="68">
        <v>42.24</v>
      </c>
      <c r="BB448" s="504" t="s">
        <v>1</v>
      </c>
      <c r="BM448" s="64">
        <f t="shared" si="54"/>
        <v>426.5151515151515</v>
      </c>
      <c r="BN448" s="64">
        <f t="shared" si="55"/>
        <v>427.88</v>
      </c>
      <c r="BO448" s="64">
        <f t="shared" si="56"/>
        <v>0.72843822843822836</v>
      </c>
      <c r="BP448" s="64">
        <f t="shared" si="57"/>
        <v>0.73076923076923084</v>
      </c>
    </row>
    <row r="449" spans="1:68" ht="27" customHeight="1" x14ac:dyDescent="0.25">
      <c r="A449" s="54" t="s">
        <v>703</v>
      </c>
      <c r="B449" s="54" t="s">
        <v>704</v>
      </c>
      <c r="C449" s="31">
        <v>4301031353</v>
      </c>
      <c r="D449" s="551">
        <v>4680115883109</v>
      </c>
      <c r="E449" s="552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107</v>
      </c>
      <c r="L449" s="32" t="s">
        <v>108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68"/>
      <c r="R449" s="568"/>
      <c r="S449" s="568"/>
      <c r="T449" s="569"/>
      <c r="U449" s="34"/>
      <c r="V449" s="34"/>
      <c r="W449" s="35" t="s">
        <v>69</v>
      </c>
      <c r="X449" s="547">
        <v>520</v>
      </c>
      <c r="Y449" s="548">
        <f t="shared" si="53"/>
        <v>522.72</v>
      </c>
      <c r="Z449" s="36">
        <f>IFERROR(IF(Y449=0,"",ROUNDUP(Y449/H449,0)*0.01196),"")</f>
        <v>1.18404</v>
      </c>
      <c r="AA449" s="56"/>
      <c r="AB449" s="57"/>
      <c r="AC449" s="505" t="s">
        <v>705</v>
      </c>
      <c r="AG449" s="64"/>
      <c r="AJ449" s="68" t="s">
        <v>93</v>
      </c>
      <c r="AK449" s="68">
        <v>42.24</v>
      </c>
      <c r="BB449" s="506" t="s">
        <v>1</v>
      </c>
      <c r="BM449" s="64">
        <f t="shared" si="54"/>
        <v>554.46969696969688</v>
      </c>
      <c r="BN449" s="64">
        <f t="shared" si="55"/>
        <v>557.37</v>
      </c>
      <c r="BO449" s="64">
        <f t="shared" si="56"/>
        <v>0.94696969696969702</v>
      </c>
      <c r="BP449" s="64">
        <f t="shared" si="57"/>
        <v>0.95192307692307698</v>
      </c>
    </row>
    <row r="450" spans="1:68" ht="27" hidden="1" customHeight="1" x14ac:dyDescent="0.25">
      <c r="A450" s="54" t="s">
        <v>706</v>
      </c>
      <c r="B450" s="54" t="s">
        <v>707</v>
      </c>
      <c r="C450" s="31">
        <v>4301031419</v>
      </c>
      <c r="D450" s="551">
        <v>4680115882072</v>
      </c>
      <c r="E450" s="552"/>
      <c r="F450" s="546">
        <v>0.6</v>
      </c>
      <c r="G450" s="32">
        <v>8</v>
      </c>
      <c r="H450" s="546">
        <v>4.8</v>
      </c>
      <c r="I450" s="546">
        <v>6.91</v>
      </c>
      <c r="J450" s="32">
        <v>132</v>
      </c>
      <c r="K450" s="32" t="s">
        <v>113</v>
      </c>
      <c r="L450" s="32"/>
      <c r="M450" s="33" t="s">
        <v>109</v>
      </c>
      <c r="N450" s="33"/>
      <c r="O450" s="32">
        <v>70</v>
      </c>
      <c r="P450" s="6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68"/>
      <c r="R450" s="568"/>
      <c r="S450" s="568"/>
      <c r="T450" s="569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708</v>
      </c>
      <c r="B451" s="54" t="s">
        <v>709</v>
      </c>
      <c r="C451" s="31">
        <v>4301031418</v>
      </c>
      <c r="D451" s="551">
        <v>4680115882102</v>
      </c>
      <c r="E451" s="552"/>
      <c r="F451" s="546">
        <v>0.6</v>
      </c>
      <c r="G451" s="32">
        <v>8</v>
      </c>
      <c r="H451" s="546">
        <v>4.8</v>
      </c>
      <c r="I451" s="546">
        <v>6.67</v>
      </c>
      <c r="J451" s="32">
        <v>132</v>
      </c>
      <c r="K451" s="32" t="s">
        <v>113</v>
      </c>
      <c r="L451" s="32"/>
      <c r="M451" s="33" t="s">
        <v>68</v>
      </c>
      <c r="N451" s="33"/>
      <c r="O451" s="32">
        <v>70</v>
      </c>
      <c r="P451" s="72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68"/>
      <c r="R451" s="568"/>
      <c r="S451" s="568"/>
      <c r="T451" s="569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710</v>
      </c>
      <c r="B452" s="54" t="s">
        <v>711</v>
      </c>
      <c r="C452" s="31">
        <v>4301031417</v>
      </c>
      <c r="D452" s="551">
        <v>4680115882096</v>
      </c>
      <c r="E452" s="552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113</v>
      </c>
      <c r="L452" s="32"/>
      <c r="M452" s="33" t="s">
        <v>68</v>
      </c>
      <c r="N452" s="33"/>
      <c r="O452" s="32">
        <v>70</v>
      </c>
      <c r="P452" s="81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68"/>
      <c r="R452" s="568"/>
      <c r="S452" s="568"/>
      <c r="T452" s="569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705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58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9"/>
      <c r="P453" s="553" t="s">
        <v>75</v>
      </c>
      <c r="Q453" s="554"/>
      <c r="R453" s="554"/>
      <c r="S453" s="554"/>
      <c r="T453" s="554"/>
      <c r="U453" s="554"/>
      <c r="V453" s="555"/>
      <c r="W453" s="37" t="s">
        <v>76</v>
      </c>
      <c r="X453" s="549">
        <f>IFERROR(X447/H447,"0")+IFERROR(X448/H448,"0")+IFERROR(X449/H449,"0")+IFERROR(X450/H450,"0")+IFERROR(X451/H451,"0")+IFERROR(X452/H452,"0")</f>
        <v>188.44696969696969</v>
      </c>
      <c r="Y453" s="549">
        <f>IFERROR(Y447/H447,"0")+IFERROR(Y448/H448,"0")+IFERROR(Y449/H449,"0")+IFERROR(Y450/H450,"0")+IFERROR(Y451/H451,"0")+IFERROR(Y452/H452,"0")</f>
        <v>190</v>
      </c>
      <c r="Z453" s="549">
        <f>IFERROR(IF(Z447="",0,Z447),"0")+IFERROR(IF(Z448="",0,Z448),"0")+IFERROR(IF(Z449="",0,Z449),"0")+IFERROR(IF(Z450="",0,Z450),"0")+IFERROR(IF(Z451="",0,Z451),"0")+IFERROR(IF(Z452="",0,Z452),"0")</f>
        <v>2.2724000000000002</v>
      </c>
      <c r="AA453" s="550"/>
      <c r="AB453" s="550"/>
      <c r="AC453" s="550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9"/>
      <c r="P454" s="553" t="s">
        <v>75</v>
      </c>
      <c r="Q454" s="554"/>
      <c r="R454" s="554"/>
      <c r="S454" s="554"/>
      <c r="T454" s="554"/>
      <c r="U454" s="554"/>
      <c r="V454" s="555"/>
      <c r="W454" s="37" t="s">
        <v>69</v>
      </c>
      <c r="X454" s="549">
        <f>IFERROR(SUM(X447:X452),"0")</f>
        <v>995</v>
      </c>
      <c r="Y454" s="549">
        <f>IFERROR(SUM(Y447:Y452),"0")</f>
        <v>1003.2</v>
      </c>
      <c r="Z454" s="37"/>
      <c r="AA454" s="550"/>
      <c r="AB454" s="550"/>
      <c r="AC454" s="550"/>
    </row>
    <row r="455" spans="1:68" ht="14.25" hidden="1" customHeight="1" x14ac:dyDescent="0.25">
      <c r="A455" s="556" t="s">
        <v>77</v>
      </c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57"/>
      <c r="P455" s="557"/>
      <c r="Q455" s="557"/>
      <c r="R455" s="557"/>
      <c r="S455" s="557"/>
      <c r="T455" s="557"/>
      <c r="U455" s="557"/>
      <c r="V455" s="557"/>
      <c r="W455" s="557"/>
      <c r="X455" s="557"/>
      <c r="Y455" s="557"/>
      <c r="Z455" s="557"/>
      <c r="AA455" s="543"/>
      <c r="AB455" s="543"/>
      <c r="AC455" s="543"/>
    </row>
    <row r="456" spans="1:68" ht="27" hidden="1" customHeight="1" x14ac:dyDescent="0.25">
      <c r="A456" s="54" t="s">
        <v>712</v>
      </c>
      <c r="B456" s="54" t="s">
        <v>713</v>
      </c>
      <c r="C456" s="31">
        <v>4301051064</v>
      </c>
      <c r="D456" s="551">
        <v>4680115883536</v>
      </c>
      <c r="E456" s="552"/>
      <c r="F456" s="546">
        <v>0.3</v>
      </c>
      <c r="G456" s="32">
        <v>6</v>
      </c>
      <c r="H456" s="546">
        <v>1.8</v>
      </c>
      <c r="I456" s="546">
        <v>2.0459999999999998</v>
      </c>
      <c r="J456" s="32">
        <v>182</v>
      </c>
      <c r="K456" s="32" t="s">
        <v>67</v>
      </c>
      <c r="L456" s="32"/>
      <c r="M456" s="33" t="s">
        <v>80</v>
      </c>
      <c r="N456" s="33"/>
      <c r="O456" s="32">
        <v>45</v>
      </c>
      <c r="P456" s="66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6" s="568"/>
      <c r="R456" s="568"/>
      <c r="S456" s="568"/>
      <c r="T456" s="569"/>
      <c r="U456" s="34"/>
      <c r="V456" s="34"/>
      <c r="W456" s="35" t="s">
        <v>69</v>
      </c>
      <c r="X456" s="547">
        <v>0</v>
      </c>
      <c r="Y456" s="548">
        <f>IFERROR(IF(X456="",0,CEILING((X456/$H456),1)*$H456),"")</f>
        <v>0</v>
      </c>
      <c r="Z456" s="36" t="str">
        <f>IFERROR(IF(Y456=0,"",ROUNDUP(Y456/H456,0)*0.00651),"")</f>
        <v/>
      </c>
      <c r="AA456" s="56"/>
      <c r="AB456" s="57"/>
      <c r="AC456" s="513" t="s">
        <v>714</v>
      </c>
      <c r="AG456" s="64"/>
      <c r="AJ456" s="68"/>
      <c r="AK456" s="68">
        <v>0</v>
      </c>
      <c r="BB456" s="51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558"/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9"/>
      <c r="P457" s="553" t="s">
        <v>75</v>
      </c>
      <c r="Q457" s="554"/>
      <c r="R457" s="554"/>
      <c r="S457" s="554"/>
      <c r="T457" s="554"/>
      <c r="U457" s="554"/>
      <c r="V457" s="555"/>
      <c r="W457" s="37" t="s">
        <v>76</v>
      </c>
      <c r="X457" s="549">
        <f>IFERROR(X456/H456,"0")</f>
        <v>0</v>
      </c>
      <c r="Y457" s="549">
        <f>IFERROR(Y456/H456,"0")</f>
        <v>0</v>
      </c>
      <c r="Z457" s="549">
        <f>IFERROR(IF(Z456="",0,Z456),"0")</f>
        <v>0</v>
      </c>
      <c r="AA457" s="550"/>
      <c r="AB457" s="550"/>
      <c r="AC457" s="550"/>
    </row>
    <row r="458" spans="1:68" hidden="1" x14ac:dyDescent="0.2">
      <c r="A458" s="557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59"/>
      <c r="P458" s="553" t="s">
        <v>75</v>
      </c>
      <c r="Q458" s="554"/>
      <c r="R458" s="554"/>
      <c r="S458" s="554"/>
      <c r="T458" s="554"/>
      <c r="U458" s="554"/>
      <c r="V458" s="555"/>
      <c r="W458" s="37" t="s">
        <v>69</v>
      </c>
      <c r="X458" s="549">
        <f>IFERROR(SUM(X456:X456),"0")</f>
        <v>0</v>
      </c>
      <c r="Y458" s="549">
        <f>IFERROR(SUM(Y456:Y456),"0")</f>
        <v>0</v>
      </c>
      <c r="Z458" s="37"/>
      <c r="AA458" s="550"/>
      <c r="AB458" s="550"/>
      <c r="AC458" s="550"/>
    </row>
    <row r="459" spans="1:68" ht="27.75" hidden="1" customHeight="1" x14ac:dyDescent="0.2">
      <c r="A459" s="563" t="s">
        <v>715</v>
      </c>
      <c r="B459" s="564"/>
      <c r="C459" s="564"/>
      <c r="D459" s="564"/>
      <c r="E459" s="564"/>
      <c r="F459" s="564"/>
      <c r="G459" s="564"/>
      <c r="H459" s="564"/>
      <c r="I459" s="564"/>
      <c r="J459" s="564"/>
      <c r="K459" s="564"/>
      <c r="L459" s="564"/>
      <c r="M459" s="564"/>
      <c r="N459" s="564"/>
      <c r="O459" s="564"/>
      <c r="P459" s="564"/>
      <c r="Q459" s="564"/>
      <c r="R459" s="564"/>
      <c r="S459" s="564"/>
      <c r="T459" s="564"/>
      <c r="U459" s="564"/>
      <c r="V459" s="564"/>
      <c r="W459" s="564"/>
      <c r="X459" s="564"/>
      <c r="Y459" s="564"/>
      <c r="Z459" s="564"/>
      <c r="AA459" s="48"/>
      <c r="AB459" s="48"/>
      <c r="AC459" s="48"/>
    </row>
    <row r="460" spans="1:68" ht="16.5" hidden="1" customHeight="1" x14ac:dyDescent="0.25">
      <c r="A460" s="574" t="s">
        <v>715</v>
      </c>
      <c r="B460" s="557"/>
      <c r="C460" s="557"/>
      <c r="D460" s="557"/>
      <c r="E460" s="557"/>
      <c r="F460" s="557"/>
      <c r="G460" s="557"/>
      <c r="H460" s="557"/>
      <c r="I460" s="557"/>
      <c r="J460" s="557"/>
      <c r="K460" s="557"/>
      <c r="L460" s="557"/>
      <c r="M460" s="557"/>
      <c r="N460" s="557"/>
      <c r="O460" s="557"/>
      <c r="P460" s="557"/>
      <c r="Q460" s="557"/>
      <c r="R460" s="557"/>
      <c r="S460" s="557"/>
      <c r="T460" s="557"/>
      <c r="U460" s="557"/>
      <c r="V460" s="557"/>
      <c r="W460" s="557"/>
      <c r="X460" s="557"/>
      <c r="Y460" s="557"/>
      <c r="Z460" s="557"/>
      <c r="AA460" s="542"/>
      <c r="AB460" s="542"/>
      <c r="AC460" s="542"/>
    </row>
    <row r="461" spans="1:68" ht="14.25" hidden="1" customHeight="1" x14ac:dyDescent="0.25">
      <c r="A461" s="556" t="s">
        <v>104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3"/>
      <c r="AB461" s="543"/>
      <c r="AC461" s="543"/>
    </row>
    <row r="462" spans="1:68" ht="27" hidden="1" customHeight="1" x14ac:dyDescent="0.25">
      <c r="A462" s="54" t="s">
        <v>716</v>
      </c>
      <c r="B462" s="54" t="s">
        <v>717</v>
      </c>
      <c r="C462" s="31">
        <v>4301011763</v>
      </c>
      <c r="D462" s="551">
        <v>4640242181011</v>
      </c>
      <c r="E462" s="552"/>
      <c r="F462" s="546">
        <v>1.35</v>
      </c>
      <c r="G462" s="32">
        <v>8</v>
      </c>
      <c r="H462" s="546">
        <v>10.8</v>
      </c>
      <c r="I462" s="546">
        <v>11.21</v>
      </c>
      <c r="J462" s="32">
        <v>64</v>
      </c>
      <c r="K462" s="32" t="s">
        <v>107</v>
      </c>
      <c r="L462" s="32"/>
      <c r="M462" s="33" t="s">
        <v>80</v>
      </c>
      <c r="N462" s="33"/>
      <c r="O462" s="32">
        <v>55</v>
      </c>
      <c r="P462" s="78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2" s="568"/>
      <c r="R462" s="568"/>
      <c r="S462" s="568"/>
      <c r="T462" s="569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719</v>
      </c>
      <c r="B463" s="54" t="s">
        <v>720</v>
      </c>
      <c r="C463" s="31">
        <v>4301011585</v>
      </c>
      <c r="D463" s="551">
        <v>4640242180441</v>
      </c>
      <c r="E463" s="552"/>
      <c r="F463" s="546">
        <v>1.5</v>
      </c>
      <c r="G463" s="32">
        <v>8</v>
      </c>
      <c r="H463" s="546">
        <v>12</v>
      </c>
      <c r="I463" s="546">
        <v>12.41</v>
      </c>
      <c r="J463" s="32">
        <v>64</v>
      </c>
      <c r="K463" s="32" t="s">
        <v>107</v>
      </c>
      <c r="L463" s="32"/>
      <c r="M463" s="33" t="s">
        <v>109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3" s="568"/>
      <c r="R463" s="568"/>
      <c r="S463" s="568"/>
      <c r="T463" s="569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4301011584</v>
      </c>
      <c r="D464" s="551">
        <v>4640242180564</v>
      </c>
      <c r="E464" s="552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107</v>
      </c>
      <c r="L464" s="32" t="s">
        <v>108</v>
      </c>
      <c r="M464" s="33" t="s">
        <v>109</v>
      </c>
      <c r="N464" s="33"/>
      <c r="O464" s="32">
        <v>50</v>
      </c>
      <c r="P464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4" s="568"/>
      <c r="R464" s="568"/>
      <c r="S464" s="568"/>
      <c r="T464" s="569"/>
      <c r="U464" s="34"/>
      <c r="V464" s="34"/>
      <c r="W464" s="35" t="s">
        <v>69</v>
      </c>
      <c r="X464" s="547">
        <v>120</v>
      </c>
      <c r="Y464" s="548">
        <f>IFERROR(IF(X464="",0,CEILING((X464/$H464),1)*$H464),"")</f>
        <v>120</v>
      </c>
      <c r="Z464" s="36">
        <f>IFERROR(IF(Y464=0,"",ROUNDUP(Y464/H464,0)*0.01898),"")</f>
        <v>0.1898</v>
      </c>
      <c r="AA464" s="56"/>
      <c r="AB464" s="57"/>
      <c r="AC464" s="519" t="s">
        <v>724</v>
      </c>
      <c r="AG464" s="64"/>
      <c r="AJ464" s="68" t="s">
        <v>93</v>
      </c>
      <c r="AK464" s="68">
        <v>96</v>
      </c>
      <c r="BB464" s="520" t="s">
        <v>1</v>
      </c>
      <c r="BM464" s="64">
        <f>IFERROR(X464*I464/H464,"0")</f>
        <v>124.10000000000001</v>
      </c>
      <c r="BN464" s="64">
        <f>IFERROR(Y464*I464/H464,"0")</f>
        <v>124.10000000000001</v>
      </c>
      <c r="BO464" s="64">
        <f>IFERROR(1/J464*(X464/H464),"0")</f>
        <v>0.15625</v>
      </c>
      <c r="BP464" s="64">
        <f>IFERROR(1/J464*(Y464/H464),"0")</f>
        <v>0.15625</v>
      </c>
    </row>
    <row r="465" spans="1:68" ht="27" hidden="1" customHeight="1" x14ac:dyDescent="0.25">
      <c r="A465" s="54" t="s">
        <v>725</v>
      </c>
      <c r="B465" s="54" t="s">
        <v>726</v>
      </c>
      <c r="C465" s="31">
        <v>4301011764</v>
      </c>
      <c r="D465" s="551">
        <v>4640242181189</v>
      </c>
      <c r="E465" s="552"/>
      <c r="F465" s="546">
        <v>0.4</v>
      </c>
      <c r="G465" s="32">
        <v>10</v>
      </c>
      <c r="H465" s="546">
        <v>4</v>
      </c>
      <c r="I465" s="546">
        <v>4.1900000000000004</v>
      </c>
      <c r="J465" s="32">
        <v>132</v>
      </c>
      <c r="K465" s="32" t="s">
        <v>113</v>
      </c>
      <c r="L465" s="32"/>
      <c r="M465" s="33" t="s">
        <v>80</v>
      </c>
      <c r="N465" s="33"/>
      <c r="O465" s="32">
        <v>55</v>
      </c>
      <c r="P465" s="81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5" s="568"/>
      <c r="R465" s="568"/>
      <c r="S465" s="568"/>
      <c r="T465" s="569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IFERROR(IF(Y465=0,"",ROUNDUP(Y465/H465,0)*0.00902),"")</f>
        <v/>
      </c>
      <c r="AA465" s="56"/>
      <c r="AB465" s="57"/>
      <c r="AC465" s="521" t="s">
        <v>718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558"/>
      <c r="B466" s="557"/>
      <c r="C466" s="557"/>
      <c r="D466" s="557"/>
      <c r="E466" s="557"/>
      <c r="F466" s="557"/>
      <c r="G466" s="557"/>
      <c r="H466" s="557"/>
      <c r="I466" s="557"/>
      <c r="J466" s="557"/>
      <c r="K466" s="557"/>
      <c r="L466" s="557"/>
      <c r="M466" s="557"/>
      <c r="N466" s="557"/>
      <c r="O466" s="559"/>
      <c r="P466" s="553" t="s">
        <v>75</v>
      </c>
      <c r="Q466" s="554"/>
      <c r="R466" s="554"/>
      <c r="S466" s="554"/>
      <c r="T466" s="554"/>
      <c r="U466" s="554"/>
      <c r="V466" s="555"/>
      <c r="W466" s="37" t="s">
        <v>76</v>
      </c>
      <c r="X466" s="549">
        <f>IFERROR(X462/H462,"0")+IFERROR(X463/H463,"0")+IFERROR(X464/H464,"0")+IFERROR(X465/H465,"0")</f>
        <v>10</v>
      </c>
      <c r="Y466" s="549">
        <f>IFERROR(Y462/H462,"0")+IFERROR(Y463/H463,"0")+IFERROR(Y464/H464,"0")+IFERROR(Y465/H465,"0")</f>
        <v>10</v>
      </c>
      <c r="Z466" s="549">
        <f>IFERROR(IF(Z462="",0,Z462),"0")+IFERROR(IF(Z463="",0,Z463),"0")+IFERROR(IF(Z464="",0,Z464),"0")+IFERROR(IF(Z465="",0,Z465),"0")</f>
        <v>0.1898</v>
      </c>
      <c r="AA466" s="550"/>
      <c r="AB466" s="550"/>
      <c r="AC466" s="550"/>
    </row>
    <row r="467" spans="1:68" x14ac:dyDescent="0.2">
      <c r="A467" s="557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59"/>
      <c r="P467" s="553" t="s">
        <v>75</v>
      </c>
      <c r="Q467" s="554"/>
      <c r="R467" s="554"/>
      <c r="S467" s="554"/>
      <c r="T467" s="554"/>
      <c r="U467" s="554"/>
      <c r="V467" s="555"/>
      <c r="W467" s="37" t="s">
        <v>69</v>
      </c>
      <c r="X467" s="549">
        <f>IFERROR(SUM(X462:X465),"0")</f>
        <v>120</v>
      </c>
      <c r="Y467" s="549">
        <f>IFERROR(SUM(Y462:Y465),"0")</f>
        <v>120</v>
      </c>
      <c r="Z467" s="37"/>
      <c r="AA467" s="550"/>
      <c r="AB467" s="550"/>
      <c r="AC467" s="550"/>
    </row>
    <row r="468" spans="1:68" ht="14.25" hidden="1" customHeight="1" x14ac:dyDescent="0.25">
      <c r="A468" s="556" t="s">
        <v>139</v>
      </c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7"/>
      <c r="P468" s="557"/>
      <c r="Q468" s="557"/>
      <c r="R468" s="557"/>
      <c r="S468" s="557"/>
      <c r="T468" s="557"/>
      <c r="U468" s="557"/>
      <c r="V468" s="557"/>
      <c r="W468" s="557"/>
      <c r="X468" s="557"/>
      <c r="Y468" s="557"/>
      <c r="Z468" s="557"/>
      <c r="AA468" s="543"/>
      <c r="AB468" s="543"/>
      <c r="AC468" s="543"/>
    </row>
    <row r="469" spans="1:68" ht="27" hidden="1" customHeight="1" x14ac:dyDescent="0.25">
      <c r="A469" s="54" t="s">
        <v>727</v>
      </c>
      <c r="B469" s="54" t="s">
        <v>728</v>
      </c>
      <c r="C469" s="31">
        <v>4301020400</v>
      </c>
      <c r="D469" s="551">
        <v>4640242180519</v>
      </c>
      <c r="E469" s="552"/>
      <c r="F469" s="546">
        <v>1.5</v>
      </c>
      <c r="G469" s="32">
        <v>8</v>
      </c>
      <c r="H469" s="546">
        <v>12</v>
      </c>
      <c r="I469" s="546">
        <v>12.41</v>
      </c>
      <c r="J469" s="32">
        <v>64</v>
      </c>
      <c r="K469" s="32" t="s">
        <v>107</v>
      </c>
      <c r="L469" s="32"/>
      <c r="M469" s="33" t="s">
        <v>109</v>
      </c>
      <c r="N469" s="33"/>
      <c r="O469" s="32">
        <v>50</v>
      </c>
      <c r="P469" s="67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9" s="568"/>
      <c r="R469" s="568"/>
      <c r="S469" s="568"/>
      <c r="T469" s="569"/>
      <c r="U469" s="34"/>
      <c r="V469" s="34"/>
      <c r="W469" s="35" t="s">
        <v>69</v>
      </c>
      <c r="X469" s="547">
        <v>0</v>
      </c>
      <c r="Y469" s="548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t="27" hidden="1" customHeight="1" x14ac:dyDescent="0.25">
      <c r="A470" s="54" t="s">
        <v>730</v>
      </c>
      <c r="B470" s="54" t="s">
        <v>731</v>
      </c>
      <c r="C470" s="31">
        <v>4301020260</v>
      </c>
      <c r="D470" s="551">
        <v>4640242180526</v>
      </c>
      <c r="E470" s="552"/>
      <c r="F470" s="546">
        <v>1.8</v>
      </c>
      <c r="G470" s="32">
        <v>6</v>
      </c>
      <c r="H470" s="546">
        <v>10.8</v>
      </c>
      <c r="I470" s="546">
        <v>11.21</v>
      </c>
      <c r="J470" s="32">
        <v>64</v>
      </c>
      <c r="K470" s="32" t="s">
        <v>107</v>
      </c>
      <c r="L470" s="32"/>
      <c r="M470" s="33" t="s">
        <v>109</v>
      </c>
      <c r="N470" s="33"/>
      <c r="O470" s="32">
        <v>50</v>
      </c>
      <c r="P470" s="8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0" s="568"/>
      <c r="R470" s="568"/>
      <c r="S470" s="568"/>
      <c r="T470" s="569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732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58"/>
      <c r="B471" s="557"/>
      <c r="C471" s="557"/>
      <c r="D471" s="557"/>
      <c r="E471" s="557"/>
      <c r="F471" s="557"/>
      <c r="G471" s="557"/>
      <c r="H471" s="557"/>
      <c r="I471" s="557"/>
      <c r="J471" s="557"/>
      <c r="K471" s="557"/>
      <c r="L471" s="557"/>
      <c r="M471" s="557"/>
      <c r="N471" s="557"/>
      <c r="O471" s="559"/>
      <c r="P471" s="553" t="s">
        <v>75</v>
      </c>
      <c r="Q471" s="554"/>
      <c r="R471" s="554"/>
      <c r="S471" s="554"/>
      <c r="T471" s="554"/>
      <c r="U471" s="554"/>
      <c r="V471" s="555"/>
      <c r="W471" s="37" t="s">
        <v>76</v>
      </c>
      <c r="X471" s="549">
        <f>IFERROR(X469/H469,"0")+IFERROR(X470/H470,"0")</f>
        <v>0</v>
      </c>
      <c r="Y471" s="549">
        <f>IFERROR(Y469/H469,"0")+IFERROR(Y470/H470,"0")</f>
        <v>0</v>
      </c>
      <c r="Z471" s="549">
        <f>IFERROR(IF(Z469="",0,Z469),"0")+IFERROR(IF(Z470="",0,Z470),"0")</f>
        <v>0</v>
      </c>
      <c r="AA471" s="550"/>
      <c r="AB471" s="550"/>
      <c r="AC471" s="550"/>
    </row>
    <row r="472" spans="1:68" hidden="1" x14ac:dyDescent="0.2">
      <c r="A472" s="557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59"/>
      <c r="P472" s="553" t="s">
        <v>75</v>
      </c>
      <c r="Q472" s="554"/>
      <c r="R472" s="554"/>
      <c r="S472" s="554"/>
      <c r="T472" s="554"/>
      <c r="U472" s="554"/>
      <c r="V472" s="555"/>
      <c r="W472" s="37" t="s">
        <v>69</v>
      </c>
      <c r="X472" s="549">
        <f>IFERROR(SUM(X469:X470),"0")</f>
        <v>0</v>
      </c>
      <c r="Y472" s="549">
        <f>IFERROR(SUM(Y469:Y470),"0")</f>
        <v>0</v>
      </c>
      <c r="Z472" s="37"/>
      <c r="AA472" s="550"/>
      <c r="AB472" s="550"/>
      <c r="AC472" s="550"/>
    </row>
    <row r="473" spans="1:68" ht="14.25" hidden="1" customHeight="1" x14ac:dyDescent="0.25">
      <c r="A473" s="556" t="s">
        <v>64</v>
      </c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7"/>
      <c r="P473" s="557"/>
      <c r="Q473" s="557"/>
      <c r="R473" s="557"/>
      <c r="S473" s="557"/>
      <c r="T473" s="557"/>
      <c r="U473" s="557"/>
      <c r="V473" s="557"/>
      <c r="W473" s="557"/>
      <c r="X473" s="557"/>
      <c r="Y473" s="557"/>
      <c r="Z473" s="557"/>
      <c r="AA473" s="543"/>
      <c r="AB473" s="543"/>
      <c r="AC473" s="543"/>
    </row>
    <row r="474" spans="1:68" ht="27" hidden="1" customHeight="1" x14ac:dyDescent="0.25">
      <c r="A474" s="54" t="s">
        <v>733</v>
      </c>
      <c r="B474" s="54" t="s">
        <v>734</v>
      </c>
      <c r="C474" s="31">
        <v>4301031280</v>
      </c>
      <c r="D474" s="551">
        <v>4640242180816</v>
      </c>
      <c r="E474" s="552"/>
      <c r="F474" s="546">
        <v>0.7</v>
      </c>
      <c r="G474" s="32">
        <v>6</v>
      </c>
      <c r="H474" s="546">
        <v>4.2</v>
      </c>
      <c r="I474" s="546">
        <v>4.45</v>
      </c>
      <c r="J474" s="32">
        <v>132</v>
      </c>
      <c r="K474" s="32" t="s">
        <v>113</v>
      </c>
      <c r="L474" s="32" t="s">
        <v>116</v>
      </c>
      <c r="M474" s="33" t="s">
        <v>68</v>
      </c>
      <c r="N474" s="33"/>
      <c r="O474" s="32">
        <v>40</v>
      </c>
      <c r="P474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4" s="568"/>
      <c r="R474" s="568"/>
      <c r="S474" s="568"/>
      <c r="T474" s="569"/>
      <c r="U474" s="34"/>
      <c r="V474" s="34"/>
      <c r="W474" s="35" t="s">
        <v>69</v>
      </c>
      <c r="X474" s="547">
        <v>0</v>
      </c>
      <c r="Y474" s="548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93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t="27" hidden="1" customHeight="1" x14ac:dyDescent="0.25">
      <c r="A475" s="54" t="s">
        <v>736</v>
      </c>
      <c r="B475" s="54" t="s">
        <v>737</v>
      </c>
      <c r="C475" s="31">
        <v>4301031244</v>
      </c>
      <c r="D475" s="551">
        <v>4640242180595</v>
      </c>
      <c r="E475" s="552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113</v>
      </c>
      <c r="L475" s="32" t="s">
        <v>116</v>
      </c>
      <c r="M475" s="33" t="s">
        <v>68</v>
      </c>
      <c r="N475" s="33"/>
      <c r="O475" s="32">
        <v>40</v>
      </c>
      <c r="P475" s="78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8"/>
      <c r="R475" s="568"/>
      <c r="S475" s="568"/>
      <c r="T475" s="569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738</v>
      </c>
      <c r="AG475" s="64"/>
      <c r="AJ475" s="68" t="s">
        <v>93</v>
      </c>
      <c r="AK475" s="68">
        <v>50.4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58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59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IFERROR(X474/H474,"0")+IFERROR(X475/H475,"0")</f>
        <v>0</v>
      </c>
      <c r="Y476" s="549">
        <f>IFERROR(Y474/H474,"0")+IFERROR(Y475/H475,"0")</f>
        <v>0</v>
      </c>
      <c r="Z476" s="549">
        <f>IFERROR(IF(Z474="",0,Z474),"0")+IFERROR(IF(Z475="",0,Z475),"0")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9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IFERROR(SUM(X474:X475),"0")</f>
        <v>0</v>
      </c>
      <c r="Y477" s="549">
        <f>IFERROR(SUM(Y474:Y475),"0")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739</v>
      </c>
      <c r="B479" s="54" t="s">
        <v>740</v>
      </c>
      <c r="C479" s="31">
        <v>4301052046</v>
      </c>
      <c r="D479" s="551">
        <v>4640242180533</v>
      </c>
      <c r="E479" s="552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107</v>
      </c>
      <c r="L479" s="32" t="s">
        <v>108</v>
      </c>
      <c r="M479" s="33" t="s">
        <v>87</v>
      </c>
      <c r="N479" s="33"/>
      <c r="O479" s="32">
        <v>45</v>
      </c>
      <c r="P479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8"/>
      <c r="R479" s="568"/>
      <c r="S479" s="568"/>
      <c r="T479" s="569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741</v>
      </c>
      <c r="AG479" s="64"/>
      <c r="AJ479" s="68" t="s">
        <v>93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58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59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59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56" t="s">
        <v>167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742</v>
      </c>
      <c r="B483" s="54" t="s">
        <v>743</v>
      </c>
      <c r="C483" s="31">
        <v>4301060491</v>
      </c>
      <c r="D483" s="551">
        <v>4640242180120</v>
      </c>
      <c r="E483" s="552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107</v>
      </c>
      <c r="L483" s="32"/>
      <c r="M483" s="33" t="s">
        <v>80</v>
      </c>
      <c r="N483" s="33"/>
      <c r="O483" s="32">
        <v>40</v>
      </c>
      <c r="P483" s="79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8"/>
      <c r="R483" s="568"/>
      <c r="S483" s="568"/>
      <c r="T483" s="569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745</v>
      </c>
      <c r="B484" s="54" t="s">
        <v>746</v>
      </c>
      <c r="C484" s="31">
        <v>4301060493</v>
      </c>
      <c r="D484" s="551">
        <v>4640242180137</v>
      </c>
      <c r="E484" s="552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107</v>
      </c>
      <c r="L484" s="32"/>
      <c r="M484" s="33" t="s">
        <v>80</v>
      </c>
      <c r="N484" s="33"/>
      <c r="O484" s="32">
        <v>40</v>
      </c>
      <c r="P484" s="84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8"/>
      <c r="R484" s="568"/>
      <c r="S484" s="568"/>
      <c r="T484" s="569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747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58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9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59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74" t="s">
        <v>748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56" t="s">
        <v>139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749</v>
      </c>
      <c r="B489" s="54" t="s">
        <v>750</v>
      </c>
      <c r="C489" s="31">
        <v>4301020314</v>
      </c>
      <c r="D489" s="551">
        <v>4640242180090</v>
      </c>
      <c r="E489" s="552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107</v>
      </c>
      <c r="L489" s="32"/>
      <c r="M489" s="33" t="s">
        <v>109</v>
      </c>
      <c r="N489" s="33"/>
      <c r="O489" s="32">
        <v>50</v>
      </c>
      <c r="P489" s="72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8"/>
      <c r="R489" s="568"/>
      <c r="S489" s="568"/>
      <c r="T489" s="569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751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58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59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59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83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03"/>
      <c r="P492" s="697" t="s">
        <v>752</v>
      </c>
      <c r="Q492" s="561"/>
      <c r="R492" s="561"/>
      <c r="S492" s="561"/>
      <c r="T492" s="561"/>
      <c r="U492" s="561"/>
      <c r="V492" s="562"/>
      <c r="W492" s="37" t="s">
        <v>69</v>
      </c>
      <c r="X492" s="549">
        <f>IFERROR(X25+X33+X37+X45+X49+X59+X65+X71+X78+X83+X91+X98+X107+X114+X121+X125+X131+X136+X141+X147+X153+X157+X163+X178+X184+X188+X194+X199+X210+X222+X227+X240+X244+X248+X256+X265+X273+X280+X286+X291+X301+X310+X317+X323+X330+X336+X343+X355+X360+X365+X369+X375+X380+X386+X400+X405+X410+X417+X422+X439+X445+X454+X458+X467+X472+X477+X481+X486+X491,"0")</f>
        <v>17953.25</v>
      </c>
      <c r="Y492" s="549">
        <f>IFERROR(Y25+Y33+Y37+Y45+Y49+Y59+Y65+Y71+Y78+Y83+Y91+Y98+Y107+Y114+Y121+Y125+Y131+Y136+Y141+Y147+Y153+Y157+Y163+Y178+Y184+Y188+Y194+Y199+Y210+Y222+Y227+Y240+Y244+Y248+Y256+Y265+Y273+Y280+Y286+Y291+Y301+Y310+Y317+Y323+Y330+Y336+Y343+Y355+Y360+Y365+Y369+Y375+Y380+Y386+Y400+Y405+Y410+Y417+Y422+Y439+Y445+Y454+Y458+Y467+Y472+Y477+Y481+Y486+Y491,"0")</f>
        <v>18167.18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03"/>
      <c r="P493" s="697" t="s">
        <v>753</v>
      </c>
      <c r="Q493" s="561"/>
      <c r="R493" s="561"/>
      <c r="S493" s="561"/>
      <c r="T493" s="561"/>
      <c r="U493" s="561"/>
      <c r="V493" s="562"/>
      <c r="W493" s="37" t="s">
        <v>69</v>
      </c>
      <c r="X493" s="549">
        <f>IFERROR(SUM(BM22:BM489),"0")</f>
        <v>18759.264166847413</v>
      </c>
      <c r="Y493" s="549">
        <f>IFERROR(SUM(BN22:BN489),"0")</f>
        <v>18983.276000000002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03"/>
      <c r="P494" s="697" t="s">
        <v>754</v>
      </c>
      <c r="Q494" s="561"/>
      <c r="R494" s="561"/>
      <c r="S494" s="561"/>
      <c r="T494" s="561"/>
      <c r="U494" s="561"/>
      <c r="V494" s="562"/>
      <c r="W494" s="37" t="s">
        <v>755</v>
      </c>
      <c r="X494" s="38">
        <f>ROUNDUP(SUM(BO22:BO489),0)</f>
        <v>29</v>
      </c>
      <c r="Y494" s="38">
        <f>ROUNDUP(SUM(BP22:BP489),0)</f>
        <v>29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03"/>
      <c r="P495" s="697" t="s">
        <v>756</v>
      </c>
      <c r="Q495" s="561"/>
      <c r="R495" s="561"/>
      <c r="S495" s="561"/>
      <c r="T495" s="561"/>
      <c r="U495" s="561"/>
      <c r="V495" s="562"/>
      <c r="W495" s="37" t="s">
        <v>69</v>
      </c>
      <c r="X495" s="549">
        <f>GrossWeightTotal+PalletQtyTotal*25</f>
        <v>19484.264166847413</v>
      </c>
      <c r="Y495" s="549">
        <f>GrossWeightTotalR+PalletQtyTotalR*25</f>
        <v>19708.276000000002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03"/>
      <c r="P496" s="697" t="s">
        <v>757</v>
      </c>
      <c r="Q496" s="561"/>
      <c r="R496" s="561"/>
      <c r="S496" s="561"/>
      <c r="T496" s="561"/>
      <c r="U496" s="561"/>
      <c r="V496" s="562"/>
      <c r="W496" s="37" t="s">
        <v>755</v>
      </c>
      <c r="X496" s="549">
        <f>IFERROR(X24+X32+X36+X44+X48+X58+X64+X70+X77+X82+X90+X97+X106+X113+X120+X124+X130+X135+X140+X146+X152+X156+X162+X177+X183+X187+X193+X198+X209+X221+X226+X239+X243+X247+X255+X264+X272+X279+X285+X290+X300+X309+X316+X322+X329+X335+X342+X354+X359+X364+X368+X374+X379+X385+X399+X404+X409+X416+X421+X438+X444+X453+X457+X466+X471+X476+X480+X485+X490,"0")</f>
        <v>2099.8098556403152</v>
      </c>
      <c r="Y496" s="549">
        <f>IFERROR(Y24+Y32+Y36+Y44+Y48+Y58+Y64+Y70+Y77+Y82+Y90+Y97+Y106+Y113+Y120+Y124+Y130+Y135+Y140+Y146+Y152+Y156+Y162+Y177+Y183+Y187+Y193+Y198+Y209+Y221+Y226+Y239+Y243+Y247+Y255+Y264+Y272+Y279+Y285+Y290+Y300+Y309+Y316+Y322+Y329+Y335+Y342+Y354+Y359+Y364+Y368+Y374+Y379+Y385+Y399+Y404+Y409+Y416+Y421+Y438+Y444+Y453+Y457+Y466+Y471+Y476+Y480+Y485+Y490,"0")</f>
        <v>2127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03"/>
      <c r="P497" s="697" t="s">
        <v>758</v>
      </c>
      <c r="Q497" s="561"/>
      <c r="R497" s="561"/>
      <c r="S497" s="561"/>
      <c r="T497" s="561"/>
      <c r="U497" s="561"/>
      <c r="V497" s="562"/>
      <c r="W497" s="39" t="s">
        <v>759</v>
      </c>
      <c r="X497" s="37"/>
      <c r="Y497" s="37"/>
      <c r="Z497" s="37">
        <f>IFERROR(Z24+Z32+Z36+Z44+Z48+Z58+Z64+Z70+Z77+Z82+Z90+Z97+Z106+Z113+Z120+Z124+Z130+Z135+Z140+Z146+Z152+Z156+Z162+Z177+Z183+Z187+Z193+Z198+Z209+Z221+Z226+Z239+Z243+Z247+Z255+Z264+Z272+Z279+Z285+Z290+Z300+Z309+Z316+Z322+Z329+Z335+Z342+Z354+Z359+Z364+Z368+Z374+Z379+Z385+Z399+Z404+Z409+Z416+Z421+Z438+Z444+Z453+Z457+Z466+Z471+Z476+Z480+Z485+Z490,"0")</f>
        <v>33.33399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760</v>
      </c>
      <c r="B499" s="544" t="s">
        <v>63</v>
      </c>
      <c r="C499" s="605" t="s">
        <v>102</v>
      </c>
      <c r="D499" s="609"/>
      <c r="E499" s="609"/>
      <c r="F499" s="609"/>
      <c r="G499" s="609"/>
      <c r="H499" s="610"/>
      <c r="I499" s="605" t="s">
        <v>267</v>
      </c>
      <c r="J499" s="609"/>
      <c r="K499" s="609"/>
      <c r="L499" s="609"/>
      <c r="M499" s="609"/>
      <c r="N499" s="609"/>
      <c r="O499" s="609"/>
      <c r="P499" s="609"/>
      <c r="Q499" s="609"/>
      <c r="R499" s="610"/>
      <c r="S499" s="605" t="s">
        <v>554</v>
      </c>
      <c r="T499" s="610"/>
      <c r="U499" s="605" t="s">
        <v>608</v>
      </c>
      <c r="V499" s="609"/>
      <c r="W499" s="610"/>
      <c r="X499" s="544" t="s">
        <v>659</v>
      </c>
      <c r="Y499" s="605" t="s">
        <v>715</v>
      </c>
      <c r="Z499" s="610"/>
      <c r="AB499" s="52"/>
      <c r="AC499" s="52"/>
      <c r="AF499" s="545"/>
    </row>
    <row r="500" spans="1:32" ht="14.25" customHeight="1" thickTop="1" x14ac:dyDescent="0.2">
      <c r="A500" s="870" t="s">
        <v>761</v>
      </c>
      <c r="B500" s="605" t="s">
        <v>63</v>
      </c>
      <c r="C500" s="605" t="s">
        <v>103</v>
      </c>
      <c r="D500" s="605" t="s">
        <v>120</v>
      </c>
      <c r="E500" s="605" t="s">
        <v>174</v>
      </c>
      <c r="F500" s="605" t="s">
        <v>198</v>
      </c>
      <c r="G500" s="605" t="s">
        <v>237</v>
      </c>
      <c r="H500" s="605" t="s">
        <v>102</v>
      </c>
      <c r="I500" s="605" t="s">
        <v>268</v>
      </c>
      <c r="J500" s="605" t="s">
        <v>321</v>
      </c>
      <c r="K500" s="605" t="s">
        <v>380</v>
      </c>
      <c r="L500" s="605" t="s">
        <v>420</v>
      </c>
      <c r="M500" s="605" t="s">
        <v>436</v>
      </c>
      <c r="N500" s="545"/>
      <c r="O500" s="605" t="s">
        <v>447</v>
      </c>
      <c r="P500" s="605" t="s">
        <v>456</v>
      </c>
      <c r="Q500" s="605" t="s">
        <v>469</v>
      </c>
      <c r="R500" s="605" t="s">
        <v>544</v>
      </c>
      <c r="S500" s="605" t="s">
        <v>555</v>
      </c>
      <c r="T500" s="605" t="s">
        <v>590</v>
      </c>
      <c r="U500" s="605" t="s">
        <v>609</v>
      </c>
      <c r="V500" s="605" t="s">
        <v>640</v>
      </c>
      <c r="W500" s="605" t="s">
        <v>655</v>
      </c>
      <c r="X500" s="605" t="s">
        <v>659</v>
      </c>
      <c r="Y500" s="605" t="s">
        <v>715</v>
      </c>
      <c r="Z500" s="605" t="s">
        <v>748</v>
      </c>
      <c r="AB500" s="52"/>
      <c r="AC500" s="52"/>
      <c r="AF500" s="545"/>
    </row>
    <row r="501" spans="1:32" ht="13.5" customHeight="1" thickBot="1" x14ac:dyDescent="0.25">
      <c r="A501" s="871"/>
      <c r="B501" s="606"/>
      <c r="C501" s="606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545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  <c r="Y501" s="606"/>
      <c r="Z501" s="606"/>
      <c r="AB501" s="52"/>
      <c r="AC501" s="52"/>
      <c r="AF501" s="545"/>
    </row>
    <row r="502" spans="1:32" ht="18" customHeight="1" thickTop="1" thickBot="1" x14ac:dyDescent="0.25">
      <c r="A502" s="40" t="s">
        <v>762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1857.6000000000001</v>
      </c>
      <c r="D502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1584.8</v>
      </c>
      <c r="E502" s="46">
        <f>IFERROR(Y86*1,"0")+IFERROR(Y87*1,"0")+IFERROR(Y88*1,"0")+IFERROR(Y89*1,"0")+IFERROR(Y93*1,"0")+IFERROR(Y94*1,"0")+IFERROR(Y95*1,"0")+IFERROR(Y96*1,"0")</f>
        <v>699.30000000000007</v>
      </c>
      <c r="F502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923.4</v>
      </c>
      <c r="G502" s="46">
        <f>IFERROR(Y128*1,"0")+IFERROR(Y129*1,"0")+IFERROR(Y133*1,"0")+IFERROR(Y134*1,"0")+IFERROR(Y138*1,"0")+IFERROR(Y139*1,"0")</f>
        <v>0</v>
      </c>
      <c r="H502" s="46">
        <f>IFERROR(Y144*1,"0")+IFERROR(Y145*1,"0")+IFERROR(Y149*1,"0")+IFERROR(Y150*1,"0")+IFERROR(Y151*1,"0")+IFERROR(Y155*1,"0")</f>
        <v>36</v>
      </c>
      <c r="I502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71.400000000000006</v>
      </c>
      <c r="J5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952.2</v>
      </c>
      <c r="K502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37.799999999999997</v>
      </c>
      <c r="L502" s="46">
        <f>IFERROR(Y259*1,"0")+IFERROR(Y260*1,"0")+IFERROR(Y261*1,"0")+IFERROR(Y262*1,"0")+IFERROR(Y263*1,"0")</f>
        <v>118.80000000000001</v>
      </c>
      <c r="M502" s="46">
        <f>IFERROR(Y268*1,"0")+IFERROR(Y269*1,"0")+IFERROR(Y270*1,"0")+IFERROR(Y271*1,"0")</f>
        <v>0</v>
      </c>
      <c r="N502" s="545"/>
      <c r="O502" s="46">
        <f>IFERROR(Y276*1,"0")+IFERROR(Y277*1,"0")+IFERROR(Y278*1,"0")</f>
        <v>4.8</v>
      </c>
      <c r="P502" s="46">
        <f>IFERROR(Y283*1,"0")+IFERROR(Y284*1,"0")+IFERROR(Y288*1,"0")+IFERROR(Y289*1,"0")</f>
        <v>0</v>
      </c>
      <c r="Q502" s="46">
        <f>IFERROR(Y294*1,"0")+IFERROR(Y295*1,"0")+IFERROR(Y296*1,"0")+IFERROR(Y297*1,"0")+IFERROR(Y298*1,"0")+IFERROR(Y299*1,"0")+IFERROR(Y303*1,"0")+IFERROR(Y304*1,"0")+IFERROR(Y305*1,"0")+IFERROR(Y306*1,"0")+IFERROR(Y307*1,"0")+IFERROR(Y308*1,"0")+IFERROR(Y312*1,"0")+IFERROR(Y313*1,"0")+IFERROR(Y314*1,"0")+IFERROR(Y315*1,"0")+IFERROR(Y319*1,"0")+IFERROR(Y320*1,"0")+IFERROR(Y321*1,"0")+IFERROR(Y325*1,"0")+IFERROR(Y326*1,"0")+IFERROR(Y327*1,"0")+IFERROR(Y328*1,"0")+IFERROR(Y332*1,"0")+IFERROR(Y333*1,"0")+IFERROR(Y334*1,"0")</f>
        <v>505.20000000000005</v>
      </c>
      <c r="R502" s="46">
        <f>IFERROR(Y339*1,"0")+IFERROR(Y340*1,"0")+IFERROR(Y341*1,"0")</f>
        <v>113.39999999999999</v>
      </c>
      <c r="S502" s="46">
        <f>IFERROR(Y347*1,"0")+IFERROR(Y348*1,"0")+IFERROR(Y349*1,"0")+IFERROR(Y350*1,"0")+IFERROR(Y351*1,"0")+IFERROR(Y352*1,"0")+IFERROR(Y353*1,"0")+IFERROR(Y357*1,"0")+IFERROR(Y358*1,"0")+IFERROR(Y362*1,"0")+IFERROR(Y363*1,"0")+IFERROR(Y367*1,"0")</f>
        <v>5586</v>
      </c>
      <c r="T502" s="46">
        <f>IFERROR(Y372*1,"0")+IFERROR(Y373*1,"0")+IFERROR(Y377*1,"0")+IFERROR(Y378*1,"0")+IFERROR(Y382*1,"0")+IFERROR(Y383*1,"0")+IFERROR(Y384*1,"0")</f>
        <v>2085</v>
      </c>
      <c r="U502" s="46">
        <f>IFERROR(Y390*1,"0")+IFERROR(Y391*1,"0")+IFERROR(Y392*1,"0")+IFERROR(Y393*1,"0")+IFERROR(Y394*1,"0")+IFERROR(Y395*1,"0")+IFERROR(Y396*1,"0")+IFERROR(Y397*1,"0")+IFERROR(Y398*1,"0")+IFERROR(Y402*1,"0")+IFERROR(Y403*1,"0")</f>
        <v>156.60000000000002</v>
      </c>
      <c r="V502" s="46">
        <f>IFERROR(Y408*1,"0")+IFERROR(Y412*1,"0")+IFERROR(Y413*1,"0")+IFERROR(Y414*1,"0")+IFERROR(Y415*1,"0")</f>
        <v>194.4</v>
      </c>
      <c r="W502" s="46">
        <f>IFERROR(Y420*1,"0")</f>
        <v>0</v>
      </c>
      <c r="X502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+IFERROR(Y456*1,"0")</f>
        <v>3120.4799999999996</v>
      </c>
      <c r="Y502" s="46">
        <f>IFERROR(Y462*1,"0")+IFERROR(Y463*1,"0")+IFERROR(Y464*1,"0")+IFERROR(Y465*1,"0")+IFERROR(Y469*1,"0")+IFERROR(Y470*1,"0")+IFERROR(Y474*1,"0")+IFERROR(Y475*1,"0")+IFERROR(Y479*1,"0")+IFERROR(Y483*1,"0")+IFERROR(Y484*1,"0")</f>
        <v>120</v>
      </c>
      <c r="Z502" s="46">
        <f>IFERROR(Y489*1,"0")</f>
        <v>0</v>
      </c>
      <c r="AB502" s="52"/>
      <c r="AC502" s="52"/>
      <c r="AF502" s="545"/>
    </row>
  </sheetData>
  <sheetProtection algorithmName="SHA-512" hashValue="wTe0dYo5+Jfwm2MdwUHZR4Kj1TLxxOVX40CynRXQ0D82NveQC3+WK5fSxmOsljGEUQG8TgAxz1GnBDlp3velVA==" saltValue="kTEb3iyVQ2vsOoLySAI8k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170,00"/>
        <filter val="1 360,00"/>
        <filter val="1 620,00"/>
        <filter val="1 850,00"/>
        <filter val="1,67"/>
        <filter val="10,00"/>
        <filter val="10,19"/>
        <filter val="100,00"/>
        <filter val="105,65"/>
        <filter val="106,00"/>
        <filter val="110,00"/>
        <filter val="112,50"/>
        <filter val="115,50"/>
        <filter val="120,00"/>
        <filter val="13,09"/>
        <filter val="134,00"/>
        <filter val="137,04"/>
        <filter val="141,10"/>
        <filter val="150,00"/>
        <filter val="16,67"/>
        <filter val="17 953,25"/>
        <filter val="17,59"/>
        <filter val="171,30"/>
        <filter val="178,00"/>
        <filter val="18 759,26"/>
        <filter val="18,00"/>
        <filter val="188,45"/>
        <filter val="19 484,26"/>
        <filter val="19,05"/>
        <filter val="19,25"/>
        <filter val="19,44"/>
        <filter val="190,00"/>
        <filter val="2 020,00"/>
        <filter val="2 099,81"/>
        <filter val="2 345,00"/>
        <filter val="20,00"/>
        <filter val="200,00"/>
        <filter val="204,00"/>
        <filter val="224,44"/>
        <filter val="25,51"/>
        <filter val="250,00"/>
        <filter val="257,58"/>
        <filter val="27,78"/>
        <filter val="29"/>
        <filter val="290,67"/>
        <filter val="3,33"/>
        <filter val="3,85"/>
        <filter val="30,00"/>
        <filter val="30,93"/>
        <filter val="32,41"/>
        <filter val="320,00"/>
        <filter val="330,00"/>
        <filter val="35,19"/>
        <filter val="35,79"/>
        <filter val="350,00"/>
        <filter val="380,00"/>
        <filter val="395,00"/>
        <filter val="4 360,00"/>
        <filter val="4,00"/>
        <filter val="4,17"/>
        <filter val="40,00"/>
        <filter val="400,00"/>
        <filter val="446,00"/>
        <filter val="48,00"/>
        <filter val="50,00"/>
        <filter val="520,00"/>
        <filter val="53,70"/>
        <filter val="558,50"/>
        <filter val="580,00"/>
        <filter val="60,00"/>
        <filter val="67,50"/>
        <filter val="70,00"/>
        <filter val="740,00"/>
        <filter val="745,00"/>
        <filter val="75,00"/>
        <filter val="78,00"/>
        <filter val="80,00"/>
        <filter val="855,00"/>
        <filter val="90,00"/>
        <filter val="900,00"/>
        <filter val="96,73"/>
        <filter val="995,00"/>
      </filters>
    </filterColumn>
    <filterColumn colId="29" showButton="0"/>
    <filterColumn colId="30" showButton="0"/>
  </autoFilter>
  <mergeCells count="880">
    <mergeCell ref="X17:X18"/>
    <mergeCell ref="D110:E110"/>
    <mergeCell ref="D408:E408"/>
    <mergeCell ref="P500:P501"/>
    <mergeCell ref="P140:V140"/>
    <mergeCell ref="A335:O336"/>
    <mergeCell ref="A21:Z21"/>
    <mergeCell ref="P438:V438"/>
    <mergeCell ref="D192:E192"/>
    <mergeCell ref="A500:A501"/>
    <mergeCell ref="D42:E42"/>
    <mergeCell ref="P363:T363"/>
    <mergeCell ref="C500:C501"/>
    <mergeCell ref="D173:E173"/>
    <mergeCell ref="P313:T313"/>
    <mergeCell ref="P373:T373"/>
    <mergeCell ref="P307:T307"/>
    <mergeCell ref="P202:T202"/>
    <mergeCell ref="D250:E250"/>
    <mergeCell ref="D123:E123"/>
    <mergeCell ref="U499:W499"/>
    <mergeCell ref="A44:O45"/>
    <mergeCell ref="P383:T383"/>
    <mergeCell ref="A329:O330"/>
    <mergeCell ref="A8:C8"/>
    <mergeCell ref="P163:V163"/>
    <mergeCell ref="D268:E268"/>
    <mergeCell ref="P151:T151"/>
    <mergeCell ref="D395:E395"/>
    <mergeCell ref="P449:T449"/>
    <mergeCell ref="P496:V496"/>
    <mergeCell ref="P374:V374"/>
    <mergeCell ref="A10:C10"/>
    <mergeCell ref="P218:T218"/>
    <mergeCell ref="D17:E18"/>
    <mergeCell ref="F9:G9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P285:V285"/>
    <mergeCell ref="A337:Z337"/>
    <mergeCell ref="B500:B501"/>
    <mergeCell ref="P495:V495"/>
    <mergeCell ref="A127:Z127"/>
    <mergeCell ref="P422:V422"/>
    <mergeCell ref="P239:V239"/>
    <mergeCell ref="A257:Z257"/>
    <mergeCell ref="P433:T433"/>
    <mergeCell ref="D276:E276"/>
    <mergeCell ref="P262:T262"/>
    <mergeCell ref="D341:E341"/>
    <mergeCell ref="D170:E170"/>
    <mergeCell ref="D242:E242"/>
    <mergeCell ref="P290:V290"/>
    <mergeCell ref="P297:T297"/>
    <mergeCell ref="P435:T435"/>
    <mergeCell ref="D278:E278"/>
    <mergeCell ref="W500:W501"/>
    <mergeCell ref="AD17:AF18"/>
    <mergeCell ref="D101:E101"/>
    <mergeCell ref="A132:Z132"/>
    <mergeCell ref="D76:E76"/>
    <mergeCell ref="P494:V494"/>
    <mergeCell ref="A185:Z185"/>
    <mergeCell ref="P196:T196"/>
    <mergeCell ref="D462:E462"/>
    <mergeCell ref="P62:T62"/>
    <mergeCell ref="D450:E450"/>
    <mergeCell ref="D216:E216"/>
    <mergeCell ref="P300:V300"/>
    <mergeCell ref="P493:V493"/>
    <mergeCell ref="D452:E452"/>
    <mergeCell ref="A318:Z318"/>
    <mergeCell ref="D252:E252"/>
    <mergeCell ref="A279:O280"/>
    <mergeCell ref="P174:T174"/>
    <mergeCell ref="P149:T149"/>
    <mergeCell ref="D95:E95"/>
    <mergeCell ref="P447:T447"/>
    <mergeCell ref="Y17:Y18"/>
    <mergeCell ref="U17:V17"/>
    <mergeCell ref="P481:V481"/>
    <mergeCell ref="P102:T102"/>
    <mergeCell ref="P484:T484"/>
    <mergeCell ref="P288:T288"/>
    <mergeCell ref="A478:Z478"/>
    <mergeCell ref="D234:E234"/>
    <mergeCell ref="P434:T434"/>
    <mergeCell ref="P263:T263"/>
    <mergeCell ref="D171:E171"/>
    <mergeCell ref="P310:V310"/>
    <mergeCell ref="P181:T181"/>
    <mergeCell ref="P357:T357"/>
    <mergeCell ref="D29:E29"/>
    <mergeCell ref="F5:G5"/>
    <mergeCell ref="P365:V365"/>
    <mergeCell ref="A488:Z488"/>
    <mergeCell ref="P467:V467"/>
    <mergeCell ref="A368:O369"/>
    <mergeCell ref="P67:T67"/>
    <mergeCell ref="D430:E430"/>
    <mergeCell ref="D175:E175"/>
    <mergeCell ref="P186:T186"/>
    <mergeCell ref="A36:O37"/>
    <mergeCell ref="P253:T253"/>
    <mergeCell ref="D392:E392"/>
    <mergeCell ref="A223:Z223"/>
    <mergeCell ref="V11:W11"/>
    <mergeCell ref="P57:T57"/>
    <mergeCell ref="P367:T367"/>
    <mergeCell ref="D165:E165"/>
    <mergeCell ref="D475:E475"/>
    <mergeCell ref="P75:T75"/>
    <mergeCell ref="D394:E394"/>
    <mergeCell ref="P430:T430"/>
    <mergeCell ref="D174:E174"/>
    <mergeCell ref="P277:T277"/>
    <mergeCell ref="D391:E391"/>
    <mergeCell ref="P2:W3"/>
    <mergeCell ref="P133:T133"/>
    <mergeCell ref="P298:T298"/>
    <mergeCell ref="D437:E437"/>
    <mergeCell ref="P347:T347"/>
    <mergeCell ref="P54:T54"/>
    <mergeCell ref="D35:E35"/>
    <mergeCell ref="P412:T412"/>
    <mergeCell ref="A342:O343"/>
    <mergeCell ref="D333:E333"/>
    <mergeCell ref="D10:E10"/>
    <mergeCell ref="F10:G10"/>
    <mergeCell ref="P362:T362"/>
    <mergeCell ref="P191:T191"/>
    <mergeCell ref="D305:E305"/>
    <mergeCell ref="P349:T349"/>
    <mergeCell ref="D270:E270"/>
    <mergeCell ref="P420:T420"/>
    <mergeCell ref="D397:E397"/>
    <mergeCell ref="P78:V78"/>
    <mergeCell ref="P128:T128"/>
    <mergeCell ref="P465:T465"/>
    <mergeCell ref="D215:E215"/>
    <mergeCell ref="A255:O256"/>
    <mergeCell ref="P194:V194"/>
    <mergeCell ref="A364:O365"/>
    <mergeCell ref="D449:E449"/>
    <mergeCell ref="D465:E465"/>
    <mergeCell ref="D464:E464"/>
    <mergeCell ref="D442:E442"/>
    <mergeCell ref="P442:T442"/>
    <mergeCell ref="P452:T452"/>
    <mergeCell ref="P315:T315"/>
    <mergeCell ref="P231:T231"/>
    <mergeCell ref="P410:V410"/>
    <mergeCell ref="P492:V492"/>
    <mergeCell ref="P415:T415"/>
    <mergeCell ref="P286:V286"/>
    <mergeCell ref="M17:M18"/>
    <mergeCell ref="O17:O18"/>
    <mergeCell ref="P131:V131"/>
    <mergeCell ref="P187:V187"/>
    <mergeCell ref="A453:O454"/>
    <mergeCell ref="D23:E23"/>
    <mergeCell ref="A20:Z20"/>
    <mergeCell ref="A51:Z51"/>
    <mergeCell ref="N17:N18"/>
    <mergeCell ref="A58:O59"/>
    <mergeCell ref="F17:F18"/>
    <mergeCell ref="A24:O25"/>
    <mergeCell ref="P134:T134"/>
    <mergeCell ref="A124:O125"/>
    <mergeCell ref="P436:T436"/>
    <mergeCell ref="A425:Z425"/>
    <mergeCell ref="P463:T463"/>
    <mergeCell ref="D384:E384"/>
    <mergeCell ref="P341:T341"/>
    <mergeCell ref="D213:E213"/>
    <mergeCell ref="D151:E151"/>
    <mergeCell ref="A64:O65"/>
    <mergeCell ref="D321:E321"/>
    <mergeCell ref="P278:T278"/>
    <mergeCell ref="D150:E150"/>
    <mergeCell ref="P101:T101"/>
    <mergeCell ref="D102:E102"/>
    <mergeCell ref="P379:V379"/>
    <mergeCell ref="D196:E196"/>
    <mergeCell ref="A440:Z440"/>
    <mergeCell ref="P294:T294"/>
    <mergeCell ref="P272:V272"/>
    <mergeCell ref="D133:E133"/>
    <mergeCell ref="P210:V210"/>
    <mergeCell ref="D269:E269"/>
    <mergeCell ref="D296:E296"/>
    <mergeCell ref="D203:E203"/>
    <mergeCell ref="D420:E420"/>
    <mergeCell ref="A419:Z419"/>
    <mergeCell ref="A423:Z423"/>
    <mergeCell ref="D402:E402"/>
    <mergeCell ref="A438:O439"/>
    <mergeCell ref="P427:T427"/>
    <mergeCell ref="A258:Z258"/>
    <mergeCell ref="P437:T437"/>
    <mergeCell ref="U500:U501"/>
    <mergeCell ref="D358:E358"/>
    <mergeCell ref="P70:V70"/>
    <mergeCell ref="A389:Z389"/>
    <mergeCell ref="A460:Z460"/>
    <mergeCell ref="P32:V32"/>
    <mergeCell ref="Q13:R13"/>
    <mergeCell ref="A293:Z293"/>
    <mergeCell ref="P97:V97"/>
    <mergeCell ref="P201:T201"/>
    <mergeCell ref="P139:T139"/>
    <mergeCell ref="P176:T176"/>
    <mergeCell ref="P41:T41"/>
    <mergeCell ref="P483:T483"/>
    <mergeCell ref="D155:E155"/>
    <mergeCell ref="D22:E22"/>
    <mergeCell ref="A455:Z455"/>
    <mergeCell ref="D320:E320"/>
    <mergeCell ref="P470:T470"/>
    <mergeCell ref="D447:E447"/>
    <mergeCell ref="D149:E149"/>
    <mergeCell ref="P255:V255"/>
    <mergeCell ref="P295:T295"/>
    <mergeCell ref="P276:T276"/>
    <mergeCell ref="V500:V501"/>
    <mergeCell ref="P471:V471"/>
    <mergeCell ref="A461:Z461"/>
    <mergeCell ref="D288:E288"/>
    <mergeCell ref="P421:V421"/>
    <mergeCell ref="D434:E434"/>
    <mergeCell ref="P240:V240"/>
    <mergeCell ref="P111:T111"/>
    <mergeCell ref="D225:E225"/>
    <mergeCell ref="A399:O400"/>
    <mergeCell ref="D436:E436"/>
    <mergeCell ref="A476:O477"/>
    <mergeCell ref="A243:O244"/>
    <mergeCell ref="P321:T321"/>
    <mergeCell ref="D373:E373"/>
    <mergeCell ref="D202:E202"/>
    <mergeCell ref="A179:Z179"/>
    <mergeCell ref="A302:Z302"/>
    <mergeCell ref="P112:T112"/>
    <mergeCell ref="D294:E294"/>
    <mergeCell ref="P348:T348"/>
    <mergeCell ref="P273:V273"/>
    <mergeCell ref="A113:O114"/>
    <mergeCell ref="D231:E231"/>
    <mergeCell ref="I499:R499"/>
    <mergeCell ref="D212:E212"/>
    <mergeCell ref="P396:T396"/>
    <mergeCell ref="P225:T225"/>
    <mergeCell ref="D6:M6"/>
    <mergeCell ref="D304:E304"/>
    <mergeCell ref="A492:O497"/>
    <mergeCell ref="P175:T175"/>
    <mergeCell ref="A85:Z85"/>
    <mergeCell ref="D441:E441"/>
    <mergeCell ref="P398:T398"/>
    <mergeCell ref="Y499:Z499"/>
    <mergeCell ref="D319:E319"/>
    <mergeCell ref="P475:T475"/>
    <mergeCell ref="P93:T93"/>
    <mergeCell ref="D207:E207"/>
    <mergeCell ref="P269:T269"/>
    <mergeCell ref="P462:T462"/>
    <mergeCell ref="D383:E383"/>
    <mergeCell ref="P120:V120"/>
    <mergeCell ref="D299:E299"/>
    <mergeCell ref="P405:V405"/>
    <mergeCell ref="A401:Z401"/>
    <mergeCell ref="P476:V476"/>
    <mergeCell ref="T500:T501"/>
    <mergeCell ref="V6:W9"/>
    <mergeCell ref="A106:O107"/>
    <mergeCell ref="P109:T109"/>
    <mergeCell ref="D435:E435"/>
    <mergeCell ref="A404:O405"/>
    <mergeCell ref="D413:E413"/>
    <mergeCell ref="A226:O227"/>
    <mergeCell ref="D484:E484"/>
    <mergeCell ref="D217:E217"/>
    <mergeCell ref="D186:E186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Z17:Z18"/>
    <mergeCell ref="P265:V265"/>
    <mergeCell ref="P458:V458"/>
    <mergeCell ref="A388:Z388"/>
    <mergeCell ref="AA17:AA18"/>
    <mergeCell ref="H10:M10"/>
    <mergeCell ref="P107:V107"/>
    <mergeCell ref="AC17:AC18"/>
    <mergeCell ref="A122:Z122"/>
    <mergeCell ref="A409:O410"/>
    <mergeCell ref="D393:E393"/>
    <mergeCell ref="D89:E89"/>
    <mergeCell ref="P209:V209"/>
    <mergeCell ref="A72:Z72"/>
    <mergeCell ref="P254:T254"/>
    <mergeCell ref="P147:V147"/>
    <mergeCell ref="P251:T251"/>
    <mergeCell ref="D128:E128"/>
    <mergeCell ref="AB17:AB18"/>
    <mergeCell ref="P44:V44"/>
    <mergeCell ref="D367:E367"/>
    <mergeCell ref="P329:V329"/>
    <mergeCell ref="A154:Z154"/>
    <mergeCell ref="P35:T35"/>
    <mergeCell ref="G17:G18"/>
    <mergeCell ref="P333:T333"/>
    <mergeCell ref="D314:E314"/>
    <mergeCell ref="P184:V184"/>
    <mergeCell ref="D489:E489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A457:O458"/>
    <mergeCell ref="P327:T327"/>
    <mergeCell ref="A444:O445"/>
    <mergeCell ref="A160:Z160"/>
    <mergeCell ref="P316:V316"/>
    <mergeCell ref="P212:T212"/>
    <mergeCell ref="P445:V445"/>
    <mergeCell ref="P457:V457"/>
    <mergeCell ref="P393:T393"/>
    <mergeCell ref="A338:Z338"/>
    <mergeCell ref="A40:Z40"/>
    <mergeCell ref="P232:T232"/>
    <mergeCell ref="P152:V152"/>
    <mergeCell ref="A275:Z275"/>
    <mergeCell ref="P395:T395"/>
    <mergeCell ref="P96:T96"/>
    <mergeCell ref="P261:T261"/>
    <mergeCell ref="P332:T332"/>
    <mergeCell ref="P217:T217"/>
    <mergeCell ref="D204:E204"/>
    <mergeCell ref="P161:T161"/>
    <mergeCell ref="A152:O153"/>
    <mergeCell ref="A143:Z143"/>
    <mergeCell ref="P121:V121"/>
    <mergeCell ref="D80:E80"/>
    <mergeCell ref="P61:T61"/>
    <mergeCell ref="P105:T105"/>
    <mergeCell ref="P214:T214"/>
    <mergeCell ref="P270:T270"/>
    <mergeCell ref="P306:T306"/>
    <mergeCell ref="P157:V157"/>
    <mergeCell ref="P308:T308"/>
    <mergeCell ref="A146:O147"/>
    <mergeCell ref="P283:T283"/>
    <mergeCell ref="A38:Z38"/>
    <mergeCell ref="A274:Z274"/>
    <mergeCell ref="P207:T207"/>
    <mergeCell ref="P299:T299"/>
    <mergeCell ref="P221:V221"/>
    <mergeCell ref="D138:E138"/>
    <mergeCell ref="P386:V386"/>
    <mergeCell ref="A211:Z211"/>
    <mergeCell ref="D86:E86"/>
    <mergeCell ref="D54:E54"/>
    <mergeCell ref="D57:E57"/>
    <mergeCell ref="P204:T204"/>
    <mergeCell ref="A381:Z381"/>
    <mergeCell ref="P124:V124"/>
    <mergeCell ref="P360:V360"/>
    <mergeCell ref="A108:Z108"/>
    <mergeCell ref="D166:E166"/>
    <mergeCell ref="D261:E261"/>
    <mergeCell ref="P169:T169"/>
    <mergeCell ref="A130:O131"/>
    <mergeCell ref="D118:E118"/>
    <mergeCell ref="P53:T53"/>
    <mergeCell ref="D63:E63"/>
    <mergeCell ref="D52:E52"/>
    <mergeCell ref="A473:Z473"/>
    <mergeCell ref="P340:T340"/>
    <mergeCell ref="L500:L501"/>
    <mergeCell ref="D500:D501"/>
    <mergeCell ref="J9:M9"/>
    <mergeCell ref="A418:Z418"/>
    <mergeCell ref="F500:F501"/>
    <mergeCell ref="A356:Z356"/>
    <mergeCell ref="D283:E283"/>
    <mergeCell ref="D112:E112"/>
    <mergeCell ref="D348:E348"/>
    <mergeCell ref="A90:O91"/>
    <mergeCell ref="D62:E62"/>
    <mergeCell ref="P454:V454"/>
    <mergeCell ref="D56:E56"/>
    <mergeCell ref="P377:T377"/>
    <mergeCell ref="P206:T206"/>
    <mergeCell ref="P448:T448"/>
    <mergeCell ref="P233:T233"/>
    <mergeCell ref="D347:E347"/>
    <mergeCell ref="P304:T304"/>
    <mergeCell ref="D176:E176"/>
    <mergeCell ref="D412:E412"/>
    <mergeCell ref="P441:T441"/>
    <mergeCell ref="P260:T260"/>
    <mergeCell ref="P89:T89"/>
    <mergeCell ref="D295:E295"/>
    <mergeCell ref="D172:E172"/>
    <mergeCell ref="A156:O157"/>
    <mergeCell ref="P88:T88"/>
    <mergeCell ref="D463:E463"/>
    <mergeCell ref="A92:Z92"/>
    <mergeCell ref="P227:V227"/>
    <mergeCell ref="P444:V444"/>
    <mergeCell ref="P244:V244"/>
    <mergeCell ref="D340:E340"/>
    <mergeCell ref="D109:E109"/>
    <mergeCell ref="P138:T138"/>
    <mergeCell ref="A406:Z406"/>
    <mergeCell ref="P385:V385"/>
    <mergeCell ref="P123:T123"/>
    <mergeCell ref="P110:T110"/>
    <mergeCell ref="P408:T408"/>
    <mergeCell ref="D218:E218"/>
    <mergeCell ref="A249:Z249"/>
    <mergeCell ref="D105:E105"/>
    <mergeCell ref="A385:O386"/>
    <mergeCell ref="A267:Z267"/>
    <mergeCell ref="T6:U9"/>
    <mergeCell ref="Q10:R10"/>
    <mergeCell ref="P368:V368"/>
    <mergeCell ref="D41:E41"/>
    <mergeCell ref="P296:T296"/>
    <mergeCell ref="D277:E277"/>
    <mergeCell ref="P25:V25"/>
    <mergeCell ref="P256:V256"/>
    <mergeCell ref="A137:Z137"/>
    <mergeCell ref="D43:E43"/>
    <mergeCell ref="P216:T216"/>
    <mergeCell ref="D68:E68"/>
    <mergeCell ref="P71:V71"/>
    <mergeCell ref="P58:V58"/>
    <mergeCell ref="A13:M13"/>
    <mergeCell ref="D61:E61"/>
    <mergeCell ref="D254:E254"/>
    <mergeCell ref="A15:M15"/>
    <mergeCell ref="P238:T238"/>
    <mergeCell ref="A359:O360"/>
    <mergeCell ref="D362:E362"/>
    <mergeCell ref="P235:T235"/>
    <mergeCell ref="D349:E349"/>
    <mergeCell ref="A14:M14"/>
    <mergeCell ref="T5:U5"/>
    <mergeCell ref="D119:E119"/>
    <mergeCell ref="P76:T76"/>
    <mergeCell ref="V5:W5"/>
    <mergeCell ref="D246:E246"/>
    <mergeCell ref="P203:T203"/>
    <mergeCell ref="D233:E233"/>
    <mergeCell ref="D111:E111"/>
    <mergeCell ref="A142:Z142"/>
    <mergeCell ref="Q8:R8"/>
    <mergeCell ref="P69:T69"/>
    <mergeCell ref="D219:E219"/>
    <mergeCell ref="D104:E104"/>
    <mergeCell ref="P83:V83"/>
    <mergeCell ref="A79:Z79"/>
    <mergeCell ref="A82:O83"/>
    <mergeCell ref="H17:H18"/>
    <mergeCell ref="H5:M5"/>
    <mergeCell ref="A9:C9"/>
    <mergeCell ref="Q5:R5"/>
    <mergeCell ref="Q6:R6"/>
    <mergeCell ref="A5:C5"/>
    <mergeCell ref="P135:V135"/>
    <mergeCell ref="P64:V64"/>
    <mergeCell ref="P497:V497"/>
    <mergeCell ref="P291:V291"/>
    <mergeCell ref="P43:T43"/>
    <mergeCell ref="D328:E328"/>
    <mergeCell ref="P65:V65"/>
    <mergeCell ref="P136:V136"/>
    <mergeCell ref="M500:M501"/>
    <mergeCell ref="A135:O136"/>
    <mergeCell ref="A126:Z126"/>
    <mergeCell ref="O500:O501"/>
    <mergeCell ref="A424:Z424"/>
    <mergeCell ref="D251:E251"/>
    <mergeCell ref="A324:Z324"/>
    <mergeCell ref="P355:V355"/>
    <mergeCell ref="A411:Z411"/>
    <mergeCell ref="A482:Z482"/>
    <mergeCell ref="P397:T397"/>
    <mergeCell ref="P74:T74"/>
    <mergeCell ref="P243:V243"/>
    <mergeCell ref="A190:Z190"/>
    <mergeCell ref="P372:T372"/>
    <mergeCell ref="D182:E182"/>
    <mergeCell ref="A466:O467"/>
    <mergeCell ref="D469:E469"/>
    <mergeCell ref="R500:R501"/>
    <mergeCell ref="A272:O273"/>
    <mergeCell ref="P68:T68"/>
    <mergeCell ref="A247:O248"/>
    <mergeCell ref="D169:E169"/>
    <mergeCell ref="P353:T353"/>
    <mergeCell ref="P82:V82"/>
    <mergeCell ref="P303:T303"/>
    <mergeCell ref="P486:V486"/>
    <mergeCell ref="P342:V342"/>
    <mergeCell ref="P317:V317"/>
    <mergeCell ref="P146:V146"/>
    <mergeCell ref="P305:T305"/>
    <mergeCell ref="D96:E96"/>
    <mergeCell ref="D350:E350"/>
    <mergeCell ref="D325:E325"/>
    <mergeCell ref="P208:T208"/>
    <mergeCell ref="D396:E396"/>
    <mergeCell ref="P450:T450"/>
    <mergeCell ref="D456:E456"/>
    <mergeCell ref="D116:E116"/>
    <mergeCell ref="D414:E414"/>
    <mergeCell ref="D352:E352"/>
    <mergeCell ref="P219:T219"/>
    <mergeCell ref="K17:K18"/>
    <mergeCell ref="P431:T431"/>
    <mergeCell ref="D103:E103"/>
    <mergeCell ref="P358:T358"/>
    <mergeCell ref="D230:E230"/>
    <mergeCell ref="P380:V380"/>
    <mergeCell ref="D339:E339"/>
    <mergeCell ref="D168:E168"/>
    <mergeCell ref="D180:E180"/>
    <mergeCell ref="D398:E398"/>
    <mergeCell ref="D144:E144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74:E74"/>
    <mergeCell ref="P87:T87"/>
    <mergeCell ref="D372:E372"/>
    <mergeCell ref="D201:E201"/>
    <mergeCell ref="P354:V354"/>
    <mergeCell ref="P246:T246"/>
    <mergeCell ref="P183:V183"/>
    <mergeCell ref="P469:T469"/>
    <mergeCell ref="D390:E390"/>
    <mergeCell ref="P491:V491"/>
    <mergeCell ref="P369:V369"/>
    <mergeCell ref="P198:V198"/>
    <mergeCell ref="A487:Z487"/>
    <mergeCell ref="P197:T197"/>
    <mergeCell ref="A354:O355"/>
    <mergeCell ref="A183:O184"/>
    <mergeCell ref="P351:T351"/>
    <mergeCell ref="P289:T289"/>
    <mergeCell ref="D403:E403"/>
    <mergeCell ref="D232:E232"/>
    <mergeCell ref="D327:E327"/>
    <mergeCell ref="P439:V439"/>
    <mergeCell ref="P364:V364"/>
    <mergeCell ref="A189:Z189"/>
    <mergeCell ref="P489:T489"/>
    <mergeCell ref="P451:T451"/>
    <mergeCell ref="P224:T224"/>
    <mergeCell ref="A285:O286"/>
    <mergeCell ref="X500:X501"/>
    <mergeCell ref="D235:E235"/>
    <mergeCell ref="Z500:Z501"/>
    <mergeCell ref="Q9:R9"/>
    <mergeCell ref="P312:T312"/>
    <mergeCell ref="D451:E451"/>
    <mergeCell ref="A331:Z331"/>
    <mergeCell ref="P49:V49"/>
    <mergeCell ref="P36:V36"/>
    <mergeCell ref="A159:Z159"/>
    <mergeCell ref="Q11:R11"/>
    <mergeCell ref="P205:T205"/>
    <mergeCell ref="D260:E260"/>
    <mergeCell ref="A322:O323"/>
    <mergeCell ref="P180:T180"/>
    <mergeCell ref="P118:T118"/>
    <mergeCell ref="P167:T167"/>
    <mergeCell ref="P336:V336"/>
    <mergeCell ref="D88:E88"/>
    <mergeCell ref="A459:Z459"/>
    <mergeCell ref="P403:T403"/>
    <mergeCell ref="P378:T378"/>
    <mergeCell ref="P117:T117"/>
    <mergeCell ref="P55:T55"/>
    <mergeCell ref="Y500:Y501"/>
    <mergeCell ref="P428:T428"/>
    <mergeCell ref="A309:O310"/>
    <mergeCell ref="P284:T284"/>
    <mergeCell ref="A344:Z344"/>
    <mergeCell ref="A229:Z229"/>
    <mergeCell ref="P17:T18"/>
    <mergeCell ref="P323:V323"/>
    <mergeCell ref="A148:Z148"/>
    <mergeCell ref="P129:T129"/>
    <mergeCell ref="P63:T63"/>
    <mergeCell ref="A446:Z446"/>
    <mergeCell ref="P250:T250"/>
    <mergeCell ref="D31:E31"/>
    <mergeCell ref="A416:O417"/>
    <mergeCell ref="P479:T479"/>
    <mergeCell ref="P429:T429"/>
    <mergeCell ref="P52:T52"/>
    <mergeCell ref="A480:O481"/>
    <mergeCell ref="P350:T350"/>
    <mergeCell ref="I17:I18"/>
    <mergeCell ref="A48:O49"/>
    <mergeCell ref="D306:E306"/>
    <mergeCell ref="P456:T456"/>
    <mergeCell ref="S499:T499"/>
    <mergeCell ref="P47:T47"/>
    <mergeCell ref="D1:F1"/>
    <mergeCell ref="P409:V409"/>
    <mergeCell ref="J17:J18"/>
    <mergeCell ref="L17:L18"/>
    <mergeCell ref="P359:V359"/>
    <mergeCell ref="P48:V48"/>
    <mergeCell ref="P490:V490"/>
    <mergeCell ref="P426:T426"/>
    <mergeCell ref="A371:Z371"/>
    <mergeCell ref="A100:Z100"/>
    <mergeCell ref="D334:E334"/>
    <mergeCell ref="A407:Z407"/>
    <mergeCell ref="P125:V125"/>
    <mergeCell ref="P192:T192"/>
    <mergeCell ref="A115:Z115"/>
    <mergeCell ref="D377:E377"/>
    <mergeCell ref="P114:V114"/>
    <mergeCell ref="P414:T414"/>
    <mergeCell ref="P352:T352"/>
    <mergeCell ref="P301:V301"/>
    <mergeCell ref="P178:V178"/>
    <mergeCell ref="A177:O178"/>
    <mergeCell ref="H500:H501"/>
    <mergeCell ref="P162:V162"/>
    <mergeCell ref="J500:J501"/>
    <mergeCell ref="P106:V106"/>
    <mergeCell ref="P177:V177"/>
    <mergeCell ref="P33:V33"/>
    <mergeCell ref="P264:V264"/>
    <mergeCell ref="P226:V226"/>
    <mergeCell ref="P335:V335"/>
    <mergeCell ref="A387:Z387"/>
    <mergeCell ref="A287:Z287"/>
    <mergeCell ref="A281:Z281"/>
    <mergeCell ref="P399:V399"/>
    <mergeCell ref="D145:E145"/>
    <mergeCell ref="D443:E443"/>
    <mergeCell ref="A345:Z345"/>
    <mergeCell ref="A421:O422"/>
    <mergeCell ref="D308:E308"/>
    <mergeCell ref="A46:Z46"/>
    <mergeCell ref="P166:T166"/>
    <mergeCell ref="D87:E87"/>
    <mergeCell ref="A282:Z282"/>
    <mergeCell ref="P464:T464"/>
    <mergeCell ref="A187:O188"/>
    <mergeCell ref="D5:E5"/>
    <mergeCell ref="P382:T382"/>
    <mergeCell ref="D303:E303"/>
    <mergeCell ref="P42:T42"/>
    <mergeCell ref="A32:O33"/>
    <mergeCell ref="D94:E94"/>
    <mergeCell ref="P98:V98"/>
    <mergeCell ref="P259:T259"/>
    <mergeCell ref="D69:E69"/>
    <mergeCell ref="P188:V188"/>
    <mergeCell ref="P116:T116"/>
    <mergeCell ref="A376:Z376"/>
    <mergeCell ref="A162:O163"/>
    <mergeCell ref="D224:E224"/>
    <mergeCell ref="P103:T103"/>
    <mergeCell ref="A26:Z26"/>
    <mergeCell ref="P268:T268"/>
    <mergeCell ref="D382:E382"/>
    <mergeCell ref="P339:T339"/>
    <mergeCell ref="P230:T230"/>
    <mergeCell ref="P168:T168"/>
    <mergeCell ref="P130:V130"/>
    <mergeCell ref="P59:V59"/>
    <mergeCell ref="A6:C6"/>
    <mergeCell ref="H1:Q1"/>
    <mergeCell ref="P480:V480"/>
    <mergeCell ref="P280:V280"/>
    <mergeCell ref="A99:Z99"/>
    <mergeCell ref="A366:Z366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361:Z361"/>
    <mergeCell ref="P413:T413"/>
    <mergeCell ref="A239:O240"/>
    <mergeCell ref="D353:E353"/>
    <mergeCell ref="P242:T242"/>
    <mergeCell ref="D55:E55"/>
    <mergeCell ref="D8:M8"/>
    <mergeCell ref="P485:V485"/>
    <mergeCell ref="P279:V279"/>
    <mergeCell ref="P237:T237"/>
    <mergeCell ref="P472:V472"/>
    <mergeCell ref="P31:T31"/>
    <mergeCell ref="D139:E139"/>
    <mergeCell ref="P416:V416"/>
    <mergeCell ref="A241:Z241"/>
    <mergeCell ref="P45:V45"/>
    <mergeCell ref="P343:V343"/>
    <mergeCell ref="A228:Z228"/>
    <mergeCell ref="P95:T95"/>
    <mergeCell ref="D470:E470"/>
    <mergeCell ref="D30:E30"/>
    <mergeCell ref="D67:E67"/>
    <mergeCell ref="A311:Z311"/>
    <mergeCell ref="P402:T402"/>
    <mergeCell ref="A485:O486"/>
    <mergeCell ref="P474:T474"/>
    <mergeCell ref="A468:Z468"/>
    <mergeCell ref="P182:T182"/>
    <mergeCell ref="P417:V417"/>
    <mergeCell ref="Q12:R12"/>
    <mergeCell ref="Q500:Q501"/>
    <mergeCell ref="S500:S501"/>
    <mergeCell ref="I500:I501"/>
    <mergeCell ref="A471:O472"/>
    <mergeCell ref="K500:K501"/>
    <mergeCell ref="D431:E431"/>
    <mergeCell ref="A300:O301"/>
    <mergeCell ref="P170:T170"/>
    <mergeCell ref="D474:E474"/>
    <mergeCell ref="P443:T443"/>
    <mergeCell ref="D197:E197"/>
    <mergeCell ref="D253:E253"/>
    <mergeCell ref="D351:E351"/>
    <mergeCell ref="P330:V330"/>
    <mergeCell ref="D289:E289"/>
    <mergeCell ref="A193:O194"/>
    <mergeCell ref="A264:O265"/>
    <mergeCell ref="C499:H499"/>
    <mergeCell ref="P234:T234"/>
    <mergeCell ref="D378:E378"/>
    <mergeCell ref="P236:T236"/>
    <mergeCell ref="P334:T334"/>
    <mergeCell ref="P394:T394"/>
    <mergeCell ref="D315:E315"/>
    <mergeCell ref="P466:V466"/>
    <mergeCell ref="B17:B18"/>
    <mergeCell ref="A77:O78"/>
    <mergeCell ref="D479:E479"/>
    <mergeCell ref="P248:V248"/>
    <mergeCell ref="A266:Z266"/>
    <mergeCell ref="A60:Z60"/>
    <mergeCell ref="P477:V477"/>
    <mergeCell ref="P252:T252"/>
    <mergeCell ref="P81:T81"/>
    <mergeCell ref="P56:T56"/>
    <mergeCell ref="P145:T145"/>
    <mergeCell ref="P113:V113"/>
    <mergeCell ref="D53:E53"/>
    <mergeCell ref="A84:Z84"/>
    <mergeCell ref="D47:E47"/>
    <mergeCell ref="A50:Z50"/>
    <mergeCell ref="W17:W18"/>
    <mergeCell ref="P90:V90"/>
    <mergeCell ref="A120:O121"/>
    <mergeCell ref="P73:T73"/>
    <mergeCell ref="P144:T144"/>
    <mergeCell ref="D448:E448"/>
    <mergeCell ref="P119:T119"/>
    <mergeCell ref="R1:T1"/>
    <mergeCell ref="P150:T150"/>
    <mergeCell ref="P28:T28"/>
    <mergeCell ref="P392:T392"/>
    <mergeCell ref="P326:T326"/>
    <mergeCell ref="D332:E332"/>
    <mergeCell ref="A316:O317"/>
    <mergeCell ref="D307:E307"/>
    <mergeCell ref="P215:T215"/>
    <mergeCell ref="P165:T165"/>
    <mergeCell ref="D73:E73"/>
    <mergeCell ref="P77:V77"/>
    <mergeCell ref="P30:T30"/>
    <mergeCell ref="P375:V375"/>
    <mergeCell ref="A200:Z200"/>
    <mergeCell ref="A374:O375"/>
    <mergeCell ref="P141:V141"/>
    <mergeCell ref="A140:O141"/>
    <mergeCell ref="V10:W10"/>
    <mergeCell ref="D129:E129"/>
    <mergeCell ref="D7:M7"/>
    <mergeCell ref="P91:V91"/>
    <mergeCell ref="P156:V156"/>
    <mergeCell ref="A209:O210"/>
    <mergeCell ref="A490:O491"/>
    <mergeCell ref="P322:V322"/>
    <mergeCell ref="P453:V453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D238:E238"/>
    <mergeCell ref="D426:E426"/>
    <mergeCell ref="P328:T328"/>
    <mergeCell ref="P384:T384"/>
    <mergeCell ref="P213:T213"/>
    <mergeCell ref="D205:E205"/>
    <mergeCell ref="A379:O380"/>
    <mergeCell ref="D363:E363"/>
    <mergeCell ref="D357:E357"/>
    <mergeCell ref="P172:T172"/>
    <mergeCell ref="P432:T432"/>
    <mergeCell ref="P400:V400"/>
    <mergeCell ref="D220:E220"/>
    <mergeCell ref="P199:V199"/>
    <mergeCell ref="A195:Z195"/>
    <mergeCell ref="A198:O199"/>
    <mergeCell ref="A12:M12"/>
    <mergeCell ref="A19:Z19"/>
    <mergeCell ref="A34:Z34"/>
    <mergeCell ref="H9:I9"/>
    <mergeCell ref="P24:V24"/>
    <mergeCell ref="A70:O71"/>
    <mergeCell ref="P86:T86"/>
    <mergeCell ref="D134:E134"/>
    <mergeCell ref="D27:E27"/>
    <mergeCell ref="P15:T16"/>
    <mergeCell ref="P23:T23"/>
    <mergeCell ref="D93:E93"/>
    <mergeCell ref="P37:V37"/>
    <mergeCell ref="P104:T104"/>
    <mergeCell ref="D9:E9"/>
    <mergeCell ref="D167:E167"/>
    <mergeCell ref="D161:E161"/>
    <mergeCell ref="A164:Z164"/>
    <mergeCell ref="A17:A18"/>
    <mergeCell ref="C17:C1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4 X76 X80:X81 X86 X89 X93 X96 X101 X103:X104 X116:X119 X123 X128:X129 X133:X134 X139 X145 X149 X151 X166 X168:X169 X171 X174 X192 X201:X206 X208 X214:X220 X224 X233 X237 X259 X261 X263 X278 X288 X295:X296 X298:X299 X303:X304 X306:X308 X312 X315 X319:X321 X328 X339:X341 X353 X362:X363 X372:X373 X377 X382:X383 X390 X392 X402:X403 X412 X426 X429:X430 X432 X441 X447:X449 X464 X474:X475 X479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763</v>
      </c>
      <c r="H1" s="52"/>
    </row>
    <row r="3" spans="2:8" x14ac:dyDescent="0.2">
      <c r="B3" s="47" t="s">
        <v>764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765</v>
      </c>
      <c r="D6" s="47" t="s">
        <v>766</v>
      </c>
      <c r="E6" s="47"/>
    </row>
    <row r="8" spans="2:8" x14ac:dyDescent="0.2">
      <c r="B8" s="47" t="s">
        <v>19</v>
      </c>
      <c r="C8" s="47" t="s">
        <v>765</v>
      </c>
      <c r="D8" s="47"/>
      <c r="E8" s="47"/>
    </row>
    <row r="10" spans="2:8" x14ac:dyDescent="0.2">
      <c r="B10" s="47" t="s">
        <v>767</v>
      </c>
      <c r="C10" s="47"/>
      <c r="D10" s="47"/>
      <c r="E10" s="47"/>
    </row>
    <row r="11" spans="2:8" x14ac:dyDescent="0.2">
      <c r="B11" s="47" t="s">
        <v>768</v>
      </c>
      <c r="C11" s="47"/>
      <c r="D11" s="47"/>
      <c r="E11" s="47"/>
    </row>
    <row r="12" spans="2:8" x14ac:dyDescent="0.2">
      <c r="B12" s="47" t="s">
        <v>769</v>
      </c>
      <c r="C12" s="47"/>
      <c r="D12" s="47"/>
      <c r="E12" s="47"/>
    </row>
    <row r="13" spans="2:8" x14ac:dyDescent="0.2">
      <c r="B13" s="47" t="s">
        <v>770</v>
      </c>
      <c r="C13" s="47"/>
      <c r="D13" s="47"/>
      <c r="E13" s="47"/>
    </row>
    <row r="14" spans="2:8" x14ac:dyDescent="0.2">
      <c r="B14" s="47" t="s">
        <v>771</v>
      </c>
      <c r="C14" s="47"/>
      <c r="D14" s="47"/>
      <c r="E14" s="47"/>
    </row>
    <row r="15" spans="2:8" x14ac:dyDescent="0.2">
      <c r="B15" s="47" t="s">
        <v>772</v>
      </c>
      <c r="C15" s="47"/>
      <c r="D15" s="47"/>
      <c r="E15" s="47"/>
    </row>
    <row r="16" spans="2:8" x14ac:dyDescent="0.2">
      <c r="B16" s="47" t="s">
        <v>773</v>
      </c>
      <c r="C16" s="47"/>
      <c r="D16" s="47"/>
      <c r="E16" s="47"/>
    </row>
    <row r="17" spans="2:5" x14ac:dyDescent="0.2">
      <c r="B17" s="47" t="s">
        <v>774</v>
      </c>
      <c r="C17" s="47"/>
      <c r="D17" s="47"/>
      <c r="E17" s="47"/>
    </row>
    <row r="18" spans="2:5" x14ac:dyDescent="0.2">
      <c r="B18" s="47" t="s">
        <v>775</v>
      </c>
      <c r="C18" s="47"/>
      <c r="D18" s="47"/>
      <c r="E18" s="47"/>
    </row>
    <row r="19" spans="2:5" x14ac:dyDescent="0.2">
      <c r="B19" s="47" t="s">
        <v>776</v>
      </c>
      <c r="C19" s="47"/>
      <c r="D19" s="47"/>
      <c r="E19" s="47"/>
    </row>
    <row r="20" spans="2:5" x14ac:dyDescent="0.2">
      <c r="B20" s="47" t="s">
        <v>777</v>
      </c>
      <c r="C20" s="47"/>
      <c r="D20" s="47"/>
      <c r="E20" s="47"/>
    </row>
  </sheetData>
  <sheetProtection algorithmName="SHA-512" hashValue="oXWzuMCiEagt1wcCovNVUN7PwFlKHbDS9af/YUHxVS/GzDqFhrr1bSqm3fuLUwG2O89fmz2DIxBxunSJOu/p+A==" saltValue="CksglepG37hBlKXGDIC1t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2025-12-15T10:42:38Z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