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825ECF-4FAE-426F-8E77-8904A977DC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BP295" i="1"/>
  <c r="BN295" i="1"/>
  <c r="Z295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152" i="1"/>
  <c r="BP307" i="1"/>
  <c r="BN307" i="1"/>
  <c r="Z307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21" i="1" l="1"/>
  <c r="Z279" i="1"/>
  <c r="Z403" i="1"/>
  <c r="Z152" i="1"/>
  <c r="Z70" i="1"/>
  <c r="Z334" i="1"/>
  <c r="Z82" i="1"/>
  <c r="Z452" i="1"/>
  <c r="Z398" i="1"/>
  <c r="Z353" i="1"/>
  <c r="Z264" i="1"/>
  <c r="Z239" i="1"/>
  <c r="Z32" i="1"/>
  <c r="Z106" i="1"/>
  <c r="Z97" i="1"/>
  <c r="Z437" i="1"/>
  <c r="Z209" i="1"/>
  <c r="Z272" i="1"/>
  <c r="Z58" i="1"/>
  <c r="Z315" i="1"/>
  <c r="Z415" i="1"/>
  <c r="Y491" i="1"/>
  <c r="Y493" i="1"/>
  <c r="Z90" i="1"/>
  <c r="Z77" i="1"/>
  <c r="Z64" i="1"/>
  <c r="Z308" i="1"/>
  <c r="Z299" i="1"/>
  <c r="Z221" i="1"/>
  <c r="Z465" i="1"/>
  <c r="Z120" i="1"/>
  <c r="Z113" i="1"/>
  <c r="Y492" i="1"/>
  <c r="Z328" i="1"/>
  <c r="Z177" i="1"/>
  <c r="Y495" i="1"/>
  <c r="Z496" i="1" l="1"/>
  <c r="Y494" i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<sst xmlns="http://schemas.openxmlformats.org/spreadsheetml/2006/main" count="2296" uniqueCount="776">
  <si>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</si>
  <si>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</si>
  <si>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</si>
  <si>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</si>
  <si>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</si>
  <si>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</si>
  <si>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</si>
  <si>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</si>
  <si>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</si>
  <si>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</si>
  <si>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</si>
  <si>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</si>
  <si>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</si>
  <si>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</si>
  <si>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</si>
  <si>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</si>
  <si>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</si>
  <si>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</si>
  <si>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</si>
  <si>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</si>
  <si>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</si>
  <si>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</si>
  <si>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</si>
  <si>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</si>
  <si>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</si>
  <si>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</si>
  <si>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</si>
  <si>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</si>
  <si>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</si>
  <si>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</si>
  <si>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</si>
  <si>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</si>
  <si>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</si>
  <si>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</si>
  <si>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</si>
  <si>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</si>
  <si>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</si>
  <si>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</si>
  <si>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</si>
  <si>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</si>
  <si>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</si>
  <si>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</si>
  <si>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</si>
  <si>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</si>
  <si>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</si>
  <si>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</si>
  <si>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</si>
  <si>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</si>
  <si>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</si>
  <si>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</si>
  <si>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</si>
  <si>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</si>
  <si>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</si>
  <si>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</si>
  <si>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</si>
  <si>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</si>
  <si>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</si>
  <si>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</si>
  <si>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</si>
  <si>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</si>
  <si>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</si>
  <si>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</si>
  <si>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</si>
  <si>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</si>
  <si>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</si>
  <si>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</si>
  <si>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</si>
  <si>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</si>
  <si>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</si>
  <si>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</si>
  <si>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</si>
  <si>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</si>
  <si>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</si>
  <si>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</si>
  <si>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</si>
  <si>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</si>
  <si>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</si>
  <si>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</si>
  <si>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</si>
  <si>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</si>
  <si>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</si>
  <si>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</si>
  <si>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</si>
  <si>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</si>
  <si>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</si>
  <si>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</si>
  <si>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</si>
  <si>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</si>
  <si>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</si>
  <si>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</si>
  <si>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</si>
  <si>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</si>
  <si>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</si>
  <si>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</si>
  <si>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</si>
  <si>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</si>
  <si>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</si>
  <si>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</si>
  <si>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</si>
  <si>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</si>
  <si>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</si>
  <si>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</si>
  <si>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</si>
  <si>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</si>
  <si>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</si>
  <si>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</si>
  <si>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</si>
  <si>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</si>
  <si>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</si>
  <si>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</si>
  <si>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</si>
  <si>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</si>
  <si>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</si>
  <si>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</si>
  <si>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</si>
  <si>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</si>
  <si>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</si>
  <si>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</si>
  <si>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</si>
  <si>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</si>
  <si>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</si>
  <si>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</si>
  <si>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</si>
  <si>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</si>
  <si>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</si>
  <si>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</si>
  <si>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</si>
  <si>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</si>
  <si>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</si>
  <si>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</si>
  <si>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</si>
  <si>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</si>
  <si>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</si>
  <si>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</si>
  <si>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</si>
  <si>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</si>
  <si>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</si>
  <si>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</si>
  <si>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</si>
  <si>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</si>
  <si>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</si>
  <si>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</si>
  <si>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</si>
  <si>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</si>
  <si>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</si>
  <si>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</si>
  <si>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</si>
  <si>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</si>
  <si>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</si>
  <si>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</si>
  <si>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</si>
  <si>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</si>
  <si>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</si>
  <si>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</si>
  <si>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</si>
  <si>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</si>
  <si>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</si>
  <si>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</si>
  <si>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</si>
  <si>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</si>
  <si>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</si>
  <si>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</si>
  <si>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</si>
  <si>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</si>
  <si>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</si>
  <si>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</si>
  <si>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</si>
  <si>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</si>
  <si>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</si>
  <si>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</si>
  <si>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</si>
  <si>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</si>
  <si>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</si>
  <si>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</si>
  <si>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</si>
  <si>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</si>
  <si>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</si>
  <si>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</si>
  <si>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</si>
  <si>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</si>
  <si>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</si>
  <si>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</si>
  <si>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</si>
  <si>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</si>
  <si>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</si>
  <si>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</si>
  <si>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</si>
  <si>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</si>
  <si>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</si>
  <si>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</si>
  <si>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</si>
  <si>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</si>
  <si>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</si>
  <si>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</si>
  <si>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</si>
  <si>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</si>
  <si>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</si>
  <si>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</si>
  <si>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</si>
  <si>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</si>
  <si>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</si>
  <si>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</si>
  <si>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</si>
  <si>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</si>
  <si>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</si>
  <si>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</si>
  <si>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</si>
  <si>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</si>
  <si>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</si>
  <si>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</si>
  <si>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</si>
  <si>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</si>
  <si>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</si>
  <si>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</si>
  <si>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</si>
  <si>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</si>
  <si>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</si>
  <si>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</si>
  <si>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</si>
  <si>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</si>
  <si>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</si>
  <si>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</si>
  <si>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</si>
  <si>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</si>
  <si>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</si>
  <si>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</si>
  <si>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</si>
  <si>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</si>
  <si>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</si>
  <si>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</si>
  <si>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</si>
  <si>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</si>
  <si>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</si>
  <si>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</si>
  <si>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</si>
  <si>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</si>
  <si>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</si>
  <si>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</si>
  <si>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</si>
  <si>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</si>
  <si>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</si>
  <si>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</si>
  <si>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</si>
  <si>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</si>
  <si>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</si>
  <si>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</si>
  <si>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</si>
  <si>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</si>
  <si>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</si>
  <si>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</si>
  <si>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</si>
  <si>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</si>
  <si>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</si>
  <si>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</si>
  <si>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</si>
  <si>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</si>
  <si>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</si>
  <si>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</si>
  <si>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</si>
  <si>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</si>
  <si>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</si>
  <si>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</si>
  <si>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</si>
  <si>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</si>
  <si>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</si>
  <si>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</si>
  <si>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</si>
  <si>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</si>
  <si>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</si>
  <si>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</si>
  <si>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</si>
  <si>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</si>
  <si>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</si>
  <si>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</si>
  <si>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</si>
  <si>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</si>
  <si>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</si>
  <si>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</si>
  <si>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</si>
  <si>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</si>
  <si>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</si>
  <si>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</si>
  <si>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</si>
  <si>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</si>
  <si>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</si>
  <si>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</si>
  <si>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</si>
  <si>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</si>
  <si>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</si>
  <si>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</si>
  <si>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</si>
  <si>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</si>
  <si>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</si>
  <si>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</si>
  <si>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</si>
  <si>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</si>
  <si>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</si>
  <si>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</si>
  <si>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</si>
  <si>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</si>
  <si>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</si>
  <si>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</si>
  <si>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</si>
  <si>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</si>
  <si>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</si>
  <si>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</si>
  <si>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</si>
  <si>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</si>
  <si>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</si>
  <si>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</si>
  <si>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</si>
  <si>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</si>
  <si>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</si>
  <si>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</si>
  <si>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</si>
  <si>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</si>
  <si>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</si>
  <si>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</si>
  <si>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</si>
  <si>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</si>
  <si>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</si>
  <si>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</si>
  <si>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</si>
  <si>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</si>
  <si>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</si>
  <si>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</si>
  <si>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</si>
  <si>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</si>
  <si>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</si>
  <si>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</si>
  <si>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</si>
  <si>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</si>
  <si>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</si>
  <si>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</si>
  <si>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</si>
  <si>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</si>
  <si>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</si>
  <si>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</si>
  <si>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</si>
  <si>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</si>
  <si>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</si>
  <si>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</si>
  <si>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</si>
  <si>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</si>
  <si>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</si>
  <si>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</si>
  <si>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</si>
  <si>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</si>
  <si>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</si>
  <si>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</si>
  <si>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</si>
  <si>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</si>
  <si>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</si>
  <si>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</si>
  <si>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</si>
  <si>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</si>
  <si>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</si>
  <si>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</si>
  <si>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</si>
  <si>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</si>
  <si>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</si>
  <si>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</si>
  <si>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</si>
  <si>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</si>
  <si>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</si>
  <si>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</si>
  <si>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</si>
  <si>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</si>
  <si>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</si>
  <si>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</si>
  <si>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</si>
  <si>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</si>
  <si>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</si>
  <si>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</si>
  <si>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</si>
  <si>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</si>
  <si>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</si>
  <si>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</si>
  <si>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</si>
  <si>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</si>
  <si>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</si>
  <si>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</si>
  <si>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</si>
  <si>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</si>
  <si>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</si>
  <si>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</si>
  <si>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</si>
  <si>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</si>
  <si>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</si>
  <si>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</si>
  <si>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</si>
  <si>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</si>
  <si>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</si>
  <si>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</si>
  <si>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</si>
  <si>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</si>
  <si>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</si>
  <si>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</si>
  <si>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</si>
  <si>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</si>
  <si>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</si>
  <si>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</si>
  <si>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</si>
  <si>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</si>
  <si>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</si>
  <si>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</si>
  <si>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</si>
  <si>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</si>
  <si>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</si>
  <si>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</si>
  <si>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</si>
  <si>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</si>
  <si>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</si>
  <si>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</si>
  <si>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</si>
  <si>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</si>
  <si>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</si>
  <si>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</si>
  <si>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</si>
  <si>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</si>
  <si>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</si>
  <si>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</si>
  <si>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</si>
  <si>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</si>
  <si>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</si>
  <si>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</si>
  <si>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</si>
  <si>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</si>
  <si>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</si>
  <si>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</si>
  <si>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</si>
  <si>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</si>
  <si>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</si>
  <si>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</si>
  <si>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</si>
  <si>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</si>
  <si>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</si>
  <si>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</si>
  <si>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</si>
  <si>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</si>
  <si>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</si>
  <si>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</si>
  <si>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</si>
  <si>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</si>
  <si>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</si>
  <si>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</si>
  <si>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</si>
  <si>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</si>
  <si>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</si>
  <si>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</si>
  <si>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</si>
  <si>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</si>
  <si>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</si>
  <si>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</si>
  <si>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</si>
  <si>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</si>
  <si>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</si>
  <si>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</si>
  <si>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</si>
  <si>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</si>
  <si>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</si>
  <si>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</si>
  <si>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</si>
  <si>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</si>
  <si>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</si>
  <si>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</si>
  <si>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</si>
  <si>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</si>
  <si>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</si>
  <si>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</si>
  <si>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</si>
  <si>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</si>
  <si>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</si>
  <si>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</si>
  <si>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</si>
  <si>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</si>
  <si>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</si>
  <si>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</si>
  <si>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</si>
  <si>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</si>
  <si>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</si>
  <si>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</si>
  <si>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</si>
  <si>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</si>
  <si>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</si>
  <si>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</si>
  <si>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</si>
  <si>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</si>
  <si>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</si>
  <si>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</si>
  <si>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</si>
  <si>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</si>
  <si>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</si>
  <si>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</si>
  <si>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</si>
  <si>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</si>
  <si>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</si>
  <si>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</si>
  <si>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</si>
  <si>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</si>
  <si>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</si>
  <si>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</si>
  <si>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</si>
  <si>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</si>
  <si>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</si>
  <si>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</si>
  <si>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</si>
  <si>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</si>
  <si>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</si>
  <si>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</si>
  <si>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</si>
  <si>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</si>
  <si>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</si>
  <si>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</si>
  <si>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</si>
  <si>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</si>
  <si>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</si>
  <si>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</si>
  <si>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</si>
  <si>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</si>
  <si>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</si>
  <si>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</si>
  <si>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</si>
  <si>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</si>
  <si>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</si>
  <si>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</si>
  <si>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</si>
  <si>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</si>
  <si>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</si>
  <si>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</si>
  <si>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</si>
  <si>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</si>
  <si>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</si>
  <si>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</si>
  <si>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</si>
  <si>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</si>
  <si>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</si>
  <si>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</si>
  <si>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</si>
  <si>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</si>
  <si>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</si>
  <si>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</si>
  <si>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</si>
  <si>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</si>
  <si>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</si>
  <si>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</si>
  <si>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</si>
  <si>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</si>
  <si>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</si>
  <si>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</si>
  <si>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</si>
  <si>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</si>
  <si>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</si>
  <si>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</si>
  <si>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</si>
  <si>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</si>
  <si>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</si>
  <si>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</si>
  <si>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</si>
  <si>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</si>
  <si>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</si>
  <si>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</si>
  <si>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</si>
  <si>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</si>
  <si>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</si>
  <si>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</si>
  <si>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</si>
  <si>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</si>
  <si>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</si>
  <si>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</si>
  <si>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</si>
  <si>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</si>
  <si>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</si>
  <si>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</si>
  <si>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</si>
  <si>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</si>
  <si>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</si>
  <si>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</si>
  <si>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</si>
  <si>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</si>
  <si>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</si>
  <si>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</si>
  <si>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</si>
  <si>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</si>
  <si>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</si>
  <si>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</si>
  <si>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</si>
  <si>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</si>
  <si>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</si>
  <si>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</si>
  <si>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</si>
  <si>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</si>
  <si>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</si>
  <si>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</si>
  <si>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</si>
  <si>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</si>
  <si>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</si>
  <si>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</si>
  <si>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</si>
  <si>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</si>
  <si>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</si>
  <si>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</si>
  <si>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</si>
  <si>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</si>
  <si>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</si>
  <si>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</si>
  <si>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</si>
  <si>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</si>
  <si>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</si>
  <si>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</si>
  <si>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</si>
  <si>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</si>
  <si>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</si>
  <si>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</si>
  <si>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</si>
  <si>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</si>
  <si>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</si>
  <si>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</si>
  <si>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</si>
  <si>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</si>
  <si>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</si>
  <si>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</si>
  <si>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</si>
  <si>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</si>
  <si>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</si>
  <si>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</si>
  <si>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</si>
  <si>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</si>
  <si>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</si>
  <si>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</si>
  <si>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</si>
  <si>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</si>
  <si>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</si>
  <si>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</si>
  <si>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</si>
  <si>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</si>
  <si>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</si>
  <si>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</si>
  <si>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</si>
  <si>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</si>
  <si>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</si>
  <si>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</si>
  <si>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</si>
  <si>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</si>
  <si>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</si>
  <si>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</si>
  <si>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</si>
  <si>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</si>
  <si>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</si>
  <si>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</si>
  <si>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</si>
  <si>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</si>
  <si>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</si>
  <si>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</si>
  <si>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</si>
  <si>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</si>
  <si>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</si>
  <si>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</si>
  <si>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</si>
  <si>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</si>
  <si>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</si>
  <si>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</si>
  <si>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</si>
  <si>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</si>
  <si>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</si>
  <si>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</si>
  <si>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</si>
  <si>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</si>
  <si>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</si>
  <si>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</si>
  <si>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</si>
  <si>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</si>
  <si>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</si>
  <si>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</si>
  <si>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</si>
  <si>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</si>
  <si>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</si>
  <si>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</si>
  <si>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</si>
  <si>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</si>
  <si>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</si>
  <si>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</si>
  <si>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</si>
  <si>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</si>
  <si>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</si>
  <si>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</si>
  <si>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</si>
  <si>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</si>
  <si>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</si>
  <si>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</si>
  <si>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</si>
  <si>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</si>
  <si>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</si>
  <si>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</si>
  <si>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</si>
  <si>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</si>
  <si>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</si>
  <si>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</si>
  <si>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</si>
  <si>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</si>
  <si>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</si>
  <si>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</si>
  <si>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</si>
  <si>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</si>
  <si>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</si>
  <si>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</si>
  <si>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</si>
  <si>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</si>
  <si>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</si>
  <si>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</si>
  <si>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</si>
  <si>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</si>
  <si>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</si>
  <si>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</si>
  <si>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</si>
  <si>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</si>
  <si>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</si>
  <si>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</si>
  <si>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</si>
  <si>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</si>
  <si>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</si>
  <si>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</si>
  <si>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</si>
  <si>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</si>
  <si>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</si>
  <si>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</si>
  <si>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</si>
  <si>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</si>
  <si>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</si>
  <si>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</si>
  <si>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</si>
  <si>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</si>
  <si>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</si>
  <si>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</si>
  <si>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</si>
  <si>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</si>
  <si>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</si>
  <si>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</si>
  <si>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</si>
  <si>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</si>
  <si>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</si>
  <si>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</si>
  <si>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</si>
  <si>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</si>
  <si>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</si>
  <si>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</si>
  <si>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</si>
  <si>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</si>
  <si>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</si>
  <si>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</si>
  <si>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</si>
  <si>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</si>
  <si>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</si>
  <si>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</si>
  <si>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</si>
  <si>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</si>
  <si>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</si>
  <si>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</si>
  <si>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</si>
  <si>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</si>
  <si>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</si>
  <si>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</si>
  <si>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</si>
  <si>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</si>
  <si>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</si>
  <si>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</si>
  <si>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</si>
  <si>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</si>
  <si>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</si>
  <si>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</si>
  <si>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</si>
  <si>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</si>
  <si>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</si>
  <si>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</si>
  <si>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</si>
  <si>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6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</si>
</sst>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46008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Среда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0.54166666666666663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75</v>
      </c>
      <c r="Y53" s="546">
        <f t="shared" si="0"/>
        <v>75.600000000000009</v>
      </c>
      <c r="Z53" s="36">
        <f>IFERROR(IF(Y53=0,"",ROUNDUP(Y53/H53,0)*0.01898),"")</f>
        <v>0.13286000000000001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77.847222222222229</v>
      </c>
      <c r="BN53" s="64">
        <f t="shared" si="2"/>
        <v>78.47</v>
      </c>
      <c r="BO53" s="64">
        <f t="shared" si="3"/>
        <v>0.10850694444444443</v>
      </c>
      <c r="BP53" s="64">
        <f t="shared" si="4"/>
        <v>0.109375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6.9444444444444438</v>
      </c>
      <c r="Y58" s="547">
        <f>IFERROR(Y52/H52,"0")+IFERROR(Y53/H53,"0")+IFERROR(Y54/H54,"0")+IFERROR(Y55/H55,"0")+IFERROR(Y56/H56,"0")+IFERROR(Y57/H57,"0")</f>
        <v>7</v>
      </c>
      <c r="Z58" s="547">
        <f>IFERROR(IF(Z52="",0,Z52),"0")+IFERROR(IF(Z53="",0,Z53),"0")+IFERROR(IF(Z54="",0,Z54),"0")+IFERROR(IF(Z55="",0,Z55),"0")+IFERROR(IF(Z56="",0,Z56),"0")+IFERROR(IF(Z57="",0,Z57),"0")</f>
        <v>0.13286000000000001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75</v>
      </c>
      <c r="Y59" s="547">
        <f>IFERROR(SUM(Y52:Y57),"0")</f>
        <v>75.600000000000009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248</v>
      </c>
      <c r="Y86" s="546">
        <f>IFERROR(IF(X86="",0,CEILING((X86/$H86),1)*$H86),"")</f>
        <v>248.4</v>
      </c>
      <c r="Z86" s="36">
        <f>IFERROR(IF(Y86=0,"",ROUNDUP(Y86/H86,0)*0.01898),"")</f>
        <v>0.43653999999999998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257.41481481481486</v>
      </c>
      <c r="BN86" s="64">
        <f>IFERROR(Y86*I86/H86,"0")</f>
        <v>257.83</v>
      </c>
      <c r="BO86" s="64">
        <f>IFERROR(1/J86*(X86/H86),"0")</f>
        <v>0.35879629629629628</v>
      </c>
      <c r="BP86" s="64">
        <f>IFERROR(1/J86*(Y86/H86),"0")</f>
        <v>0.359375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39</v>
      </c>
      <c r="Y89" s="54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40.646666666666675</v>
      </c>
      <c r="BN89" s="64">
        <f>IFERROR(Y89*I89/H89,"0")</f>
        <v>42.210000000000008</v>
      </c>
      <c r="BO89" s="64">
        <f>IFERROR(1/J89*(X89/H89),"0")</f>
        <v>6.5656565656565649E-2</v>
      </c>
      <c r="BP89" s="64">
        <f>IFERROR(1/J89*(Y89/H89),"0")</f>
        <v>6.8181818181818177E-2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31.629629629629626</v>
      </c>
      <c r="Y90" s="547">
        <f>IFERROR(Y86/H86,"0")+IFERROR(Y87/H87,"0")+IFERROR(Y88/H88,"0")+IFERROR(Y89/H89,"0")</f>
        <v>32</v>
      </c>
      <c r="Z90" s="547">
        <f>IFERROR(IF(Z86="",0,Z86),"0")+IFERROR(IF(Z87="",0,Z87),"0")+IFERROR(IF(Z88="",0,Z88),"0")+IFERROR(IF(Z89="",0,Z89),"0")</f>
        <v>0.51771999999999996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287</v>
      </c>
      <c r="Y91" s="547">
        <f>IFERROR(SUM(Y86:Y89),"0")</f>
        <v>288.89999999999998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245</v>
      </c>
      <c r="Y101" s="546">
        <f>IFERROR(IF(X101="",0,CEILING((X101/$H101),1)*$H101),"")</f>
        <v>248.4</v>
      </c>
      <c r="Z101" s="36">
        <f>IFERROR(IF(Y101=0,"",ROUNDUP(Y101/H101,0)*0.01898),"")</f>
        <v>0.43653999999999998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254.30092592592592</v>
      </c>
      <c r="BN101" s="64">
        <f>IFERROR(Y101*I101/H101,"0")</f>
        <v>257.83</v>
      </c>
      <c r="BO101" s="64">
        <f>IFERROR(1/J101*(X101/H101),"0")</f>
        <v>0.35445601851851849</v>
      </c>
      <c r="BP101" s="64">
        <f>IFERROR(1/J101*(Y101/H101),"0")</f>
        <v>0.359375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22.685185185185183</v>
      </c>
      <c r="Y106" s="547">
        <f>IFERROR(Y101/H101,"0")+IFERROR(Y102/H102,"0")+IFERROR(Y103/H103,"0")+IFERROR(Y104/H104,"0")+IFERROR(Y105/H105,"0")</f>
        <v>23</v>
      </c>
      <c r="Z106" s="547">
        <f>IFERROR(IF(Z101="",0,Z101),"0")+IFERROR(IF(Z102="",0,Z102),"0")+IFERROR(IF(Z103="",0,Z103),"0")+IFERROR(IF(Z104="",0,Z104),"0")+IFERROR(IF(Z105="",0,Z105),"0")</f>
        <v>0.43653999999999998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245</v>
      </c>
      <c r="Y107" s="547">
        <f>IFERROR(SUM(Y101:Y105),"0")</f>
        <v>248.4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14</v>
      </c>
      <c r="Y327" s="546">
        <f>IFERROR(IF(X327="",0,CEILING((X327/$H327),1)*$H327),"")</f>
        <v>15.299999999999999</v>
      </c>
      <c r="Z327" s="36">
        <f>IFERROR(IF(Y327=0,"",ROUNDUP(Y327/H327,0)*0.00651),"")</f>
        <v>3.9059999999999997E-2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15.811764705882354</v>
      </c>
      <c r="BN327" s="64">
        <f>IFERROR(Y327*I327/H327,"0")</f>
        <v>17.279999999999998</v>
      </c>
      <c r="BO327" s="64">
        <f>IFERROR(1/J327*(X327/H327),"0")</f>
        <v>3.0165912518853699E-2</v>
      </c>
      <c r="BP327" s="64">
        <f>IFERROR(1/J327*(Y327/H327),"0")</f>
        <v>3.2967032967032968E-2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5.4901960784313726</v>
      </c>
      <c r="Y328" s="547">
        <f>IFERROR(Y324/H324,"0")+IFERROR(Y325/H325,"0")+IFERROR(Y326/H326,"0")+IFERROR(Y327/H327,"0")</f>
        <v>6</v>
      </c>
      <c r="Z328" s="547">
        <f>IFERROR(IF(Z324="",0,Z324),"0")+IFERROR(IF(Z325="",0,Z325),"0")+IFERROR(IF(Z326="",0,Z326),"0")+IFERROR(IF(Z327="",0,Z327),"0")</f>
        <v>3.9059999999999997E-2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14</v>
      </c>
      <c r="Y329" s="547">
        <f>IFERROR(SUM(Y324:Y327),"0")</f>
        <v>15.299999999999999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709</v>
      </c>
      <c r="Y346" s="546">
        <f t="shared" ref="Y346:Y352" si="31">IFERROR(IF(X346="",0,CEILING((X346/$H346),1)*$H346),"")</f>
        <v>720</v>
      </c>
      <c r="Z346" s="36">
        <f>IFERROR(IF(Y346=0,"",ROUNDUP(Y346/H346,0)*0.02175),"")</f>
        <v>1.044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731.21533333333332</v>
      </c>
      <c r="BN346" s="64">
        <f t="shared" ref="BN346:BN352" si="33">IFERROR(Y346*I346/H346,"0")</f>
        <v>742.56</v>
      </c>
      <c r="BO346" s="64">
        <f t="shared" ref="BO346:BO352" si="34">IFERROR(1/J346*(X346/H346),"0")</f>
        <v>0.98472222222222217</v>
      </c>
      <c r="BP346" s="64">
        <f t="shared" ref="BP346:BP352" si="35">IFERROR(1/J346*(Y346/H346),"0")</f>
        <v>1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219</v>
      </c>
      <c r="Y347" s="546">
        <f t="shared" si="31"/>
        <v>225</v>
      </c>
      <c r="Z347" s="36">
        <f>IFERROR(IF(Y347=0,"",ROUNDUP(Y347/H347,0)*0.02175),"")</f>
        <v>0.32624999999999998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225.86200000000002</v>
      </c>
      <c r="BN347" s="64">
        <f t="shared" si="33"/>
        <v>232.05</v>
      </c>
      <c r="BO347" s="64">
        <f t="shared" si="34"/>
        <v>0.30416666666666664</v>
      </c>
      <c r="BP347" s="64">
        <f t="shared" si="35"/>
        <v>0.3125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61.866666666666667</v>
      </c>
      <c r="Y353" s="547">
        <f>IFERROR(Y346/H346,"0")+IFERROR(Y347/H347,"0")+IFERROR(Y348/H348,"0")+IFERROR(Y349/H349,"0")+IFERROR(Y350/H350,"0")+IFERROR(Y351/H351,"0")+IFERROR(Y352/H352,"0")</f>
        <v>63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1.37025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928</v>
      </c>
      <c r="Y354" s="547">
        <f>IFERROR(SUM(Y346:Y352),"0")</f>
        <v>945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889</v>
      </c>
      <c r="Y356" s="546">
        <f>IFERROR(IF(X356="",0,CEILING((X356/$H356),1)*$H356),"")</f>
        <v>900</v>
      </c>
      <c r="Z356" s="36">
        <f>IFERROR(IF(Y356=0,"",ROUNDUP(Y356/H356,0)*0.02175),"")</f>
        <v>1.3049999999999999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916.85533333333331</v>
      </c>
      <c r="BN356" s="64">
        <f>IFERROR(Y356*I356/H356,"0")</f>
        <v>928.2</v>
      </c>
      <c r="BO356" s="64">
        <f>IFERROR(1/J356*(X356/H356),"0")</f>
        <v>1.2347222222222221</v>
      </c>
      <c r="BP356" s="64">
        <f>IFERROR(1/J356*(Y356/H356),"0")</f>
        <v>1.25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59.266666666666666</v>
      </c>
      <c r="Y358" s="547">
        <f>IFERROR(Y356/H356,"0")+IFERROR(Y357/H357,"0")</f>
        <v>60</v>
      </c>
      <c r="Z358" s="547">
        <f>IFERROR(IF(Z356="",0,Z356),"0")+IFERROR(IF(Z357="",0,Z357),"0")</f>
        <v>1.3049999999999999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889</v>
      </c>
      <c r="Y359" s="547">
        <f>IFERROR(SUM(Y356:Y357),"0")</f>
        <v>900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790</v>
      </c>
      <c r="Y429" s="546">
        <f t="shared" si="42"/>
        <v>792</v>
      </c>
      <c r="Z429" s="36">
        <f t="shared" si="43"/>
        <v>1.794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842.36742424242414</v>
      </c>
      <c r="BN429" s="64">
        <f t="shared" si="45"/>
        <v>844.5</v>
      </c>
      <c r="BO429" s="64">
        <f t="shared" si="46"/>
        <v>1.4386655011655012</v>
      </c>
      <c r="BP429" s="64">
        <f t="shared" si="47"/>
        <v>1.4423076923076923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149.62121212121212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150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1.794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790</v>
      </c>
      <c r="Y438" s="547">
        <f>IFERROR(SUM(Y425:Y436),"0")</f>
        <v>792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161</v>
      </c>
      <c r="Y446" s="546">
        <f t="shared" ref="Y446:Y451" si="48">IFERROR(IF(X446="",0,CEILING((X446/$H446),1)*$H446),"")</f>
        <v>163.68</v>
      </c>
      <c r="Z446" s="36">
        <f>IFERROR(IF(Y446=0,"",ROUNDUP(Y446/H446,0)*0.01196),"")</f>
        <v>0.37075999999999998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171.67234848484847</v>
      </c>
      <c r="BN446" s="64">
        <f t="shared" ref="BN446:BN451" si="50">IFERROR(Y446*I446/H446,"0")</f>
        <v>174.53</v>
      </c>
      <c r="BO446" s="64">
        <f t="shared" ref="BO446:BO451" si="51">IFERROR(1/J446*(X446/H446),"0")</f>
        <v>0.29319638694638694</v>
      </c>
      <c r="BP446" s="64">
        <f t="shared" ref="BP446:BP451" si="52">IFERROR(1/J446*(Y446/H446),"0")</f>
        <v>0.29807692307692307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30.492424242424242</v>
      </c>
      <c r="Y452" s="547">
        <f>IFERROR(Y446/H446,"0")+IFERROR(Y447/H447,"0")+IFERROR(Y448/H448,"0")+IFERROR(Y449/H449,"0")+IFERROR(Y450/H450,"0")+IFERROR(Y451/H451,"0")</f>
        <v>31</v>
      </c>
      <c r="Z452" s="547">
        <f>IFERROR(IF(Z446="",0,Z446),"0")+IFERROR(IF(Z447="",0,Z447),"0")+IFERROR(IF(Z448="",0,Z448),"0")+IFERROR(IF(Z449="",0,Z449),"0")+IFERROR(IF(Z450="",0,Z450),"0")+IFERROR(IF(Z451="",0,Z451),"0")</f>
        <v>0.37075999999999998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161</v>
      </c>
      <c r="Y453" s="547">
        <f>IFERROR(SUM(Y446:Y451),"0")</f>
        <v>163.68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3389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3428.8799999999997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3533.9938337294511</v>
      </c>
      <c r="Y492" s="547">
        <f>IFERROR(SUM(BN22:BN488),"0")</f>
        <v>3575.46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3683.9938337294511</v>
      </c>
      <c r="Y494" s="547">
        <f>GrossWeightTotalR+PalletQtyTotalR*25</f>
        <v>3725.46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367.99642503466032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372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5.9661900000000001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75.600000000000009</v>
      </c>
      <c r="E501" s="46">
        <f>IFERROR(Y86*1,"0")+IFERROR(Y87*1,"0")+IFERROR(Y88*1,"0")+IFERROR(Y89*1,"0")+IFERROR(Y93*1,"0")+IFERROR(Y94*1,"0")+IFERROR(Y95*1,"0")+IFERROR(Y96*1,"0")</f>
        <v>288.89999999999998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248.4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15.299999999999999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1845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955.68000000000006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,00"/>
        <filter val="149,62"/>
        <filter val="161,00"/>
        <filter val="219,00"/>
        <filter val="22,69"/>
        <filter val="245,00"/>
        <filter val="248,00"/>
        <filter val="287,00"/>
        <filter val="3 389,00"/>
        <filter val="3 533,99"/>
        <filter val="3 683,99"/>
        <filter val="30,49"/>
        <filter val="31,63"/>
        <filter val="368,00"/>
        <filter val="39,00"/>
        <filter val="5,49"/>
        <filter val="59,27"/>
        <filter val="6"/>
        <filter val="6,94"/>
        <filter val="61,87"/>
        <filter val="709,00"/>
        <filter val="75,00"/>
        <filter val="790,00"/>
        <filter val="889,00"/>
        <filter val="92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2025-12-15T10:39:25Z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