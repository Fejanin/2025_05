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1D0C7E6-EC57-41E4-A7FB-6310B12B1DC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1" l="1"/>
  <c r="X490" i="1"/>
  <c r="BO489" i="1"/>
  <c r="BM489" i="1"/>
  <c r="Y489" i="1"/>
  <c r="P489" i="1"/>
  <c r="X486" i="1"/>
  <c r="X485" i="1"/>
  <c r="BO484" i="1"/>
  <c r="BM484" i="1"/>
  <c r="Y484" i="1"/>
  <c r="P484" i="1"/>
  <c r="BO483" i="1"/>
  <c r="BM483" i="1"/>
  <c r="Y483" i="1"/>
  <c r="P483" i="1"/>
  <c r="X481" i="1"/>
  <c r="X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BO463" i="1"/>
  <c r="BM463" i="1"/>
  <c r="Y463" i="1"/>
  <c r="P463" i="1"/>
  <c r="X459" i="1"/>
  <c r="X458" i="1"/>
  <c r="BO457" i="1"/>
  <c r="BM457" i="1"/>
  <c r="Y457" i="1"/>
  <c r="P457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O363" i="1"/>
  <c r="BM363" i="1"/>
  <c r="Y363" i="1"/>
  <c r="Y365" i="1" s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P341" i="1"/>
  <c r="BO341" i="1"/>
  <c r="BN341" i="1"/>
  <c r="BM341" i="1"/>
  <c r="Z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O334" i="1"/>
  <c r="BM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X302" i="1"/>
  <c r="X301" i="1"/>
  <c r="BO300" i="1"/>
  <c r="BM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Y292" i="1" s="1"/>
  <c r="P290" i="1"/>
  <c r="X288" i="1"/>
  <c r="X287" i="1"/>
  <c r="BO286" i="1"/>
  <c r="BM286" i="1"/>
  <c r="Y286" i="1"/>
  <c r="P286" i="1"/>
  <c r="BO285" i="1"/>
  <c r="BM285" i="1"/>
  <c r="Y285" i="1"/>
  <c r="BP285" i="1" s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BP278" i="1" s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O253" i="1"/>
  <c r="BM253" i="1"/>
  <c r="Y253" i="1"/>
  <c r="BP253" i="1" s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X229" i="1"/>
  <c r="X228" i="1"/>
  <c r="BO227" i="1"/>
  <c r="BM227" i="1"/>
  <c r="Y227" i="1"/>
  <c r="P227" i="1"/>
  <c r="BO226" i="1"/>
  <c r="BM226" i="1"/>
  <c r="Y226" i="1"/>
  <c r="P226" i="1"/>
  <c r="X224" i="1"/>
  <c r="X223" i="1"/>
  <c r="BO222" i="1"/>
  <c r="BM222" i="1"/>
  <c r="Y222" i="1"/>
  <c r="BP222" i="1" s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BP214" i="1" s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BP204" i="1" s="1"/>
  <c r="P204" i="1"/>
  <c r="BO203" i="1"/>
  <c r="BM203" i="1"/>
  <c r="Z203" i="1"/>
  <c r="Y203" i="1"/>
  <c r="P203" i="1"/>
  <c r="X201" i="1"/>
  <c r="X200" i="1"/>
  <c r="BO199" i="1"/>
  <c r="BM199" i="1"/>
  <c r="Y199" i="1"/>
  <c r="BP199" i="1" s="1"/>
  <c r="P199" i="1"/>
  <c r="BO198" i="1"/>
  <c r="BM198" i="1"/>
  <c r="Y198" i="1"/>
  <c r="P198" i="1"/>
  <c r="X196" i="1"/>
  <c r="X195" i="1"/>
  <c r="BO194" i="1"/>
  <c r="BM194" i="1"/>
  <c r="Y194" i="1"/>
  <c r="P194" i="1"/>
  <c r="BO193" i="1"/>
  <c r="BM193" i="1"/>
  <c r="Y193" i="1"/>
  <c r="P193" i="1"/>
  <c r="X190" i="1"/>
  <c r="X189" i="1"/>
  <c r="BO188" i="1"/>
  <c r="BM188" i="1"/>
  <c r="Y188" i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P183" i="1"/>
  <c r="BO182" i="1"/>
  <c r="BM182" i="1"/>
  <c r="Y182" i="1"/>
  <c r="Y186" i="1" s="1"/>
  <c r="P182" i="1"/>
  <c r="X180" i="1"/>
  <c r="X179" i="1"/>
  <c r="BO178" i="1"/>
  <c r="BM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P152" i="1"/>
  <c r="BO152" i="1"/>
  <c r="BN152" i="1"/>
  <c r="BM152" i="1"/>
  <c r="Z152" i="1"/>
  <c r="Y152" i="1"/>
  <c r="P152" i="1"/>
  <c r="BO151" i="1"/>
  <c r="BM151" i="1"/>
  <c r="Y151" i="1"/>
  <c r="P151" i="1"/>
  <c r="BO150" i="1"/>
  <c r="BM150" i="1"/>
  <c r="Y150" i="1"/>
  <c r="BP150" i="1" s="1"/>
  <c r="BO149" i="1"/>
  <c r="BM149" i="1"/>
  <c r="Y149" i="1"/>
  <c r="BP149" i="1" s="1"/>
  <c r="BO148" i="1"/>
  <c r="BM148" i="1"/>
  <c r="Y148" i="1"/>
  <c r="BP148" i="1" s="1"/>
  <c r="X146" i="1"/>
  <c r="X145" i="1"/>
  <c r="BO144" i="1"/>
  <c r="BM144" i="1"/>
  <c r="Y144" i="1"/>
  <c r="P144" i="1"/>
  <c r="BO143" i="1"/>
  <c r="BM143" i="1"/>
  <c r="Y143" i="1"/>
  <c r="BP143" i="1" s="1"/>
  <c r="P143" i="1"/>
  <c r="X140" i="1"/>
  <c r="X139" i="1"/>
  <c r="BO138" i="1"/>
  <c r="BM138" i="1"/>
  <c r="Y138" i="1"/>
  <c r="BP138" i="1" s="1"/>
  <c r="P138" i="1"/>
  <c r="BO137" i="1"/>
  <c r="BM137" i="1"/>
  <c r="Y137" i="1"/>
  <c r="Y139" i="1" s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X129" i="1"/>
  <c r="BO128" i="1"/>
  <c r="BM128" i="1"/>
  <c r="Y128" i="1"/>
  <c r="BP128" i="1" s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O115" i="1"/>
  <c r="BM115" i="1"/>
  <c r="Y115" i="1"/>
  <c r="Y119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Z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BP92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BP79" i="1" s="1"/>
  <c r="P79" i="1"/>
  <c r="X77" i="1"/>
  <c r="X76" i="1"/>
  <c r="BO75" i="1"/>
  <c r="BM75" i="1"/>
  <c r="Y75" i="1"/>
  <c r="BP75" i="1" s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BP67" i="1" s="1"/>
  <c r="P67" i="1"/>
  <c r="X65" i="1"/>
  <c r="X64" i="1"/>
  <c r="BO63" i="1"/>
  <c r="BM63" i="1"/>
  <c r="Y63" i="1"/>
  <c r="BP63" i="1" s="1"/>
  <c r="P63" i="1"/>
  <c r="BO62" i="1"/>
  <c r="BM62" i="1"/>
  <c r="Y62" i="1"/>
  <c r="P62" i="1"/>
  <c r="BO61" i="1"/>
  <c r="BM61" i="1"/>
  <c r="Y61" i="1"/>
  <c r="BP61" i="1" s="1"/>
  <c r="P61" i="1"/>
  <c r="X59" i="1"/>
  <c r="X58" i="1"/>
  <c r="BO57" i="1"/>
  <c r="BM57" i="1"/>
  <c r="Y57" i="1"/>
  <c r="BP57" i="1" s="1"/>
  <c r="P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Z47" i="1" s="1"/>
  <c r="Z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Y44" i="1" s="1"/>
  <c r="P41" i="1"/>
  <c r="X37" i="1"/>
  <c r="X36" i="1"/>
  <c r="BO35" i="1"/>
  <c r="BM35" i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P170" i="1" l="1"/>
  <c r="BN170" i="1"/>
  <c r="Z170" i="1"/>
  <c r="Y190" i="1"/>
  <c r="Y189" i="1"/>
  <c r="BP188" i="1"/>
  <c r="BN188" i="1"/>
  <c r="Z188" i="1"/>
  <c r="Z189" i="1" s="1"/>
  <c r="BP193" i="1"/>
  <c r="BN193" i="1"/>
  <c r="Z193" i="1"/>
  <c r="BP216" i="1"/>
  <c r="BN216" i="1"/>
  <c r="Z216" i="1"/>
  <c r="BP239" i="1"/>
  <c r="BN239" i="1"/>
  <c r="Z239" i="1"/>
  <c r="BP280" i="1"/>
  <c r="BN280" i="1"/>
  <c r="Z280" i="1"/>
  <c r="BP316" i="1"/>
  <c r="BN316" i="1"/>
  <c r="Z316" i="1"/>
  <c r="BP350" i="1"/>
  <c r="BN350" i="1"/>
  <c r="Z350" i="1"/>
  <c r="BP393" i="1"/>
  <c r="BN393" i="1"/>
  <c r="Z393" i="1"/>
  <c r="BP429" i="1"/>
  <c r="BN429" i="1"/>
  <c r="Z429" i="1"/>
  <c r="BP453" i="1"/>
  <c r="BN453" i="1"/>
  <c r="Z453" i="1"/>
  <c r="X493" i="1"/>
  <c r="Z23" i="1"/>
  <c r="BN23" i="1"/>
  <c r="X496" i="1"/>
  <c r="Z27" i="1"/>
  <c r="BN27" i="1"/>
  <c r="Z43" i="1"/>
  <c r="BN43" i="1"/>
  <c r="Z61" i="1"/>
  <c r="BN61" i="1"/>
  <c r="Z79" i="1"/>
  <c r="BN79" i="1"/>
  <c r="Z94" i="1"/>
  <c r="BN94" i="1"/>
  <c r="BP103" i="1"/>
  <c r="BN103" i="1"/>
  <c r="BP117" i="1"/>
  <c r="BN117" i="1"/>
  <c r="Z117" i="1"/>
  <c r="BP178" i="1"/>
  <c r="BN178" i="1"/>
  <c r="Z178" i="1"/>
  <c r="BP206" i="1"/>
  <c r="BN206" i="1"/>
  <c r="Z206" i="1"/>
  <c r="BP226" i="1"/>
  <c r="BN226" i="1"/>
  <c r="Z226" i="1"/>
  <c r="BP264" i="1"/>
  <c r="BN264" i="1"/>
  <c r="Z264" i="1"/>
  <c r="BP304" i="1"/>
  <c r="BN304" i="1"/>
  <c r="Z304" i="1"/>
  <c r="BP328" i="1"/>
  <c r="BN328" i="1"/>
  <c r="Z328" i="1"/>
  <c r="BP364" i="1"/>
  <c r="BN364" i="1"/>
  <c r="Z364" i="1"/>
  <c r="Y370" i="1"/>
  <c r="Y369" i="1"/>
  <c r="BP368" i="1"/>
  <c r="BN368" i="1"/>
  <c r="Z368" i="1"/>
  <c r="Z369" i="1" s="1"/>
  <c r="BP373" i="1"/>
  <c r="BN373" i="1"/>
  <c r="Z373" i="1"/>
  <c r="BP403" i="1"/>
  <c r="BN403" i="1"/>
  <c r="Z403" i="1"/>
  <c r="BP437" i="1"/>
  <c r="BN437" i="1"/>
  <c r="Z437" i="1"/>
  <c r="Y477" i="1"/>
  <c r="Y476" i="1"/>
  <c r="BP475" i="1"/>
  <c r="BN475" i="1"/>
  <c r="Z475" i="1"/>
  <c r="Z476" i="1" s="1"/>
  <c r="Y481" i="1"/>
  <c r="Y480" i="1"/>
  <c r="BP479" i="1"/>
  <c r="BN479" i="1"/>
  <c r="Z479" i="1"/>
  <c r="Z480" i="1" s="1"/>
  <c r="BP483" i="1"/>
  <c r="BN483" i="1"/>
  <c r="Z483" i="1"/>
  <c r="Y49" i="1"/>
  <c r="Y185" i="1"/>
  <c r="BP300" i="1"/>
  <c r="BN300" i="1"/>
  <c r="Z300" i="1"/>
  <c r="BP314" i="1"/>
  <c r="BN314" i="1"/>
  <c r="Z314" i="1"/>
  <c r="Y330" i="1"/>
  <c r="BP326" i="1"/>
  <c r="BN326" i="1"/>
  <c r="Z326" i="1"/>
  <c r="BP348" i="1"/>
  <c r="BN348" i="1"/>
  <c r="Z348" i="1"/>
  <c r="Y360" i="1"/>
  <c r="BP358" i="1"/>
  <c r="BN358" i="1"/>
  <c r="Z358" i="1"/>
  <c r="BP385" i="1"/>
  <c r="BN385" i="1"/>
  <c r="Z385" i="1"/>
  <c r="BP391" i="1"/>
  <c r="BN391" i="1"/>
  <c r="Z391" i="1"/>
  <c r="BP399" i="1"/>
  <c r="BN399" i="1"/>
  <c r="Z399" i="1"/>
  <c r="Y423" i="1"/>
  <c r="W502" i="1"/>
  <c r="Y422" i="1"/>
  <c r="BP421" i="1"/>
  <c r="BN421" i="1"/>
  <c r="Z421" i="1"/>
  <c r="Z422" i="1" s="1"/>
  <c r="BP427" i="1"/>
  <c r="BN427" i="1"/>
  <c r="Z427" i="1"/>
  <c r="BP435" i="1"/>
  <c r="BN435" i="1"/>
  <c r="Z435" i="1"/>
  <c r="BP451" i="1"/>
  <c r="BN451" i="1"/>
  <c r="Z451" i="1"/>
  <c r="BP471" i="1"/>
  <c r="BN471" i="1"/>
  <c r="Z471" i="1"/>
  <c r="B502" i="1"/>
  <c r="X494" i="1"/>
  <c r="X495" i="1" s="1"/>
  <c r="X492" i="1"/>
  <c r="Y33" i="1"/>
  <c r="Z29" i="1"/>
  <c r="BN29" i="1"/>
  <c r="Z35" i="1"/>
  <c r="Z36" i="1" s="1"/>
  <c r="BN35" i="1"/>
  <c r="BP35" i="1"/>
  <c r="Y36" i="1"/>
  <c r="Z41" i="1"/>
  <c r="BN41" i="1"/>
  <c r="BP41" i="1"/>
  <c r="Z53" i="1"/>
  <c r="BN53" i="1"/>
  <c r="Z57" i="1"/>
  <c r="BN57" i="1"/>
  <c r="Y65" i="1"/>
  <c r="Z63" i="1"/>
  <c r="BN63" i="1"/>
  <c r="Y64" i="1"/>
  <c r="Z67" i="1"/>
  <c r="BN67" i="1"/>
  <c r="Z75" i="1"/>
  <c r="BN75" i="1"/>
  <c r="Z86" i="1"/>
  <c r="BN86" i="1"/>
  <c r="Z92" i="1"/>
  <c r="BN92" i="1"/>
  <c r="Z101" i="1"/>
  <c r="BN101" i="1"/>
  <c r="Z109" i="1"/>
  <c r="BN109" i="1"/>
  <c r="Z115" i="1"/>
  <c r="BN115" i="1"/>
  <c r="BP115" i="1"/>
  <c r="Z128" i="1"/>
  <c r="BN128" i="1"/>
  <c r="Y134" i="1"/>
  <c r="Z138" i="1"/>
  <c r="BN138" i="1"/>
  <c r="Z143" i="1"/>
  <c r="BN143" i="1"/>
  <c r="Z148" i="1"/>
  <c r="BN148" i="1"/>
  <c r="Z149" i="1"/>
  <c r="BN149" i="1"/>
  <c r="Z150" i="1"/>
  <c r="BN150" i="1"/>
  <c r="Z168" i="1"/>
  <c r="BN168" i="1"/>
  <c r="Z172" i="1"/>
  <c r="BN172" i="1"/>
  <c r="Z176" i="1"/>
  <c r="BN176" i="1"/>
  <c r="Z182" i="1"/>
  <c r="Z185" i="1" s="1"/>
  <c r="BN182" i="1"/>
  <c r="BP182" i="1"/>
  <c r="Z199" i="1"/>
  <c r="BN199" i="1"/>
  <c r="Z204" i="1"/>
  <c r="BN204" i="1"/>
  <c r="Z208" i="1"/>
  <c r="BN208" i="1"/>
  <c r="Z214" i="1"/>
  <c r="BN214" i="1"/>
  <c r="Z218" i="1"/>
  <c r="BN218" i="1"/>
  <c r="Z222" i="1"/>
  <c r="BN222" i="1"/>
  <c r="Z233" i="1"/>
  <c r="BN233" i="1"/>
  <c r="Z237" i="1"/>
  <c r="BN237" i="1"/>
  <c r="Z253" i="1"/>
  <c r="BN253" i="1"/>
  <c r="Z262" i="1"/>
  <c r="BN262" i="1"/>
  <c r="Z271" i="1"/>
  <c r="BN271" i="1"/>
  <c r="Z278" i="1"/>
  <c r="BN278" i="1"/>
  <c r="Z285" i="1"/>
  <c r="BN285" i="1"/>
  <c r="BP291" i="1"/>
  <c r="BN291" i="1"/>
  <c r="Z291" i="1"/>
  <c r="BP296" i="1"/>
  <c r="BN296" i="1"/>
  <c r="Z296" i="1"/>
  <c r="BP306" i="1"/>
  <c r="BN306" i="1"/>
  <c r="Z306" i="1"/>
  <c r="BP320" i="1"/>
  <c r="BN320" i="1"/>
  <c r="Z320" i="1"/>
  <c r="BP334" i="1"/>
  <c r="BN334" i="1"/>
  <c r="Z334" i="1"/>
  <c r="BP352" i="1"/>
  <c r="BN352" i="1"/>
  <c r="Z352" i="1"/>
  <c r="BP379" i="1"/>
  <c r="BN379" i="1"/>
  <c r="Z379" i="1"/>
  <c r="BP395" i="1"/>
  <c r="BN395" i="1"/>
  <c r="Z395" i="1"/>
  <c r="BP414" i="1"/>
  <c r="BN414" i="1"/>
  <c r="Z414" i="1"/>
  <c r="BP431" i="1"/>
  <c r="BN431" i="1"/>
  <c r="Z431" i="1"/>
  <c r="BP443" i="1"/>
  <c r="BN443" i="1"/>
  <c r="Z443" i="1"/>
  <c r="Y459" i="1"/>
  <c r="Y458" i="1"/>
  <c r="BP457" i="1"/>
  <c r="BN457" i="1"/>
  <c r="Z457" i="1"/>
  <c r="Z458" i="1" s="1"/>
  <c r="Y467" i="1"/>
  <c r="BP463" i="1"/>
  <c r="BN463" i="1"/>
  <c r="Z463" i="1"/>
  <c r="Y387" i="1"/>
  <c r="Y386" i="1"/>
  <c r="Y485" i="1"/>
  <c r="H9" i="1"/>
  <c r="A10" i="1"/>
  <c r="Y24" i="1"/>
  <c r="Y32" i="1"/>
  <c r="D502" i="1"/>
  <c r="Y59" i="1"/>
  <c r="BP52" i="1"/>
  <c r="BN52" i="1"/>
  <c r="Z52" i="1"/>
  <c r="BP56" i="1"/>
  <c r="BN56" i="1"/>
  <c r="Z56" i="1"/>
  <c r="BP68" i="1"/>
  <c r="BN68" i="1"/>
  <c r="Z68" i="1"/>
  <c r="Z69" i="1" s="1"/>
  <c r="Y70" i="1"/>
  <c r="Y77" i="1"/>
  <c r="BP72" i="1"/>
  <c r="BN72" i="1"/>
  <c r="Z72" i="1"/>
  <c r="Y76" i="1"/>
  <c r="BP80" i="1"/>
  <c r="BN80" i="1"/>
  <c r="Z80" i="1"/>
  <c r="Y82" i="1"/>
  <c r="E502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BP118" i="1"/>
  <c r="BN118" i="1"/>
  <c r="Z118" i="1"/>
  <c r="Y120" i="1"/>
  <c r="Y123" i="1"/>
  <c r="BP122" i="1"/>
  <c r="BN122" i="1"/>
  <c r="Z122" i="1"/>
  <c r="Z123" i="1" s="1"/>
  <c r="Y124" i="1"/>
  <c r="G502" i="1"/>
  <c r="Y130" i="1"/>
  <c r="BP127" i="1"/>
  <c r="BN127" i="1"/>
  <c r="Z127" i="1"/>
  <c r="Z129" i="1" s="1"/>
  <c r="BP144" i="1"/>
  <c r="BN144" i="1"/>
  <c r="Z144" i="1"/>
  <c r="Z145" i="1" s="1"/>
  <c r="Y146" i="1"/>
  <c r="BP151" i="1"/>
  <c r="BN151" i="1"/>
  <c r="Z151" i="1"/>
  <c r="BP169" i="1"/>
  <c r="BN169" i="1"/>
  <c r="Z169" i="1"/>
  <c r="BP173" i="1"/>
  <c r="BN173" i="1"/>
  <c r="Z173" i="1"/>
  <c r="BP177" i="1"/>
  <c r="BN177" i="1"/>
  <c r="Z177" i="1"/>
  <c r="BP194" i="1"/>
  <c r="BN194" i="1"/>
  <c r="Z194" i="1"/>
  <c r="Z195" i="1" s="1"/>
  <c r="Y196" i="1"/>
  <c r="Y201" i="1"/>
  <c r="BP198" i="1"/>
  <c r="BN198" i="1"/>
  <c r="Z198" i="1"/>
  <c r="Z200" i="1" s="1"/>
  <c r="BP297" i="1"/>
  <c r="BN297" i="1"/>
  <c r="Z297" i="1"/>
  <c r="Q502" i="1"/>
  <c r="Y301" i="1"/>
  <c r="BP305" i="1"/>
  <c r="BN305" i="1"/>
  <c r="Z305" i="1"/>
  <c r="BP309" i="1"/>
  <c r="BN309" i="1"/>
  <c r="Z309" i="1"/>
  <c r="Y311" i="1"/>
  <c r="Y318" i="1"/>
  <c r="BP313" i="1"/>
  <c r="BN313" i="1"/>
  <c r="Z313" i="1"/>
  <c r="Y317" i="1"/>
  <c r="BP321" i="1"/>
  <c r="BN321" i="1"/>
  <c r="Z321" i="1"/>
  <c r="Y323" i="1"/>
  <c r="H502" i="1"/>
  <c r="F9" i="1"/>
  <c r="J9" i="1"/>
  <c r="Z22" i="1"/>
  <c r="Z24" i="1" s="1"/>
  <c r="BN22" i="1"/>
  <c r="BP22" i="1"/>
  <c r="Y25" i="1"/>
  <c r="Z28" i="1"/>
  <c r="BN28" i="1"/>
  <c r="Z30" i="1"/>
  <c r="BN30" i="1"/>
  <c r="C502" i="1"/>
  <c r="Z42" i="1"/>
  <c r="BN42" i="1"/>
  <c r="Y45" i="1"/>
  <c r="Y48" i="1"/>
  <c r="BP47" i="1"/>
  <c r="BN47" i="1"/>
  <c r="BP54" i="1"/>
  <c r="BN54" i="1"/>
  <c r="Z54" i="1"/>
  <c r="Y58" i="1"/>
  <c r="BP62" i="1"/>
  <c r="BN62" i="1"/>
  <c r="Z62" i="1"/>
  <c r="Y69" i="1"/>
  <c r="BP74" i="1"/>
  <c r="BN74" i="1"/>
  <c r="Z74" i="1"/>
  <c r="Y81" i="1"/>
  <c r="BP87" i="1"/>
  <c r="BN87" i="1"/>
  <c r="Z87" i="1"/>
  <c r="Y96" i="1"/>
  <c r="BP95" i="1"/>
  <c r="BN95" i="1"/>
  <c r="Z95" i="1"/>
  <c r="Y97" i="1"/>
  <c r="F502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Y129" i="1"/>
  <c r="BP133" i="1"/>
  <c r="BN133" i="1"/>
  <c r="Z133" i="1"/>
  <c r="Z134" i="1" s="1"/>
  <c r="Y135" i="1"/>
  <c r="Y140" i="1"/>
  <c r="BP137" i="1"/>
  <c r="BN137" i="1"/>
  <c r="Z137" i="1"/>
  <c r="Z139" i="1" s="1"/>
  <c r="Y145" i="1"/>
  <c r="Y154" i="1"/>
  <c r="BP153" i="1"/>
  <c r="BN153" i="1"/>
  <c r="Z153" i="1"/>
  <c r="Y155" i="1"/>
  <c r="Y158" i="1"/>
  <c r="BP157" i="1"/>
  <c r="BN157" i="1"/>
  <c r="Z157" i="1"/>
  <c r="Z158" i="1" s="1"/>
  <c r="Y159" i="1"/>
  <c r="I502" i="1"/>
  <c r="Y164" i="1"/>
  <c r="BP163" i="1"/>
  <c r="BN163" i="1"/>
  <c r="Z163" i="1"/>
  <c r="Z164" i="1" s="1"/>
  <c r="Y165" i="1"/>
  <c r="Y180" i="1"/>
  <c r="BP167" i="1"/>
  <c r="BN167" i="1"/>
  <c r="Z167" i="1"/>
  <c r="BP171" i="1"/>
  <c r="BN171" i="1"/>
  <c r="Z171" i="1"/>
  <c r="BP175" i="1"/>
  <c r="BN175" i="1"/>
  <c r="Z175" i="1"/>
  <c r="Y179" i="1"/>
  <c r="BP183" i="1"/>
  <c r="BN183" i="1"/>
  <c r="Z183" i="1"/>
  <c r="Y200" i="1"/>
  <c r="BP207" i="1"/>
  <c r="BN207" i="1"/>
  <c r="Z207" i="1"/>
  <c r="Y211" i="1"/>
  <c r="BP215" i="1"/>
  <c r="BN215" i="1"/>
  <c r="Z215" i="1"/>
  <c r="BP219" i="1"/>
  <c r="BN219" i="1"/>
  <c r="Z219" i="1"/>
  <c r="Y223" i="1"/>
  <c r="BP227" i="1"/>
  <c r="BN227" i="1"/>
  <c r="Z227" i="1"/>
  <c r="Z228" i="1" s="1"/>
  <c r="Y229" i="1"/>
  <c r="K502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502" i="1"/>
  <c r="Y266" i="1"/>
  <c r="BP261" i="1"/>
  <c r="BN261" i="1"/>
  <c r="Z261" i="1"/>
  <c r="BP265" i="1"/>
  <c r="BN265" i="1"/>
  <c r="Z265" i="1"/>
  <c r="Y267" i="1"/>
  <c r="M502" i="1"/>
  <c r="Y275" i="1"/>
  <c r="BP270" i="1"/>
  <c r="BN270" i="1"/>
  <c r="Z270" i="1"/>
  <c r="Y274" i="1"/>
  <c r="BP279" i="1"/>
  <c r="BN279" i="1"/>
  <c r="Z279" i="1"/>
  <c r="Y281" i="1"/>
  <c r="BP329" i="1"/>
  <c r="BN329" i="1"/>
  <c r="Z329" i="1"/>
  <c r="Y331" i="1"/>
  <c r="Y336" i="1"/>
  <c r="BP333" i="1"/>
  <c r="BN333" i="1"/>
  <c r="Z333" i="1"/>
  <c r="Y337" i="1"/>
  <c r="BP342" i="1"/>
  <c r="BN342" i="1"/>
  <c r="Z342" i="1"/>
  <c r="BP349" i="1"/>
  <c r="BN349" i="1"/>
  <c r="Z349" i="1"/>
  <c r="Y355" i="1"/>
  <c r="BP353" i="1"/>
  <c r="BN353" i="1"/>
  <c r="Z353" i="1"/>
  <c r="BP392" i="1"/>
  <c r="BN392" i="1"/>
  <c r="Z392" i="1"/>
  <c r="U502" i="1"/>
  <c r="BP396" i="1"/>
  <c r="BN396" i="1"/>
  <c r="Z396" i="1"/>
  <c r="Y400" i="1"/>
  <c r="BP404" i="1"/>
  <c r="BN404" i="1"/>
  <c r="Z404" i="1"/>
  <c r="Y406" i="1"/>
  <c r="V502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J502" i="1"/>
  <c r="Y195" i="1"/>
  <c r="Y212" i="1"/>
  <c r="BP203" i="1"/>
  <c r="BN203" i="1"/>
  <c r="BP205" i="1"/>
  <c r="BN205" i="1"/>
  <c r="Z205" i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Y288" i="1"/>
  <c r="Y293" i="1"/>
  <c r="BP290" i="1"/>
  <c r="BN290" i="1"/>
  <c r="Z290" i="1"/>
  <c r="Z292" i="1" s="1"/>
  <c r="Y302" i="1"/>
  <c r="BP299" i="1"/>
  <c r="BN299" i="1"/>
  <c r="Z299" i="1"/>
  <c r="Y310" i="1"/>
  <c r="BP307" i="1"/>
  <c r="BN307" i="1"/>
  <c r="Z307" i="1"/>
  <c r="BP315" i="1"/>
  <c r="BN315" i="1"/>
  <c r="Z315" i="1"/>
  <c r="Y324" i="1"/>
  <c r="BP327" i="1"/>
  <c r="BN327" i="1"/>
  <c r="Z327" i="1"/>
  <c r="Z330" i="1" s="1"/>
  <c r="BP335" i="1"/>
  <c r="BN335" i="1"/>
  <c r="Z335" i="1"/>
  <c r="R502" i="1"/>
  <c r="Y344" i="1"/>
  <c r="Y343" i="1"/>
  <c r="BP340" i="1"/>
  <c r="BN340" i="1"/>
  <c r="Z340" i="1"/>
  <c r="Z343" i="1" s="1"/>
  <c r="BP374" i="1"/>
  <c r="BN374" i="1"/>
  <c r="Z374" i="1"/>
  <c r="Z375" i="1" s="1"/>
  <c r="Y376" i="1"/>
  <c r="Y381" i="1"/>
  <c r="BP378" i="1"/>
  <c r="BN378" i="1"/>
  <c r="Z378" i="1"/>
  <c r="Z380" i="1" s="1"/>
  <c r="Y380" i="1"/>
  <c r="O502" i="1"/>
  <c r="Y282" i="1"/>
  <c r="P502" i="1"/>
  <c r="Y287" i="1"/>
  <c r="S502" i="1"/>
  <c r="BP351" i="1"/>
  <c r="BN351" i="1"/>
  <c r="Z351" i="1"/>
  <c r="BP359" i="1"/>
  <c r="BN359" i="1"/>
  <c r="Z359" i="1"/>
  <c r="Z360" i="1" s="1"/>
  <c r="Y361" i="1"/>
  <c r="Y366" i="1"/>
  <c r="BP363" i="1"/>
  <c r="BN363" i="1"/>
  <c r="Z363" i="1"/>
  <c r="Z365" i="1" s="1"/>
  <c r="BP384" i="1"/>
  <c r="BN384" i="1"/>
  <c r="Z384" i="1"/>
  <c r="Y401" i="1"/>
  <c r="BP394" i="1"/>
  <c r="BN394" i="1"/>
  <c r="Z394" i="1"/>
  <c r="BP398" i="1"/>
  <c r="BN398" i="1"/>
  <c r="Z398" i="1"/>
  <c r="Y405" i="1"/>
  <c r="BP415" i="1"/>
  <c r="BN415" i="1"/>
  <c r="Z415" i="1"/>
  <c r="BP466" i="1"/>
  <c r="BN466" i="1"/>
  <c r="Z466" i="1"/>
  <c r="Y468" i="1"/>
  <c r="Y473" i="1"/>
  <c r="BP470" i="1"/>
  <c r="BN470" i="1"/>
  <c r="Z470" i="1"/>
  <c r="Z472" i="1" s="1"/>
  <c r="Y472" i="1"/>
  <c r="Y502" i="1"/>
  <c r="Y356" i="1"/>
  <c r="T502" i="1"/>
  <c r="Y375" i="1"/>
  <c r="X502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BP450" i="1"/>
  <c r="BN450" i="1"/>
  <c r="Z450" i="1"/>
  <c r="BP464" i="1"/>
  <c r="BN464" i="1"/>
  <c r="Z464" i="1"/>
  <c r="BP484" i="1"/>
  <c r="BN484" i="1"/>
  <c r="Z484" i="1"/>
  <c r="Z485" i="1" s="1"/>
  <c r="Y486" i="1"/>
  <c r="Z502" i="1"/>
  <c r="Y490" i="1"/>
  <c r="BP489" i="1"/>
  <c r="BN489" i="1"/>
  <c r="Z489" i="1"/>
  <c r="Z490" i="1" s="1"/>
  <c r="Y491" i="1"/>
  <c r="Y439" i="1"/>
  <c r="Z467" i="1" l="1"/>
  <c r="Z445" i="1"/>
  <c r="Z386" i="1"/>
  <c r="Z211" i="1"/>
  <c r="Z405" i="1"/>
  <c r="Z119" i="1"/>
  <c r="Z112" i="1"/>
  <c r="Z105" i="1"/>
  <c r="Z64" i="1"/>
  <c r="Z44" i="1"/>
  <c r="Z323" i="1"/>
  <c r="Z81" i="1"/>
  <c r="Z400" i="1"/>
  <c r="Z310" i="1"/>
  <c r="Z96" i="1"/>
  <c r="Z287" i="1"/>
  <c r="Z439" i="1"/>
  <c r="Z355" i="1"/>
  <c r="Z281" i="1"/>
  <c r="Z223" i="1"/>
  <c r="Z32" i="1"/>
  <c r="Z301" i="1"/>
  <c r="Z154" i="1"/>
  <c r="Z454" i="1"/>
  <c r="Z417" i="1"/>
  <c r="Z336" i="1"/>
  <c r="Z266" i="1"/>
  <c r="Z241" i="1"/>
  <c r="Z179" i="1"/>
  <c r="Y494" i="1"/>
  <c r="Z89" i="1"/>
  <c r="Z76" i="1"/>
  <c r="Z274" i="1"/>
  <c r="Z257" i="1"/>
  <c r="Y492" i="1"/>
  <c r="Y493" i="1"/>
  <c r="Y495" i="1" s="1"/>
  <c r="Z317" i="1"/>
  <c r="Z58" i="1"/>
  <c r="Z497" i="1" s="1"/>
  <c r="Y496" i="1"/>
</calcChain>
</file>

<file path=xl/sharedStrings.xml><?xml version="1.0" encoding="utf-8"?>
<sst xmlns="http://schemas.openxmlformats.org/spreadsheetml/2006/main" count="2340" uniqueCount="775">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</sst>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5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0" borderId="25" xfId="0" applyBorder="1" applyProtection="1">
      <protection hidden="1"/>
    </xf>
    <xf numFmtId="0" fontId="31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5" fillId="0" borderId="0" xfId="0" applyFont="1" applyProtection="1">
      <protection hidden="1"/>
    </xf>
    <xf numFmtId="0" fontId="59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14" fontId="34" fillId="24" borderId="0" xfId="0" applyNumberFormat="1" applyFont="1" applyFill="1" applyAlignment="1">
      <alignment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6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2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795" t="s">
        <v>0</v>
      </c>
      <c r="E1" s="588"/>
      <c r="F1" s="588"/>
      <c r="G1" s="12" t="s">
        <v>1</v>
      </c>
      <c r="H1" s="795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726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3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771" t="s">
        <v>8</v>
      </c>
      <c r="B5" s="575"/>
      <c r="C5" s="576"/>
      <c r="D5" s="667"/>
      <c r="E5" s="669"/>
      <c r="F5" s="624" t="s">
        <v>9</v>
      </c>
      <c r="G5" s="576"/>
      <c r="H5" s="667" t="s">
        <v>774</v>
      </c>
      <c r="I5" s="668"/>
      <c r="J5" s="668"/>
      <c r="K5" s="668"/>
      <c r="L5" s="668"/>
      <c r="M5" s="669"/>
      <c r="N5" s="58"/>
      <c r="P5" s="24" t="s">
        <v>10</v>
      </c>
      <c r="Q5" s="599">
        <v>46017</v>
      </c>
      <c r="R5" s="600"/>
      <c r="T5" s="734" t="s">
        <v>11</v>
      </c>
      <c r="U5" s="674"/>
      <c r="V5" s="735" t="s">
        <v>12</v>
      </c>
      <c r="W5" s="600"/>
      <c r="AB5" s="51"/>
      <c r="AC5" s="51"/>
      <c r="AD5" s="51"/>
      <c r="AE5" s="51"/>
    </row>
    <row r="6" spans="1:32" s="541" customFormat="1" ht="24" customHeight="1" x14ac:dyDescent="0.2">
      <c r="A6" s="771" t="s">
        <v>13</v>
      </c>
      <c r="B6" s="575"/>
      <c r="C6" s="576"/>
      <c r="D6" s="671" t="s">
        <v>14</v>
      </c>
      <c r="E6" s="672"/>
      <c r="F6" s="672"/>
      <c r="G6" s="672"/>
      <c r="H6" s="672"/>
      <c r="I6" s="672"/>
      <c r="J6" s="672"/>
      <c r="K6" s="672"/>
      <c r="L6" s="672"/>
      <c r="M6" s="600"/>
      <c r="N6" s="59"/>
      <c r="P6" s="24" t="s">
        <v>15</v>
      </c>
      <c r="Q6" s="606" t="str">
        <f>IF(Q5=0," ",CHOOSE(WEEKDAY(Q5,2),"Понедельник","Вторник","Среда","Четверг","Пятница","Суббота","Воскресенье"))</f>
        <v>Пятница</v>
      </c>
      <c r="R6" s="559"/>
      <c r="T6" s="739" t="s">
        <v>16</v>
      </c>
      <c r="U6" s="674"/>
      <c r="V6" s="681" t="s">
        <v>17</v>
      </c>
      <c r="W6" s="682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829" t="str">
        <f>IFERROR(VLOOKUP(DeliveryAddress,Table,3,0),1)</f>
        <v>1</v>
      </c>
      <c r="E7" s="830"/>
      <c r="F7" s="830"/>
      <c r="G7" s="830"/>
      <c r="H7" s="830"/>
      <c r="I7" s="830"/>
      <c r="J7" s="830"/>
      <c r="K7" s="830"/>
      <c r="L7" s="830"/>
      <c r="M7" s="738"/>
      <c r="N7" s="60"/>
      <c r="P7" s="24"/>
      <c r="Q7" s="42"/>
      <c r="R7" s="42"/>
      <c r="T7" s="557"/>
      <c r="U7" s="674"/>
      <c r="V7" s="683"/>
      <c r="W7" s="684"/>
      <c r="AB7" s="51"/>
      <c r="AC7" s="51"/>
      <c r="AD7" s="51"/>
      <c r="AE7" s="51"/>
    </row>
    <row r="8" spans="1:32" s="541" customFormat="1" ht="25.5" customHeight="1" x14ac:dyDescent="0.2">
      <c r="A8" s="571" t="s">
        <v>18</v>
      </c>
      <c r="B8" s="554"/>
      <c r="C8" s="555"/>
      <c r="D8" s="819" t="s">
        <v>19</v>
      </c>
      <c r="E8" s="820"/>
      <c r="F8" s="820"/>
      <c r="G8" s="820"/>
      <c r="H8" s="820"/>
      <c r="I8" s="820"/>
      <c r="J8" s="820"/>
      <c r="K8" s="820"/>
      <c r="L8" s="820"/>
      <c r="M8" s="821"/>
      <c r="N8" s="61"/>
      <c r="P8" s="24" t="s">
        <v>20</v>
      </c>
      <c r="Q8" s="737">
        <v>0.41666666666666669</v>
      </c>
      <c r="R8" s="738"/>
      <c r="T8" s="557"/>
      <c r="U8" s="674"/>
      <c r="V8" s="683"/>
      <c r="W8" s="684"/>
      <c r="AB8" s="51"/>
      <c r="AC8" s="51"/>
      <c r="AD8" s="51"/>
      <c r="AE8" s="51"/>
    </row>
    <row r="9" spans="1:32" s="541" customFormat="1" ht="39.950000000000003" customHeight="1" x14ac:dyDescent="0.2">
      <c r="A9" s="5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39"/>
      <c r="E9" s="640"/>
      <c r="F9" s="5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717" t="str">
        <f>IF(AND($A$9="Тип доверенности/получателя при получении в адресе перегруза:",$D$9="Разовая доверенность"),"Введите ФИО","")</f>
        <v/>
      </c>
      <c r="I9" s="640"/>
      <c r="J9" s="71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0"/>
      <c r="L9" s="640"/>
      <c r="M9" s="640"/>
      <c r="N9" s="539"/>
      <c r="P9" s="26" t="s">
        <v>21</v>
      </c>
      <c r="Q9" s="778"/>
      <c r="R9" s="628"/>
      <c r="T9" s="557"/>
      <c r="U9" s="674"/>
      <c r="V9" s="685"/>
      <c r="W9" s="686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5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39"/>
      <c r="E10" s="640"/>
      <c r="F10" s="5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695" t="str">
        <f>IFERROR(VLOOKUP($D$10,Proxy,2,FALSE),"")</f>
        <v/>
      </c>
      <c r="I10" s="557"/>
      <c r="J10" s="557"/>
      <c r="K10" s="557"/>
      <c r="L10" s="557"/>
      <c r="M10" s="557"/>
      <c r="N10" s="540"/>
      <c r="P10" s="26" t="s">
        <v>22</v>
      </c>
      <c r="Q10" s="740"/>
      <c r="R10" s="741"/>
      <c r="U10" s="24" t="s">
        <v>23</v>
      </c>
      <c r="V10" s="841" t="s">
        <v>24</v>
      </c>
      <c r="W10" s="682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79"/>
      <c r="R11" s="600"/>
      <c r="U11" s="24" t="s">
        <v>27</v>
      </c>
      <c r="V11" s="627" t="s">
        <v>28</v>
      </c>
      <c r="W11" s="628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25" t="s">
        <v>29</v>
      </c>
      <c r="B12" s="575"/>
      <c r="C12" s="575"/>
      <c r="D12" s="575"/>
      <c r="E12" s="575"/>
      <c r="F12" s="575"/>
      <c r="G12" s="575"/>
      <c r="H12" s="575"/>
      <c r="I12" s="575"/>
      <c r="J12" s="575"/>
      <c r="K12" s="575"/>
      <c r="L12" s="575"/>
      <c r="M12" s="576"/>
      <c r="N12" s="62"/>
      <c r="P12" s="24" t="s">
        <v>30</v>
      </c>
      <c r="Q12" s="737"/>
      <c r="R12" s="738"/>
      <c r="S12" s="23"/>
      <c r="U12" s="24"/>
      <c r="V12" s="588"/>
      <c r="W12" s="557"/>
      <c r="AB12" s="51"/>
      <c r="AC12" s="51"/>
      <c r="AD12" s="51"/>
      <c r="AE12" s="51"/>
    </row>
    <row r="13" spans="1:32" s="541" customFormat="1" ht="23.25" customHeight="1" x14ac:dyDescent="0.2">
      <c r="A13" s="725" t="s">
        <v>31</v>
      </c>
      <c r="B13" s="575"/>
      <c r="C13" s="575"/>
      <c r="D13" s="575"/>
      <c r="E13" s="575"/>
      <c r="F13" s="575"/>
      <c r="G13" s="575"/>
      <c r="H13" s="575"/>
      <c r="I13" s="575"/>
      <c r="J13" s="575"/>
      <c r="K13" s="575"/>
      <c r="L13" s="575"/>
      <c r="M13" s="576"/>
      <c r="N13" s="62"/>
      <c r="O13" s="26"/>
      <c r="P13" s="26" t="s">
        <v>32</v>
      </c>
      <c r="Q13" s="627"/>
      <c r="R13" s="62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25" t="s">
        <v>33</v>
      </c>
      <c r="B14" s="575"/>
      <c r="C14" s="575"/>
      <c r="D14" s="575"/>
      <c r="E14" s="575"/>
      <c r="F14" s="575"/>
      <c r="G14" s="575"/>
      <c r="H14" s="575"/>
      <c r="I14" s="575"/>
      <c r="J14" s="575"/>
      <c r="K14" s="575"/>
      <c r="L14" s="575"/>
      <c r="M14" s="5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29" t="s">
        <v>34</v>
      </c>
      <c r="B15" s="575"/>
      <c r="C15" s="575"/>
      <c r="D15" s="575"/>
      <c r="E15" s="575"/>
      <c r="F15" s="575"/>
      <c r="G15" s="575"/>
      <c r="H15" s="575"/>
      <c r="I15" s="575"/>
      <c r="J15" s="575"/>
      <c r="K15" s="575"/>
      <c r="L15" s="575"/>
      <c r="M15" s="576"/>
      <c r="N15" s="63"/>
      <c r="P15" s="754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55"/>
      <c r="Q16" s="755"/>
      <c r="R16" s="755"/>
      <c r="S16" s="755"/>
      <c r="T16" s="75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9" t="s">
        <v>36</v>
      </c>
      <c r="B17" s="579" t="s">
        <v>37</v>
      </c>
      <c r="C17" s="774" t="s">
        <v>38</v>
      </c>
      <c r="D17" s="579" t="s">
        <v>39</v>
      </c>
      <c r="E17" s="580"/>
      <c r="F17" s="579" t="s">
        <v>40</v>
      </c>
      <c r="G17" s="579" t="s">
        <v>41</v>
      </c>
      <c r="H17" s="579" t="s">
        <v>42</v>
      </c>
      <c r="I17" s="579" t="s">
        <v>43</v>
      </c>
      <c r="J17" s="579" t="s">
        <v>44</v>
      </c>
      <c r="K17" s="579" t="s">
        <v>45</v>
      </c>
      <c r="L17" s="579" t="s">
        <v>46</v>
      </c>
      <c r="M17" s="579" t="s">
        <v>47</v>
      </c>
      <c r="N17" s="579" t="s">
        <v>48</v>
      </c>
      <c r="O17" s="579" t="s">
        <v>49</v>
      </c>
      <c r="P17" s="579" t="s">
        <v>50</v>
      </c>
      <c r="Q17" s="786"/>
      <c r="R17" s="786"/>
      <c r="S17" s="786"/>
      <c r="T17" s="580"/>
      <c r="U17" s="595" t="s">
        <v>51</v>
      </c>
      <c r="V17" s="576"/>
      <c r="W17" s="579" t="s">
        <v>52</v>
      </c>
      <c r="X17" s="579" t="s">
        <v>53</v>
      </c>
      <c r="Y17" s="596" t="s">
        <v>54</v>
      </c>
      <c r="Z17" s="693" t="s">
        <v>55</v>
      </c>
      <c r="AA17" s="613" t="s">
        <v>56</v>
      </c>
      <c r="AB17" s="613" t="s">
        <v>57</v>
      </c>
      <c r="AC17" s="613" t="s">
        <v>58</v>
      </c>
      <c r="AD17" s="613" t="s">
        <v>59</v>
      </c>
      <c r="AE17" s="614"/>
      <c r="AF17" s="615"/>
      <c r="AG17" s="66"/>
      <c r="BD17" s="65" t="s">
        <v>60</v>
      </c>
    </row>
    <row r="18" spans="1:68" ht="14.25" customHeight="1" x14ac:dyDescent="0.2">
      <c r="A18" s="583"/>
      <c r="B18" s="583"/>
      <c r="C18" s="583"/>
      <c r="D18" s="581"/>
      <c r="E18" s="582"/>
      <c r="F18" s="583"/>
      <c r="G18" s="583"/>
      <c r="H18" s="583"/>
      <c r="I18" s="583"/>
      <c r="J18" s="583"/>
      <c r="K18" s="583"/>
      <c r="L18" s="583"/>
      <c r="M18" s="583"/>
      <c r="N18" s="583"/>
      <c r="O18" s="583"/>
      <c r="P18" s="581"/>
      <c r="Q18" s="787"/>
      <c r="R18" s="787"/>
      <c r="S18" s="787"/>
      <c r="T18" s="582"/>
      <c r="U18" s="67" t="s">
        <v>61</v>
      </c>
      <c r="V18" s="67" t="s">
        <v>62</v>
      </c>
      <c r="W18" s="583"/>
      <c r="X18" s="583"/>
      <c r="Y18" s="597"/>
      <c r="Z18" s="694"/>
      <c r="AA18" s="621"/>
      <c r="AB18" s="621"/>
      <c r="AC18" s="621"/>
      <c r="AD18" s="616"/>
      <c r="AE18" s="617"/>
      <c r="AF18" s="618"/>
      <c r="AG18" s="66"/>
      <c r="BD18" s="65"/>
    </row>
    <row r="19" spans="1:68" ht="27.75" hidden="1" customHeight="1" x14ac:dyDescent="0.2">
      <c r="A19" s="651" t="s">
        <v>63</v>
      </c>
      <c r="B19" s="652"/>
      <c r="C19" s="652"/>
      <c r="D19" s="652"/>
      <c r="E19" s="652"/>
      <c r="F19" s="652"/>
      <c r="G19" s="652"/>
      <c r="H19" s="652"/>
      <c r="I19" s="652"/>
      <c r="J19" s="652"/>
      <c r="K19" s="652"/>
      <c r="L19" s="652"/>
      <c r="M19" s="652"/>
      <c r="N19" s="652"/>
      <c r="O19" s="652"/>
      <c r="P19" s="652"/>
      <c r="Q19" s="652"/>
      <c r="R19" s="652"/>
      <c r="S19" s="652"/>
      <c r="T19" s="652"/>
      <c r="U19" s="652"/>
      <c r="V19" s="652"/>
      <c r="W19" s="652"/>
      <c r="X19" s="652"/>
      <c r="Y19" s="652"/>
      <c r="Z19" s="652"/>
      <c r="AA19" s="48"/>
      <c r="AB19" s="48"/>
      <c r="AC19" s="48"/>
    </row>
    <row r="20" spans="1:68" ht="16.5" hidden="1" customHeight="1" x14ac:dyDescent="0.25">
      <c r="A20" s="590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2"/>
      <c r="AB20" s="542"/>
      <c r="AC20" s="542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89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5"/>
      <c r="R22" s="565"/>
      <c r="S22" s="565"/>
      <c r="T22" s="566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5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5"/>
      <c r="R23" s="565"/>
      <c r="S23" s="565"/>
      <c r="T23" s="566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0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1"/>
      <c r="P24" s="553" t="s">
        <v>75</v>
      </c>
      <c r="Q24" s="554"/>
      <c r="R24" s="554"/>
      <c r="S24" s="554"/>
      <c r="T24" s="554"/>
      <c r="U24" s="554"/>
      <c r="V24" s="555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1"/>
      <c r="P25" s="553" t="s">
        <v>75</v>
      </c>
      <c r="Q25" s="554"/>
      <c r="R25" s="554"/>
      <c r="S25" s="554"/>
      <c r="T25" s="554"/>
      <c r="U25" s="554"/>
      <c r="V25" s="555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0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5"/>
      <c r="R27" s="565"/>
      <c r="S27" s="565"/>
      <c r="T27" s="566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5"/>
      <c r="R28" s="565"/>
      <c r="S28" s="565"/>
      <c r="T28" s="566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8">
        <v>4680115887350</v>
      </c>
      <c r="E29" s="559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83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5"/>
      <c r="R29" s="565"/>
      <c r="S29" s="565"/>
      <c r="T29" s="566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8">
        <v>4680115885905</v>
      </c>
      <c r="E30" s="559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86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5"/>
      <c r="R30" s="565"/>
      <c r="S30" s="565"/>
      <c r="T30" s="566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58">
        <v>4607091388244</v>
      </c>
      <c r="E31" s="559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82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5"/>
      <c r="R31" s="565"/>
      <c r="S31" s="565"/>
      <c r="T31" s="566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0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1"/>
      <c r="P32" s="553" t="s">
        <v>75</v>
      </c>
      <c r="Q32" s="554"/>
      <c r="R32" s="554"/>
      <c r="S32" s="554"/>
      <c r="T32" s="554"/>
      <c r="U32" s="554"/>
      <c r="V32" s="555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1"/>
      <c r="P33" s="553" t="s">
        <v>75</v>
      </c>
      <c r="Q33" s="554"/>
      <c r="R33" s="554"/>
      <c r="S33" s="554"/>
      <c r="T33" s="554"/>
      <c r="U33" s="554"/>
      <c r="V33" s="555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hidden="1" customHeight="1" x14ac:dyDescent="0.25">
      <c r="A34" s="556" t="s">
        <v>93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3"/>
      <c r="AB34" s="543"/>
      <c r="AC34" s="543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58">
        <v>4607091388503</v>
      </c>
      <c r="E35" s="559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70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5"/>
      <c r="R35" s="565"/>
      <c r="S35" s="565"/>
      <c r="T35" s="566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0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1"/>
      <c r="P36" s="553" t="s">
        <v>75</v>
      </c>
      <c r="Q36" s="554"/>
      <c r="R36" s="554"/>
      <c r="S36" s="554"/>
      <c r="T36" s="554"/>
      <c r="U36" s="554"/>
      <c r="V36" s="555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1"/>
      <c r="P37" s="553" t="s">
        <v>75</v>
      </c>
      <c r="Q37" s="554"/>
      <c r="R37" s="554"/>
      <c r="S37" s="554"/>
      <c r="T37" s="554"/>
      <c r="U37" s="554"/>
      <c r="V37" s="555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hidden="1" customHeight="1" x14ac:dyDescent="0.2">
      <c r="A38" s="651" t="s">
        <v>99</v>
      </c>
      <c r="B38" s="652"/>
      <c r="C38" s="652"/>
      <c r="D38" s="652"/>
      <c r="E38" s="652"/>
      <c r="F38" s="652"/>
      <c r="G38" s="652"/>
      <c r="H38" s="652"/>
      <c r="I38" s="652"/>
      <c r="J38" s="652"/>
      <c r="K38" s="652"/>
      <c r="L38" s="652"/>
      <c r="M38" s="652"/>
      <c r="N38" s="652"/>
      <c r="O38" s="652"/>
      <c r="P38" s="652"/>
      <c r="Q38" s="652"/>
      <c r="R38" s="652"/>
      <c r="S38" s="652"/>
      <c r="T38" s="652"/>
      <c r="U38" s="652"/>
      <c r="V38" s="652"/>
      <c r="W38" s="652"/>
      <c r="X38" s="652"/>
      <c r="Y38" s="652"/>
      <c r="Z38" s="652"/>
      <c r="AA38" s="48"/>
      <c r="AB38" s="48"/>
      <c r="AC38" s="48"/>
    </row>
    <row r="39" spans="1:68" ht="16.5" hidden="1" customHeight="1" x14ac:dyDescent="0.25">
      <c r="A39" s="590" t="s">
        <v>100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2"/>
      <c r="AB39" s="542"/>
      <c r="AC39" s="542"/>
    </row>
    <row r="40" spans="1:68" ht="14.25" hidden="1" customHeight="1" x14ac:dyDescent="0.25">
      <c r="A40" s="556" t="s">
        <v>101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3"/>
      <c r="AB40" s="543"/>
      <c r="AC40" s="543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58">
        <v>4607091385670</v>
      </c>
      <c r="E41" s="559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6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5"/>
      <c r="R41" s="565"/>
      <c r="S41" s="565"/>
      <c r="T41" s="566"/>
      <c r="U41" s="34"/>
      <c r="V41" s="34"/>
      <c r="W41" s="35" t="s">
        <v>69</v>
      </c>
      <c r="X41" s="547">
        <v>250</v>
      </c>
      <c r="Y41" s="548">
        <f>IFERROR(IF(X41="",0,CEILING((X41/$H41),1)*$H41),"")</f>
        <v>259.20000000000005</v>
      </c>
      <c r="Z41" s="36">
        <f>IFERROR(IF(Y41=0,"",ROUNDUP(Y41/H41,0)*0.01898),"")</f>
        <v>0.45552000000000004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259.4907407407407</v>
      </c>
      <c r="BN41" s="64">
        <f>IFERROR(Y41*I41/H41,"0")</f>
        <v>269.04000000000002</v>
      </c>
      <c r="BO41" s="64">
        <f>IFERROR(1/J41*(X41/H41),"0")</f>
        <v>0.36168981481481477</v>
      </c>
      <c r="BP41" s="64">
        <f>IFERROR(1/J41*(Y41/H41),"0")</f>
        <v>0.37500000000000006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58">
        <v>4680115882539</v>
      </c>
      <c r="E42" s="559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80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5"/>
      <c r="R42" s="565"/>
      <c r="S42" s="565"/>
      <c r="T42" s="566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58">
        <v>4607091385687</v>
      </c>
      <c r="E43" s="559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111</v>
      </c>
      <c r="L43" s="32" t="s">
        <v>112</v>
      </c>
      <c r="M43" s="33" t="s">
        <v>80</v>
      </c>
      <c r="N43" s="33"/>
      <c r="O43" s="32">
        <v>50</v>
      </c>
      <c r="P43" s="7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5"/>
      <c r="R43" s="565"/>
      <c r="S43" s="565"/>
      <c r="T43" s="566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0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1"/>
      <c r="P44" s="553" t="s">
        <v>75</v>
      </c>
      <c r="Q44" s="554"/>
      <c r="R44" s="554"/>
      <c r="S44" s="554"/>
      <c r="T44" s="554"/>
      <c r="U44" s="554"/>
      <c r="V44" s="555"/>
      <c r="W44" s="37" t="s">
        <v>76</v>
      </c>
      <c r="X44" s="549">
        <f>IFERROR(X41/H41,"0")+IFERROR(X42/H42,"0")+IFERROR(X43/H43,"0")</f>
        <v>23.148148148148145</v>
      </c>
      <c r="Y44" s="549">
        <f>IFERROR(Y41/H41,"0")+IFERROR(Y42/H42,"0")+IFERROR(Y43/H43,"0")</f>
        <v>24.000000000000004</v>
      </c>
      <c r="Z44" s="549">
        <f>IFERROR(IF(Z41="",0,Z41),"0")+IFERROR(IF(Z42="",0,Z42),"0")+IFERROR(IF(Z43="",0,Z43),"0")</f>
        <v>0.45552000000000004</v>
      </c>
      <c r="AA44" s="550"/>
      <c r="AB44" s="550"/>
      <c r="AC44" s="550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1"/>
      <c r="P45" s="553" t="s">
        <v>75</v>
      </c>
      <c r="Q45" s="554"/>
      <c r="R45" s="554"/>
      <c r="S45" s="554"/>
      <c r="T45" s="554"/>
      <c r="U45" s="554"/>
      <c r="V45" s="555"/>
      <c r="W45" s="37" t="s">
        <v>69</v>
      </c>
      <c r="X45" s="549">
        <f>IFERROR(SUM(X41:X43),"0")</f>
        <v>250</v>
      </c>
      <c r="Y45" s="549">
        <f>IFERROR(SUM(Y41:Y43),"0")</f>
        <v>259.20000000000005</v>
      </c>
      <c r="Z45" s="37"/>
      <c r="AA45" s="550"/>
      <c r="AB45" s="550"/>
      <c r="AC45" s="550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3"/>
      <c r="AB46" s="543"/>
      <c r="AC46" s="543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58">
        <v>4680115884915</v>
      </c>
      <c r="E47" s="559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9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5"/>
      <c r="R47" s="565"/>
      <c r="S47" s="565"/>
      <c r="T47" s="566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0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1"/>
      <c r="P48" s="553" t="s">
        <v>75</v>
      </c>
      <c r="Q48" s="554"/>
      <c r="R48" s="554"/>
      <c r="S48" s="554"/>
      <c r="T48" s="554"/>
      <c r="U48" s="554"/>
      <c r="V48" s="555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1"/>
      <c r="P49" s="553" t="s">
        <v>75</v>
      </c>
      <c r="Q49" s="554"/>
      <c r="R49" s="554"/>
      <c r="S49" s="554"/>
      <c r="T49" s="554"/>
      <c r="U49" s="554"/>
      <c r="V49" s="555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hidden="1" customHeight="1" x14ac:dyDescent="0.25">
      <c r="A50" s="590" t="s">
        <v>118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2"/>
      <c r="AB50" s="542"/>
      <c r="AC50" s="542"/>
    </row>
    <row r="51" spans="1:68" ht="14.25" hidden="1" customHeight="1" x14ac:dyDescent="0.25">
      <c r="A51" s="556" t="s">
        <v>101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3"/>
      <c r="AB51" s="543"/>
      <c r="AC51" s="543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58">
        <v>4680115885882</v>
      </c>
      <c r="E52" s="559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79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5"/>
      <c r="R52" s="565"/>
      <c r="S52" s="565"/>
      <c r="T52" s="566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58">
        <v>4680115881426</v>
      </c>
      <c r="E53" s="559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8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5"/>
      <c r="R53" s="565"/>
      <c r="S53" s="565"/>
      <c r="T53" s="566"/>
      <c r="U53" s="34"/>
      <c r="V53" s="34"/>
      <c r="W53" s="35" t="s">
        <v>69</v>
      </c>
      <c r="X53" s="547">
        <v>100</v>
      </c>
      <c r="Y53" s="548">
        <f t="shared" si="0"/>
        <v>108</v>
      </c>
      <c r="Z53" s="36">
        <f>IFERROR(IF(Y53=0,"",ROUNDUP(Y53/H53,0)*0.01898),"")</f>
        <v>0.1898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103.79629629629629</v>
      </c>
      <c r="BN53" s="64">
        <f t="shared" si="2"/>
        <v>112.1</v>
      </c>
      <c r="BO53" s="64">
        <f t="shared" si="3"/>
        <v>0.14467592592592593</v>
      </c>
      <c r="BP53" s="64">
        <f t="shared" si="4"/>
        <v>0.15625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58">
        <v>4680115880283</v>
      </c>
      <c r="E54" s="559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63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5"/>
      <c r="R54" s="565"/>
      <c r="S54" s="565"/>
      <c r="T54" s="566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58">
        <v>4680115881525</v>
      </c>
      <c r="E55" s="559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8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5"/>
      <c r="R55" s="565"/>
      <c r="S55" s="565"/>
      <c r="T55" s="566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58">
        <v>4680115885899</v>
      </c>
      <c r="E56" s="559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84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5"/>
      <c r="R56" s="565"/>
      <c r="S56" s="565"/>
      <c r="T56" s="566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58">
        <v>4680115881419</v>
      </c>
      <c r="E57" s="559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111</v>
      </c>
      <c r="L57" s="32" t="s">
        <v>112</v>
      </c>
      <c r="M57" s="33" t="s">
        <v>106</v>
      </c>
      <c r="N57" s="33"/>
      <c r="O57" s="32">
        <v>50</v>
      </c>
      <c r="P57" s="62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5"/>
      <c r="R57" s="565"/>
      <c r="S57" s="565"/>
      <c r="T57" s="566"/>
      <c r="U57" s="34"/>
      <c r="V57" s="34"/>
      <c r="W57" s="35" t="s">
        <v>69</v>
      </c>
      <c r="X57" s="547">
        <v>22.5</v>
      </c>
      <c r="Y57" s="548">
        <f t="shared" si="0"/>
        <v>22.5</v>
      </c>
      <c r="Z57" s="36">
        <f>IFERROR(IF(Y57=0,"",ROUNDUP(Y57/H57,0)*0.00902),"")</f>
        <v>4.5100000000000001E-2</v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23.450000000000003</v>
      </c>
      <c r="BN57" s="64">
        <f t="shared" si="2"/>
        <v>23.450000000000003</v>
      </c>
      <c r="BO57" s="64">
        <f t="shared" si="3"/>
        <v>3.787878787878788E-2</v>
      </c>
      <c r="BP57" s="64">
        <f t="shared" si="4"/>
        <v>3.787878787878788E-2</v>
      </c>
    </row>
    <row r="58" spans="1:68" x14ac:dyDescent="0.2">
      <c r="A58" s="560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1"/>
      <c r="P58" s="553" t="s">
        <v>75</v>
      </c>
      <c r="Q58" s="554"/>
      <c r="R58" s="554"/>
      <c r="S58" s="554"/>
      <c r="T58" s="554"/>
      <c r="U58" s="554"/>
      <c r="V58" s="555"/>
      <c r="W58" s="37" t="s">
        <v>76</v>
      </c>
      <c r="X58" s="549">
        <f>IFERROR(X52/H52,"0")+IFERROR(X53/H53,"0")+IFERROR(X54/H54,"0")+IFERROR(X55/H55,"0")+IFERROR(X56/H56,"0")+IFERROR(X57/H57,"0")</f>
        <v>14.25925925925926</v>
      </c>
      <c r="Y58" s="549">
        <f>IFERROR(Y52/H52,"0")+IFERROR(Y53/H53,"0")+IFERROR(Y54/H54,"0")+IFERROR(Y55/H55,"0")+IFERROR(Y56/H56,"0")+IFERROR(Y57/H57,"0")</f>
        <v>15</v>
      </c>
      <c r="Z58" s="549">
        <f>IFERROR(IF(Z52="",0,Z52),"0")+IFERROR(IF(Z53="",0,Z53),"0")+IFERROR(IF(Z54="",0,Z54),"0")+IFERROR(IF(Z55="",0,Z55),"0")+IFERROR(IF(Z56="",0,Z56),"0")+IFERROR(IF(Z57="",0,Z57),"0")</f>
        <v>0.2349</v>
      </c>
      <c r="AA58" s="550"/>
      <c r="AB58" s="550"/>
      <c r="AC58" s="550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1"/>
      <c r="P59" s="553" t="s">
        <v>75</v>
      </c>
      <c r="Q59" s="554"/>
      <c r="R59" s="554"/>
      <c r="S59" s="554"/>
      <c r="T59" s="554"/>
      <c r="U59" s="554"/>
      <c r="V59" s="555"/>
      <c r="W59" s="37" t="s">
        <v>69</v>
      </c>
      <c r="X59" s="549">
        <f>IFERROR(SUM(X52:X57),"0")</f>
        <v>122.5</v>
      </c>
      <c r="Y59" s="549">
        <f>IFERROR(SUM(Y52:Y57),"0")</f>
        <v>130.5</v>
      </c>
      <c r="Z59" s="37"/>
      <c r="AA59" s="550"/>
      <c r="AB59" s="550"/>
      <c r="AC59" s="550"/>
    </row>
    <row r="60" spans="1:68" ht="14.25" hidden="1" customHeight="1" x14ac:dyDescent="0.25">
      <c r="A60" s="556" t="s">
        <v>137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3"/>
      <c r="AB60" s="543"/>
      <c r="AC60" s="543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58">
        <v>4680115881440</v>
      </c>
      <c r="E61" s="559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6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5"/>
      <c r="R61" s="565"/>
      <c r="S61" s="565"/>
      <c r="T61" s="566"/>
      <c r="U61" s="34"/>
      <c r="V61" s="34"/>
      <c r="W61" s="35" t="s">
        <v>69</v>
      </c>
      <c r="X61" s="547">
        <v>50</v>
      </c>
      <c r="Y61" s="548">
        <f>IFERROR(IF(X61="",0,CEILING((X61/$H61),1)*$H61),"")</f>
        <v>54</v>
      </c>
      <c r="Z61" s="36">
        <f>IFERROR(IF(Y61=0,"",ROUNDUP(Y61/H61,0)*0.01898),"")</f>
        <v>9.4899999999999998E-2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51.898148148148145</v>
      </c>
      <c r="BN61" s="64">
        <f>IFERROR(Y61*I61/H61,"0")</f>
        <v>56.05</v>
      </c>
      <c r="BO61" s="64">
        <f>IFERROR(1/J61*(X61/H61),"0")</f>
        <v>7.2337962962962965E-2</v>
      </c>
      <c r="BP61" s="64">
        <f>IFERROR(1/J61*(Y61/H61),"0")</f>
        <v>7.8125E-2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58">
        <v>4680115885950</v>
      </c>
      <c r="E62" s="559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64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5"/>
      <c r="R62" s="565"/>
      <c r="S62" s="565"/>
      <c r="T62" s="566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58">
        <v>4680115881433</v>
      </c>
      <c r="E63" s="559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78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5"/>
      <c r="R63" s="565"/>
      <c r="S63" s="565"/>
      <c r="T63" s="566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0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1"/>
      <c r="P64" s="553" t="s">
        <v>75</v>
      </c>
      <c r="Q64" s="554"/>
      <c r="R64" s="554"/>
      <c r="S64" s="554"/>
      <c r="T64" s="554"/>
      <c r="U64" s="554"/>
      <c r="V64" s="555"/>
      <c r="W64" s="37" t="s">
        <v>76</v>
      </c>
      <c r="X64" s="549">
        <f>IFERROR(X61/H61,"0")+IFERROR(X62/H62,"0")+IFERROR(X63/H63,"0")</f>
        <v>4.6296296296296298</v>
      </c>
      <c r="Y64" s="549">
        <f>IFERROR(Y61/H61,"0")+IFERROR(Y62/H62,"0")+IFERROR(Y63/H63,"0")</f>
        <v>5</v>
      </c>
      <c r="Z64" s="549">
        <f>IFERROR(IF(Z61="",0,Z61),"0")+IFERROR(IF(Z62="",0,Z62),"0")+IFERROR(IF(Z63="",0,Z63),"0")</f>
        <v>9.4899999999999998E-2</v>
      </c>
      <c r="AA64" s="550"/>
      <c r="AB64" s="550"/>
      <c r="AC64" s="550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1"/>
      <c r="P65" s="553" t="s">
        <v>75</v>
      </c>
      <c r="Q65" s="554"/>
      <c r="R65" s="554"/>
      <c r="S65" s="554"/>
      <c r="T65" s="554"/>
      <c r="U65" s="554"/>
      <c r="V65" s="555"/>
      <c r="W65" s="37" t="s">
        <v>69</v>
      </c>
      <c r="X65" s="549">
        <f>IFERROR(SUM(X61:X63),"0")</f>
        <v>50</v>
      </c>
      <c r="Y65" s="549">
        <f>IFERROR(SUM(Y61:Y63),"0")</f>
        <v>54</v>
      </c>
      <c r="Z65" s="37"/>
      <c r="AA65" s="550"/>
      <c r="AB65" s="550"/>
      <c r="AC65" s="550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3"/>
      <c r="AB66" s="543"/>
      <c r="AC66" s="543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58">
        <v>4680115885073</v>
      </c>
      <c r="E67" s="559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2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5"/>
      <c r="R67" s="565"/>
      <c r="S67" s="565"/>
      <c r="T67" s="566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58">
        <v>4680115885097</v>
      </c>
      <c r="E68" s="559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6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5"/>
      <c r="R68" s="565"/>
      <c r="S68" s="565"/>
      <c r="T68" s="566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0"/>
      <c r="B69" s="557"/>
      <c r="C69" s="557"/>
      <c r="D69" s="557"/>
      <c r="E69" s="557"/>
      <c r="F69" s="557"/>
      <c r="G69" s="557"/>
      <c r="H69" s="557"/>
      <c r="I69" s="557"/>
      <c r="J69" s="557"/>
      <c r="K69" s="557"/>
      <c r="L69" s="557"/>
      <c r="M69" s="557"/>
      <c r="N69" s="557"/>
      <c r="O69" s="561"/>
      <c r="P69" s="553" t="s">
        <v>75</v>
      </c>
      <c r="Q69" s="554"/>
      <c r="R69" s="554"/>
      <c r="S69" s="554"/>
      <c r="T69" s="554"/>
      <c r="U69" s="554"/>
      <c r="V69" s="555"/>
      <c r="W69" s="37" t="s">
        <v>76</v>
      </c>
      <c r="X69" s="549">
        <f>IFERROR(X67/H67,"0")+IFERROR(X68/H68,"0")</f>
        <v>0</v>
      </c>
      <c r="Y69" s="549">
        <f>IFERROR(Y67/H67,"0")+IFERROR(Y68/H68,"0")</f>
        <v>0</v>
      </c>
      <c r="Z69" s="549">
        <f>IFERROR(IF(Z67="",0,Z67),"0")+IFERROR(IF(Z68="",0,Z68),"0")</f>
        <v>0</v>
      </c>
      <c r="AA69" s="550"/>
      <c r="AB69" s="550"/>
      <c r="AC69" s="550"/>
    </row>
    <row r="70" spans="1:68" hidden="1" x14ac:dyDescent="0.2">
      <c r="A70" s="55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1"/>
      <c r="P70" s="553" t="s">
        <v>75</v>
      </c>
      <c r="Q70" s="554"/>
      <c r="R70" s="554"/>
      <c r="S70" s="554"/>
      <c r="T70" s="554"/>
      <c r="U70" s="554"/>
      <c r="V70" s="555"/>
      <c r="W70" s="37" t="s">
        <v>69</v>
      </c>
      <c r="X70" s="549">
        <f>IFERROR(SUM(X67:X68),"0")</f>
        <v>0</v>
      </c>
      <c r="Y70" s="549">
        <f>IFERROR(SUM(Y67:Y68),"0")</f>
        <v>0</v>
      </c>
      <c r="Z70" s="37"/>
      <c r="AA70" s="550"/>
      <c r="AB70" s="550"/>
      <c r="AC70" s="550"/>
    </row>
    <row r="71" spans="1:68" ht="14.25" hidden="1" customHeight="1" x14ac:dyDescent="0.25">
      <c r="A71" s="556" t="s">
        <v>77</v>
      </c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7"/>
      <c r="P71" s="557"/>
      <c r="Q71" s="557"/>
      <c r="R71" s="557"/>
      <c r="S71" s="557"/>
      <c r="T71" s="557"/>
      <c r="U71" s="557"/>
      <c r="V71" s="557"/>
      <c r="W71" s="557"/>
      <c r="X71" s="557"/>
      <c r="Y71" s="557"/>
      <c r="Z71" s="557"/>
      <c r="AA71" s="543"/>
      <c r="AB71" s="543"/>
      <c r="AC71" s="543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58">
        <v>4680115885769</v>
      </c>
      <c r="E72" s="559"/>
      <c r="F72" s="546">
        <v>1.4</v>
      </c>
      <c r="G72" s="32">
        <v>6</v>
      </c>
      <c r="H72" s="546">
        <v>8.4</v>
      </c>
      <c r="I72" s="546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58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5"/>
      <c r="R72" s="565"/>
      <c r="S72" s="565"/>
      <c r="T72" s="566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58">
        <v>4680115884311</v>
      </c>
      <c r="E73" s="559"/>
      <c r="F73" s="546">
        <v>0.3</v>
      </c>
      <c r="G73" s="32">
        <v>6</v>
      </c>
      <c r="H73" s="546">
        <v>1.8</v>
      </c>
      <c r="I73" s="546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71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5"/>
      <c r="R73" s="565"/>
      <c r="S73" s="565"/>
      <c r="T73" s="566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58">
        <v>4680115885929</v>
      </c>
      <c r="E74" s="559"/>
      <c r="F74" s="546">
        <v>0.42</v>
      </c>
      <c r="G74" s="32">
        <v>6</v>
      </c>
      <c r="H74" s="546">
        <v>2.52</v>
      </c>
      <c r="I74" s="546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4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5"/>
      <c r="R74" s="565"/>
      <c r="S74" s="565"/>
      <c r="T74" s="566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58">
        <v>4680115884403</v>
      </c>
      <c r="E75" s="559"/>
      <c r="F75" s="546">
        <v>0.3</v>
      </c>
      <c r="G75" s="32">
        <v>6</v>
      </c>
      <c r="H75" s="546">
        <v>1.8</v>
      </c>
      <c r="I75" s="546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63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5"/>
      <c r="R75" s="565"/>
      <c r="S75" s="565"/>
      <c r="T75" s="566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0"/>
      <c r="B76" s="557"/>
      <c r="C76" s="557"/>
      <c r="D76" s="557"/>
      <c r="E76" s="557"/>
      <c r="F76" s="557"/>
      <c r="G76" s="557"/>
      <c r="H76" s="557"/>
      <c r="I76" s="557"/>
      <c r="J76" s="557"/>
      <c r="K76" s="557"/>
      <c r="L76" s="557"/>
      <c r="M76" s="557"/>
      <c r="N76" s="557"/>
      <c r="O76" s="561"/>
      <c r="P76" s="553" t="s">
        <v>75</v>
      </c>
      <c r="Q76" s="554"/>
      <c r="R76" s="554"/>
      <c r="S76" s="554"/>
      <c r="T76" s="554"/>
      <c r="U76" s="554"/>
      <c r="V76" s="555"/>
      <c r="W76" s="37" t="s">
        <v>76</v>
      </c>
      <c r="X76" s="549">
        <f>IFERROR(X72/H72,"0")+IFERROR(X73/H73,"0")+IFERROR(X74/H74,"0")+IFERROR(X75/H75,"0")</f>
        <v>0</v>
      </c>
      <c r="Y76" s="549">
        <f>IFERROR(Y72/H72,"0")+IFERROR(Y73/H73,"0")+IFERROR(Y74/H74,"0")+IFERROR(Y75/H75,"0")</f>
        <v>0</v>
      </c>
      <c r="Z76" s="549">
        <f>IFERROR(IF(Z72="",0,Z72),"0")+IFERROR(IF(Z73="",0,Z73),"0")+IFERROR(IF(Z74="",0,Z74),"0")+IFERROR(IF(Z75="",0,Z75),"0")</f>
        <v>0</v>
      </c>
      <c r="AA76" s="550"/>
      <c r="AB76" s="550"/>
      <c r="AC76" s="550"/>
    </row>
    <row r="77" spans="1:68" hidden="1" x14ac:dyDescent="0.2">
      <c r="A77" s="55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1"/>
      <c r="P77" s="553" t="s">
        <v>75</v>
      </c>
      <c r="Q77" s="554"/>
      <c r="R77" s="554"/>
      <c r="S77" s="554"/>
      <c r="T77" s="554"/>
      <c r="U77" s="554"/>
      <c r="V77" s="555"/>
      <c r="W77" s="37" t="s">
        <v>69</v>
      </c>
      <c r="X77" s="549">
        <f>IFERROR(SUM(X72:X75),"0")</f>
        <v>0</v>
      </c>
      <c r="Y77" s="549">
        <f>IFERROR(SUM(Y72:Y75),"0")</f>
        <v>0</v>
      </c>
      <c r="Z77" s="37"/>
      <c r="AA77" s="550"/>
      <c r="AB77" s="550"/>
      <c r="AC77" s="550"/>
    </row>
    <row r="78" spans="1:68" ht="14.25" hidden="1" customHeight="1" x14ac:dyDescent="0.25">
      <c r="A78" s="556" t="s">
        <v>162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  <c r="Y78" s="557"/>
      <c r="Z78" s="557"/>
      <c r="AA78" s="543"/>
      <c r="AB78" s="543"/>
      <c r="AC78" s="543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58">
        <v>4680115881532</v>
      </c>
      <c r="E79" s="559"/>
      <c r="F79" s="546">
        <v>1.3</v>
      </c>
      <c r="G79" s="32">
        <v>6</v>
      </c>
      <c r="H79" s="546">
        <v>7.8</v>
      </c>
      <c r="I79" s="546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8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5"/>
      <c r="R79" s="565"/>
      <c r="S79" s="565"/>
      <c r="T79" s="566"/>
      <c r="U79" s="34"/>
      <c r="V79" s="34"/>
      <c r="W79" s="35" t="s">
        <v>69</v>
      </c>
      <c r="X79" s="547">
        <v>0</v>
      </c>
      <c r="Y79" s="548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58">
        <v>4680115881464</v>
      </c>
      <c r="E80" s="559"/>
      <c r="F80" s="546">
        <v>0.4</v>
      </c>
      <c r="G80" s="32">
        <v>6</v>
      </c>
      <c r="H80" s="546">
        <v>2.4</v>
      </c>
      <c r="I80" s="546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69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5"/>
      <c r="R80" s="565"/>
      <c r="S80" s="565"/>
      <c r="T80" s="566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0"/>
      <c r="B81" s="557"/>
      <c r="C81" s="557"/>
      <c r="D81" s="557"/>
      <c r="E81" s="557"/>
      <c r="F81" s="557"/>
      <c r="G81" s="557"/>
      <c r="H81" s="557"/>
      <c r="I81" s="557"/>
      <c r="J81" s="557"/>
      <c r="K81" s="557"/>
      <c r="L81" s="557"/>
      <c r="M81" s="557"/>
      <c r="N81" s="557"/>
      <c r="O81" s="561"/>
      <c r="P81" s="553" t="s">
        <v>75</v>
      </c>
      <c r="Q81" s="554"/>
      <c r="R81" s="554"/>
      <c r="S81" s="554"/>
      <c r="T81" s="554"/>
      <c r="U81" s="554"/>
      <c r="V81" s="555"/>
      <c r="W81" s="37" t="s">
        <v>76</v>
      </c>
      <c r="X81" s="549">
        <f>IFERROR(X79/H79,"0")+IFERROR(X80/H80,"0")</f>
        <v>0</v>
      </c>
      <c r="Y81" s="549">
        <f>IFERROR(Y79/H79,"0")+IFERROR(Y80/H80,"0")</f>
        <v>0</v>
      </c>
      <c r="Z81" s="549">
        <f>IFERROR(IF(Z79="",0,Z79),"0")+IFERROR(IF(Z80="",0,Z80),"0")</f>
        <v>0</v>
      </c>
      <c r="AA81" s="550"/>
      <c r="AB81" s="550"/>
      <c r="AC81" s="550"/>
    </row>
    <row r="82" spans="1:68" hidden="1" x14ac:dyDescent="0.2">
      <c r="A82" s="55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1"/>
      <c r="P82" s="553" t="s">
        <v>75</v>
      </c>
      <c r="Q82" s="554"/>
      <c r="R82" s="554"/>
      <c r="S82" s="554"/>
      <c r="T82" s="554"/>
      <c r="U82" s="554"/>
      <c r="V82" s="555"/>
      <c r="W82" s="37" t="s">
        <v>69</v>
      </c>
      <c r="X82" s="549">
        <f>IFERROR(SUM(X79:X80),"0")</f>
        <v>0</v>
      </c>
      <c r="Y82" s="549">
        <f>IFERROR(SUM(Y79:Y80),"0")</f>
        <v>0</v>
      </c>
      <c r="Z82" s="37"/>
      <c r="AA82" s="550"/>
      <c r="AB82" s="550"/>
      <c r="AC82" s="550"/>
    </row>
    <row r="83" spans="1:68" ht="16.5" hidden="1" customHeight="1" x14ac:dyDescent="0.25">
      <c r="A83" s="590" t="s">
        <v>169</v>
      </c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7"/>
      <c r="P83" s="557"/>
      <c r="Q83" s="557"/>
      <c r="R83" s="557"/>
      <c r="S83" s="557"/>
      <c r="T83" s="557"/>
      <c r="U83" s="557"/>
      <c r="V83" s="557"/>
      <c r="W83" s="557"/>
      <c r="X83" s="557"/>
      <c r="Y83" s="557"/>
      <c r="Z83" s="557"/>
      <c r="AA83" s="542"/>
      <c r="AB83" s="542"/>
      <c r="AC83" s="542"/>
    </row>
    <row r="84" spans="1:68" ht="14.25" hidden="1" customHeight="1" x14ac:dyDescent="0.25">
      <c r="A84" s="556" t="s">
        <v>101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3"/>
      <c r="AB84" s="543"/>
      <c r="AC84" s="543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58">
        <v>4680115881327</v>
      </c>
      <c r="E85" s="559"/>
      <c r="F85" s="546">
        <v>1.35</v>
      </c>
      <c r="G85" s="32">
        <v>8</v>
      </c>
      <c r="H85" s="546">
        <v>10.8</v>
      </c>
      <c r="I85" s="546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59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5"/>
      <c r="R85" s="565"/>
      <c r="S85" s="565"/>
      <c r="T85" s="566"/>
      <c r="U85" s="34"/>
      <c r="V85" s="34"/>
      <c r="W85" s="35" t="s">
        <v>69</v>
      </c>
      <c r="X85" s="547">
        <v>150</v>
      </c>
      <c r="Y85" s="548">
        <f>IFERROR(IF(X85="",0,CEILING((X85/$H85),1)*$H85),"")</f>
        <v>151.20000000000002</v>
      </c>
      <c r="Z85" s="36">
        <f>IFERROR(IF(Y85=0,"",ROUNDUP(Y85/H85,0)*0.01898),"")</f>
        <v>0.26572000000000001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155.69444444444446</v>
      </c>
      <c r="BN85" s="64">
        <f>IFERROR(Y85*I85/H85,"0")</f>
        <v>156.94</v>
      </c>
      <c r="BO85" s="64">
        <f>IFERROR(1/J85*(X85/H85),"0")</f>
        <v>0.21701388888888887</v>
      </c>
      <c r="BP85" s="64">
        <f>IFERROR(1/J85*(Y85/H85),"0")</f>
        <v>0.21875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58">
        <v>4680115887732</v>
      </c>
      <c r="E86" s="559"/>
      <c r="F86" s="546">
        <v>0.17</v>
      </c>
      <c r="G86" s="32">
        <v>10</v>
      </c>
      <c r="H86" s="546">
        <v>1.7</v>
      </c>
      <c r="I86" s="546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8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5"/>
      <c r="R86" s="565"/>
      <c r="S86" s="565"/>
      <c r="T86" s="566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58">
        <v>4680115881518</v>
      </c>
      <c r="E87" s="559"/>
      <c r="F87" s="546">
        <v>0.4</v>
      </c>
      <c r="G87" s="32">
        <v>10</v>
      </c>
      <c r="H87" s="546">
        <v>4</v>
      </c>
      <c r="I87" s="546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5"/>
      <c r="R87" s="565"/>
      <c r="S87" s="565"/>
      <c r="T87" s="566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58">
        <v>4680115881303</v>
      </c>
      <c r="E88" s="559"/>
      <c r="F88" s="546">
        <v>0.45</v>
      </c>
      <c r="G88" s="32">
        <v>10</v>
      </c>
      <c r="H88" s="546">
        <v>4.5</v>
      </c>
      <c r="I88" s="546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76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5"/>
      <c r="R88" s="565"/>
      <c r="S88" s="565"/>
      <c r="T88" s="566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0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61"/>
      <c r="P89" s="553" t="s">
        <v>75</v>
      </c>
      <c r="Q89" s="554"/>
      <c r="R89" s="554"/>
      <c r="S89" s="554"/>
      <c r="T89" s="554"/>
      <c r="U89" s="554"/>
      <c r="V89" s="555"/>
      <c r="W89" s="37" t="s">
        <v>76</v>
      </c>
      <c r="X89" s="549">
        <f>IFERROR(X85/H85,"0")+IFERROR(X86/H86,"0")+IFERROR(X87/H87,"0")+IFERROR(X88/H88,"0")</f>
        <v>13.888888888888888</v>
      </c>
      <c r="Y89" s="549">
        <f>IFERROR(Y85/H85,"0")+IFERROR(Y86/H86,"0")+IFERROR(Y87/H87,"0")+IFERROR(Y88/H88,"0")</f>
        <v>14</v>
      </c>
      <c r="Z89" s="549">
        <f>IFERROR(IF(Z85="",0,Z85),"0")+IFERROR(IF(Z86="",0,Z86),"0")+IFERROR(IF(Z87="",0,Z87),"0")+IFERROR(IF(Z88="",0,Z88),"0")</f>
        <v>0.26572000000000001</v>
      </c>
      <c r="AA89" s="550"/>
      <c r="AB89" s="550"/>
      <c r="AC89" s="550"/>
    </row>
    <row r="90" spans="1:68" x14ac:dyDescent="0.2">
      <c r="A90" s="55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1"/>
      <c r="P90" s="553" t="s">
        <v>75</v>
      </c>
      <c r="Q90" s="554"/>
      <c r="R90" s="554"/>
      <c r="S90" s="554"/>
      <c r="T90" s="554"/>
      <c r="U90" s="554"/>
      <c r="V90" s="555"/>
      <c r="W90" s="37" t="s">
        <v>69</v>
      </c>
      <c r="X90" s="549">
        <f>IFERROR(SUM(X85:X88),"0")</f>
        <v>150</v>
      </c>
      <c r="Y90" s="549">
        <f>IFERROR(SUM(Y85:Y88),"0")</f>
        <v>151.20000000000002</v>
      </c>
      <c r="Z90" s="37"/>
      <c r="AA90" s="550"/>
      <c r="AB90" s="550"/>
      <c r="AC90" s="550"/>
    </row>
    <row r="91" spans="1:68" ht="14.25" hidden="1" customHeight="1" x14ac:dyDescent="0.25">
      <c r="A91" s="556" t="s">
        <v>77</v>
      </c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57"/>
      <c r="P91" s="557"/>
      <c r="Q91" s="557"/>
      <c r="R91" s="557"/>
      <c r="S91" s="557"/>
      <c r="T91" s="557"/>
      <c r="U91" s="557"/>
      <c r="V91" s="557"/>
      <c r="W91" s="557"/>
      <c r="X91" s="557"/>
      <c r="Y91" s="557"/>
      <c r="Z91" s="557"/>
      <c r="AA91" s="543"/>
      <c r="AB91" s="543"/>
      <c r="AC91" s="543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58">
        <v>4607091386967</v>
      </c>
      <c r="E92" s="559"/>
      <c r="F92" s="546">
        <v>1.35</v>
      </c>
      <c r="G92" s="32">
        <v>6</v>
      </c>
      <c r="H92" s="546">
        <v>8.1</v>
      </c>
      <c r="I92" s="546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83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5"/>
      <c r="R92" s="565"/>
      <c r="S92" s="565"/>
      <c r="T92" s="566"/>
      <c r="U92" s="34"/>
      <c r="V92" s="34"/>
      <c r="W92" s="35" t="s">
        <v>69</v>
      </c>
      <c r="X92" s="547">
        <v>250</v>
      </c>
      <c r="Y92" s="548">
        <f>IFERROR(IF(X92="",0,CEILING((X92/$H92),1)*$H92),"")</f>
        <v>251.1</v>
      </c>
      <c r="Z92" s="36">
        <f>IFERROR(IF(Y92=0,"",ROUNDUP(Y92/H92,0)*0.01898),"")</f>
        <v>0.58838000000000001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265.24691358024694</v>
      </c>
      <c r="BN92" s="64">
        <f>IFERROR(Y92*I92/H92,"0")</f>
        <v>266.41399999999999</v>
      </c>
      <c r="BO92" s="64">
        <f>IFERROR(1/J92*(X92/H92),"0")</f>
        <v>0.48225308641975312</v>
      </c>
      <c r="BP92" s="64">
        <f>IFERROR(1/J92*(Y92/H92),"0")</f>
        <v>0.484375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58">
        <v>4680115884953</v>
      </c>
      <c r="E93" s="559"/>
      <c r="F93" s="546">
        <v>0.37</v>
      </c>
      <c r="G93" s="32">
        <v>6</v>
      </c>
      <c r="H93" s="546">
        <v>2.2200000000000002</v>
      </c>
      <c r="I93" s="546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0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5"/>
      <c r="R93" s="565"/>
      <c r="S93" s="565"/>
      <c r="T93" s="566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58">
        <v>4607091385731</v>
      </c>
      <c r="E94" s="559"/>
      <c r="F94" s="546">
        <v>0.45</v>
      </c>
      <c r="G94" s="32">
        <v>6</v>
      </c>
      <c r="H94" s="546">
        <v>2.7</v>
      </c>
      <c r="I94" s="546">
        <v>2.952</v>
      </c>
      <c r="J94" s="32">
        <v>182</v>
      </c>
      <c r="K94" s="32" t="s">
        <v>67</v>
      </c>
      <c r="L94" s="32" t="s">
        <v>189</v>
      </c>
      <c r="M94" s="33" t="s">
        <v>86</v>
      </c>
      <c r="N94" s="33"/>
      <c r="O94" s="32">
        <v>45</v>
      </c>
      <c r="P94" s="84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5"/>
      <c r="R94" s="565"/>
      <c r="S94" s="565"/>
      <c r="T94" s="566"/>
      <c r="U94" s="34"/>
      <c r="V94" s="34"/>
      <c r="W94" s="35" t="s">
        <v>69</v>
      </c>
      <c r="X94" s="547">
        <v>45</v>
      </c>
      <c r="Y94" s="548">
        <f>IFERROR(IF(X94="",0,CEILING((X94/$H94),1)*$H94),"")</f>
        <v>45.900000000000006</v>
      </c>
      <c r="Z94" s="36">
        <f>IFERROR(IF(Y94=0,"",ROUNDUP(Y94/H94,0)*0.00651),"")</f>
        <v>0.11067</v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49.199999999999996</v>
      </c>
      <c r="BN94" s="64">
        <f>IFERROR(Y94*I94/H94,"0")</f>
        <v>50.183999999999997</v>
      </c>
      <c r="BO94" s="64">
        <f>IFERROR(1/J94*(X94/H94),"0")</f>
        <v>9.1575091575091569E-2</v>
      </c>
      <c r="BP94" s="64">
        <f>IFERROR(1/J94*(Y94/H94),"0")</f>
        <v>9.3406593406593408E-2</v>
      </c>
    </row>
    <row r="95" spans="1:68" ht="16.5" hidden="1" customHeight="1" x14ac:dyDescent="0.25">
      <c r="A95" s="54" t="s">
        <v>190</v>
      </c>
      <c r="B95" s="54" t="s">
        <v>191</v>
      </c>
      <c r="C95" s="31">
        <v>4301051438</v>
      </c>
      <c r="D95" s="558">
        <v>4680115880894</v>
      </c>
      <c r="E95" s="559"/>
      <c r="F95" s="546">
        <v>0.33</v>
      </c>
      <c r="G95" s="32">
        <v>6</v>
      </c>
      <c r="H95" s="546">
        <v>1.98</v>
      </c>
      <c r="I95" s="546">
        <v>2.238</v>
      </c>
      <c r="J95" s="32">
        <v>182</v>
      </c>
      <c r="K95" s="32" t="s">
        <v>67</v>
      </c>
      <c r="L95" s="32" t="s">
        <v>189</v>
      </c>
      <c r="M95" s="33" t="s">
        <v>80</v>
      </c>
      <c r="N95" s="33"/>
      <c r="O95" s="32">
        <v>45</v>
      </c>
      <c r="P95" s="8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5"/>
      <c r="R95" s="565"/>
      <c r="S95" s="565"/>
      <c r="T95" s="566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0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61"/>
      <c r="P96" s="553" t="s">
        <v>75</v>
      </c>
      <c r="Q96" s="554"/>
      <c r="R96" s="554"/>
      <c r="S96" s="554"/>
      <c r="T96" s="554"/>
      <c r="U96" s="554"/>
      <c r="V96" s="555"/>
      <c r="W96" s="37" t="s">
        <v>76</v>
      </c>
      <c r="X96" s="549">
        <f>IFERROR(X92/H92,"0")+IFERROR(X93/H93,"0")+IFERROR(X94/H94,"0")+IFERROR(X95/H95,"0")</f>
        <v>47.53086419753086</v>
      </c>
      <c r="Y96" s="549">
        <f>IFERROR(Y92/H92,"0")+IFERROR(Y93/H93,"0")+IFERROR(Y94/H94,"0")+IFERROR(Y95/H95,"0")</f>
        <v>48</v>
      </c>
      <c r="Z96" s="549">
        <f>IFERROR(IF(Z92="",0,Z92),"0")+IFERROR(IF(Z93="",0,Z93),"0")+IFERROR(IF(Z94="",0,Z94),"0")+IFERROR(IF(Z95="",0,Z95),"0")</f>
        <v>0.69905000000000006</v>
      </c>
      <c r="AA96" s="550"/>
      <c r="AB96" s="550"/>
      <c r="AC96" s="550"/>
    </row>
    <row r="97" spans="1:68" x14ac:dyDescent="0.2">
      <c r="A97" s="55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1"/>
      <c r="P97" s="553" t="s">
        <v>75</v>
      </c>
      <c r="Q97" s="554"/>
      <c r="R97" s="554"/>
      <c r="S97" s="554"/>
      <c r="T97" s="554"/>
      <c r="U97" s="554"/>
      <c r="V97" s="555"/>
      <c r="W97" s="37" t="s">
        <v>69</v>
      </c>
      <c r="X97" s="549">
        <f>IFERROR(SUM(X92:X95),"0")</f>
        <v>295</v>
      </c>
      <c r="Y97" s="549">
        <f>IFERROR(SUM(Y92:Y95),"0")</f>
        <v>297</v>
      </c>
      <c r="Z97" s="37"/>
      <c r="AA97" s="550"/>
      <c r="AB97" s="550"/>
      <c r="AC97" s="550"/>
    </row>
    <row r="98" spans="1:68" ht="16.5" hidden="1" customHeight="1" x14ac:dyDescent="0.25">
      <c r="A98" s="590" t="s">
        <v>193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42"/>
      <c r="AB98" s="542"/>
      <c r="AC98" s="542"/>
    </row>
    <row r="99" spans="1:68" ht="14.25" hidden="1" customHeight="1" x14ac:dyDescent="0.25">
      <c r="A99" s="556" t="s">
        <v>101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3"/>
      <c r="AB99" s="543"/>
      <c r="AC99" s="543"/>
    </row>
    <row r="100" spans="1:68" ht="37.5" customHeight="1" x14ac:dyDescent="0.25">
      <c r="A100" s="54" t="s">
        <v>194</v>
      </c>
      <c r="B100" s="54" t="s">
        <v>195</v>
      </c>
      <c r="C100" s="31">
        <v>4301011514</v>
      </c>
      <c r="D100" s="558">
        <v>4680115882133</v>
      </c>
      <c r="E100" s="559"/>
      <c r="F100" s="546">
        <v>1.35</v>
      </c>
      <c r="G100" s="32">
        <v>8</v>
      </c>
      <c r="H100" s="546">
        <v>10.8</v>
      </c>
      <c r="I100" s="546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83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5"/>
      <c r="R100" s="565"/>
      <c r="S100" s="565"/>
      <c r="T100" s="566"/>
      <c r="U100" s="34"/>
      <c r="V100" s="34"/>
      <c r="W100" s="35" t="s">
        <v>69</v>
      </c>
      <c r="X100" s="547">
        <v>250</v>
      </c>
      <c r="Y100" s="548">
        <f>IFERROR(IF(X100="",0,CEILING((X100/$H100),1)*$H100),"")</f>
        <v>259.20000000000005</v>
      </c>
      <c r="Z100" s="36">
        <f>IFERROR(IF(Y100=0,"",ROUNDUP(Y100/H100,0)*0.01898),"")</f>
        <v>0.45552000000000004</v>
      </c>
      <c r="AA100" s="56"/>
      <c r="AB100" s="57"/>
      <c r="AC100" s="143" t="s">
        <v>196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259.4907407407407</v>
      </c>
      <c r="BN100" s="64">
        <f>IFERROR(Y100*I100/H100,"0")</f>
        <v>269.04000000000002</v>
      </c>
      <c r="BO100" s="64">
        <f>IFERROR(1/J100*(X100/H100),"0")</f>
        <v>0.36168981481481477</v>
      </c>
      <c r="BP100" s="64">
        <f>IFERROR(1/J100*(Y100/H100),"0")</f>
        <v>0.37500000000000006</v>
      </c>
    </row>
    <row r="101" spans="1:68" ht="27" hidden="1" customHeight="1" x14ac:dyDescent="0.25">
      <c r="A101" s="54" t="s">
        <v>197</v>
      </c>
      <c r="B101" s="54" t="s">
        <v>198</v>
      </c>
      <c r="C101" s="31">
        <v>4301012051</v>
      </c>
      <c r="D101" s="558">
        <v>4680115887718</v>
      </c>
      <c r="E101" s="559"/>
      <c r="F101" s="546">
        <v>0.11</v>
      </c>
      <c r="G101" s="32">
        <v>10</v>
      </c>
      <c r="H101" s="546">
        <v>1.1000000000000001</v>
      </c>
      <c r="I101" s="546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5"/>
      <c r="R101" s="565"/>
      <c r="S101" s="565"/>
      <c r="T101" s="566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199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200</v>
      </c>
      <c r="B102" s="54" t="s">
        <v>201</v>
      </c>
      <c r="C102" s="31">
        <v>4301011417</v>
      </c>
      <c r="D102" s="558">
        <v>4680115880269</v>
      </c>
      <c r="E102" s="559"/>
      <c r="F102" s="546">
        <v>0.375</v>
      </c>
      <c r="G102" s="32">
        <v>10</v>
      </c>
      <c r="H102" s="546">
        <v>3.75</v>
      </c>
      <c r="I102" s="546">
        <v>3.94</v>
      </c>
      <c r="J102" s="32">
        <v>132</v>
      </c>
      <c r="K102" s="32" t="s">
        <v>111</v>
      </c>
      <c r="L102" s="32" t="s">
        <v>112</v>
      </c>
      <c r="M102" s="33" t="s">
        <v>80</v>
      </c>
      <c r="N102" s="33"/>
      <c r="O102" s="32">
        <v>50</v>
      </c>
      <c r="P102" s="64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5"/>
      <c r="R102" s="565"/>
      <c r="S102" s="565"/>
      <c r="T102" s="566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196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202</v>
      </c>
      <c r="B103" s="54" t="s">
        <v>203</v>
      </c>
      <c r="C103" s="31">
        <v>4301011415</v>
      </c>
      <c r="D103" s="558">
        <v>4680115880429</v>
      </c>
      <c r="E103" s="559"/>
      <c r="F103" s="546">
        <v>0.45</v>
      </c>
      <c r="G103" s="32">
        <v>10</v>
      </c>
      <c r="H103" s="546">
        <v>4.5</v>
      </c>
      <c r="I103" s="546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80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5"/>
      <c r="R103" s="565"/>
      <c r="S103" s="565"/>
      <c r="T103" s="566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196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204</v>
      </c>
      <c r="B104" s="54" t="s">
        <v>205</v>
      </c>
      <c r="C104" s="31">
        <v>4301011462</v>
      </c>
      <c r="D104" s="558">
        <v>4680115881457</v>
      </c>
      <c r="E104" s="559"/>
      <c r="F104" s="546">
        <v>0.75</v>
      </c>
      <c r="G104" s="32">
        <v>6</v>
      </c>
      <c r="H104" s="546">
        <v>4.5</v>
      </c>
      <c r="I104" s="546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87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5"/>
      <c r="R104" s="565"/>
      <c r="S104" s="565"/>
      <c r="T104" s="566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196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0"/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61"/>
      <c r="P105" s="553" t="s">
        <v>75</v>
      </c>
      <c r="Q105" s="554"/>
      <c r="R105" s="554"/>
      <c r="S105" s="554"/>
      <c r="T105" s="554"/>
      <c r="U105" s="554"/>
      <c r="V105" s="555"/>
      <c r="W105" s="37" t="s">
        <v>76</v>
      </c>
      <c r="X105" s="549">
        <f>IFERROR(X100/H100,"0")+IFERROR(X101/H101,"0")+IFERROR(X102/H102,"0")+IFERROR(X103/H103,"0")+IFERROR(X104/H104,"0")</f>
        <v>23.148148148148145</v>
      </c>
      <c r="Y105" s="549">
        <f>IFERROR(Y100/H100,"0")+IFERROR(Y101/H101,"0")+IFERROR(Y102/H102,"0")+IFERROR(Y103/H103,"0")+IFERROR(Y104/H104,"0")</f>
        <v>24.000000000000004</v>
      </c>
      <c r="Z105" s="549">
        <f>IFERROR(IF(Z100="",0,Z100),"0")+IFERROR(IF(Z101="",0,Z101),"0")+IFERROR(IF(Z102="",0,Z102),"0")+IFERROR(IF(Z103="",0,Z103),"0")+IFERROR(IF(Z104="",0,Z104),"0")</f>
        <v>0.45552000000000004</v>
      </c>
      <c r="AA105" s="550"/>
      <c r="AB105" s="550"/>
      <c r="AC105" s="550"/>
    </row>
    <row r="106" spans="1:68" x14ac:dyDescent="0.2">
      <c r="A106" s="55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1"/>
      <c r="P106" s="553" t="s">
        <v>75</v>
      </c>
      <c r="Q106" s="554"/>
      <c r="R106" s="554"/>
      <c r="S106" s="554"/>
      <c r="T106" s="554"/>
      <c r="U106" s="554"/>
      <c r="V106" s="555"/>
      <c r="W106" s="37" t="s">
        <v>69</v>
      </c>
      <c r="X106" s="549">
        <f>IFERROR(SUM(X100:X104),"0")</f>
        <v>250</v>
      </c>
      <c r="Y106" s="549">
        <f>IFERROR(SUM(Y100:Y104),"0")</f>
        <v>259.20000000000005</v>
      </c>
      <c r="Z106" s="37"/>
      <c r="AA106" s="550"/>
      <c r="AB106" s="550"/>
      <c r="AC106" s="550"/>
    </row>
    <row r="107" spans="1:68" ht="14.25" hidden="1" customHeight="1" x14ac:dyDescent="0.25">
      <c r="A107" s="556" t="s">
        <v>137</v>
      </c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57"/>
      <c r="P107" s="557"/>
      <c r="Q107" s="557"/>
      <c r="R107" s="557"/>
      <c r="S107" s="557"/>
      <c r="T107" s="557"/>
      <c r="U107" s="557"/>
      <c r="V107" s="557"/>
      <c r="W107" s="557"/>
      <c r="X107" s="557"/>
      <c r="Y107" s="557"/>
      <c r="Z107" s="557"/>
      <c r="AA107" s="543"/>
      <c r="AB107" s="543"/>
      <c r="AC107" s="543"/>
    </row>
    <row r="108" spans="1:68" ht="16.5" hidden="1" customHeight="1" x14ac:dyDescent="0.25">
      <c r="A108" s="54" t="s">
        <v>206</v>
      </c>
      <c r="B108" s="54" t="s">
        <v>207</v>
      </c>
      <c r="C108" s="31">
        <v>4301020345</v>
      </c>
      <c r="D108" s="558">
        <v>4680115881488</v>
      </c>
      <c r="E108" s="559"/>
      <c r="F108" s="546">
        <v>1.35</v>
      </c>
      <c r="G108" s="32">
        <v>8</v>
      </c>
      <c r="H108" s="546">
        <v>10.8</v>
      </c>
      <c r="I108" s="546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69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5"/>
      <c r="R108" s="565"/>
      <c r="S108" s="565"/>
      <c r="T108" s="566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208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209</v>
      </c>
      <c r="B109" s="54" t="s">
        <v>210</v>
      </c>
      <c r="C109" s="31">
        <v>4301020186</v>
      </c>
      <c r="D109" s="558">
        <v>4680115887664</v>
      </c>
      <c r="E109" s="559"/>
      <c r="F109" s="546">
        <v>0.1</v>
      </c>
      <c r="G109" s="32">
        <v>10</v>
      </c>
      <c r="H109" s="546">
        <v>1</v>
      </c>
      <c r="I109" s="546">
        <v>1.21</v>
      </c>
      <c r="J109" s="32">
        <v>392</v>
      </c>
      <c r="K109" s="32" t="s">
        <v>211</v>
      </c>
      <c r="L109" s="32"/>
      <c r="M109" s="33" t="s">
        <v>68</v>
      </c>
      <c r="N109" s="33"/>
      <c r="O109" s="32">
        <v>30</v>
      </c>
      <c r="P109" s="68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5"/>
      <c r="R109" s="565"/>
      <c r="S109" s="565"/>
      <c r="T109" s="566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213</v>
      </c>
      <c r="B110" s="54" t="s">
        <v>214</v>
      </c>
      <c r="C110" s="31">
        <v>4301020346</v>
      </c>
      <c r="D110" s="558">
        <v>4680115882775</v>
      </c>
      <c r="E110" s="559"/>
      <c r="F110" s="546">
        <v>0.3</v>
      </c>
      <c r="G110" s="32">
        <v>8</v>
      </c>
      <c r="H110" s="546">
        <v>2.4</v>
      </c>
      <c r="I110" s="546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60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5"/>
      <c r="R110" s="565"/>
      <c r="S110" s="565"/>
      <c r="T110" s="566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215</v>
      </c>
      <c r="B111" s="54" t="s">
        <v>216</v>
      </c>
      <c r="C111" s="31">
        <v>4301020344</v>
      </c>
      <c r="D111" s="558">
        <v>4680115880658</v>
      </c>
      <c r="E111" s="559"/>
      <c r="F111" s="546">
        <v>0.4</v>
      </c>
      <c r="G111" s="32">
        <v>6</v>
      </c>
      <c r="H111" s="546">
        <v>2.4</v>
      </c>
      <c r="I111" s="546">
        <v>2.58</v>
      </c>
      <c r="J111" s="32">
        <v>182</v>
      </c>
      <c r="K111" s="32" t="s">
        <v>67</v>
      </c>
      <c r="L111" s="32" t="s">
        <v>189</v>
      </c>
      <c r="M111" s="33" t="s">
        <v>106</v>
      </c>
      <c r="N111" s="33"/>
      <c r="O111" s="32">
        <v>55</v>
      </c>
      <c r="P111" s="65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5"/>
      <c r="R111" s="565"/>
      <c r="S111" s="565"/>
      <c r="T111" s="566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208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0"/>
      <c r="B112" s="557"/>
      <c r="C112" s="557"/>
      <c r="D112" s="557"/>
      <c r="E112" s="557"/>
      <c r="F112" s="557"/>
      <c r="G112" s="557"/>
      <c r="H112" s="557"/>
      <c r="I112" s="557"/>
      <c r="J112" s="557"/>
      <c r="K112" s="557"/>
      <c r="L112" s="557"/>
      <c r="M112" s="557"/>
      <c r="N112" s="557"/>
      <c r="O112" s="561"/>
      <c r="P112" s="553" t="s">
        <v>75</v>
      </c>
      <c r="Q112" s="554"/>
      <c r="R112" s="554"/>
      <c r="S112" s="554"/>
      <c r="T112" s="554"/>
      <c r="U112" s="554"/>
      <c r="V112" s="555"/>
      <c r="W112" s="37" t="s">
        <v>76</v>
      </c>
      <c r="X112" s="549">
        <f>IFERROR(X108/H108,"0")+IFERROR(X109/H109,"0")+IFERROR(X110/H110,"0")+IFERROR(X111/H111,"0")</f>
        <v>0</v>
      </c>
      <c r="Y112" s="549">
        <f>IFERROR(Y108/H108,"0")+IFERROR(Y109/H109,"0")+IFERROR(Y110/H110,"0")+IFERROR(Y111/H111,"0")</f>
        <v>0</v>
      </c>
      <c r="Z112" s="549">
        <f>IFERROR(IF(Z108="",0,Z108),"0")+IFERROR(IF(Z109="",0,Z109),"0")+IFERROR(IF(Z110="",0,Z110),"0")+IFERROR(IF(Z111="",0,Z111),"0")</f>
        <v>0</v>
      </c>
      <c r="AA112" s="550"/>
      <c r="AB112" s="550"/>
      <c r="AC112" s="550"/>
    </row>
    <row r="113" spans="1:68" hidden="1" x14ac:dyDescent="0.2">
      <c r="A113" s="55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1"/>
      <c r="P113" s="553" t="s">
        <v>75</v>
      </c>
      <c r="Q113" s="554"/>
      <c r="R113" s="554"/>
      <c r="S113" s="554"/>
      <c r="T113" s="554"/>
      <c r="U113" s="554"/>
      <c r="V113" s="555"/>
      <c r="W113" s="37" t="s">
        <v>69</v>
      </c>
      <c r="X113" s="549">
        <f>IFERROR(SUM(X108:X111),"0")</f>
        <v>0</v>
      </c>
      <c r="Y113" s="549">
        <f>IFERROR(SUM(Y108:Y111),"0")</f>
        <v>0</v>
      </c>
      <c r="Z113" s="37"/>
      <c r="AA113" s="550"/>
      <c r="AB113" s="550"/>
      <c r="AC113" s="550"/>
    </row>
    <row r="114" spans="1:68" ht="14.25" hidden="1" customHeight="1" x14ac:dyDescent="0.25">
      <c r="A114" s="556" t="s">
        <v>77</v>
      </c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57"/>
      <c r="P114" s="557"/>
      <c r="Q114" s="557"/>
      <c r="R114" s="557"/>
      <c r="S114" s="557"/>
      <c r="T114" s="557"/>
      <c r="U114" s="557"/>
      <c r="V114" s="557"/>
      <c r="W114" s="557"/>
      <c r="X114" s="557"/>
      <c r="Y114" s="557"/>
      <c r="Z114" s="557"/>
      <c r="AA114" s="543"/>
      <c r="AB114" s="543"/>
      <c r="AC114" s="543"/>
    </row>
    <row r="115" spans="1:68" ht="27" hidden="1" customHeight="1" x14ac:dyDescent="0.25">
      <c r="A115" s="54" t="s">
        <v>217</v>
      </c>
      <c r="B115" s="54" t="s">
        <v>218</v>
      </c>
      <c r="C115" s="31">
        <v>4301051724</v>
      </c>
      <c r="D115" s="558">
        <v>4607091385168</v>
      </c>
      <c r="E115" s="559"/>
      <c r="F115" s="546">
        <v>1.35</v>
      </c>
      <c r="G115" s="32">
        <v>6</v>
      </c>
      <c r="H115" s="546">
        <v>8.1</v>
      </c>
      <c r="I115" s="546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2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5"/>
      <c r="R115" s="565"/>
      <c r="S115" s="565"/>
      <c r="T115" s="566"/>
      <c r="U115" s="34"/>
      <c r="V115" s="34"/>
      <c r="W115" s="35" t="s">
        <v>69</v>
      </c>
      <c r="X115" s="547">
        <v>0</v>
      </c>
      <c r="Y115" s="548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219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220</v>
      </c>
      <c r="B116" s="54" t="s">
        <v>221</v>
      </c>
      <c r="C116" s="31">
        <v>4301051730</v>
      </c>
      <c r="D116" s="558">
        <v>4607091383256</v>
      </c>
      <c r="E116" s="559"/>
      <c r="F116" s="546">
        <v>0.33</v>
      </c>
      <c r="G116" s="32">
        <v>6</v>
      </c>
      <c r="H116" s="546">
        <v>1.98</v>
      </c>
      <c r="I116" s="546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80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5"/>
      <c r="R116" s="565"/>
      <c r="S116" s="565"/>
      <c r="T116" s="566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222</v>
      </c>
      <c r="B117" s="54" t="s">
        <v>223</v>
      </c>
      <c r="C117" s="31">
        <v>4301051721</v>
      </c>
      <c r="D117" s="558">
        <v>4607091385748</v>
      </c>
      <c r="E117" s="559"/>
      <c r="F117" s="546">
        <v>0.45</v>
      </c>
      <c r="G117" s="32">
        <v>6</v>
      </c>
      <c r="H117" s="546">
        <v>2.7</v>
      </c>
      <c r="I117" s="546">
        <v>2.952</v>
      </c>
      <c r="J117" s="32">
        <v>182</v>
      </c>
      <c r="K117" s="32" t="s">
        <v>67</v>
      </c>
      <c r="L117" s="32" t="s">
        <v>189</v>
      </c>
      <c r="M117" s="33" t="s">
        <v>86</v>
      </c>
      <c r="N117" s="33"/>
      <c r="O117" s="32">
        <v>45</v>
      </c>
      <c r="P117" s="8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5"/>
      <c r="R117" s="565"/>
      <c r="S117" s="565"/>
      <c r="T117" s="566"/>
      <c r="U117" s="34"/>
      <c r="V117" s="34"/>
      <c r="W117" s="35" t="s">
        <v>69</v>
      </c>
      <c r="X117" s="547">
        <v>45</v>
      </c>
      <c r="Y117" s="548">
        <f>IFERROR(IF(X117="",0,CEILING((X117/$H117),1)*$H117),"")</f>
        <v>45.900000000000006</v>
      </c>
      <c r="Z117" s="36">
        <f>IFERROR(IF(Y117=0,"",ROUNDUP(Y117/H117,0)*0.00651),"")</f>
        <v>0.11067</v>
      </c>
      <c r="AA117" s="56"/>
      <c r="AB117" s="57"/>
      <c r="AC117" s="165" t="s">
        <v>219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49.199999999999996</v>
      </c>
      <c r="BN117" s="64">
        <f>IFERROR(Y117*I117/H117,"0")</f>
        <v>50.183999999999997</v>
      </c>
      <c r="BO117" s="64">
        <f>IFERROR(1/J117*(X117/H117),"0")</f>
        <v>9.1575091575091569E-2</v>
      </c>
      <c r="BP117" s="64">
        <f>IFERROR(1/J117*(Y117/H117),"0")</f>
        <v>9.3406593406593408E-2</v>
      </c>
    </row>
    <row r="118" spans="1:68" ht="16.5" hidden="1" customHeight="1" x14ac:dyDescent="0.25">
      <c r="A118" s="54" t="s">
        <v>224</v>
      </c>
      <c r="B118" s="54" t="s">
        <v>225</v>
      </c>
      <c r="C118" s="31">
        <v>4301051740</v>
      </c>
      <c r="D118" s="558">
        <v>4680115884533</v>
      </c>
      <c r="E118" s="559"/>
      <c r="F118" s="546">
        <v>0.3</v>
      </c>
      <c r="G118" s="32">
        <v>6</v>
      </c>
      <c r="H118" s="546">
        <v>1.8</v>
      </c>
      <c r="I118" s="546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5"/>
      <c r="R118" s="565"/>
      <c r="S118" s="565"/>
      <c r="T118" s="566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0"/>
      <c r="B119" s="557"/>
      <c r="C119" s="557"/>
      <c r="D119" s="557"/>
      <c r="E119" s="557"/>
      <c r="F119" s="557"/>
      <c r="G119" s="557"/>
      <c r="H119" s="557"/>
      <c r="I119" s="557"/>
      <c r="J119" s="557"/>
      <c r="K119" s="557"/>
      <c r="L119" s="557"/>
      <c r="M119" s="557"/>
      <c r="N119" s="557"/>
      <c r="O119" s="561"/>
      <c r="P119" s="553" t="s">
        <v>75</v>
      </c>
      <c r="Q119" s="554"/>
      <c r="R119" s="554"/>
      <c r="S119" s="554"/>
      <c r="T119" s="554"/>
      <c r="U119" s="554"/>
      <c r="V119" s="555"/>
      <c r="W119" s="37" t="s">
        <v>76</v>
      </c>
      <c r="X119" s="549">
        <f>IFERROR(X115/H115,"0")+IFERROR(X116/H116,"0")+IFERROR(X117/H117,"0")+IFERROR(X118/H118,"0")</f>
        <v>16.666666666666664</v>
      </c>
      <c r="Y119" s="549">
        <f>IFERROR(Y115/H115,"0")+IFERROR(Y116/H116,"0")+IFERROR(Y117/H117,"0")+IFERROR(Y118/H118,"0")</f>
        <v>17</v>
      </c>
      <c r="Z119" s="549">
        <f>IFERROR(IF(Z115="",0,Z115),"0")+IFERROR(IF(Z116="",0,Z116),"0")+IFERROR(IF(Z117="",0,Z117),"0")+IFERROR(IF(Z118="",0,Z118),"0")</f>
        <v>0.11067</v>
      </c>
      <c r="AA119" s="550"/>
      <c r="AB119" s="550"/>
      <c r="AC119" s="550"/>
    </row>
    <row r="120" spans="1:68" x14ac:dyDescent="0.2">
      <c r="A120" s="55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1"/>
      <c r="P120" s="553" t="s">
        <v>75</v>
      </c>
      <c r="Q120" s="554"/>
      <c r="R120" s="554"/>
      <c r="S120" s="554"/>
      <c r="T120" s="554"/>
      <c r="U120" s="554"/>
      <c r="V120" s="555"/>
      <c r="W120" s="37" t="s">
        <v>69</v>
      </c>
      <c r="X120" s="549">
        <f>IFERROR(SUM(X115:X118),"0")</f>
        <v>45</v>
      </c>
      <c r="Y120" s="549">
        <f>IFERROR(SUM(Y115:Y118),"0")</f>
        <v>45.900000000000006</v>
      </c>
      <c r="Z120" s="37"/>
      <c r="AA120" s="550"/>
      <c r="AB120" s="550"/>
      <c r="AC120" s="550"/>
    </row>
    <row r="121" spans="1:68" ht="14.25" hidden="1" customHeight="1" x14ac:dyDescent="0.25">
      <c r="A121" s="556" t="s">
        <v>162</v>
      </c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57"/>
      <c r="P121" s="557"/>
      <c r="Q121" s="557"/>
      <c r="R121" s="557"/>
      <c r="S121" s="557"/>
      <c r="T121" s="557"/>
      <c r="U121" s="557"/>
      <c r="V121" s="557"/>
      <c r="W121" s="557"/>
      <c r="X121" s="557"/>
      <c r="Y121" s="557"/>
      <c r="Z121" s="557"/>
      <c r="AA121" s="543"/>
      <c r="AB121" s="543"/>
      <c r="AC121" s="543"/>
    </row>
    <row r="122" spans="1:68" ht="16.5" hidden="1" customHeight="1" x14ac:dyDescent="0.25">
      <c r="A122" s="54" t="s">
        <v>227</v>
      </c>
      <c r="B122" s="54" t="s">
        <v>228</v>
      </c>
      <c r="C122" s="31">
        <v>4301060317</v>
      </c>
      <c r="D122" s="558">
        <v>4680115880238</v>
      </c>
      <c r="E122" s="559"/>
      <c r="F122" s="546">
        <v>0.33</v>
      </c>
      <c r="G122" s="32">
        <v>6</v>
      </c>
      <c r="H122" s="546">
        <v>1.98</v>
      </c>
      <c r="I122" s="546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4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5"/>
      <c r="R122" s="565"/>
      <c r="S122" s="565"/>
      <c r="T122" s="566"/>
      <c r="U122" s="34"/>
      <c r="V122" s="34"/>
      <c r="W122" s="35" t="s">
        <v>69</v>
      </c>
      <c r="X122" s="547">
        <v>0</v>
      </c>
      <c r="Y122" s="54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0"/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61"/>
      <c r="P123" s="553" t="s">
        <v>75</v>
      </c>
      <c r="Q123" s="554"/>
      <c r="R123" s="554"/>
      <c r="S123" s="554"/>
      <c r="T123" s="554"/>
      <c r="U123" s="554"/>
      <c r="V123" s="555"/>
      <c r="W123" s="37" t="s">
        <v>76</v>
      </c>
      <c r="X123" s="549">
        <f>IFERROR(X122/H122,"0")</f>
        <v>0</v>
      </c>
      <c r="Y123" s="549">
        <f>IFERROR(Y122/H122,"0")</f>
        <v>0</v>
      </c>
      <c r="Z123" s="549">
        <f>IFERROR(IF(Z122="",0,Z122),"0")</f>
        <v>0</v>
      </c>
      <c r="AA123" s="550"/>
      <c r="AB123" s="550"/>
      <c r="AC123" s="550"/>
    </row>
    <row r="124" spans="1:68" hidden="1" x14ac:dyDescent="0.2">
      <c r="A124" s="55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1"/>
      <c r="P124" s="553" t="s">
        <v>75</v>
      </c>
      <c r="Q124" s="554"/>
      <c r="R124" s="554"/>
      <c r="S124" s="554"/>
      <c r="T124" s="554"/>
      <c r="U124" s="554"/>
      <c r="V124" s="555"/>
      <c r="W124" s="37" t="s">
        <v>69</v>
      </c>
      <c r="X124" s="549">
        <f>IFERROR(SUM(X122:X122),"0")</f>
        <v>0</v>
      </c>
      <c r="Y124" s="549">
        <f>IFERROR(SUM(Y122:Y122),"0")</f>
        <v>0</v>
      </c>
      <c r="Z124" s="37"/>
      <c r="AA124" s="550"/>
      <c r="AB124" s="550"/>
      <c r="AC124" s="550"/>
    </row>
    <row r="125" spans="1:68" ht="16.5" hidden="1" customHeight="1" x14ac:dyDescent="0.25">
      <c r="A125" s="590" t="s">
        <v>230</v>
      </c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57"/>
      <c r="P125" s="557"/>
      <c r="Q125" s="557"/>
      <c r="R125" s="557"/>
      <c r="S125" s="557"/>
      <c r="T125" s="557"/>
      <c r="U125" s="557"/>
      <c r="V125" s="557"/>
      <c r="W125" s="557"/>
      <c r="X125" s="557"/>
      <c r="Y125" s="557"/>
      <c r="Z125" s="557"/>
      <c r="AA125" s="542"/>
      <c r="AB125" s="542"/>
      <c r="AC125" s="542"/>
    </row>
    <row r="126" spans="1:68" ht="14.25" hidden="1" customHeight="1" x14ac:dyDescent="0.25">
      <c r="A126" s="556" t="s">
        <v>101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3"/>
      <c r="AB126" s="543"/>
      <c r="AC126" s="543"/>
    </row>
    <row r="127" spans="1:68" ht="27" hidden="1" customHeight="1" x14ac:dyDescent="0.25">
      <c r="A127" s="54" t="s">
        <v>231</v>
      </c>
      <c r="B127" s="54" t="s">
        <v>232</v>
      </c>
      <c r="C127" s="31">
        <v>4301011562</v>
      </c>
      <c r="D127" s="558">
        <v>4680115882577</v>
      </c>
      <c r="E127" s="559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 t="s">
        <v>189</v>
      </c>
      <c r="M127" s="33" t="s">
        <v>96</v>
      </c>
      <c r="N127" s="33"/>
      <c r="O127" s="32">
        <v>90</v>
      </c>
      <c r="P127" s="63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5"/>
      <c r="R127" s="565"/>
      <c r="S127" s="565"/>
      <c r="T127" s="566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231</v>
      </c>
      <c r="B128" s="54" t="s">
        <v>234</v>
      </c>
      <c r="C128" s="31">
        <v>4301011564</v>
      </c>
      <c r="D128" s="558">
        <v>4680115882577</v>
      </c>
      <c r="E128" s="559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 t="s">
        <v>189</v>
      </c>
      <c r="M128" s="33" t="s">
        <v>96</v>
      </c>
      <c r="N128" s="33"/>
      <c r="O128" s="32">
        <v>90</v>
      </c>
      <c r="P128" s="64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5"/>
      <c r="R128" s="565"/>
      <c r="S128" s="565"/>
      <c r="T128" s="566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0"/>
      <c r="B129" s="557"/>
      <c r="C129" s="557"/>
      <c r="D129" s="557"/>
      <c r="E129" s="557"/>
      <c r="F129" s="557"/>
      <c r="G129" s="557"/>
      <c r="H129" s="557"/>
      <c r="I129" s="557"/>
      <c r="J129" s="557"/>
      <c r="K129" s="557"/>
      <c r="L129" s="557"/>
      <c r="M129" s="557"/>
      <c r="N129" s="557"/>
      <c r="O129" s="561"/>
      <c r="P129" s="553" t="s">
        <v>75</v>
      </c>
      <c r="Q129" s="554"/>
      <c r="R129" s="554"/>
      <c r="S129" s="554"/>
      <c r="T129" s="554"/>
      <c r="U129" s="554"/>
      <c r="V129" s="555"/>
      <c r="W129" s="37" t="s">
        <v>76</v>
      </c>
      <c r="X129" s="549">
        <f>IFERROR(X127/H127,"0")+IFERROR(X128/H128,"0")</f>
        <v>0</v>
      </c>
      <c r="Y129" s="549">
        <f>IFERROR(Y127/H127,"0")+IFERROR(Y128/H128,"0")</f>
        <v>0</v>
      </c>
      <c r="Z129" s="549">
        <f>IFERROR(IF(Z127="",0,Z127),"0")+IFERROR(IF(Z128="",0,Z128),"0")</f>
        <v>0</v>
      </c>
      <c r="AA129" s="550"/>
      <c r="AB129" s="550"/>
      <c r="AC129" s="550"/>
    </row>
    <row r="130" spans="1:68" hidden="1" x14ac:dyDescent="0.2">
      <c r="A130" s="55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1"/>
      <c r="P130" s="553" t="s">
        <v>75</v>
      </c>
      <c r="Q130" s="554"/>
      <c r="R130" s="554"/>
      <c r="S130" s="554"/>
      <c r="T130" s="554"/>
      <c r="U130" s="554"/>
      <c r="V130" s="555"/>
      <c r="W130" s="37" t="s">
        <v>69</v>
      </c>
      <c r="X130" s="549">
        <f>IFERROR(SUM(X127:X128),"0")</f>
        <v>0</v>
      </c>
      <c r="Y130" s="549">
        <f>IFERROR(SUM(Y127:Y128),"0")</f>
        <v>0</v>
      </c>
      <c r="Z130" s="37"/>
      <c r="AA130" s="550"/>
      <c r="AB130" s="550"/>
      <c r="AC130" s="550"/>
    </row>
    <row r="131" spans="1:68" ht="14.25" hidden="1" customHeight="1" x14ac:dyDescent="0.25">
      <c r="A131" s="556" t="s">
        <v>64</v>
      </c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57"/>
      <c r="P131" s="557"/>
      <c r="Q131" s="557"/>
      <c r="R131" s="557"/>
      <c r="S131" s="557"/>
      <c r="T131" s="557"/>
      <c r="U131" s="557"/>
      <c r="V131" s="557"/>
      <c r="W131" s="557"/>
      <c r="X131" s="557"/>
      <c r="Y131" s="557"/>
      <c r="Z131" s="557"/>
      <c r="AA131" s="543"/>
      <c r="AB131" s="543"/>
      <c r="AC131" s="543"/>
    </row>
    <row r="132" spans="1:68" ht="27" hidden="1" customHeight="1" x14ac:dyDescent="0.25">
      <c r="A132" s="54" t="s">
        <v>235</v>
      </c>
      <c r="B132" s="54" t="s">
        <v>236</v>
      </c>
      <c r="C132" s="31">
        <v>4301031235</v>
      </c>
      <c r="D132" s="558">
        <v>4680115883444</v>
      </c>
      <c r="E132" s="559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6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5"/>
      <c r="R132" s="565"/>
      <c r="S132" s="565"/>
      <c r="T132" s="566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235</v>
      </c>
      <c r="B133" s="54" t="s">
        <v>238</v>
      </c>
      <c r="C133" s="31">
        <v>4301031234</v>
      </c>
      <c r="D133" s="558">
        <v>4680115883444</v>
      </c>
      <c r="E133" s="559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189</v>
      </c>
      <c r="M133" s="33" t="s">
        <v>96</v>
      </c>
      <c r="N133" s="33"/>
      <c r="O133" s="32">
        <v>90</v>
      </c>
      <c r="P133" s="63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5"/>
      <c r="R133" s="565"/>
      <c r="S133" s="565"/>
      <c r="T133" s="566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0"/>
      <c r="B134" s="557"/>
      <c r="C134" s="557"/>
      <c r="D134" s="557"/>
      <c r="E134" s="557"/>
      <c r="F134" s="557"/>
      <c r="G134" s="557"/>
      <c r="H134" s="557"/>
      <c r="I134" s="557"/>
      <c r="J134" s="557"/>
      <c r="K134" s="557"/>
      <c r="L134" s="557"/>
      <c r="M134" s="557"/>
      <c r="N134" s="557"/>
      <c r="O134" s="561"/>
      <c r="P134" s="553" t="s">
        <v>75</v>
      </c>
      <c r="Q134" s="554"/>
      <c r="R134" s="554"/>
      <c r="S134" s="554"/>
      <c r="T134" s="554"/>
      <c r="U134" s="554"/>
      <c r="V134" s="555"/>
      <c r="W134" s="37" t="s">
        <v>76</v>
      </c>
      <c r="X134" s="549">
        <f>IFERROR(X132/H132,"0")+IFERROR(X133/H133,"0")</f>
        <v>0</v>
      </c>
      <c r="Y134" s="549">
        <f>IFERROR(Y132/H132,"0")+IFERROR(Y133/H133,"0")</f>
        <v>0</v>
      </c>
      <c r="Z134" s="549">
        <f>IFERROR(IF(Z132="",0,Z132),"0")+IFERROR(IF(Z133="",0,Z133),"0")</f>
        <v>0</v>
      </c>
      <c r="AA134" s="550"/>
      <c r="AB134" s="550"/>
      <c r="AC134" s="550"/>
    </row>
    <row r="135" spans="1:68" hidden="1" x14ac:dyDescent="0.2">
      <c r="A135" s="55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1"/>
      <c r="P135" s="553" t="s">
        <v>75</v>
      </c>
      <c r="Q135" s="554"/>
      <c r="R135" s="554"/>
      <c r="S135" s="554"/>
      <c r="T135" s="554"/>
      <c r="U135" s="554"/>
      <c r="V135" s="555"/>
      <c r="W135" s="37" t="s">
        <v>69</v>
      </c>
      <c r="X135" s="549">
        <f>IFERROR(SUM(X132:X133),"0")</f>
        <v>0</v>
      </c>
      <c r="Y135" s="549">
        <f>IFERROR(SUM(Y132:Y133),"0")</f>
        <v>0</v>
      </c>
      <c r="Z135" s="37"/>
      <c r="AA135" s="550"/>
      <c r="AB135" s="550"/>
      <c r="AC135" s="550"/>
    </row>
    <row r="136" spans="1:68" ht="14.25" hidden="1" customHeight="1" x14ac:dyDescent="0.25">
      <c r="A136" s="556" t="s">
        <v>77</v>
      </c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57"/>
      <c r="P136" s="557"/>
      <c r="Q136" s="557"/>
      <c r="R136" s="557"/>
      <c r="S136" s="557"/>
      <c r="T136" s="557"/>
      <c r="U136" s="557"/>
      <c r="V136" s="557"/>
      <c r="W136" s="557"/>
      <c r="X136" s="557"/>
      <c r="Y136" s="557"/>
      <c r="Z136" s="557"/>
      <c r="AA136" s="543"/>
      <c r="AB136" s="543"/>
      <c r="AC136" s="543"/>
    </row>
    <row r="137" spans="1:68" ht="16.5" hidden="1" customHeight="1" x14ac:dyDescent="0.25">
      <c r="A137" s="54" t="s">
        <v>239</v>
      </c>
      <c r="B137" s="54" t="s">
        <v>240</v>
      </c>
      <c r="C137" s="31">
        <v>4301051477</v>
      </c>
      <c r="D137" s="558">
        <v>4680115882584</v>
      </c>
      <c r="E137" s="559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5"/>
      <c r="R137" s="565"/>
      <c r="S137" s="565"/>
      <c r="T137" s="566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239</v>
      </c>
      <c r="B138" s="54" t="s">
        <v>241</v>
      </c>
      <c r="C138" s="31">
        <v>4301051476</v>
      </c>
      <c r="D138" s="558">
        <v>4680115882584</v>
      </c>
      <c r="E138" s="559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5"/>
      <c r="R138" s="565"/>
      <c r="S138" s="565"/>
      <c r="T138" s="566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0"/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61"/>
      <c r="P139" s="553" t="s">
        <v>75</v>
      </c>
      <c r="Q139" s="554"/>
      <c r="R139" s="554"/>
      <c r="S139" s="554"/>
      <c r="T139" s="554"/>
      <c r="U139" s="554"/>
      <c r="V139" s="555"/>
      <c r="W139" s="37" t="s">
        <v>76</v>
      </c>
      <c r="X139" s="549">
        <f>IFERROR(X137/H137,"0")+IFERROR(X138/H138,"0")</f>
        <v>0</v>
      </c>
      <c r="Y139" s="549">
        <f>IFERROR(Y137/H137,"0")+IFERROR(Y138/H138,"0")</f>
        <v>0</v>
      </c>
      <c r="Z139" s="549">
        <f>IFERROR(IF(Z137="",0,Z137),"0")+IFERROR(IF(Z138="",0,Z138),"0")</f>
        <v>0</v>
      </c>
      <c r="AA139" s="550"/>
      <c r="AB139" s="550"/>
      <c r="AC139" s="550"/>
    </row>
    <row r="140" spans="1:68" hidden="1" x14ac:dyDescent="0.2">
      <c r="A140" s="55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1"/>
      <c r="P140" s="553" t="s">
        <v>75</v>
      </c>
      <c r="Q140" s="554"/>
      <c r="R140" s="554"/>
      <c r="S140" s="554"/>
      <c r="T140" s="554"/>
      <c r="U140" s="554"/>
      <c r="V140" s="555"/>
      <c r="W140" s="37" t="s">
        <v>69</v>
      </c>
      <c r="X140" s="549">
        <f>IFERROR(SUM(X137:X138),"0")</f>
        <v>0</v>
      </c>
      <c r="Y140" s="549">
        <f>IFERROR(SUM(Y137:Y138),"0")</f>
        <v>0</v>
      </c>
      <c r="Z140" s="37"/>
      <c r="AA140" s="550"/>
      <c r="AB140" s="550"/>
      <c r="AC140" s="550"/>
    </row>
    <row r="141" spans="1:68" ht="16.5" hidden="1" customHeight="1" x14ac:dyDescent="0.25">
      <c r="A141" s="590" t="s">
        <v>99</v>
      </c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57"/>
      <c r="P141" s="557"/>
      <c r="Q141" s="557"/>
      <c r="R141" s="557"/>
      <c r="S141" s="557"/>
      <c r="T141" s="557"/>
      <c r="U141" s="557"/>
      <c r="V141" s="557"/>
      <c r="W141" s="557"/>
      <c r="X141" s="557"/>
      <c r="Y141" s="557"/>
      <c r="Z141" s="557"/>
      <c r="AA141" s="542"/>
      <c r="AB141" s="542"/>
      <c r="AC141" s="542"/>
    </row>
    <row r="142" spans="1:68" ht="14.25" hidden="1" customHeight="1" x14ac:dyDescent="0.25">
      <c r="A142" s="556" t="s">
        <v>101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3"/>
      <c r="AB142" s="543"/>
      <c r="AC142" s="543"/>
    </row>
    <row r="143" spans="1:68" ht="27" hidden="1" customHeight="1" x14ac:dyDescent="0.25">
      <c r="A143" s="54" t="s">
        <v>242</v>
      </c>
      <c r="B143" s="54" t="s">
        <v>243</v>
      </c>
      <c r="C143" s="31">
        <v>4301012244</v>
      </c>
      <c r="D143" s="558">
        <v>4680115887374</v>
      </c>
      <c r="E143" s="559"/>
      <c r="F143" s="546">
        <v>1.6</v>
      </c>
      <c r="G143" s="32">
        <v>8</v>
      </c>
      <c r="H143" s="546">
        <v>12.8</v>
      </c>
      <c r="I143" s="546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2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5"/>
      <c r="R143" s="565"/>
      <c r="S143" s="565"/>
      <c r="T143" s="566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245</v>
      </c>
      <c r="B144" s="54" t="s">
        <v>246</v>
      </c>
      <c r="C144" s="31">
        <v>4301011705</v>
      </c>
      <c r="D144" s="558">
        <v>4607091384604</v>
      </c>
      <c r="E144" s="559"/>
      <c r="F144" s="546">
        <v>0.4</v>
      </c>
      <c r="G144" s="32">
        <v>10</v>
      </c>
      <c r="H144" s="546">
        <v>4</v>
      </c>
      <c r="I144" s="546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71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5"/>
      <c r="R144" s="565"/>
      <c r="S144" s="565"/>
      <c r="T144" s="566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0"/>
      <c r="B145" s="557"/>
      <c r="C145" s="557"/>
      <c r="D145" s="557"/>
      <c r="E145" s="557"/>
      <c r="F145" s="557"/>
      <c r="G145" s="557"/>
      <c r="H145" s="557"/>
      <c r="I145" s="557"/>
      <c r="J145" s="557"/>
      <c r="K145" s="557"/>
      <c r="L145" s="557"/>
      <c r="M145" s="557"/>
      <c r="N145" s="557"/>
      <c r="O145" s="561"/>
      <c r="P145" s="553" t="s">
        <v>75</v>
      </c>
      <c r="Q145" s="554"/>
      <c r="R145" s="554"/>
      <c r="S145" s="554"/>
      <c r="T145" s="554"/>
      <c r="U145" s="554"/>
      <c r="V145" s="555"/>
      <c r="W145" s="37" t="s">
        <v>76</v>
      </c>
      <c r="X145" s="549">
        <f>IFERROR(X143/H143,"0")+IFERROR(X144/H144,"0")</f>
        <v>0</v>
      </c>
      <c r="Y145" s="549">
        <f>IFERROR(Y143/H143,"0")+IFERROR(Y144/H144,"0")</f>
        <v>0</v>
      </c>
      <c r="Z145" s="549">
        <f>IFERROR(IF(Z143="",0,Z143),"0")+IFERROR(IF(Z144="",0,Z144),"0")</f>
        <v>0</v>
      </c>
      <c r="AA145" s="550"/>
      <c r="AB145" s="550"/>
      <c r="AC145" s="550"/>
    </row>
    <row r="146" spans="1:68" hidden="1" x14ac:dyDescent="0.2">
      <c r="A146" s="55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1"/>
      <c r="P146" s="553" t="s">
        <v>75</v>
      </c>
      <c r="Q146" s="554"/>
      <c r="R146" s="554"/>
      <c r="S146" s="554"/>
      <c r="T146" s="554"/>
      <c r="U146" s="554"/>
      <c r="V146" s="555"/>
      <c r="W146" s="37" t="s">
        <v>69</v>
      </c>
      <c r="X146" s="549">
        <f>IFERROR(SUM(X143:X144),"0")</f>
        <v>0</v>
      </c>
      <c r="Y146" s="549">
        <f>IFERROR(SUM(Y143:Y144),"0")</f>
        <v>0</v>
      </c>
      <c r="Z146" s="37"/>
      <c r="AA146" s="550"/>
      <c r="AB146" s="550"/>
      <c r="AC146" s="550"/>
    </row>
    <row r="147" spans="1:68" ht="14.25" hidden="1" customHeight="1" x14ac:dyDescent="0.25">
      <c r="A147" s="556" t="s">
        <v>64</v>
      </c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57"/>
      <c r="P147" s="557"/>
      <c r="Q147" s="557"/>
      <c r="R147" s="557"/>
      <c r="S147" s="557"/>
      <c r="T147" s="557"/>
      <c r="U147" s="557"/>
      <c r="V147" s="557"/>
      <c r="W147" s="557"/>
      <c r="X147" s="557"/>
      <c r="Y147" s="557"/>
      <c r="Z147" s="557"/>
      <c r="AA147" s="543"/>
      <c r="AB147" s="543"/>
      <c r="AC147" s="543"/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8">
        <v>4680115887428</v>
      </c>
      <c r="E148" s="559"/>
      <c r="F148" s="546">
        <v>0.7</v>
      </c>
      <c r="G148" s="32">
        <v>6</v>
      </c>
      <c r="H148" s="546">
        <v>4.2</v>
      </c>
      <c r="I148" s="546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809" t="s">
        <v>250</v>
      </c>
      <c r="Q148" s="565"/>
      <c r="R148" s="565"/>
      <c r="S148" s="565"/>
      <c r="T148" s="566"/>
      <c r="U148" s="34"/>
      <c r="V148" s="34"/>
      <c r="W148" s="35" t="s">
        <v>69</v>
      </c>
      <c r="X148" s="547">
        <v>0</v>
      </c>
      <c r="Y148" s="548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hidden="1" customHeight="1" x14ac:dyDescent="0.25">
      <c r="A149" s="54" t="s">
        <v>253</v>
      </c>
      <c r="B149" s="54" t="s">
        <v>254</v>
      </c>
      <c r="C149" s="31">
        <v>4301031453</v>
      </c>
      <c r="D149" s="558">
        <v>4680115887336</v>
      </c>
      <c r="E149" s="559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594" t="s">
        <v>255</v>
      </c>
      <c r="Q149" s="565"/>
      <c r="R149" s="565"/>
      <c r="S149" s="565"/>
      <c r="T149" s="566"/>
      <c r="U149" s="34"/>
      <c r="V149" s="34"/>
      <c r="W149" s="35" t="s">
        <v>69</v>
      </c>
      <c r="X149" s="547">
        <v>0</v>
      </c>
      <c r="Y149" s="548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4301031456</v>
      </c>
      <c r="D150" s="558">
        <v>4680115887398</v>
      </c>
      <c r="E150" s="559"/>
      <c r="F150" s="546">
        <v>0.7</v>
      </c>
      <c r="G150" s="32">
        <v>6</v>
      </c>
      <c r="H150" s="546">
        <v>4.2</v>
      </c>
      <c r="I150" s="546">
        <v>4.3899999999999997</v>
      </c>
      <c r="J150" s="32">
        <v>132</v>
      </c>
      <c r="K150" s="32" t="s">
        <v>111</v>
      </c>
      <c r="L150" s="32"/>
      <c r="M150" s="33" t="s">
        <v>68</v>
      </c>
      <c r="N150" s="33"/>
      <c r="O150" s="32">
        <v>40</v>
      </c>
      <c r="P150" s="876" t="s">
        <v>259</v>
      </c>
      <c r="Q150" s="565"/>
      <c r="R150" s="565"/>
      <c r="S150" s="565"/>
      <c r="T150" s="566"/>
      <c r="U150" s="34"/>
      <c r="V150" s="34"/>
      <c r="W150" s="35" t="s">
        <v>69</v>
      </c>
      <c r="X150" s="547">
        <v>0</v>
      </c>
      <c r="Y150" s="548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hidden="1" customHeight="1" x14ac:dyDescent="0.25">
      <c r="A151" s="54" t="s">
        <v>261</v>
      </c>
      <c r="B151" s="54" t="s">
        <v>262</v>
      </c>
      <c r="C151" s="31">
        <v>4301030895</v>
      </c>
      <c r="D151" s="558">
        <v>4607091387667</v>
      </c>
      <c r="E151" s="559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104</v>
      </c>
      <c r="L151" s="32"/>
      <c r="M151" s="33" t="s">
        <v>106</v>
      </c>
      <c r="N151" s="33"/>
      <c r="O151" s="32">
        <v>40</v>
      </c>
      <c r="P151" s="57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65"/>
      <c r="R151" s="565"/>
      <c r="S151" s="565"/>
      <c r="T151" s="566"/>
      <c r="U151" s="34"/>
      <c r="V151" s="34"/>
      <c r="W151" s="35" t="s">
        <v>69</v>
      </c>
      <c r="X151" s="547">
        <v>0</v>
      </c>
      <c r="Y151" s="548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hidden="1" customHeight="1" x14ac:dyDescent="0.25">
      <c r="A152" s="54" t="s">
        <v>264</v>
      </c>
      <c r="B152" s="54" t="s">
        <v>265</v>
      </c>
      <c r="C152" s="31">
        <v>4301030961</v>
      </c>
      <c r="D152" s="558">
        <v>4607091387636</v>
      </c>
      <c r="E152" s="559"/>
      <c r="F152" s="546">
        <v>0.7</v>
      </c>
      <c r="G152" s="32">
        <v>6</v>
      </c>
      <c r="H152" s="546">
        <v>4.2</v>
      </c>
      <c r="I152" s="546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86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65"/>
      <c r="R152" s="565"/>
      <c r="S152" s="565"/>
      <c r="T152" s="566"/>
      <c r="U152" s="34"/>
      <c r="V152" s="34"/>
      <c r="W152" s="35" t="s">
        <v>69</v>
      </c>
      <c r="X152" s="547">
        <v>0</v>
      </c>
      <c r="Y152" s="548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267</v>
      </c>
      <c r="B153" s="54" t="s">
        <v>268</v>
      </c>
      <c r="C153" s="31">
        <v>4301030963</v>
      </c>
      <c r="D153" s="558">
        <v>4607091382426</v>
      </c>
      <c r="E153" s="559"/>
      <c r="F153" s="546">
        <v>0.9</v>
      </c>
      <c r="G153" s="32">
        <v>10</v>
      </c>
      <c r="H153" s="546">
        <v>9</v>
      </c>
      <c r="I153" s="546">
        <v>9.56</v>
      </c>
      <c r="J153" s="32">
        <v>64</v>
      </c>
      <c r="K153" s="32" t="s">
        <v>104</v>
      </c>
      <c r="L153" s="32"/>
      <c r="M153" s="33" t="s">
        <v>68</v>
      </c>
      <c r="N153" s="33"/>
      <c r="O153" s="32">
        <v>40</v>
      </c>
      <c r="P153" s="76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65"/>
      <c r="R153" s="565"/>
      <c r="S153" s="565"/>
      <c r="T153" s="566"/>
      <c r="U153" s="34"/>
      <c r="V153" s="34"/>
      <c r="W153" s="35" t="s">
        <v>69</v>
      </c>
      <c r="X153" s="547">
        <v>0</v>
      </c>
      <c r="Y153" s="548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0"/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61"/>
      <c r="P154" s="553" t="s">
        <v>75</v>
      </c>
      <c r="Q154" s="554"/>
      <c r="R154" s="554"/>
      <c r="S154" s="554"/>
      <c r="T154" s="554"/>
      <c r="U154" s="554"/>
      <c r="V154" s="555"/>
      <c r="W154" s="37" t="s">
        <v>76</v>
      </c>
      <c r="X154" s="549">
        <f>IFERROR(X148/H148,"0")+IFERROR(X149/H149,"0")+IFERROR(X150/H150,"0")+IFERROR(X151/H151,"0")+IFERROR(X152/H152,"0")+IFERROR(X153/H153,"0")</f>
        <v>0</v>
      </c>
      <c r="Y154" s="549">
        <f>IFERROR(Y148/H148,"0")+IFERROR(Y149/H149,"0")+IFERROR(Y150/H150,"0")+IFERROR(Y151/H151,"0")+IFERROR(Y152/H152,"0")+IFERROR(Y153/H153,"0")</f>
        <v>0</v>
      </c>
      <c r="Z154" s="549">
        <f>IFERROR(IF(Z148="",0,Z148),"0")+IFERROR(IF(Z149="",0,Z149),"0")+IFERROR(IF(Z150="",0,Z150),"0")+IFERROR(IF(Z151="",0,Z151),"0")+IFERROR(IF(Z152="",0,Z152),"0")+IFERROR(IF(Z153="",0,Z153),"0")</f>
        <v>0</v>
      </c>
      <c r="AA154" s="550"/>
      <c r="AB154" s="550"/>
      <c r="AC154" s="550"/>
    </row>
    <row r="155" spans="1:68" hidden="1" x14ac:dyDescent="0.2">
      <c r="A155" s="557"/>
      <c r="B155" s="557"/>
      <c r="C155" s="557"/>
      <c r="D155" s="557"/>
      <c r="E155" s="557"/>
      <c r="F155" s="557"/>
      <c r="G155" s="557"/>
      <c r="H155" s="557"/>
      <c r="I155" s="557"/>
      <c r="J155" s="557"/>
      <c r="K155" s="557"/>
      <c r="L155" s="557"/>
      <c r="M155" s="557"/>
      <c r="N155" s="557"/>
      <c r="O155" s="561"/>
      <c r="P155" s="553" t="s">
        <v>75</v>
      </c>
      <c r="Q155" s="554"/>
      <c r="R155" s="554"/>
      <c r="S155" s="554"/>
      <c r="T155" s="554"/>
      <c r="U155" s="554"/>
      <c r="V155" s="555"/>
      <c r="W155" s="37" t="s">
        <v>69</v>
      </c>
      <c r="X155" s="549">
        <f>IFERROR(SUM(X148:X153),"0")</f>
        <v>0</v>
      </c>
      <c r="Y155" s="549">
        <f>IFERROR(SUM(Y148:Y153),"0")</f>
        <v>0</v>
      </c>
      <c r="Z155" s="37"/>
      <c r="AA155" s="550"/>
      <c r="AB155" s="550"/>
      <c r="AC155" s="550"/>
    </row>
    <row r="156" spans="1:68" ht="14.25" hidden="1" customHeight="1" x14ac:dyDescent="0.25">
      <c r="A156" s="556" t="s">
        <v>77</v>
      </c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7"/>
      <c r="P156" s="557"/>
      <c r="Q156" s="557"/>
      <c r="R156" s="557"/>
      <c r="S156" s="557"/>
      <c r="T156" s="557"/>
      <c r="U156" s="557"/>
      <c r="V156" s="557"/>
      <c r="W156" s="557"/>
      <c r="X156" s="557"/>
      <c r="Y156" s="557"/>
      <c r="Z156" s="557"/>
      <c r="AA156" s="543"/>
      <c r="AB156" s="543"/>
      <c r="AC156" s="543"/>
    </row>
    <row r="157" spans="1:68" ht="27" hidden="1" customHeight="1" x14ac:dyDescent="0.25">
      <c r="A157" s="54" t="s">
        <v>270</v>
      </c>
      <c r="B157" s="54" t="s">
        <v>271</v>
      </c>
      <c r="C157" s="31">
        <v>4301052064</v>
      </c>
      <c r="D157" s="558">
        <v>4680115887459</v>
      </c>
      <c r="E157" s="559"/>
      <c r="F157" s="546">
        <v>0.3</v>
      </c>
      <c r="G157" s="32">
        <v>6</v>
      </c>
      <c r="H157" s="546">
        <v>1.8</v>
      </c>
      <c r="I157" s="546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8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5"/>
      <c r="R157" s="565"/>
      <c r="S157" s="565"/>
      <c r="T157" s="566"/>
      <c r="U157" s="34"/>
      <c r="V157" s="34"/>
      <c r="W157" s="35" t="s">
        <v>69</v>
      </c>
      <c r="X157" s="547">
        <v>0</v>
      </c>
      <c r="Y157" s="54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0"/>
      <c r="B158" s="557"/>
      <c r="C158" s="557"/>
      <c r="D158" s="557"/>
      <c r="E158" s="557"/>
      <c r="F158" s="557"/>
      <c r="G158" s="557"/>
      <c r="H158" s="557"/>
      <c r="I158" s="557"/>
      <c r="J158" s="557"/>
      <c r="K158" s="557"/>
      <c r="L158" s="557"/>
      <c r="M158" s="557"/>
      <c r="N158" s="557"/>
      <c r="O158" s="561"/>
      <c r="P158" s="553" t="s">
        <v>75</v>
      </c>
      <c r="Q158" s="554"/>
      <c r="R158" s="554"/>
      <c r="S158" s="554"/>
      <c r="T158" s="554"/>
      <c r="U158" s="554"/>
      <c r="V158" s="555"/>
      <c r="W158" s="37" t="s">
        <v>76</v>
      </c>
      <c r="X158" s="549">
        <f>IFERROR(X157/H157,"0")</f>
        <v>0</v>
      </c>
      <c r="Y158" s="549">
        <f>IFERROR(Y157/H157,"0")</f>
        <v>0</v>
      </c>
      <c r="Z158" s="549">
        <f>IFERROR(IF(Z157="",0,Z157),"0")</f>
        <v>0</v>
      </c>
      <c r="AA158" s="550"/>
      <c r="AB158" s="550"/>
      <c r="AC158" s="550"/>
    </row>
    <row r="159" spans="1:68" hidden="1" x14ac:dyDescent="0.2">
      <c r="A159" s="557"/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61"/>
      <c r="P159" s="553" t="s">
        <v>75</v>
      </c>
      <c r="Q159" s="554"/>
      <c r="R159" s="554"/>
      <c r="S159" s="554"/>
      <c r="T159" s="554"/>
      <c r="U159" s="554"/>
      <c r="V159" s="555"/>
      <c r="W159" s="37" t="s">
        <v>69</v>
      </c>
      <c r="X159" s="549">
        <f>IFERROR(SUM(X157:X157),"0")</f>
        <v>0</v>
      </c>
      <c r="Y159" s="549">
        <f>IFERROR(SUM(Y157:Y157),"0")</f>
        <v>0</v>
      </c>
      <c r="Z159" s="37"/>
      <c r="AA159" s="550"/>
      <c r="AB159" s="550"/>
      <c r="AC159" s="550"/>
    </row>
    <row r="160" spans="1:68" ht="27.75" hidden="1" customHeight="1" x14ac:dyDescent="0.2">
      <c r="A160" s="651" t="s">
        <v>273</v>
      </c>
      <c r="B160" s="652"/>
      <c r="C160" s="652"/>
      <c r="D160" s="652"/>
      <c r="E160" s="652"/>
      <c r="F160" s="652"/>
      <c r="G160" s="652"/>
      <c r="H160" s="652"/>
      <c r="I160" s="652"/>
      <c r="J160" s="652"/>
      <c r="K160" s="652"/>
      <c r="L160" s="652"/>
      <c r="M160" s="652"/>
      <c r="N160" s="652"/>
      <c r="O160" s="652"/>
      <c r="P160" s="652"/>
      <c r="Q160" s="652"/>
      <c r="R160" s="652"/>
      <c r="S160" s="652"/>
      <c r="T160" s="652"/>
      <c r="U160" s="652"/>
      <c r="V160" s="652"/>
      <c r="W160" s="652"/>
      <c r="X160" s="652"/>
      <c r="Y160" s="652"/>
      <c r="Z160" s="652"/>
      <c r="AA160" s="48"/>
      <c r="AB160" s="48"/>
      <c r="AC160" s="48"/>
    </row>
    <row r="161" spans="1:68" ht="16.5" hidden="1" customHeight="1" x14ac:dyDescent="0.25">
      <c r="A161" s="590" t="s">
        <v>274</v>
      </c>
      <c r="B161" s="557"/>
      <c r="C161" s="557"/>
      <c r="D161" s="557"/>
      <c r="E161" s="557"/>
      <c r="F161" s="557"/>
      <c r="G161" s="557"/>
      <c r="H161" s="557"/>
      <c r="I161" s="557"/>
      <c r="J161" s="557"/>
      <c r="K161" s="557"/>
      <c r="L161" s="557"/>
      <c r="M161" s="557"/>
      <c r="N161" s="557"/>
      <c r="O161" s="557"/>
      <c r="P161" s="557"/>
      <c r="Q161" s="557"/>
      <c r="R161" s="557"/>
      <c r="S161" s="557"/>
      <c r="T161" s="557"/>
      <c r="U161" s="557"/>
      <c r="V161" s="557"/>
      <c r="W161" s="557"/>
      <c r="X161" s="557"/>
      <c r="Y161" s="557"/>
      <c r="Z161" s="557"/>
      <c r="AA161" s="542"/>
      <c r="AB161" s="542"/>
      <c r="AC161" s="542"/>
    </row>
    <row r="162" spans="1:68" ht="14.25" hidden="1" customHeight="1" x14ac:dyDescent="0.25">
      <c r="A162" s="556" t="s">
        <v>137</v>
      </c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57"/>
      <c r="P162" s="557"/>
      <c r="Q162" s="557"/>
      <c r="R162" s="557"/>
      <c r="S162" s="557"/>
      <c r="T162" s="557"/>
      <c r="U162" s="557"/>
      <c r="V162" s="557"/>
      <c r="W162" s="557"/>
      <c r="X162" s="557"/>
      <c r="Y162" s="557"/>
      <c r="Z162" s="557"/>
      <c r="AA162" s="543"/>
      <c r="AB162" s="543"/>
      <c r="AC162" s="543"/>
    </row>
    <row r="163" spans="1:68" ht="27" hidden="1" customHeight="1" x14ac:dyDescent="0.25">
      <c r="A163" s="54" t="s">
        <v>275</v>
      </c>
      <c r="B163" s="54" t="s">
        <v>276</v>
      </c>
      <c r="C163" s="31">
        <v>4301020323</v>
      </c>
      <c r="D163" s="558">
        <v>4680115886223</v>
      </c>
      <c r="E163" s="559"/>
      <c r="F163" s="546">
        <v>0.33</v>
      </c>
      <c r="G163" s="32">
        <v>6</v>
      </c>
      <c r="H163" s="546">
        <v>1.98</v>
      </c>
      <c r="I163" s="546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5"/>
      <c r="R163" s="565"/>
      <c r="S163" s="565"/>
      <c r="T163" s="566"/>
      <c r="U163" s="34"/>
      <c r="V163" s="34"/>
      <c r="W163" s="35" t="s">
        <v>69</v>
      </c>
      <c r="X163" s="547">
        <v>0</v>
      </c>
      <c r="Y163" s="548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0"/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61"/>
      <c r="P164" s="553" t="s">
        <v>75</v>
      </c>
      <c r="Q164" s="554"/>
      <c r="R164" s="554"/>
      <c r="S164" s="554"/>
      <c r="T164" s="554"/>
      <c r="U164" s="554"/>
      <c r="V164" s="555"/>
      <c r="W164" s="37" t="s">
        <v>76</v>
      </c>
      <c r="X164" s="549">
        <f>IFERROR(X163/H163,"0")</f>
        <v>0</v>
      </c>
      <c r="Y164" s="549">
        <f>IFERROR(Y163/H163,"0")</f>
        <v>0</v>
      </c>
      <c r="Z164" s="549">
        <f>IFERROR(IF(Z163="",0,Z163),"0")</f>
        <v>0</v>
      </c>
      <c r="AA164" s="550"/>
      <c r="AB164" s="550"/>
      <c r="AC164" s="550"/>
    </row>
    <row r="165" spans="1:68" hidden="1" x14ac:dyDescent="0.2">
      <c r="A165" s="557"/>
      <c r="B165" s="557"/>
      <c r="C165" s="557"/>
      <c r="D165" s="557"/>
      <c r="E165" s="557"/>
      <c r="F165" s="557"/>
      <c r="G165" s="557"/>
      <c r="H165" s="557"/>
      <c r="I165" s="557"/>
      <c r="J165" s="557"/>
      <c r="K165" s="557"/>
      <c r="L165" s="557"/>
      <c r="M165" s="557"/>
      <c r="N165" s="557"/>
      <c r="O165" s="561"/>
      <c r="P165" s="553" t="s">
        <v>75</v>
      </c>
      <c r="Q165" s="554"/>
      <c r="R165" s="554"/>
      <c r="S165" s="554"/>
      <c r="T165" s="554"/>
      <c r="U165" s="554"/>
      <c r="V165" s="555"/>
      <c r="W165" s="37" t="s">
        <v>69</v>
      </c>
      <c r="X165" s="549">
        <f>IFERROR(SUM(X163:X163),"0")</f>
        <v>0</v>
      </c>
      <c r="Y165" s="549">
        <f>IFERROR(SUM(Y163:Y163),"0")</f>
        <v>0</v>
      </c>
      <c r="Z165" s="37"/>
      <c r="AA165" s="550"/>
      <c r="AB165" s="550"/>
      <c r="AC165" s="550"/>
    </row>
    <row r="166" spans="1:68" ht="14.25" hidden="1" customHeight="1" x14ac:dyDescent="0.25">
      <c r="A166" s="556" t="s">
        <v>64</v>
      </c>
      <c r="B166" s="557"/>
      <c r="C166" s="557"/>
      <c r="D166" s="557"/>
      <c r="E166" s="557"/>
      <c r="F166" s="557"/>
      <c r="G166" s="557"/>
      <c r="H166" s="557"/>
      <c r="I166" s="557"/>
      <c r="J166" s="557"/>
      <c r="K166" s="557"/>
      <c r="L166" s="557"/>
      <c r="M166" s="557"/>
      <c r="N166" s="557"/>
      <c r="O166" s="557"/>
      <c r="P166" s="557"/>
      <c r="Q166" s="557"/>
      <c r="R166" s="557"/>
      <c r="S166" s="557"/>
      <c r="T166" s="557"/>
      <c r="U166" s="557"/>
      <c r="V166" s="557"/>
      <c r="W166" s="557"/>
      <c r="X166" s="557"/>
      <c r="Y166" s="557"/>
      <c r="Z166" s="557"/>
      <c r="AA166" s="543"/>
      <c r="AB166" s="543"/>
      <c r="AC166" s="543"/>
    </row>
    <row r="167" spans="1:68" ht="27" customHeight="1" x14ac:dyDescent="0.25">
      <c r="A167" s="54" t="s">
        <v>278</v>
      </c>
      <c r="B167" s="54" t="s">
        <v>279</v>
      </c>
      <c r="C167" s="31">
        <v>4301031191</v>
      </c>
      <c r="D167" s="558">
        <v>4680115880993</v>
      </c>
      <c r="E167" s="559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111</v>
      </c>
      <c r="L167" s="32" t="s">
        <v>112</v>
      </c>
      <c r="M167" s="33" t="s">
        <v>68</v>
      </c>
      <c r="N167" s="33"/>
      <c r="O167" s="32">
        <v>40</v>
      </c>
      <c r="P167" s="78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65"/>
      <c r="R167" s="565"/>
      <c r="S167" s="565"/>
      <c r="T167" s="566"/>
      <c r="U167" s="34"/>
      <c r="V167" s="34"/>
      <c r="W167" s="35" t="s">
        <v>69</v>
      </c>
      <c r="X167" s="547">
        <v>150</v>
      </c>
      <c r="Y167" s="548">
        <f t="shared" ref="Y167:Y178" si="10">IFERROR(IF(X167="",0,CEILING((X167/$H167),1)*$H167),"")</f>
        <v>151.20000000000002</v>
      </c>
      <c r="Z167" s="36">
        <f>IFERROR(IF(Y167=0,"",ROUNDUP(Y167/H167,0)*0.00902),"")</f>
        <v>0.32472000000000001</v>
      </c>
      <c r="AA167" s="56"/>
      <c r="AB167" s="57"/>
      <c r="AC167" s="203" t="s">
        <v>280</v>
      </c>
      <c r="AG167" s="64"/>
      <c r="AJ167" s="68" t="s">
        <v>108</v>
      </c>
      <c r="AK167" s="68">
        <v>50.4</v>
      </c>
      <c r="BB167" s="204" t="s">
        <v>1</v>
      </c>
      <c r="BM167" s="64">
        <f t="shared" ref="BM167:BM178" si="11">IFERROR(X167*I167/H167,"0")</f>
        <v>158.92857142857142</v>
      </c>
      <c r="BN167" s="64">
        <f t="shared" ref="BN167:BN178" si="12">IFERROR(Y167*I167/H167,"0")</f>
        <v>160.20000000000002</v>
      </c>
      <c r="BO167" s="64">
        <f t="shared" ref="BO167:BO178" si="13">IFERROR(1/J167*(X167/H167),"0")</f>
        <v>0.27056277056277056</v>
      </c>
      <c r="BP167" s="64">
        <f t="shared" ref="BP167:BP178" si="14">IFERROR(1/J167*(Y167/H167),"0")</f>
        <v>0.27272727272727271</v>
      </c>
    </row>
    <row r="168" spans="1:68" ht="27" hidden="1" customHeight="1" x14ac:dyDescent="0.25">
      <c r="A168" s="54" t="s">
        <v>281</v>
      </c>
      <c r="B168" s="54" t="s">
        <v>282</v>
      </c>
      <c r="C168" s="31">
        <v>4301031204</v>
      </c>
      <c r="D168" s="558">
        <v>4680115881761</v>
      </c>
      <c r="E168" s="559"/>
      <c r="F168" s="546">
        <v>0.7</v>
      </c>
      <c r="G168" s="32">
        <v>6</v>
      </c>
      <c r="H168" s="546">
        <v>4.2</v>
      </c>
      <c r="I168" s="546">
        <v>4.45</v>
      </c>
      <c r="J168" s="32">
        <v>132</v>
      </c>
      <c r="K168" s="32" t="s">
        <v>111</v>
      </c>
      <c r="L168" s="32"/>
      <c r="M168" s="33" t="s">
        <v>68</v>
      </c>
      <c r="N168" s="33"/>
      <c r="O168" s="32">
        <v>40</v>
      </c>
      <c r="P168" s="80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65"/>
      <c r="R168" s="565"/>
      <c r="S168" s="565"/>
      <c r="T168" s="566"/>
      <c r="U168" s="34"/>
      <c r="V168" s="34"/>
      <c r="W168" s="35" t="s">
        <v>69</v>
      </c>
      <c r="X168" s="547">
        <v>0</v>
      </c>
      <c r="Y168" s="548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284</v>
      </c>
      <c r="B169" s="54" t="s">
        <v>285</v>
      </c>
      <c r="C169" s="31">
        <v>4301031201</v>
      </c>
      <c r="D169" s="558">
        <v>4680115881563</v>
      </c>
      <c r="E169" s="559"/>
      <c r="F169" s="546">
        <v>0.7</v>
      </c>
      <c r="G169" s="32">
        <v>6</v>
      </c>
      <c r="H169" s="546">
        <v>4.2</v>
      </c>
      <c r="I169" s="546">
        <v>4.3899999999999997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8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65"/>
      <c r="R169" s="565"/>
      <c r="S169" s="565"/>
      <c r="T169" s="566"/>
      <c r="U169" s="34"/>
      <c r="V169" s="34"/>
      <c r="W169" s="35" t="s">
        <v>69</v>
      </c>
      <c r="X169" s="547">
        <v>0</v>
      </c>
      <c r="Y169" s="548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286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37.5" hidden="1" customHeight="1" x14ac:dyDescent="0.25">
      <c r="A170" s="54" t="s">
        <v>287</v>
      </c>
      <c r="B170" s="54" t="s">
        <v>288</v>
      </c>
      <c r="C170" s="31">
        <v>4301031447</v>
      </c>
      <c r="D170" s="558">
        <v>4680115887565</v>
      </c>
      <c r="E170" s="559"/>
      <c r="F170" s="546">
        <v>0.08</v>
      </c>
      <c r="G170" s="32">
        <v>10</v>
      </c>
      <c r="H170" s="546">
        <v>0.8</v>
      </c>
      <c r="I170" s="546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84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65"/>
      <c r="R170" s="565"/>
      <c r="S170" s="565"/>
      <c r="T170" s="566"/>
      <c r="U170" s="34"/>
      <c r="V170" s="34"/>
      <c r="W170" s="35" t="s">
        <v>69</v>
      </c>
      <c r="X170" s="547">
        <v>0</v>
      </c>
      <c r="Y170" s="548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290</v>
      </c>
      <c r="B171" s="54" t="s">
        <v>291</v>
      </c>
      <c r="C171" s="31">
        <v>4301031199</v>
      </c>
      <c r="D171" s="558">
        <v>4680115880986</v>
      </c>
      <c r="E171" s="559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81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65"/>
      <c r="R171" s="565"/>
      <c r="S171" s="565"/>
      <c r="T171" s="566"/>
      <c r="U171" s="34"/>
      <c r="V171" s="34"/>
      <c r="W171" s="35" t="s">
        <v>69</v>
      </c>
      <c r="X171" s="547">
        <v>0</v>
      </c>
      <c r="Y171" s="548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280</v>
      </c>
      <c r="AG171" s="64"/>
      <c r="AJ171" s="68" t="s">
        <v>108</v>
      </c>
      <c r="AK171" s="68">
        <v>37.799999999999997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4301031443</v>
      </c>
      <c r="D172" s="558">
        <v>4680115887213</v>
      </c>
      <c r="E172" s="559"/>
      <c r="F172" s="546">
        <v>0.3</v>
      </c>
      <c r="G172" s="32">
        <v>6</v>
      </c>
      <c r="H172" s="546">
        <v>1.8</v>
      </c>
      <c r="I172" s="546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87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65"/>
      <c r="R172" s="565"/>
      <c r="S172" s="565"/>
      <c r="T172" s="566"/>
      <c r="U172" s="34"/>
      <c r="V172" s="34"/>
      <c r="W172" s="35" t="s">
        <v>69</v>
      </c>
      <c r="X172" s="547">
        <v>0</v>
      </c>
      <c r="Y172" s="548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296</v>
      </c>
      <c r="B173" s="54" t="s">
        <v>297</v>
      </c>
      <c r="C173" s="31">
        <v>4301031205</v>
      </c>
      <c r="D173" s="558">
        <v>4680115881785</v>
      </c>
      <c r="E173" s="559"/>
      <c r="F173" s="546">
        <v>0.35</v>
      </c>
      <c r="G173" s="32">
        <v>6</v>
      </c>
      <c r="H173" s="546">
        <v>2.1</v>
      </c>
      <c r="I173" s="546">
        <v>2.23</v>
      </c>
      <c r="J173" s="32">
        <v>234</v>
      </c>
      <c r="K173" s="32" t="s">
        <v>73</v>
      </c>
      <c r="L173" s="32"/>
      <c r="M173" s="33" t="s">
        <v>68</v>
      </c>
      <c r="N173" s="33"/>
      <c r="O173" s="32">
        <v>40</v>
      </c>
      <c r="P173" s="83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65"/>
      <c r="R173" s="565"/>
      <c r="S173" s="565"/>
      <c r="T173" s="566"/>
      <c r="U173" s="34"/>
      <c r="V173" s="34"/>
      <c r="W173" s="35" t="s">
        <v>69</v>
      </c>
      <c r="X173" s="547">
        <v>0</v>
      </c>
      <c r="Y173" s="548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298</v>
      </c>
      <c r="B174" s="54" t="s">
        <v>299</v>
      </c>
      <c r="C174" s="31">
        <v>4301031399</v>
      </c>
      <c r="D174" s="558">
        <v>4680115886537</v>
      </c>
      <c r="E174" s="559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 t="s">
        <v>292</v>
      </c>
      <c r="M174" s="33" t="s">
        <v>68</v>
      </c>
      <c r="N174" s="33"/>
      <c r="O174" s="32">
        <v>40</v>
      </c>
      <c r="P174" s="59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65"/>
      <c r="R174" s="565"/>
      <c r="S174" s="565"/>
      <c r="T174" s="566"/>
      <c r="U174" s="34"/>
      <c r="V174" s="34"/>
      <c r="W174" s="35" t="s">
        <v>69</v>
      </c>
      <c r="X174" s="547">
        <v>0</v>
      </c>
      <c r="Y174" s="548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 t="s">
        <v>108</v>
      </c>
      <c r="AK174" s="68">
        <v>32.4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301</v>
      </c>
      <c r="B175" s="54" t="s">
        <v>302</v>
      </c>
      <c r="C175" s="31">
        <v>4301031279</v>
      </c>
      <c r="D175" s="558">
        <v>4680115887596</v>
      </c>
      <c r="E175" s="559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175</v>
      </c>
      <c r="L175" s="32"/>
      <c r="M175" s="33" t="s">
        <v>68</v>
      </c>
      <c r="N175" s="33"/>
      <c r="O175" s="32">
        <v>45</v>
      </c>
      <c r="P175" s="67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65"/>
      <c r="R175" s="565"/>
      <c r="S175" s="565"/>
      <c r="T175" s="566"/>
      <c r="U175" s="34"/>
      <c r="V175" s="34"/>
      <c r="W175" s="35" t="s">
        <v>69</v>
      </c>
      <c r="X175" s="547">
        <v>0</v>
      </c>
      <c r="Y175" s="548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hidden="1" customHeight="1" x14ac:dyDescent="0.25">
      <c r="A176" s="54" t="s">
        <v>304</v>
      </c>
      <c r="B176" s="54" t="s">
        <v>305</v>
      </c>
      <c r="C176" s="31">
        <v>4301031202</v>
      </c>
      <c r="D176" s="558">
        <v>4680115881679</v>
      </c>
      <c r="E176" s="559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65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65"/>
      <c r="R176" s="565"/>
      <c r="S176" s="565"/>
      <c r="T176" s="566"/>
      <c r="U176" s="34"/>
      <c r="V176" s="34"/>
      <c r="W176" s="35" t="s">
        <v>69</v>
      </c>
      <c r="X176" s="547">
        <v>0</v>
      </c>
      <c r="Y176" s="548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 t="s">
        <v>108</v>
      </c>
      <c r="AK176" s="68">
        <v>37.799999999999997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306</v>
      </c>
      <c r="B177" s="54" t="s">
        <v>307</v>
      </c>
      <c r="C177" s="31">
        <v>4301031158</v>
      </c>
      <c r="D177" s="558">
        <v>4680115880191</v>
      </c>
      <c r="E177" s="559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67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65"/>
      <c r="R177" s="565"/>
      <c r="S177" s="565"/>
      <c r="T177" s="566"/>
      <c r="U177" s="34"/>
      <c r="V177" s="34"/>
      <c r="W177" s="35" t="s">
        <v>69</v>
      </c>
      <c r="X177" s="547">
        <v>0</v>
      </c>
      <c r="Y177" s="548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4301031245</v>
      </c>
      <c r="D178" s="558">
        <v>4680115883963</v>
      </c>
      <c r="E178" s="559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66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65"/>
      <c r="R178" s="565"/>
      <c r="S178" s="565"/>
      <c r="T178" s="566"/>
      <c r="U178" s="34"/>
      <c r="V178" s="34"/>
      <c r="W178" s="35" t="s">
        <v>69</v>
      </c>
      <c r="X178" s="547">
        <v>0</v>
      </c>
      <c r="Y178" s="548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60"/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61"/>
      <c r="P179" s="553" t="s">
        <v>75</v>
      </c>
      <c r="Q179" s="554"/>
      <c r="R179" s="554"/>
      <c r="S179" s="554"/>
      <c r="T179" s="554"/>
      <c r="U179" s="554"/>
      <c r="V179" s="555"/>
      <c r="W179" s="37" t="s">
        <v>76</v>
      </c>
      <c r="X179" s="549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35.714285714285715</v>
      </c>
      <c r="Y179" s="549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36</v>
      </c>
      <c r="Z179" s="54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0.32472000000000001</v>
      </c>
      <c r="AA179" s="550"/>
      <c r="AB179" s="550"/>
      <c r="AC179" s="550"/>
    </row>
    <row r="180" spans="1:68" x14ac:dyDescent="0.2">
      <c r="A180" s="557"/>
      <c r="B180" s="557"/>
      <c r="C180" s="557"/>
      <c r="D180" s="557"/>
      <c r="E180" s="557"/>
      <c r="F180" s="557"/>
      <c r="G180" s="557"/>
      <c r="H180" s="557"/>
      <c r="I180" s="557"/>
      <c r="J180" s="557"/>
      <c r="K180" s="557"/>
      <c r="L180" s="557"/>
      <c r="M180" s="557"/>
      <c r="N180" s="557"/>
      <c r="O180" s="561"/>
      <c r="P180" s="553" t="s">
        <v>75</v>
      </c>
      <c r="Q180" s="554"/>
      <c r="R180" s="554"/>
      <c r="S180" s="554"/>
      <c r="T180" s="554"/>
      <c r="U180" s="554"/>
      <c r="V180" s="555"/>
      <c r="W180" s="37" t="s">
        <v>69</v>
      </c>
      <c r="X180" s="549">
        <f>IFERROR(SUM(X167:X178),"0")</f>
        <v>150</v>
      </c>
      <c r="Y180" s="549">
        <f>IFERROR(SUM(Y167:Y178),"0")</f>
        <v>151.20000000000002</v>
      </c>
      <c r="Z180" s="37"/>
      <c r="AA180" s="550"/>
      <c r="AB180" s="550"/>
      <c r="AC180" s="550"/>
    </row>
    <row r="181" spans="1:68" ht="14.25" hidden="1" customHeight="1" x14ac:dyDescent="0.25">
      <c r="A181" s="556" t="s">
        <v>93</v>
      </c>
      <c r="B181" s="557"/>
      <c r="C181" s="557"/>
      <c r="D181" s="557"/>
      <c r="E181" s="557"/>
      <c r="F181" s="557"/>
      <c r="G181" s="557"/>
      <c r="H181" s="557"/>
      <c r="I181" s="557"/>
      <c r="J181" s="557"/>
      <c r="K181" s="557"/>
      <c r="L181" s="557"/>
      <c r="M181" s="557"/>
      <c r="N181" s="557"/>
      <c r="O181" s="557"/>
      <c r="P181" s="557"/>
      <c r="Q181" s="557"/>
      <c r="R181" s="557"/>
      <c r="S181" s="557"/>
      <c r="T181" s="557"/>
      <c r="U181" s="557"/>
      <c r="V181" s="557"/>
      <c r="W181" s="557"/>
      <c r="X181" s="557"/>
      <c r="Y181" s="557"/>
      <c r="Z181" s="557"/>
      <c r="AA181" s="543"/>
      <c r="AB181" s="543"/>
      <c r="AC181" s="543"/>
    </row>
    <row r="182" spans="1:68" ht="27" hidden="1" customHeight="1" x14ac:dyDescent="0.25">
      <c r="A182" s="54" t="s">
        <v>311</v>
      </c>
      <c r="B182" s="54" t="s">
        <v>312</v>
      </c>
      <c r="C182" s="31">
        <v>4301032053</v>
      </c>
      <c r="D182" s="558">
        <v>4680115886780</v>
      </c>
      <c r="E182" s="559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81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65"/>
      <c r="R182" s="565"/>
      <c r="S182" s="565"/>
      <c r="T182" s="566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316</v>
      </c>
      <c r="B183" s="54" t="s">
        <v>317</v>
      </c>
      <c r="C183" s="31">
        <v>4301032051</v>
      </c>
      <c r="D183" s="558">
        <v>4680115886742</v>
      </c>
      <c r="E183" s="559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64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65"/>
      <c r="R183" s="565"/>
      <c r="S183" s="565"/>
      <c r="T183" s="566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319</v>
      </c>
      <c r="B184" s="54" t="s">
        <v>320</v>
      </c>
      <c r="C184" s="31">
        <v>4301032052</v>
      </c>
      <c r="D184" s="558">
        <v>4680115886766</v>
      </c>
      <c r="E184" s="559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81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65"/>
      <c r="R184" s="565"/>
      <c r="S184" s="565"/>
      <c r="T184" s="566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0"/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61"/>
      <c r="P185" s="553" t="s">
        <v>75</v>
      </c>
      <c r="Q185" s="554"/>
      <c r="R185" s="554"/>
      <c r="S185" s="554"/>
      <c r="T185" s="554"/>
      <c r="U185" s="554"/>
      <c r="V185" s="555"/>
      <c r="W185" s="37" t="s">
        <v>76</v>
      </c>
      <c r="X185" s="549">
        <f>IFERROR(X182/H182,"0")+IFERROR(X183/H183,"0")+IFERROR(X184/H184,"0")</f>
        <v>0</v>
      </c>
      <c r="Y185" s="549">
        <f>IFERROR(Y182/H182,"0")+IFERROR(Y183/H183,"0")+IFERROR(Y184/H184,"0")</f>
        <v>0</v>
      </c>
      <c r="Z185" s="549">
        <f>IFERROR(IF(Z182="",0,Z182),"0")+IFERROR(IF(Z183="",0,Z183),"0")+IFERROR(IF(Z184="",0,Z184),"0")</f>
        <v>0</v>
      </c>
      <c r="AA185" s="550"/>
      <c r="AB185" s="550"/>
      <c r="AC185" s="550"/>
    </row>
    <row r="186" spans="1:68" hidden="1" x14ac:dyDescent="0.2">
      <c r="A186" s="557"/>
      <c r="B186" s="557"/>
      <c r="C186" s="557"/>
      <c r="D186" s="557"/>
      <c r="E186" s="557"/>
      <c r="F186" s="557"/>
      <c r="G186" s="557"/>
      <c r="H186" s="557"/>
      <c r="I186" s="557"/>
      <c r="J186" s="557"/>
      <c r="K186" s="557"/>
      <c r="L186" s="557"/>
      <c r="M186" s="557"/>
      <c r="N186" s="557"/>
      <c r="O186" s="561"/>
      <c r="P186" s="553" t="s">
        <v>75</v>
      </c>
      <c r="Q186" s="554"/>
      <c r="R186" s="554"/>
      <c r="S186" s="554"/>
      <c r="T186" s="554"/>
      <c r="U186" s="554"/>
      <c r="V186" s="555"/>
      <c r="W186" s="37" t="s">
        <v>69</v>
      </c>
      <c r="X186" s="549">
        <f>IFERROR(SUM(X182:X184),"0")</f>
        <v>0</v>
      </c>
      <c r="Y186" s="549">
        <f>IFERROR(SUM(Y182:Y184),"0")</f>
        <v>0</v>
      </c>
      <c r="Z186" s="37"/>
      <c r="AA186" s="550"/>
      <c r="AB186" s="550"/>
      <c r="AC186" s="550"/>
    </row>
    <row r="187" spans="1:68" ht="14.25" hidden="1" customHeight="1" x14ac:dyDescent="0.25">
      <c r="A187" s="556" t="s">
        <v>321</v>
      </c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57"/>
      <c r="P187" s="557"/>
      <c r="Q187" s="557"/>
      <c r="R187" s="557"/>
      <c r="S187" s="557"/>
      <c r="T187" s="557"/>
      <c r="U187" s="557"/>
      <c r="V187" s="557"/>
      <c r="W187" s="557"/>
      <c r="X187" s="557"/>
      <c r="Y187" s="557"/>
      <c r="Z187" s="557"/>
      <c r="AA187" s="543"/>
      <c r="AB187" s="543"/>
      <c r="AC187" s="543"/>
    </row>
    <row r="188" spans="1:68" ht="27" hidden="1" customHeight="1" x14ac:dyDescent="0.25">
      <c r="A188" s="54" t="s">
        <v>322</v>
      </c>
      <c r="B188" s="54" t="s">
        <v>323</v>
      </c>
      <c r="C188" s="31">
        <v>4301170013</v>
      </c>
      <c r="D188" s="558">
        <v>4680115886797</v>
      </c>
      <c r="E188" s="559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7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65"/>
      <c r="R188" s="565"/>
      <c r="S188" s="565"/>
      <c r="T188" s="566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0"/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61"/>
      <c r="P189" s="553" t="s">
        <v>75</v>
      </c>
      <c r="Q189" s="554"/>
      <c r="R189" s="554"/>
      <c r="S189" s="554"/>
      <c r="T189" s="554"/>
      <c r="U189" s="554"/>
      <c r="V189" s="555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hidden="1" x14ac:dyDescent="0.2">
      <c r="A190" s="557"/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61"/>
      <c r="P190" s="553" t="s">
        <v>75</v>
      </c>
      <c r="Q190" s="554"/>
      <c r="R190" s="554"/>
      <c r="S190" s="554"/>
      <c r="T190" s="554"/>
      <c r="U190" s="554"/>
      <c r="V190" s="555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hidden="1" customHeight="1" x14ac:dyDescent="0.25">
      <c r="A191" s="590" t="s">
        <v>324</v>
      </c>
      <c r="B191" s="557"/>
      <c r="C191" s="557"/>
      <c r="D191" s="557"/>
      <c r="E191" s="557"/>
      <c r="F191" s="557"/>
      <c r="G191" s="557"/>
      <c r="H191" s="557"/>
      <c r="I191" s="557"/>
      <c r="J191" s="557"/>
      <c r="K191" s="557"/>
      <c r="L191" s="557"/>
      <c r="M191" s="557"/>
      <c r="N191" s="557"/>
      <c r="O191" s="557"/>
      <c r="P191" s="557"/>
      <c r="Q191" s="557"/>
      <c r="R191" s="557"/>
      <c r="S191" s="557"/>
      <c r="T191" s="557"/>
      <c r="U191" s="557"/>
      <c r="V191" s="557"/>
      <c r="W191" s="557"/>
      <c r="X191" s="557"/>
      <c r="Y191" s="557"/>
      <c r="Z191" s="557"/>
      <c r="AA191" s="542"/>
      <c r="AB191" s="542"/>
      <c r="AC191" s="542"/>
    </row>
    <row r="192" spans="1:68" ht="14.25" hidden="1" customHeight="1" x14ac:dyDescent="0.25">
      <c r="A192" s="556" t="s">
        <v>101</v>
      </c>
      <c r="B192" s="557"/>
      <c r="C192" s="557"/>
      <c r="D192" s="557"/>
      <c r="E192" s="557"/>
      <c r="F192" s="557"/>
      <c r="G192" s="557"/>
      <c r="H192" s="557"/>
      <c r="I192" s="557"/>
      <c r="J192" s="557"/>
      <c r="K192" s="557"/>
      <c r="L192" s="557"/>
      <c r="M192" s="557"/>
      <c r="N192" s="557"/>
      <c r="O192" s="557"/>
      <c r="P192" s="557"/>
      <c r="Q192" s="557"/>
      <c r="R192" s="557"/>
      <c r="S192" s="557"/>
      <c r="T192" s="557"/>
      <c r="U192" s="557"/>
      <c r="V192" s="557"/>
      <c r="W192" s="557"/>
      <c r="X192" s="557"/>
      <c r="Y192" s="557"/>
      <c r="Z192" s="557"/>
      <c r="AA192" s="543"/>
      <c r="AB192" s="543"/>
      <c r="AC192" s="543"/>
    </row>
    <row r="193" spans="1:68" ht="27" hidden="1" customHeight="1" x14ac:dyDescent="0.25">
      <c r="A193" s="54" t="s">
        <v>325</v>
      </c>
      <c r="B193" s="54" t="s">
        <v>326</v>
      </c>
      <c r="C193" s="31">
        <v>4301011450</v>
      </c>
      <c r="D193" s="558">
        <v>4680115881402</v>
      </c>
      <c r="E193" s="559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68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65"/>
      <c r="R193" s="565"/>
      <c r="S193" s="565"/>
      <c r="T193" s="566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328</v>
      </c>
      <c r="B194" s="54" t="s">
        <v>329</v>
      </c>
      <c r="C194" s="31">
        <v>4301011768</v>
      </c>
      <c r="D194" s="558">
        <v>4680115881396</v>
      </c>
      <c r="E194" s="559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/>
      <c r="M194" s="33" t="s">
        <v>106</v>
      </c>
      <c r="N194" s="33"/>
      <c r="O194" s="32">
        <v>55</v>
      </c>
      <c r="P194" s="78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65"/>
      <c r="R194" s="565"/>
      <c r="S194" s="565"/>
      <c r="T194" s="566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0"/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61"/>
      <c r="P195" s="553" t="s">
        <v>75</v>
      </c>
      <c r="Q195" s="554"/>
      <c r="R195" s="554"/>
      <c r="S195" s="554"/>
      <c r="T195" s="554"/>
      <c r="U195" s="554"/>
      <c r="V195" s="555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hidden="1" x14ac:dyDescent="0.2">
      <c r="A196" s="557"/>
      <c r="B196" s="557"/>
      <c r="C196" s="557"/>
      <c r="D196" s="557"/>
      <c r="E196" s="557"/>
      <c r="F196" s="557"/>
      <c r="G196" s="557"/>
      <c r="H196" s="557"/>
      <c r="I196" s="557"/>
      <c r="J196" s="557"/>
      <c r="K196" s="557"/>
      <c r="L196" s="557"/>
      <c r="M196" s="557"/>
      <c r="N196" s="557"/>
      <c r="O196" s="561"/>
      <c r="P196" s="553" t="s">
        <v>75</v>
      </c>
      <c r="Q196" s="554"/>
      <c r="R196" s="554"/>
      <c r="S196" s="554"/>
      <c r="T196" s="554"/>
      <c r="U196" s="554"/>
      <c r="V196" s="555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hidden="1" customHeight="1" x14ac:dyDescent="0.25">
      <c r="A197" s="556" t="s">
        <v>137</v>
      </c>
      <c r="B197" s="557"/>
      <c r="C197" s="557"/>
      <c r="D197" s="557"/>
      <c r="E197" s="557"/>
      <c r="F197" s="557"/>
      <c r="G197" s="557"/>
      <c r="H197" s="557"/>
      <c r="I197" s="557"/>
      <c r="J197" s="557"/>
      <c r="K197" s="557"/>
      <c r="L197" s="557"/>
      <c r="M197" s="557"/>
      <c r="N197" s="557"/>
      <c r="O197" s="557"/>
      <c r="P197" s="557"/>
      <c r="Q197" s="557"/>
      <c r="R197" s="557"/>
      <c r="S197" s="557"/>
      <c r="T197" s="557"/>
      <c r="U197" s="557"/>
      <c r="V197" s="557"/>
      <c r="W197" s="557"/>
      <c r="X197" s="557"/>
      <c r="Y197" s="557"/>
      <c r="Z197" s="557"/>
      <c r="AA197" s="543"/>
      <c r="AB197" s="543"/>
      <c r="AC197" s="543"/>
    </row>
    <row r="198" spans="1:68" ht="16.5" hidden="1" customHeight="1" x14ac:dyDescent="0.25">
      <c r="A198" s="54" t="s">
        <v>330</v>
      </c>
      <c r="B198" s="54" t="s">
        <v>331</v>
      </c>
      <c r="C198" s="31">
        <v>4301020261</v>
      </c>
      <c r="D198" s="558">
        <v>4680115882935</v>
      </c>
      <c r="E198" s="559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63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65"/>
      <c r="R198" s="565"/>
      <c r="S198" s="565"/>
      <c r="T198" s="566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333</v>
      </c>
      <c r="B199" s="54" t="s">
        <v>334</v>
      </c>
      <c r="C199" s="31">
        <v>4301020220</v>
      </c>
      <c r="D199" s="558">
        <v>4680115880764</v>
      </c>
      <c r="E199" s="559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 t="s">
        <v>189</v>
      </c>
      <c r="M199" s="33" t="s">
        <v>106</v>
      </c>
      <c r="N199" s="33"/>
      <c r="O199" s="32">
        <v>50</v>
      </c>
      <c r="P199" s="58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65"/>
      <c r="R199" s="565"/>
      <c r="S199" s="565"/>
      <c r="T199" s="566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 t="s">
        <v>108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0"/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61"/>
      <c r="P200" s="553" t="s">
        <v>75</v>
      </c>
      <c r="Q200" s="554"/>
      <c r="R200" s="554"/>
      <c r="S200" s="554"/>
      <c r="T200" s="554"/>
      <c r="U200" s="554"/>
      <c r="V200" s="555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hidden="1" x14ac:dyDescent="0.2">
      <c r="A201" s="557"/>
      <c r="B201" s="557"/>
      <c r="C201" s="557"/>
      <c r="D201" s="557"/>
      <c r="E201" s="557"/>
      <c r="F201" s="557"/>
      <c r="G201" s="557"/>
      <c r="H201" s="557"/>
      <c r="I201" s="557"/>
      <c r="J201" s="557"/>
      <c r="K201" s="557"/>
      <c r="L201" s="557"/>
      <c r="M201" s="557"/>
      <c r="N201" s="557"/>
      <c r="O201" s="561"/>
      <c r="P201" s="553" t="s">
        <v>75</v>
      </c>
      <c r="Q201" s="554"/>
      <c r="R201" s="554"/>
      <c r="S201" s="554"/>
      <c r="T201" s="554"/>
      <c r="U201" s="554"/>
      <c r="V201" s="555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hidden="1" customHeight="1" x14ac:dyDescent="0.25">
      <c r="A202" s="556" t="s">
        <v>64</v>
      </c>
      <c r="B202" s="557"/>
      <c r="C202" s="557"/>
      <c r="D202" s="557"/>
      <c r="E202" s="557"/>
      <c r="F202" s="557"/>
      <c r="G202" s="557"/>
      <c r="H202" s="557"/>
      <c r="I202" s="557"/>
      <c r="J202" s="557"/>
      <c r="K202" s="557"/>
      <c r="L202" s="557"/>
      <c r="M202" s="557"/>
      <c r="N202" s="557"/>
      <c r="O202" s="557"/>
      <c r="P202" s="557"/>
      <c r="Q202" s="557"/>
      <c r="R202" s="557"/>
      <c r="S202" s="557"/>
      <c r="T202" s="557"/>
      <c r="U202" s="557"/>
      <c r="V202" s="557"/>
      <c r="W202" s="557"/>
      <c r="X202" s="557"/>
      <c r="Y202" s="557"/>
      <c r="Z202" s="557"/>
      <c r="AA202" s="543"/>
      <c r="AB202" s="543"/>
      <c r="AC202" s="543"/>
    </row>
    <row r="203" spans="1:68" ht="27" hidden="1" customHeight="1" x14ac:dyDescent="0.25">
      <c r="A203" s="54" t="s">
        <v>335</v>
      </c>
      <c r="B203" s="54" t="s">
        <v>336</v>
      </c>
      <c r="C203" s="31">
        <v>4301031224</v>
      </c>
      <c r="D203" s="558">
        <v>4680115882683</v>
      </c>
      <c r="E203" s="559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111</v>
      </c>
      <c r="L203" s="32" t="s">
        <v>112</v>
      </c>
      <c r="M203" s="33" t="s">
        <v>68</v>
      </c>
      <c r="N203" s="33"/>
      <c r="O203" s="32">
        <v>40</v>
      </c>
      <c r="P203" s="73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65"/>
      <c r="R203" s="565"/>
      <c r="S203" s="565"/>
      <c r="T203" s="566"/>
      <c r="U203" s="34"/>
      <c r="V203" s="34"/>
      <c r="W203" s="35" t="s">
        <v>69</v>
      </c>
      <c r="X203" s="547">
        <v>0</v>
      </c>
      <c r="Y203" s="548">
        <f t="shared" ref="Y203:Y210" si="15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337</v>
      </c>
      <c r="AG203" s="64"/>
      <c r="AJ203" s="68" t="s">
        <v>108</v>
      </c>
      <c r="AK203" s="68">
        <v>64.8</v>
      </c>
      <c r="BB203" s="244" t="s">
        <v>1</v>
      </c>
      <c r="BM203" s="64">
        <f t="shared" ref="BM203:BM210" si="16">IFERROR(X203*I203/H203,"0")</f>
        <v>0</v>
      </c>
      <c r="BN203" s="64">
        <f t="shared" ref="BN203:BN210" si="17">IFERROR(Y203*I203/H203,"0")</f>
        <v>0</v>
      </c>
      <c r="BO203" s="64">
        <f t="shared" ref="BO203:BO210" si="18">IFERROR(1/J203*(X203/H203),"0")</f>
        <v>0</v>
      </c>
      <c r="BP203" s="64">
        <f t="shared" ref="BP203:BP210" si="19">IFERROR(1/J203*(Y203/H203),"0")</f>
        <v>0</v>
      </c>
    </row>
    <row r="204" spans="1:68" ht="27" hidden="1" customHeight="1" x14ac:dyDescent="0.25">
      <c r="A204" s="54" t="s">
        <v>338</v>
      </c>
      <c r="B204" s="54" t="s">
        <v>339</v>
      </c>
      <c r="C204" s="31">
        <v>4301031230</v>
      </c>
      <c r="D204" s="558">
        <v>4680115882690</v>
      </c>
      <c r="E204" s="559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111</v>
      </c>
      <c r="L204" s="32" t="s">
        <v>112</v>
      </c>
      <c r="M204" s="33" t="s">
        <v>68</v>
      </c>
      <c r="N204" s="33"/>
      <c r="O204" s="32">
        <v>40</v>
      </c>
      <c r="P204" s="7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65"/>
      <c r="R204" s="565"/>
      <c r="S204" s="565"/>
      <c r="T204" s="566"/>
      <c r="U204" s="34"/>
      <c r="V204" s="34"/>
      <c r="W204" s="35" t="s">
        <v>69</v>
      </c>
      <c r="X204" s="547">
        <v>0</v>
      </c>
      <c r="Y204" s="548">
        <f t="shared" si="15"/>
        <v>0</v>
      </c>
      <c r="Z204" s="36" t="str">
        <f>IFERROR(IF(Y204=0,"",ROUNDUP(Y204/H204,0)*0.00902),"")</f>
        <v/>
      </c>
      <c r="AA204" s="56"/>
      <c r="AB204" s="57"/>
      <c r="AC204" s="245" t="s">
        <v>340</v>
      </c>
      <c r="AG204" s="64"/>
      <c r="AJ204" s="68" t="s">
        <v>108</v>
      </c>
      <c r="AK204" s="68">
        <v>64.8</v>
      </c>
      <c r="BB204" s="246" t="s">
        <v>1</v>
      </c>
      <c r="BM204" s="64">
        <f t="shared" si="16"/>
        <v>0</v>
      </c>
      <c r="BN204" s="64">
        <f t="shared" si="17"/>
        <v>0</v>
      </c>
      <c r="BO204" s="64">
        <f t="shared" si="18"/>
        <v>0</v>
      </c>
      <c r="BP204" s="64">
        <f t="shared" si="19"/>
        <v>0</v>
      </c>
    </row>
    <row r="205" spans="1:68" ht="27" hidden="1" customHeight="1" x14ac:dyDescent="0.25">
      <c r="A205" s="54" t="s">
        <v>341</v>
      </c>
      <c r="B205" s="54" t="s">
        <v>342</v>
      </c>
      <c r="C205" s="31">
        <v>4301031220</v>
      </c>
      <c r="D205" s="558">
        <v>4680115882669</v>
      </c>
      <c r="E205" s="559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78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65"/>
      <c r="R205" s="565"/>
      <c r="S205" s="565"/>
      <c r="T205" s="566"/>
      <c r="U205" s="34"/>
      <c r="V205" s="34"/>
      <c r="W205" s="35" t="s">
        <v>69</v>
      </c>
      <c r="X205" s="547">
        <v>0</v>
      </c>
      <c r="Y205" s="548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343</v>
      </c>
      <c r="AG205" s="64"/>
      <c r="AJ205" s="68" t="s">
        <v>108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hidden="1" customHeight="1" x14ac:dyDescent="0.25">
      <c r="A206" s="54" t="s">
        <v>344</v>
      </c>
      <c r="B206" s="54" t="s">
        <v>345</v>
      </c>
      <c r="C206" s="31">
        <v>4301031221</v>
      </c>
      <c r="D206" s="558">
        <v>4680115882676</v>
      </c>
      <c r="E206" s="559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65"/>
      <c r="R206" s="565"/>
      <c r="S206" s="565"/>
      <c r="T206" s="566"/>
      <c r="U206" s="34"/>
      <c r="V206" s="34"/>
      <c r="W206" s="35" t="s">
        <v>69</v>
      </c>
      <c r="X206" s="547">
        <v>0</v>
      </c>
      <c r="Y206" s="548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346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347</v>
      </c>
      <c r="B207" s="54" t="s">
        <v>348</v>
      </c>
      <c r="C207" s="31">
        <v>4301031223</v>
      </c>
      <c r="D207" s="558">
        <v>4680115884014</v>
      </c>
      <c r="E207" s="559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73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65"/>
      <c r="R207" s="565"/>
      <c r="S207" s="565"/>
      <c r="T207" s="566"/>
      <c r="U207" s="34"/>
      <c r="V207" s="34"/>
      <c r="W207" s="35" t="s">
        <v>69</v>
      </c>
      <c r="X207" s="547">
        <v>0</v>
      </c>
      <c r="Y207" s="548">
        <f t="shared" si="15"/>
        <v>0</v>
      </c>
      <c r="Z207" s="36" t="str">
        <f>IFERROR(IF(Y207=0,"",ROUNDUP(Y207/H207,0)*0.00502),"")</f>
        <v/>
      </c>
      <c r="AA207" s="56"/>
      <c r="AB207" s="57"/>
      <c r="AC207" s="251" t="s">
        <v>337</v>
      </c>
      <c r="AG207" s="64"/>
      <c r="AJ207" s="68" t="s">
        <v>108</v>
      </c>
      <c r="AK207" s="68">
        <v>32.4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4301031222</v>
      </c>
      <c r="D208" s="558">
        <v>4680115884007</v>
      </c>
      <c r="E208" s="559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7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65"/>
      <c r="R208" s="565"/>
      <c r="S208" s="565"/>
      <c r="T208" s="566"/>
      <c r="U208" s="34"/>
      <c r="V208" s="34"/>
      <c r="W208" s="35" t="s">
        <v>69</v>
      </c>
      <c r="X208" s="547">
        <v>0</v>
      </c>
      <c r="Y208" s="548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 t="s">
        <v>108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4301031229</v>
      </c>
      <c r="D209" s="558">
        <v>4680115884038</v>
      </c>
      <c r="E209" s="559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84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65"/>
      <c r="R209" s="565"/>
      <c r="S209" s="565"/>
      <c r="T209" s="566"/>
      <c r="U209" s="34"/>
      <c r="V209" s="34"/>
      <c r="W209" s="35" t="s">
        <v>69</v>
      </c>
      <c r="X209" s="547">
        <v>0</v>
      </c>
      <c r="Y209" s="548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4301031225</v>
      </c>
      <c r="D210" s="558">
        <v>4680115884021</v>
      </c>
      <c r="E210" s="559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5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65"/>
      <c r="R210" s="565"/>
      <c r="S210" s="565"/>
      <c r="T210" s="566"/>
      <c r="U210" s="34"/>
      <c r="V210" s="34"/>
      <c r="W210" s="35" t="s">
        <v>69</v>
      </c>
      <c r="X210" s="547">
        <v>0</v>
      </c>
      <c r="Y210" s="548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346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idden="1" x14ac:dyDescent="0.2">
      <c r="A211" s="560"/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61"/>
      <c r="P211" s="553" t="s">
        <v>75</v>
      </c>
      <c r="Q211" s="554"/>
      <c r="R211" s="554"/>
      <c r="S211" s="554"/>
      <c r="T211" s="554"/>
      <c r="U211" s="554"/>
      <c r="V211" s="555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0</v>
      </c>
      <c r="Y211" s="549">
        <f>IFERROR(Y203/H203,"0")+IFERROR(Y204/H204,"0")+IFERROR(Y205/H205,"0")+IFERROR(Y206/H206,"0")+IFERROR(Y207/H207,"0")+IFERROR(Y208/H208,"0")+IFERROR(Y209/H209,"0")+IFERROR(Y210/H210,"0")</f>
        <v>0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50"/>
      <c r="AB211" s="550"/>
      <c r="AC211" s="550"/>
    </row>
    <row r="212" spans="1:68" hidden="1" x14ac:dyDescent="0.2">
      <c r="A212" s="557"/>
      <c r="B212" s="557"/>
      <c r="C212" s="557"/>
      <c r="D212" s="557"/>
      <c r="E212" s="557"/>
      <c r="F212" s="557"/>
      <c r="G212" s="557"/>
      <c r="H212" s="557"/>
      <c r="I212" s="557"/>
      <c r="J212" s="557"/>
      <c r="K212" s="557"/>
      <c r="L212" s="557"/>
      <c r="M212" s="557"/>
      <c r="N212" s="557"/>
      <c r="O212" s="561"/>
      <c r="P212" s="553" t="s">
        <v>75</v>
      </c>
      <c r="Q212" s="554"/>
      <c r="R212" s="554"/>
      <c r="S212" s="554"/>
      <c r="T212" s="554"/>
      <c r="U212" s="554"/>
      <c r="V212" s="555"/>
      <c r="W212" s="37" t="s">
        <v>69</v>
      </c>
      <c r="X212" s="549">
        <f>IFERROR(SUM(X203:X210),"0")</f>
        <v>0</v>
      </c>
      <c r="Y212" s="549">
        <f>IFERROR(SUM(Y203:Y210),"0")</f>
        <v>0</v>
      </c>
      <c r="Z212" s="37"/>
      <c r="AA212" s="550"/>
      <c r="AB212" s="550"/>
      <c r="AC212" s="550"/>
    </row>
    <row r="213" spans="1:68" ht="14.25" hidden="1" customHeight="1" x14ac:dyDescent="0.25">
      <c r="A213" s="556" t="s">
        <v>77</v>
      </c>
      <c r="B213" s="557"/>
      <c r="C213" s="557"/>
      <c r="D213" s="557"/>
      <c r="E213" s="557"/>
      <c r="F213" s="557"/>
      <c r="G213" s="557"/>
      <c r="H213" s="557"/>
      <c r="I213" s="557"/>
      <c r="J213" s="557"/>
      <c r="K213" s="557"/>
      <c r="L213" s="557"/>
      <c r="M213" s="557"/>
      <c r="N213" s="557"/>
      <c r="O213" s="557"/>
      <c r="P213" s="557"/>
      <c r="Q213" s="557"/>
      <c r="R213" s="557"/>
      <c r="S213" s="557"/>
      <c r="T213" s="557"/>
      <c r="U213" s="557"/>
      <c r="V213" s="557"/>
      <c r="W213" s="557"/>
      <c r="X213" s="557"/>
      <c r="Y213" s="557"/>
      <c r="Z213" s="557"/>
      <c r="AA213" s="543"/>
      <c r="AB213" s="543"/>
      <c r="AC213" s="543"/>
    </row>
    <row r="214" spans="1:68" ht="27" hidden="1" customHeight="1" x14ac:dyDescent="0.25">
      <c r="A214" s="54" t="s">
        <v>355</v>
      </c>
      <c r="B214" s="54" t="s">
        <v>356</v>
      </c>
      <c r="C214" s="31">
        <v>4301051408</v>
      </c>
      <c r="D214" s="558">
        <v>4680115881594</v>
      </c>
      <c r="E214" s="559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 t="s">
        <v>105</v>
      </c>
      <c r="M214" s="33" t="s">
        <v>80</v>
      </c>
      <c r="N214" s="33"/>
      <c r="O214" s="32">
        <v>40</v>
      </c>
      <c r="P214" s="6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65"/>
      <c r="R214" s="565"/>
      <c r="S214" s="565"/>
      <c r="T214" s="566"/>
      <c r="U214" s="34"/>
      <c r="V214" s="34"/>
      <c r="W214" s="35" t="s">
        <v>69</v>
      </c>
      <c r="X214" s="547">
        <v>0</v>
      </c>
      <c r="Y214" s="548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 t="s">
        <v>108</v>
      </c>
      <c r="AK214" s="68">
        <v>64.8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4301051411</v>
      </c>
      <c r="D215" s="558">
        <v>4680115881617</v>
      </c>
      <c r="E215" s="559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 t="s">
        <v>105</v>
      </c>
      <c r="M215" s="33" t="s">
        <v>80</v>
      </c>
      <c r="N215" s="33"/>
      <c r="O215" s="32">
        <v>40</v>
      </c>
      <c r="P215" s="85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65"/>
      <c r="R215" s="565"/>
      <c r="S215" s="565"/>
      <c r="T215" s="566"/>
      <c r="U215" s="34"/>
      <c r="V215" s="34"/>
      <c r="W215" s="35" t="s">
        <v>69</v>
      </c>
      <c r="X215" s="547">
        <v>0</v>
      </c>
      <c r="Y215" s="548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 t="s">
        <v>108</v>
      </c>
      <c r="AK215" s="68">
        <v>64.8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4301051656</v>
      </c>
      <c r="D216" s="558">
        <v>4680115880573</v>
      </c>
      <c r="E216" s="559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4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65"/>
      <c r="R216" s="565"/>
      <c r="S216" s="565"/>
      <c r="T216" s="566"/>
      <c r="U216" s="34"/>
      <c r="V216" s="34"/>
      <c r="W216" s="35" t="s">
        <v>69</v>
      </c>
      <c r="X216" s="547">
        <v>0</v>
      </c>
      <c r="Y216" s="548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363</v>
      </c>
      <c r="AG216" s="64"/>
      <c r="AJ216" s="68" t="s">
        <v>108</v>
      </c>
      <c r="AK216" s="68">
        <v>69.599999999999994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hidden="1" customHeight="1" x14ac:dyDescent="0.25">
      <c r="A217" s="54" t="s">
        <v>364</v>
      </c>
      <c r="B217" s="54" t="s">
        <v>365</v>
      </c>
      <c r="C217" s="31">
        <v>4301051407</v>
      </c>
      <c r="D217" s="558">
        <v>4680115882195</v>
      </c>
      <c r="E217" s="559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189</v>
      </c>
      <c r="M217" s="33" t="s">
        <v>80</v>
      </c>
      <c r="N217" s="33"/>
      <c r="O217" s="32">
        <v>40</v>
      </c>
      <c r="P217" s="62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65"/>
      <c r="R217" s="565"/>
      <c r="S217" s="565"/>
      <c r="T217" s="566"/>
      <c r="U217" s="34"/>
      <c r="V217" s="34"/>
      <c r="W217" s="35" t="s">
        <v>69</v>
      </c>
      <c r="X217" s="547">
        <v>0</v>
      </c>
      <c r="Y217" s="548">
        <f t="shared" si="20"/>
        <v>0</v>
      </c>
      <c r="Z217" s="36" t="str">
        <f t="shared" ref="Z217:Z222" si="25">IFERROR(IF(Y217=0,"",ROUNDUP(Y217/H217,0)*0.00651),"")</f>
        <v/>
      </c>
      <c r="AA217" s="56"/>
      <c r="AB217" s="57"/>
      <c r="AC217" s="265" t="s">
        <v>357</v>
      </c>
      <c r="AG217" s="64"/>
      <c r="AJ217" s="68" t="s">
        <v>108</v>
      </c>
      <c r="AK217" s="68">
        <v>33.6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4301051752</v>
      </c>
      <c r="D218" s="558">
        <v>4680115882607</v>
      </c>
      <c r="E218" s="559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57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65"/>
      <c r="R218" s="565"/>
      <c r="S218" s="565"/>
      <c r="T218" s="566"/>
      <c r="U218" s="34"/>
      <c r="V218" s="34"/>
      <c r="W218" s="35" t="s">
        <v>69</v>
      </c>
      <c r="X218" s="547">
        <v>0</v>
      </c>
      <c r="Y218" s="548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58">
        <v>4680115880092</v>
      </c>
      <c r="E219" s="559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189</v>
      </c>
      <c r="M219" s="33" t="s">
        <v>80</v>
      </c>
      <c r="N219" s="33"/>
      <c r="O219" s="32">
        <v>45</v>
      </c>
      <c r="P219" s="75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65"/>
      <c r="R219" s="565"/>
      <c r="S219" s="565"/>
      <c r="T219" s="566"/>
      <c r="U219" s="34"/>
      <c r="V219" s="34"/>
      <c r="W219" s="35" t="s">
        <v>69</v>
      </c>
      <c r="X219" s="547">
        <v>80</v>
      </c>
      <c r="Y219" s="548">
        <f t="shared" si="20"/>
        <v>81.599999999999994</v>
      </c>
      <c r="Z219" s="36">
        <f t="shared" si="25"/>
        <v>0.22134000000000001</v>
      </c>
      <c r="AA219" s="56"/>
      <c r="AB219" s="57"/>
      <c r="AC219" s="269" t="s">
        <v>363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88.40000000000002</v>
      </c>
      <c r="BN219" s="64">
        <f t="shared" si="22"/>
        <v>90.168000000000006</v>
      </c>
      <c r="BO219" s="64">
        <f t="shared" si="23"/>
        <v>0.18315018315018317</v>
      </c>
      <c r="BP219" s="64">
        <f t="shared" si="24"/>
        <v>0.18681318681318682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4301051668</v>
      </c>
      <c r="D220" s="558">
        <v>4680115880221</v>
      </c>
      <c r="E220" s="559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189</v>
      </c>
      <c r="M220" s="33" t="s">
        <v>80</v>
      </c>
      <c r="N220" s="33"/>
      <c r="O220" s="32">
        <v>45</v>
      </c>
      <c r="P220" s="86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65"/>
      <c r="R220" s="565"/>
      <c r="S220" s="565"/>
      <c r="T220" s="566"/>
      <c r="U220" s="34"/>
      <c r="V220" s="34"/>
      <c r="W220" s="35" t="s">
        <v>69</v>
      </c>
      <c r="X220" s="547">
        <v>0</v>
      </c>
      <c r="Y220" s="548">
        <f t="shared" si="20"/>
        <v>0</v>
      </c>
      <c r="Z220" s="36" t="str">
        <f t="shared" si="25"/>
        <v/>
      </c>
      <c r="AA220" s="56"/>
      <c r="AB220" s="57"/>
      <c r="AC220" s="271" t="s">
        <v>363</v>
      </c>
      <c r="AG220" s="64"/>
      <c r="AJ220" s="68" t="s">
        <v>108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4301051945</v>
      </c>
      <c r="D221" s="558">
        <v>4680115880504</v>
      </c>
      <c r="E221" s="559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189</v>
      </c>
      <c r="M221" s="33" t="s">
        <v>86</v>
      </c>
      <c r="N221" s="33"/>
      <c r="O221" s="32">
        <v>40</v>
      </c>
      <c r="P221" s="85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65"/>
      <c r="R221" s="565"/>
      <c r="S221" s="565"/>
      <c r="T221" s="566"/>
      <c r="U221" s="34"/>
      <c r="V221" s="34"/>
      <c r="W221" s="35" t="s">
        <v>69</v>
      </c>
      <c r="X221" s="547">
        <v>0</v>
      </c>
      <c r="Y221" s="548">
        <f t="shared" si="20"/>
        <v>0</v>
      </c>
      <c r="Z221" s="36" t="str">
        <f t="shared" si="25"/>
        <v/>
      </c>
      <c r="AA221" s="56"/>
      <c r="AB221" s="57"/>
      <c r="AC221" s="273" t="s">
        <v>374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4301051410</v>
      </c>
      <c r="D222" s="558">
        <v>4680115882164</v>
      </c>
      <c r="E222" s="559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189</v>
      </c>
      <c r="M222" s="33" t="s">
        <v>80</v>
      </c>
      <c r="N222" s="33"/>
      <c r="O222" s="32">
        <v>40</v>
      </c>
      <c r="P222" s="6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65"/>
      <c r="R222" s="565"/>
      <c r="S222" s="565"/>
      <c r="T222" s="566"/>
      <c r="U222" s="34"/>
      <c r="V222" s="34"/>
      <c r="W222" s="35" t="s">
        <v>69</v>
      </c>
      <c r="X222" s="547">
        <v>0</v>
      </c>
      <c r="Y222" s="548">
        <f t="shared" si="20"/>
        <v>0</v>
      </c>
      <c r="Z222" s="36" t="str">
        <f t="shared" si="25"/>
        <v/>
      </c>
      <c r="AA222" s="56"/>
      <c r="AB222" s="57"/>
      <c r="AC222" s="275" t="s">
        <v>360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x14ac:dyDescent="0.2">
      <c r="A223" s="560"/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61"/>
      <c r="P223" s="553" t="s">
        <v>75</v>
      </c>
      <c r="Q223" s="554"/>
      <c r="R223" s="554"/>
      <c r="S223" s="554"/>
      <c r="T223" s="554"/>
      <c r="U223" s="554"/>
      <c r="V223" s="555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33.333333333333336</v>
      </c>
      <c r="Y223" s="549">
        <f>IFERROR(Y214/H214,"0")+IFERROR(Y215/H215,"0")+IFERROR(Y216/H216,"0")+IFERROR(Y217/H217,"0")+IFERROR(Y218/H218,"0")+IFERROR(Y219/H219,"0")+IFERROR(Y220/H220,"0")+IFERROR(Y221/H221,"0")+IFERROR(Y222/H222,"0")</f>
        <v>34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0.22134000000000001</v>
      </c>
      <c r="AA223" s="550"/>
      <c r="AB223" s="550"/>
      <c r="AC223" s="550"/>
    </row>
    <row r="224" spans="1:68" x14ac:dyDescent="0.2">
      <c r="A224" s="557"/>
      <c r="B224" s="557"/>
      <c r="C224" s="557"/>
      <c r="D224" s="557"/>
      <c r="E224" s="557"/>
      <c r="F224" s="557"/>
      <c r="G224" s="557"/>
      <c r="H224" s="557"/>
      <c r="I224" s="557"/>
      <c r="J224" s="557"/>
      <c r="K224" s="557"/>
      <c r="L224" s="557"/>
      <c r="M224" s="557"/>
      <c r="N224" s="557"/>
      <c r="O224" s="561"/>
      <c r="P224" s="553" t="s">
        <v>75</v>
      </c>
      <c r="Q224" s="554"/>
      <c r="R224" s="554"/>
      <c r="S224" s="554"/>
      <c r="T224" s="554"/>
      <c r="U224" s="554"/>
      <c r="V224" s="555"/>
      <c r="W224" s="37" t="s">
        <v>69</v>
      </c>
      <c r="X224" s="549">
        <f>IFERROR(SUM(X214:X222),"0")</f>
        <v>80</v>
      </c>
      <c r="Y224" s="549">
        <f>IFERROR(SUM(Y214:Y222),"0")</f>
        <v>81.599999999999994</v>
      </c>
      <c r="Z224" s="37"/>
      <c r="AA224" s="550"/>
      <c r="AB224" s="550"/>
      <c r="AC224" s="550"/>
    </row>
    <row r="225" spans="1:68" ht="14.25" hidden="1" customHeight="1" x14ac:dyDescent="0.25">
      <c r="A225" s="556" t="s">
        <v>162</v>
      </c>
      <c r="B225" s="557"/>
      <c r="C225" s="557"/>
      <c r="D225" s="557"/>
      <c r="E225" s="557"/>
      <c r="F225" s="557"/>
      <c r="G225" s="557"/>
      <c r="H225" s="557"/>
      <c r="I225" s="557"/>
      <c r="J225" s="557"/>
      <c r="K225" s="557"/>
      <c r="L225" s="557"/>
      <c r="M225" s="557"/>
      <c r="N225" s="557"/>
      <c r="O225" s="557"/>
      <c r="P225" s="557"/>
      <c r="Q225" s="557"/>
      <c r="R225" s="557"/>
      <c r="S225" s="557"/>
      <c r="T225" s="557"/>
      <c r="U225" s="557"/>
      <c r="V225" s="557"/>
      <c r="W225" s="557"/>
      <c r="X225" s="557"/>
      <c r="Y225" s="557"/>
      <c r="Z225" s="557"/>
      <c r="AA225" s="543"/>
      <c r="AB225" s="543"/>
      <c r="AC225" s="543"/>
    </row>
    <row r="226" spans="1:68" ht="27" hidden="1" customHeight="1" x14ac:dyDescent="0.25">
      <c r="A226" s="54" t="s">
        <v>377</v>
      </c>
      <c r="B226" s="54" t="s">
        <v>378</v>
      </c>
      <c r="C226" s="31">
        <v>4301060463</v>
      </c>
      <c r="D226" s="558">
        <v>4680115880818</v>
      </c>
      <c r="E226" s="559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 t="s">
        <v>189</v>
      </c>
      <c r="M226" s="33" t="s">
        <v>86</v>
      </c>
      <c r="N226" s="33"/>
      <c r="O226" s="32">
        <v>40</v>
      </c>
      <c r="P226" s="7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65"/>
      <c r="R226" s="565"/>
      <c r="S226" s="565"/>
      <c r="T226" s="566"/>
      <c r="U226" s="34"/>
      <c r="V226" s="34"/>
      <c r="W226" s="35" t="s">
        <v>69</v>
      </c>
      <c r="X226" s="547">
        <v>0</v>
      </c>
      <c r="Y226" s="548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379</v>
      </c>
      <c r="AG226" s="64"/>
      <c r="AJ226" s="68" t="s">
        <v>108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380</v>
      </c>
      <c r="B227" s="54" t="s">
        <v>381</v>
      </c>
      <c r="C227" s="31">
        <v>4301060389</v>
      </c>
      <c r="D227" s="558">
        <v>4680115880801</v>
      </c>
      <c r="E227" s="559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 t="s">
        <v>189</v>
      </c>
      <c r="M227" s="33" t="s">
        <v>80</v>
      </c>
      <c r="N227" s="33"/>
      <c r="O227" s="32">
        <v>40</v>
      </c>
      <c r="P227" s="67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65"/>
      <c r="R227" s="565"/>
      <c r="S227" s="565"/>
      <c r="T227" s="566"/>
      <c r="U227" s="34"/>
      <c r="V227" s="34"/>
      <c r="W227" s="35" t="s">
        <v>69</v>
      </c>
      <c r="X227" s="547">
        <v>0</v>
      </c>
      <c r="Y227" s="54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382</v>
      </c>
      <c r="AG227" s="64"/>
      <c r="AJ227" s="68" t="s">
        <v>108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60"/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61"/>
      <c r="P228" s="553" t="s">
        <v>75</v>
      </c>
      <c r="Q228" s="554"/>
      <c r="R228" s="554"/>
      <c r="S228" s="554"/>
      <c r="T228" s="554"/>
      <c r="U228" s="554"/>
      <c r="V228" s="555"/>
      <c r="W228" s="37" t="s">
        <v>76</v>
      </c>
      <c r="X228" s="549">
        <f>IFERROR(X226/H226,"0")+IFERROR(X227/H227,"0")</f>
        <v>0</v>
      </c>
      <c r="Y228" s="549">
        <f>IFERROR(Y226/H226,"0")+IFERROR(Y227/H227,"0")</f>
        <v>0</v>
      </c>
      <c r="Z228" s="549">
        <f>IFERROR(IF(Z226="",0,Z226),"0")+IFERROR(IF(Z227="",0,Z227),"0")</f>
        <v>0</v>
      </c>
      <c r="AA228" s="550"/>
      <c r="AB228" s="550"/>
      <c r="AC228" s="550"/>
    </row>
    <row r="229" spans="1:68" hidden="1" x14ac:dyDescent="0.2">
      <c r="A229" s="557"/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61"/>
      <c r="P229" s="553" t="s">
        <v>75</v>
      </c>
      <c r="Q229" s="554"/>
      <c r="R229" s="554"/>
      <c r="S229" s="554"/>
      <c r="T229" s="554"/>
      <c r="U229" s="554"/>
      <c r="V229" s="555"/>
      <c r="W229" s="37" t="s">
        <v>69</v>
      </c>
      <c r="X229" s="549">
        <f>IFERROR(SUM(X226:X227),"0")</f>
        <v>0</v>
      </c>
      <c r="Y229" s="549">
        <f>IFERROR(SUM(Y226:Y227),"0")</f>
        <v>0</v>
      </c>
      <c r="Z229" s="37"/>
      <c r="AA229" s="550"/>
      <c r="AB229" s="550"/>
      <c r="AC229" s="550"/>
    </row>
    <row r="230" spans="1:68" ht="16.5" hidden="1" customHeight="1" x14ac:dyDescent="0.25">
      <c r="A230" s="590" t="s">
        <v>383</v>
      </c>
      <c r="B230" s="557"/>
      <c r="C230" s="557"/>
      <c r="D230" s="557"/>
      <c r="E230" s="557"/>
      <c r="F230" s="557"/>
      <c r="G230" s="557"/>
      <c r="H230" s="557"/>
      <c r="I230" s="557"/>
      <c r="J230" s="557"/>
      <c r="K230" s="557"/>
      <c r="L230" s="557"/>
      <c r="M230" s="557"/>
      <c r="N230" s="557"/>
      <c r="O230" s="557"/>
      <c r="P230" s="557"/>
      <c r="Q230" s="557"/>
      <c r="R230" s="557"/>
      <c r="S230" s="557"/>
      <c r="T230" s="557"/>
      <c r="U230" s="557"/>
      <c r="V230" s="557"/>
      <c r="W230" s="557"/>
      <c r="X230" s="557"/>
      <c r="Y230" s="557"/>
      <c r="Z230" s="557"/>
      <c r="AA230" s="542"/>
      <c r="AB230" s="542"/>
      <c r="AC230" s="542"/>
    </row>
    <row r="231" spans="1:68" ht="14.25" hidden="1" customHeight="1" x14ac:dyDescent="0.25">
      <c r="A231" s="556" t="s">
        <v>101</v>
      </c>
      <c r="B231" s="557"/>
      <c r="C231" s="557"/>
      <c r="D231" s="557"/>
      <c r="E231" s="557"/>
      <c r="F231" s="557"/>
      <c r="G231" s="557"/>
      <c r="H231" s="557"/>
      <c r="I231" s="557"/>
      <c r="J231" s="557"/>
      <c r="K231" s="557"/>
      <c r="L231" s="557"/>
      <c r="M231" s="557"/>
      <c r="N231" s="557"/>
      <c r="O231" s="557"/>
      <c r="P231" s="557"/>
      <c r="Q231" s="557"/>
      <c r="R231" s="557"/>
      <c r="S231" s="557"/>
      <c r="T231" s="557"/>
      <c r="U231" s="557"/>
      <c r="V231" s="557"/>
      <c r="W231" s="557"/>
      <c r="X231" s="557"/>
      <c r="Y231" s="557"/>
      <c r="Z231" s="557"/>
      <c r="AA231" s="543"/>
      <c r="AB231" s="543"/>
      <c r="AC231" s="543"/>
    </row>
    <row r="232" spans="1:68" ht="27" hidden="1" customHeight="1" x14ac:dyDescent="0.25">
      <c r="A232" s="54" t="s">
        <v>384</v>
      </c>
      <c r="B232" s="54" t="s">
        <v>385</v>
      </c>
      <c r="C232" s="31">
        <v>4301011826</v>
      </c>
      <c r="D232" s="558">
        <v>4680115884137</v>
      </c>
      <c r="E232" s="559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 t="s">
        <v>105</v>
      </c>
      <c r="M232" s="33" t="s">
        <v>106</v>
      </c>
      <c r="N232" s="33"/>
      <c r="O232" s="32">
        <v>55</v>
      </c>
      <c r="P232" s="87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65"/>
      <c r="R232" s="565"/>
      <c r="S232" s="565"/>
      <c r="T232" s="566"/>
      <c r="U232" s="34"/>
      <c r="V232" s="34"/>
      <c r="W232" s="35" t="s">
        <v>69</v>
      </c>
      <c r="X232" s="547">
        <v>0</v>
      </c>
      <c r="Y232" s="548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 t="s">
        <v>108</v>
      </c>
      <c r="AK232" s="68">
        <v>92.8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hidden="1" customHeight="1" x14ac:dyDescent="0.25">
      <c r="A233" s="54" t="s">
        <v>387</v>
      </c>
      <c r="B233" s="54" t="s">
        <v>388</v>
      </c>
      <c r="C233" s="31">
        <v>4301011724</v>
      </c>
      <c r="D233" s="558">
        <v>4680115884236</v>
      </c>
      <c r="E233" s="559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2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65"/>
      <c r="R233" s="565"/>
      <c r="S233" s="565"/>
      <c r="T233" s="566"/>
      <c r="U233" s="34"/>
      <c r="V233" s="34"/>
      <c r="W233" s="35" t="s">
        <v>69</v>
      </c>
      <c r="X233" s="547">
        <v>0</v>
      </c>
      <c r="Y233" s="548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hidden="1" customHeight="1" x14ac:dyDescent="0.25">
      <c r="A234" s="54" t="s">
        <v>390</v>
      </c>
      <c r="B234" s="54" t="s">
        <v>391</v>
      </c>
      <c r="C234" s="31">
        <v>4301011721</v>
      </c>
      <c r="D234" s="558">
        <v>4680115884175</v>
      </c>
      <c r="E234" s="559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82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65"/>
      <c r="R234" s="565"/>
      <c r="S234" s="565"/>
      <c r="T234" s="566"/>
      <c r="U234" s="34"/>
      <c r="V234" s="34"/>
      <c r="W234" s="35" t="s">
        <v>69</v>
      </c>
      <c r="X234" s="547">
        <v>0</v>
      </c>
      <c r="Y234" s="548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4301011824</v>
      </c>
      <c r="D235" s="558">
        <v>4680115884144</v>
      </c>
      <c r="E235" s="559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111</v>
      </c>
      <c r="L235" s="32"/>
      <c r="M235" s="33" t="s">
        <v>106</v>
      </c>
      <c r="N235" s="33"/>
      <c r="O235" s="32">
        <v>55</v>
      </c>
      <c r="P235" s="72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65"/>
      <c r="R235" s="565"/>
      <c r="S235" s="565"/>
      <c r="T235" s="566"/>
      <c r="U235" s="34"/>
      <c r="V235" s="34"/>
      <c r="W235" s="35" t="s">
        <v>69</v>
      </c>
      <c r="X235" s="547">
        <v>0</v>
      </c>
      <c r="Y235" s="548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393</v>
      </c>
      <c r="B236" s="54" t="s">
        <v>395</v>
      </c>
      <c r="C236" s="31">
        <v>4301012196</v>
      </c>
      <c r="D236" s="558">
        <v>4680115884144</v>
      </c>
      <c r="E236" s="559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111</v>
      </c>
      <c r="L236" s="32"/>
      <c r="M236" s="33" t="s">
        <v>106</v>
      </c>
      <c r="N236" s="33"/>
      <c r="O236" s="32">
        <v>55</v>
      </c>
      <c r="P236" s="83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65"/>
      <c r="R236" s="565"/>
      <c r="S236" s="565"/>
      <c r="T236" s="566"/>
      <c r="U236" s="34"/>
      <c r="V236" s="34"/>
      <c r="W236" s="35" t="s">
        <v>69</v>
      </c>
      <c r="X236" s="547">
        <v>0</v>
      </c>
      <c r="Y236" s="548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396</v>
      </c>
      <c r="B237" s="54" t="s">
        <v>397</v>
      </c>
      <c r="C237" s="31">
        <v>4301012149</v>
      </c>
      <c r="D237" s="558">
        <v>4680115886551</v>
      </c>
      <c r="E237" s="559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8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65"/>
      <c r="R237" s="565"/>
      <c r="S237" s="565"/>
      <c r="T237" s="566"/>
      <c r="U237" s="34"/>
      <c r="V237" s="34"/>
      <c r="W237" s="35" t="s">
        <v>69</v>
      </c>
      <c r="X237" s="547">
        <v>0</v>
      </c>
      <c r="Y237" s="548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399</v>
      </c>
      <c r="B238" s="54" t="s">
        <v>400</v>
      </c>
      <c r="C238" s="31">
        <v>4301012228</v>
      </c>
      <c r="D238" s="558">
        <v>4680115887282</v>
      </c>
      <c r="E238" s="559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2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65"/>
      <c r="R238" s="565"/>
      <c r="S238" s="565"/>
      <c r="T238" s="566"/>
      <c r="U238" s="34"/>
      <c r="V238" s="34"/>
      <c r="W238" s="35" t="s">
        <v>69</v>
      </c>
      <c r="X238" s="547">
        <v>0</v>
      </c>
      <c r="Y238" s="548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401</v>
      </c>
      <c r="B239" s="54" t="s">
        <v>402</v>
      </c>
      <c r="C239" s="31">
        <v>4301011722</v>
      </c>
      <c r="D239" s="558">
        <v>4680115884205</v>
      </c>
      <c r="E239" s="559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6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65"/>
      <c r="R239" s="565"/>
      <c r="S239" s="565"/>
      <c r="T239" s="566"/>
      <c r="U239" s="34"/>
      <c r="V239" s="34"/>
      <c r="W239" s="35" t="s">
        <v>69</v>
      </c>
      <c r="X239" s="547">
        <v>0</v>
      </c>
      <c r="Y239" s="548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403</v>
      </c>
      <c r="C240" s="31">
        <v>4301012195</v>
      </c>
      <c r="D240" s="558">
        <v>4680115884205</v>
      </c>
      <c r="E240" s="559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111</v>
      </c>
      <c r="L240" s="32"/>
      <c r="M240" s="33" t="s">
        <v>106</v>
      </c>
      <c r="N240" s="33"/>
      <c r="O240" s="32">
        <v>55</v>
      </c>
      <c r="P240" s="81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65"/>
      <c r="R240" s="565"/>
      <c r="S240" s="565"/>
      <c r="T240" s="566"/>
      <c r="U240" s="34"/>
      <c r="V240" s="34"/>
      <c r="W240" s="35" t="s">
        <v>69</v>
      </c>
      <c r="X240" s="547">
        <v>0</v>
      </c>
      <c r="Y240" s="548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idden="1" x14ac:dyDescent="0.2">
      <c r="A241" s="560"/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61"/>
      <c r="P241" s="553" t="s">
        <v>75</v>
      </c>
      <c r="Q241" s="554"/>
      <c r="R241" s="554"/>
      <c r="S241" s="554"/>
      <c r="T241" s="554"/>
      <c r="U241" s="554"/>
      <c r="V241" s="555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hidden="1" x14ac:dyDescent="0.2">
      <c r="A242" s="557"/>
      <c r="B242" s="557"/>
      <c r="C242" s="557"/>
      <c r="D242" s="557"/>
      <c r="E242" s="557"/>
      <c r="F242" s="557"/>
      <c r="G242" s="557"/>
      <c r="H242" s="557"/>
      <c r="I242" s="557"/>
      <c r="J242" s="557"/>
      <c r="K242" s="557"/>
      <c r="L242" s="557"/>
      <c r="M242" s="557"/>
      <c r="N242" s="557"/>
      <c r="O242" s="561"/>
      <c r="P242" s="553" t="s">
        <v>75</v>
      </c>
      <c r="Q242" s="554"/>
      <c r="R242" s="554"/>
      <c r="S242" s="554"/>
      <c r="T242" s="554"/>
      <c r="U242" s="554"/>
      <c r="V242" s="555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hidden="1" customHeight="1" x14ac:dyDescent="0.25">
      <c r="A243" s="556" t="s">
        <v>137</v>
      </c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57"/>
      <c r="P243" s="557"/>
      <c r="Q243" s="557"/>
      <c r="R243" s="557"/>
      <c r="S243" s="557"/>
      <c r="T243" s="557"/>
      <c r="U243" s="557"/>
      <c r="V243" s="557"/>
      <c r="W243" s="557"/>
      <c r="X243" s="557"/>
      <c r="Y243" s="557"/>
      <c r="Z243" s="557"/>
      <c r="AA243" s="543"/>
      <c r="AB243" s="543"/>
      <c r="AC243" s="543"/>
    </row>
    <row r="244" spans="1:68" ht="27" hidden="1" customHeight="1" x14ac:dyDescent="0.25">
      <c r="A244" s="54" t="s">
        <v>404</v>
      </c>
      <c r="B244" s="54" t="s">
        <v>405</v>
      </c>
      <c r="C244" s="31">
        <v>4301020377</v>
      </c>
      <c r="D244" s="558">
        <v>4680115885981</v>
      </c>
      <c r="E244" s="559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8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65"/>
      <c r="R244" s="565"/>
      <c r="S244" s="565"/>
      <c r="T244" s="566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0"/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61"/>
      <c r="P245" s="553" t="s">
        <v>75</v>
      </c>
      <c r="Q245" s="554"/>
      <c r="R245" s="554"/>
      <c r="S245" s="554"/>
      <c r="T245" s="554"/>
      <c r="U245" s="554"/>
      <c r="V245" s="555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hidden="1" x14ac:dyDescent="0.2">
      <c r="A246" s="557"/>
      <c r="B246" s="557"/>
      <c r="C246" s="557"/>
      <c r="D246" s="557"/>
      <c r="E246" s="557"/>
      <c r="F246" s="557"/>
      <c r="G246" s="557"/>
      <c r="H246" s="557"/>
      <c r="I246" s="557"/>
      <c r="J246" s="557"/>
      <c r="K246" s="557"/>
      <c r="L246" s="557"/>
      <c r="M246" s="557"/>
      <c r="N246" s="557"/>
      <c r="O246" s="561"/>
      <c r="P246" s="553" t="s">
        <v>75</v>
      </c>
      <c r="Q246" s="554"/>
      <c r="R246" s="554"/>
      <c r="S246" s="554"/>
      <c r="T246" s="554"/>
      <c r="U246" s="554"/>
      <c r="V246" s="555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hidden="1" customHeight="1" x14ac:dyDescent="0.25">
      <c r="A247" s="556" t="s">
        <v>407</v>
      </c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57"/>
      <c r="P247" s="557"/>
      <c r="Q247" s="557"/>
      <c r="R247" s="557"/>
      <c r="S247" s="557"/>
      <c r="T247" s="557"/>
      <c r="U247" s="557"/>
      <c r="V247" s="557"/>
      <c r="W247" s="557"/>
      <c r="X247" s="557"/>
      <c r="Y247" s="557"/>
      <c r="Z247" s="557"/>
      <c r="AA247" s="543"/>
      <c r="AB247" s="543"/>
      <c r="AC247" s="543"/>
    </row>
    <row r="248" spans="1:68" ht="27" hidden="1" customHeight="1" x14ac:dyDescent="0.25">
      <c r="A248" s="54" t="s">
        <v>408</v>
      </c>
      <c r="B248" s="54" t="s">
        <v>409</v>
      </c>
      <c r="C248" s="31">
        <v>4301040362</v>
      </c>
      <c r="D248" s="558">
        <v>4680115886803</v>
      </c>
      <c r="E248" s="559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2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65"/>
      <c r="R248" s="565"/>
      <c r="S248" s="565"/>
      <c r="T248" s="566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0"/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61"/>
      <c r="P249" s="553" t="s">
        <v>75</v>
      </c>
      <c r="Q249" s="554"/>
      <c r="R249" s="554"/>
      <c r="S249" s="554"/>
      <c r="T249" s="554"/>
      <c r="U249" s="554"/>
      <c r="V249" s="555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hidden="1" x14ac:dyDescent="0.2">
      <c r="A250" s="557"/>
      <c r="B250" s="557"/>
      <c r="C250" s="557"/>
      <c r="D250" s="557"/>
      <c r="E250" s="557"/>
      <c r="F250" s="557"/>
      <c r="G250" s="557"/>
      <c r="H250" s="557"/>
      <c r="I250" s="557"/>
      <c r="J250" s="557"/>
      <c r="K250" s="557"/>
      <c r="L250" s="557"/>
      <c r="M250" s="557"/>
      <c r="N250" s="557"/>
      <c r="O250" s="561"/>
      <c r="P250" s="553" t="s">
        <v>75</v>
      </c>
      <c r="Q250" s="554"/>
      <c r="R250" s="554"/>
      <c r="S250" s="554"/>
      <c r="T250" s="554"/>
      <c r="U250" s="554"/>
      <c r="V250" s="555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hidden="1" customHeight="1" x14ac:dyDescent="0.25">
      <c r="A251" s="556" t="s">
        <v>411</v>
      </c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57"/>
      <c r="P251" s="557"/>
      <c r="Q251" s="557"/>
      <c r="R251" s="557"/>
      <c r="S251" s="557"/>
      <c r="T251" s="557"/>
      <c r="U251" s="557"/>
      <c r="V251" s="557"/>
      <c r="W251" s="557"/>
      <c r="X251" s="557"/>
      <c r="Y251" s="557"/>
      <c r="Z251" s="557"/>
      <c r="AA251" s="543"/>
      <c r="AB251" s="543"/>
      <c r="AC251" s="543"/>
    </row>
    <row r="252" spans="1:68" ht="27" hidden="1" customHeight="1" x14ac:dyDescent="0.25">
      <c r="A252" s="54" t="s">
        <v>412</v>
      </c>
      <c r="B252" s="54" t="s">
        <v>413</v>
      </c>
      <c r="C252" s="31">
        <v>4301041004</v>
      </c>
      <c r="D252" s="558">
        <v>4680115886704</v>
      </c>
      <c r="E252" s="559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84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65"/>
      <c r="R252" s="565"/>
      <c r="S252" s="565"/>
      <c r="T252" s="566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415</v>
      </c>
      <c r="B253" s="54" t="s">
        <v>416</v>
      </c>
      <c r="C253" s="31">
        <v>4301041008</v>
      </c>
      <c r="D253" s="558">
        <v>4680115886681</v>
      </c>
      <c r="E253" s="559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62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65"/>
      <c r="R253" s="565"/>
      <c r="S253" s="565"/>
      <c r="T253" s="566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417</v>
      </c>
      <c r="B254" s="54" t="s">
        <v>418</v>
      </c>
      <c r="C254" s="31">
        <v>4301041007</v>
      </c>
      <c r="D254" s="558">
        <v>4680115886735</v>
      </c>
      <c r="E254" s="559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69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65"/>
      <c r="R254" s="565"/>
      <c r="S254" s="565"/>
      <c r="T254" s="566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419</v>
      </c>
      <c r="B255" s="54" t="s">
        <v>420</v>
      </c>
      <c r="C255" s="31">
        <v>4301041006</v>
      </c>
      <c r="D255" s="558">
        <v>4680115886728</v>
      </c>
      <c r="E255" s="559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79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65"/>
      <c r="R255" s="565"/>
      <c r="S255" s="565"/>
      <c r="T255" s="566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421</v>
      </c>
      <c r="B256" s="54" t="s">
        <v>422</v>
      </c>
      <c r="C256" s="31">
        <v>4301041005</v>
      </c>
      <c r="D256" s="558">
        <v>4680115886711</v>
      </c>
      <c r="E256" s="559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69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65"/>
      <c r="R256" s="565"/>
      <c r="S256" s="565"/>
      <c r="T256" s="566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0"/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61"/>
      <c r="P257" s="553" t="s">
        <v>75</v>
      </c>
      <c r="Q257" s="554"/>
      <c r="R257" s="554"/>
      <c r="S257" s="554"/>
      <c r="T257" s="554"/>
      <c r="U257" s="554"/>
      <c r="V257" s="555"/>
      <c r="W257" s="37" t="s">
        <v>76</v>
      </c>
      <c r="X257" s="549">
        <f>IFERROR(X252/H252,"0")+IFERROR(X253/H253,"0")+IFERROR(X254/H254,"0")+IFERROR(X255/H255,"0")+IFERROR(X256/H256,"0")</f>
        <v>0</v>
      </c>
      <c r="Y257" s="549">
        <f>IFERROR(Y252/H252,"0")+IFERROR(Y253/H253,"0")+IFERROR(Y254/H254,"0")+IFERROR(Y255/H255,"0")+IFERROR(Y256/H256,"0")</f>
        <v>0</v>
      </c>
      <c r="Z257" s="549">
        <f>IFERROR(IF(Z252="",0,Z252),"0")+IFERROR(IF(Z253="",0,Z253),"0")+IFERROR(IF(Z254="",0,Z254),"0")+IFERROR(IF(Z255="",0,Z255),"0")+IFERROR(IF(Z256="",0,Z256),"0")</f>
        <v>0</v>
      </c>
      <c r="AA257" s="550"/>
      <c r="AB257" s="550"/>
      <c r="AC257" s="550"/>
    </row>
    <row r="258" spans="1:68" hidden="1" x14ac:dyDescent="0.2">
      <c r="A258" s="557"/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61"/>
      <c r="P258" s="553" t="s">
        <v>75</v>
      </c>
      <c r="Q258" s="554"/>
      <c r="R258" s="554"/>
      <c r="S258" s="554"/>
      <c r="T258" s="554"/>
      <c r="U258" s="554"/>
      <c r="V258" s="555"/>
      <c r="W258" s="37" t="s">
        <v>69</v>
      </c>
      <c r="X258" s="549">
        <f>IFERROR(SUM(X252:X256),"0")</f>
        <v>0</v>
      </c>
      <c r="Y258" s="549">
        <f>IFERROR(SUM(Y252:Y256),"0")</f>
        <v>0</v>
      </c>
      <c r="Z258" s="37"/>
      <c r="AA258" s="550"/>
      <c r="AB258" s="550"/>
      <c r="AC258" s="550"/>
    </row>
    <row r="259" spans="1:68" ht="16.5" hidden="1" customHeight="1" x14ac:dyDescent="0.25">
      <c r="A259" s="590" t="s">
        <v>423</v>
      </c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57"/>
      <c r="P259" s="557"/>
      <c r="Q259" s="557"/>
      <c r="R259" s="557"/>
      <c r="S259" s="557"/>
      <c r="T259" s="557"/>
      <c r="U259" s="557"/>
      <c r="V259" s="557"/>
      <c r="W259" s="557"/>
      <c r="X259" s="557"/>
      <c r="Y259" s="557"/>
      <c r="Z259" s="557"/>
      <c r="AA259" s="542"/>
      <c r="AB259" s="542"/>
      <c r="AC259" s="542"/>
    </row>
    <row r="260" spans="1:68" ht="14.25" hidden="1" customHeight="1" x14ac:dyDescent="0.25">
      <c r="A260" s="556" t="s">
        <v>101</v>
      </c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57"/>
      <c r="P260" s="557"/>
      <c r="Q260" s="557"/>
      <c r="R260" s="557"/>
      <c r="S260" s="557"/>
      <c r="T260" s="557"/>
      <c r="U260" s="557"/>
      <c r="V260" s="557"/>
      <c r="W260" s="557"/>
      <c r="X260" s="557"/>
      <c r="Y260" s="557"/>
      <c r="Z260" s="557"/>
      <c r="AA260" s="543"/>
      <c r="AB260" s="543"/>
      <c r="AC260" s="543"/>
    </row>
    <row r="261" spans="1:68" ht="27" hidden="1" customHeight="1" x14ac:dyDescent="0.25">
      <c r="A261" s="54" t="s">
        <v>424</v>
      </c>
      <c r="B261" s="54" t="s">
        <v>425</v>
      </c>
      <c r="C261" s="31">
        <v>4301011855</v>
      </c>
      <c r="D261" s="558">
        <v>4680115885837</v>
      </c>
      <c r="E261" s="559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 t="s">
        <v>105</v>
      </c>
      <c r="M261" s="33" t="s">
        <v>106</v>
      </c>
      <c r="N261" s="33"/>
      <c r="O261" s="32">
        <v>55</v>
      </c>
      <c r="P261" s="62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65"/>
      <c r="R261" s="565"/>
      <c r="S261" s="565"/>
      <c r="T261" s="566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 t="s">
        <v>108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427</v>
      </c>
      <c r="B262" s="54" t="s">
        <v>428</v>
      </c>
      <c r="C262" s="31">
        <v>4301011853</v>
      </c>
      <c r="D262" s="558">
        <v>4680115885851</v>
      </c>
      <c r="E262" s="559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61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65"/>
      <c r="R262" s="565"/>
      <c r="S262" s="565"/>
      <c r="T262" s="566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430</v>
      </c>
      <c r="B263" s="54" t="s">
        <v>431</v>
      </c>
      <c r="C263" s="31">
        <v>4301011850</v>
      </c>
      <c r="D263" s="558">
        <v>4680115885806</v>
      </c>
      <c r="E263" s="559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60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65"/>
      <c r="R263" s="565"/>
      <c r="S263" s="565"/>
      <c r="T263" s="566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433</v>
      </c>
      <c r="B264" s="54" t="s">
        <v>434</v>
      </c>
      <c r="C264" s="31">
        <v>4301011852</v>
      </c>
      <c r="D264" s="558">
        <v>4680115885844</v>
      </c>
      <c r="E264" s="559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111</v>
      </c>
      <c r="L264" s="32"/>
      <c r="M264" s="33" t="s">
        <v>106</v>
      </c>
      <c r="N264" s="33"/>
      <c r="O264" s="32">
        <v>55</v>
      </c>
      <c r="P264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65"/>
      <c r="R264" s="565"/>
      <c r="S264" s="565"/>
      <c r="T264" s="566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436</v>
      </c>
      <c r="B265" s="54" t="s">
        <v>437</v>
      </c>
      <c r="C265" s="31">
        <v>4301011851</v>
      </c>
      <c r="D265" s="558">
        <v>4680115885820</v>
      </c>
      <c r="E265" s="559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111</v>
      </c>
      <c r="L265" s="32"/>
      <c r="M265" s="33" t="s">
        <v>106</v>
      </c>
      <c r="N265" s="33"/>
      <c r="O265" s="32">
        <v>55</v>
      </c>
      <c r="P265" s="8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65"/>
      <c r="R265" s="565"/>
      <c r="S265" s="565"/>
      <c r="T265" s="566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0"/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61"/>
      <c r="P266" s="553" t="s">
        <v>75</v>
      </c>
      <c r="Q266" s="554"/>
      <c r="R266" s="554"/>
      <c r="S266" s="554"/>
      <c r="T266" s="554"/>
      <c r="U266" s="554"/>
      <c r="V266" s="555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hidden="1" x14ac:dyDescent="0.2">
      <c r="A267" s="557"/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61"/>
      <c r="P267" s="553" t="s">
        <v>75</v>
      </c>
      <c r="Q267" s="554"/>
      <c r="R267" s="554"/>
      <c r="S267" s="554"/>
      <c r="T267" s="554"/>
      <c r="U267" s="554"/>
      <c r="V267" s="555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hidden="1" customHeight="1" x14ac:dyDescent="0.25">
      <c r="A268" s="590" t="s">
        <v>439</v>
      </c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57"/>
      <c r="P268" s="557"/>
      <c r="Q268" s="557"/>
      <c r="R268" s="557"/>
      <c r="S268" s="557"/>
      <c r="T268" s="557"/>
      <c r="U268" s="557"/>
      <c r="V268" s="557"/>
      <c r="W268" s="557"/>
      <c r="X268" s="557"/>
      <c r="Y268" s="557"/>
      <c r="Z268" s="557"/>
      <c r="AA268" s="542"/>
      <c r="AB268" s="542"/>
      <c r="AC268" s="542"/>
    </row>
    <row r="269" spans="1:68" ht="14.25" hidden="1" customHeight="1" x14ac:dyDescent="0.25">
      <c r="A269" s="556" t="s">
        <v>101</v>
      </c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  <c r="Z269" s="557"/>
      <c r="AA269" s="543"/>
      <c r="AB269" s="543"/>
      <c r="AC269" s="543"/>
    </row>
    <row r="270" spans="1:68" ht="27" hidden="1" customHeight="1" x14ac:dyDescent="0.25">
      <c r="A270" s="54" t="s">
        <v>440</v>
      </c>
      <c r="B270" s="54" t="s">
        <v>441</v>
      </c>
      <c r="C270" s="31">
        <v>4301011223</v>
      </c>
      <c r="D270" s="558">
        <v>4607091383423</v>
      </c>
      <c r="E270" s="559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66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65"/>
      <c r="R270" s="565"/>
      <c r="S270" s="565"/>
      <c r="T270" s="566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442</v>
      </c>
      <c r="B271" s="54" t="s">
        <v>443</v>
      </c>
      <c r="C271" s="31">
        <v>4301012199</v>
      </c>
      <c r="D271" s="558">
        <v>4680115886957</v>
      </c>
      <c r="E271" s="559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83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65"/>
      <c r="R271" s="565"/>
      <c r="S271" s="565"/>
      <c r="T271" s="566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445</v>
      </c>
      <c r="B272" s="54" t="s">
        <v>446</v>
      </c>
      <c r="C272" s="31">
        <v>4301012098</v>
      </c>
      <c r="D272" s="558">
        <v>4680115885660</v>
      </c>
      <c r="E272" s="559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5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65"/>
      <c r="R272" s="565"/>
      <c r="S272" s="565"/>
      <c r="T272" s="566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4301012176</v>
      </c>
      <c r="D273" s="558">
        <v>4680115886773</v>
      </c>
      <c r="E273" s="559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80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65"/>
      <c r="R273" s="565"/>
      <c r="S273" s="565"/>
      <c r="T273" s="566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0"/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61"/>
      <c r="P274" s="553" t="s">
        <v>75</v>
      </c>
      <c r="Q274" s="554"/>
      <c r="R274" s="554"/>
      <c r="S274" s="554"/>
      <c r="T274" s="554"/>
      <c r="U274" s="554"/>
      <c r="V274" s="555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hidden="1" x14ac:dyDescent="0.2">
      <c r="A275" s="557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61"/>
      <c r="P275" s="553" t="s">
        <v>75</v>
      </c>
      <c r="Q275" s="554"/>
      <c r="R275" s="554"/>
      <c r="S275" s="554"/>
      <c r="T275" s="554"/>
      <c r="U275" s="554"/>
      <c r="V275" s="555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hidden="1" customHeight="1" x14ac:dyDescent="0.25">
      <c r="A276" s="590" t="s">
        <v>450</v>
      </c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7"/>
      <c r="P276" s="557"/>
      <c r="Q276" s="557"/>
      <c r="R276" s="557"/>
      <c r="S276" s="557"/>
      <c r="T276" s="557"/>
      <c r="U276" s="557"/>
      <c r="V276" s="557"/>
      <c r="W276" s="557"/>
      <c r="X276" s="557"/>
      <c r="Y276" s="557"/>
      <c r="Z276" s="557"/>
      <c r="AA276" s="542"/>
      <c r="AB276" s="542"/>
      <c r="AC276" s="542"/>
    </row>
    <row r="277" spans="1:68" ht="14.25" hidden="1" customHeight="1" x14ac:dyDescent="0.25">
      <c r="A277" s="556" t="s">
        <v>77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43"/>
      <c r="AB277" s="543"/>
      <c r="AC277" s="543"/>
    </row>
    <row r="278" spans="1:68" ht="27" hidden="1" customHeight="1" x14ac:dyDescent="0.25">
      <c r="A278" s="54" t="s">
        <v>451</v>
      </c>
      <c r="B278" s="54" t="s">
        <v>452</v>
      </c>
      <c r="C278" s="31">
        <v>4301051893</v>
      </c>
      <c r="D278" s="558">
        <v>4680115886186</v>
      </c>
      <c r="E278" s="559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63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65"/>
      <c r="R278" s="565"/>
      <c r="S278" s="565"/>
      <c r="T278" s="566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454</v>
      </c>
      <c r="B279" s="54" t="s">
        <v>455</v>
      </c>
      <c r="C279" s="31">
        <v>4301051795</v>
      </c>
      <c r="D279" s="558">
        <v>4680115881228</v>
      </c>
      <c r="E279" s="559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 t="s">
        <v>189</v>
      </c>
      <c r="M279" s="33" t="s">
        <v>86</v>
      </c>
      <c r="N279" s="33"/>
      <c r="O279" s="32">
        <v>40</v>
      </c>
      <c r="P279" s="69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65"/>
      <c r="R279" s="565"/>
      <c r="S279" s="565"/>
      <c r="T279" s="566"/>
      <c r="U279" s="34"/>
      <c r="V279" s="34"/>
      <c r="W279" s="35" t="s">
        <v>69</v>
      </c>
      <c r="X279" s="547">
        <v>0</v>
      </c>
      <c r="Y279" s="548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456</v>
      </c>
      <c r="AG279" s="64"/>
      <c r="AJ279" s="68" t="s">
        <v>108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457</v>
      </c>
      <c r="B280" s="54" t="s">
        <v>458</v>
      </c>
      <c r="C280" s="31">
        <v>4301051388</v>
      </c>
      <c r="D280" s="558">
        <v>4680115881211</v>
      </c>
      <c r="E280" s="559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189</v>
      </c>
      <c r="M280" s="33" t="s">
        <v>80</v>
      </c>
      <c r="N280" s="33"/>
      <c r="O280" s="32">
        <v>45</v>
      </c>
      <c r="P280" s="81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65"/>
      <c r="R280" s="565"/>
      <c r="S280" s="565"/>
      <c r="T280" s="566"/>
      <c r="U280" s="34"/>
      <c r="V280" s="34"/>
      <c r="W280" s="35" t="s">
        <v>69</v>
      </c>
      <c r="X280" s="547">
        <v>0</v>
      </c>
      <c r="Y280" s="548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453</v>
      </c>
      <c r="AG280" s="64"/>
      <c r="AJ280" s="68" t="s">
        <v>108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60"/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61"/>
      <c r="P281" s="553" t="s">
        <v>75</v>
      </c>
      <c r="Q281" s="554"/>
      <c r="R281" s="554"/>
      <c r="S281" s="554"/>
      <c r="T281" s="554"/>
      <c r="U281" s="554"/>
      <c r="V281" s="555"/>
      <c r="W281" s="37" t="s">
        <v>76</v>
      </c>
      <c r="X281" s="549">
        <f>IFERROR(X278/H278,"0")+IFERROR(X279/H279,"0")+IFERROR(X280/H280,"0")</f>
        <v>0</v>
      </c>
      <c r="Y281" s="549">
        <f>IFERROR(Y278/H278,"0")+IFERROR(Y279/H279,"0")+IFERROR(Y280/H280,"0")</f>
        <v>0</v>
      </c>
      <c r="Z281" s="549">
        <f>IFERROR(IF(Z278="",0,Z278),"0")+IFERROR(IF(Z279="",0,Z279),"0")+IFERROR(IF(Z280="",0,Z280),"0")</f>
        <v>0</v>
      </c>
      <c r="AA281" s="550"/>
      <c r="AB281" s="550"/>
      <c r="AC281" s="550"/>
    </row>
    <row r="282" spans="1:68" hidden="1" x14ac:dyDescent="0.2">
      <c r="A282" s="557"/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61"/>
      <c r="P282" s="553" t="s">
        <v>75</v>
      </c>
      <c r="Q282" s="554"/>
      <c r="R282" s="554"/>
      <c r="S282" s="554"/>
      <c r="T282" s="554"/>
      <c r="U282" s="554"/>
      <c r="V282" s="555"/>
      <c r="W282" s="37" t="s">
        <v>69</v>
      </c>
      <c r="X282" s="549">
        <f>IFERROR(SUM(X278:X280),"0")</f>
        <v>0</v>
      </c>
      <c r="Y282" s="549">
        <f>IFERROR(SUM(Y278:Y280),"0")</f>
        <v>0</v>
      </c>
      <c r="Z282" s="37"/>
      <c r="AA282" s="550"/>
      <c r="AB282" s="550"/>
      <c r="AC282" s="550"/>
    </row>
    <row r="283" spans="1:68" ht="16.5" hidden="1" customHeight="1" x14ac:dyDescent="0.25">
      <c r="A283" s="590" t="s">
        <v>459</v>
      </c>
      <c r="B283" s="557"/>
      <c r="C283" s="557"/>
      <c r="D283" s="557"/>
      <c r="E283" s="557"/>
      <c r="F283" s="557"/>
      <c r="G283" s="557"/>
      <c r="H283" s="557"/>
      <c r="I283" s="557"/>
      <c r="J283" s="557"/>
      <c r="K283" s="557"/>
      <c r="L283" s="557"/>
      <c r="M283" s="557"/>
      <c r="N283" s="557"/>
      <c r="O283" s="557"/>
      <c r="P283" s="557"/>
      <c r="Q283" s="557"/>
      <c r="R283" s="557"/>
      <c r="S283" s="557"/>
      <c r="T283" s="557"/>
      <c r="U283" s="557"/>
      <c r="V283" s="557"/>
      <c r="W283" s="557"/>
      <c r="X283" s="557"/>
      <c r="Y283" s="557"/>
      <c r="Z283" s="557"/>
      <c r="AA283" s="542"/>
      <c r="AB283" s="542"/>
      <c r="AC283" s="542"/>
    </row>
    <row r="284" spans="1:68" ht="14.25" hidden="1" customHeight="1" x14ac:dyDescent="0.25">
      <c r="A284" s="556" t="s">
        <v>64</v>
      </c>
      <c r="B284" s="557"/>
      <c r="C284" s="557"/>
      <c r="D284" s="557"/>
      <c r="E284" s="557"/>
      <c r="F284" s="557"/>
      <c r="G284" s="557"/>
      <c r="H284" s="557"/>
      <c r="I284" s="557"/>
      <c r="J284" s="557"/>
      <c r="K284" s="557"/>
      <c r="L284" s="557"/>
      <c r="M284" s="557"/>
      <c r="N284" s="557"/>
      <c r="O284" s="557"/>
      <c r="P284" s="557"/>
      <c r="Q284" s="557"/>
      <c r="R284" s="557"/>
      <c r="S284" s="557"/>
      <c r="T284" s="557"/>
      <c r="U284" s="557"/>
      <c r="V284" s="557"/>
      <c r="W284" s="557"/>
      <c r="X284" s="557"/>
      <c r="Y284" s="557"/>
      <c r="Z284" s="557"/>
      <c r="AA284" s="543"/>
      <c r="AB284" s="543"/>
      <c r="AC284" s="543"/>
    </row>
    <row r="285" spans="1:68" ht="27" hidden="1" customHeight="1" x14ac:dyDescent="0.25">
      <c r="A285" s="54" t="s">
        <v>460</v>
      </c>
      <c r="B285" s="54" t="s">
        <v>461</v>
      </c>
      <c r="C285" s="31">
        <v>4301031307</v>
      </c>
      <c r="D285" s="558">
        <v>4680115880344</v>
      </c>
      <c r="E285" s="559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65"/>
      <c r="R285" s="565"/>
      <c r="S285" s="565"/>
      <c r="T285" s="566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463</v>
      </c>
      <c r="B286" s="54" t="s">
        <v>464</v>
      </c>
      <c r="C286" s="31">
        <v>4301031429</v>
      </c>
      <c r="D286" s="558">
        <v>4680115886919</v>
      </c>
      <c r="E286" s="559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79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65"/>
      <c r="R286" s="565"/>
      <c r="S286" s="565"/>
      <c r="T286" s="566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0"/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61"/>
      <c r="P287" s="553" t="s">
        <v>75</v>
      </c>
      <c r="Q287" s="554"/>
      <c r="R287" s="554"/>
      <c r="S287" s="554"/>
      <c r="T287" s="554"/>
      <c r="U287" s="554"/>
      <c r="V287" s="555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hidden="1" x14ac:dyDescent="0.2">
      <c r="A288" s="557"/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61"/>
      <c r="P288" s="553" t="s">
        <v>75</v>
      </c>
      <c r="Q288" s="554"/>
      <c r="R288" s="554"/>
      <c r="S288" s="554"/>
      <c r="T288" s="554"/>
      <c r="U288" s="554"/>
      <c r="V288" s="555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hidden="1" customHeight="1" x14ac:dyDescent="0.25">
      <c r="A289" s="556" t="s">
        <v>77</v>
      </c>
      <c r="B289" s="557"/>
      <c r="C289" s="557"/>
      <c r="D289" s="557"/>
      <c r="E289" s="557"/>
      <c r="F289" s="557"/>
      <c r="G289" s="557"/>
      <c r="H289" s="557"/>
      <c r="I289" s="557"/>
      <c r="J289" s="557"/>
      <c r="K289" s="557"/>
      <c r="L289" s="557"/>
      <c r="M289" s="557"/>
      <c r="N289" s="557"/>
      <c r="O289" s="557"/>
      <c r="P289" s="557"/>
      <c r="Q289" s="557"/>
      <c r="R289" s="557"/>
      <c r="S289" s="557"/>
      <c r="T289" s="557"/>
      <c r="U289" s="557"/>
      <c r="V289" s="557"/>
      <c r="W289" s="557"/>
      <c r="X289" s="557"/>
      <c r="Y289" s="557"/>
      <c r="Z289" s="557"/>
      <c r="AA289" s="543"/>
      <c r="AB289" s="543"/>
      <c r="AC289" s="543"/>
    </row>
    <row r="290" spans="1:68" ht="37.5" hidden="1" customHeight="1" x14ac:dyDescent="0.25">
      <c r="A290" s="54" t="s">
        <v>466</v>
      </c>
      <c r="B290" s="54" t="s">
        <v>467</v>
      </c>
      <c r="C290" s="31">
        <v>4301051782</v>
      </c>
      <c r="D290" s="558">
        <v>4680115884618</v>
      </c>
      <c r="E290" s="559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111</v>
      </c>
      <c r="L290" s="32"/>
      <c r="M290" s="33" t="s">
        <v>80</v>
      </c>
      <c r="N290" s="33"/>
      <c r="O290" s="32">
        <v>45</v>
      </c>
      <c r="P290" s="86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65"/>
      <c r="R290" s="565"/>
      <c r="S290" s="565"/>
      <c r="T290" s="566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469</v>
      </c>
      <c r="B291" s="54" t="s">
        <v>470</v>
      </c>
      <c r="C291" s="31">
        <v>4301052057</v>
      </c>
      <c r="D291" s="558">
        <v>4680115887114</v>
      </c>
      <c r="E291" s="559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111</v>
      </c>
      <c r="L291" s="32"/>
      <c r="M291" s="33" t="s">
        <v>80</v>
      </c>
      <c r="N291" s="33"/>
      <c r="O291" s="32">
        <v>45</v>
      </c>
      <c r="P291" s="6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65"/>
      <c r="R291" s="565"/>
      <c r="S291" s="565"/>
      <c r="T291" s="566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0"/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61"/>
      <c r="P292" s="553" t="s">
        <v>75</v>
      </c>
      <c r="Q292" s="554"/>
      <c r="R292" s="554"/>
      <c r="S292" s="554"/>
      <c r="T292" s="554"/>
      <c r="U292" s="554"/>
      <c r="V292" s="555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hidden="1" x14ac:dyDescent="0.2">
      <c r="A293" s="557"/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61"/>
      <c r="P293" s="553" t="s">
        <v>75</v>
      </c>
      <c r="Q293" s="554"/>
      <c r="R293" s="554"/>
      <c r="S293" s="554"/>
      <c r="T293" s="554"/>
      <c r="U293" s="554"/>
      <c r="V293" s="555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hidden="1" customHeight="1" x14ac:dyDescent="0.25">
      <c r="A294" s="590" t="s">
        <v>472</v>
      </c>
      <c r="B294" s="557"/>
      <c r="C294" s="557"/>
      <c r="D294" s="557"/>
      <c r="E294" s="557"/>
      <c r="F294" s="557"/>
      <c r="G294" s="557"/>
      <c r="H294" s="557"/>
      <c r="I294" s="557"/>
      <c r="J294" s="557"/>
      <c r="K294" s="557"/>
      <c r="L294" s="557"/>
      <c r="M294" s="557"/>
      <c r="N294" s="557"/>
      <c r="O294" s="557"/>
      <c r="P294" s="557"/>
      <c r="Q294" s="557"/>
      <c r="R294" s="557"/>
      <c r="S294" s="557"/>
      <c r="T294" s="557"/>
      <c r="U294" s="557"/>
      <c r="V294" s="557"/>
      <c r="W294" s="557"/>
      <c r="X294" s="557"/>
      <c r="Y294" s="557"/>
      <c r="Z294" s="557"/>
      <c r="AA294" s="542"/>
      <c r="AB294" s="542"/>
      <c r="AC294" s="542"/>
    </row>
    <row r="295" spans="1:68" ht="14.25" hidden="1" customHeight="1" x14ac:dyDescent="0.25">
      <c r="A295" s="556" t="s">
        <v>101</v>
      </c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57"/>
      <c r="P295" s="557"/>
      <c r="Q295" s="557"/>
      <c r="R295" s="557"/>
      <c r="S295" s="557"/>
      <c r="T295" s="557"/>
      <c r="U295" s="557"/>
      <c r="V295" s="557"/>
      <c r="W295" s="557"/>
      <c r="X295" s="557"/>
      <c r="Y295" s="557"/>
      <c r="Z295" s="557"/>
      <c r="AA295" s="543"/>
      <c r="AB295" s="543"/>
      <c r="AC295" s="543"/>
    </row>
    <row r="296" spans="1:68" ht="27" hidden="1" customHeight="1" x14ac:dyDescent="0.25">
      <c r="A296" s="54" t="s">
        <v>473</v>
      </c>
      <c r="B296" s="54" t="s">
        <v>474</v>
      </c>
      <c r="C296" s="31">
        <v>4301012024</v>
      </c>
      <c r="D296" s="558">
        <v>4680115885615</v>
      </c>
      <c r="E296" s="559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80</v>
      </c>
      <c r="N296" s="33"/>
      <c r="O296" s="32">
        <v>55</v>
      </c>
      <c r="P296" s="74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65"/>
      <c r="R296" s="565"/>
      <c r="S296" s="565"/>
      <c r="T296" s="566"/>
      <c r="U296" s="34"/>
      <c r="V296" s="34"/>
      <c r="W296" s="35" t="s">
        <v>69</v>
      </c>
      <c r="X296" s="547">
        <v>0</v>
      </c>
      <c r="Y296" s="548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476</v>
      </c>
      <c r="B297" s="54" t="s">
        <v>477</v>
      </c>
      <c r="C297" s="31">
        <v>4301011858</v>
      </c>
      <c r="D297" s="558">
        <v>4680115885646</v>
      </c>
      <c r="E297" s="559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60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65"/>
      <c r="R297" s="565"/>
      <c r="S297" s="565"/>
      <c r="T297" s="566"/>
      <c r="U297" s="34"/>
      <c r="V297" s="34"/>
      <c r="W297" s="35" t="s">
        <v>69</v>
      </c>
      <c r="X297" s="547">
        <v>0</v>
      </c>
      <c r="Y297" s="548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479</v>
      </c>
      <c r="B298" s="54" t="s">
        <v>480</v>
      </c>
      <c r="C298" s="31">
        <v>4301012016</v>
      </c>
      <c r="D298" s="558">
        <v>4680115885554</v>
      </c>
      <c r="E298" s="559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6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65"/>
      <c r="R298" s="565"/>
      <c r="S298" s="565"/>
      <c r="T298" s="566"/>
      <c r="U298" s="34"/>
      <c r="V298" s="34"/>
      <c r="W298" s="35" t="s">
        <v>69</v>
      </c>
      <c r="X298" s="547">
        <v>0</v>
      </c>
      <c r="Y298" s="548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482</v>
      </c>
      <c r="B299" s="54" t="s">
        <v>483</v>
      </c>
      <c r="C299" s="31">
        <v>4301011857</v>
      </c>
      <c r="D299" s="558">
        <v>4680115885622</v>
      </c>
      <c r="E299" s="559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111</v>
      </c>
      <c r="L299" s="32"/>
      <c r="M299" s="33" t="s">
        <v>106</v>
      </c>
      <c r="N299" s="33"/>
      <c r="O299" s="32">
        <v>55</v>
      </c>
      <c r="P299" s="73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65"/>
      <c r="R299" s="565"/>
      <c r="S299" s="565"/>
      <c r="T299" s="566"/>
      <c r="U299" s="34"/>
      <c r="V299" s="34"/>
      <c r="W299" s="35" t="s">
        <v>69</v>
      </c>
      <c r="X299" s="547">
        <v>0</v>
      </c>
      <c r="Y299" s="548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475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4301011859</v>
      </c>
      <c r="D300" s="558">
        <v>4680115885608</v>
      </c>
      <c r="E300" s="559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111</v>
      </c>
      <c r="L300" s="32"/>
      <c r="M300" s="33" t="s">
        <v>106</v>
      </c>
      <c r="N300" s="33"/>
      <c r="O300" s="32">
        <v>55</v>
      </c>
      <c r="P300" s="77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65"/>
      <c r="R300" s="565"/>
      <c r="S300" s="565"/>
      <c r="T300" s="566"/>
      <c r="U300" s="34"/>
      <c r="V300" s="34"/>
      <c r="W300" s="35" t="s">
        <v>69</v>
      </c>
      <c r="X300" s="547">
        <v>0</v>
      </c>
      <c r="Y300" s="548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60"/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61"/>
      <c r="P301" s="553" t="s">
        <v>75</v>
      </c>
      <c r="Q301" s="554"/>
      <c r="R301" s="554"/>
      <c r="S301" s="554"/>
      <c r="T301" s="554"/>
      <c r="U301" s="554"/>
      <c r="V301" s="555"/>
      <c r="W301" s="37" t="s">
        <v>76</v>
      </c>
      <c r="X301" s="549">
        <f>IFERROR(X296/H296,"0")+IFERROR(X297/H297,"0")+IFERROR(X298/H298,"0")+IFERROR(X299/H299,"0")+IFERROR(X300/H300,"0")</f>
        <v>0</v>
      </c>
      <c r="Y301" s="549">
        <f>IFERROR(Y296/H296,"0")+IFERROR(Y297/H297,"0")+IFERROR(Y298/H298,"0")+IFERROR(Y299/H299,"0")+IFERROR(Y300/H300,"0")</f>
        <v>0</v>
      </c>
      <c r="Z301" s="549">
        <f>IFERROR(IF(Z296="",0,Z296),"0")+IFERROR(IF(Z297="",0,Z297),"0")+IFERROR(IF(Z298="",0,Z298),"0")+IFERROR(IF(Z299="",0,Z299),"0")+IFERROR(IF(Z300="",0,Z300),"0")</f>
        <v>0</v>
      </c>
      <c r="AA301" s="550"/>
      <c r="AB301" s="550"/>
      <c r="AC301" s="550"/>
    </row>
    <row r="302" spans="1:68" hidden="1" x14ac:dyDescent="0.2">
      <c r="A302" s="557"/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61"/>
      <c r="P302" s="553" t="s">
        <v>75</v>
      </c>
      <c r="Q302" s="554"/>
      <c r="R302" s="554"/>
      <c r="S302" s="554"/>
      <c r="T302" s="554"/>
      <c r="U302" s="554"/>
      <c r="V302" s="555"/>
      <c r="W302" s="37" t="s">
        <v>69</v>
      </c>
      <c r="X302" s="549">
        <f>IFERROR(SUM(X296:X300),"0")</f>
        <v>0</v>
      </c>
      <c r="Y302" s="549">
        <f>IFERROR(SUM(Y296:Y300),"0")</f>
        <v>0</v>
      </c>
      <c r="Z302" s="37"/>
      <c r="AA302" s="550"/>
      <c r="AB302" s="550"/>
      <c r="AC302" s="550"/>
    </row>
    <row r="303" spans="1:68" ht="14.25" hidden="1" customHeight="1" x14ac:dyDescent="0.25">
      <c r="A303" s="556" t="s">
        <v>64</v>
      </c>
      <c r="B303" s="557"/>
      <c r="C303" s="557"/>
      <c r="D303" s="557"/>
      <c r="E303" s="557"/>
      <c r="F303" s="557"/>
      <c r="G303" s="557"/>
      <c r="H303" s="557"/>
      <c r="I303" s="557"/>
      <c r="J303" s="557"/>
      <c r="K303" s="557"/>
      <c r="L303" s="557"/>
      <c r="M303" s="557"/>
      <c r="N303" s="557"/>
      <c r="O303" s="557"/>
      <c r="P303" s="557"/>
      <c r="Q303" s="557"/>
      <c r="R303" s="557"/>
      <c r="S303" s="557"/>
      <c r="T303" s="557"/>
      <c r="U303" s="557"/>
      <c r="V303" s="557"/>
      <c r="W303" s="557"/>
      <c r="X303" s="557"/>
      <c r="Y303" s="557"/>
      <c r="Z303" s="557"/>
      <c r="AA303" s="543"/>
      <c r="AB303" s="543"/>
      <c r="AC303" s="543"/>
    </row>
    <row r="304" spans="1:68" ht="27" customHeight="1" x14ac:dyDescent="0.25">
      <c r="A304" s="54" t="s">
        <v>487</v>
      </c>
      <c r="B304" s="54" t="s">
        <v>488</v>
      </c>
      <c r="C304" s="31">
        <v>4301030878</v>
      </c>
      <c r="D304" s="558">
        <v>4607091387193</v>
      </c>
      <c r="E304" s="559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111</v>
      </c>
      <c r="L304" s="32"/>
      <c r="M304" s="33" t="s">
        <v>68</v>
      </c>
      <c r="N304" s="33"/>
      <c r="O304" s="32">
        <v>35</v>
      </c>
      <c r="P304" s="72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65"/>
      <c r="R304" s="565"/>
      <c r="S304" s="565"/>
      <c r="T304" s="566"/>
      <c r="U304" s="34"/>
      <c r="V304" s="34"/>
      <c r="W304" s="35" t="s">
        <v>69</v>
      </c>
      <c r="X304" s="547">
        <v>150</v>
      </c>
      <c r="Y304" s="548">
        <f t="shared" ref="Y304:Y309" si="31">IFERROR(IF(X304="",0,CEILING((X304/$H304),1)*$H304),"")</f>
        <v>151.20000000000002</v>
      </c>
      <c r="Z304" s="36">
        <f>IFERROR(IF(Y304=0,"",ROUNDUP(Y304/H304,0)*0.00902),"")</f>
        <v>0.32472000000000001</v>
      </c>
      <c r="AA304" s="56"/>
      <c r="AB304" s="57"/>
      <c r="AC304" s="355" t="s">
        <v>489</v>
      </c>
      <c r="AG304" s="64"/>
      <c r="AJ304" s="68"/>
      <c r="AK304" s="68">
        <v>0</v>
      </c>
      <c r="BB304" s="356" t="s">
        <v>1</v>
      </c>
      <c r="BM304" s="64">
        <f t="shared" ref="BM304:BM309" si="32">IFERROR(X304*I304/H304,"0")</f>
        <v>158.92857142857142</v>
      </c>
      <c r="BN304" s="64">
        <f t="shared" ref="BN304:BN309" si="33">IFERROR(Y304*I304/H304,"0")</f>
        <v>160.20000000000002</v>
      </c>
      <c r="BO304" s="64">
        <f t="shared" ref="BO304:BO309" si="34">IFERROR(1/J304*(X304/H304),"0")</f>
        <v>0.27056277056277056</v>
      </c>
      <c r="BP304" s="64">
        <f t="shared" ref="BP304:BP309" si="35">IFERROR(1/J304*(Y304/H304),"0")</f>
        <v>0.27272727272727271</v>
      </c>
    </row>
    <row r="305" spans="1:68" ht="27" hidden="1" customHeight="1" x14ac:dyDescent="0.25">
      <c r="A305" s="54" t="s">
        <v>490</v>
      </c>
      <c r="B305" s="54" t="s">
        <v>491</v>
      </c>
      <c r="C305" s="31">
        <v>4301031153</v>
      </c>
      <c r="D305" s="558">
        <v>4607091387230</v>
      </c>
      <c r="E305" s="559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111</v>
      </c>
      <c r="L305" s="32" t="s">
        <v>112</v>
      </c>
      <c r="M305" s="33" t="s">
        <v>68</v>
      </c>
      <c r="N305" s="33"/>
      <c r="O305" s="32">
        <v>40</v>
      </c>
      <c r="P305" s="76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65"/>
      <c r="R305" s="565"/>
      <c r="S305" s="565"/>
      <c r="T305" s="566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492</v>
      </c>
      <c r="AG305" s="64"/>
      <c r="AJ305" s="68" t="s">
        <v>108</v>
      </c>
      <c r="AK305" s="68">
        <v>50.4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hidden="1" customHeight="1" x14ac:dyDescent="0.25">
      <c r="A306" s="54" t="s">
        <v>493</v>
      </c>
      <c r="B306" s="54" t="s">
        <v>494</v>
      </c>
      <c r="C306" s="31">
        <v>4301031154</v>
      </c>
      <c r="D306" s="558">
        <v>4607091387292</v>
      </c>
      <c r="E306" s="559"/>
      <c r="F306" s="546">
        <v>0.73</v>
      </c>
      <c r="G306" s="32">
        <v>6</v>
      </c>
      <c r="H306" s="546">
        <v>4.38</v>
      </c>
      <c r="I306" s="546">
        <v>4.63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45</v>
      </c>
      <c r="P306" s="73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65"/>
      <c r="R306" s="565"/>
      <c r="S306" s="565"/>
      <c r="T306" s="566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496</v>
      </c>
      <c r="B307" s="54" t="s">
        <v>497</v>
      </c>
      <c r="C307" s="31">
        <v>4301031152</v>
      </c>
      <c r="D307" s="558">
        <v>4607091387285</v>
      </c>
      <c r="E307" s="559"/>
      <c r="F307" s="546">
        <v>0.35</v>
      </c>
      <c r="G307" s="32">
        <v>6</v>
      </c>
      <c r="H307" s="546">
        <v>2.1</v>
      </c>
      <c r="I307" s="546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56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65"/>
      <c r="R307" s="565"/>
      <c r="S307" s="565"/>
      <c r="T307" s="566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492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4301031305</v>
      </c>
      <c r="D308" s="558">
        <v>4607091389845</v>
      </c>
      <c r="E308" s="559"/>
      <c r="F308" s="546">
        <v>0.35</v>
      </c>
      <c r="G308" s="32">
        <v>6</v>
      </c>
      <c r="H308" s="546">
        <v>2.1</v>
      </c>
      <c r="I308" s="546">
        <v>2.2000000000000002</v>
      </c>
      <c r="J308" s="32">
        <v>234</v>
      </c>
      <c r="K308" s="32" t="s">
        <v>73</v>
      </c>
      <c r="L308" s="32" t="s">
        <v>292</v>
      </c>
      <c r="M308" s="33" t="s">
        <v>68</v>
      </c>
      <c r="N308" s="33"/>
      <c r="O308" s="32">
        <v>40</v>
      </c>
      <c r="P308" s="76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65"/>
      <c r="R308" s="565"/>
      <c r="S308" s="565"/>
      <c r="T308" s="566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500</v>
      </c>
      <c r="AG308" s="64"/>
      <c r="AJ308" s="68" t="s">
        <v>108</v>
      </c>
      <c r="AK308" s="68">
        <v>37.799999999999997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4301031066</v>
      </c>
      <c r="D309" s="558">
        <v>4607091383836</v>
      </c>
      <c r="E309" s="559"/>
      <c r="F309" s="546">
        <v>0.3</v>
      </c>
      <c r="G309" s="32">
        <v>6</v>
      </c>
      <c r="H309" s="546">
        <v>1.8</v>
      </c>
      <c r="I309" s="546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6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65"/>
      <c r="R309" s="565"/>
      <c r="S309" s="565"/>
      <c r="T309" s="566"/>
      <c r="U309" s="34"/>
      <c r="V309" s="34"/>
      <c r="W309" s="35" t="s">
        <v>69</v>
      </c>
      <c r="X309" s="547">
        <v>0</v>
      </c>
      <c r="Y309" s="548">
        <f t="shared" si="31"/>
        <v>0</v>
      </c>
      <c r="Z309" s="36" t="str">
        <f>IFERROR(IF(Y309=0,"",ROUNDUP(Y309/H309,0)*0.00651),"")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x14ac:dyDescent="0.2">
      <c r="A310" s="560"/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61"/>
      <c r="P310" s="553" t="s">
        <v>75</v>
      </c>
      <c r="Q310" s="554"/>
      <c r="R310" s="554"/>
      <c r="S310" s="554"/>
      <c r="T310" s="554"/>
      <c r="U310" s="554"/>
      <c r="V310" s="555"/>
      <c r="W310" s="37" t="s">
        <v>76</v>
      </c>
      <c r="X310" s="549">
        <f>IFERROR(X304/H304,"0")+IFERROR(X305/H305,"0")+IFERROR(X306/H306,"0")+IFERROR(X307/H307,"0")+IFERROR(X308/H308,"0")+IFERROR(X309/H309,"0")</f>
        <v>35.714285714285715</v>
      </c>
      <c r="Y310" s="549">
        <f>IFERROR(Y304/H304,"0")+IFERROR(Y305/H305,"0")+IFERROR(Y306/H306,"0")+IFERROR(Y307/H307,"0")+IFERROR(Y308/H308,"0")+IFERROR(Y309/H309,"0")</f>
        <v>36</v>
      </c>
      <c r="Z310" s="549">
        <f>IFERROR(IF(Z304="",0,Z304),"0")+IFERROR(IF(Z305="",0,Z305),"0")+IFERROR(IF(Z306="",0,Z306),"0")+IFERROR(IF(Z307="",0,Z307),"0")+IFERROR(IF(Z308="",0,Z308),"0")+IFERROR(IF(Z309="",0,Z309),"0")</f>
        <v>0.32472000000000001</v>
      </c>
      <c r="AA310" s="550"/>
      <c r="AB310" s="550"/>
      <c r="AC310" s="550"/>
    </row>
    <row r="311" spans="1:68" x14ac:dyDescent="0.2">
      <c r="A311" s="557"/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61"/>
      <c r="P311" s="553" t="s">
        <v>75</v>
      </c>
      <c r="Q311" s="554"/>
      <c r="R311" s="554"/>
      <c r="S311" s="554"/>
      <c r="T311" s="554"/>
      <c r="U311" s="554"/>
      <c r="V311" s="555"/>
      <c r="W311" s="37" t="s">
        <v>69</v>
      </c>
      <c r="X311" s="549">
        <f>IFERROR(SUM(X304:X309),"0")</f>
        <v>150</v>
      </c>
      <c r="Y311" s="549">
        <f>IFERROR(SUM(Y304:Y309),"0")</f>
        <v>151.20000000000002</v>
      </c>
      <c r="Z311" s="37"/>
      <c r="AA311" s="550"/>
      <c r="AB311" s="550"/>
      <c r="AC311" s="550"/>
    </row>
    <row r="312" spans="1:68" ht="14.25" hidden="1" customHeight="1" x14ac:dyDescent="0.25">
      <c r="A312" s="556" t="s">
        <v>77</v>
      </c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57"/>
      <c r="P312" s="557"/>
      <c r="Q312" s="557"/>
      <c r="R312" s="557"/>
      <c r="S312" s="557"/>
      <c r="T312" s="557"/>
      <c r="U312" s="557"/>
      <c r="V312" s="557"/>
      <c r="W312" s="557"/>
      <c r="X312" s="557"/>
      <c r="Y312" s="557"/>
      <c r="Z312" s="557"/>
      <c r="AA312" s="543"/>
      <c r="AB312" s="543"/>
      <c r="AC312" s="543"/>
    </row>
    <row r="313" spans="1:68" ht="27" hidden="1" customHeight="1" x14ac:dyDescent="0.25">
      <c r="A313" s="54" t="s">
        <v>504</v>
      </c>
      <c r="B313" s="54" t="s">
        <v>505</v>
      </c>
      <c r="C313" s="31">
        <v>4301051100</v>
      </c>
      <c r="D313" s="558">
        <v>4607091387766</v>
      </c>
      <c r="E313" s="559"/>
      <c r="F313" s="546">
        <v>1.3</v>
      </c>
      <c r="G313" s="32">
        <v>6</v>
      </c>
      <c r="H313" s="546">
        <v>7.8</v>
      </c>
      <c r="I313" s="546">
        <v>8.2880000000000003</v>
      </c>
      <c r="J313" s="32">
        <v>64</v>
      </c>
      <c r="K313" s="32" t="s">
        <v>104</v>
      </c>
      <c r="L313" s="32" t="s">
        <v>105</v>
      </c>
      <c r="M313" s="33" t="s">
        <v>80</v>
      </c>
      <c r="N313" s="33"/>
      <c r="O313" s="32">
        <v>40</v>
      </c>
      <c r="P313" s="56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65"/>
      <c r="R313" s="565"/>
      <c r="S313" s="565"/>
      <c r="T313" s="566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506</v>
      </c>
      <c r="AG313" s="64"/>
      <c r="AJ313" s="68" t="s">
        <v>108</v>
      </c>
      <c r="AK313" s="68">
        <v>62.4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507</v>
      </c>
      <c r="B314" s="54" t="s">
        <v>508</v>
      </c>
      <c r="C314" s="31">
        <v>4301051818</v>
      </c>
      <c r="D314" s="558">
        <v>4607091387957</v>
      </c>
      <c r="E314" s="559"/>
      <c r="F314" s="546">
        <v>1.3</v>
      </c>
      <c r="G314" s="32">
        <v>6</v>
      </c>
      <c r="H314" s="546">
        <v>7.8</v>
      </c>
      <c r="I314" s="546">
        <v>8.2940000000000005</v>
      </c>
      <c r="J314" s="32">
        <v>64</v>
      </c>
      <c r="K314" s="32" t="s">
        <v>104</v>
      </c>
      <c r="L314" s="32"/>
      <c r="M314" s="33" t="s">
        <v>80</v>
      </c>
      <c r="N314" s="33"/>
      <c r="O314" s="32">
        <v>40</v>
      </c>
      <c r="P314" s="69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65"/>
      <c r="R314" s="565"/>
      <c r="S314" s="565"/>
      <c r="T314" s="566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509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510</v>
      </c>
      <c r="B315" s="54" t="s">
        <v>511</v>
      </c>
      <c r="C315" s="31">
        <v>4301051819</v>
      </c>
      <c r="D315" s="558">
        <v>4607091387964</v>
      </c>
      <c r="E315" s="559"/>
      <c r="F315" s="546">
        <v>1.35</v>
      </c>
      <c r="G315" s="32">
        <v>6</v>
      </c>
      <c r="H315" s="546">
        <v>8.1</v>
      </c>
      <c r="I315" s="546">
        <v>8.5760000000000005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71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65"/>
      <c r="R315" s="565"/>
      <c r="S315" s="565"/>
      <c r="T315" s="566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513</v>
      </c>
      <c r="B316" s="54" t="s">
        <v>514</v>
      </c>
      <c r="C316" s="31">
        <v>4301051734</v>
      </c>
      <c r="D316" s="558">
        <v>4680115884588</v>
      </c>
      <c r="E316" s="559"/>
      <c r="F316" s="546">
        <v>0.5</v>
      </c>
      <c r="G316" s="32">
        <v>6</v>
      </c>
      <c r="H316" s="546">
        <v>3</v>
      </c>
      <c r="I316" s="546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8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65"/>
      <c r="R316" s="565"/>
      <c r="S316" s="565"/>
      <c r="T316" s="566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0"/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61"/>
      <c r="P317" s="553" t="s">
        <v>75</v>
      </c>
      <c r="Q317" s="554"/>
      <c r="R317" s="554"/>
      <c r="S317" s="554"/>
      <c r="T317" s="554"/>
      <c r="U317" s="554"/>
      <c r="V317" s="555"/>
      <c r="W317" s="37" t="s">
        <v>76</v>
      </c>
      <c r="X317" s="549">
        <f>IFERROR(X313/H313,"0")+IFERROR(X314/H314,"0")+IFERROR(X315/H315,"0")+IFERROR(X316/H316,"0")</f>
        <v>0</v>
      </c>
      <c r="Y317" s="549">
        <f>IFERROR(Y313/H313,"0")+IFERROR(Y314/H314,"0")+IFERROR(Y315/H315,"0")+IFERROR(Y316/H316,"0")</f>
        <v>0</v>
      </c>
      <c r="Z317" s="549">
        <f>IFERROR(IF(Z313="",0,Z313),"0")+IFERROR(IF(Z314="",0,Z314),"0")+IFERROR(IF(Z315="",0,Z315),"0")+IFERROR(IF(Z316="",0,Z316),"0")</f>
        <v>0</v>
      </c>
      <c r="AA317" s="550"/>
      <c r="AB317" s="550"/>
      <c r="AC317" s="550"/>
    </row>
    <row r="318" spans="1:68" hidden="1" x14ac:dyDescent="0.2">
      <c r="A318" s="557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61"/>
      <c r="P318" s="553" t="s">
        <v>75</v>
      </c>
      <c r="Q318" s="554"/>
      <c r="R318" s="554"/>
      <c r="S318" s="554"/>
      <c r="T318" s="554"/>
      <c r="U318" s="554"/>
      <c r="V318" s="555"/>
      <c r="W318" s="37" t="s">
        <v>69</v>
      </c>
      <c r="X318" s="549">
        <f>IFERROR(SUM(X313:X316),"0")</f>
        <v>0</v>
      </c>
      <c r="Y318" s="549">
        <f>IFERROR(SUM(Y313:Y316),"0")</f>
        <v>0</v>
      </c>
      <c r="Z318" s="37"/>
      <c r="AA318" s="550"/>
      <c r="AB318" s="550"/>
      <c r="AC318" s="550"/>
    </row>
    <row r="319" spans="1:68" ht="14.25" hidden="1" customHeight="1" x14ac:dyDescent="0.25">
      <c r="A319" s="556" t="s">
        <v>162</v>
      </c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7"/>
      <c r="P319" s="557"/>
      <c r="Q319" s="557"/>
      <c r="R319" s="557"/>
      <c r="S319" s="557"/>
      <c r="T319" s="557"/>
      <c r="U319" s="557"/>
      <c r="V319" s="557"/>
      <c r="W319" s="557"/>
      <c r="X319" s="557"/>
      <c r="Y319" s="557"/>
      <c r="Z319" s="557"/>
      <c r="AA319" s="543"/>
      <c r="AB319" s="543"/>
      <c r="AC319" s="543"/>
    </row>
    <row r="320" spans="1:68" ht="27" customHeight="1" x14ac:dyDescent="0.25">
      <c r="A320" s="54" t="s">
        <v>516</v>
      </c>
      <c r="B320" s="54" t="s">
        <v>517</v>
      </c>
      <c r="C320" s="31">
        <v>4301060387</v>
      </c>
      <c r="D320" s="558">
        <v>4607091380880</v>
      </c>
      <c r="E320" s="559"/>
      <c r="F320" s="546">
        <v>1.4</v>
      </c>
      <c r="G320" s="32">
        <v>6</v>
      </c>
      <c r="H320" s="546">
        <v>8.4</v>
      </c>
      <c r="I320" s="546">
        <v>8.8940000000000001</v>
      </c>
      <c r="J320" s="32">
        <v>64</v>
      </c>
      <c r="K320" s="32" t="s">
        <v>104</v>
      </c>
      <c r="L320" s="32" t="s">
        <v>105</v>
      </c>
      <c r="M320" s="33" t="s">
        <v>80</v>
      </c>
      <c r="N320" s="33"/>
      <c r="O320" s="32">
        <v>30</v>
      </c>
      <c r="P320" s="69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65"/>
      <c r="R320" s="565"/>
      <c r="S320" s="565"/>
      <c r="T320" s="566"/>
      <c r="U320" s="34"/>
      <c r="V320" s="34"/>
      <c r="W320" s="35" t="s">
        <v>69</v>
      </c>
      <c r="X320" s="547">
        <v>150</v>
      </c>
      <c r="Y320" s="548">
        <f>IFERROR(IF(X320="",0,CEILING((X320/$H320),1)*$H320),"")</f>
        <v>151.20000000000002</v>
      </c>
      <c r="Z320" s="36">
        <f>IFERROR(IF(Y320=0,"",ROUNDUP(Y320/H320,0)*0.01898),"")</f>
        <v>0.34164</v>
      </c>
      <c r="AA320" s="56"/>
      <c r="AB320" s="57"/>
      <c r="AC320" s="375" t="s">
        <v>518</v>
      </c>
      <c r="AG320" s="64"/>
      <c r="AJ320" s="68" t="s">
        <v>108</v>
      </c>
      <c r="AK320" s="68">
        <v>67.2</v>
      </c>
      <c r="BB320" s="376" t="s">
        <v>1</v>
      </c>
      <c r="BM320" s="64">
        <f>IFERROR(X320*I320/H320,"0")</f>
        <v>158.82142857142856</v>
      </c>
      <c r="BN320" s="64">
        <f>IFERROR(Y320*I320/H320,"0")</f>
        <v>160.09200000000001</v>
      </c>
      <c r="BO320" s="64">
        <f>IFERROR(1/J320*(X320/H320),"0")</f>
        <v>0.27901785714285715</v>
      </c>
      <c r="BP320" s="64">
        <f>IFERROR(1/J320*(Y320/H320),"0")</f>
        <v>0.28125</v>
      </c>
    </row>
    <row r="321" spans="1:68" ht="27" hidden="1" customHeight="1" x14ac:dyDescent="0.25">
      <c r="A321" s="54" t="s">
        <v>519</v>
      </c>
      <c r="B321" s="54" t="s">
        <v>520</v>
      </c>
      <c r="C321" s="31">
        <v>4301060406</v>
      </c>
      <c r="D321" s="558">
        <v>4607091384482</v>
      </c>
      <c r="E321" s="559"/>
      <c r="F321" s="546">
        <v>1.3</v>
      </c>
      <c r="G321" s="32">
        <v>6</v>
      </c>
      <c r="H321" s="546">
        <v>7.8</v>
      </c>
      <c r="I321" s="546">
        <v>8.2940000000000005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66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65"/>
      <c r="R321" s="565"/>
      <c r="S321" s="565"/>
      <c r="T321" s="566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521</v>
      </c>
      <c r="AG321" s="64"/>
      <c r="AJ321" s="68" t="s">
        <v>108</v>
      </c>
      <c r="AK321" s="68">
        <v>62.4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16.5" hidden="1" customHeight="1" x14ac:dyDescent="0.25">
      <c r="A322" s="54" t="s">
        <v>522</v>
      </c>
      <c r="B322" s="54" t="s">
        <v>523</v>
      </c>
      <c r="C322" s="31">
        <v>4301060484</v>
      </c>
      <c r="D322" s="558">
        <v>4607091380897</v>
      </c>
      <c r="E322" s="559"/>
      <c r="F322" s="546">
        <v>1.4</v>
      </c>
      <c r="G322" s="32">
        <v>6</v>
      </c>
      <c r="H322" s="546">
        <v>8.4</v>
      </c>
      <c r="I322" s="546">
        <v>8.8940000000000001</v>
      </c>
      <c r="J322" s="32">
        <v>64</v>
      </c>
      <c r="K322" s="32" t="s">
        <v>104</v>
      </c>
      <c r="L322" s="32" t="s">
        <v>105</v>
      </c>
      <c r="M322" s="33" t="s">
        <v>86</v>
      </c>
      <c r="N322" s="33"/>
      <c r="O322" s="32">
        <v>30</v>
      </c>
      <c r="P322" s="70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65"/>
      <c r="R322" s="565"/>
      <c r="S322" s="565"/>
      <c r="T322" s="566"/>
      <c r="U322" s="34"/>
      <c r="V322" s="34"/>
      <c r="W322" s="35" t="s">
        <v>69</v>
      </c>
      <c r="X322" s="547">
        <v>0</v>
      </c>
      <c r="Y322" s="548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524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60"/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61"/>
      <c r="P323" s="553" t="s">
        <v>75</v>
      </c>
      <c r="Q323" s="554"/>
      <c r="R323" s="554"/>
      <c r="S323" s="554"/>
      <c r="T323" s="554"/>
      <c r="U323" s="554"/>
      <c r="V323" s="555"/>
      <c r="W323" s="37" t="s">
        <v>76</v>
      </c>
      <c r="X323" s="549">
        <f>IFERROR(X320/H320,"0")+IFERROR(X321/H321,"0")+IFERROR(X322/H322,"0")</f>
        <v>17.857142857142858</v>
      </c>
      <c r="Y323" s="549">
        <f>IFERROR(Y320/H320,"0")+IFERROR(Y321/H321,"0")+IFERROR(Y322/H322,"0")</f>
        <v>18</v>
      </c>
      <c r="Z323" s="549">
        <f>IFERROR(IF(Z320="",0,Z320),"0")+IFERROR(IF(Z321="",0,Z321),"0")+IFERROR(IF(Z322="",0,Z322),"0")</f>
        <v>0.34164</v>
      </c>
      <c r="AA323" s="550"/>
      <c r="AB323" s="550"/>
      <c r="AC323" s="550"/>
    </row>
    <row r="324" spans="1:68" x14ac:dyDescent="0.2">
      <c r="A324" s="557"/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61"/>
      <c r="P324" s="553" t="s">
        <v>75</v>
      </c>
      <c r="Q324" s="554"/>
      <c r="R324" s="554"/>
      <c r="S324" s="554"/>
      <c r="T324" s="554"/>
      <c r="U324" s="554"/>
      <c r="V324" s="555"/>
      <c r="W324" s="37" t="s">
        <v>69</v>
      </c>
      <c r="X324" s="549">
        <f>IFERROR(SUM(X320:X322),"0")</f>
        <v>150</v>
      </c>
      <c r="Y324" s="549">
        <f>IFERROR(SUM(Y320:Y322),"0")</f>
        <v>151.20000000000002</v>
      </c>
      <c r="Z324" s="37"/>
      <c r="AA324" s="550"/>
      <c r="AB324" s="550"/>
      <c r="AC324" s="550"/>
    </row>
    <row r="325" spans="1:68" ht="14.25" hidden="1" customHeight="1" x14ac:dyDescent="0.25">
      <c r="A325" s="556" t="s">
        <v>93</v>
      </c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57"/>
      <c r="P325" s="557"/>
      <c r="Q325" s="557"/>
      <c r="R325" s="557"/>
      <c r="S325" s="557"/>
      <c r="T325" s="557"/>
      <c r="U325" s="557"/>
      <c r="V325" s="557"/>
      <c r="W325" s="557"/>
      <c r="X325" s="557"/>
      <c r="Y325" s="557"/>
      <c r="Z325" s="557"/>
      <c r="AA325" s="543"/>
      <c r="AB325" s="543"/>
      <c r="AC325" s="543"/>
    </row>
    <row r="326" spans="1:68" ht="27" hidden="1" customHeight="1" x14ac:dyDescent="0.25">
      <c r="A326" s="54" t="s">
        <v>525</v>
      </c>
      <c r="B326" s="54" t="s">
        <v>526</v>
      </c>
      <c r="C326" s="31">
        <v>4301030235</v>
      </c>
      <c r="D326" s="558">
        <v>4607091388381</v>
      </c>
      <c r="E326" s="559"/>
      <c r="F326" s="546">
        <v>0.38</v>
      </c>
      <c r="G326" s="32">
        <v>8</v>
      </c>
      <c r="H326" s="546">
        <v>3.04</v>
      </c>
      <c r="I326" s="546">
        <v>3.31</v>
      </c>
      <c r="J326" s="32">
        <v>132</v>
      </c>
      <c r="K326" s="32" t="s">
        <v>111</v>
      </c>
      <c r="L326" s="32"/>
      <c r="M326" s="33" t="s">
        <v>96</v>
      </c>
      <c r="N326" s="33"/>
      <c r="O326" s="32">
        <v>180</v>
      </c>
      <c r="P326" s="8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65"/>
      <c r="R326" s="565"/>
      <c r="S326" s="565"/>
      <c r="T326" s="566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528</v>
      </c>
      <c r="B327" s="54" t="s">
        <v>529</v>
      </c>
      <c r="C327" s="31">
        <v>4301030232</v>
      </c>
      <c r="D327" s="558">
        <v>4607091388374</v>
      </c>
      <c r="E327" s="559"/>
      <c r="F327" s="546">
        <v>0.38</v>
      </c>
      <c r="G327" s="32">
        <v>8</v>
      </c>
      <c r="H327" s="546">
        <v>3.04</v>
      </c>
      <c r="I327" s="546">
        <v>3.27</v>
      </c>
      <c r="J327" s="32">
        <v>132</v>
      </c>
      <c r="K327" s="32" t="s">
        <v>111</v>
      </c>
      <c r="L327" s="32"/>
      <c r="M327" s="33" t="s">
        <v>96</v>
      </c>
      <c r="N327" s="33"/>
      <c r="O327" s="32">
        <v>180</v>
      </c>
      <c r="P327" s="70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65"/>
      <c r="R327" s="565"/>
      <c r="S327" s="565"/>
      <c r="T327" s="566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530</v>
      </c>
      <c r="B328" s="54" t="s">
        <v>531</v>
      </c>
      <c r="C328" s="31">
        <v>4301032015</v>
      </c>
      <c r="D328" s="558">
        <v>4607091383102</v>
      </c>
      <c r="E328" s="559"/>
      <c r="F328" s="546">
        <v>0.17</v>
      </c>
      <c r="G328" s="32">
        <v>15</v>
      </c>
      <c r="H328" s="546">
        <v>2.5499999999999998</v>
      </c>
      <c r="I328" s="546">
        <v>2.9550000000000001</v>
      </c>
      <c r="J328" s="32">
        <v>182</v>
      </c>
      <c r="K328" s="32" t="s">
        <v>67</v>
      </c>
      <c r="L328" s="32" t="s">
        <v>189</v>
      </c>
      <c r="M328" s="33" t="s">
        <v>96</v>
      </c>
      <c r="N328" s="33"/>
      <c r="O328" s="32">
        <v>180</v>
      </c>
      <c r="P328" s="86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65"/>
      <c r="R328" s="565"/>
      <c r="S328" s="565"/>
      <c r="T328" s="566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532</v>
      </c>
      <c r="AG328" s="64"/>
      <c r="AJ328" s="68" t="s">
        <v>108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4301030233</v>
      </c>
      <c r="D329" s="558">
        <v>4607091388404</v>
      </c>
      <c r="E329" s="559"/>
      <c r="F329" s="546">
        <v>0.17</v>
      </c>
      <c r="G329" s="32">
        <v>15</v>
      </c>
      <c r="H329" s="546">
        <v>2.5499999999999998</v>
      </c>
      <c r="I329" s="546">
        <v>2.88</v>
      </c>
      <c r="J329" s="32">
        <v>182</v>
      </c>
      <c r="K329" s="32" t="s">
        <v>67</v>
      </c>
      <c r="L329" s="32" t="s">
        <v>189</v>
      </c>
      <c r="M329" s="33" t="s">
        <v>96</v>
      </c>
      <c r="N329" s="33"/>
      <c r="O329" s="32">
        <v>180</v>
      </c>
      <c r="P329" s="8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65"/>
      <c r="R329" s="565"/>
      <c r="S329" s="565"/>
      <c r="T329" s="566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108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0"/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61"/>
      <c r="P330" s="553" t="s">
        <v>75</v>
      </c>
      <c r="Q330" s="554"/>
      <c r="R330" s="554"/>
      <c r="S330" s="554"/>
      <c r="T330" s="554"/>
      <c r="U330" s="554"/>
      <c r="V330" s="555"/>
      <c r="W330" s="37" t="s">
        <v>76</v>
      </c>
      <c r="X330" s="549">
        <f>IFERROR(X326/H326,"0")+IFERROR(X327/H327,"0")+IFERROR(X328/H328,"0")+IFERROR(X329/H329,"0")</f>
        <v>0</v>
      </c>
      <c r="Y330" s="549">
        <f>IFERROR(Y326/H326,"0")+IFERROR(Y327/H327,"0")+IFERROR(Y328/H328,"0")+IFERROR(Y329/H329,"0")</f>
        <v>0</v>
      </c>
      <c r="Z330" s="549">
        <f>IFERROR(IF(Z326="",0,Z326),"0")+IFERROR(IF(Z327="",0,Z327),"0")+IFERROR(IF(Z328="",0,Z328),"0")+IFERROR(IF(Z329="",0,Z329),"0")</f>
        <v>0</v>
      </c>
      <c r="AA330" s="550"/>
      <c r="AB330" s="550"/>
      <c r="AC330" s="550"/>
    </row>
    <row r="331" spans="1:68" hidden="1" x14ac:dyDescent="0.2">
      <c r="A331" s="557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61"/>
      <c r="P331" s="553" t="s">
        <v>75</v>
      </c>
      <c r="Q331" s="554"/>
      <c r="R331" s="554"/>
      <c r="S331" s="554"/>
      <c r="T331" s="554"/>
      <c r="U331" s="554"/>
      <c r="V331" s="555"/>
      <c r="W331" s="37" t="s">
        <v>69</v>
      </c>
      <c r="X331" s="549">
        <f>IFERROR(SUM(X326:X329),"0")</f>
        <v>0</v>
      </c>
      <c r="Y331" s="549">
        <f>IFERROR(SUM(Y326:Y329),"0")</f>
        <v>0</v>
      </c>
      <c r="Z331" s="37"/>
      <c r="AA331" s="550"/>
      <c r="AB331" s="550"/>
      <c r="AC331" s="550"/>
    </row>
    <row r="332" spans="1:68" ht="14.25" hidden="1" customHeight="1" x14ac:dyDescent="0.25">
      <c r="A332" s="556" t="s">
        <v>535</v>
      </c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7"/>
      <c r="P332" s="557"/>
      <c r="Q332" s="557"/>
      <c r="R332" s="557"/>
      <c r="S332" s="557"/>
      <c r="T332" s="557"/>
      <c r="U332" s="557"/>
      <c r="V332" s="557"/>
      <c r="W332" s="557"/>
      <c r="X332" s="557"/>
      <c r="Y332" s="557"/>
      <c r="Z332" s="557"/>
      <c r="AA332" s="543"/>
      <c r="AB332" s="543"/>
      <c r="AC332" s="543"/>
    </row>
    <row r="333" spans="1:68" ht="16.5" hidden="1" customHeight="1" x14ac:dyDescent="0.25">
      <c r="A333" s="54" t="s">
        <v>536</v>
      </c>
      <c r="B333" s="54" t="s">
        <v>537</v>
      </c>
      <c r="C333" s="31">
        <v>4301180007</v>
      </c>
      <c r="D333" s="558">
        <v>4680115881808</v>
      </c>
      <c r="E333" s="559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 t="s">
        <v>189</v>
      </c>
      <c r="M333" s="33" t="s">
        <v>538</v>
      </c>
      <c r="N333" s="33"/>
      <c r="O333" s="32">
        <v>730</v>
      </c>
      <c r="P333" s="7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65"/>
      <c r="R333" s="565"/>
      <c r="S333" s="565"/>
      <c r="T333" s="566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 t="s">
        <v>108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540</v>
      </c>
      <c r="B334" s="54" t="s">
        <v>541</v>
      </c>
      <c r="C334" s="31">
        <v>4301180006</v>
      </c>
      <c r="D334" s="558">
        <v>4680115881822</v>
      </c>
      <c r="E334" s="559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 t="s">
        <v>189</v>
      </c>
      <c r="M334" s="33" t="s">
        <v>538</v>
      </c>
      <c r="N334" s="33"/>
      <c r="O334" s="32">
        <v>730</v>
      </c>
      <c r="P334" s="8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65"/>
      <c r="R334" s="565"/>
      <c r="S334" s="565"/>
      <c r="T334" s="566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 t="s">
        <v>108</v>
      </c>
      <c r="AK334" s="68">
        <v>28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542</v>
      </c>
      <c r="B335" s="54" t="s">
        <v>543</v>
      </c>
      <c r="C335" s="31">
        <v>4301180001</v>
      </c>
      <c r="D335" s="558">
        <v>4680115880016</v>
      </c>
      <c r="E335" s="559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 t="s">
        <v>189</v>
      </c>
      <c r="M335" s="33" t="s">
        <v>538</v>
      </c>
      <c r="N335" s="33"/>
      <c r="O335" s="32">
        <v>730</v>
      </c>
      <c r="P335" s="70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65"/>
      <c r="R335" s="565"/>
      <c r="S335" s="565"/>
      <c r="T335" s="566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539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560"/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61"/>
      <c r="P336" s="553" t="s">
        <v>75</v>
      </c>
      <c r="Q336" s="554"/>
      <c r="R336" s="554"/>
      <c r="S336" s="554"/>
      <c r="T336" s="554"/>
      <c r="U336" s="554"/>
      <c r="V336" s="555"/>
      <c r="W336" s="37" t="s">
        <v>76</v>
      </c>
      <c r="X336" s="549">
        <f>IFERROR(X333/H333,"0")+IFERROR(X334/H334,"0")+IFERROR(X335/H335,"0")</f>
        <v>0</v>
      </c>
      <c r="Y336" s="549">
        <f>IFERROR(Y333/H333,"0")+IFERROR(Y334/H334,"0")+IFERROR(Y335/H335,"0")</f>
        <v>0</v>
      </c>
      <c r="Z336" s="549">
        <f>IFERROR(IF(Z333="",0,Z333),"0")+IFERROR(IF(Z334="",0,Z334),"0")+IFERROR(IF(Z335="",0,Z335),"0")</f>
        <v>0</v>
      </c>
      <c r="AA336" s="550"/>
      <c r="AB336" s="550"/>
      <c r="AC336" s="550"/>
    </row>
    <row r="337" spans="1:68" hidden="1" x14ac:dyDescent="0.2">
      <c r="A337" s="557"/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61"/>
      <c r="P337" s="553" t="s">
        <v>75</v>
      </c>
      <c r="Q337" s="554"/>
      <c r="R337" s="554"/>
      <c r="S337" s="554"/>
      <c r="T337" s="554"/>
      <c r="U337" s="554"/>
      <c r="V337" s="555"/>
      <c r="W337" s="37" t="s">
        <v>69</v>
      </c>
      <c r="X337" s="549">
        <f>IFERROR(SUM(X333:X335),"0")</f>
        <v>0</v>
      </c>
      <c r="Y337" s="549">
        <f>IFERROR(SUM(Y333:Y335),"0")</f>
        <v>0</v>
      </c>
      <c r="Z337" s="37"/>
      <c r="AA337" s="550"/>
      <c r="AB337" s="550"/>
      <c r="AC337" s="550"/>
    </row>
    <row r="338" spans="1:68" ht="16.5" hidden="1" customHeight="1" x14ac:dyDescent="0.25">
      <c r="A338" s="590" t="s">
        <v>544</v>
      </c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7"/>
      <c r="P338" s="557"/>
      <c r="Q338" s="557"/>
      <c r="R338" s="557"/>
      <c r="S338" s="557"/>
      <c r="T338" s="557"/>
      <c r="U338" s="557"/>
      <c r="V338" s="557"/>
      <c r="W338" s="557"/>
      <c r="X338" s="557"/>
      <c r="Y338" s="557"/>
      <c r="Z338" s="557"/>
      <c r="AA338" s="542"/>
      <c r="AB338" s="542"/>
      <c r="AC338" s="542"/>
    </row>
    <row r="339" spans="1:68" ht="14.25" hidden="1" customHeight="1" x14ac:dyDescent="0.25">
      <c r="A339" s="556" t="s">
        <v>77</v>
      </c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57"/>
      <c r="P339" s="557"/>
      <c r="Q339" s="557"/>
      <c r="R339" s="557"/>
      <c r="S339" s="557"/>
      <c r="T339" s="557"/>
      <c r="U339" s="557"/>
      <c r="V339" s="557"/>
      <c r="W339" s="557"/>
      <c r="X339" s="557"/>
      <c r="Y339" s="557"/>
      <c r="Z339" s="557"/>
      <c r="AA339" s="543"/>
      <c r="AB339" s="543"/>
      <c r="AC339" s="543"/>
    </row>
    <row r="340" spans="1:68" ht="27" hidden="1" customHeight="1" x14ac:dyDescent="0.25">
      <c r="A340" s="54" t="s">
        <v>545</v>
      </c>
      <c r="B340" s="54" t="s">
        <v>546</v>
      </c>
      <c r="C340" s="31">
        <v>4301051489</v>
      </c>
      <c r="D340" s="558">
        <v>4607091387919</v>
      </c>
      <c r="E340" s="559"/>
      <c r="F340" s="546">
        <v>1.35</v>
      </c>
      <c r="G340" s="32">
        <v>6</v>
      </c>
      <c r="H340" s="546">
        <v>8.1</v>
      </c>
      <c r="I340" s="546">
        <v>8.5939999999999994</v>
      </c>
      <c r="J340" s="32">
        <v>64</v>
      </c>
      <c r="K340" s="32" t="s">
        <v>104</v>
      </c>
      <c r="L340" s="32" t="s">
        <v>105</v>
      </c>
      <c r="M340" s="33" t="s">
        <v>86</v>
      </c>
      <c r="N340" s="33"/>
      <c r="O340" s="32">
        <v>45</v>
      </c>
      <c r="P340" s="77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65"/>
      <c r="R340" s="565"/>
      <c r="S340" s="565"/>
      <c r="T340" s="566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547</v>
      </c>
      <c r="AG340" s="64"/>
      <c r="AJ340" s="68" t="s">
        <v>108</v>
      </c>
      <c r="AK340" s="68">
        <v>64.8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548</v>
      </c>
      <c r="B341" s="54" t="s">
        <v>549</v>
      </c>
      <c r="C341" s="31">
        <v>4301051461</v>
      </c>
      <c r="D341" s="558">
        <v>4680115883604</v>
      </c>
      <c r="E341" s="559"/>
      <c r="F341" s="546">
        <v>0.35</v>
      </c>
      <c r="G341" s="32">
        <v>6</v>
      </c>
      <c r="H341" s="546">
        <v>2.1</v>
      </c>
      <c r="I341" s="546">
        <v>2.3519999999999999</v>
      </c>
      <c r="J341" s="32">
        <v>182</v>
      </c>
      <c r="K341" s="32" t="s">
        <v>67</v>
      </c>
      <c r="L341" s="32" t="s">
        <v>189</v>
      </c>
      <c r="M341" s="33" t="s">
        <v>80</v>
      </c>
      <c r="N341" s="33"/>
      <c r="O341" s="32">
        <v>45</v>
      </c>
      <c r="P341" s="66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65"/>
      <c r="R341" s="565"/>
      <c r="S341" s="565"/>
      <c r="T341" s="566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550</v>
      </c>
      <c r="AG341" s="64"/>
      <c r="AJ341" s="68" t="s">
        <v>108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551</v>
      </c>
      <c r="B342" s="54" t="s">
        <v>552</v>
      </c>
      <c r="C342" s="31">
        <v>4301051864</v>
      </c>
      <c r="D342" s="558">
        <v>4680115883567</v>
      </c>
      <c r="E342" s="559"/>
      <c r="F342" s="546">
        <v>0.35</v>
      </c>
      <c r="G342" s="32">
        <v>6</v>
      </c>
      <c r="H342" s="546">
        <v>2.1</v>
      </c>
      <c r="I342" s="546">
        <v>2.34</v>
      </c>
      <c r="J342" s="32">
        <v>182</v>
      </c>
      <c r="K342" s="32" t="s">
        <v>67</v>
      </c>
      <c r="L342" s="32" t="s">
        <v>189</v>
      </c>
      <c r="M342" s="33" t="s">
        <v>86</v>
      </c>
      <c r="N342" s="33"/>
      <c r="O342" s="32">
        <v>40</v>
      </c>
      <c r="P342" s="63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65"/>
      <c r="R342" s="565"/>
      <c r="S342" s="565"/>
      <c r="T342" s="566"/>
      <c r="U342" s="34"/>
      <c r="V342" s="34"/>
      <c r="W342" s="35" t="s">
        <v>69</v>
      </c>
      <c r="X342" s="547">
        <v>0</v>
      </c>
      <c r="Y342" s="548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553</v>
      </c>
      <c r="AG342" s="64"/>
      <c r="AJ342" s="68" t="s">
        <v>108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560"/>
      <c r="B343" s="557"/>
      <c r="C343" s="557"/>
      <c r="D343" s="557"/>
      <c r="E343" s="557"/>
      <c r="F343" s="557"/>
      <c r="G343" s="557"/>
      <c r="H343" s="557"/>
      <c r="I343" s="557"/>
      <c r="J343" s="557"/>
      <c r="K343" s="557"/>
      <c r="L343" s="557"/>
      <c r="M343" s="557"/>
      <c r="N343" s="557"/>
      <c r="O343" s="561"/>
      <c r="P343" s="553" t="s">
        <v>75</v>
      </c>
      <c r="Q343" s="554"/>
      <c r="R343" s="554"/>
      <c r="S343" s="554"/>
      <c r="T343" s="554"/>
      <c r="U343" s="554"/>
      <c r="V343" s="555"/>
      <c r="W343" s="37" t="s">
        <v>76</v>
      </c>
      <c r="X343" s="549">
        <f>IFERROR(X340/H340,"0")+IFERROR(X341/H341,"0")+IFERROR(X342/H342,"0")</f>
        <v>0</v>
      </c>
      <c r="Y343" s="549">
        <f>IFERROR(Y340/H340,"0")+IFERROR(Y341/H341,"0")+IFERROR(Y342/H342,"0")</f>
        <v>0</v>
      </c>
      <c r="Z343" s="549">
        <f>IFERROR(IF(Z340="",0,Z340),"0")+IFERROR(IF(Z341="",0,Z341),"0")+IFERROR(IF(Z342="",0,Z342),"0")</f>
        <v>0</v>
      </c>
      <c r="AA343" s="550"/>
      <c r="AB343" s="550"/>
      <c r="AC343" s="550"/>
    </row>
    <row r="344" spans="1:68" hidden="1" x14ac:dyDescent="0.2">
      <c r="A344" s="557"/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61"/>
      <c r="P344" s="553" t="s">
        <v>75</v>
      </c>
      <c r="Q344" s="554"/>
      <c r="R344" s="554"/>
      <c r="S344" s="554"/>
      <c r="T344" s="554"/>
      <c r="U344" s="554"/>
      <c r="V344" s="555"/>
      <c r="W344" s="37" t="s">
        <v>69</v>
      </c>
      <c r="X344" s="549">
        <f>IFERROR(SUM(X340:X342),"0")</f>
        <v>0</v>
      </c>
      <c r="Y344" s="549">
        <f>IFERROR(SUM(Y340:Y342),"0")</f>
        <v>0</v>
      </c>
      <c r="Z344" s="37"/>
      <c r="AA344" s="550"/>
      <c r="AB344" s="550"/>
      <c r="AC344" s="550"/>
    </row>
    <row r="345" spans="1:68" ht="27.75" hidden="1" customHeight="1" x14ac:dyDescent="0.2">
      <c r="A345" s="651" t="s">
        <v>554</v>
      </c>
      <c r="B345" s="652"/>
      <c r="C345" s="652"/>
      <c r="D345" s="652"/>
      <c r="E345" s="652"/>
      <c r="F345" s="652"/>
      <c r="G345" s="652"/>
      <c r="H345" s="652"/>
      <c r="I345" s="652"/>
      <c r="J345" s="652"/>
      <c r="K345" s="652"/>
      <c r="L345" s="652"/>
      <c r="M345" s="652"/>
      <c r="N345" s="652"/>
      <c r="O345" s="652"/>
      <c r="P345" s="652"/>
      <c r="Q345" s="652"/>
      <c r="R345" s="652"/>
      <c r="S345" s="652"/>
      <c r="T345" s="652"/>
      <c r="U345" s="652"/>
      <c r="V345" s="652"/>
      <c r="W345" s="652"/>
      <c r="X345" s="652"/>
      <c r="Y345" s="652"/>
      <c r="Z345" s="652"/>
      <c r="AA345" s="48"/>
      <c r="AB345" s="48"/>
      <c r="AC345" s="48"/>
    </row>
    <row r="346" spans="1:68" ht="16.5" hidden="1" customHeight="1" x14ac:dyDescent="0.25">
      <c r="A346" s="590" t="s">
        <v>555</v>
      </c>
      <c r="B346" s="557"/>
      <c r="C346" s="557"/>
      <c r="D346" s="557"/>
      <c r="E346" s="557"/>
      <c r="F346" s="557"/>
      <c r="G346" s="557"/>
      <c r="H346" s="557"/>
      <c r="I346" s="557"/>
      <c r="J346" s="557"/>
      <c r="K346" s="557"/>
      <c r="L346" s="557"/>
      <c r="M346" s="557"/>
      <c r="N346" s="557"/>
      <c r="O346" s="557"/>
      <c r="P346" s="557"/>
      <c r="Q346" s="557"/>
      <c r="R346" s="557"/>
      <c r="S346" s="557"/>
      <c r="T346" s="557"/>
      <c r="U346" s="557"/>
      <c r="V346" s="557"/>
      <c r="W346" s="557"/>
      <c r="X346" s="557"/>
      <c r="Y346" s="557"/>
      <c r="Z346" s="557"/>
      <c r="AA346" s="542"/>
      <c r="AB346" s="542"/>
      <c r="AC346" s="542"/>
    </row>
    <row r="347" spans="1:68" ht="14.25" hidden="1" customHeight="1" x14ac:dyDescent="0.25">
      <c r="A347" s="556" t="s">
        <v>101</v>
      </c>
      <c r="B347" s="557"/>
      <c r="C347" s="557"/>
      <c r="D347" s="557"/>
      <c r="E347" s="557"/>
      <c r="F347" s="557"/>
      <c r="G347" s="557"/>
      <c r="H347" s="557"/>
      <c r="I347" s="557"/>
      <c r="J347" s="557"/>
      <c r="K347" s="557"/>
      <c r="L347" s="557"/>
      <c r="M347" s="557"/>
      <c r="N347" s="557"/>
      <c r="O347" s="557"/>
      <c r="P347" s="557"/>
      <c r="Q347" s="557"/>
      <c r="R347" s="557"/>
      <c r="S347" s="557"/>
      <c r="T347" s="557"/>
      <c r="U347" s="557"/>
      <c r="V347" s="557"/>
      <c r="W347" s="557"/>
      <c r="X347" s="557"/>
      <c r="Y347" s="557"/>
      <c r="Z347" s="557"/>
      <c r="AA347" s="543"/>
      <c r="AB347" s="543"/>
      <c r="AC347" s="543"/>
    </row>
    <row r="348" spans="1:68" ht="37.5" customHeight="1" x14ac:dyDescent="0.25">
      <c r="A348" s="54" t="s">
        <v>556</v>
      </c>
      <c r="B348" s="54" t="s">
        <v>557</v>
      </c>
      <c r="C348" s="31">
        <v>4301011869</v>
      </c>
      <c r="D348" s="558">
        <v>4680115884847</v>
      </c>
      <c r="E348" s="559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104</v>
      </c>
      <c r="L348" s="32" t="s">
        <v>105</v>
      </c>
      <c r="M348" s="33" t="s">
        <v>68</v>
      </c>
      <c r="N348" s="33"/>
      <c r="O348" s="32">
        <v>60</v>
      </c>
      <c r="P348" s="65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65"/>
      <c r="R348" s="565"/>
      <c r="S348" s="565"/>
      <c r="T348" s="566"/>
      <c r="U348" s="34"/>
      <c r="V348" s="34"/>
      <c r="W348" s="35" t="s">
        <v>69</v>
      </c>
      <c r="X348" s="547">
        <v>1700</v>
      </c>
      <c r="Y348" s="548">
        <f t="shared" ref="Y348:Y354" si="36">IFERROR(IF(X348="",0,CEILING((X348/$H348),1)*$H348),"")</f>
        <v>1710</v>
      </c>
      <c r="Z348" s="36">
        <f>IFERROR(IF(Y348=0,"",ROUNDUP(Y348/H348,0)*0.02175),"")</f>
        <v>2.4794999999999998</v>
      </c>
      <c r="AA348" s="56"/>
      <c r="AB348" s="57"/>
      <c r="AC348" s="401" t="s">
        <v>558</v>
      </c>
      <c r="AG348" s="64"/>
      <c r="AJ348" s="68" t="s">
        <v>108</v>
      </c>
      <c r="AK348" s="68">
        <v>120</v>
      </c>
      <c r="BB348" s="402" t="s">
        <v>1</v>
      </c>
      <c r="BM348" s="64">
        <f t="shared" ref="BM348:BM354" si="37">IFERROR(X348*I348/H348,"0")</f>
        <v>1753.2666666666667</v>
      </c>
      <c r="BN348" s="64">
        <f t="shared" ref="BN348:BN354" si="38">IFERROR(Y348*I348/H348,"0")</f>
        <v>1763.5800000000002</v>
      </c>
      <c r="BO348" s="64">
        <f t="shared" ref="BO348:BO354" si="39">IFERROR(1/J348*(X348/H348),"0")</f>
        <v>2.3611111111111107</v>
      </c>
      <c r="BP348" s="64">
        <f t="shared" ref="BP348:BP354" si="40">IFERROR(1/J348*(Y348/H348),"0")</f>
        <v>2.375</v>
      </c>
    </row>
    <row r="349" spans="1:68" ht="27" customHeight="1" x14ac:dyDescent="0.25">
      <c r="A349" s="54" t="s">
        <v>559</v>
      </c>
      <c r="B349" s="54" t="s">
        <v>560</v>
      </c>
      <c r="C349" s="31">
        <v>4301011870</v>
      </c>
      <c r="D349" s="558">
        <v>4680115884854</v>
      </c>
      <c r="E349" s="559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 t="s">
        <v>105</v>
      </c>
      <c r="M349" s="33" t="s">
        <v>68</v>
      </c>
      <c r="N349" s="33"/>
      <c r="O349" s="32">
        <v>60</v>
      </c>
      <c r="P349" s="64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65"/>
      <c r="R349" s="565"/>
      <c r="S349" s="565"/>
      <c r="T349" s="566"/>
      <c r="U349" s="34"/>
      <c r="V349" s="34"/>
      <c r="W349" s="35" t="s">
        <v>69</v>
      </c>
      <c r="X349" s="547">
        <v>450</v>
      </c>
      <c r="Y349" s="548">
        <f t="shared" si="36"/>
        <v>450</v>
      </c>
      <c r="Z349" s="36">
        <f>IFERROR(IF(Y349=0,"",ROUNDUP(Y349/H349,0)*0.02175),"")</f>
        <v>0.65249999999999997</v>
      </c>
      <c r="AA349" s="56"/>
      <c r="AB349" s="57"/>
      <c r="AC349" s="403" t="s">
        <v>561</v>
      </c>
      <c r="AG349" s="64"/>
      <c r="AJ349" s="68" t="s">
        <v>108</v>
      </c>
      <c r="AK349" s="68">
        <v>120</v>
      </c>
      <c r="BB349" s="404" t="s">
        <v>1</v>
      </c>
      <c r="BM349" s="64">
        <f t="shared" si="37"/>
        <v>464.1</v>
      </c>
      <c r="BN349" s="64">
        <f t="shared" si="38"/>
        <v>464.1</v>
      </c>
      <c r="BO349" s="64">
        <f t="shared" si="39"/>
        <v>0.625</v>
      </c>
      <c r="BP349" s="64">
        <f t="shared" si="40"/>
        <v>0.625</v>
      </c>
    </row>
    <row r="350" spans="1:68" ht="37.5" customHeight="1" x14ac:dyDescent="0.25">
      <c r="A350" s="54" t="s">
        <v>562</v>
      </c>
      <c r="B350" s="54" t="s">
        <v>563</v>
      </c>
      <c r="C350" s="31">
        <v>4301011867</v>
      </c>
      <c r="D350" s="558">
        <v>4680115884830</v>
      </c>
      <c r="E350" s="559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79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65"/>
      <c r="R350" s="565"/>
      <c r="S350" s="565"/>
      <c r="T350" s="566"/>
      <c r="U350" s="34"/>
      <c r="V350" s="34"/>
      <c r="W350" s="35" t="s">
        <v>69</v>
      </c>
      <c r="X350" s="547">
        <v>1300</v>
      </c>
      <c r="Y350" s="548">
        <f t="shared" si="36"/>
        <v>1305</v>
      </c>
      <c r="Z350" s="36">
        <f>IFERROR(IF(Y350=0,"",ROUNDUP(Y350/H350,0)*0.02175),"")</f>
        <v>1.8922499999999998</v>
      </c>
      <c r="AA350" s="56"/>
      <c r="AB350" s="57"/>
      <c r="AC350" s="405" t="s">
        <v>564</v>
      </c>
      <c r="AG350" s="64"/>
      <c r="AJ350" s="68" t="s">
        <v>108</v>
      </c>
      <c r="AK350" s="68">
        <v>120</v>
      </c>
      <c r="BB350" s="406" t="s">
        <v>1</v>
      </c>
      <c r="BM350" s="64">
        <f t="shared" si="37"/>
        <v>1340.7333333333333</v>
      </c>
      <c r="BN350" s="64">
        <f t="shared" si="38"/>
        <v>1345.89</v>
      </c>
      <c r="BO350" s="64">
        <f t="shared" si="39"/>
        <v>1.8055555555555556</v>
      </c>
      <c r="BP350" s="64">
        <f t="shared" si="40"/>
        <v>1.8125</v>
      </c>
    </row>
    <row r="351" spans="1:68" ht="27" hidden="1" customHeight="1" x14ac:dyDescent="0.25">
      <c r="A351" s="54" t="s">
        <v>565</v>
      </c>
      <c r="B351" s="54" t="s">
        <v>566</v>
      </c>
      <c r="C351" s="31">
        <v>4301012215</v>
      </c>
      <c r="D351" s="558">
        <v>4680115887046</v>
      </c>
      <c r="E351" s="559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86</v>
      </c>
      <c r="N351" s="33"/>
      <c r="O351" s="32">
        <v>60</v>
      </c>
      <c r="P351" s="85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65"/>
      <c r="R351" s="565"/>
      <c r="S351" s="565"/>
      <c r="T351" s="566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567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hidden="1" customHeight="1" x14ac:dyDescent="0.25">
      <c r="A352" s="54" t="s">
        <v>568</v>
      </c>
      <c r="B352" s="54" t="s">
        <v>569</v>
      </c>
      <c r="C352" s="31">
        <v>4301011433</v>
      </c>
      <c r="D352" s="558">
        <v>4680115882638</v>
      </c>
      <c r="E352" s="559"/>
      <c r="F352" s="546">
        <v>0.4</v>
      </c>
      <c r="G352" s="32">
        <v>10</v>
      </c>
      <c r="H352" s="546">
        <v>4</v>
      </c>
      <c r="I352" s="546">
        <v>4.1900000000000004</v>
      </c>
      <c r="J352" s="32">
        <v>132</v>
      </c>
      <c r="K352" s="32" t="s">
        <v>111</v>
      </c>
      <c r="L352" s="32"/>
      <c r="M352" s="33" t="s">
        <v>106</v>
      </c>
      <c r="N352" s="33"/>
      <c r="O352" s="32">
        <v>90</v>
      </c>
      <c r="P352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65"/>
      <c r="R352" s="565"/>
      <c r="S352" s="565"/>
      <c r="T352" s="566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hidden="1" customHeight="1" x14ac:dyDescent="0.25">
      <c r="A353" s="54" t="s">
        <v>571</v>
      </c>
      <c r="B353" s="54" t="s">
        <v>572</v>
      </c>
      <c r="C353" s="31">
        <v>4301011952</v>
      </c>
      <c r="D353" s="558">
        <v>4680115884922</v>
      </c>
      <c r="E353" s="559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111</v>
      </c>
      <c r="L353" s="32"/>
      <c r="M353" s="33" t="s">
        <v>68</v>
      </c>
      <c r="N353" s="33"/>
      <c r="O353" s="32">
        <v>60</v>
      </c>
      <c r="P353" s="7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65"/>
      <c r="R353" s="565"/>
      <c r="S353" s="565"/>
      <c r="T353" s="566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561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37.5" hidden="1" customHeight="1" x14ac:dyDescent="0.25">
      <c r="A354" s="54" t="s">
        <v>573</v>
      </c>
      <c r="B354" s="54" t="s">
        <v>574</v>
      </c>
      <c r="C354" s="31">
        <v>4301011868</v>
      </c>
      <c r="D354" s="558">
        <v>4680115884861</v>
      </c>
      <c r="E354" s="559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111</v>
      </c>
      <c r="L354" s="32"/>
      <c r="M354" s="33" t="s">
        <v>68</v>
      </c>
      <c r="N354" s="33"/>
      <c r="O354" s="32">
        <v>60</v>
      </c>
      <c r="P354" s="64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65"/>
      <c r="R354" s="565"/>
      <c r="S354" s="565"/>
      <c r="T354" s="566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564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x14ac:dyDescent="0.2">
      <c r="A355" s="560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61"/>
      <c r="P355" s="553" t="s">
        <v>75</v>
      </c>
      <c r="Q355" s="554"/>
      <c r="R355" s="554"/>
      <c r="S355" s="554"/>
      <c r="T355" s="554"/>
      <c r="U355" s="554"/>
      <c r="V355" s="555"/>
      <c r="W355" s="37" t="s">
        <v>76</v>
      </c>
      <c r="X355" s="549">
        <f>IFERROR(X348/H348,"0")+IFERROR(X349/H349,"0")+IFERROR(X350/H350,"0")+IFERROR(X351/H351,"0")+IFERROR(X352/H352,"0")+IFERROR(X353/H353,"0")+IFERROR(X354/H354,"0")</f>
        <v>230</v>
      </c>
      <c r="Y355" s="549">
        <f>IFERROR(Y348/H348,"0")+IFERROR(Y349/H349,"0")+IFERROR(Y350/H350,"0")+IFERROR(Y351/H351,"0")+IFERROR(Y352/H352,"0")+IFERROR(Y353/H353,"0")+IFERROR(Y354/H354,"0")</f>
        <v>231</v>
      </c>
      <c r="Z355" s="549">
        <f>IFERROR(IF(Z348="",0,Z348),"0")+IFERROR(IF(Z349="",0,Z349),"0")+IFERROR(IF(Z350="",0,Z350),"0")+IFERROR(IF(Z351="",0,Z351),"0")+IFERROR(IF(Z352="",0,Z352),"0")+IFERROR(IF(Z353="",0,Z353),"0")+IFERROR(IF(Z354="",0,Z354),"0")</f>
        <v>5.0242499999999994</v>
      </c>
      <c r="AA355" s="550"/>
      <c r="AB355" s="550"/>
      <c r="AC355" s="550"/>
    </row>
    <row r="356" spans="1:68" x14ac:dyDescent="0.2">
      <c r="A356" s="557"/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61"/>
      <c r="P356" s="553" t="s">
        <v>75</v>
      </c>
      <c r="Q356" s="554"/>
      <c r="R356" s="554"/>
      <c r="S356" s="554"/>
      <c r="T356" s="554"/>
      <c r="U356" s="554"/>
      <c r="V356" s="555"/>
      <c r="W356" s="37" t="s">
        <v>69</v>
      </c>
      <c r="X356" s="549">
        <f>IFERROR(SUM(X348:X354),"0")</f>
        <v>3450</v>
      </c>
      <c r="Y356" s="549">
        <f>IFERROR(SUM(Y348:Y354),"0")</f>
        <v>3465</v>
      </c>
      <c r="Z356" s="37"/>
      <c r="AA356" s="550"/>
      <c r="AB356" s="550"/>
      <c r="AC356" s="550"/>
    </row>
    <row r="357" spans="1:68" ht="14.25" hidden="1" customHeight="1" x14ac:dyDescent="0.25">
      <c r="A357" s="556" t="s">
        <v>137</v>
      </c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7"/>
      <c r="P357" s="557"/>
      <c r="Q357" s="557"/>
      <c r="R357" s="557"/>
      <c r="S357" s="557"/>
      <c r="T357" s="557"/>
      <c r="U357" s="557"/>
      <c r="V357" s="557"/>
      <c r="W357" s="557"/>
      <c r="X357" s="557"/>
      <c r="Y357" s="557"/>
      <c r="Z357" s="557"/>
      <c r="AA357" s="543"/>
      <c r="AB357" s="543"/>
      <c r="AC357" s="543"/>
    </row>
    <row r="358" spans="1:68" ht="27" customHeight="1" x14ac:dyDescent="0.25">
      <c r="A358" s="54" t="s">
        <v>575</v>
      </c>
      <c r="B358" s="54" t="s">
        <v>576</v>
      </c>
      <c r="C358" s="31">
        <v>4301020178</v>
      </c>
      <c r="D358" s="558">
        <v>4607091383980</v>
      </c>
      <c r="E358" s="559"/>
      <c r="F358" s="546">
        <v>2.5</v>
      </c>
      <c r="G358" s="32">
        <v>6</v>
      </c>
      <c r="H358" s="546">
        <v>15</v>
      </c>
      <c r="I358" s="546">
        <v>15.47</v>
      </c>
      <c r="J358" s="32">
        <v>48</v>
      </c>
      <c r="K358" s="32" t="s">
        <v>104</v>
      </c>
      <c r="L358" s="32" t="s">
        <v>105</v>
      </c>
      <c r="M358" s="33" t="s">
        <v>106</v>
      </c>
      <c r="N358" s="33"/>
      <c r="O358" s="32">
        <v>50</v>
      </c>
      <c r="P358" s="77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65"/>
      <c r="R358" s="565"/>
      <c r="S358" s="565"/>
      <c r="T358" s="566"/>
      <c r="U358" s="34"/>
      <c r="V358" s="34"/>
      <c r="W358" s="35" t="s">
        <v>69</v>
      </c>
      <c r="X358" s="547">
        <v>2900</v>
      </c>
      <c r="Y358" s="548">
        <f>IFERROR(IF(X358="",0,CEILING((X358/$H358),1)*$H358),"")</f>
        <v>2910</v>
      </c>
      <c r="Z358" s="36">
        <f>IFERROR(IF(Y358=0,"",ROUNDUP(Y358/H358,0)*0.02175),"")</f>
        <v>4.2195</v>
      </c>
      <c r="AA358" s="56"/>
      <c r="AB358" s="57"/>
      <c r="AC358" s="415" t="s">
        <v>577</v>
      </c>
      <c r="AG358" s="64"/>
      <c r="AJ358" s="68" t="s">
        <v>108</v>
      </c>
      <c r="AK358" s="68">
        <v>120</v>
      </c>
      <c r="BB358" s="416" t="s">
        <v>1</v>
      </c>
      <c r="BM358" s="64">
        <f>IFERROR(X358*I358/H358,"0")</f>
        <v>2990.8666666666668</v>
      </c>
      <c r="BN358" s="64">
        <f>IFERROR(Y358*I358/H358,"0")</f>
        <v>3001.1800000000003</v>
      </c>
      <c r="BO358" s="64">
        <f>IFERROR(1/J358*(X358/H358),"0")</f>
        <v>4.0277777777777777</v>
      </c>
      <c r="BP358" s="64">
        <f>IFERROR(1/J358*(Y358/H358),"0")</f>
        <v>4.0416666666666661</v>
      </c>
    </row>
    <row r="359" spans="1:68" ht="27" hidden="1" customHeight="1" x14ac:dyDescent="0.25">
      <c r="A359" s="54" t="s">
        <v>578</v>
      </c>
      <c r="B359" s="54" t="s">
        <v>579</v>
      </c>
      <c r="C359" s="31">
        <v>4301020179</v>
      </c>
      <c r="D359" s="558">
        <v>4607091384178</v>
      </c>
      <c r="E359" s="559"/>
      <c r="F359" s="546">
        <v>0.4</v>
      </c>
      <c r="G359" s="32">
        <v>10</v>
      </c>
      <c r="H359" s="546">
        <v>4</v>
      </c>
      <c r="I359" s="546">
        <v>4.1900000000000004</v>
      </c>
      <c r="J359" s="32">
        <v>132</v>
      </c>
      <c r="K359" s="32" t="s">
        <v>111</v>
      </c>
      <c r="L359" s="32"/>
      <c r="M359" s="33" t="s">
        <v>106</v>
      </c>
      <c r="N359" s="33"/>
      <c r="O359" s="32">
        <v>50</v>
      </c>
      <c r="P359" s="66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65"/>
      <c r="R359" s="565"/>
      <c r="S359" s="565"/>
      <c r="T359" s="566"/>
      <c r="U359" s="34"/>
      <c r="V359" s="34"/>
      <c r="W359" s="35" t="s">
        <v>69</v>
      </c>
      <c r="X359" s="547">
        <v>0</v>
      </c>
      <c r="Y359" s="548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0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61"/>
      <c r="P360" s="553" t="s">
        <v>75</v>
      </c>
      <c r="Q360" s="554"/>
      <c r="R360" s="554"/>
      <c r="S360" s="554"/>
      <c r="T360" s="554"/>
      <c r="U360" s="554"/>
      <c r="V360" s="555"/>
      <c r="W360" s="37" t="s">
        <v>76</v>
      </c>
      <c r="X360" s="549">
        <f>IFERROR(X358/H358,"0")+IFERROR(X359/H359,"0")</f>
        <v>193.33333333333334</v>
      </c>
      <c r="Y360" s="549">
        <f>IFERROR(Y358/H358,"0")+IFERROR(Y359/H359,"0")</f>
        <v>194</v>
      </c>
      <c r="Z360" s="549">
        <f>IFERROR(IF(Z358="",0,Z358),"0")+IFERROR(IF(Z359="",0,Z359),"0")</f>
        <v>4.2195</v>
      </c>
      <c r="AA360" s="550"/>
      <c r="AB360" s="550"/>
      <c r="AC360" s="550"/>
    </row>
    <row r="361" spans="1:68" x14ac:dyDescent="0.2">
      <c r="A361" s="557"/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61"/>
      <c r="P361" s="553" t="s">
        <v>75</v>
      </c>
      <c r="Q361" s="554"/>
      <c r="R361" s="554"/>
      <c r="S361" s="554"/>
      <c r="T361" s="554"/>
      <c r="U361" s="554"/>
      <c r="V361" s="555"/>
      <c r="W361" s="37" t="s">
        <v>69</v>
      </c>
      <c r="X361" s="549">
        <f>IFERROR(SUM(X358:X359),"0")</f>
        <v>2900</v>
      </c>
      <c r="Y361" s="549">
        <f>IFERROR(SUM(Y358:Y359),"0")</f>
        <v>2910</v>
      </c>
      <c r="Z361" s="37"/>
      <c r="AA361" s="550"/>
      <c r="AB361" s="550"/>
      <c r="AC361" s="550"/>
    </row>
    <row r="362" spans="1:68" ht="14.25" hidden="1" customHeight="1" x14ac:dyDescent="0.25">
      <c r="A362" s="556" t="s">
        <v>77</v>
      </c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7"/>
      <c r="P362" s="557"/>
      <c r="Q362" s="557"/>
      <c r="R362" s="557"/>
      <c r="S362" s="557"/>
      <c r="T362" s="557"/>
      <c r="U362" s="557"/>
      <c r="V362" s="557"/>
      <c r="W362" s="557"/>
      <c r="X362" s="557"/>
      <c r="Y362" s="557"/>
      <c r="Z362" s="557"/>
      <c r="AA362" s="543"/>
      <c r="AB362" s="543"/>
      <c r="AC362" s="543"/>
    </row>
    <row r="363" spans="1:68" ht="27" hidden="1" customHeight="1" x14ac:dyDescent="0.25">
      <c r="A363" s="54" t="s">
        <v>581</v>
      </c>
      <c r="B363" s="54" t="s">
        <v>582</v>
      </c>
      <c r="C363" s="31">
        <v>4301051903</v>
      </c>
      <c r="D363" s="558">
        <v>4607091383928</v>
      </c>
      <c r="E363" s="559"/>
      <c r="F363" s="546">
        <v>1.5</v>
      </c>
      <c r="G363" s="32">
        <v>6</v>
      </c>
      <c r="H363" s="546">
        <v>9</v>
      </c>
      <c r="I363" s="546">
        <v>9.5</v>
      </c>
      <c r="J363" s="32">
        <v>64</v>
      </c>
      <c r="K363" s="32" t="s">
        <v>104</v>
      </c>
      <c r="L363" s="32"/>
      <c r="M363" s="33" t="s">
        <v>80</v>
      </c>
      <c r="N363" s="33"/>
      <c r="O363" s="32">
        <v>40</v>
      </c>
      <c r="P363" s="56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65"/>
      <c r="R363" s="565"/>
      <c r="S363" s="565"/>
      <c r="T363" s="566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583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584</v>
      </c>
      <c r="B364" s="54" t="s">
        <v>585</v>
      </c>
      <c r="C364" s="31">
        <v>4301051897</v>
      </c>
      <c r="D364" s="558">
        <v>4607091384260</v>
      </c>
      <c r="E364" s="559"/>
      <c r="F364" s="546">
        <v>1.5</v>
      </c>
      <c r="G364" s="32">
        <v>6</v>
      </c>
      <c r="H364" s="546">
        <v>9</v>
      </c>
      <c r="I364" s="546">
        <v>9.4939999999999998</v>
      </c>
      <c r="J364" s="32">
        <v>64</v>
      </c>
      <c r="K364" s="32" t="s">
        <v>104</v>
      </c>
      <c r="L364" s="32" t="s">
        <v>105</v>
      </c>
      <c r="M364" s="33" t="s">
        <v>80</v>
      </c>
      <c r="N364" s="33"/>
      <c r="O364" s="32">
        <v>40</v>
      </c>
      <c r="P364" s="64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65"/>
      <c r="R364" s="565"/>
      <c r="S364" s="565"/>
      <c r="T364" s="566"/>
      <c r="U364" s="34"/>
      <c r="V364" s="34"/>
      <c r="W364" s="35" t="s">
        <v>69</v>
      </c>
      <c r="X364" s="547">
        <v>100</v>
      </c>
      <c r="Y364" s="548">
        <f>IFERROR(IF(X364="",0,CEILING((X364/$H364),1)*$H364),"")</f>
        <v>108</v>
      </c>
      <c r="Z364" s="36">
        <f>IFERROR(IF(Y364=0,"",ROUNDUP(Y364/H364,0)*0.01898),"")</f>
        <v>0.22776000000000002</v>
      </c>
      <c r="AA364" s="56"/>
      <c r="AB364" s="57"/>
      <c r="AC364" s="421" t="s">
        <v>586</v>
      </c>
      <c r="AG364" s="64"/>
      <c r="AJ364" s="68" t="s">
        <v>108</v>
      </c>
      <c r="AK364" s="68">
        <v>72</v>
      </c>
      <c r="BB364" s="422" t="s">
        <v>1</v>
      </c>
      <c r="BM364" s="64">
        <f>IFERROR(X364*I364/H364,"0")</f>
        <v>105.48888888888888</v>
      </c>
      <c r="BN364" s="64">
        <f>IFERROR(Y364*I364/H364,"0")</f>
        <v>113.92799999999998</v>
      </c>
      <c r="BO364" s="64">
        <f>IFERROR(1/J364*(X364/H364),"0")</f>
        <v>0.1736111111111111</v>
      </c>
      <c r="BP364" s="64">
        <f>IFERROR(1/J364*(Y364/H364),"0")</f>
        <v>0.1875</v>
      </c>
    </row>
    <row r="365" spans="1:68" x14ac:dyDescent="0.2">
      <c r="A365" s="560"/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61"/>
      <c r="P365" s="553" t="s">
        <v>75</v>
      </c>
      <c r="Q365" s="554"/>
      <c r="R365" s="554"/>
      <c r="S365" s="554"/>
      <c r="T365" s="554"/>
      <c r="U365" s="554"/>
      <c r="V365" s="555"/>
      <c r="W365" s="37" t="s">
        <v>76</v>
      </c>
      <c r="X365" s="549">
        <f>IFERROR(X363/H363,"0")+IFERROR(X364/H364,"0")</f>
        <v>11.111111111111111</v>
      </c>
      <c r="Y365" s="549">
        <f>IFERROR(Y363/H363,"0")+IFERROR(Y364/H364,"0")</f>
        <v>12</v>
      </c>
      <c r="Z365" s="549">
        <f>IFERROR(IF(Z363="",0,Z363),"0")+IFERROR(IF(Z364="",0,Z364),"0")</f>
        <v>0.22776000000000002</v>
      </c>
      <c r="AA365" s="550"/>
      <c r="AB365" s="550"/>
      <c r="AC365" s="550"/>
    </row>
    <row r="366" spans="1:68" x14ac:dyDescent="0.2">
      <c r="A366" s="557"/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61"/>
      <c r="P366" s="553" t="s">
        <v>75</v>
      </c>
      <c r="Q366" s="554"/>
      <c r="R366" s="554"/>
      <c r="S366" s="554"/>
      <c r="T366" s="554"/>
      <c r="U366" s="554"/>
      <c r="V366" s="555"/>
      <c r="W366" s="37" t="s">
        <v>69</v>
      </c>
      <c r="X366" s="549">
        <f>IFERROR(SUM(X363:X364),"0")</f>
        <v>100</v>
      </c>
      <c r="Y366" s="549">
        <f>IFERROR(SUM(Y363:Y364),"0")</f>
        <v>108</v>
      </c>
      <c r="Z366" s="37"/>
      <c r="AA366" s="550"/>
      <c r="AB366" s="550"/>
      <c r="AC366" s="550"/>
    </row>
    <row r="367" spans="1:68" ht="14.25" hidden="1" customHeight="1" x14ac:dyDescent="0.25">
      <c r="A367" s="556" t="s">
        <v>162</v>
      </c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7"/>
      <c r="P367" s="557"/>
      <c r="Q367" s="557"/>
      <c r="R367" s="557"/>
      <c r="S367" s="557"/>
      <c r="T367" s="557"/>
      <c r="U367" s="557"/>
      <c r="V367" s="557"/>
      <c r="W367" s="557"/>
      <c r="X367" s="557"/>
      <c r="Y367" s="557"/>
      <c r="Z367" s="557"/>
      <c r="AA367" s="543"/>
      <c r="AB367" s="543"/>
      <c r="AC367" s="543"/>
    </row>
    <row r="368" spans="1:68" ht="16.5" customHeight="1" x14ac:dyDescent="0.25">
      <c r="A368" s="54" t="s">
        <v>587</v>
      </c>
      <c r="B368" s="54" t="s">
        <v>588</v>
      </c>
      <c r="C368" s="31">
        <v>4301060524</v>
      </c>
      <c r="D368" s="558">
        <v>4607091384673</v>
      </c>
      <c r="E368" s="559"/>
      <c r="F368" s="546">
        <v>1.5</v>
      </c>
      <c r="G368" s="32">
        <v>6</v>
      </c>
      <c r="H368" s="546">
        <v>9</v>
      </c>
      <c r="I368" s="546">
        <v>9.4939999999999998</v>
      </c>
      <c r="J368" s="32">
        <v>64</v>
      </c>
      <c r="K368" s="32" t="s">
        <v>104</v>
      </c>
      <c r="L368" s="32"/>
      <c r="M368" s="33" t="s">
        <v>80</v>
      </c>
      <c r="N368" s="33"/>
      <c r="O368" s="32">
        <v>40</v>
      </c>
      <c r="P368" s="58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65"/>
      <c r="R368" s="565"/>
      <c r="S368" s="565"/>
      <c r="T368" s="566"/>
      <c r="U368" s="34"/>
      <c r="V368" s="34"/>
      <c r="W368" s="35" t="s">
        <v>69</v>
      </c>
      <c r="X368" s="547">
        <v>150</v>
      </c>
      <c r="Y368" s="548">
        <f>IFERROR(IF(X368="",0,CEILING((X368/$H368),1)*$H368),"")</f>
        <v>153</v>
      </c>
      <c r="Z368" s="36">
        <f>IFERROR(IF(Y368=0,"",ROUNDUP(Y368/H368,0)*0.01898),"")</f>
        <v>0.32266</v>
      </c>
      <c r="AA368" s="56"/>
      <c r="AB368" s="57"/>
      <c r="AC368" s="423" t="s">
        <v>589</v>
      </c>
      <c r="AG368" s="64"/>
      <c r="AJ368" s="68"/>
      <c r="AK368" s="68">
        <v>0</v>
      </c>
      <c r="BB368" s="424" t="s">
        <v>1</v>
      </c>
      <c r="BM368" s="64">
        <f>IFERROR(X368*I368/H368,"0")</f>
        <v>158.23333333333332</v>
      </c>
      <c r="BN368" s="64">
        <f>IFERROR(Y368*I368/H368,"0")</f>
        <v>161.398</v>
      </c>
      <c r="BO368" s="64">
        <f>IFERROR(1/J368*(X368/H368),"0")</f>
        <v>0.26041666666666669</v>
      </c>
      <c r="BP368" s="64">
        <f>IFERROR(1/J368*(Y368/H368),"0")</f>
        <v>0.265625</v>
      </c>
    </row>
    <row r="369" spans="1:68" x14ac:dyDescent="0.2">
      <c r="A369" s="560"/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61"/>
      <c r="P369" s="553" t="s">
        <v>75</v>
      </c>
      <c r="Q369" s="554"/>
      <c r="R369" s="554"/>
      <c r="S369" s="554"/>
      <c r="T369" s="554"/>
      <c r="U369" s="554"/>
      <c r="V369" s="555"/>
      <c r="W369" s="37" t="s">
        <v>76</v>
      </c>
      <c r="X369" s="549">
        <f>IFERROR(X368/H368,"0")</f>
        <v>16.666666666666668</v>
      </c>
      <c r="Y369" s="549">
        <f>IFERROR(Y368/H368,"0")</f>
        <v>17</v>
      </c>
      <c r="Z369" s="549">
        <f>IFERROR(IF(Z368="",0,Z368),"0")</f>
        <v>0.32266</v>
      </c>
      <c r="AA369" s="550"/>
      <c r="AB369" s="550"/>
      <c r="AC369" s="550"/>
    </row>
    <row r="370" spans="1:68" x14ac:dyDescent="0.2">
      <c r="A370" s="557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61"/>
      <c r="P370" s="553" t="s">
        <v>75</v>
      </c>
      <c r="Q370" s="554"/>
      <c r="R370" s="554"/>
      <c r="S370" s="554"/>
      <c r="T370" s="554"/>
      <c r="U370" s="554"/>
      <c r="V370" s="555"/>
      <c r="W370" s="37" t="s">
        <v>69</v>
      </c>
      <c r="X370" s="549">
        <f>IFERROR(SUM(X368:X368),"0")</f>
        <v>150</v>
      </c>
      <c r="Y370" s="549">
        <f>IFERROR(SUM(Y368:Y368),"0")</f>
        <v>153</v>
      </c>
      <c r="Z370" s="37"/>
      <c r="AA370" s="550"/>
      <c r="AB370" s="550"/>
      <c r="AC370" s="550"/>
    </row>
    <row r="371" spans="1:68" ht="16.5" hidden="1" customHeight="1" x14ac:dyDescent="0.25">
      <c r="A371" s="590" t="s">
        <v>590</v>
      </c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  <c r="Z371" s="557"/>
      <c r="AA371" s="542"/>
      <c r="AB371" s="542"/>
      <c r="AC371" s="542"/>
    </row>
    <row r="372" spans="1:68" ht="14.25" hidden="1" customHeight="1" x14ac:dyDescent="0.25">
      <c r="A372" s="556" t="s">
        <v>101</v>
      </c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  <c r="Z372" s="557"/>
      <c r="AA372" s="543"/>
      <c r="AB372" s="543"/>
      <c r="AC372" s="543"/>
    </row>
    <row r="373" spans="1:68" ht="37.5" hidden="1" customHeight="1" x14ac:dyDescent="0.25">
      <c r="A373" s="54" t="s">
        <v>591</v>
      </c>
      <c r="B373" s="54" t="s">
        <v>592</v>
      </c>
      <c r="C373" s="31">
        <v>4301011875</v>
      </c>
      <c r="D373" s="558">
        <v>4680115884885</v>
      </c>
      <c r="E373" s="559"/>
      <c r="F373" s="546">
        <v>0.8</v>
      </c>
      <c r="G373" s="32">
        <v>15</v>
      </c>
      <c r="H373" s="546">
        <v>12</v>
      </c>
      <c r="I373" s="546">
        <v>12.41</v>
      </c>
      <c r="J373" s="32">
        <v>64</v>
      </c>
      <c r="K373" s="32" t="s">
        <v>104</v>
      </c>
      <c r="L373" s="32" t="s">
        <v>105</v>
      </c>
      <c r="M373" s="33" t="s">
        <v>68</v>
      </c>
      <c r="N373" s="33"/>
      <c r="O373" s="32">
        <v>60</v>
      </c>
      <c r="P373" s="56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65"/>
      <c r="R373" s="565"/>
      <c r="S373" s="565"/>
      <c r="T373" s="566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593</v>
      </c>
      <c r="AG373" s="64"/>
      <c r="AJ373" s="68" t="s">
        <v>108</v>
      </c>
      <c r="AK373" s="68">
        <v>96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hidden="1" customHeight="1" x14ac:dyDescent="0.25">
      <c r="A374" s="54" t="s">
        <v>594</v>
      </c>
      <c r="B374" s="54" t="s">
        <v>595</v>
      </c>
      <c r="C374" s="31">
        <v>4301011871</v>
      </c>
      <c r="D374" s="558">
        <v>4680115884908</v>
      </c>
      <c r="E374" s="559"/>
      <c r="F374" s="546">
        <v>0.4</v>
      </c>
      <c r="G374" s="32">
        <v>10</v>
      </c>
      <c r="H374" s="546">
        <v>4</v>
      </c>
      <c r="I374" s="546">
        <v>4.1900000000000004</v>
      </c>
      <c r="J374" s="32">
        <v>132</v>
      </c>
      <c r="K374" s="32" t="s">
        <v>111</v>
      </c>
      <c r="L374" s="32"/>
      <c r="M374" s="33" t="s">
        <v>68</v>
      </c>
      <c r="N374" s="33"/>
      <c r="O374" s="32">
        <v>60</v>
      </c>
      <c r="P374" s="71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65"/>
      <c r="R374" s="565"/>
      <c r="S374" s="565"/>
      <c r="T374" s="566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593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60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61"/>
      <c r="P375" s="553" t="s">
        <v>75</v>
      </c>
      <c r="Q375" s="554"/>
      <c r="R375" s="554"/>
      <c r="S375" s="554"/>
      <c r="T375" s="554"/>
      <c r="U375" s="554"/>
      <c r="V375" s="555"/>
      <c r="W375" s="37" t="s">
        <v>76</v>
      </c>
      <c r="X375" s="549">
        <f>IFERROR(X373/H373,"0")+IFERROR(X374/H374,"0")</f>
        <v>0</v>
      </c>
      <c r="Y375" s="549">
        <f>IFERROR(Y373/H373,"0")+IFERROR(Y374/H374,"0")</f>
        <v>0</v>
      </c>
      <c r="Z375" s="549">
        <f>IFERROR(IF(Z373="",0,Z373),"0")+IFERROR(IF(Z374="",0,Z374),"0")</f>
        <v>0</v>
      </c>
      <c r="AA375" s="550"/>
      <c r="AB375" s="550"/>
      <c r="AC375" s="550"/>
    </row>
    <row r="376" spans="1:68" hidden="1" x14ac:dyDescent="0.2">
      <c r="A376" s="557"/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61"/>
      <c r="P376" s="553" t="s">
        <v>75</v>
      </c>
      <c r="Q376" s="554"/>
      <c r="R376" s="554"/>
      <c r="S376" s="554"/>
      <c r="T376" s="554"/>
      <c r="U376" s="554"/>
      <c r="V376" s="555"/>
      <c r="W376" s="37" t="s">
        <v>69</v>
      </c>
      <c r="X376" s="549">
        <f>IFERROR(SUM(X373:X374),"0")</f>
        <v>0</v>
      </c>
      <c r="Y376" s="549">
        <f>IFERROR(SUM(Y373:Y374),"0")</f>
        <v>0</v>
      </c>
      <c r="Z376" s="37"/>
      <c r="AA376" s="550"/>
      <c r="AB376" s="550"/>
      <c r="AC376" s="550"/>
    </row>
    <row r="377" spans="1:68" ht="14.25" hidden="1" customHeight="1" x14ac:dyDescent="0.25">
      <c r="A377" s="556" t="s">
        <v>64</v>
      </c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7"/>
      <c r="P377" s="557"/>
      <c r="Q377" s="557"/>
      <c r="R377" s="557"/>
      <c r="S377" s="557"/>
      <c r="T377" s="557"/>
      <c r="U377" s="557"/>
      <c r="V377" s="557"/>
      <c r="W377" s="557"/>
      <c r="X377" s="557"/>
      <c r="Y377" s="557"/>
      <c r="Z377" s="557"/>
      <c r="AA377" s="543"/>
      <c r="AB377" s="543"/>
      <c r="AC377" s="543"/>
    </row>
    <row r="378" spans="1:68" ht="27" hidden="1" customHeight="1" x14ac:dyDescent="0.25">
      <c r="A378" s="54" t="s">
        <v>596</v>
      </c>
      <c r="B378" s="54" t="s">
        <v>597</v>
      </c>
      <c r="C378" s="31">
        <v>4301031303</v>
      </c>
      <c r="D378" s="558">
        <v>4607091384802</v>
      </c>
      <c r="E378" s="559"/>
      <c r="F378" s="546">
        <v>0.73</v>
      </c>
      <c r="G378" s="32">
        <v>6</v>
      </c>
      <c r="H378" s="546">
        <v>4.38</v>
      </c>
      <c r="I378" s="546">
        <v>4.63</v>
      </c>
      <c r="J378" s="32">
        <v>132</v>
      </c>
      <c r="K378" s="32" t="s">
        <v>111</v>
      </c>
      <c r="L378" s="32" t="s">
        <v>112</v>
      </c>
      <c r="M378" s="33" t="s">
        <v>68</v>
      </c>
      <c r="N378" s="33"/>
      <c r="O378" s="32">
        <v>35</v>
      </c>
      <c r="P378" s="80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65"/>
      <c r="R378" s="565"/>
      <c r="S378" s="565"/>
      <c r="T378" s="566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598</v>
      </c>
      <c r="AG378" s="64"/>
      <c r="AJ378" s="68" t="s">
        <v>108</v>
      </c>
      <c r="AK378" s="68">
        <v>52.56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596</v>
      </c>
      <c r="B379" s="54" t="s">
        <v>599</v>
      </c>
      <c r="C379" s="31">
        <v>4301031457</v>
      </c>
      <c r="D379" s="558">
        <v>4607091384802</v>
      </c>
      <c r="E379" s="559"/>
      <c r="F379" s="546">
        <v>0.7</v>
      </c>
      <c r="G379" s="32">
        <v>6</v>
      </c>
      <c r="H379" s="546">
        <v>4.2</v>
      </c>
      <c r="I379" s="546">
        <v>4.45</v>
      </c>
      <c r="J379" s="32">
        <v>132</v>
      </c>
      <c r="K379" s="32" t="s">
        <v>111</v>
      </c>
      <c r="L379" s="32"/>
      <c r="M379" s="33" t="s">
        <v>68</v>
      </c>
      <c r="N379" s="33"/>
      <c r="O379" s="32">
        <v>50</v>
      </c>
      <c r="P379" s="84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65"/>
      <c r="R379" s="565"/>
      <c r="S379" s="565"/>
      <c r="T379" s="566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600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60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61"/>
      <c r="P380" s="553" t="s">
        <v>75</v>
      </c>
      <c r="Q380" s="554"/>
      <c r="R380" s="554"/>
      <c r="S380" s="554"/>
      <c r="T380" s="554"/>
      <c r="U380" s="554"/>
      <c r="V380" s="555"/>
      <c r="W380" s="37" t="s">
        <v>76</v>
      </c>
      <c r="X380" s="549">
        <f>IFERROR(X378/H378,"0")+IFERROR(X379/H379,"0")</f>
        <v>0</v>
      </c>
      <c r="Y380" s="549">
        <f>IFERROR(Y378/H378,"0")+IFERROR(Y379/H379,"0")</f>
        <v>0</v>
      </c>
      <c r="Z380" s="549">
        <f>IFERROR(IF(Z378="",0,Z378),"0")+IFERROR(IF(Z379="",0,Z379),"0")</f>
        <v>0</v>
      </c>
      <c r="AA380" s="550"/>
      <c r="AB380" s="550"/>
      <c r="AC380" s="550"/>
    </row>
    <row r="381" spans="1:68" hidden="1" x14ac:dyDescent="0.2">
      <c r="A381" s="557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61"/>
      <c r="P381" s="553" t="s">
        <v>75</v>
      </c>
      <c r="Q381" s="554"/>
      <c r="R381" s="554"/>
      <c r="S381" s="554"/>
      <c r="T381" s="554"/>
      <c r="U381" s="554"/>
      <c r="V381" s="555"/>
      <c r="W381" s="37" t="s">
        <v>69</v>
      </c>
      <c r="X381" s="549">
        <f>IFERROR(SUM(X378:X379),"0")</f>
        <v>0</v>
      </c>
      <c r="Y381" s="549">
        <f>IFERROR(SUM(Y378:Y379),"0")</f>
        <v>0</v>
      </c>
      <c r="Z381" s="37"/>
      <c r="AA381" s="550"/>
      <c r="AB381" s="550"/>
      <c r="AC381" s="550"/>
    </row>
    <row r="382" spans="1:68" ht="14.25" hidden="1" customHeight="1" x14ac:dyDescent="0.25">
      <c r="A382" s="556" t="s">
        <v>77</v>
      </c>
      <c r="B382" s="557"/>
      <c r="C382" s="557"/>
      <c r="D382" s="557"/>
      <c r="E382" s="557"/>
      <c r="F382" s="557"/>
      <c r="G382" s="557"/>
      <c r="H382" s="557"/>
      <c r="I382" s="557"/>
      <c r="J382" s="557"/>
      <c r="K382" s="557"/>
      <c r="L382" s="557"/>
      <c r="M382" s="557"/>
      <c r="N382" s="557"/>
      <c r="O382" s="557"/>
      <c r="P382" s="557"/>
      <c r="Q382" s="557"/>
      <c r="R382" s="557"/>
      <c r="S382" s="557"/>
      <c r="T382" s="557"/>
      <c r="U382" s="557"/>
      <c r="V382" s="557"/>
      <c r="W382" s="557"/>
      <c r="X382" s="557"/>
      <c r="Y382" s="557"/>
      <c r="Z382" s="557"/>
      <c r="AA382" s="543"/>
      <c r="AB382" s="543"/>
      <c r="AC382" s="543"/>
    </row>
    <row r="383" spans="1:68" ht="27" hidden="1" customHeight="1" x14ac:dyDescent="0.25">
      <c r="A383" s="54" t="s">
        <v>601</v>
      </c>
      <c r="B383" s="54" t="s">
        <v>602</v>
      </c>
      <c r="C383" s="31">
        <v>4301051899</v>
      </c>
      <c r="D383" s="558">
        <v>4607091384246</v>
      </c>
      <c r="E383" s="559"/>
      <c r="F383" s="546">
        <v>1.5</v>
      </c>
      <c r="G383" s="32">
        <v>6</v>
      </c>
      <c r="H383" s="546">
        <v>9</v>
      </c>
      <c r="I383" s="546">
        <v>9.4939999999999998</v>
      </c>
      <c r="J383" s="32">
        <v>64</v>
      </c>
      <c r="K383" s="32" t="s">
        <v>104</v>
      </c>
      <c r="L383" s="32" t="s">
        <v>105</v>
      </c>
      <c r="M383" s="33" t="s">
        <v>80</v>
      </c>
      <c r="N383" s="33"/>
      <c r="O383" s="32">
        <v>40</v>
      </c>
      <c r="P383" s="5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65"/>
      <c r="R383" s="565"/>
      <c r="S383" s="565"/>
      <c r="T383" s="566"/>
      <c r="U383" s="34"/>
      <c r="V383" s="34"/>
      <c r="W383" s="35" t="s">
        <v>69</v>
      </c>
      <c r="X383" s="547">
        <v>0</v>
      </c>
      <c r="Y383" s="54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33" t="s">
        <v>603</v>
      </c>
      <c r="AG383" s="64"/>
      <c r="AJ383" s="68" t="s">
        <v>108</v>
      </c>
      <c r="AK383" s="68">
        <v>72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604</v>
      </c>
      <c r="B384" s="54" t="s">
        <v>605</v>
      </c>
      <c r="C384" s="31">
        <v>4301051660</v>
      </c>
      <c r="D384" s="558">
        <v>4607091384253</v>
      </c>
      <c r="E384" s="559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 t="s">
        <v>189</v>
      </c>
      <c r="M384" s="33" t="s">
        <v>80</v>
      </c>
      <c r="N384" s="33"/>
      <c r="O384" s="32">
        <v>40</v>
      </c>
      <c r="P384" s="86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65"/>
      <c r="R384" s="565"/>
      <c r="S384" s="565"/>
      <c r="T384" s="566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603</v>
      </c>
      <c r="AG384" s="64"/>
      <c r="AJ384" s="68" t="s">
        <v>108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604</v>
      </c>
      <c r="B385" s="54" t="s">
        <v>606</v>
      </c>
      <c r="C385" s="31">
        <v>4301052069</v>
      </c>
      <c r="D385" s="558">
        <v>4607091384253</v>
      </c>
      <c r="E385" s="559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59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65"/>
      <c r="R385" s="565"/>
      <c r="S385" s="565"/>
      <c r="T385" s="566"/>
      <c r="U385" s="34"/>
      <c r="V385" s="34"/>
      <c r="W385" s="35" t="s">
        <v>69</v>
      </c>
      <c r="X385" s="547">
        <v>0</v>
      </c>
      <c r="Y385" s="548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607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560"/>
      <c r="B386" s="557"/>
      <c r="C386" s="557"/>
      <c r="D386" s="557"/>
      <c r="E386" s="557"/>
      <c r="F386" s="557"/>
      <c r="G386" s="557"/>
      <c r="H386" s="557"/>
      <c r="I386" s="557"/>
      <c r="J386" s="557"/>
      <c r="K386" s="557"/>
      <c r="L386" s="557"/>
      <c r="M386" s="557"/>
      <c r="N386" s="557"/>
      <c r="O386" s="561"/>
      <c r="P386" s="553" t="s">
        <v>75</v>
      </c>
      <c r="Q386" s="554"/>
      <c r="R386" s="554"/>
      <c r="S386" s="554"/>
      <c r="T386" s="554"/>
      <c r="U386" s="554"/>
      <c r="V386" s="555"/>
      <c r="W386" s="37" t="s">
        <v>76</v>
      </c>
      <c r="X386" s="549">
        <f>IFERROR(X383/H383,"0")+IFERROR(X384/H384,"0")+IFERROR(X385/H385,"0")</f>
        <v>0</v>
      </c>
      <c r="Y386" s="549">
        <f>IFERROR(Y383/H383,"0")+IFERROR(Y384/H384,"0")+IFERROR(Y385/H385,"0")</f>
        <v>0</v>
      </c>
      <c r="Z386" s="549">
        <f>IFERROR(IF(Z383="",0,Z383),"0")+IFERROR(IF(Z384="",0,Z384),"0")+IFERROR(IF(Z385="",0,Z385),"0")</f>
        <v>0</v>
      </c>
      <c r="AA386" s="550"/>
      <c r="AB386" s="550"/>
      <c r="AC386" s="550"/>
    </row>
    <row r="387" spans="1:68" hidden="1" x14ac:dyDescent="0.2">
      <c r="A387" s="557"/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61"/>
      <c r="P387" s="553" t="s">
        <v>75</v>
      </c>
      <c r="Q387" s="554"/>
      <c r="R387" s="554"/>
      <c r="S387" s="554"/>
      <c r="T387" s="554"/>
      <c r="U387" s="554"/>
      <c r="V387" s="555"/>
      <c r="W387" s="37" t="s">
        <v>69</v>
      </c>
      <c r="X387" s="549">
        <f>IFERROR(SUM(X383:X385),"0")</f>
        <v>0</v>
      </c>
      <c r="Y387" s="549">
        <f>IFERROR(SUM(Y383:Y385),"0")</f>
        <v>0</v>
      </c>
      <c r="Z387" s="37"/>
      <c r="AA387" s="550"/>
      <c r="AB387" s="550"/>
      <c r="AC387" s="550"/>
    </row>
    <row r="388" spans="1:68" ht="27.75" hidden="1" customHeight="1" x14ac:dyDescent="0.2">
      <c r="A388" s="651" t="s">
        <v>608</v>
      </c>
      <c r="B388" s="652"/>
      <c r="C388" s="652"/>
      <c r="D388" s="652"/>
      <c r="E388" s="652"/>
      <c r="F388" s="652"/>
      <c r="G388" s="652"/>
      <c r="H388" s="652"/>
      <c r="I388" s="652"/>
      <c r="J388" s="652"/>
      <c r="K388" s="652"/>
      <c r="L388" s="652"/>
      <c r="M388" s="652"/>
      <c r="N388" s="652"/>
      <c r="O388" s="652"/>
      <c r="P388" s="652"/>
      <c r="Q388" s="652"/>
      <c r="R388" s="652"/>
      <c r="S388" s="652"/>
      <c r="T388" s="652"/>
      <c r="U388" s="652"/>
      <c r="V388" s="652"/>
      <c r="W388" s="652"/>
      <c r="X388" s="652"/>
      <c r="Y388" s="652"/>
      <c r="Z388" s="652"/>
      <c r="AA388" s="48"/>
      <c r="AB388" s="48"/>
      <c r="AC388" s="48"/>
    </row>
    <row r="389" spans="1:68" ht="16.5" hidden="1" customHeight="1" x14ac:dyDescent="0.25">
      <c r="A389" s="590" t="s">
        <v>609</v>
      </c>
      <c r="B389" s="557"/>
      <c r="C389" s="557"/>
      <c r="D389" s="557"/>
      <c r="E389" s="557"/>
      <c r="F389" s="557"/>
      <c r="G389" s="557"/>
      <c r="H389" s="557"/>
      <c r="I389" s="557"/>
      <c r="J389" s="557"/>
      <c r="K389" s="557"/>
      <c r="L389" s="557"/>
      <c r="M389" s="557"/>
      <c r="N389" s="557"/>
      <c r="O389" s="557"/>
      <c r="P389" s="557"/>
      <c r="Q389" s="557"/>
      <c r="R389" s="557"/>
      <c r="S389" s="557"/>
      <c r="T389" s="557"/>
      <c r="U389" s="557"/>
      <c r="V389" s="557"/>
      <c r="W389" s="557"/>
      <c r="X389" s="557"/>
      <c r="Y389" s="557"/>
      <c r="Z389" s="557"/>
      <c r="AA389" s="542"/>
      <c r="AB389" s="542"/>
      <c r="AC389" s="542"/>
    </row>
    <row r="390" spans="1:68" ht="14.25" hidden="1" customHeight="1" x14ac:dyDescent="0.25">
      <c r="A390" s="556" t="s">
        <v>64</v>
      </c>
      <c r="B390" s="557"/>
      <c r="C390" s="557"/>
      <c r="D390" s="557"/>
      <c r="E390" s="557"/>
      <c r="F390" s="557"/>
      <c r="G390" s="557"/>
      <c r="H390" s="557"/>
      <c r="I390" s="557"/>
      <c r="J390" s="557"/>
      <c r="K390" s="557"/>
      <c r="L390" s="557"/>
      <c r="M390" s="557"/>
      <c r="N390" s="557"/>
      <c r="O390" s="557"/>
      <c r="P390" s="557"/>
      <c r="Q390" s="557"/>
      <c r="R390" s="557"/>
      <c r="S390" s="557"/>
      <c r="T390" s="557"/>
      <c r="U390" s="557"/>
      <c r="V390" s="557"/>
      <c r="W390" s="557"/>
      <c r="X390" s="557"/>
      <c r="Y390" s="557"/>
      <c r="Z390" s="557"/>
      <c r="AA390" s="543"/>
      <c r="AB390" s="543"/>
      <c r="AC390" s="543"/>
    </row>
    <row r="391" spans="1:68" ht="27" customHeight="1" x14ac:dyDescent="0.25">
      <c r="A391" s="54" t="s">
        <v>610</v>
      </c>
      <c r="B391" s="54" t="s">
        <v>611</v>
      </c>
      <c r="C391" s="31">
        <v>4301031405</v>
      </c>
      <c r="D391" s="558">
        <v>4680115886100</v>
      </c>
      <c r="E391" s="559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111</v>
      </c>
      <c r="L391" s="32" t="s">
        <v>112</v>
      </c>
      <c r="M391" s="33" t="s">
        <v>68</v>
      </c>
      <c r="N391" s="33"/>
      <c r="O391" s="32">
        <v>50</v>
      </c>
      <c r="P391" s="86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65"/>
      <c r="R391" s="565"/>
      <c r="S391" s="565"/>
      <c r="T391" s="566"/>
      <c r="U391" s="34"/>
      <c r="V391" s="34"/>
      <c r="W391" s="35" t="s">
        <v>69</v>
      </c>
      <c r="X391" s="547">
        <v>150</v>
      </c>
      <c r="Y391" s="548">
        <f t="shared" ref="Y391:Y399" si="41">IFERROR(IF(X391="",0,CEILING((X391/$H391),1)*$H391),"")</f>
        <v>151.20000000000002</v>
      </c>
      <c r="Z391" s="36">
        <f>IFERROR(IF(Y391=0,"",ROUNDUP(Y391/H391,0)*0.00902),"")</f>
        <v>0.25256000000000001</v>
      </c>
      <c r="AA391" s="56"/>
      <c r="AB391" s="57"/>
      <c r="AC391" s="439" t="s">
        <v>612</v>
      </c>
      <c r="AG391" s="64"/>
      <c r="AJ391" s="68" t="s">
        <v>108</v>
      </c>
      <c r="AK391" s="68">
        <v>64.8</v>
      </c>
      <c r="BB391" s="440" t="s">
        <v>1</v>
      </c>
      <c r="BM391" s="64">
        <f t="shared" ref="BM391:BM399" si="42">IFERROR(X391*I391/H391,"0")</f>
        <v>155.27777777777777</v>
      </c>
      <c r="BN391" s="64">
        <f t="shared" ref="BN391:BN399" si="43">IFERROR(Y391*I391/H391,"0")</f>
        <v>156.52000000000001</v>
      </c>
      <c r="BO391" s="64">
        <f t="shared" ref="BO391:BO399" si="44">IFERROR(1/J391*(X391/H391),"0")</f>
        <v>0.21043771043771042</v>
      </c>
      <c r="BP391" s="64">
        <f t="shared" ref="BP391:BP399" si="45">IFERROR(1/J391*(Y391/H391),"0")</f>
        <v>0.21212121212121213</v>
      </c>
    </row>
    <row r="392" spans="1:68" ht="27" customHeight="1" x14ac:dyDescent="0.25">
      <c r="A392" s="54" t="s">
        <v>613</v>
      </c>
      <c r="B392" s="54" t="s">
        <v>614</v>
      </c>
      <c r="C392" s="31">
        <v>4301031406</v>
      </c>
      <c r="D392" s="558">
        <v>4680115886117</v>
      </c>
      <c r="E392" s="559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111</v>
      </c>
      <c r="L392" s="32"/>
      <c r="M392" s="33" t="s">
        <v>68</v>
      </c>
      <c r="N392" s="33"/>
      <c r="O392" s="32">
        <v>50</v>
      </c>
      <c r="P392" s="85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65"/>
      <c r="R392" s="565"/>
      <c r="S392" s="565"/>
      <c r="T392" s="566"/>
      <c r="U392" s="34"/>
      <c r="V392" s="34"/>
      <c r="W392" s="35" t="s">
        <v>69</v>
      </c>
      <c r="X392" s="547">
        <v>50</v>
      </c>
      <c r="Y392" s="548">
        <f t="shared" si="41"/>
        <v>54</v>
      </c>
      <c r="Z392" s="36">
        <f>IFERROR(IF(Y392=0,"",ROUNDUP(Y392/H392,0)*0.00902),"")</f>
        <v>9.0200000000000002E-2</v>
      </c>
      <c r="AA392" s="56"/>
      <c r="AB392" s="57"/>
      <c r="AC392" s="441" t="s">
        <v>615</v>
      </c>
      <c r="AG392" s="64"/>
      <c r="AJ392" s="68"/>
      <c r="AK392" s="68">
        <v>0</v>
      </c>
      <c r="BB392" s="442" t="s">
        <v>1</v>
      </c>
      <c r="BM392" s="64">
        <f t="shared" si="42"/>
        <v>51.759259259259252</v>
      </c>
      <c r="BN392" s="64">
        <f t="shared" si="43"/>
        <v>55.9</v>
      </c>
      <c r="BO392" s="64">
        <f t="shared" si="44"/>
        <v>7.0145903479236812E-2</v>
      </c>
      <c r="BP392" s="64">
        <f t="shared" si="45"/>
        <v>7.575757575757576E-2</v>
      </c>
    </row>
    <row r="393" spans="1:68" ht="27" customHeight="1" x14ac:dyDescent="0.25">
      <c r="A393" s="54" t="s">
        <v>616</v>
      </c>
      <c r="B393" s="54" t="s">
        <v>617</v>
      </c>
      <c r="C393" s="31">
        <v>4301031402</v>
      </c>
      <c r="D393" s="558">
        <v>4680115886124</v>
      </c>
      <c r="E393" s="559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111</v>
      </c>
      <c r="L393" s="32" t="s">
        <v>112</v>
      </c>
      <c r="M393" s="33" t="s">
        <v>68</v>
      </c>
      <c r="N393" s="33"/>
      <c r="O393" s="32">
        <v>50</v>
      </c>
      <c r="P393" s="8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65"/>
      <c r="R393" s="565"/>
      <c r="S393" s="565"/>
      <c r="T393" s="566"/>
      <c r="U393" s="34"/>
      <c r="V393" s="34"/>
      <c r="W393" s="35" t="s">
        <v>69</v>
      </c>
      <c r="X393" s="547">
        <v>200</v>
      </c>
      <c r="Y393" s="548">
        <f t="shared" si="41"/>
        <v>205.20000000000002</v>
      </c>
      <c r="Z393" s="36">
        <f>IFERROR(IF(Y393=0,"",ROUNDUP(Y393/H393,0)*0.00902),"")</f>
        <v>0.34276000000000001</v>
      </c>
      <c r="AA393" s="56"/>
      <c r="AB393" s="57"/>
      <c r="AC393" s="443" t="s">
        <v>618</v>
      </c>
      <c r="AG393" s="64"/>
      <c r="AJ393" s="68" t="s">
        <v>108</v>
      </c>
      <c r="AK393" s="68">
        <v>64.8</v>
      </c>
      <c r="BB393" s="444" t="s">
        <v>1</v>
      </c>
      <c r="BM393" s="64">
        <f t="shared" si="42"/>
        <v>207.03703703703701</v>
      </c>
      <c r="BN393" s="64">
        <f t="shared" si="43"/>
        <v>212.42</v>
      </c>
      <c r="BO393" s="64">
        <f t="shared" si="44"/>
        <v>0.28058361391694725</v>
      </c>
      <c r="BP393" s="64">
        <f t="shared" si="45"/>
        <v>0.2878787878787879</v>
      </c>
    </row>
    <row r="394" spans="1:68" ht="27" hidden="1" customHeight="1" x14ac:dyDescent="0.25">
      <c r="A394" s="54" t="s">
        <v>619</v>
      </c>
      <c r="B394" s="54" t="s">
        <v>620</v>
      </c>
      <c r="C394" s="31">
        <v>4301031366</v>
      </c>
      <c r="D394" s="558">
        <v>4680115883147</v>
      </c>
      <c r="E394" s="559"/>
      <c r="F394" s="546">
        <v>0.28000000000000003</v>
      </c>
      <c r="G394" s="32">
        <v>6</v>
      </c>
      <c r="H394" s="546">
        <v>1.68</v>
      </c>
      <c r="I394" s="546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83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65"/>
      <c r="R394" s="565"/>
      <c r="S394" s="565"/>
      <c r="T394" s="566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ref="Z394:Z399" si="46">IFERROR(IF(Y394=0,"",ROUNDUP(Y394/H394,0)*0.00502),"")</f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4301031362</v>
      </c>
      <c r="D395" s="558">
        <v>4607091384338</v>
      </c>
      <c r="E395" s="559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65"/>
      <c r="R395" s="565"/>
      <c r="S395" s="565"/>
      <c r="T395" s="566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612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37.5" customHeight="1" x14ac:dyDescent="0.25">
      <c r="A396" s="54" t="s">
        <v>623</v>
      </c>
      <c r="B396" s="54" t="s">
        <v>624</v>
      </c>
      <c r="C396" s="31">
        <v>4301031361</v>
      </c>
      <c r="D396" s="558">
        <v>4607091389524</v>
      </c>
      <c r="E396" s="559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65"/>
      <c r="R396" s="565"/>
      <c r="S396" s="565"/>
      <c r="T396" s="566"/>
      <c r="U396" s="34"/>
      <c r="V396" s="34"/>
      <c r="W396" s="35" t="s">
        <v>69</v>
      </c>
      <c r="X396" s="547">
        <v>8.3999999999999986</v>
      </c>
      <c r="Y396" s="548">
        <f t="shared" si="41"/>
        <v>8.4</v>
      </c>
      <c r="Z396" s="36">
        <f t="shared" si="46"/>
        <v>2.0080000000000001E-2</v>
      </c>
      <c r="AA396" s="56"/>
      <c r="AB396" s="57"/>
      <c r="AC396" s="449" t="s">
        <v>625</v>
      </c>
      <c r="AG396" s="64"/>
      <c r="AJ396" s="68"/>
      <c r="AK396" s="68">
        <v>0</v>
      </c>
      <c r="BB396" s="450" t="s">
        <v>1</v>
      </c>
      <c r="BM396" s="64">
        <f t="shared" si="42"/>
        <v>8.9199999999999982</v>
      </c>
      <c r="BN396" s="64">
        <f t="shared" si="43"/>
        <v>8.92</v>
      </c>
      <c r="BO396" s="64">
        <f t="shared" si="44"/>
        <v>1.7094017094017092E-2</v>
      </c>
      <c r="BP396" s="64">
        <f t="shared" si="45"/>
        <v>1.7094017094017096E-2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4301031364</v>
      </c>
      <c r="D397" s="558">
        <v>4680115883161</v>
      </c>
      <c r="E397" s="559"/>
      <c r="F397" s="546">
        <v>0.28000000000000003</v>
      </c>
      <c r="G397" s="32">
        <v>6</v>
      </c>
      <c r="H397" s="546">
        <v>1.68</v>
      </c>
      <c r="I397" s="546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65"/>
      <c r="R397" s="565"/>
      <c r="S397" s="565"/>
      <c r="T397" s="566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629</v>
      </c>
      <c r="B398" s="54" t="s">
        <v>630</v>
      </c>
      <c r="C398" s="31">
        <v>4301031358</v>
      </c>
      <c r="D398" s="558">
        <v>4607091389531</v>
      </c>
      <c r="E398" s="559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 t="s">
        <v>292</v>
      </c>
      <c r="M398" s="33" t="s">
        <v>68</v>
      </c>
      <c r="N398" s="33"/>
      <c r="O398" s="32">
        <v>50</v>
      </c>
      <c r="P398" s="67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65"/>
      <c r="R398" s="565"/>
      <c r="S398" s="565"/>
      <c r="T398" s="566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631</v>
      </c>
      <c r="AG398" s="64"/>
      <c r="AJ398" s="68" t="s">
        <v>108</v>
      </c>
      <c r="AK398" s="68">
        <v>37.799999999999997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37.5" customHeight="1" x14ac:dyDescent="0.25">
      <c r="A399" s="54" t="s">
        <v>632</v>
      </c>
      <c r="B399" s="54" t="s">
        <v>633</v>
      </c>
      <c r="C399" s="31">
        <v>4301031360</v>
      </c>
      <c r="D399" s="558">
        <v>4607091384345</v>
      </c>
      <c r="E399" s="559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0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65"/>
      <c r="R399" s="565"/>
      <c r="S399" s="565"/>
      <c r="T399" s="566"/>
      <c r="U399" s="34"/>
      <c r="V399" s="34"/>
      <c r="W399" s="35" t="s">
        <v>69</v>
      </c>
      <c r="X399" s="547">
        <v>28</v>
      </c>
      <c r="Y399" s="548">
        <f t="shared" si="41"/>
        <v>29.400000000000002</v>
      </c>
      <c r="Z399" s="36">
        <f t="shared" si="46"/>
        <v>7.0280000000000009E-2</v>
      </c>
      <c r="AA399" s="56"/>
      <c r="AB399" s="57"/>
      <c r="AC399" s="455" t="s">
        <v>628</v>
      </c>
      <c r="AG399" s="64"/>
      <c r="AJ399" s="68"/>
      <c r="AK399" s="68">
        <v>0</v>
      </c>
      <c r="BB399" s="456" t="s">
        <v>1</v>
      </c>
      <c r="BM399" s="64">
        <f t="shared" si="42"/>
        <v>29.733333333333331</v>
      </c>
      <c r="BN399" s="64">
        <f t="shared" si="43"/>
        <v>31.22</v>
      </c>
      <c r="BO399" s="64">
        <f t="shared" si="44"/>
        <v>5.6980056980056981E-2</v>
      </c>
      <c r="BP399" s="64">
        <f t="shared" si="45"/>
        <v>5.9829059829059839E-2</v>
      </c>
    </row>
    <row r="400" spans="1:68" x14ac:dyDescent="0.2">
      <c r="A400" s="560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61"/>
      <c r="P400" s="553" t="s">
        <v>75</v>
      </c>
      <c r="Q400" s="554"/>
      <c r="R400" s="554"/>
      <c r="S400" s="554"/>
      <c r="T400" s="554"/>
      <c r="U400" s="554"/>
      <c r="V400" s="555"/>
      <c r="W400" s="37" t="s">
        <v>76</v>
      </c>
      <c r="X400" s="549">
        <f>IFERROR(X391/H391,"0")+IFERROR(X392/H392,"0")+IFERROR(X393/H393,"0")+IFERROR(X394/H394,"0")+IFERROR(X395/H395,"0")+IFERROR(X396/H396,"0")+IFERROR(X397/H397,"0")+IFERROR(X398/H398,"0")+IFERROR(X399/H399,"0")</f>
        <v>91.407407407407405</v>
      </c>
      <c r="Y400" s="549">
        <f>IFERROR(Y391/H391,"0")+IFERROR(Y392/H392,"0")+IFERROR(Y393/H393,"0")+IFERROR(Y394/H394,"0")+IFERROR(Y395/H395,"0")+IFERROR(Y396/H396,"0")+IFERROR(Y397/H397,"0")+IFERROR(Y398/H398,"0")+IFERROR(Y399/H399,"0")</f>
        <v>94</v>
      </c>
      <c r="Z400" s="549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0.77588000000000001</v>
      </c>
      <c r="AA400" s="550"/>
      <c r="AB400" s="550"/>
      <c r="AC400" s="550"/>
    </row>
    <row r="401" spans="1:68" x14ac:dyDescent="0.2">
      <c r="A401" s="557"/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61"/>
      <c r="P401" s="553" t="s">
        <v>75</v>
      </c>
      <c r="Q401" s="554"/>
      <c r="R401" s="554"/>
      <c r="S401" s="554"/>
      <c r="T401" s="554"/>
      <c r="U401" s="554"/>
      <c r="V401" s="555"/>
      <c r="W401" s="37" t="s">
        <v>69</v>
      </c>
      <c r="X401" s="549">
        <f>IFERROR(SUM(X391:X399),"0")</f>
        <v>436.4</v>
      </c>
      <c r="Y401" s="549">
        <f>IFERROR(SUM(Y391:Y399),"0")</f>
        <v>448.2</v>
      </c>
      <c r="Z401" s="37"/>
      <c r="AA401" s="550"/>
      <c r="AB401" s="550"/>
      <c r="AC401" s="550"/>
    </row>
    <row r="402" spans="1:68" ht="14.25" hidden="1" customHeight="1" x14ac:dyDescent="0.25">
      <c r="A402" s="556" t="s">
        <v>77</v>
      </c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  <c r="Z402" s="557"/>
      <c r="AA402" s="543"/>
      <c r="AB402" s="543"/>
      <c r="AC402" s="543"/>
    </row>
    <row r="403" spans="1:68" ht="27" hidden="1" customHeight="1" x14ac:dyDescent="0.25">
      <c r="A403" s="54" t="s">
        <v>634</v>
      </c>
      <c r="B403" s="54" t="s">
        <v>635</v>
      </c>
      <c r="C403" s="31">
        <v>4301051284</v>
      </c>
      <c r="D403" s="558">
        <v>4607091384352</v>
      </c>
      <c r="E403" s="559"/>
      <c r="F403" s="546">
        <v>0.6</v>
      </c>
      <c r="G403" s="32">
        <v>4</v>
      </c>
      <c r="H403" s="546">
        <v>2.4</v>
      </c>
      <c r="I403" s="546">
        <v>2.6259999999999999</v>
      </c>
      <c r="J403" s="32">
        <v>132</v>
      </c>
      <c r="K403" s="32" t="s">
        <v>111</v>
      </c>
      <c r="L403" s="32"/>
      <c r="M403" s="33" t="s">
        <v>80</v>
      </c>
      <c r="N403" s="33"/>
      <c r="O403" s="32">
        <v>45</v>
      </c>
      <c r="P403" s="78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65"/>
      <c r="R403" s="565"/>
      <c r="S403" s="565"/>
      <c r="T403" s="566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636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637</v>
      </c>
      <c r="B404" s="54" t="s">
        <v>638</v>
      </c>
      <c r="C404" s="31">
        <v>4301051431</v>
      </c>
      <c r="D404" s="558">
        <v>4607091389654</v>
      </c>
      <c r="E404" s="559"/>
      <c r="F404" s="546">
        <v>0.33</v>
      </c>
      <c r="G404" s="32">
        <v>6</v>
      </c>
      <c r="H404" s="546">
        <v>1.98</v>
      </c>
      <c r="I404" s="546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84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65"/>
      <c r="R404" s="565"/>
      <c r="S404" s="565"/>
      <c r="T404" s="566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639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0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61"/>
      <c r="P405" s="553" t="s">
        <v>75</v>
      </c>
      <c r="Q405" s="554"/>
      <c r="R405" s="554"/>
      <c r="S405" s="554"/>
      <c r="T405" s="554"/>
      <c r="U405" s="554"/>
      <c r="V405" s="555"/>
      <c r="W405" s="37" t="s">
        <v>76</v>
      </c>
      <c r="X405" s="549">
        <f>IFERROR(X403/H403,"0")+IFERROR(X404/H404,"0")</f>
        <v>0</v>
      </c>
      <c r="Y405" s="549">
        <f>IFERROR(Y403/H403,"0")+IFERROR(Y404/H404,"0")</f>
        <v>0</v>
      </c>
      <c r="Z405" s="549">
        <f>IFERROR(IF(Z403="",0,Z403),"0")+IFERROR(IF(Z404="",0,Z404),"0")</f>
        <v>0</v>
      </c>
      <c r="AA405" s="550"/>
      <c r="AB405" s="550"/>
      <c r="AC405" s="550"/>
    </row>
    <row r="406" spans="1:68" hidden="1" x14ac:dyDescent="0.2">
      <c r="A406" s="557"/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61"/>
      <c r="P406" s="553" t="s">
        <v>75</v>
      </c>
      <c r="Q406" s="554"/>
      <c r="R406" s="554"/>
      <c r="S406" s="554"/>
      <c r="T406" s="554"/>
      <c r="U406" s="554"/>
      <c r="V406" s="555"/>
      <c r="W406" s="37" t="s">
        <v>69</v>
      </c>
      <c r="X406" s="549">
        <f>IFERROR(SUM(X403:X404),"0")</f>
        <v>0</v>
      </c>
      <c r="Y406" s="549">
        <f>IFERROR(SUM(Y403:Y404),"0")</f>
        <v>0</v>
      </c>
      <c r="Z406" s="37"/>
      <c r="AA406" s="550"/>
      <c r="AB406" s="550"/>
      <c r="AC406" s="550"/>
    </row>
    <row r="407" spans="1:68" ht="16.5" hidden="1" customHeight="1" x14ac:dyDescent="0.25">
      <c r="A407" s="590" t="s">
        <v>640</v>
      </c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  <c r="Z407" s="557"/>
      <c r="AA407" s="542"/>
      <c r="AB407" s="542"/>
      <c r="AC407" s="542"/>
    </row>
    <row r="408" spans="1:68" ht="14.25" hidden="1" customHeight="1" x14ac:dyDescent="0.25">
      <c r="A408" s="556" t="s">
        <v>137</v>
      </c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57"/>
      <c r="P408" s="557"/>
      <c r="Q408" s="557"/>
      <c r="R408" s="557"/>
      <c r="S408" s="557"/>
      <c r="T408" s="557"/>
      <c r="U408" s="557"/>
      <c r="V408" s="557"/>
      <c r="W408" s="557"/>
      <c r="X408" s="557"/>
      <c r="Y408" s="557"/>
      <c r="Z408" s="557"/>
      <c r="AA408" s="543"/>
      <c r="AB408" s="543"/>
      <c r="AC408" s="543"/>
    </row>
    <row r="409" spans="1:68" ht="27" hidden="1" customHeight="1" x14ac:dyDescent="0.25">
      <c r="A409" s="54" t="s">
        <v>641</v>
      </c>
      <c r="B409" s="54" t="s">
        <v>642</v>
      </c>
      <c r="C409" s="31">
        <v>4301020319</v>
      </c>
      <c r="D409" s="558">
        <v>4680115885240</v>
      </c>
      <c r="E409" s="559"/>
      <c r="F409" s="546">
        <v>0.35</v>
      </c>
      <c r="G409" s="32">
        <v>6</v>
      </c>
      <c r="H409" s="546">
        <v>2.1</v>
      </c>
      <c r="I409" s="546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6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65"/>
      <c r="R409" s="565"/>
      <c r="S409" s="565"/>
      <c r="T409" s="566"/>
      <c r="U409" s="34"/>
      <c r="V409" s="34"/>
      <c r="W409" s="35" t="s">
        <v>69</v>
      </c>
      <c r="X409" s="547">
        <v>0</v>
      </c>
      <c r="Y409" s="548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643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0"/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61"/>
      <c r="P410" s="553" t="s">
        <v>75</v>
      </c>
      <c r="Q410" s="554"/>
      <c r="R410" s="554"/>
      <c r="S410" s="554"/>
      <c r="T410" s="554"/>
      <c r="U410" s="554"/>
      <c r="V410" s="555"/>
      <c r="W410" s="37" t="s">
        <v>76</v>
      </c>
      <c r="X410" s="549">
        <f>IFERROR(X409/H409,"0")</f>
        <v>0</v>
      </c>
      <c r="Y410" s="549">
        <f>IFERROR(Y409/H409,"0")</f>
        <v>0</v>
      </c>
      <c r="Z410" s="549">
        <f>IFERROR(IF(Z409="",0,Z409),"0")</f>
        <v>0</v>
      </c>
      <c r="AA410" s="550"/>
      <c r="AB410" s="550"/>
      <c r="AC410" s="550"/>
    </row>
    <row r="411" spans="1:68" hidden="1" x14ac:dyDescent="0.2">
      <c r="A411" s="557"/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61"/>
      <c r="P411" s="553" t="s">
        <v>75</v>
      </c>
      <c r="Q411" s="554"/>
      <c r="R411" s="554"/>
      <c r="S411" s="554"/>
      <c r="T411" s="554"/>
      <c r="U411" s="554"/>
      <c r="V411" s="555"/>
      <c r="W411" s="37" t="s">
        <v>69</v>
      </c>
      <c r="X411" s="549">
        <f>IFERROR(SUM(X409:X409),"0")</f>
        <v>0</v>
      </c>
      <c r="Y411" s="549">
        <f>IFERROR(SUM(Y409:Y409),"0")</f>
        <v>0</v>
      </c>
      <c r="Z411" s="37"/>
      <c r="AA411" s="550"/>
      <c r="AB411" s="550"/>
      <c r="AC411" s="550"/>
    </row>
    <row r="412" spans="1:68" ht="14.25" hidden="1" customHeight="1" x14ac:dyDescent="0.25">
      <c r="A412" s="556" t="s">
        <v>64</v>
      </c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57"/>
      <c r="P412" s="557"/>
      <c r="Q412" s="557"/>
      <c r="R412" s="557"/>
      <c r="S412" s="557"/>
      <c r="T412" s="557"/>
      <c r="U412" s="557"/>
      <c r="V412" s="557"/>
      <c r="W412" s="557"/>
      <c r="X412" s="557"/>
      <c r="Y412" s="557"/>
      <c r="Z412" s="557"/>
      <c r="AA412" s="543"/>
      <c r="AB412" s="543"/>
      <c r="AC412" s="543"/>
    </row>
    <row r="413" spans="1:68" ht="27" customHeight="1" x14ac:dyDescent="0.25">
      <c r="A413" s="54" t="s">
        <v>644</v>
      </c>
      <c r="B413" s="54" t="s">
        <v>645</v>
      </c>
      <c r="C413" s="31">
        <v>4301031403</v>
      </c>
      <c r="D413" s="558">
        <v>4680115886094</v>
      </c>
      <c r="E413" s="559"/>
      <c r="F413" s="546">
        <v>0.9</v>
      </c>
      <c r="G413" s="32">
        <v>6</v>
      </c>
      <c r="H413" s="546">
        <v>5.4</v>
      </c>
      <c r="I413" s="546">
        <v>5.59</v>
      </c>
      <c r="J413" s="32">
        <v>132</v>
      </c>
      <c r="K413" s="32" t="s">
        <v>111</v>
      </c>
      <c r="L413" s="32" t="s">
        <v>112</v>
      </c>
      <c r="M413" s="33" t="s">
        <v>106</v>
      </c>
      <c r="N413" s="33"/>
      <c r="O413" s="32">
        <v>50</v>
      </c>
      <c r="P413" s="81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65"/>
      <c r="R413" s="565"/>
      <c r="S413" s="565"/>
      <c r="T413" s="566"/>
      <c r="U413" s="34"/>
      <c r="V413" s="34"/>
      <c r="W413" s="35" t="s">
        <v>69</v>
      </c>
      <c r="X413" s="547">
        <v>400</v>
      </c>
      <c r="Y413" s="548">
        <f>IFERROR(IF(X413="",0,CEILING((X413/$H413),1)*$H413),"")</f>
        <v>405</v>
      </c>
      <c r="Z413" s="36">
        <f>IFERROR(IF(Y413=0,"",ROUNDUP(Y413/H413,0)*0.00902),"")</f>
        <v>0.67649999999999999</v>
      </c>
      <c r="AA413" s="56"/>
      <c r="AB413" s="57"/>
      <c r="AC413" s="463" t="s">
        <v>646</v>
      </c>
      <c r="AG413" s="64"/>
      <c r="AJ413" s="68" t="s">
        <v>108</v>
      </c>
      <c r="AK413" s="68">
        <v>64.8</v>
      </c>
      <c r="BB413" s="464" t="s">
        <v>1</v>
      </c>
      <c r="BM413" s="64">
        <f>IFERROR(X413*I413/H413,"0")</f>
        <v>414.07407407407402</v>
      </c>
      <c r="BN413" s="64">
        <f>IFERROR(Y413*I413/H413,"0")</f>
        <v>419.24999999999994</v>
      </c>
      <c r="BO413" s="64">
        <f>IFERROR(1/J413*(X413/H413),"0")</f>
        <v>0.5611672278338945</v>
      </c>
      <c r="BP413" s="64">
        <f>IFERROR(1/J413*(Y413/H413),"0")</f>
        <v>0.56818181818181823</v>
      </c>
    </row>
    <row r="414" spans="1:68" ht="27" hidden="1" customHeight="1" x14ac:dyDescent="0.25">
      <c r="A414" s="54" t="s">
        <v>647</v>
      </c>
      <c r="B414" s="54" t="s">
        <v>648</v>
      </c>
      <c r="C414" s="31">
        <v>4301031363</v>
      </c>
      <c r="D414" s="558">
        <v>4607091389425</v>
      </c>
      <c r="E414" s="559"/>
      <c r="F414" s="546">
        <v>0.35</v>
      </c>
      <c r="G414" s="32">
        <v>6</v>
      </c>
      <c r="H414" s="546">
        <v>2.1</v>
      </c>
      <c r="I414" s="546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7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65"/>
      <c r="R414" s="565"/>
      <c r="S414" s="565"/>
      <c r="T414" s="566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650</v>
      </c>
      <c r="B415" s="54" t="s">
        <v>651</v>
      </c>
      <c r="C415" s="31">
        <v>4301031373</v>
      </c>
      <c r="D415" s="558">
        <v>4680115880771</v>
      </c>
      <c r="E415" s="559"/>
      <c r="F415" s="546">
        <v>0.28000000000000003</v>
      </c>
      <c r="G415" s="32">
        <v>6</v>
      </c>
      <c r="H415" s="546">
        <v>1.68</v>
      </c>
      <c r="I415" s="546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64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65"/>
      <c r="R415" s="565"/>
      <c r="S415" s="565"/>
      <c r="T415" s="566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653</v>
      </c>
      <c r="B416" s="54" t="s">
        <v>654</v>
      </c>
      <c r="C416" s="31">
        <v>4301031359</v>
      </c>
      <c r="D416" s="558">
        <v>4607091389500</v>
      </c>
      <c r="E416" s="559"/>
      <c r="F416" s="546">
        <v>0.35</v>
      </c>
      <c r="G416" s="32">
        <v>6</v>
      </c>
      <c r="H416" s="546">
        <v>2.1</v>
      </c>
      <c r="I416" s="546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65"/>
      <c r="R416" s="565"/>
      <c r="S416" s="565"/>
      <c r="T416" s="566"/>
      <c r="U416" s="34"/>
      <c r="V416" s="34"/>
      <c r="W416" s="35" t="s">
        <v>69</v>
      </c>
      <c r="X416" s="547">
        <v>17.5</v>
      </c>
      <c r="Y416" s="548">
        <f>IFERROR(IF(X416="",0,CEILING((X416/$H416),1)*$H416),"")</f>
        <v>18.900000000000002</v>
      </c>
      <c r="Z416" s="36">
        <f>IFERROR(IF(Y416=0,"",ROUNDUP(Y416/H416,0)*0.00502),"")</f>
        <v>4.5179999999999998E-2</v>
      </c>
      <c r="AA416" s="56"/>
      <c r="AB416" s="57"/>
      <c r="AC416" s="469" t="s">
        <v>652</v>
      </c>
      <c r="AG416" s="64"/>
      <c r="AJ416" s="68"/>
      <c r="AK416" s="68">
        <v>0</v>
      </c>
      <c r="BB416" s="470" t="s">
        <v>1</v>
      </c>
      <c r="BM416" s="64">
        <f>IFERROR(X416*I416/H416,"0")</f>
        <v>18.583333333333332</v>
      </c>
      <c r="BN416" s="64">
        <f>IFERROR(Y416*I416/H416,"0")</f>
        <v>20.07</v>
      </c>
      <c r="BO416" s="64">
        <f>IFERROR(1/J416*(X416/H416),"0")</f>
        <v>3.5612535612535613E-2</v>
      </c>
      <c r="BP416" s="64">
        <f>IFERROR(1/J416*(Y416/H416),"0")</f>
        <v>3.8461538461538464E-2</v>
      </c>
    </row>
    <row r="417" spans="1:68" x14ac:dyDescent="0.2">
      <c r="A417" s="560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61"/>
      <c r="P417" s="553" t="s">
        <v>75</v>
      </c>
      <c r="Q417" s="554"/>
      <c r="R417" s="554"/>
      <c r="S417" s="554"/>
      <c r="T417" s="554"/>
      <c r="U417" s="554"/>
      <c r="V417" s="555"/>
      <c r="W417" s="37" t="s">
        <v>76</v>
      </c>
      <c r="X417" s="549">
        <f>IFERROR(X413/H413,"0")+IFERROR(X414/H414,"0")+IFERROR(X415/H415,"0")+IFERROR(X416/H416,"0")</f>
        <v>82.407407407407405</v>
      </c>
      <c r="Y417" s="549">
        <f>IFERROR(Y413/H413,"0")+IFERROR(Y414/H414,"0")+IFERROR(Y415/H415,"0")+IFERROR(Y416/H416,"0")</f>
        <v>84</v>
      </c>
      <c r="Z417" s="549">
        <f>IFERROR(IF(Z413="",0,Z413),"0")+IFERROR(IF(Z414="",0,Z414),"0")+IFERROR(IF(Z415="",0,Z415),"0")+IFERROR(IF(Z416="",0,Z416),"0")</f>
        <v>0.72167999999999999</v>
      </c>
      <c r="AA417" s="550"/>
      <c r="AB417" s="550"/>
      <c r="AC417" s="550"/>
    </row>
    <row r="418" spans="1:68" x14ac:dyDescent="0.2">
      <c r="A418" s="557"/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61"/>
      <c r="P418" s="553" t="s">
        <v>75</v>
      </c>
      <c r="Q418" s="554"/>
      <c r="R418" s="554"/>
      <c r="S418" s="554"/>
      <c r="T418" s="554"/>
      <c r="U418" s="554"/>
      <c r="V418" s="555"/>
      <c r="W418" s="37" t="s">
        <v>69</v>
      </c>
      <c r="X418" s="549">
        <f>IFERROR(SUM(X413:X416),"0")</f>
        <v>417.5</v>
      </c>
      <c r="Y418" s="549">
        <f>IFERROR(SUM(Y413:Y416),"0")</f>
        <v>423.9</v>
      </c>
      <c r="Z418" s="37"/>
      <c r="AA418" s="550"/>
      <c r="AB418" s="550"/>
      <c r="AC418" s="550"/>
    </row>
    <row r="419" spans="1:68" ht="16.5" hidden="1" customHeight="1" x14ac:dyDescent="0.25">
      <c r="A419" s="590" t="s">
        <v>655</v>
      </c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  <c r="Z419" s="557"/>
      <c r="AA419" s="542"/>
      <c r="AB419" s="542"/>
      <c r="AC419" s="542"/>
    </row>
    <row r="420" spans="1:68" ht="14.25" hidden="1" customHeight="1" x14ac:dyDescent="0.25">
      <c r="A420" s="556" t="s">
        <v>64</v>
      </c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  <c r="Z420" s="557"/>
      <c r="AA420" s="543"/>
      <c r="AB420" s="543"/>
      <c r="AC420" s="543"/>
    </row>
    <row r="421" spans="1:68" ht="27" hidden="1" customHeight="1" x14ac:dyDescent="0.25">
      <c r="A421" s="54" t="s">
        <v>656</v>
      </c>
      <c r="B421" s="54" t="s">
        <v>657</v>
      </c>
      <c r="C421" s="31">
        <v>4301031347</v>
      </c>
      <c r="D421" s="558">
        <v>4680115885110</v>
      </c>
      <c r="E421" s="559"/>
      <c r="F421" s="546">
        <v>0.2</v>
      </c>
      <c r="G421" s="32">
        <v>6</v>
      </c>
      <c r="H421" s="546">
        <v>1.2</v>
      </c>
      <c r="I421" s="546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6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65"/>
      <c r="R421" s="565"/>
      <c r="S421" s="565"/>
      <c r="T421" s="566"/>
      <c r="U421" s="34"/>
      <c r="V421" s="34"/>
      <c r="W421" s="35" t="s">
        <v>69</v>
      </c>
      <c r="X421" s="547">
        <v>0</v>
      </c>
      <c r="Y421" s="548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658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560"/>
      <c r="B422" s="557"/>
      <c r="C422" s="557"/>
      <c r="D422" s="557"/>
      <c r="E422" s="557"/>
      <c r="F422" s="557"/>
      <c r="G422" s="557"/>
      <c r="H422" s="557"/>
      <c r="I422" s="557"/>
      <c r="J422" s="557"/>
      <c r="K422" s="557"/>
      <c r="L422" s="557"/>
      <c r="M422" s="557"/>
      <c r="N422" s="557"/>
      <c r="O422" s="561"/>
      <c r="P422" s="553" t="s">
        <v>75</v>
      </c>
      <c r="Q422" s="554"/>
      <c r="R422" s="554"/>
      <c r="S422" s="554"/>
      <c r="T422" s="554"/>
      <c r="U422" s="554"/>
      <c r="V422" s="555"/>
      <c r="W422" s="37" t="s">
        <v>76</v>
      </c>
      <c r="X422" s="549">
        <f>IFERROR(X421/H421,"0")</f>
        <v>0</v>
      </c>
      <c r="Y422" s="549">
        <f>IFERROR(Y421/H421,"0")</f>
        <v>0</v>
      </c>
      <c r="Z422" s="549">
        <f>IFERROR(IF(Z421="",0,Z421),"0")</f>
        <v>0</v>
      </c>
      <c r="AA422" s="550"/>
      <c r="AB422" s="550"/>
      <c r="AC422" s="550"/>
    </row>
    <row r="423" spans="1:68" hidden="1" x14ac:dyDescent="0.2">
      <c r="A423" s="557"/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61"/>
      <c r="P423" s="553" t="s">
        <v>75</v>
      </c>
      <c r="Q423" s="554"/>
      <c r="R423" s="554"/>
      <c r="S423" s="554"/>
      <c r="T423" s="554"/>
      <c r="U423" s="554"/>
      <c r="V423" s="555"/>
      <c r="W423" s="37" t="s">
        <v>69</v>
      </c>
      <c r="X423" s="549">
        <f>IFERROR(SUM(X421:X421),"0")</f>
        <v>0</v>
      </c>
      <c r="Y423" s="549">
        <f>IFERROR(SUM(Y421:Y421),"0")</f>
        <v>0</v>
      </c>
      <c r="Z423" s="37"/>
      <c r="AA423" s="550"/>
      <c r="AB423" s="550"/>
      <c r="AC423" s="550"/>
    </row>
    <row r="424" spans="1:68" ht="27.75" hidden="1" customHeight="1" x14ac:dyDescent="0.2">
      <c r="A424" s="651" t="s">
        <v>659</v>
      </c>
      <c r="B424" s="652"/>
      <c r="C424" s="652"/>
      <c r="D424" s="652"/>
      <c r="E424" s="652"/>
      <c r="F424" s="652"/>
      <c r="G424" s="652"/>
      <c r="H424" s="652"/>
      <c r="I424" s="652"/>
      <c r="J424" s="652"/>
      <c r="K424" s="652"/>
      <c r="L424" s="652"/>
      <c r="M424" s="652"/>
      <c r="N424" s="652"/>
      <c r="O424" s="652"/>
      <c r="P424" s="652"/>
      <c r="Q424" s="652"/>
      <c r="R424" s="652"/>
      <c r="S424" s="652"/>
      <c r="T424" s="652"/>
      <c r="U424" s="652"/>
      <c r="V424" s="652"/>
      <c r="W424" s="652"/>
      <c r="X424" s="652"/>
      <c r="Y424" s="652"/>
      <c r="Z424" s="652"/>
      <c r="AA424" s="48"/>
      <c r="AB424" s="48"/>
      <c r="AC424" s="48"/>
    </row>
    <row r="425" spans="1:68" ht="16.5" hidden="1" customHeight="1" x14ac:dyDescent="0.25">
      <c r="A425" s="590" t="s">
        <v>659</v>
      </c>
      <c r="B425" s="557"/>
      <c r="C425" s="557"/>
      <c r="D425" s="557"/>
      <c r="E425" s="557"/>
      <c r="F425" s="557"/>
      <c r="G425" s="557"/>
      <c r="H425" s="557"/>
      <c r="I425" s="557"/>
      <c r="J425" s="557"/>
      <c r="K425" s="557"/>
      <c r="L425" s="557"/>
      <c r="M425" s="557"/>
      <c r="N425" s="557"/>
      <c r="O425" s="557"/>
      <c r="P425" s="557"/>
      <c r="Q425" s="557"/>
      <c r="R425" s="557"/>
      <c r="S425" s="557"/>
      <c r="T425" s="557"/>
      <c r="U425" s="557"/>
      <c r="V425" s="557"/>
      <c r="W425" s="557"/>
      <c r="X425" s="557"/>
      <c r="Y425" s="557"/>
      <c r="Z425" s="557"/>
      <c r="AA425" s="542"/>
      <c r="AB425" s="542"/>
      <c r="AC425" s="542"/>
    </row>
    <row r="426" spans="1:68" ht="14.25" hidden="1" customHeight="1" x14ac:dyDescent="0.25">
      <c r="A426" s="556" t="s">
        <v>101</v>
      </c>
      <c r="B426" s="557"/>
      <c r="C426" s="557"/>
      <c r="D426" s="557"/>
      <c r="E426" s="557"/>
      <c r="F426" s="557"/>
      <c r="G426" s="557"/>
      <c r="H426" s="557"/>
      <c r="I426" s="557"/>
      <c r="J426" s="557"/>
      <c r="K426" s="557"/>
      <c r="L426" s="557"/>
      <c r="M426" s="557"/>
      <c r="N426" s="557"/>
      <c r="O426" s="557"/>
      <c r="P426" s="557"/>
      <c r="Q426" s="557"/>
      <c r="R426" s="557"/>
      <c r="S426" s="557"/>
      <c r="T426" s="557"/>
      <c r="U426" s="557"/>
      <c r="V426" s="557"/>
      <c r="W426" s="557"/>
      <c r="X426" s="557"/>
      <c r="Y426" s="557"/>
      <c r="Z426" s="557"/>
      <c r="AA426" s="543"/>
      <c r="AB426" s="543"/>
      <c r="AC426" s="543"/>
    </row>
    <row r="427" spans="1:68" ht="27" hidden="1" customHeight="1" x14ac:dyDescent="0.25">
      <c r="A427" s="54" t="s">
        <v>660</v>
      </c>
      <c r="B427" s="54" t="s">
        <v>661</v>
      </c>
      <c r="C427" s="31">
        <v>4301011795</v>
      </c>
      <c r="D427" s="558">
        <v>4607091389067</v>
      </c>
      <c r="E427" s="559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85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65"/>
      <c r="R427" s="565"/>
      <c r="S427" s="565"/>
      <c r="T427" s="566"/>
      <c r="U427" s="34"/>
      <c r="V427" s="34"/>
      <c r="W427" s="35" t="s">
        <v>69</v>
      </c>
      <c r="X427" s="547">
        <v>0</v>
      </c>
      <c r="Y427" s="548">
        <f t="shared" ref="Y427:Y438" si="47">IFERROR(IF(X427="",0,CEILING((X427/$H427),1)*$H427),"")</f>
        <v>0</v>
      </c>
      <c r="Z427" s="36" t="str">
        <f t="shared" ref="Z427:Z433" si="48">IFERROR(IF(Y427=0,"",ROUNDUP(Y427/H427,0)*0.01196),"")</f>
        <v/>
      </c>
      <c r="AA427" s="56"/>
      <c r="AB427" s="57"/>
      <c r="AC427" s="473" t="s">
        <v>107</v>
      </c>
      <c r="AG427" s="64"/>
      <c r="AJ427" s="68" t="s">
        <v>108</v>
      </c>
      <c r="AK427" s="68">
        <v>42.24</v>
      </c>
      <c r="BB427" s="474" t="s">
        <v>1</v>
      </c>
      <c r="BM427" s="64">
        <f t="shared" ref="BM427:BM438" si="49">IFERROR(X427*I427/H427,"0")</f>
        <v>0</v>
      </c>
      <c r="BN427" s="64">
        <f t="shared" ref="BN427:BN438" si="50">IFERROR(Y427*I427/H427,"0")</f>
        <v>0</v>
      </c>
      <c r="BO427" s="64">
        <f t="shared" ref="BO427:BO438" si="51">IFERROR(1/J427*(X427/H427),"0")</f>
        <v>0</v>
      </c>
      <c r="BP427" s="64">
        <f t="shared" ref="BP427:BP438" si="52">IFERROR(1/J427*(Y427/H427),"0")</f>
        <v>0</v>
      </c>
    </row>
    <row r="428" spans="1:68" ht="27" hidden="1" customHeight="1" x14ac:dyDescent="0.25">
      <c r="A428" s="54" t="s">
        <v>662</v>
      </c>
      <c r="B428" s="54" t="s">
        <v>663</v>
      </c>
      <c r="C428" s="31">
        <v>4301012210</v>
      </c>
      <c r="D428" s="558">
        <v>4607091383522</v>
      </c>
      <c r="E428" s="559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/>
      <c r="M428" s="33" t="s">
        <v>106</v>
      </c>
      <c r="N428" s="33"/>
      <c r="O428" s="32">
        <v>60</v>
      </c>
      <c r="P428" s="785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65"/>
      <c r="R428" s="565"/>
      <c r="S428" s="565"/>
      <c r="T428" s="566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664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662</v>
      </c>
      <c r="B429" s="54" t="s">
        <v>665</v>
      </c>
      <c r="C429" s="31">
        <v>4301012145</v>
      </c>
      <c r="D429" s="558">
        <v>4607091383522</v>
      </c>
      <c r="E429" s="559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79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65"/>
      <c r="R429" s="565"/>
      <c r="S429" s="565"/>
      <c r="T429" s="566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666</v>
      </c>
      <c r="B430" s="54" t="s">
        <v>667</v>
      </c>
      <c r="C430" s="31">
        <v>4301011961</v>
      </c>
      <c r="D430" s="558">
        <v>4680115885271</v>
      </c>
      <c r="E430" s="559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 t="s">
        <v>105</v>
      </c>
      <c r="M430" s="33" t="s">
        <v>106</v>
      </c>
      <c r="N430" s="33"/>
      <c r="O430" s="32">
        <v>60</v>
      </c>
      <c r="P430" s="6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65"/>
      <c r="R430" s="565"/>
      <c r="S430" s="565"/>
      <c r="T430" s="566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668</v>
      </c>
      <c r="AG430" s="64"/>
      <c r="AJ430" s="68" t="s">
        <v>108</v>
      </c>
      <c r="AK430" s="68">
        <v>42.24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669</v>
      </c>
      <c r="B431" s="54" t="s">
        <v>670</v>
      </c>
      <c r="C431" s="31">
        <v>4301011376</v>
      </c>
      <c r="D431" s="558">
        <v>4680115885226</v>
      </c>
      <c r="E431" s="559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80</v>
      </c>
      <c r="N431" s="33"/>
      <c r="O431" s="32">
        <v>60</v>
      </c>
      <c r="P431" s="77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65"/>
      <c r="R431" s="565"/>
      <c r="S431" s="565"/>
      <c r="T431" s="566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671</v>
      </c>
      <c r="AG431" s="64"/>
      <c r="AJ431" s="68" t="s">
        <v>108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16.5" hidden="1" customHeight="1" x14ac:dyDescent="0.25">
      <c r="A432" s="54" t="s">
        <v>672</v>
      </c>
      <c r="B432" s="54" t="s">
        <v>673</v>
      </c>
      <c r="C432" s="31">
        <v>4301011774</v>
      </c>
      <c r="D432" s="558">
        <v>4680115884502</v>
      </c>
      <c r="E432" s="559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86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65"/>
      <c r="R432" s="565"/>
      <c r="S432" s="565"/>
      <c r="T432" s="566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674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675</v>
      </c>
      <c r="B433" s="54" t="s">
        <v>676</v>
      </c>
      <c r="C433" s="31">
        <v>4301011771</v>
      </c>
      <c r="D433" s="558">
        <v>4607091389104</v>
      </c>
      <c r="E433" s="559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 t="s">
        <v>105</v>
      </c>
      <c r="M433" s="33" t="s">
        <v>106</v>
      </c>
      <c r="N433" s="33"/>
      <c r="O433" s="32">
        <v>60</v>
      </c>
      <c r="P433" s="60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65"/>
      <c r="R433" s="565"/>
      <c r="S433" s="565"/>
      <c r="T433" s="566"/>
      <c r="U433" s="34"/>
      <c r="V433" s="34"/>
      <c r="W433" s="35" t="s">
        <v>69</v>
      </c>
      <c r="X433" s="547">
        <v>300</v>
      </c>
      <c r="Y433" s="548">
        <f t="shared" si="47"/>
        <v>300.96000000000004</v>
      </c>
      <c r="Z433" s="36">
        <f t="shared" si="48"/>
        <v>0.68171999999999999</v>
      </c>
      <c r="AA433" s="56"/>
      <c r="AB433" s="57"/>
      <c r="AC433" s="485" t="s">
        <v>677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319.88636363636363</v>
      </c>
      <c r="BN433" s="64">
        <f t="shared" si="50"/>
        <v>320.91000000000003</v>
      </c>
      <c r="BO433" s="64">
        <f t="shared" si="51"/>
        <v>0.54632867132867136</v>
      </c>
      <c r="BP433" s="64">
        <f t="shared" si="52"/>
        <v>0.54807692307692313</v>
      </c>
    </row>
    <row r="434" spans="1:68" ht="27" hidden="1" customHeight="1" x14ac:dyDescent="0.25">
      <c r="A434" s="54" t="s">
        <v>678</v>
      </c>
      <c r="B434" s="54" t="s">
        <v>679</v>
      </c>
      <c r="C434" s="31">
        <v>4301012125</v>
      </c>
      <c r="D434" s="558">
        <v>4680115886391</v>
      </c>
      <c r="E434" s="559"/>
      <c r="F434" s="546">
        <v>0.4</v>
      </c>
      <c r="G434" s="32">
        <v>6</v>
      </c>
      <c r="H434" s="546">
        <v>2.4</v>
      </c>
      <c r="I434" s="546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60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65"/>
      <c r="R434" s="565"/>
      <c r="S434" s="565"/>
      <c r="T434" s="566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IFERROR(IF(Y434=0,"",ROUNDUP(Y434/H434,0)*0.00651),"")</f>
        <v/>
      </c>
      <c r="AA434" s="56"/>
      <c r="AB434" s="57"/>
      <c r="AC434" s="487" t="s">
        <v>107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680</v>
      </c>
      <c r="B435" s="54" t="s">
        <v>681</v>
      </c>
      <c r="C435" s="31">
        <v>4301012035</v>
      </c>
      <c r="D435" s="558">
        <v>4680115880603</v>
      </c>
      <c r="E435" s="559"/>
      <c r="F435" s="546">
        <v>0.6</v>
      </c>
      <c r="G435" s="32">
        <v>8</v>
      </c>
      <c r="H435" s="546">
        <v>4.8</v>
      </c>
      <c r="I435" s="546">
        <v>6.91</v>
      </c>
      <c r="J435" s="32">
        <v>132</v>
      </c>
      <c r="K435" s="32" t="s">
        <v>111</v>
      </c>
      <c r="L435" s="32"/>
      <c r="M435" s="33" t="s">
        <v>106</v>
      </c>
      <c r="N435" s="33"/>
      <c r="O435" s="32">
        <v>60</v>
      </c>
      <c r="P435" s="60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65"/>
      <c r="R435" s="565"/>
      <c r="S435" s="565"/>
      <c r="T435" s="566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IFERROR(IF(Y435=0,"",ROUNDUP(Y435/H435,0)*0.00902),"")</f>
        <v/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682</v>
      </c>
      <c r="B436" s="54" t="s">
        <v>683</v>
      </c>
      <c r="C436" s="31">
        <v>4301012036</v>
      </c>
      <c r="D436" s="558">
        <v>4680115882782</v>
      </c>
      <c r="E436" s="559"/>
      <c r="F436" s="546">
        <v>0.6</v>
      </c>
      <c r="G436" s="32">
        <v>8</v>
      </c>
      <c r="H436" s="546">
        <v>4.8</v>
      </c>
      <c r="I436" s="546">
        <v>6.96</v>
      </c>
      <c r="J436" s="32">
        <v>120</v>
      </c>
      <c r="K436" s="32" t="s">
        <v>111</v>
      </c>
      <c r="L436" s="32"/>
      <c r="M436" s="33" t="s">
        <v>106</v>
      </c>
      <c r="N436" s="33"/>
      <c r="O436" s="32">
        <v>60</v>
      </c>
      <c r="P436" s="61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65"/>
      <c r="R436" s="565"/>
      <c r="S436" s="565"/>
      <c r="T436" s="566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IFERROR(IF(Y436=0,"",ROUNDUP(Y436/H436,0)*0.00937),"")</f>
        <v/>
      </c>
      <c r="AA436" s="56"/>
      <c r="AB436" s="57"/>
      <c r="AC436" s="491" t="s">
        <v>668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684</v>
      </c>
      <c r="B437" s="54" t="s">
        <v>685</v>
      </c>
      <c r="C437" s="31">
        <v>4301012050</v>
      </c>
      <c r="D437" s="558">
        <v>4680115885479</v>
      </c>
      <c r="E437" s="559"/>
      <c r="F437" s="546">
        <v>0.4</v>
      </c>
      <c r="G437" s="32">
        <v>6</v>
      </c>
      <c r="H437" s="546">
        <v>2.4</v>
      </c>
      <c r="I437" s="546">
        <v>2.58</v>
      </c>
      <c r="J437" s="32">
        <v>182</v>
      </c>
      <c r="K437" s="32" t="s">
        <v>67</v>
      </c>
      <c r="L437" s="32"/>
      <c r="M437" s="33" t="s">
        <v>106</v>
      </c>
      <c r="N437" s="33"/>
      <c r="O437" s="32">
        <v>60</v>
      </c>
      <c r="P437" s="71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65"/>
      <c r="R437" s="565"/>
      <c r="S437" s="565"/>
      <c r="T437" s="566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IFERROR(IF(Y437=0,"",ROUNDUP(Y437/H437,0)*0.00651),"")</f>
        <v/>
      </c>
      <c r="AA437" s="56"/>
      <c r="AB437" s="57"/>
      <c r="AC437" s="493" t="s">
        <v>686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4301012034</v>
      </c>
      <c r="D438" s="558">
        <v>4607091389982</v>
      </c>
      <c r="E438" s="559"/>
      <c r="F438" s="546">
        <v>0.6</v>
      </c>
      <c r="G438" s="32">
        <v>8</v>
      </c>
      <c r="H438" s="546">
        <v>4.8</v>
      </c>
      <c r="I438" s="546">
        <v>6.91</v>
      </c>
      <c r="J438" s="32">
        <v>132</v>
      </c>
      <c r="K438" s="32" t="s">
        <v>111</v>
      </c>
      <c r="L438" s="32" t="s">
        <v>112</v>
      </c>
      <c r="M438" s="33" t="s">
        <v>106</v>
      </c>
      <c r="N438" s="33"/>
      <c r="O438" s="32">
        <v>60</v>
      </c>
      <c r="P438" s="74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65"/>
      <c r="R438" s="565"/>
      <c r="S438" s="565"/>
      <c r="T438" s="566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IFERROR(IF(Y438=0,"",ROUNDUP(Y438/H438,0)*0.00902),"")</f>
        <v/>
      </c>
      <c r="AA438" s="56"/>
      <c r="AB438" s="57"/>
      <c r="AC438" s="495" t="s">
        <v>677</v>
      </c>
      <c r="AG438" s="64"/>
      <c r="AJ438" s="68" t="s">
        <v>108</v>
      </c>
      <c r="AK438" s="68">
        <v>57.6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x14ac:dyDescent="0.2">
      <c r="A439" s="560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61"/>
      <c r="P439" s="553" t="s">
        <v>75</v>
      </c>
      <c r="Q439" s="554"/>
      <c r="R439" s="554"/>
      <c r="S439" s="554"/>
      <c r="T439" s="554"/>
      <c r="U439" s="554"/>
      <c r="V439" s="555"/>
      <c r="W439" s="37" t="s">
        <v>76</v>
      </c>
      <c r="X439" s="549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56.818181818181813</v>
      </c>
      <c r="Y439" s="549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57.000000000000007</v>
      </c>
      <c r="Z439" s="549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0.68171999999999999</v>
      </c>
      <c r="AA439" s="550"/>
      <c r="AB439" s="550"/>
      <c r="AC439" s="550"/>
    </row>
    <row r="440" spans="1:68" x14ac:dyDescent="0.2">
      <c r="A440" s="557"/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61"/>
      <c r="P440" s="553" t="s">
        <v>75</v>
      </c>
      <c r="Q440" s="554"/>
      <c r="R440" s="554"/>
      <c r="S440" s="554"/>
      <c r="T440" s="554"/>
      <c r="U440" s="554"/>
      <c r="V440" s="555"/>
      <c r="W440" s="37" t="s">
        <v>69</v>
      </c>
      <c r="X440" s="549">
        <f>IFERROR(SUM(X427:X438),"0")</f>
        <v>300</v>
      </c>
      <c r="Y440" s="549">
        <f>IFERROR(SUM(Y427:Y438),"0")</f>
        <v>300.96000000000004</v>
      </c>
      <c r="Z440" s="37"/>
      <c r="AA440" s="550"/>
      <c r="AB440" s="550"/>
      <c r="AC440" s="550"/>
    </row>
    <row r="441" spans="1:68" ht="14.25" hidden="1" customHeight="1" x14ac:dyDescent="0.25">
      <c r="A441" s="556" t="s">
        <v>137</v>
      </c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  <c r="Z441" s="557"/>
      <c r="AA441" s="543"/>
      <c r="AB441" s="543"/>
      <c r="AC441" s="543"/>
    </row>
    <row r="442" spans="1:68" ht="16.5" customHeight="1" x14ac:dyDescent="0.25">
      <c r="A442" s="54" t="s">
        <v>689</v>
      </c>
      <c r="B442" s="54" t="s">
        <v>690</v>
      </c>
      <c r="C442" s="31">
        <v>4301020334</v>
      </c>
      <c r="D442" s="558">
        <v>4607091388930</v>
      </c>
      <c r="E442" s="559"/>
      <c r="F442" s="546">
        <v>0.88</v>
      </c>
      <c r="G442" s="32">
        <v>6</v>
      </c>
      <c r="H442" s="546">
        <v>5.28</v>
      </c>
      <c r="I442" s="546">
        <v>5.63</v>
      </c>
      <c r="J442" s="32">
        <v>104</v>
      </c>
      <c r="K442" s="32" t="s">
        <v>104</v>
      </c>
      <c r="L442" s="32" t="s">
        <v>105</v>
      </c>
      <c r="M442" s="33" t="s">
        <v>80</v>
      </c>
      <c r="N442" s="33"/>
      <c r="O442" s="32">
        <v>70</v>
      </c>
      <c r="P442" s="82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65"/>
      <c r="R442" s="565"/>
      <c r="S442" s="565"/>
      <c r="T442" s="566"/>
      <c r="U442" s="34"/>
      <c r="V442" s="34"/>
      <c r="W442" s="35" t="s">
        <v>69</v>
      </c>
      <c r="X442" s="547">
        <v>400</v>
      </c>
      <c r="Y442" s="548">
        <f>IFERROR(IF(X442="",0,CEILING((X442/$H442),1)*$H442),"")</f>
        <v>401.28000000000003</v>
      </c>
      <c r="Z442" s="36">
        <f>IFERROR(IF(Y442=0,"",ROUNDUP(Y442/H442,0)*0.01196),"")</f>
        <v>0.90895999999999999</v>
      </c>
      <c r="AA442" s="56"/>
      <c r="AB442" s="57"/>
      <c r="AC442" s="497" t="s">
        <v>691</v>
      </c>
      <c r="AG442" s="64"/>
      <c r="AJ442" s="68" t="s">
        <v>108</v>
      </c>
      <c r="AK442" s="68">
        <v>42.24</v>
      </c>
      <c r="BB442" s="498" t="s">
        <v>1</v>
      </c>
      <c r="BM442" s="64">
        <f>IFERROR(X442*I442/H442,"0")</f>
        <v>426.5151515151515</v>
      </c>
      <c r="BN442" s="64">
        <f>IFERROR(Y442*I442/H442,"0")</f>
        <v>427.88</v>
      </c>
      <c r="BO442" s="64">
        <f>IFERROR(1/J442*(X442/H442),"0")</f>
        <v>0.72843822843822836</v>
      </c>
      <c r="BP442" s="64">
        <f>IFERROR(1/J442*(Y442/H442),"0")</f>
        <v>0.73076923076923084</v>
      </c>
    </row>
    <row r="443" spans="1:68" ht="16.5" hidden="1" customHeight="1" x14ac:dyDescent="0.25">
      <c r="A443" s="54" t="s">
        <v>692</v>
      </c>
      <c r="B443" s="54" t="s">
        <v>693</v>
      </c>
      <c r="C443" s="31">
        <v>4301020384</v>
      </c>
      <c r="D443" s="558">
        <v>4680115886407</v>
      </c>
      <c r="E443" s="559"/>
      <c r="F443" s="546">
        <v>0.4</v>
      </c>
      <c r="G443" s="32">
        <v>6</v>
      </c>
      <c r="H443" s="546">
        <v>2.4</v>
      </c>
      <c r="I443" s="546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84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65"/>
      <c r="R443" s="565"/>
      <c r="S443" s="565"/>
      <c r="T443" s="566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691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694</v>
      </c>
      <c r="B444" s="54" t="s">
        <v>695</v>
      </c>
      <c r="C444" s="31">
        <v>4301020385</v>
      </c>
      <c r="D444" s="558">
        <v>4680115880054</v>
      </c>
      <c r="E444" s="559"/>
      <c r="F444" s="546">
        <v>0.6</v>
      </c>
      <c r="G444" s="32">
        <v>8</v>
      </c>
      <c r="H444" s="546">
        <v>4.8</v>
      </c>
      <c r="I444" s="546">
        <v>6.91</v>
      </c>
      <c r="J444" s="32">
        <v>132</v>
      </c>
      <c r="K444" s="32" t="s">
        <v>111</v>
      </c>
      <c r="L444" s="32" t="s">
        <v>112</v>
      </c>
      <c r="M444" s="33" t="s">
        <v>106</v>
      </c>
      <c r="N444" s="33"/>
      <c r="O444" s="32">
        <v>70</v>
      </c>
      <c r="P444" s="57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65"/>
      <c r="R444" s="565"/>
      <c r="S444" s="565"/>
      <c r="T444" s="566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691</v>
      </c>
      <c r="AG444" s="64"/>
      <c r="AJ444" s="68" t="s">
        <v>108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60"/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61"/>
      <c r="P445" s="553" t="s">
        <v>75</v>
      </c>
      <c r="Q445" s="554"/>
      <c r="R445" s="554"/>
      <c r="S445" s="554"/>
      <c r="T445" s="554"/>
      <c r="U445" s="554"/>
      <c r="V445" s="555"/>
      <c r="W445" s="37" t="s">
        <v>76</v>
      </c>
      <c r="X445" s="549">
        <f>IFERROR(X442/H442,"0")+IFERROR(X443/H443,"0")+IFERROR(X444/H444,"0")</f>
        <v>75.757575757575751</v>
      </c>
      <c r="Y445" s="549">
        <f>IFERROR(Y442/H442,"0")+IFERROR(Y443/H443,"0")+IFERROR(Y444/H444,"0")</f>
        <v>76</v>
      </c>
      <c r="Z445" s="549">
        <f>IFERROR(IF(Z442="",0,Z442),"0")+IFERROR(IF(Z443="",0,Z443),"0")+IFERROR(IF(Z444="",0,Z444),"0")</f>
        <v>0.90895999999999999</v>
      </c>
      <c r="AA445" s="550"/>
      <c r="AB445" s="550"/>
      <c r="AC445" s="550"/>
    </row>
    <row r="446" spans="1:68" x14ac:dyDescent="0.2">
      <c r="A446" s="557"/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61"/>
      <c r="P446" s="553" t="s">
        <v>75</v>
      </c>
      <c r="Q446" s="554"/>
      <c r="R446" s="554"/>
      <c r="S446" s="554"/>
      <c r="T446" s="554"/>
      <c r="U446" s="554"/>
      <c r="V446" s="555"/>
      <c r="W446" s="37" t="s">
        <v>69</v>
      </c>
      <c r="X446" s="549">
        <f>IFERROR(SUM(X442:X444),"0")</f>
        <v>400</v>
      </c>
      <c r="Y446" s="549">
        <f>IFERROR(SUM(Y442:Y444),"0")</f>
        <v>401.28000000000003</v>
      </c>
      <c r="Z446" s="37"/>
      <c r="AA446" s="550"/>
      <c r="AB446" s="550"/>
      <c r="AC446" s="550"/>
    </row>
    <row r="447" spans="1:68" ht="14.25" hidden="1" customHeight="1" x14ac:dyDescent="0.25">
      <c r="A447" s="556" t="s">
        <v>64</v>
      </c>
      <c r="B447" s="557"/>
      <c r="C447" s="557"/>
      <c r="D447" s="557"/>
      <c r="E447" s="557"/>
      <c r="F447" s="557"/>
      <c r="G447" s="557"/>
      <c r="H447" s="557"/>
      <c r="I447" s="557"/>
      <c r="J447" s="557"/>
      <c r="K447" s="557"/>
      <c r="L447" s="557"/>
      <c r="M447" s="557"/>
      <c r="N447" s="557"/>
      <c r="O447" s="557"/>
      <c r="P447" s="557"/>
      <c r="Q447" s="557"/>
      <c r="R447" s="557"/>
      <c r="S447" s="557"/>
      <c r="T447" s="557"/>
      <c r="U447" s="557"/>
      <c r="V447" s="557"/>
      <c r="W447" s="557"/>
      <c r="X447" s="557"/>
      <c r="Y447" s="557"/>
      <c r="Z447" s="557"/>
      <c r="AA447" s="543"/>
      <c r="AB447" s="543"/>
      <c r="AC447" s="543"/>
    </row>
    <row r="448" spans="1:68" ht="27" customHeight="1" x14ac:dyDescent="0.25">
      <c r="A448" s="54" t="s">
        <v>696</v>
      </c>
      <c r="B448" s="54" t="s">
        <v>697</v>
      </c>
      <c r="C448" s="31">
        <v>4301031349</v>
      </c>
      <c r="D448" s="558">
        <v>4680115883116</v>
      </c>
      <c r="E448" s="559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104</v>
      </c>
      <c r="L448" s="32" t="s">
        <v>105</v>
      </c>
      <c r="M448" s="33" t="s">
        <v>106</v>
      </c>
      <c r="N448" s="33"/>
      <c r="O448" s="32">
        <v>70</v>
      </c>
      <c r="P448" s="7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65"/>
      <c r="R448" s="565"/>
      <c r="S448" s="565"/>
      <c r="T448" s="566"/>
      <c r="U448" s="34"/>
      <c r="V448" s="34"/>
      <c r="W448" s="35" t="s">
        <v>69</v>
      </c>
      <c r="X448" s="547">
        <v>50</v>
      </c>
      <c r="Y448" s="548">
        <f t="shared" ref="Y448:Y453" si="53">IFERROR(IF(X448="",0,CEILING((X448/$H448),1)*$H448),"")</f>
        <v>52.800000000000004</v>
      </c>
      <c r="Z448" s="36">
        <f>IFERROR(IF(Y448=0,"",ROUNDUP(Y448/H448,0)*0.01196),"")</f>
        <v>0.1196</v>
      </c>
      <c r="AA448" s="56"/>
      <c r="AB448" s="57"/>
      <c r="AC448" s="503" t="s">
        <v>698</v>
      </c>
      <c r="AG448" s="64"/>
      <c r="AJ448" s="68" t="s">
        <v>108</v>
      </c>
      <c r="AK448" s="68">
        <v>42.24</v>
      </c>
      <c r="BB448" s="504" t="s">
        <v>1</v>
      </c>
      <c r="BM448" s="64">
        <f t="shared" ref="BM448:BM453" si="54">IFERROR(X448*I448/H448,"0")</f>
        <v>53.314393939393938</v>
      </c>
      <c r="BN448" s="64">
        <f t="shared" ref="BN448:BN453" si="55">IFERROR(Y448*I448/H448,"0")</f>
        <v>56.3</v>
      </c>
      <c r="BO448" s="64">
        <f t="shared" ref="BO448:BO453" si="56">IFERROR(1/J448*(X448/H448),"0")</f>
        <v>9.1054778554778545E-2</v>
      </c>
      <c r="BP448" s="64">
        <f t="shared" ref="BP448:BP453" si="57">IFERROR(1/J448*(Y448/H448),"0")</f>
        <v>9.6153846153846159E-2</v>
      </c>
    </row>
    <row r="449" spans="1:68" ht="27" customHeight="1" x14ac:dyDescent="0.25">
      <c r="A449" s="54" t="s">
        <v>699</v>
      </c>
      <c r="B449" s="54" t="s">
        <v>700</v>
      </c>
      <c r="C449" s="31">
        <v>4301031350</v>
      </c>
      <c r="D449" s="558">
        <v>4680115883093</v>
      </c>
      <c r="E449" s="559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68</v>
      </c>
      <c r="N449" s="33"/>
      <c r="O449" s="32">
        <v>70</v>
      </c>
      <c r="P449" s="5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65"/>
      <c r="R449" s="565"/>
      <c r="S449" s="565"/>
      <c r="T449" s="566"/>
      <c r="U449" s="34"/>
      <c r="V449" s="34"/>
      <c r="W449" s="35" t="s">
        <v>69</v>
      </c>
      <c r="X449" s="547">
        <v>150</v>
      </c>
      <c r="Y449" s="548">
        <f t="shared" si="53"/>
        <v>153.12</v>
      </c>
      <c r="Z449" s="36">
        <f>IFERROR(IF(Y449=0,"",ROUNDUP(Y449/H449,0)*0.01196),"")</f>
        <v>0.34683999999999998</v>
      </c>
      <c r="AA449" s="56"/>
      <c r="AB449" s="57"/>
      <c r="AC449" s="505" t="s">
        <v>701</v>
      </c>
      <c r="AG449" s="64"/>
      <c r="AJ449" s="68" t="s">
        <v>108</v>
      </c>
      <c r="AK449" s="68">
        <v>42.24</v>
      </c>
      <c r="BB449" s="506" t="s">
        <v>1</v>
      </c>
      <c r="BM449" s="64">
        <f t="shared" si="54"/>
        <v>159.94318181818181</v>
      </c>
      <c r="BN449" s="64">
        <f t="shared" si="55"/>
        <v>163.26999999999998</v>
      </c>
      <c r="BO449" s="64">
        <f t="shared" si="56"/>
        <v>0.27316433566433568</v>
      </c>
      <c r="BP449" s="64">
        <f t="shared" si="57"/>
        <v>0.27884615384615385</v>
      </c>
    </row>
    <row r="450" spans="1:68" ht="27" customHeight="1" x14ac:dyDescent="0.25">
      <c r="A450" s="54" t="s">
        <v>702</v>
      </c>
      <c r="B450" s="54" t="s">
        <v>703</v>
      </c>
      <c r="C450" s="31">
        <v>4301031353</v>
      </c>
      <c r="D450" s="558">
        <v>4680115883109</v>
      </c>
      <c r="E450" s="559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85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65"/>
      <c r="R450" s="565"/>
      <c r="S450" s="565"/>
      <c r="T450" s="566"/>
      <c r="U450" s="34"/>
      <c r="V450" s="34"/>
      <c r="W450" s="35" t="s">
        <v>69</v>
      </c>
      <c r="X450" s="547">
        <v>300</v>
      </c>
      <c r="Y450" s="548">
        <f t="shared" si="53"/>
        <v>300.96000000000004</v>
      </c>
      <c r="Z450" s="36">
        <f>IFERROR(IF(Y450=0,"",ROUNDUP(Y450/H450,0)*0.01196),"")</f>
        <v>0.68171999999999999</v>
      </c>
      <c r="AA450" s="56"/>
      <c r="AB450" s="57"/>
      <c r="AC450" s="507" t="s">
        <v>704</v>
      </c>
      <c r="AG450" s="64"/>
      <c r="AJ450" s="68" t="s">
        <v>108</v>
      </c>
      <c r="AK450" s="68">
        <v>42.24</v>
      </c>
      <c r="BB450" s="508" t="s">
        <v>1</v>
      </c>
      <c r="BM450" s="64">
        <f t="shared" si="54"/>
        <v>319.88636363636363</v>
      </c>
      <c r="BN450" s="64">
        <f t="shared" si="55"/>
        <v>320.91000000000003</v>
      </c>
      <c r="BO450" s="64">
        <f t="shared" si="56"/>
        <v>0.54632867132867136</v>
      </c>
      <c r="BP450" s="64">
        <f t="shared" si="57"/>
        <v>0.54807692307692313</v>
      </c>
    </row>
    <row r="451" spans="1:68" ht="27" hidden="1" customHeight="1" x14ac:dyDescent="0.25">
      <c r="A451" s="54" t="s">
        <v>705</v>
      </c>
      <c r="B451" s="54" t="s">
        <v>706</v>
      </c>
      <c r="C451" s="31">
        <v>4301031419</v>
      </c>
      <c r="D451" s="558">
        <v>4680115882072</v>
      </c>
      <c r="E451" s="559"/>
      <c r="F451" s="546">
        <v>0.6</v>
      </c>
      <c r="G451" s="32">
        <v>8</v>
      </c>
      <c r="H451" s="546">
        <v>4.8</v>
      </c>
      <c r="I451" s="546">
        <v>6.91</v>
      </c>
      <c r="J451" s="32">
        <v>132</v>
      </c>
      <c r="K451" s="32" t="s">
        <v>111</v>
      </c>
      <c r="L451" s="32"/>
      <c r="M451" s="33" t="s">
        <v>106</v>
      </c>
      <c r="N451" s="33"/>
      <c r="O451" s="32">
        <v>70</v>
      </c>
      <c r="P451" s="75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65"/>
      <c r="R451" s="565"/>
      <c r="S451" s="565"/>
      <c r="T451" s="566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698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4301031418</v>
      </c>
      <c r="D452" s="558">
        <v>4680115882102</v>
      </c>
      <c r="E452" s="559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111</v>
      </c>
      <c r="L452" s="32"/>
      <c r="M452" s="33" t="s">
        <v>68</v>
      </c>
      <c r="N452" s="33"/>
      <c r="O452" s="32">
        <v>70</v>
      </c>
      <c r="P452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65"/>
      <c r="R452" s="565"/>
      <c r="S452" s="565"/>
      <c r="T452" s="566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709</v>
      </c>
      <c r="B453" s="54" t="s">
        <v>710</v>
      </c>
      <c r="C453" s="31">
        <v>4301031417</v>
      </c>
      <c r="D453" s="558">
        <v>4680115882096</v>
      </c>
      <c r="E453" s="559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111</v>
      </c>
      <c r="L453" s="32"/>
      <c r="M453" s="33" t="s">
        <v>68</v>
      </c>
      <c r="N453" s="33"/>
      <c r="O453" s="32">
        <v>70</v>
      </c>
      <c r="P453" s="80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65"/>
      <c r="R453" s="565"/>
      <c r="S453" s="565"/>
      <c r="T453" s="566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x14ac:dyDescent="0.2">
      <c r="A454" s="560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61"/>
      <c r="P454" s="553" t="s">
        <v>75</v>
      </c>
      <c r="Q454" s="554"/>
      <c r="R454" s="554"/>
      <c r="S454" s="554"/>
      <c r="T454" s="554"/>
      <c r="U454" s="554"/>
      <c r="V454" s="555"/>
      <c r="W454" s="37" t="s">
        <v>76</v>
      </c>
      <c r="X454" s="549">
        <f>IFERROR(X448/H448,"0")+IFERROR(X449/H449,"0")+IFERROR(X450/H450,"0")+IFERROR(X451/H451,"0")+IFERROR(X452/H452,"0")+IFERROR(X453/H453,"0")</f>
        <v>94.696969696969688</v>
      </c>
      <c r="Y454" s="549">
        <f>IFERROR(Y448/H448,"0")+IFERROR(Y449/H449,"0")+IFERROR(Y450/H450,"0")+IFERROR(Y451/H451,"0")+IFERROR(Y452/H452,"0")+IFERROR(Y453/H453,"0")</f>
        <v>96</v>
      </c>
      <c r="Z454" s="549">
        <f>IFERROR(IF(Z448="",0,Z448),"0")+IFERROR(IF(Z449="",0,Z449),"0")+IFERROR(IF(Z450="",0,Z450),"0")+IFERROR(IF(Z451="",0,Z451),"0")+IFERROR(IF(Z452="",0,Z452),"0")+IFERROR(IF(Z453="",0,Z453),"0")</f>
        <v>1.1481599999999998</v>
      </c>
      <c r="AA454" s="550"/>
      <c r="AB454" s="550"/>
      <c r="AC454" s="550"/>
    </row>
    <row r="455" spans="1:68" x14ac:dyDescent="0.2">
      <c r="A455" s="557"/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61"/>
      <c r="P455" s="553" t="s">
        <v>75</v>
      </c>
      <c r="Q455" s="554"/>
      <c r="R455" s="554"/>
      <c r="S455" s="554"/>
      <c r="T455" s="554"/>
      <c r="U455" s="554"/>
      <c r="V455" s="555"/>
      <c r="W455" s="37" t="s">
        <v>69</v>
      </c>
      <c r="X455" s="549">
        <f>IFERROR(SUM(X448:X453),"0")</f>
        <v>500</v>
      </c>
      <c r="Y455" s="549">
        <f>IFERROR(SUM(Y448:Y453),"0")</f>
        <v>506.88000000000005</v>
      </c>
      <c r="Z455" s="37"/>
      <c r="AA455" s="550"/>
      <c r="AB455" s="550"/>
      <c r="AC455" s="550"/>
    </row>
    <row r="456" spans="1:68" ht="14.25" hidden="1" customHeight="1" x14ac:dyDescent="0.25">
      <c r="A456" s="556" t="s">
        <v>77</v>
      </c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57"/>
      <c r="P456" s="557"/>
      <c r="Q456" s="557"/>
      <c r="R456" s="557"/>
      <c r="S456" s="557"/>
      <c r="T456" s="557"/>
      <c r="U456" s="557"/>
      <c r="V456" s="557"/>
      <c r="W456" s="557"/>
      <c r="X456" s="557"/>
      <c r="Y456" s="557"/>
      <c r="Z456" s="557"/>
      <c r="AA456" s="543"/>
      <c r="AB456" s="543"/>
      <c r="AC456" s="543"/>
    </row>
    <row r="457" spans="1:68" ht="27" hidden="1" customHeight="1" x14ac:dyDescent="0.25">
      <c r="A457" s="54" t="s">
        <v>711</v>
      </c>
      <c r="B457" s="54" t="s">
        <v>712</v>
      </c>
      <c r="C457" s="31">
        <v>4301051064</v>
      </c>
      <c r="D457" s="558">
        <v>4680115883536</v>
      </c>
      <c r="E457" s="559"/>
      <c r="F457" s="546">
        <v>0.3</v>
      </c>
      <c r="G457" s="32">
        <v>6</v>
      </c>
      <c r="H457" s="546">
        <v>1.8</v>
      </c>
      <c r="I457" s="546">
        <v>2.0459999999999998</v>
      </c>
      <c r="J457" s="32">
        <v>182</v>
      </c>
      <c r="K457" s="32" t="s">
        <v>67</v>
      </c>
      <c r="L457" s="32"/>
      <c r="M457" s="33" t="s">
        <v>80</v>
      </c>
      <c r="N457" s="33"/>
      <c r="O457" s="32">
        <v>45</v>
      </c>
      <c r="P457" s="85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565"/>
      <c r="R457" s="565"/>
      <c r="S457" s="565"/>
      <c r="T457" s="566"/>
      <c r="U457" s="34"/>
      <c r="V457" s="34"/>
      <c r="W457" s="35" t="s">
        <v>69</v>
      </c>
      <c r="X457" s="547">
        <v>0</v>
      </c>
      <c r="Y457" s="54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15" t="s">
        <v>713</v>
      </c>
      <c r="AG457" s="64"/>
      <c r="AJ457" s="68"/>
      <c r="AK457" s="68">
        <v>0</v>
      </c>
      <c r="BB457" s="51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560"/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61"/>
      <c r="P458" s="553" t="s">
        <v>75</v>
      </c>
      <c r="Q458" s="554"/>
      <c r="R458" s="554"/>
      <c r="S458" s="554"/>
      <c r="T458" s="554"/>
      <c r="U458" s="554"/>
      <c r="V458" s="555"/>
      <c r="W458" s="37" t="s">
        <v>76</v>
      </c>
      <c r="X458" s="549">
        <f>IFERROR(X457/H457,"0")</f>
        <v>0</v>
      </c>
      <c r="Y458" s="549">
        <f>IFERROR(Y457/H457,"0")</f>
        <v>0</v>
      </c>
      <c r="Z458" s="549">
        <f>IFERROR(IF(Z457="",0,Z457),"0")</f>
        <v>0</v>
      </c>
      <c r="AA458" s="550"/>
      <c r="AB458" s="550"/>
      <c r="AC458" s="550"/>
    </row>
    <row r="459" spans="1:68" hidden="1" x14ac:dyDescent="0.2">
      <c r="A459" s="557"/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61"/>
      <c r="P459" s="553" t="s">
        <v>75</v>
      </c>
      <c r="Q459" s="554"/>
      <c r="R459" s="554"/>
      <c r="S459" s="554"/>
      <c r="T459" s="554"/>
      <c r="U459" s="554"/>
      <c r="V459" s="555"/>
      <c r="W459" s="37" t="s">
        <v>69</v>
      </c>
      <c r="X459" s="549">
        <f>IFERROR(SUM(X457:X457),"0")</f>
        <v>0</v>
      </c>
      <c r="Y459" s="549">
        <f>IFERROR(SUM(Y457:Y457),"0")</f>
        <v>0</v>
      </c>
      <c r="Z459" s="37"/>
      <c r="AA459" s="550"/>
      <c r="AB459" s="550"/>
      <c r="AC459" s="550"/>
    </row>
    <row r="460" spans="1:68" ht="27.75" hidden="1" customHeight="1" x14ac:dyDescent="0.2">
      <c r="A460" s="651" t="s">
        <v>714</v>
      </c>
      <c r="B460" s="652"/>
      <c r="C460" s="652"/>
      <c r="D460" s="652"/>
      <c r="E460" s="652"/>
      <c r="F460" s="652"/>
      <c r="G460" s="652"/>
      <c r="H460" s="652"/>
      <c r="I460" s="652"/>
      <c r="J460" s="652"/>
      <c r="K460" s="652"/>
      <c r="L460" s="652"/>
      <c r="M460" s="652"/>
      <c r="N460" s="652"/>
      <c r="O460" s="652"/>
      <c r="P460" s="652"/>
      <c r="Q460" s="652"/>
      <c r="R460" s="652"/>
      <c r="S460" s="652"/>
      <c r="T460" s="652"/>
      <c r="U460" s="652"/>
      <c r="V460" s="652"/>
      <c r="W460" s="652"/>
      <c r="X460" s="652"/>
      <c r="Y460" s="652"/>
      <c r="Z460" s="652"/>
      <c r="AA460" s="48"/>
      <c r="AB460" s="48"/>
      <c r="AC460" s="48"/>
    </row>
    <row r="461" spans="1:68" ht="16.5" hidden="1" customHeight="1" x14ac:dyDescent="0.25">
      <c r="A461" s="590" t="s">
        <v>714</v>
      </c>
      <c r="B461" s="557"/>
      <c r="C461" s="557"/>
      <c r="D461" s="557"/>
      <c r="E461" s="557"/>
      <c r="F461" s="557"/>
      <c r="G461" s="557"/>
      <c r="H461" s="557"/>
      <c r="I461" s="557"/>
      <c r="J461" s="557"/>
      <c r="K461" s="557"/>
      <c r="L461" s="557"/>
      <c r="M461" s="557"/>
      <c r="N461" s="557"/>
      <c r="O461" s="557"/>
      <c r="P461" s="557"/>
      <c r="Q461" s="557"/>
      <c r="R461" s="557"/>
      <c r="S461" s="557"/>
      <c r="T461" s="557"/>
      <c r="U461" s="557"/>
      <c r="V461" s="557"/>
      <c r="W461" s="557"/>
      <c r="X461" s="557"/>
      <c r="Y461" s="557"/>
      <c r="Z461" s="557"/>
      <c r="AA461" s="542"/>
      <c r="AB461" s="542"/>
      <c r="AC461" s="542"/>
    </row>
    <row r="462" spans="1:68" ht="14.25" hidden="1" customHeight="1" x14ac:dyDescent="0.25">
      <c r="A462" s="556" t="s">
        <v>101</v>
      </c>
      <c r="B462" s="557"/>
      <c r="C462" s="557"/>
      <c r="D462" s="557"/>
      <c r="E462" s="557"/>
      <c r="F462" s="557"/>
      <c r="G462" s="557"/>
      <c r="H462" s="557"/>
      <c r="I462" s="557"/>
      <c r="J462" s="557"/>
      <c r="K462" s="557"/>
      <c r="L462" s="557"/>
      <c r="M462" s="557"/>
      <c r="N462" s="557"/>
      <c r="O462" s="557"/>
      <c r="P462" s="557"/>
      <c r="Q462" s="557"/>
      <c r="R462" s="557"/>
      <c r="S462" s="557"/>
      <c r="T462" s="557"/>
      <c r="U462" s="557"/>
      <c r="V462" s="557"/>
      <c r="W462" s="557"/>
      <c r="X462" s="557"/>
      <c r="Y462" s="557"/>
      <c r="Z462" s="557"/>
      <c r="AA462" s="543"/>
      <c r="AB462" s="543"/>
      <c r="AC462" s="543"/>
    </row>
    <row r="463" spans="1:68" ht="27" hidden="1" customHeight="1" x14ac:dyDescent="0.25">
      <c r="A463" s="54" t="s">
        <v>715</v>
      </c>
      <c r="B463" s="54" t="s">
        <v>716</v>
      </c>
      <c r="C463" s="31">
        <v>4301011763</v>
      </c>
      <c r="D463" s="558">
        <v>4640242181011</v>
      </c>
      <c r="E463" s="559"/>
      <c r="F463" s="546">
        <v>1.35</v>
      </c>
      <c r="G463" s="32">
        <v>8</v>
      </c>
      <c r="H463" s="546">
        <v>10.8</v>
      </c>
      <c r="I463" s="546">
        <v>11.21</v>
      </c>
      <c r="J463" s="32">
        <v>64</v>
      </c>
      <c r="K463" s="32" t="s">
        <v>104</v>
      </c>
      <c r="L463" s="32"/>
      <c r="M463" s="33" t="s">
        <v>80</v>
      </c>
      <c r="N463" s="33"/>
      <c r="O463" s="32">
        <v>55</v>
      </c>
      <c r="P463" s="66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565"/>
      <c r="R463" s="565"/>
      <c r="S463" s="565"/>
      <c r="T463" s="566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717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718</v>
      </c>
      <c r="B464" s="54" t="s">
        <v>719</v>
      </c>
      <c r="C464" s="31">
        <v>4301011585</v>
      </c>
      <c r="D464" s="558">
        <v>4640242180441</v>
      </c>
      <c r="E464" s="559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104</v>
      </c>
      <c r="L464" s="32"/>
      <c r="M464" s="33" t="s">
        <v>106</v>
      </c>
      <c r="N464" s="33"/>
      <c r="O464" s="32">
        <v>50</v>
      </c>
      <c r="P464" s="80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565"/>
      <c r="R464" s="565"/>
      <c r="S464" s="565"/>
      <c r="T464" s="566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721</v>
      </c>
      <c r="B465" s="54" t="s">
        <v>722</v>
      </c>
      <c r="C465" s="31">
        <v>4301011584</v>
      </c>
      <c r="D465" s="558">
        <v>4640242180564</v>
      </c>
      <c r="E465" s="559"/>
      <c r="F465" s="546">
        <v>1.5</v>
      </c>
      <c r="G465" s="32">
        <v>8</v>
      </c>
      <c r="H465" s="546">
        <v>12</v>
      </c>
      <c r="I465" s="546">
        <v>12.41</v>
      </c>
      <c r="J465" s="32">
        <v>64</v>
      </c>
      <c r="K465" s="32" t="s">
        <v>104</v>
      </c>
      <c r="L465" s="32" t="s">
        <v>105</v>
      </c>
      <c r="M465" s="33" t="s">
        <v>106</v>
      </c>
      <c r="N465" s="33"/>
      <c r="O465" s="32">
        <v>50</v>
      </c>
      <c r="P465" s="62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565"/>
      <c r="R465" s="565"/>
      <c r="S465" s="565"/>
      <c r="T465" s="566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 t="s">
        <v>108</v>
      </c>
      <c r="AK465" s="68">
        <v>96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724</v>
      </c>
      <c r="B466" s="54" t="s">
        <v>725</v>
      </c>
      <c r="C466" s="31">
        <v>4301011764</v>
      </c>
      <c r="D466" s="558">
        <v>4640242181189</v>
      </c>
      <c r="E466" s="559"/>
      <c r="F466" s="546">
        <v>0.4</v>
      </c>
      <c r="G466" s="32">
        <v>10</v>
      </c>
      <c r="H466" s="546">
        <v>4</v>
      </c>
      <c r="I466" s="546">
        <v>4.1900000000000004</v>
      </c>
      <c r="J466" s="32">
        <v>132</v>
      </c>
      <c r="K466" s="32" t="s">
        <v>111</v>
      </c>
      <c r="L466" s="32"/>
      <c r="M466" s="33" t="s">
        <v>80</v>
      </c>
      <c r="N466" s="33"/>
      <c r="O466" s="32">
        <v>55</v>
      </c>
      <c r="P466" s="81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565"/>
      <c r="R466" s="565"/>
      <c r="S466" s="565"/>
      <c r="T466" s="566"/>
      <c r="U466" s="34"/>
      <c r="V466" s="34"/>
      <c r="W466" s="35" t="s">
        <v>69</v>
      </c>
      <c r="X466" s="547">
        <v>0</v>
      </c>
      <c r="Y466" s="548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23" t="s">
        <v>717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60"/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61"/>
      <c r="P467" s="553" t="s">
        <v>75</v>
      </c>
      <c r="Q467" s="554"/>
      <c r="R467" s="554"/>
      <c r="S467" s="554"/>
      <c r="T467" s="554"/>
      <c r="U467" s="554"/>
      <c r="V467" s="555"/>
      <c r="W467" s="37" t="s">
        <v>76</v>
      </c>
      <c r="X467" s="549">
        <f>IFERROR(X463/H463,"0")+IFERROR(X464/H464,"0")+IFERROR(X465/H465,"0")+IFERROR(X466/H466,"0")</f>
        <v>0</v>
      </c>
      <c r="Y467" s="549">
        <f>IFERROR(Y463/H463,"0")+IFERROR(Y464/H464,"0")+IFERROR(Y465/H465,"0")+IFERROR(Y466/H466,"0")</f>
        <v>0</v>
      </c>
      <c r="Z467" s="549">
        <f>IFERROR(IF(Z463="",0,Z463),"0")+IFERROR(IF(Z464="",0,Z464),"0")+IFERROR(IF(Z465="",0,Z465),"0")+IFERROR(IF(Z466="",0,Z466),"0")</f>
        <v>0</v>
      </c>
      <c r="AA467" s="550"/>
      <c r="AB467" s="550"/>
      <c r="AC467" s="550"/>
    </row>
    <row r="468" spans="1:68" hidden="1" x14ac:dyDescent="0.2">
      <c r="A468" s="557"/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61"/>
      <c r="P468" s="553" t="s">
        <v>75</v>
      </c>
      <c r="Q468" s="554"/>
      <c r="R468" s="554"/>
      <c r="S468" s="554"/>
      <c r="T468" s="554"/>
      <c r="U468" s="554"/>
      <c r="V468" s="555"/>
      <c r="W468" s="37" t="s">
        <v>69</v>
      </c>
      <c r="X468" s="549">
        <f>IFERROR(SUM(X463:X466),"0")</f>
        <v>0</v>
      </c>
      <c r="Y468" s="549">
        <f>IFERROR(SUM(Y463:Y466),"0")</f>
        <v>0</v>
      </c>
      <c r="Z468" s="37"/>
      <c r="AA468" s="550"/>
      <c r="AB468" s="550"/>
      <c r="AC468" s="550"/>
    </row>
    <row r="469" spans="1:68" ht="14.25" hidden="1" customHeight="1" x14ac:dyDescent="0.25">
      <c r="A469" s="556" t="s">
        <v>137</v>
      </c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57"/>
      <c r="P469" s="557"/>
      <c r="Q469" s="557"/>
      <c r="R469" s="557"/>
      <c r="S469" s="557"/>
      <c r="T469" s="557"/>
      <c r="U469" s="557"/>
      <c r="V469" s="557"/>
      <c r="W469" s="557"/>
      <c r="X469" s="557"/>
      <c r="Y469" s="557"/>
      <c r="Z469" s="557"/>
      <c r="AA469" s="543"/>
      <c r="AB469" s="543"/>
      <c r="AC469" s="543"/>
    </row>
    <row r="470" spans="1:68" ht="27" hidden="1" customHeight="1" x14ac:dyDescent="0.25">
      <c r="A470" s="54" t="s">
        <v>726</v>
      </c>
      <c r="B470" s="54" t="s">
        <v>727</v>
      </c>
      <c r="C470" s="31">
        <v>4301020400</v>
      </c>
      <c r="D470" s="558">
        <v>4640242180519</v>
      </c>
      <c r="E470" s="559"/>
      <c r="F470" s="546">
        <v>1.5</v>
      </c>
      <c r="G470" s="32">
        <v>8</v>
      </c>
      <c r="H470" s="546">
        <v>12</v>
      </c>
      <c r="I470" s="546">
        <v>12.41</v>
      </c>
      <c r="J470" s="32">
        <v>64</v>
      </c>
      <c r="K470" s="32" t="s">
        <v>104</v>
      </c>
      <c r="L470" s="32"/>
      <c r="M470" s="33" t="s">
        <v>106</v>
      </c>
      <c r="N470" s="33"/>
      <c r="O470" s="32">
        <v>50</v>
      </c>
      <c r="P470" s="65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565"/>
      <c r="R470" s="565"/>
      <c r="S470" s="565"/>
      <c r="T470" s="566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728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729</v>
      </c>
      <c r="B471" s="54" t="s">
        <v>730</v>
      </c>
      <c r="C471" s="31">
        <v>4301020260</v>
      </c>
      <c r="D471" s="558">
        <v>4640242180526</v>
      </c>
      <c r="E471" s="559"/>
      <c r="F471" s="546">
        <v>1.8</v>
      </c>
      <c r="G471" s="32">
        <v>6</v>
      </c>
      <c r="H471" s="546">
        <v>10.8</v>
      </c>
      <c r="I471" s="546">
        <v>11.21</v>
      </c>
      <c r="J471" s="32">
        <v>64</v>
      </c>
      <c r="K471" s="32" t="s">
        <v>104</v>
      </c>
      <c r="L471" s="32"/>
      <c r="M471" s="33" t="s">
        <v>106</v>
      </c>
      <c r="N471" s="33"/>
      <c r="O471" s="32">
        <v>50</v>
      </c>
      <c r="P471" s="80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565"/>
      <c r="R471" s="565"/>
      <c r="S471" s="565"/>
      <c r="T471" s="566"/>
      <c r="U471" s="34"/>
      <c r="V471" s="34"/>
      <c r="W471" s="35" t="s">
        <v>69</v>
      </c>
      <c r="X471" s="547">
        <v>0</v>
      </c>
      <c r="Y471" s="548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0"/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61"/>
      <c r="P472" s="553" t="s">
        <v>75</v>
      </c>
      <c r="Q472" s="554"/>
      <c r="R472" s="554"/>
      <c r="S472" s="554"/>
      <c r="T472" s="554"/>
      <c r="U472" s="554"/>
      <c r="V472" s="555"/>
      <c r="W472" s="37" t="s">
        <v>76</v>
      </c>
      <c r="X472" s="549">
        <f>IFERROR(X470/H470,"0")+IFERROR(X471/H471,"0")</f>
        <v>0</v>
      </c>
      <c r="Y472" s="549">
        <f>IFERROR(Y470/H470,"0")+IFERROR(Y471/H471,"0")</f>
        <v>0</v>
      </c>
      <c r="Z472" s="549">
        <f>IFERROR(IF(Z470="",0,Z470),"0")+IFERROR(IF(Z471="",0,Z471),"0")</f>
        <v>0</v>
      </c>
      <c r="AA472" s="550"/>
      <c r="AB472" s="550"/>
      <c r="AC472" s="550"/>
    </row>
    <row r="473" spans="1:68" hidden="1" x14ac:dyDescent="0.2">
      <c r="A473" s="557"/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61"/>
      <c r="P473" s="553" t="s">
        <v>75</v>
      </c>
      <c r="Q473" s="554"/>
      <c r="R473" s="554"/>
      <c r="S473" s="554"/>
      <c r="T473" s="554"/>
      <c r="U473" s="554"/>
      <c r="V473" s="555"/>
      <c r="W473" s="37" t="s">
        <v>69</v>
      </c>
      <c r="X473" s="549">
        <f>IFERROR(SUM(X470:X471),"0")</f>
        <v>0</v>
      </c>
      <c r="Y473" s="549">
        <f>IFERROR(SUM(Y470:Y471),"0")</f>
        <v>0</v>
      </c>
      <c r="Z473" s="37"/>
      <c r="AA473" s="550"/>
      <c r="AB473" s="550"/>
      <c r="AC473" s="550"/>
    </row>
    <row r="474" spans="1:68" ht="14.25" hidden="1" customHeight="1" x14ac:dyDescent="0.25">
      <c r="A474" s="556" t="s">
        <v>64</v>
      </c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57"/>
      <c r="P474" s="557"/>
      <c r="Q474" s="557"/>
      <c r="R474" s="557"/>
      <c r="S474" s="557"/>
      <c r="T474" s="557"/>
      <c r="U474" s="557"/>
      <c r="V474" s="557"/>
      <c r="W474" s="557"/>
      <c r="X474" s="557"/>
      <c r="Y474" s="557"/>
      <c r="Z474" s="557"/>
      <c r="AA474" s="543"/>
      <c r="AB474" s="543"/>
      <c r="AC474" s="543"/>
    </row>
    <row r="475" spans="1:68" ht="27" customHeight="1" x14ac:dyDescent="0.25">
      <c r="A475" s="54" t="s">
        <v>732</v>
      </c>
      <c r="B475" s="54" t="s">
        <v>733</v>
      </c>
      <c r="C475" s="31">
        <v>4301031244</v>
      </c>
      <c r="D475" s="558">
        <v>4640242180595</v>
      </c>
      <c r="E475" s="559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111</v>
      </c>
      <c r="L475" s="32" t="s">
        <v>112</v>
      </c>
      <c r="M475" s="33" t="s">
        <v>68</v>
      </c>
      <c r="N475" s="33"/>
      <c r="O475" s="32">
        <v>40</v>
      </c>
      <c r="P475" s="67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65"/>
      <c r="R475" s="565"/>
      <c r="S475" s="565"/>
      <c r="T475" s="566"/>
      <c r="U475" s="34"/>
      <c r="V475" s="34"/>
      <c r="W475" s="35" t="s">
        <v>69</v>
      </c>
      <c r="X475" s="547">
        <v>100</v>
      </c>
      <c r="Y475" s="548">
        <f>IFERROR(IF(X475="",0,CEILING((X475/$H475),1)*$H475),"")</f>
        <v>100.80000000000001</v>
      </c>
      <c r="Z475" s="36">
        <f>IFERROR(IF(Y475=0,"",ROUNDUP(Y475/H475,0)*0.00902),"")</f>
        <v>0.21648000000000001</v>
      </c>
      <c r="AA475" s="56"/>
      <c r="AB475" s="57"/>
      <c r="AC475" s="529" t="s">
        <v>734</v>
      </c>
      <c r="AG475" s="64"/>
      <c r="AJ475" s="68" t="s">
        <v>108</v>
      </c>
      <c r="AK475" s="68">
        <v>50.4</v>
      </c>
      <c r="BB475" s="530" t="s">
        <v>1</v>
      </c>
      <c r="BM475" s="64">
        <f>IFERROR(X475*I475/H475,"0")</f>
        <v>105.95238095238095</v>
      </c>
      <c r="BN475" s="64">
        <f>IFERROR(Y475*I475/H475,"0")</f>
        <v>106.80000000000001</v>
      </c>
      <c r="BO475" s="64">
        <f>IFERROR(1/J475*(X475/H475),"0")</f>
        <v>0.18037518037518038</v>
      </c>
      <c r="BP475" s="64">
        <f>IFERROR(1/J475*(Y475/H475),"0")</f>
        <v>0.18181818181818182</v>
      </c>
    </row>
    <row r="476" spans="1:68" x14ac:dyDescent="0.2">
      <c r="A476" s="560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1"/>
      <c r="P476" s="553" t="s">
        <v>75</v>
      </c>
      <c r="Q476" s="554"/>
      <c r="R476" s="554"/>
      <c r="S476" s="554"/>
      <c r="T476" s="554"/>
      <c r="U476" s="554"/>
      <c r="V476" s="555"/>
      <c r="W476" s="37" t="s">
        <v>76</v>
      </c>
      <c r="X476" s="549">
        <f>IFERROR(X475/H475,"0")</f>
        <v>23.80952380952381</v>
      </c>
      <c r="Y476" s="549">
        <f>IFERROR(Y475/H475,"0")</f>
        <v>24</v>
      </c>
      <c r="Z476" s="549">
        <f>IFERROR(IF(Z475="",0,Z475),"0")</f>
        <v>0.21648000000000001</v>
      </c>
      <c r="AA476" s="550"/>
      <c r="AB476" s="550"/>
      <c r="AC476" s="550"/>
    </row>
    <row r="477" spans="1:68" x14ac:dyDescent="0.2">
      <c r="A477" s="557"/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61"/>
      <c r="P477" s="553" t="s">
        <v>75</v>
      </c>
      <c r="Q477" s="554"/>
      <c r="R477" s="554"/>
      <c r="S477" s="554"/>
      <c r="T477" s="554"/>
      <c r="U477" s="554"/>
      <c r="V477" s="555"/>
      <c r="W477" s="37" t="s">
        <v>69</v>
      </c>
      <c r="X477" s="549">
        <f>IFERROR(SUM(X475:X475),"0")</f>
        <v>100</v>
      </c>
      <c r="Y477" s="549">
        <f>IFERROR(SUM(Y475:Y475),"0")</f>
        <v>100.80000000000001</v>
      </c>
      <c r="Z477" s="37"/>
      <c r="AA477" s="550"/>
      <c r="AB477" s="550"/>
      <c r="AC477" s="550"/>
    </row>
    <row r="478" spans="1:68" ht="14.25" hidden="1" customHeight="1" x14ac:dyDescent="0.25">
      <c r="A478" s="556" t="s">
        <v>77</v>
      </c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7"/>
      <c r="P478" s="557"/>
      <c r="Q478" s="557"/>
      <c r="R478" s="557"/>
      <c r="S478" s="557"/>
      <c r="T478" s="557"/>
      <c r="U478" s="557"/>
      <c r="V478" s="557"/>
      <c r="W478" s="557"/>
      <c r="X478" s="557"/>
      <c r="Y478" s="557"/>
      <c r="Z478" s="557"/>
      <c r="AA478" s="543"/>
      <c r="AB478" s="543"/>
      <c r="AC478" s="543"/>
    </row>
    <row r="479" spans="1:68" ht="27" hidden="1" customHeight="1" x14ac:dyDescent="0.25">
      <c r="A479" s="54" t="s">
        <v>735</v>
      </c>
      <c r="B479" s="54" t="s">
        <v>736</v>
      </c>
      <c r="C479" s="31">
        <v>4301052046</v>
      </c>
      <c r="D479" s="558">
        <v>4640242180533</v>
      </c>
      <c r="E479" s="559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104</v>
      </c>
      <c r="L479" s="32" t="s">
        <v>105</v>
      </c>
      <c r="M479" s="33" t="s">
        <v>86</v>
      </c>
      <c r="N479" s="33"/>
      <c r="O479" s="32">
        <v>45</v>
      </c>
      <c r="P479" s="79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65"/>
      <c r="R479" s="565"/>
      <c r="S479" s="565"/>
      <c r="T479" s="566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737</v>
      </c>
      <c r="AG479" s="64"/>
      <c r="AJ479" s="68" t="s">
        <v>108</v>
      </c>
      <c r="AK479" s="68">
        <v>72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560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1"/>
      <c r="P480" s="553" t="s">
        <v>75</v>
      </c>
      <c r="Q480" s="554"/>
      <c r="R480" s="554"/>
      <c r="S480" s="554"/>
      <c r="T480" s="554"/>
      <c r="U480" s="554"/>
      <c r="V480" s="555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hidden="1" x14ac:dyDescent="0.2">
      <c r="A481" s="557"/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61"/>
      <c r="P481" s="553" t="s">
        <v>75</v>
      </c>
      <c r="Q481" s="554"/>
      <c r="R481" s="554"/>
      <c r="S481" s="554"/>
      <c r="T481" s="554"/>
      <c r="U481" s="554"/>
      <c r="V481" s="555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hidden="1" customHeight="1" x14ac:dyDescent="0.25">
      <c r="A482" s="556" t="s">
        <v>162</v>
      </c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7"/>
      <c r="P482" s="557"/>
      <c r="Q482" s="557"/>
      <c r="R482" s="557"/>
      <c r="S482" s="557"/>
      <c r="T482" s="557"/>
      <c r="U482" s="557"/>
      <c r="V482" s="557"/>
      <c r="W482" s="557"/>
      <c r="X482" s="557"/>
      <c r="Y482" s="557"/>
      <c r="Z482" s="557"/>
      <c r="AA482" s="543"/>
      <c r="AB482" s="543"/>
      <c r="AC482" s="543"/>
    </row>
    <row r="483" spans="1:68" ht="27" hidden="1" customHeight="1" x14ac:dyDescent="0.25">
      <c r="A483" s="54" t="s">
        <v>738</v>
      </c>
      <c r="B483" s="54" t="s">
        <v>739</v>
      </c>
      <c r="C483" s="31">
        <v>4301060491</v>
      </c>
      <c r="D483" s="558">
        <v>4640242180120</v>
      </c>
      <c r="E483" s="559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104</v>
      </c>
      <c r="L483" s="32"/>
      <c r="M483" s="33" t="s">
        <v>80</v>
      </c>
      <c r="N483" s="33"/>
      <c r="O483" s="32">
        <v>40</v>
      </c>
      <c r="P483" s="65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65"/>
      <c r="R483" s="565"/>
      <c r="S483" s="565"/>
      <c r="T483" s="566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740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hidden="1" customHeight="1" x14ac:dyDescent="0.25">
      <c r="A484" s="54" t="s">
        <v>741</v>
      </c>
      <c r="B484" s="54" t="s">
        <v>742</v>
      </c>
      <c r="C484" s="31">
        <v>4301060493</v>
      </c>
      <c r="D484" s="558">
        <v>4640242180137</v>
      </c>
      <c r="E484" s="559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104</v>
      </c>
      <c r="L484" s="32"/>
      <c r="M484" s="33" t="s">
        <v>80</v>
      </c>
      <c r="N484" s="33"/>
      <c r="O484" s="32">
        <v>40</v>
      </c>
      <c r="P484" s="61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65"/>
      <c r="R484" s="565"/>
      <c r="S484" s="565"/>
      <c r="T484" s="566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idden="1" x14ac:dyDescent="0.2">
      <c r="A485" s="560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1"/>
      <c r="P485" s="553" t="s">
        <v>75</v>
      </c>
      <c r="Q485" s="554"/>
      <c r="R485" s="554"/>
      <c r="S485" s="554"/>
      <c r="T485" s="554"/>
      <c r="U485" s="554"/>
      <c r="V485" s="555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hidden="1" x14ac:dyDescent="0.2">
      <c r="A486" s="557"/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61"/>
      <c r="P486" s="553" t="s">
        <v>75</v>
      </c>
      <c r="Q486" s="554"/>
      <c r="R486" s="554"/>
      <c r="S486" s="554"/>
      <c r="T486" s="554"/>
      <c r="U486" s="554"/>
      <c r="V486" s="555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hidden="1" customHeight="1" x14ac:dyDescent="0.25">
      <c r="A487" s="590" t="s">
        <v>744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2"/>
      <c r="AB487" s="542"/>
      <c r="AC487" s="542"/>
    </row>
    <row r="488" spans="1:68" ht="14.25" hidden="1" customHeight="1" x14ac:dyDescent="0.25">
      <c r="A488" s="556" t="s">
        <v>137</v>
      </c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  <c r="Z488" s="557"/>
      <c r="AA488" s="543"/>
      <c r="AB488" s="543"/>
      <c r="AC488" s="543"/>
    </row>
    <row r="489" spans="1:68" ht="27" hidden="1" customHeight="1" x14ac:dyDescent="0.25">
      <c r="A489" s="54" t="s">
        <v>745</v>
      </c>
      <c r="B489" s="54" t="s">
        <v>746</v>
      </c>
      <c r="C489" s="31">
        <v>4301020314</v>
      </c>
      <c r="D489" s="558">
        <v>4640242180090</v>
      </c>
      <c r="E489" s="559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104</v>
      </c>
      <c r="L489" s="32"/>
      <c r="M489" s="33" t="s">
        <v>106</v>
      </c>
      <c r="N489" s="33"/>
      <c r="O489" s="32">
        <v>50</v>
      </c>
      <c r="P489" s="75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65"/>
      <c r="R489" s="565"/>
      <c r="S489" s="565"/>
      <c r="T489" s="566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747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560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1"/>
      <c r="P490" s="553" t="s">
        <v>75</v>
      </c>
      <c r="Q490" s="554"/>
      <c r="R490" s="554"/>
      <c r="S490" s="554"/>
      <c r="T490" s="554"/>
      <c r="U490" s="554"/>
      <c r="V490" s="555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hidden="1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61"/>
      <c r="P491" s="553" t="s">
        <v>75</v>
      </c>
      <c r="Q491" s="554"/>
      <c r="R491" s="554"/>
      <c r="S491" s="554"/>
      <c r="T491" s="554"/>
      <c r="U491" s="554"/>
      <c r="V491" s="555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673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674"/>
      <c r="P492" s="574" t="s">
        <v>748</v>
      </c>
      <c r="Q492" s="575"/>
      <c r="R492" s="575"/>
      <c r="S492" s="575"/>
      <c r="T492" s="575"/>
      <c r="U492" s="575"/>
      <c r="V492" s="576"/>
      <c r="W492" s="37" t="s">
        <v>69</v>
      </c>
      <c r="X492" s="549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477+X481+X486+X491,"0")</f>
        <v>10446.4</v>
      </c>
      <c r="Y492" s="549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477+Y481+Y486+Y491,"0")</f>
        <v>10550.220000000001</v>
      </c>
      <c r="Z492" s="37"/>
      <c r="AA492" s="550"/>
      <c r="AB492" s="550"/>
      <c r="AC492" s="550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674"/>
      <c r="P493" s="574" t="s">
        <v>749</v>
      </c>
      <c r="Q493" s="575"/>
      <c r="R493" s="575"/>
      <c r="S493" s="575"/>
      <c r="T493" s="575"/>
      <c r="U493" s="575"/>
      <c r="V493" s="576"/>
      <c r="W493" s="37" t="s">
        <v>69</v>
      </c>
      <c r="X493" s="549">
        <f>IFERROR(SUM(BM22:BM489),"0")</f>
        <v>10866.11739458073</v>
      </c>
      <c r="Y493" s="549">
        <f>IFERROR(SUM(BN22:BN489),"0")</f>
        <v>10974.507999999998</v>
      </c>
      <c r="Z493" s="37"/>
      <c r="AA493" s="550"/>
      <c r="AB493" s="550"/>
      <c r="AC493" s="550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674"/>
      <c r="P494" s="574" t="s">
        <v>750</v>
      </c>
      <c r="Q494" s="575"/>
      <c r="R494" s="575"/>
      <c r="S494" s="575"/>
      <c r="T494" s="575"/>
      <c r="U494" s="575"/>
      <c r="V494" s="576"/>
      <c r="W494" s="37" t="s">
        <v>751</v>
      </c>
      <c r="X494" s="38">
        <f>ROUNDUP(SUM(BO22:BO489),0)</f>
        <v>16</v>
      </c>
      <c r="Y494" s="38">
        <f>ROUNDUP(SUM(BP22:BP489),0)</f>
        <v>16</v>
      </c>
      <c r="Z494" s="37"/>
      <c r="AA494" s="550"/>
      <c r="AB494" s="550"/>
      <c r="AC494" s="550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674"/>
      <c r="P495" s="574" t="s">
        <v>752</v>
      </c>
      <c r="Q495" s="575"/>
      <c r="R495" s="575"/>
      <c r="S495" s="575"/>
      <c r="T495" s="575"/>
      <c r="U495" s="575"/>
      <c r="V495" s="576"/>
      <c r="W495" s="37" t="s">
        <v>69</v>
      </c>
      <c r="X495" s="549">
        <f>GrossWeightTotal+PalletQtyTotal*25</f>
        <v>11266.11739458073</v>
      </c>
      <c r="Y495" s="549">
        <f>GrossWeightTotalR+PalletQtyTotalR*25</f>
        <v>11374.507999999998</v>
      </c>
      <c r="Z495" s="37"/>
      <c r="AA495" s="550"/>
      <c r="AB495" s="550"/>
      <c r="AC495" s="550"/>
    </row>
    <row r="496" spans="1:68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674"/>
      <c r="P496" s="574" t="s">
        <v>753</v>
      </c>
      <c r="Q496" s="575"/>
      <c r="R496" s="575"/>
      <c r="S496" s="575"/>
      <c r="T496" s="575"/>
      <c r="U496" s="575"/>
      <c r="V496" s="576"/>
      <c r="W496" s="37" t="s">
        <v>751</v>
      </c>
      <c r="X496" s="549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476+X480+X485+X490,"0")</f>
        <v>1141.8988295654963</v>
      </c>
      <c r="Y496" s="549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476+Y480+Y485+Y490,"0")</f>
        <v>1156</v>
      </c>
      <c r="Z496" s="37"/>
      <c r="AA496" s="550"/>
      <c r="AB496" s="550"/>
      <c r="AC496" s="550"/>
    </row>
    <row r="497" spans="1:32" ht="14.25" hidden="1" customHeight="1" x14ac:dyDescent="0.2">
      <c r="A497" s="557"/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674"/>
      <c r="P497" s="574" t="s">
        <v>754</v>
      </c>
      <c r="Q497" s="575"/>
      <c r="R497" s="575"/>
      <c r="S497" s="575"/>
      <c r="T497" s="575"/>
      <c r="U497" s="575"/>
      <c r="V497" s="576"/>
      <c r="W497" s="39" t="s">
        <v>755</v>
      </c>
      <c r="X497" s="37"/>
      <c r="Y497" s="37"/>
      <c r="Z497" s="37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476+Z480+Z485+Z490,"0")</f>
        <v>17.775750000000002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756</v>
      </c>
      <c r="B499" s="544" t="s">
        <v>63</v>
      </c>
      <c r="C499" s="551" t="s">
        <v>99</v>
      </c>
      <c r="D499" s="586"/>
      <c r="E499" s="586"/>
      <c r="F499" s="586"/>
      <c r="G499" s="586"/>
      <c r="H499" s="587"/>
      <c r="I499" s="551" t="s">
        <v>273</v>
      </c>
      <c r="J499" s="586"/>
      <c r="K499" s="586"/>
      <c r="L499" s="586"/>
      <c r="M499" s="586"/>
      <c r="N499" s="586"/>
      <c r="O499" s="586"/>
      <c r="P499" s="586"/>
      <c r="Q499" s="586"/>
      <c r="R499" s="587"/>
      <c r="S499" s="551" t="s">
        <v>554</v>
      </c>
      <c r="T499" s="587"/>
      <c r="U499" s="551" t="s">
        <v>608</v>
      </c>
      <c r="V499" s="586"/>
      <c r="W499" s="587"/>
      <c r="X499" s="544" t="s">
        <v>659</v>
      </c>
      <c r="Y499" s="551" t="s">
        <v>714</v>
      </c>
      <c r="Z499" s="587"/>
      <c r="AB499" s="52"/>
      <c r="AC499" s="52"/>
      <c r="AF499" s="545"/>
    </row>
    <row r="500" spans="1:32" ht="14.25" customHeight="1" thickTop="1" x14ac:dyDescent="0.2">
      <c r="A500" s="562" t="s">
        <v>757</v>
      </c>
      <c r="B500" s="551" t="s">
        <v>63</v>
      </c>
      <c r="C500" s="551" t="s">
        <v>100</v>
      </c>
      <c r="D500" s="551" t="s">
        <v>118</v>
      </c>
      <c r="E500" s="551" t="s">
        <v>169</v>
      </c>
      <c r="F500" s="551" t="s">
        <v>193</v>
      </c>
      <c r="G500" s="551" t="s">
        <v>230</v>
      </c>
      <c r="H500" s="551" t="s">
        <v>99</v>
      </c>
      <c r="I500" s="551" t="s">
        <v>274</v>
      </c>
      <c r="J500" s="551" t="s">
        <v>324</v>
      </c>
      <c r="K500" s="551" t="s">
        <v>383</v>
      </c>
      <c r="L500" s="551" t="s">
        <v>423</v>
      </c>
      <c r="M500" s="551" t="s">
        <v>439</v>
      </c>
      <c r="N500" s="545"/>
      <c r="O500" s="551" t="s">
        <v>450</v>
      </c>
      <c r="P500" s="551" t="s">
        <v>459</v>
      </c>
      <c r="Q500" s="551" t="s">
        <v>472</v>
      </c>
      <c r="R500" s="551" t="s">
        <v>544</v>
      </c>
      <c r="S500" s="551" t="s">
        <v>555</v>
      </c>
      <c r="T500" s="551" t="s">
        <v>590</v>
      </c>
      <c r="U500" s="551" t="s">
        <v>609</v>
      </c>
      <c r="V500" s="551" t="s">
        <v>640</v>
      </c>
      <c r="W500" s="551" t="s">
        <v>655</v>
      </c>
      <c r="X500" s="551" t="s">
        <v>659</v>
      </c>
      <c r="Y500" s="551" t="s">
        <v>714</v>
      </c>
      <c r="Z500" s="551" t="s">
        <v>744</v>
      </c>
      <c r="AB500" s="52"/>
      <c r="AC500" s="52"/>
      <c r="AF500" s="545"/>
    </row>
    <row r="501" spans="1:32" ht="13.5" customHeight="1" thickBot="1" x14ac:dyDescent="0.25">
      <c r="A501" s="563"/>
      <c r="B501" s="552"/>
      <c r="C501" s="552"/>
      <c r="D501" s="552"/>
      <c r="E501" s="552"/>
      <c r="F501" s="552"/>
      <c r="G501" s="552"/>
      <c r="H501" s="552"/>
      <c r="I501" s="552"/>
      <c r="J501" s="552"/>
      <c r="K501" s="552"/>
      <c r="L501" s="552"/>
      <c r="M501" s="552"/>
      <c r="N501" s="545"/>
      <c r="O501" s="552"/>
      <c r="P501" s="552"/>
      <c r="Q501" s="552"/>
      <c r="R501" s="552"/>
      <c r="S501" s="552"/>
      <c r="T501" s="552"/>
      <c r="U501" s="552"/>
      <c r="V501" s="552"/>
      <c r="W501" s="552"/>
      <c r="X501" s="552"/>
      <c r="Y501" s="552"/>
      <c r="Z501" s="552"/>
      <c r="AB501" s="52"/>
      <c r="AC501" s="52"/>
      <c r="AF501" s="545"/>
    </row>
    <row r="502" spans="1:32" ht="18" customHeight="1" thickTop="1" thickBot="1" x14ac:dyDescent="0.25">
      <c r="A502" s="40" t="s">
        <v>758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259.20000000000005</v>
      </c>
      <c r="D502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184.5</v>
      </c>
      <c r="E502" s="46">
        <f>IFERROR(Y85*1,"0")+IFERROR(Y86*1,"0")+IFERROR(Y87*1,"0")+IFERROR(Y88*1,"0")+IFERROR(Y92*1,"0")+IFERROR(Y93*1,"0")+IFERROR(Y94*1,"0")+IFERROR(Y95*1,"0")</f>
        <v>448.20000000000005</v>
      </c>
      <c r="F502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305.10000000000002</v>
      </c>
      <c r="G502" s="46">
        <f>IFERROR(Y127*1,"0")+IFERROR(Y128*1,"0")+IFERROR(Y132*1,"0")+IFERROR(Y133*1,"0")+IFERROR(Y137*1,"0")+IFERROR(Y138*1,"0")</f>
        <v>0</v>
      </c>
      <c r="H502" s="46">
        <f>IFERROR(Y143*1,"0")+IFERROR(Y144*1,"0")+IFERROR(Y148*1,"0")+IFERROR(Y149*1,"0")+IFERROR(Y150*1,"0")+IFERROR(Y151*1,"0")+IFERROR(Y152*1,"0")+IFERROR(Y153*1,"0")+IFERROR(Y157*1,"0")</f>
        <v>0</v>
      </c>
      <c r="I502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151.20000000000002</v>
      </c>
      <c r="J502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81.599999999999994</v>
      </c>
      <c r="K502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2" s="46">
        <f>IFERROR(Y261*1,"0")+IFERROR(Y262*1,"0")+IFERROR(Y263*1,"0")+IFERROR(Y264*1,"0")+IFERROR(Y265*1,"0")</f>
        <v>0</v>
      </c>
      <c r="M502" s="46">
        <f>IFERROR(Y270*1,"0")+IFERROR(Y271*1,"0")+IFERROR(Y272*1,"0")+IFERROR(Y273*1,"0")</f>
        <v>0</v>
      </c>
      <c r="N502" s="545"/>
      <c r="O502" s="46">
        <f>IFERROR(Y278*1,"0")+IFERROR(Y279*1,"0")+IFERROR(Y280*1,"0")</f>
        <v>0</v>
      </c>
      <c r="P502" s="46">
        <f>IFERROR(Y285*1,"0")+IFERROR(Y286*1,"0")+IFERROR(Y290*1,"0")+IFERROR(Y291*1,"0")</f>
        <v>0</v>
      </c>
      <c r="Q502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302.40000000000003</v>
      </c>
      <c r="R502" s="46">
        <f>IFERROR(Y340*1,"0")+IFERROR(Y341*1,"0")+IFERROR(Y342*1,"0")</f>
        <v>0</v>
      </c>
      <c r="S502" s="46">
        <f>IFERROR(Y348*1,"0")+IFERROR(Y349*1,"0")+IFERROR(Y350*1,"0")+IFERROR(Y351*1,"0")+IFERROR(Y352*1,"0")+IFERROR(Y353*1,"0")+IFERROR(Y354*1,"0")+IFERROR(Y358*1,"0")+IFERROR(Y359*1,"0")+IFERROR(Y363*1,"0")+IFERROR(Y364*1,"0")+IFERROR(Y368*1,"0")</f>
        <v>6636</v>
      </c>
      <c r="T502" s="46">
        <f>IFERROR(Y373*1,"0")+IFERROR(Y374*1,"0")+IFERROR(Y378*1,"0")+IFERROR(Y379*1,"0")+IFERROR(Y383*1,"0")+IFERROR(Y384*1,"0")+IFERROR(Y385*1,"0")</f>
        <v>0</v>
      </c>
      <c r="U502" s="46">
        <f>IFERROR(Y391*1,"0")+IFERROR(Y392*1,"0")+IFERROR(Y393*1,"0")+IFERROR(Y394*1,"0")+IFERROR(Y395*1,"0")+IFERROR(Y396*1,"0")+IFERROR(Y397*1,"0")+IFERROR(Y398*1,"0")+IFERROR(Y399*1,"0")+IFERROR(Y403*1,"0")+IFERROR(Y404*1,"0")</f>
        <v>448.2</v>
      </c>
      <c r="V502" s="46">
        <f>IFERROR(Y409*1,"0")+IFERROR(Y413*1,"0")+IFERROR(Y414*1,"0")+IFERROR(Y415*1,"0")+IFERROR(Y416*1,"0")</f>
        <v>423.9</v>
      </c>
      <c r="W502" s="46">
        <f>IFERROR(Y421*1,"0")</f>
        <v>0</v>
      </c>
      <c r="X502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1209.1199999999999</v>
      </c>
      <c r="Y502" s="46">
        <f>IFERROR(Y463*1,"0")+IFERROR(Y464*1,"0")+IFERROR(Y465*1,"0")+IFERROR(Y466*1,"0")+IFERROR(Y470*1,"0")+IFERROR(Y471*1,"0")+IFERROR(Y475*1,"0")+IFERROR(Y479*1,"0")+IFERROR(Y483*1,"0")+IFERROR(Y484*1,"0")</f>
        <v>100.80000000000001</v>
      </c>
      <c r="Z502" s="46">
        <f>IFERROR(Y489*1,"0")</f>
        <v>0</v>
      </c>
      <c r="AB502" s="52"/>
      <c r="AC502" s="52"/>
      <c r="AF502" s="545"/>
    </row>
  </sheetData>
  <sheetProtection algorithmName="SHA-512" hashValue="JW8STkwS70fC635ba0Z64dk2svauMfbpWtj38nNXK9Ko+ty/Y14Acd6DnEjKYeL1vkA8q8N7RXM1AC8JyYf57Q==" saltValue="Tsnl4Qo7xs0O1zai4XYeaQ==" spinCount="100000" sheet="1" objects="1" scenarios="1" sort="0" autoFilter="0" pivotTables="0"/>
  <autoFilter ref="A18:AF4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41,90"/>
        <filter val="1 300,00"/>
        <filter val="1 700,00"/>
        <filter val="10 446,40"/>
        <filter val="10 866,12"/>
        <filter val="100,00"/>
        <filter val="11 266,12"/>
        <filter val="11,11"/>
        <filter val="122,50"/>
        <filter val="13,89"/>
        <filter val="14,26"/>
        <filter val="150,00"/>
        <filter val="16"/>
        <filter val="16,67"/>
        <filter val="17,50"/>
        <filter val="17,86"/>
        <filter val="193,33"/>
        <filter val="2 900,00"/>
        <filter val="200,00"/>
        <filter val="22,50"/>
        <filter val="23,15"/>
        <filter val="23,81"/>
        <filter val="230,00"/>
        <filter val="250,00"/>
        <filter val="28,00"/>
        <filter val="295,00"/>
        <filter val="3 450,00"/>
        <filter val="300,00"/>
        <filter val="33,33"/>
        <filter val="35,71"/>
        <filter val="4,63"/>
        <filter val="400,00"/>
        <filter val="417,50"/>
        <filter val="436,40"/>
        <filter val="45,00"/>
        <filter val="450,00"/>
        <filter val="47,53"/>
        <filter val="50,00"/>
        <filter val="500,00"/>
        <filter val="56,82"/>
        <filter val="75,76"/>
        <filter val="8,40"/>
        <filter val="80,00"/>
        <filter val="82,41"/>
        <filter val="91,41"/>
        <filter val="94,70"/>
      </filters>
    </filterColumn>
    <filterColumn colId="29" showButton="0"/>
    <filterColumn colId="30" showButton="0"/>
  </autoFilter>
  <mergeCells count="880">
    <mergeCell ref="A34:Z34"/>
    <mergeCell ref="A276:Z276"/>
    <mergeCell ref="D363:E363"/>
    <mergeCell ref="P172:T172"/>
    <mergeCell ref="A158:O159"/>
    <mergeCell ref="P150:T150"/>
    <mergeCell ref="A202:Z202"/>
    <mergeCell ref="P37:V37"/>
    <mergeCell ref="P104:T104"/>
    <mergeCell ref="A40:Z40"/>
    <mergeCell ref="D133:E133"/>
    <mergeCell ref="A231:Z231"/>
    <mergeCell ref="D54:E54"/>
    <mergeCell ref="P185:V185"/>
    <mergeCell ref="H9:I9"/>
    <mergeCell ref="P224:V224"/>
    <mergeCell ref="P24:V24"/>
    <mergeCell ref="A490:O491"/>
    <mergeCell ref="P211:V211"/>
    <mergeCell ref="P89:V89"/>
    <mergeCell ref="D297:E297"/>
    <mergeCell ref="A78:Z78"/>
    <mergeCell ref="P324:V324"/>
    <mergeCell ref="P391:T391"/>
    <mergeCell ref="D263:E263"/>
    <mergeCell ref="P220:T220"/>
    <mergeCell ref="D238:E238"/>
    <mergeCell ref="P86:T86"/>
    <mergeCell ref="A287:O288"/>
    <mergeCell ref="A343:O344"/>
    <mergeCell ref="P384:T384"/>
    <mergeCell ref="P328:T328"/>
    <mergeCell ref="A281:O282"/>
    <mergeCell ref="D205:E205"/>
    <mergeCell ref="P157:T157"/>
    <mergeCell ref="A330:O331"/>
    <mergeCell ref="P79:T79"/>
    <mergeCell ref="P244:T244"/>
    <mergeCell ref="P28:T28"/>
    <mergeCell ref="P392:T392"/>
    <mergeCell ref="P326:T326"/>
    <mergeCell ref="P221:T221"/>
    <mergeCell ref="D307:E307"/>
    <mergeCell ref="P215:T215"/>
    <mergeCell ref="P457:T457"/>
    <mergeCell ref="A145:O146"/>
    <mergeCell ref="A139:O140"/>
    <mergeCell ref="P432:T432"/>
    <mergeCell ref="P400:V400"/>
    <mergeCell ref="P229:V229"/>
    <mergeCell ref="A89:O90"/>
    <mergeCell ref="P152:T152"/>
    <mergeCell ref="P77:V77"/>
    <mergeCell ref="D73:E73"/>
    <mergeCell ref="A76:O77"/>
    <mergeCell ref="P375:V375"/>
    <mergeCell ref="P179:V179"/>
    <mergeCell ref="P446:V446"/>
    <mergeCell ref="P30:T30"/>
    <mergeCell ref="A445:O446"/>
    <mergeCell ref="P290:T290"/>
    <mergeCell ref="P452:T452"/>
    <mergeCell ref="B17:B18"/>
    <mergeCell ref="D479:E479"/>
    <mergeCell ref="A260:Z260"/>
    <mergeCell ref="A60:Z60"/>
    <mergeCell ref="P477:V477"/>
    <mergeCell ref="P404:T404"/>
    <mergeCell ref="P252:T252"/>
    <mergeCell ref="P56:T56"/>
    <mergeCell ref="A197:Z197"/>
    <mergeCell ref="P379:T379"/>
    <mergeCell ref="A213:Z213"/>
    <mergeCell ref="P459:V459"/>
    <mergeCell ref="P53:T53"/>
    <mergeCell ref="D167:E167"/>
    <mergeCell ref="P351:T351"/>
    <mergeCell ref="D403:E403"/>
    <mergeCell ref="D232:E232"/>
    <mergeCell ref="D63:E63"/>
    <mergeCell ref="D52:E52"/>
    <mergeCell ref="D27:E27"/>
    <mergeCell ref="P450:T450"/>
    <mergeCell ref="P439:V439"/>
    <mergeCell ref="D416:E416"/>
    <mergeCell ref="P427:T427"/>
    <mergeCell ref="Q500:Q501"/>
    <mergeCell ref="V10:W10"/>
    <mergeCell ref="S500:S501"/>
    <mergeCell ref="I500:I501"/>
    <mergeCell ref="D431:E431"/>
    <mergeCell ref="K500:K501"/>
    <mergeCell ref="P170:T170"/>
    <mergeCell ref="A458:O459"/>
    <mergeCell ref="P316:T316"/>
    <mergeCell ref="P113:V113"/>
    <mergeCell ref="P443:T443"/>
    <mergeCell ref="D253:E253"/>
    <mergeCell ref="D53:E53"/>
    <mergeCell ref="D351:E351"/>
    <mergeCell ref="A84:Z84"/>
    <mergeCell ref="P330:V330"/>
    <mergeCell ref="P159:V159"/>
    <mergeCell ref="D47:E47"/>
    <mergeCell ref="A447:Z447"/>
    <mergeCell ref="P209:T209"/>
    <mergeCell ref="A50:Z50"/>
    <mergeCell ref="W17:W18"/>
    <mergeCell ref="P96:V96"/>
    <mergeCell ref="P90:V90"/>
    <mergeCell ref="C499:H499"/>
    <mergeCell ref="P234:T234"/>
    <mergeCell ref="P154:V154"/>
    <mergeCell ref="D378:E378"/>
    <mergeCell ref="D7:M7"/>
    <mergeCell ref="A405:O406"/>
    <mergeCell ref="P236:T236"/>
    <mergeCell ref="D79:E79"/>
    <mergeCell ref="P92:T92"/>
    <mergeCell ref="P334:T334"/>
    <mergeCell ref="P394:T394"/>
    <mergeCell ref="A380:O381"/>
    <mergeCell ref="D315:E315"/>
    <mergeCell ref="D442:E442"/>
    <mergeCell ref="D144:E144"/>
    <mergeCell ref="D429:E429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A211:O212"/>
    <mergeCell ref="P485:V485"/>
    <mergeCell ref="D300:E300"/>
    <mergeCell ref="P237:T237"/>
    <mergeCell ref="P472:V472"/>
    <mergeCell ref="P31:T31"/>
    <mergeCell ref="A462:Z462"/>
    <mergeCell ref="P329:T329"/>
    <mergeCell ref="P180:V180"/>
    <mergeCell ref="P45:V45"/>
    <mergeCell ref="P343:V343"/>
    <mergeCell ref="P95:T95"/>
    <mergeCell ref="D470:E470"/>
    <mergeCell ref="D67:E67"/>
    <mergeCell ref="D55:E55"/>
    <mergeCell ref="D30:E30"/>
    <mergeCell ref="D261:E261"/>
    <mergeCell ref="P169:T169"/>
    <mergeCell ref="P442:T442"/>
    <mergeCell ref="D448:E448"/>
    <mergeCell ref="P196:V196"/>
    <mergeCell ref="D118:E118"/>
    <mergeCell ref="F9:G9"/>
    <mergeCell ref="H1:Q1"/>
    <mergeCell ref="P480:V480"/>
    <mergeCell ref="A268:Z268"/>
    <mergeCell ref="A243:Z243"/>
    <mergeCell ref="P274:V274"/>
    <mergeCell ref="A99:Z99"/>
    <mergeCell ref="D214:E214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A410:O411"/>
    <mergeCell ref="P413:T413"/>
    <mergeCell ref="A179:O180"/>
    <mergeCell ref="D353:E353"/>
    <mergeCell ref="P171:T171"/>
    <mergeCell ref="D117:E117"/>
    <mergeCell ref="D92:E92"/>
    <mergeCell ref="D5:E5"/>
    <mergeCell ref="P453:T453"/>
    <mergeCell ref="P42:T42"/>
    <mergeCell ref="A32:O33"/>
    <mergeCell ref="D290:E290"/>
    <mergeCell ref="D94:E94"/>
    <mergeCell ref="P471:T471"/>
    <mergeCell ref="P148:T148"/>
    <mergeCell ref="P240:T240"/>
    <mergeCell ref="A96:O97"/>
    <mergeCell ref="D354:E354"/>
    <mergeCell ref="A26:Z26"/>
    <mergeCell ref="P190:V190"/>
    <mergeCell ref="P466:T466"/>
    <mergeCell ref="A71:Z71"/>
    <mergeCell ref="D88:E88"/>
    <mergeCell ref="P117:T117"/>
    <mergeCell ref="P55:T55"/>
    <mergeCell ref="D115:E115"/>
    <mergeCell ref="P182:T182"/>
    <mergeCell ref="P417:V417"/>
    <mergeCell ref="P280:T280"/>
    <mergeCell ref="Q12:R12"/>
    <mergeCell ref="A274:O275"/>
    <mergeCell ref="H500:H501"/>
    <mergeCell ref="J500:J501"/>
    <mergeCell ref="P106:V106"/>
    <mergeCell ref="P33:V33"/>
    <mergeCell ref="P164:V164"/>
    <mergeCell ref="D316:E316"/>
    <mergeCell ref="P273:T273"/>
    <mergeCell ref="D443:E443"/>
    <mergeCell ref="D272:E272"/>
    <mergeCell ref="A345:Z345"/>
    <mergeCell ref="D210:E210"/>
    <mergeCell ref="A123:O124"/>
    <mergeCell ref="D308:E308"/>
    <mergeCell ref="A46:Z46"/>
    <mergeCell ref="D209:E209"/>
    <mergeCell ref="D87:E87"/>
    <mergeCell ref="P464:T464"/>
    <mergeCell ref="A485:O486"/>
    <mergeCell ref="P116:T116"/>
    <mergeCell ref="D122:E122"/>
    <mergeCell ref="P103:T103"/>
    <mergeCell ref="P59:V59"/>
    <mergeCell ref="P168:T168"/>
    <mergeCell ref="P130:V130"/>
    <mergeCell ref="D1:F1"/>
    <mergeCell ref="S499:T499"/>
    <mergeCell ref="P47:T47"/>
    <mergeCell ref="P282:V282"/>
    <mergeCell ref="A164:O165"/>
    <mergeCell ref="J17:J18"/>
    <mergeCell ref="L17:L18"/>
    <mergeCell ref="D240:E240"/>
    <mergeCell ref="P48:V48"/>
    <mergeCell ref="P490:V490"/>
    <mergeCell ref="P255:T255"/>
    <mergeCell ref="A371:Z371"/>
    <mergeCell ref="D334:E334"/>
    <mergeCell ref="A407:Z407"/>
    <mergeCell ref="A382:Z382"/>
    <mergeCell ref="P112:V112"/>
    <mergeCell ref="A119:O120"/>
    <mergeCell ref="A417:O418"/>
    <mergeCell ref="P414:T414"/>
    <mergeCell ref="P352:T352"/>
    <mergeCell ref="D72:E72"/>
    <mergeCell ref="P301:V301"/>
    <mergeCell ref="A6:C6"/>
    <mergeCell ref="P378:T378"/>
    <mergeCell ref="Y500:Y501"/>
    <mergeCell ref="P428:T428"/>
    <mergeCell ref="D100:E100"/>
    <mergeCell ref="P17:T18"/>
    <mergeCell ref="P323:V323"/>
    <mergeCell ref="P63:T63"/>
    <mergeCell ref="P194:T194"/>
    <mergeCell ref="A166:Z166"/>
    <mergeCell ref="D31:E31"/>
    <mergeCell ref="D329:E329"/>
    <mergeCell ref="P286:T286"/>
    <mergeCell ref="P479:T479"/>
    <mergeCell ref="A402:Z402"/>
    <mergeCell ref="D108:E108"/>
    <mergeCell ref="P429:T429"/>
    <mergeCell ref="P52:T52"/>
    <mergeCell ref="A480:O481"/>
    <mergeCell ref="P350:T350"/>
    <mergeCell ref="P201:V201"/>
    <mergeCell ref="P139:V139"/>
    <mergeCell ref="A467:O468"/>
    <mergeCell ref="I17:I18"/>
    <mergeCell ref="A48:O49"/>
    <mergeCell ref="D306:E306"/>
    <mergeCell ref="X500:X501"/>
    <mergeCell ref="D235:E235"/>
    <mergeCell ref="Z500:Z501"/>
    <mergeCell ref="Q9:R9"/>
    <mergeCell ref="P267:V267"/>
    <mergeCell ref="D451:E451"/>
    <mergeCell ref="D255:E255"/>
    <mergeCell ref="P49:V49"/>
    <mergeCell ref="P36:V36"/>
    <mergeCell ref="A303:Z303"/>
    <mergeCell ref="D322:E322"/>
    <mergeCell ref="Q11:R11"/>
    <mergeCell ref="P205:T205"/>
    <mergeCell ref="A195:O196"/>
    <mergeCell ref="D453:E453"/>
    <mergeCell ref="D309:E309"/>
    <mergeCell ref="P118:T118"/>
    <mergeCell ref="P416:T416"/>
    <mergeCell ref="P167:T167"/>
    <mergeCell ref="P336:V336"/>
    <mergeCell ref="A332:Z332"/>
    <mergeCell ref="A161:Z161"/>
    <mergeCell ref="D148:E148"/>
    <mergeCell ref="P403:T403"/>
    <mergeCell ref="P491:V491"/>
    <mergeCell ref="P369:V369"/>
    <mergeCell ref="A5:C5"/>
    <mergeCell ref="P418:V418"/>
    <mergeCell ref="A408:Z408"/>
    <mergeCell ref="P64:V64"/>
    <mergeCell ref="P340:T340"/>
    <mergeCell ref="P135:V135"/>
    <mergeCell ref="A187:Z187"/>
    <mergeCell ref="D464:E464"/>
    <mergeCell ref="A17:A18"/>
    <mergeCell ref="P300:T300"/>
    <mergeCell ref="K17:K18"/>
    <mergeCell ref="C17:C18"/>
    <mergeCell ref="A487:Z487"/>
    <mergeCell ref="P431:T431"/>
    <mergeCell ref="D103:E103"/>
    <mergeCell ref="P358:T358"/>
    <mergeCell ref="A474:Z474"/>
    <mergeCell ref="P380:V380"/>
    <mergeCell ref="D168:E168"/>
    <mergeCell ref="D466:E466"/>
    <mergeCell ref="P137:T137"/>
    <mergeCell ref="D9:E9"/>
    <mergeCell ref="R500:R501"/>
    <mergeCell ref="P264:T264"/>
    <mergeCell ref="P239:T239"/>
    <mergeCell ref="P68:T68"/>
    <mergeCell ref="P186:V186"/>
    <mergeCell ref="A185:O186"/>
    <mergeCell ref="D169:E169"/>
    <mergeCell ref="P353:T353"/>
    <mergeCell ref="P82:V82"/>
    <mergeCell ref="P440:V440"/>
    <mergeCell ref="P132:T132"/>
    <mergeCell ref="A121:Z121"/>
    <mergeCell ref="A249:O250"/>
    <mergeCell ref="A357:Z357"/>
    <mergeCell ref="P486:V486"/>
    <mergeCell ref="P317:V317"/>
    <mergeCell ref="P146:V146"/>
    <mergeCell ref="P305:T305"/>
    <mergeCell ref="A98:Z98"/>
    <mergeCell ref="P344:V344"/>
    <mergeCell ref="D350:E350"/>
    <mergeCell ref="A162:Z162"/>
    <mergeCell ref="P208:T208"/>
    <mergeCell ref="D396:E396"/>
    <mergeCell ref="P15:T16"/>
    <mergeCell ref="D116:E116"/>
    <mergeCell ref="D414:E414"/>
    <mergeCell ref="D352:E352"/>
    <mergeCell ref="P219:T219"/>
    <mergeCell ref="P23:T23"/>
    <mergeCell ref="P272:T272"/>
    <mergeCell ref="D327:E327"/>
    <mergeCell ref="P210:T210"/>
    <mergeCell ref="D398:E398"/>
    <mergeCell ref="A69:O70"/>
    <mergeCell ref="P308:T308"/>
    <mergeCell ref="D264:E264"/>
    <mergeCell ref="D93:E93"/>
    <mergeCell ref="D391:E391"/>
    <mergeCell ref="D220:E220"/>
    <mergeCell ref="P370:V370"/>
    <mergeCell ref="A369:O370"/>
    <mergeCell ref="P309:T309"/>
    <mergeCell ref="D178:E178"/>
    <mergeCell ref="D172:E172"/>
    <mergeCell ref="P88:T88"/>
    <mergeCell ref="P153:T153"/>
    <mergeCell ref="P386:V386"/>
    <mergeCell ref="A14:M14"/>
    <mergeCell ref="D280:E280"/>
    <mergeCell ref="P163:T163"/>
    <mergeCell ref="D109:E109"/>
    <mergeCell ref="P138:T138"/>
    <mergeCell ref="P438:T438"/>
    <mergeCell ref="D444:E444"/>
    <mergeCell ref="P216:T216"/>
    <mergeCell ref="P497:V497"/>
    <mergeCell ref="A251:Z251"/>
    <mergeCell ref="P122:T122"/>
    <mergeCell ref="P288:V288"/>
    <mergeCell ref="P43:T43"/>
    <mergeCell ref="D328:E328"/>
    <mergeCell ref="P285:T285"/>
    <mergeCell ref="D157:E157"/>
    <mergeCell ref="P65:V65"/>
    <mergeCell ref="D137:E137"/>
    <mergeCell ref="P124:V124"/>
    <mergeCell ref="P360:V360"/>
    <mergeCell ref="P489:T489"/>
    <mergeCell ref="D74:E74"/>
    <mergeCell ref="P87:T87"/>
    <mergeCell ref="P451:T451"/>
    <mergeCell ref="Q8:R8"/>
    <mergeCell ref="D183:E183"/>
    <mergeCell ref="A257:O258"/>
    <mergeCell ref="D248:E248"/>
    <mergeCell ref="D219:E219"/>
    <mergeCell ref="D104:E104"/>
    <mergeCell ref="D340:E340"/>
    <mergeCell ref="T6:U9"/>
    <mergeCell ref="Q10:R10"/>
    <mergeCell ref="D41:E41"/>
    <mergeCell ref="P296:T296"/>
    <mergeCell ref="P318:V318"/>
    <mergeCell ref="P25:V25"/>
    <mergeCell ref="D43:E43"/>
    <mergeCell ref="A259:Z259"/>
    <mergeCell ref="A126:Z126"/>
    <mergeCell ref="P228:V228"/>
    <mergeCell ref="A12:M12"/>
    <mergeCell ref="P293:V293"/>
    <mergeCell ref="P200:V200"/>
    <mergeCell ref="P74:T74"/>
    <mergeCell ref="A19:Z19"/>
    <mergeCell ref="P292:V292"/>
    <mergeCell ref="D182:E182"/>
    <mergeCell ref="A13:M13"/>
    <mergeCell ref="A325:Z325"/>
    <mergeCell ref="R1:T1"/>
    <mergeCell ref="A367:Z367"/>
    <mergeCell ref="P115:T115"/>
    <mergeCell ref="D254:E254"/>
    <mergeCell ref="D61:E61"/>
    <mergeCell ref="P302:V302"/>
    <mergeCell ref="P238:T238"/>
    <mergeCell ref="A15:M15"/>
    <mergeCell ref="P204:T204"/>
    <mergeCell ref="P306:T306"/>
    <mergeCell ref="A38:Z38"/>
    <mergeCell ref="A147:Z147"/>
    <mergeCell ref="P249:V249"/>
    <mergeCell ref="P207:T207"/>
    <mergeCell ref="P299:T299"/>
    <mergeCell ref="D138:E138"/>
    <mergeCell ref="T5:U5"/>
    <mergeCell ref="V5:W5"/>
    <mergeCell ref="P203:T203"/>
    <mergeCell ref="A319:Z319"/>
    <mergeCell ref="D233:E233"/>
    <mergeCell ref="D111:E111"/>
    <mergeCell ref="J9:M9"/>
    <mergeCell ref="F500:F501"/>
    <mergeCell ref="D348:E348"/>
    <mergeCell ref="D62:E62"/>
    <mergeCell ref="P454:V454"/>
    <mergeCell ref="D56:E56"/>
    <mergeCell ref="D193:E193"/>
    <mergeCell ref="P206:T206"/>
    <mergeCell ref="D127:E127"/>
    <mergeCell ref="P448:T448"/>
    <mergeCell ref="P233:T233"/>
    <mergeCell ref="P304:T304"/>
    <mergeCell ref="D176:E176"/>
    <mergeCell ref="D285:E285"/>
    <mergeCell ref="P155:V155"/>
    <mergeCell ref="A154:O155"/>
    <mergeCell ref="P143:T143"/>
    <mergeCell ref="P248:T248"/>
    <mergeCell ref="A129:O130"/>
    <mergeCell ref="A365:O366"/>
    <mergeCell ref="P235:T235"/>
    <mergeCell ref="D349:E349"/>
    <mergeCell ref="D463:E463"/>
    <mergeCell ref="P58:V58"/>
    <mergeCell ref="G17:G18"/>
    <mergeCell ref="P242:V242"/>
    <mergeCell ref="D80:E80"/>
    <mergeCell ref="P188:T188"/>
    <mergeCell ref="D151:E151"/>
    <mergeCell ref="D86:E86"/>
    <mergeCell ref="D449:E449"/>
    <mergeCell ref="L500:L501"/>
    <mergeCell ref="D500:D501"/>
    <mergeCell ref="A419:Z419"/>
    <mergeCell ref="P455:V455"/>
    <mergeCell ref="A454:O455"/>
    <mergeCell ref="A372:Z372"/>
    <mergeCell ref="P374:T374"/>
    <mergeCell ref="P212:V212"/>
    <mergeCell ref="D409:E409"/>
    <mergeCell ref="A142:Z142"/>
    <mergeCell ref="M500:M501"/>
    <mergeCell ref="O500:O501"/>
    <mergeCell ref="A424:Z424"/>
    <mergeCell ref="P355:V355"/>
    <mergeCell ref="A482:Z482"/>
    <mergeCell ref="P397:T397"/>
    <mergeCell ref="D335:E335"/>
    <mergeCell ref="D399:E399"/>
    <mergeCell ref="A439:O440"/>
    <mergeCell ref="A441:Z441"/>
    <mergeCell ref="P245:V245"/>
    <mergeCell ref="P73:T73"/>
    <mergeCell ref="P437:T437"/>
    <mergeCell ref="P315:T315"/>
    <mergeCell ref="P144:T144"/>
    <mergeCell ref="D174:E174"/>
    <mergeCell ref="A83:Z83"/>
    <mergeCell ref="P393:T393"/>
    <mergeCell ref="D374:E374"/>
    <mergeCell ref="A338:Z338"/>
    <mergeCell ref="D203:E203"/>
    <mergeCell ref="P165:V165"/>
    <mergeCell ref="P232:T232"/>
    <mergeCell ref="P381:V381"/>
    <mergeCell ref="A295:Z295"/>
    <mergeCell ref="A323:O324"/>
    <mergeCell ref="D314:E314"/>
    <mergeCell ref="A81:O82"/>
    <mergeCell ref="D68:E68"/>
    <mergeCell ref="A375:O376"/>
    <mergeCell ref="D188:E188"/>
    <mergeCell ref="P322:T322"/>
    <mergeCell ref="D132:E132"/>
    <mergeCell ref="D489:E489"/>
    <mergeCell ref="P275:V275"/>
    <mergeCell ref="D427:E427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P468:V468"/>
    <mergeCell ref="A160:Z160"/>
    <mergeCell ref="A141:Z141"/>
    <mergeCell ref="P445:V445"/>
    <mergeCell ref="P458:V458"/>
    <mergeCell ref="D299:E299"/>
    <mergeCell ref="D85:E85"/>
    <mergeCell ref="P405:V405"/>
    <mergeCell ref="A230:Z230"/>
    <mergeCell ref="P476:V476"/>
    <mergeCell ref="D222:E222"/>
    <mergeCell ref="H10:M10"/>
    <mergeCell ref="A377:Z377"/>
    <mergeCell ref="AC17:AC18"/>
    <mergeCell ref="P279:T279"/>
    <mergeCell ref="A420:Z420"/>
    <mergeCell ref="D393:E393"/>
    <mergeCell ref="P108:T108"/>
    <mergeCell ref="P254:T254"/>
    <mergeCell ref="D153:E153"/>
    <mergeCell ref="P256:T256"/>
    <mergeCell ref="AB17:AB18"/>
    <mergeCell ref="A283:Z283"/>
    <mergeCell ref="A388:Z388"/>
    <mergeCell ref="A277:Z277"/>
    <mergeCell ref="P44:V44"/>
    <mergeCell ref="P226:T226"/>
    <mergeCell ref="P335:T335"/>
    <mergeCell ref="D256:E256"/>
    <mergeCell ref="D207:E207"/>
    <mergeCell ref="D383:E383"/>
    <mergeCell ref="P120:V120"/>
    <mergeCell ref="P93:T93"/>
    <mergeCell ref="A386:O387"/>
    <mergeCell ref="P395:T395"/>
    <mergeCell ref="T500:T501"/>
    <mergeCell ref="D199:E199"/>
    <mergeCell ref="D128:E128"/>
    <mergeCell ref="A112:O113"/>
    <mergeCell ref="D364:E364"/>
    <mergeCell ref="P109:T109"/>
    <mergeCell ref="D435:E435"/>
    <mergeCell ref="V6:W9"/>
    <mergeCell ref="D413:E413"/>
    <mergeCell ref="D217:E217"/>
    <mergeCell ref="D484:E484"/>
    <mergeCell ref="P222:T222"/>
    <mergeCell ref="P193:T193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D194:E194"/>
    <mergeCell ref="Z17:Z18"/>
    <mergeCell ref="H5:M5"/>
    <mergeCell ref="P473:V473"/>
    <mergeCell ref="A228:O229"/>
    <mergeCell ref="P158:V158"/>
    <mergeCell ref="I499:R499"/>
    <mergeCell ref="P396:T396"/>
    <mergeCell ref="A456:Z456"/>
    <mergeCell ref="A390:Z390"/>
    <mergeCell ref="D6:M6"/>
    <mergeCell ref="A317:O318"/>
    <mergeCell ref="A492:O497"/>
    <mergeCell ref="D304:E304"/>
    <mergeCell ref="P175:T175"/>
    <mergeCell ref="P266:V266"/>
    <mergeCell ref="A292:O293"/>
    <mergeCell ref="P331:V331"/>
    <mergeCell ref="D143:E143"/>
    <mergeCell ref="P398:T398"/>
    <mergeCell ref="P227:T227"/>
    <mergeCell ref="Y499:Z499"/>
    <mergeCell ref="D368:E368"/>
    <mergeCell ref="P177:T177"/>
    <mergeCell ref="P475:T475"/>
    <mergeCell ref="A223:O224"/>
    <mergeCell ref="V500:V501"/>
    <mergeCell ref="A225:Z225"/>
    <mergeCell ref="A461:Z461"/>
    <mergeCell ref="P123:V123"/>
    <mergeCell ref="D434:E434"/>
    <mergeCell ref="A241:O242"/>
    <mergeCell ref="P111:T111"/>
    <mergeCell ref="P409:T409"/>
    <mergeCell ref="P61:T61"/>
    <mergeCell ref="P359:T359"/>
    <mergeCell ref="D436:E436"/>
    <mergeCell ref="A476:O477"/>
    <mergeCell ref="A105:O106"/>
    <mergeCell ref="D227:E227"/>
    <mergeCell ref="P321:T321"/>
    <mergeCell ref="D149:E149"/>
    <mergeCell ref="D385:E385"/>
    <mergeCell ref="P178:T178"/>
    <mergeCell ref="A400:O401"/>
    <mergeCell ref="P270:T270"/>
    <mergeCell ref="P214:T214"/>
    <mergeCell ref="P463:T463"/>
    <mergeCell ref="D384:E384"/>
    <mergeCell ref="P341:T341"/>
    <mergeCell ref="A9:C9"/>
    <mergeCell ref="D373:E373"/>
    <mergeCell ref="P348:T348"/>
    <mergeCell ref="U500:U501"/>
    <mergeCell ref="D358:E358"/>
    <mergeCell ref="A91:Z91"/>
    <mergeCell ref="P337:V337"/>
    <mergeCell ref="P70:V70"/>
    <mergeCell ref="A336:O337"/>
    <mergeCell ref="A389:Z389"/>
    <mergeCell ref="A460:Z460"/>
    <mergeCell ref="A156:Z156"/>
    <mergeCell ref="P32:V32"/>
    <mergeCell ref="P134:V134"/>
    <mergeCell ref="P401:V401"/>
    <mergeCell ref="P97:V97"/>
    <mergeCell ref="Q13:R13"/>
    <mergeCell ref="P176:T176"/>
    <mergeCell ref="P41:T41"/>
    <mergeCell ref="P483:T483"/>
    <mergeCell ref="D22:E22"/>
    <mergeCell ref="D320:E320"/>
    <mergeCell ref="A284:Z284"/>
    <mergeCell ref="P470:T470"/>
    <mergeCell ref="P492:V492"/>
    <mergeCell ref="P415:T415"/>
    <mergeCell ref="M17:M18"/>
    <mergeCell ref="A469:Z469"/>
    <mergeCell ref="O17:O18"/>
    <mergeCell ref="P258:V258"/>
    <mergeCell ref="P423:V423"/>
    <mergeCell ref="P223:V223"/>
    <mergeCell ref="P494:V494"/>
    <mergeCell ref="P430:T430"/>
    <mergeCell ref="P410:V410"/>
    <mergeCell ref="P481:V481"/>
    <mergeCell ref="P102:T102"/>
    <mergeCell ref="A247:Z247"/>
    <mergeCell ref="P189:V189"/>
    <mergeCell ref="A312:Z312"/>
    <mergeCell ref="P287:V287"/>
    <mergeCell ref="D177:E177"/>
    <mergeCell ref="P281:V281"/>
    <mergeCell ref="P354:T354"/>
    <mergeCell ref="D226:E226"/>
    <mergeCell ref="P183:T183"/>
    <mergeCell ref="P62:T62"/>
    <mergeCell ref="D450:E450"/>
    <mergeCell ref="P2:W3"/>
    <mergeCell ref="P133:T133"/>
    <mergeCell ref="P298:T298"/>
    <mergeCell ref="D437:E437"/>
    <mergeCell ref="P198:T198"/>
    <mergeCell ref="P127:T127"/>
    <mergeCell ref="P54:T54"/>
    <mergeCell ref="D35:E35"/>
    <mergeCell ref="D333:E333"/>
    <mergeCell ref="D404:E404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P128:T128"/>
    <mergeCell ref="P364:T364"/>
    <mergeCell ref="A245:O246"/>
    <mergeCell ref="D152:E152"/>
    <mergeCell ref="D394:E394"/>
    <mergeCell ref="D279:E279"/>
    <mergeCell ref="F5:G5"/>
    <mergeCell ref="P365:V365"/>
    <mergeCell ref="A488:Z488"/>
    <mergeCell ref="P411:V411"/>
    <mergeCell ref="P467:V467"/>
    <mergeCell ref="P67:T67"/>
    <mergeCell ref="D430:E430"/>
    <mergeCell ref="P119:V119"/>
    <mergeCell ref="D175:E175"/>
    <mergeCell ref="A36:O37"/>
    <mergeCell ref="P253:T253"/>
    <mergeCell ref="D392:E392"/>
    <mergeCell ref="D221:E221"/>
    <mergeCell ref="A294:Z294"/>
    <mergeCell ref="V11:W11"/>
    <mergeCell ref="D457:E457"/>
    <mergeCell ref="P57:T57"/>
    <mergeCell ref="D475:E475"/>
    <mergeCell ref="P75:T75"/>
    <mergeCell ref="P406:V406"/>
    <mergeCell ref="P342:T342"/>
    <mergeCell ref="A64:O65"/>
    <mergeCell ref="D321:E321"/>
    <mergeCell ref="P278:T278"/>
    <mergeCell ref="D483:E483"/>
    <mergeCell ref="D57:E57"/>
    <mergeCell ref="AD17:AF18"/>
    <mergeCell ref="A310:O311"/>
    <mergeCell ref="D101:E101"/>
    <mergeCell ref="D150:E150"/>
    <mergeCell ref="P129:V129"/>
    <mergeCell ref="P101:T101"/>
    <mergeCell ref="P465:T465"/>
    <mergeCell ref="D215:E215"/>
    <mergeCell ref="P250:V250"/>
    <mergeCell ref="AA17:AA18"/>
    <mergeCell ref="D438:E438"/>
    <mergeCell ref="D359:E359"/>
    <mergeCell ref="H17:H18"/>
    <mergeCell ref="P261:T261"/>
    <mergeCell ref="D204:E204"/>
    <mergeCell ref="P217:T217"/>
    <mergeCell ref="D198:E198"/>
    <mergeCell ref="D465:E465"/>
    <mergeCell ref="D296:E296"/>
    <mergeCell ref="P35:T35"/>
    <mergeCell ref="P399:T399"/>
    <mergeCell ref="P333:T333"/>
    <mergeCell ref="B500:B501"/>
    <mergeCell ref="P495:V495"/>
    <mergeCell ref="A347:Z347"/>
    <mergeCell ref="P422:V422"/>
    <mergeCell ref="A114:Z114"/>
    <mergeCell ref="A412:Z412"/>
    <mergeCell ref="A191:Z191"/>
    <mergeCell ref="P433:T433"/>
    <mergeCell ref="P262:T262"/>
    <mergeCell ref="D341:E341"/>
    <mergeCell ref="D170:E170"/>
    <mergeCell ref="P484:T484"/>
    <mergeCell ref="A478:Z478"/>
    <mergeCell ref="W500:W501"/>
    <mergeCell ref="P436:T436"/>
    <mergeCell ref="P145:V145"/>
    <mergeCell ref="D265:E265"/>
    <mergeCell ref="D216:E216"/>
    <mergeCell ref="P195:V195"/>
    <mergeCell ref="A134:O135"/>
    <mergeCell ref="A125:Z125"/>
    <mergeCell ref="P493:V493"/>
    <mergeCell ref="D452:E452"/>
    <mergeCell ref="D252:E252"/>
    <mergeCell ref="Q5:R5"/>
    <mergeCell ref="P297:T297"/>
    <mergeCell ref="P435:T435"/>
    <mergeCell ref="D278:E278"/>
    <mergeCell ref="P291:T291"/>
    <mergeCell ref="D163:E163"/>
    <mergeCell ref="D234:E234"/>
    <mergeCell ref="A24:O25"/>
    <mergeCell ref="P434:T434"/>
    <mergeCell ref="P263:T263"/>
    <mergeCell ref="D244:E244"/>
    <mergeCell ref="D342:E342"/>
    <mergeCell ref="D171:E171"/>
    <mergeCell ref="Q6:R6"/>
    <mergeCell ref="A425:Z425"/>
    <mergeCell ref="A422:O423"/>
    <mergeCell ref="A360:O361"/>
    <mergeCell ref="A189:O190"/>
    <mergeCell ref="D102:E102"/>
    <mergeCell ref="P81:V81"/>
    <mergeCell ref="A269:Z269"/>
    <mergeCell ref="A20:Z20"/>
    <mergeCell ref="P421:T421"/>
    <mergeCell ref="P110:T110"/>
    <mergeCell ref="U499:W499"/>
    <mergeCell ref="D271:E271"/>
    <mergeCell ref="V12:W12"/>
    <mergeCell ref="A200:O201"/>
    <mergeCell ref="D433:E433"/>
    <mergeCell ref="D262:E262"/>
    <mergeCell ref="P368:T368"/>
    <mergeCell ref="A362:Z362"/>
    <mergeCell ref="D237:E237"/>
    <mergeCell ref="A39:Z39"/>
    <mergeCell ref="A44:O45"/>
    <mergeCell ref="P85:T85"/>
    <mergeCell ref="P383:T383"/>
    <mergeCell ref="D291:E291"/>
    <mergeCell ref="D239:E239"/>
    <mergeCell ref="P174:T174"/>
    <mergeCell ref="P149:T149"/>
    <mergeCell ref="A339:Z339"/>
    <mergeCell ref="D95:E95"/>
    <mergeCell ref="U17:V17"/>
    <mergeCell ref="Y17:Y18"/>
    <mergeCell ref="P385:T385"/>
    <mergeCell ref="P310:V310"/>
    <mergeCell ref="A266:O267"/>
    <mergeCell ref="A8:C8"/>
    <mergeCell ref="P151:T151"/>
    <mergeCell ref="P76:V76"/>
    <mergeCell ref="D395:E395"/>
    <mergeCell ref="P449:T449"/>
    <mergeCell ref="P496:V496"/>
    <mergeCell ref="A426:Z426"/>
    <mergeCell ref="A10:C10"/>
    <mergeCell ref="P361:V361"/>
    <mergeCell ref="P218:T218"/>
    <mergeCell ref="P69:V69"/>
    <mergeCell ref="D17:E18"/>
    <mergeCell ref="X17:X18"/>
    <mergeCell ref="P387:V387"/>
    <mergeCell ref="N17:N18"/>
    <mergeCell ref="P199:T199"/>
    <mergeCell ref="F17:F18"/>
    <mergeCell ref="D218:E218"/>
    <mergeCell ref="A107:Z107"/>
    <mergeCell ref="A51:Z51"/>
    <mergeCell ref="P72:T72"/>
    <mergeCell ref="A58:O59"/>
    <mergeCell ref="D29:E29"/>
    <mergeCell ref="D23:E23"/>
    <mergeCell ref="P500:P501"/>
    <mergeCell ref="P311:V311"/>
    <mergeCell ref="P140:V140"/>
    <mergeCell ref="A192:Z192"/>
    <mergeCell ref="A136:Z136"/>
    <mergeCell ref="A21:Z21"/>
    <mergeCell ref="D184:E184"/>
    <mergeCell ref="A355:O356"/>
    <mergeCell ref="A500:A501"/>
    <mergeCell ref="P356:V356"/>
    <mergeCell ref="P363:T363"/>
    <mergeCell ref="C500:C501"/>
    <mergeCell ref="A181:Z181"/>
    <mergeCell ref="D173:E173"/>
    <mergeCell ref="D42:E42"/>
    <mergeCell ref="D471:E471"/>
    <mergeCell ref="A131:Z131"/>
    <mergeCell ref="P313:T313"/>
    <mergeCell ref="P373:T373"/>
    <mergeCell ref="P307:T307"/>
    <mergeCell ref="P444:T444"/>
    <mergeCell ref="D421:E421"/>
    <mergeCell ref="D110:E110"/>
    <mergeCell ref="D286:E28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2 X79 X85 X88 X92 X94:X95 X100 X102:X103 X108 X111 X115 X117 X127:X128 X133 X167 X169 X171 X174 X176 X199 X203:X208 X210 X214:X217 X219:X222 X226:X227 X232 X261 X279:X280 X305 X308 X313 X320:X322 X328:X329 X333:X335 X340:X342 X348:X350 X358 X364 X373 X378 X383:X384 X391 X393 X398 X413 X427 X430:X431 X433 X438 X442 X444 X448:X450 X465 X475 X479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52"/>
    </row>
    <row r="3" spans="2:8" x14ac:dyDescent="0.2">
      <c r="B3" s="47" t="s">
        <v>760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761</v>
      </c>
      <c r="D6" s="47" t="s">
        <v>762</v>
      </c>
      <c r="E6" s="47"/>
    </row>
    <row r="8" spans="2:8" x14ac:dyDescent="0.2">
      <c r="B8" s="47" t="s">
        <v>19</v>
      </c>
      <c r="C8" s="47" t="s">
        <v>761</v>
      </c>
      <c r="D8" s="47"/>
      <c r="E8" s="47"/>
    </row>
    <row r="10" spans="2:8" x14ac:dyDescent="0.2">
      <c r="B10" s="47" t="s">
        <v>763</v>
      </c>
      <c r="C10" s="47"/>
      <c r="D10" s="47"/>
      <c r="E10" s="47"/>
    </row>
    <row r="11" spans="2:8" x14ac:dyDescent="0.2">
      <c r="B11" s="47" t="s">
        <v>764</v>
      </c>
      <c r="C11" s="47"/>
      <c r="D11" s="47"/>
      <c r="E11" s="47"/>
    </row>
    <row r="12" spans="2:8" x14ac:dyDescent="0.2">
      <c r="B12" s="47" t="s">
        <v>765</v>
      </c>
      <c r="C12" s="47"/>
      <c r="D12" s="47"/>
      <c r="E12" s="47"/>
    </row>
    <row r="13" spans="2:8" x14ac:dyDescent="0.2">
      <c r="B13" s="47" t="s">
        <v>766</v>
      </c>
      <c r="C13" s="47"/>
      <c r="D13" s="47"/>
      <c r="E13" s="47"/>
    </row>
    <row r="14" spans="2:8" x14ac:dyDescent="0.2">
      <c r="B14" s="47" t="s">
        <v>767</v>
      </c>
      <c r="C14" s="47"/>
      <c r="D14" s="47"/>
      <c r="E14" s="47"/>
    </row>
    <row r="15" spans="2:8" x14ac:dyDescent="0.2">
      <c r="B15" s="47" t="s">
        <v>768</v>
      </c>
      <c r="C15" s="47"/>
      <c r="D15" s="47"/>
      <c r="E15" s="47"/>
    </row>
    <row r="16" spans="2:8" x14ac:dyDescent="0.2">
      <c r="B16" s="47" t="s">
        <v>769</v>
      </c>
      <c r="C16" s="47"/>
      <c r="D16" s="47"/>
      <c r="E16" s="47"/>
    </row>
    <row r="17" spans="2:5" x14ac:dyDescent="0.2">
      <c r="B17" s="47" t="s">
        <v>770</v>
      </c>
      <c r="C17" s="47"/>
      <c r="D17" s="47"/>
      <c r="E17" s="47"/>
    </row>
    <row r="18" spans="2:5" x14ac:dyDescent="0.2">
      <c r="B18" s="47" t="s">
        <v>771</v>
      </c>
      <c r="C18" s="47"/>
      <c r="D18" s="47"/>
      <c r="E18" s="47"/>
    </row>
    <row r="19" spans="2:5" x14ac:dyDescent="0.2">
      <c r="B19" s="47" t="s">
        <v>772</v>
      </c>
      <c r="C19" s="47"/>
      <c r="D19" s="47"/>
      <c r="E19" s="47"/>
    </row>
    <row r="20" spans="2:5" x14ac:dyDescent="0.2">
      <c r="B20" s="47" t="s">
        <v>773</v>
      </c>
      <c r="C20" s="47"/>
      <c r="D20" s="47"/>
      <c r="E20" s="47"/>
    </row>
  </sheetData>
  <sheetProtection algorithmName="SHA-512" hashValue="47o+ypGOq6fr5KyNhOop4NH8Gf5/i0mwjR8PmV8hVtTnpQT7mo21ybMAvbZdbxtCt/Ckji7tlyVA8og5eKa4/w==" saltValue="PAQK4J8+cLrmZRa1TsaZm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2025-12-24T09:25:56Z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