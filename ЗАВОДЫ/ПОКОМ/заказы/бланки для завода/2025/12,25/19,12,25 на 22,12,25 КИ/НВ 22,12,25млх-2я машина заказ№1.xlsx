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F1BC5A8-84AF-46A9-A814-5C44BD024F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O404" i="1"/>
  <c r="BM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Y258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K502" i="1" s="1"/>
  <c r="P232" i="1"/>
  <c r="X229" i="1"/>
  <c r="X228" i="1"/>
  <c r="BO227" i="1"/>
  <c r="BM227" i="1"/>
  <c r="Y227" i="1"/>
  <c r="Y229" i="1" s="1"/>
  <c r="P227" i="1"/>
  <c r="BP226" i="1"/>
  <c r="BO226" i="1"/>
  <c r="BN226" i="1"/>
  <c r="BM226" i="1"/>
  <c r="Z226" i="1"/>
  <c r="Y226" i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75" i="1" l="1"/>
  <c r="BN175" i="1"/>
  <c r="Z175" i="1"/>
  <c r="BP210" i="1"/>
  <c r="BN210" i="1"/>
  <c r="Z210" i="1"/>
  <c r="BP235" i="1"/>
  <c r="BN235" i="1"/>
  <c r="Z235" i="1"/>
  <c r="BP278" i="1"/>
  <c r="BN278" i="1"/>
  <c r="Z278" i="1"/>
  <c r="BP308" i="1"/>
  <c r="BN308" i="1"/>
  <c r="Z308" i="1"/>
  <c r="BP341" i="1"/>
  <c r="BN341" i="1"/>
  <c r="Z341" i="1"/>
  <c r="BP384" i="1"/>
  <c r="BN384" i="1"/>
  <c r="Z384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X493" i="1"/>
  <c r="Z23" i="1"/>
  <c r="BN23" i="1"/>
  <c r="X492" i="1"/>
  <c r="Y33" i="1"/>
  <c r="Z35" i="1"/>
  <c r="Z36" i="1" s="1"/>
  <c r="BN35" i="1"/>
  <c r="BP35" i="1"/>
  <c r="Y36" i="1"/>
  <c r="Z41" i="1"/>
  <c r="BN41" i="1"/>
  <c r="Z56" i="1"/>
  <c r="BN56" i="1"/>
  <c r="Z74" i="1"/>
  <c r="BN74" i="1"/>
  <c r="Z93" i="1"/>
  <c r="BN93" i="1"/>
  <c r="Z104" i="1"/>
  <c r="BN104" i="1"/>
  <c r="Z118" i="1"/>
  <c r="BN118" i="1"/>
  <c r="Z144" i="1"/>
  <c r="BN144" i="1"/>
  <c r="Z151" i="1"/>
  <c r="BN151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7" i="1"/>
  <c r="BN167" i="1"/>
  <c r="Z167" i="1"/>
  <c r="J502" i="1"/>
  <c r="BP198" i="1"/>
  <c r="BN198" i="1"/>
  <c r="Z198" i="1"/>
  <c r="BP220" i="1"/>
  <c r="BN220" i="1"/>
  <c r="Z220" i="1"/>
  <c r="BP262" i="1"/>
  <c r="BN262" i="1"/>
  <c r="Z262" i="1"/>
  <c r="BP298" i="1"/>
  <c r="BN298" i="1"/>
  <c r="Z298" i="1"/>
  <c r="BP322" i="1"/>
  <c r="BN322" i="1"/>
  <c r="Z322" i="1"/>
  <c r="BP359" i="1"/>
  <c r="BN359" i="1"/>
  <c r="Z359" i="1"/>
  <c r="BP398" i="1"/>
  <c r="BN398" i="1"/>
  <c r="Z398" i="1"/>
  <c r="BP435" i="1"/>
  <c r="BN435" i="1"/>
  <c r="Z435" i="1"/>
  <c r="BP471" i="1"/>
  <c r="BN471" i="1"/>
  <c r="Z471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Y281" i="1"/>
  <c r="Y355" i="1"/>
  <c r="U502" i="1"/>
  <c r="Y440" i="1"/>
  <c r="BP62" i="1"/>
  <c r="BN62" i="1"/>
  <c r="Z62" i="1"/>
  <c r="BP80" i="1"/>
  <c r="BN80" i="1"/>
  <c r="Z80" i="1"/>
  <c r="BP95" i="1"/>
  <c r="BN95" i="1"/>
  <c r="Z95" i="1"/>
  <c r="Y112" i="1"/>
  <c r="BP108" i="1"/>
  <c r="BN108" i="1"/>
  <c r="Z108" i="1"/>
  <c r="Y124" i="1"/>
  <c r="Y123" i="1"/>
  <c r="BP122" i="1"/>
  <c r="BN122" i="1"/>
  <c r="Z122" i="1"/>
  <c r="Z123" i="1" s="1"/>
  <c r="BP127" i="1"/>
  <c r="BN127" i="1"/>
  <c r="Z127" i="1"/>
  <c r="BP153" i="1"/>
  <c r="BN153" i="1"/>
  <c r="Z153" i="1"/>
  <c r="BP173" i="1"/>
  <c r="BN173" i="1"/>
  <c r="Z173" i="1"/>
  <c r="BP194" i="1"/>
  <c r="BN194" i="1"/>
  <c r="Z194" i="1"/>
  <c r="BP208" i="1"/>
  <c r="BN208" i="1"/>
  <c r="Z208" i="1"/>
  <c r="BP218" i="1"/>
  <c r="BN218" i="1"/>
  <c r="Z218" i="1"/>
  <c r="BP233" i="1"/>
  <c r="BN233" i="1"/>
  <c r="Z233" i="1"/>
  <c r="BP253" i="1"/>
  <c r="BN253" i="1"/>
  <c r="Z253" i="1"/>
  <c r="B502" i="1"/>
  <c r="X494" i="1"/>
  <c r="X495" i="1" s="1"/>
  <c r="X496" i="1"/>
  <c r="Z27" i="1"/>
  <c r="BN27" i="1"/>
  <c r="BP27" i="1"/>
  <c r="Z31" i="1"/>
  <c r="BN31" i="1"/>
  <c r="Z43" i="1"/>
  <c r="BN43" i="1"/>
  <c r="Z54" i="1"/>
  <c r="BN54" i="1"/>
  <c r="Y76" i="1"/>
  <c r="BP72" i="1"/>
  <c r="BN72" i="1"/>
  <c r="Z72" i="1"/>
  <c r="BP87" i="1"/>
  <c r="BN87" i="1"/>
  <c r="Z87" i="1"/>
  <c r="BP102" i="1"/>
  <c r="BN102" i="1"/>
  <c r="Z102" i="1"/>
  <c r="BP116" i="1"/>
  <c r="BN116" i="1"/>
  <c r="Z116" i="1"/>
  <c r="Y139" i="1"/>
  <c r="BP137" i="1"/>
  <c r="BN137" i="1"/>
  <c r="Z137" i="1"/>
  <c r="BP169" i="1"/>
  <c r="BN169" i="1"/>
  <c r="Z169" i="1"/>
  <c r="BP177" i="1"/>
  <c r="BN177" i="1"/>
  <c r="Z177" i="1"/>
  <c r="BP204" i="1"/>
  <c r="BN204" i="1"/>
  <c r="Z204" i="1"/>
  <c r="BP214" i="1"/>
  <c r="BN214" i="1"/>
  <c r="Z214" i="1"/>
  <c r="BP222" i="1"/>
  <c r="BN222" i="1"/>
  <c r="Z222" i="1"/>
  <c r="BP237" i="1"/>
  <c r="BN237" i="1"/>
  <c r="Z237" i="1"/>
  <c r="BP264" i="1"/>
  <c r="BN264" i="1"/>
  <c r="Z264" i="1"/>
  <c r="BP280" i="1"/>
  <c r="BN280" i="1"/>
  <c r="Z280" i="1"/>
  <c r="BP300" i="1"/>
  <c r="BN300" i="1"/>
  <c r="Z300" i="1"/>
  <c r="BP314" i="1"/>
  <c r="BN314" i="1"/>
  <c r="Z314" i="1"/>
  <c r="Y330" i="1"/>
  <c r="BP326" i="1"/>
  <c r="BN326" i="1"/>
  <c r="Z326" i="1"/>
  <c r="BP349" i="1"/>
  <c r="BN349" i="1"/>
  <c r="Z349" i="1"/>
  <c r="Y365" i="1"/>
  <c r="BP363" i="1"/>
  <c r="BN363" i="1"/>
  <c r="Z363" i="1"/>
  <c r="BP392" i="1"/>
  <c r="BN392" i="1"/>
  <c r="Z392" i="1"/>
  <c r="BP404" i="1"/>
  <c r="BN404" i="1"/>
  <c r="Z404" i="1"/>
  <c r="BP429" i="1"/>
  <c r="BN429" i="1"/>
  <c r="Z429" i="1"/>
  <c r="BP437" i="1"/>
  <c r="BN437" i="1"/>
  <c r="Z437" i="1"/>
  <c r="BP453" i="1"/>
  <c r="BN453" i="1"/>
  <c r="Z453" i="1"/>
  <c r="Y97" i="1"/>
  <c r="H502" i="1"/>
  <c r="Y155" i="1"/>
  <c r="Y179" i="1"/>
  <c r="Y185" i="1"/>
  <c r="Y200" i="1"/>
  <c r="Y228" i="1"/>
  <c r="BP255" i="1"/>
  <c r="BN255" i="1"/>
  <c r="Z255" i="1"/>
  <c r="BP273" i="1"/>
  <c r="BN273" i="1"/>
  <c r="Z273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3" i="1"/>
  <c r="BN353" i="1"/>
  <c r="Z353" i="1"/>
  <c r="Y380" i="1"/>
  <c r="BP378" i="1"/>
  <c r="BN378" i="1"/>
  <c r="Z378" i="1"/>
  <c r="BP396" i="1"/>
  <c r="BN396" i="1"/>
  <c r="Z396" i="1"/>
  <c r="BP415" i="1"/>
  <c r="BN415" i="1"/>
  <c r="Z415" i="1"/>
  <c r="BP433" i="1"/>
  <c r="BN433" i="1"/>
  <c r="Z433" i="1"/>
  <c r="BP449" i="1"/>
  <c r="BN449" i="1"/>
  <c r="Z449" i="1"/>
  <c r="BP465" i="1"/>
  <c r="BN465" i="1"/>
  <c r="Z465" i="1"/>
  <c r="Y323" i="1"/>
  <c r="R502" i="1"/>
  <c r="T502" i="1"/>
  <c r="Y386" i="1"/>
  <c r="X502" i="1"/>
  <c r="W502" i="1"/>
  <c r="H9" i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4" i="1"/>
  <c r="Y180" i="1"/>
  <c r="Y186" i="1"/>
  <c r="Y190" i="1"/>
  <c r="Y195" i="1"/>
  <c r="Y201" i="1"/>
  <c r="Y212" i="1"/>
  <c r="BP203" i="1"/>
  <c r="BN203" i="1"/>
  <c r="Z203" i="1"/>
  <c r="BP207" i="1"/>
  <c r="BN207" i="1"/>
  <c r="Z207" i="1"/>
  <c r="Y211" i="1"/>
  <c r="Y223" i="1"/>
  <c r="BP215" i="1"/>
  <c r="BN215" i="1"/>
  <c r="Z215" i="1"/>
  <c r="F9" i="1"/>
  <c r="J9" i="1"/>
  <c r="Z22" i="1"/>
  <c r="BN22" i="1"/>
  <c r="BP22" i="1"/>
  <c r="Y25" i="1"/>
  <c r="Z28" i="1"/>
  <c r="BN28" i="1"/>
  <c r="Z30" i="1"/>
  <c r="BN30" i="1"/>
  <c r="C502" i="1"/>
  <c r="Z42" i="1"/>
  <c r="BN42" i="1"/>
  <c r="Y45" i="1"/>
  <c r="D502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BN79" i="1"/>
  <c r="BP79" i="1"/>
  <c r="E502" i="1"/>
  <c r="Z86" i="1"/>
  <c r="BN86" i="1"/>
  <c r="Z88" i="1"/>
  <c r="BN88" i="1"/>
  <c r="Y89" i="1"/>
  <c r="Z92" i="1"/>
  <c r="BN92" i="1"/>
  <c r="BP92" i="1"/>
  <c r="Z94" i="1"/>
  <c r="BN94" i="1"/>
  <c r="F502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2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I502" i="1"/>
  <c r="Y165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Y196" i="1"/>
  <c r="Z199" i="1"/>
  <c r="Z200" i="1" s="1"/>
  <c r="BN199" i="1"/>
  <c r="BP205" i="1"/>
  <c r="BN205" i="1"/>
  <c r="Z205" i="1"/>
  <c r="BP209" i="1"/>
  <c r="BN209" i="1"/>
  <c r="Z209" i="1"/>
  <c r="Y224" i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Z256" i="1"/>
  <c r="BN256" i="1"/>
  <c r="Y257" i="1"/>
  <c r="Z261" i="1"/>
  <c r="BN261" i="1"/>
  <c r="Z263" i="1"/>
  <c r="BN263" i="1"/>
  <c r="BP272" i="1"/>
  <c r="BN272" i="1"/>
  <c r="Z272" i="1"/>
  <c r="Y282" i="1"/>
  <c r="BP286" i="1"/>
  <c r="BN286" i="1"/>
  <c r="Z286" i="1"/>
  <c r="Z287" i="1" s="1"/>
  <c r="Y288" i="1"/>
  <c r="Y293" i="1"/>
  <c r="BP290" i="1"/>
  <c r="BN290" i="1"/>
  <c r="Z290" i="1"/>
  <c r="Z292" i="1" s="1"/>
  <c r="Q5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Y331" i="1"/>
  <c r="Y242" i="1"/>
  <c r="L502" i="1"/>
  <c r="Y266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BP329" i="1"/>
  <c r="BN329" i="1"/>
  <c r="Z329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Y454" i="1"/>
  <c r="BP464" i="1"/>
  <c r="BN464" i="1"/>
  <c r="Z464" i="1"/>
  <c r="Z467" i="1" s="1"/>
  <c r="BP484" i="1"/>
  <c r="BN484" i="1"/>
  <c r="Z484" i="1"/>
  <c r="Y486" i="1"/>
  <c r="Z502" i="1"/>
  <c r="Y490" i="1"/>
  <c r="BP489" i="1"/>
  <c r="BN489" i="1"/>
  <c r="Z489" i="1"/>
  <c r="Z490" i="1" s="1"/>
  <c r="Y491" i="1"/>
  <c r="O502" i="1"/>
  <c r="S502" i="1"/>
  <c r="P502" i="1"/>
  <c r="Y287" i="1"/>
  <c r="Y302" i="1"/>
  <c r="Z333" i="1"/>
  <c r="Z336" i="1" s="1"/>
  <c r="BN333" i="1"/>
  <c r="BP333" i="1"/>
  <c r="Z335" i="1"/>
  <c r="BN335" i="1"/>
  <c r="Z340" i="1"/>
  <c r="BN340" i="1"/>
  <c r="BP340" i="1"/>
  <c r="Z342" i="1"/>
  <c r="BN342" i="1"/>
  <c r="Y343" i="1"/>
  <c r="Z348" i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BN364" i="1"/>
  <c r="Z368" i="1"/>
  <c r="Z369" i="1" s="1"/>
  <c r="BN368" i="1"/>
  <c r="BP368" i="1"/>
  <c r="Z373" i="1"/>
  <c r="Z375" i="1" s="1"/>
  <c r="BN373" i="1"/>
  <c r="BP373" i="1"/>
  <c r="Y376" i="1"/>
  <c r="Z379" i="1"/>
  <c r="Z380" i="1" s="1"/>
  <c r="BN379" i="1"/>
  <c r="Z383" i="1"/>
  <c r="Z386" i="1" s="1"/>
  <c r="BN383" i="1"/>
  <c r="BP383" i="1"/>
  <c r="Z385" i="1"/>
  <c r="BN385" i="1"/>
  <c r="Z391" i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BN403" i="1"/>
  <c r="BP403" i="1"/>
  <c r="V502" i="1"/>
  <c r="Y411" i="1"/>
  <c r="Y418" i="1"/>
  <c r="Z414" i="1"/>
  <c r="BN414" i="1"/>
  <c r="Z416" i="1"/>
  <c r="BN416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Z454" i="1" s="1"/>
  <c r="BP452" i="1"/>
  <c r="BN452" i="1"/>
  <c r="Z452" i="1"/>
  <c r="Y467" i="1"/>
  <c r="BP466" i="1"/>
  <c r="BN466" i="1"/>
  <c r="Z466" i="1"/>
  <c r="Y468" i="1"/>
  <c r="Y473" i="1"/>
  <c r="BP470" i="1"/>
  <c r="BN470" i="1"/>
  <c r="Z470" i="1"/>
  <c r="Z472" i="1" s="1"/>
  <c r="Y485" i="1"/>
  <c r="Y502" i="1"/>
  <c r="Y439" i="1"/>
  <c r="Z405" i="1" l="1"/>
  <c r="Z365" i="1"/>
  <c r="Z485" i="1"/>
  <c r="Z281" i="1"/>
  <c r="Z274" i="1"/>
  <c r="Z154" i="1"/>
  <c r="Z145" i="1"/>
  <c r="Z119" i="1"/>
  <c r="Z81" i="1"/>
  <c r="Z64" i="1"/>
  <c r="Z24" i="1"/>
  <c r="Z439" i="1"/>
  <c r="Z112" i="1"/>
  <c r="Z89" i="1"/>
  <c r="Z76" i="1"/>
  <c r="Z32" i="1"/>
  <c r="Z417" i="1"/>
  <c r="Z317" i="1"/>
  <c r="Z310" i="1"/>
  <c r="Z301" i="1"/>
  <c r="Z330" i="1"/>
  <c r="Z179" i="1"/>
  <c r="Z105" i="1"/>
  <c r="Z58" i="1"/>
  <c r="Z44" i="1"/>
  <c r="Z223" i="1"/>
  <c r="Y494" i="1"/>
  <c r="Z211" i="1"/>
  <c r="Y496" i="1"/>
  <c r="Z400" i="1"/>
  <c r="Z355" i="1"/>
  <c r="Z343" i="1"/>
  <c r="Z445" i="1"/>
  <c r="Z266" i="1"/>
  <c r="Z257" i="1"/>
  <c r="Z241" i="1"/>
  <c r="Z185" i="1"/>
  <c r="Z96" i="1"/>
  <c r="Y492" i="1"/>
  <c r="Y493" i="1"/>
  <c r="Y495" i="1" l="1"/>
  <c r="Z497" i="1"/>
</calcChain>
</file>

<file path=xl/sharedStrings.xml><?xml version="1.0" encoding="utf-8"?>
<sst xmlns="http://schemas.openxmlformats.org/spreadsheetml/2006/main" count="2340" uniqueCount="775">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</sst>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46013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0.41666666666666669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24</v>
      </c>
      <c r="Y41" s="548">
        <f>IFERROR(IF(X41="",0,CEILING((X41/$H41),1)*$H41),"")</f>
        <v>32.400000000000006</v>
      </c>
      <c r="Z41" s="36">
        <f>IFERROR(IF(Y41=0,"",ROUNDUP(Y41/H41,0)*0.01898),"")</f>
        <v>5.6940000000000004E-2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24.911111111111111</v>
      </c>
      <c r="BN41" s="64">
        <f>IFERROR(Y41*I41/H41,"0")</f>
        <v>33.630000000000003</v>
      </c>
      <c r="BO41" s="64">
        <f>IFERROR(1/J41*(X41/H41),"0")</f>
        <v>3.4722222222222217E-2</v>
      </c>
      <c r="BP41" s="64">
        <f>IFERROR(1/J41*(Y41/H41),"0")</f>
        <v>4.6875000000000007E-2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53</v>
      </c>
      <c r="Y42" s="548">
        <f>IFERROR(IF(X42="",0,CEILING((X42/$H42),1)*$H42),"")</f>
        <v>55.5</v>
      </c>
      <c r="Z42" s="36">
        <f>IFERROR(IF(Y42=0,"",ROUNDUP(Y42/H42,0)*0.00902),"")</f>
        <v>0.1353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55.721621621621622</v>
      </c>
      <c r="BN42" s="64">
        <f>IFERROR(Y42*I42/H42,"0")</f>
        <v>58.35</v>
      </c>
      <c r="BO42" s="64">
        <f>IFERROR(1/J42*(X42/H42),"0")</f>
        <v>0.10851760851760851</v>
      </c>
      <c r="BP42" s="64">
        <f>IFERROR(1/J42*(Y42/H42),"0")</f>
        <v>0.11363636363636365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16.546546546546544</v>
      </c>
      <c r="Y44" s="549">
        <f>IFERROR(Y41/H41,"0")+IFERROR(Y42/H42,"0")+IFERROR(Y43/H43,"0")</f>
        <v>18</v>
      </c>
      <c r="Z44" s="549">
        <f>IFERROR(IF(Z41="",0,Z41),"0")+IFERROR(IF(Z42="",0,Z42),"0")+IFERROR(IF(Z43="",0,Z43),"0")</f>
        <v>0.19224000000000002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77</v>
      </c>
      <c r="Y45" s="549">
        <f>IFERROR(SUM(Y41:Y43),"0")</f>
        <v>87.9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92</v>
      </c>
      <c r="Y55" s="548">
        <f t="shared" si="0"/>
        <v>92</v>
      </c>
      <c r="Z55" s="36">
        <f>IFERROR(IF(Y55=0,"",ROUNDUP(Y55/H55,0)*0.00902),"")</f>
        <v>0.20746000000000001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96.37</v>
      </c>
      <c r="BN55" s="64">
        <f t="shared" si="2"/>
        <v>96.37</v>
      </c>
      <c r="BO55" s="64">
        <f t="shared" si="3"/>
        <v>0.17424242424242425</v>
      </c>
      <c r="BP55" s="64">
        <f t="shared" si="4"/>
        <v>0.17424242424242425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23</v>
      </c>
      <c r="Y58" s="549">
        <f>IFERROR(Y52/H52,"0")+IFERROR(Y53/H53,"0")+IFERROR(Y54/H54,"0")+IFERROR(Y55/H55,"0")+IFERROR(Y56/H56,"0")+IFERROR(Y57/H57,"0")</f>
        <v>23</v>
      </c>
      <c r="Z58" s="549">
        <f>IFERROR(IF(Z52="",0,Z52),"0")+IFERROR(IF(Z53="",0,Z53),"0")+IFERROR(IF(Z54="",0,Z54),"0")+IFERROR(IF(Z55="",0,Z55),"0")+IFERROR(IF(Z56="",0,Z56),"0")+IFERROR(IF(Z57="",0,Z57),"0")</f>
        <v>0.20746000000000001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92</v>
      </c>
      <c r="Y59" s="549">
        <f>IFERROR(SUM(Y52:Y57),"0")</f>
        <v>92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16</v>
      </c>
      <c r="Y85" s="548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16.607407407407408</v>
      </c>
      <c r="BN85" s="64">
        <f>IFERROR(Y85*I85/H85,"0")</f>
        <v>22.42</v>
      </c>
      <c r="BO85" s="64">
        <f>IFERROR(1/J85*(X85/H85),"0")</f>
        <v>2.3148148148148147E-2</v>
      </c>
      <c r="BP85" s="64">
        <f>IFERROR(1/J85*(Y85/H85),"0")</f>
        <v>3.125E-2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138</v>
      </c>
      <c r="Y88" s="548">
        <f>IFERROR(IF(X88="",0,CEILING((X88/$H88),1)*$H88),"")</f>
        <v>139.5</v>
      </c>
      <c r="Z88" s="36">
        <f>IFERROR(IF(Y88=0,"",ROUNDUP(Y88/H88,0)*0.00902),"")</f>
        <v>0.27961999999999998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143.82666666666668</v>
      </c>
      <c r="BN88" s="64">
        <f>IFERROR(Y88*I88/H88,"0")</f>
        <v>145.39000000000001</v>
      </c>
      <c r="BO88" s="64">
        <f>IFERROR(1/J88*(X88/H88),"0")</f>
        <v>0.23232323232323235</v>
      </c>
      <c r="BP88" s="64">
        <f>IFERROR(1/J88*(Y88/H88),"0")</f>
        <v>0.23484848484848486</v>
      </c>
    </row>
    <row r="89" spans="1:68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32.148148148148152</v>
      </c>
      <c r="Y89" s="549">
        <f>IFERROR(Y85/H85,"0")+IFERROR(Y86/H86,"0")+IFERROR(Y87/H87,"0")+IFERROR(Y88/H88,"0")</f>
        <v>33</v>
      </c>
      <c r="Z89" s="549">
        <f>IFERROR(IF(Z85="",0,Z85),"0")+IFERROR(IF(Z86="",0,Z86),"0")+IFERROR(IF(Z87="",0,Z87),"0")+IFERROR(IF(Z88="",0,Z88),"0")</f>
        <v>0.31757999999999997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154</v>
      </c>
      <c r="Y90" s="549">
        <f>IFERROR(SUM(Y85:Y88),"0")</f>
        <v>161.1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197</v>
      </c>
      <c r="Y92" s="548">
        <f>IFERROR(IF(X92="",0,CEILING((X92/$H92),1)*$H92),"")</f>
        <v>202.5</v>
      </c>
      <c r="Z92" s="36">
        <f>IFERROR(IF(Y92=0,"",ROUNDUP(Y92/H92,0)*0.01898),"")</f>
        <v>0.47450000000000003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209.01456790123456</v>
      </c>
      <c r="BN92" s="64">
        <f>IFERROR(Y92*I92/H92,"0")</f>
        <v>214.85</v>
      </c>
      <c r="BO92" s="64">
        <f>IFERROR(1/J92*(X92/H92),"0")</f>
        <v>0.38001543209876543</v>
      </c>
      <c r="BP92" s="64">
        <f>IFERROR(1/J92*(Y92/H92),"0")</f>
        <v>0.390625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159</v>
      </c>
      <c r="Y94" s="548">
        <f>IFERROR(IF(X94="",0,CEILING((X94/$H94),1)*$H94),"")</f>
        <v>159.30000000000001</v>
      </c>
      <c r="Z94" s="36">
        <f>IFERROR(IF(Y94=0,"",ROUNDUP(Y94/H94,0)*0.00651),"")</f>
        <v>0.38408999999999999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173.83999999999997</v>
      </c>
      <c r="BN94" s="64">
        <f>IFERROR(Y94*I94/H94,"0")</f>
        <v>174.16799999999998</v>
      </c>
      <c r="BO94" s="64">
        <f>IFERROR(1/J94*(X94/H94),"0")</f>
        <v>0.32356532356532358</v>
      </c>
      <c r="BP94" s="64">
        <f>IFERROR(1/J94*(Y94/H94),"0")</f>
        <v>0.32417582417582419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83.209876543209873</v>
      </c>
      <c r="Y96" s="549">
        <f>IFERROR(Y92/H92,"0")+IFERROR(Y93/H93,"0")+IFERROR(Y94/H94,"0")+IFERROR(Y95/H95,"0")</f>
        <v>84</v>
      </c>
      <c r="Z96" s="549">
        <f>IFERROR(IF(Z92="",0,Z92),"0")+IFERROR(IF(Z93="",0,Z93),"0")+IFERROR(IF(Z94="",0,Z94),"0")+IFERROR(IF(Z95="",0,Z95),"0")</f>
        <v>0.85858999999999996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356</v>
      </c>
      <c r="Y97" s="549">
        <f>IFERROR(SUM(Y92:Y95),"0")</f>
        <v>361.8</v>
      </c>
      <c r="Z97" s="37"/>
      <c r="AA97" s="550"/>
      <c r="AB97" s="550"/>
      <c r="AC97" s="550"/>
    </row>
    <row r="98" spans="1:68" ht="16.5" hidden="1" customHeight="1" x14ac:dyDescent="0.25">
      <c r="A98" s="556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20</v>
      </c>
      <c r="Y100" s="548">
        <f>IFERROR(IF(X100="",0,CEILING((X100/$H100),1)*$H100),"")</f>
        <v>21.6</v>
      </c>
      <c r="Z100" s="36">
        <f>IFERROR(IF(Y100=0,"",ROUNDUP(Y100/H100,0)*0.01898),"")</f>
        <v>3.7960000000000001E-2</v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20.75925925925926</v>
      </c>
      <c r="BN100" s="64">
        <f>IFERROR(Y100*I100/H100,"0")</f>
        <v>22.42</v>
      </c>
      <c r="BO100" s="64">
        <f>IFERROR(1/J100*(X100/H100),"0")</f>
        <v>2.8935185185185182E-2</v>
      </c>
      <c r="BP100" s="64">
        <f>IFERROR(1/J100*(Y100/H100),"0")</f>
        <v>3.125E-2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196</v>
      </c>
      <c r="Y103" s="548">
        <f>IFERROR(IF(X103="",0,CEILING((X103/$H103),1)*$H103),"")</f>
        <v>198</v>
      </c>
      <c r="Z103" s="36">
        <f>IFERROR(IF(Y103=0,"",ROUNDUP(Y103/H103,0)*0.00902),"")</f>
        <v>0.39688000000000001</v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204.27555555555557</v>
      </c>
      <c r="BN103" s="64">
        <f>IFERROR(Y103*I103/H103,"0")</f>
        <v>206.36</v>
      </c>
      <c r="BO103" s="64">
        <f>IFERROR(1/J103*(X103/H103),"0")</f>
        <v>0.32996632996632996</v>
      </c>
      <c r="BP103" s="64">
        <f>IFERROR(1/J103*(Y103/H103),"0")</f>
        <v>0.33333333333333337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45.407407407407412</v>
      </c>
      <c r="Y105" s="549">
        <f>IFERROR(Y100/H100,"0")+IFERROR(Y101/H101,"0")+IFERROR(Y102/H102,"0")+IFERROR(Y103/H103,"0")+IFERROR(Y104/H104,"0")</f>
        <v>46</v>
      </c>
      <c r="Z105" s="549">
        <f>IFERROR(IF(Z100="",0,Z100),"0")+IFERROR(IF(Z101="",0,Z101),"0")+IFERROR(IF(Z102="",0,Z102),"0")+IFERROR(IF(Z103="",0,Z103),"0")+IFERROR(IF(Z104="",0,Z104),"0")</f>
        <v>0.43484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216</v>
      </c>
      <c r="Y106" s="549">
        <f>IFERROR(SUM(Y100:Y104),"0")</f>
        <v>219.6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10</v>
      </c>
      <c r="Y108" s="548">
        <f>IFERROR(IF(X108="",0,CEILING((X108/$H108),1)*$H108),"")</f>
        <v>10.8</v>
      </c>
      <c r="Z108" s="36">
        <f>IFERROR(IF(Y108=0,"",ROUNDUP(Y108/H108,0)*0.01898),"")</f>
        <v>1.898E-2</v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10.37962962962963</v>
      </c>
      <c r="BN108" s="64">
        <f>IFERROR(Y108*I108/H108,"0")</f>
        <v>11.21</v>
      </c>
      <c r="BO108" s="64">
        <f>IFERROR(1/J108*(X108/H108),"0")</f>
        <v>1.4467592592592591E-2</v>
      </c>
      <c r="BP108" s="64">
        <f>IFERROR(1/J108*(Y108/H108),"0")</f>
        <v>1.5625E-2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189</v>
      </c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90</v>
      </c>
      <c r="Y111" s="548">
        <f>IFERROR(IF(X111="",0,CEILING((X111/$H111),1)*$H111),"")</f>
        <v>91.2</v>
      </c>
      <c r="Z111" s="36">
        <f>IFERROR(IF(Y111=0,"",ROUNDUP(Y111/H111,0)*0.00651),"")</f>
        <v>0.24738000000000002</v>
      </c>
      <c r="AA111" s="56"/>
      <c r="AB111" s="57"/>
      <c r="AC111" s="159" t="s">
        <v>208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96.750000000000014</v>
      </c>
      <c r="BN111" s="64">
        <f>IFERROR(Y111*I111/H111,"0")</f>
        <v>98.04</v>
      </c>
      <c r="BO111" s="64">
        <f>IFERROR(1/J111*(X111/H111),"0")</f>
        <v>0.20604395604395606</v>
      </c>
      <c r="BP111" s="64">
        <f>IFERROR(1/J111*(Y111/H111),"0")</f>
        <v>0.2087912087912088</v>
      </c>
    </row>
    <row r="112" spans="1:68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38.425925925925924</v>
      </c>
      <c r="Y112" s="549">
        <f>IFERROR(Y108/H108,"0")+IFERROR(Y109/H109,"0")+IFERROR(Y110/H110,"0")+IFERROR(Y111/H111,"0")</f>
        <v>39</v>
      </c>
      <c r="Z112" s="549">
        <f>IFERROR(IF(Z108="",0,Z108),"0")+IFERROR(IF(Z109="",0,Z109),"0")+IFERROR(IF(Z110="",0,Z110),"0")+IFERROR(IF(Z111="",0,Z111),"0")</f>
        <v>0.26636000000000004</v>
      </c>
      <c r="AA112" s="550"/>
      <c r="AB112" s="550"/>
      <c r="AC112" s="550"/>
    </row>
    <row r="113" spans="1:68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100</v>
      </c>
      <c r="Y113" s="549">
        <f>IFERROR(SUM(Y108:Y111),"0")</f>
        <v>102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13</v>
      </c>
      <c r="Y115" s="548">
        <f>IFERROR(IF(X115="",0,CEILING((X115/$H115),1)*$H115),"")</f>
        <v>16.2</v>
      </c>
      <c r="Z115" s="36">
        <f>IFERROR(IF(Y115=0,"",ROUNDUP(Y115/H115,0)*0.01898),"")</f>
        <v>3.7960000000000001E-2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13.783209876543209</v>
      </c>
      <c r="BN115" s="64">
        <f>IFERROR(Y115*I115/H115,"0")</f>
        <v>17.175999999999998</v>
      </c>
      <c r="BO115" s="64">
        <f>IFERROR(1/J115*(X115/H115),"0")</f>
        <v>2.5077160493827161E-2</v>
      </c>
      <c r="BP115" s="64">
        <f>IFERROR(1/J115*(Y115/H115),"0")</f>
        <v>3.125E-2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150</v>
      </c>
      <c r="Y117" s="548">
        <f>IFERROR(IF(X117="",0,CEILING((X117/$H117),1)*$H117),"")</f>
        <v>151.20000000000002</v>
      </c>
      <c r="Z117" s="36">
        <f>IFERROR(IF(Y117=0,"",ROUNDUP(Y117/H117,0)*0.00651),"")</f>
        <v>0.36456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164</v>
      </c>
      <c r="BN117" s="64">
        <f>IFERROR(Y117*I117/H117,"0")</f>
        <v>165.31200000000001</v>
      </c>
      <c r="BO117" s="64">
        <f>IFERROR(1/J117*(X117/H117),"0")</f>
        <v>0.30525030525030522</v>
      </c>
      <c r="BP117" s="64">
        <f>IFERROR(1/J117*(Y117/H117),"0")</f>
        <v>0.30769230769230771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57.160493827160487</v>
      </c>
      <c r="Y119" s="549">
        <f>IFERROR(Y115/H115,"0")+IFERROR(Y116/H116,"0")+IFERROR(Y117/H117,"0")+IFERROR(Y118/H118,"0")</f>
        <v>58</v>
      </c>
      <c r="Z119" s="549">
        <f>IFERROR(IF(Z115="",0,Z115),"0")+IFERROR(IF(Z116="",0,Z116),"0")+IFERROR(IF(Z117="",0,Z117),"0")+IFERROR(IF(Z118="",0,Z118),"0")</f>
        <v>0.40251999999999999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163</v>
      </c>
      <c r="Y120" s="549">
        <f>IFERROR(SUM(Y115:Y118),"0")</f>
        <v>167.4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112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39</v>
      </c>
      <c r="Y167" s="548">
        <f t="shared" ref="Y167:Y178" si="10">IFERROR(IF(X167="",0,CEILING((X167/$H167),1)*$H167),"")</f>
        <v>42</v>
      </c>
      <c r="Z167" s="36">
        <f>IFERROR(IF(Y167=0,"",ROUNDUP(Y167/H167,0)*0.00902),"")</f>
        <v>9.0200000000000002E-2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41.321428571428569</v>
      </c>
      <c r="BN167" s="64">
        <f t="shared" ref="BN167:BN178" si="12">IFERROR(Y167*I167/H167,"0")</f>
        <v>44.5</v>
      </c>
      <c r="BO167" s="64">
        <f t="shared" ref="BO167:BO178" si="13">IFERROR(1/J167*(X167/H167),"0")</f>
        <v>7.0346320346320337E-2</v>
      </c>
      <c r="BP167" s="64">
        <f t="shared" ref="BP167:BP178" si="14">IFERROR(1/J167*(Y167/H167),"0")</f>
        <v>7.575757575757576E-2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41</v>
      </c>
      <c r="Y169" s="548">
        <f t="shared" si="10"/>
        <v>42</v>
      </c>
      <c r="Z169" s="36">
        <f>IFERROR(IF(Y169=0,"",ROUNDUP(Y169/H169,0)*0.00902),"")</f>
        <v>9.0200000000000002E-2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42.854761904761901</v>
      </c>
      <c r="BN169" s="64">
        <f t="shared" si="12"/>
        <v>43.9</v>
      </c>
      <c r="BO169" s="64">
        <f t="shared" si="13"/>
        <v>7.3953823953823952E-2</v>
      </c>
      <c r="BP169" s="64">
        <f t="shared" si="14"/>
        <v>7.575757575757576E-2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13</v>
      </c>
      <c r="Y174" s="548">
        <f t="shared" si="10"/>
        <v>14.4</v>
      </c>
      <c r="Z174" s="36">
        <f>IFERROR(IF(Y174=0,"",ROUNDUP(Y174/H174,0)*0.00502),"")</f>
        <v>4.0160000000000001E-2</v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13.938888888888888</v>
      </c>
      <c r="BN174" s="64">
        <f t="shared" si="12"/>
        <v>15.439999999999998</v>
      </c>
      <c r="BO174" s="64">
        <f t="shared" si="13"/>
        <v>3.0864197530864203E-2</v>
      </c>
      <c r="BP174" s="64">
        <f t="shared" si="14"/>
        <v>3.4188034188034191E-2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26.269841269841265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0.22056000000000001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93</v>
      </c>
      <c r="Y180" s="549">
        <f>IFERROR(SUM(Y167:Y178),"0")</f>
        <v>98.4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1</v>
      </c>
      <c r="Y188" s="548">
        <f>IFERROR(IF(X188="",0,CEILING((X188/$H188),1)*$H188),"")</f>
        <v>1.26</v>
      </c>
      <c r="Z188" s="36">
        <f>IFERROR(IF(Y188=0,"",ROUNDUP(Y188/H188,0)*0.0059),"")</f>
        <v>5.8999999999999999E-3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1.1507936507936507</v>
      </c>
      <c r="BN188" s="64">
        <f>IFERROR(Y188*I188/H188,"0")</f>
        <v>1.45</v>
      </c>
      <c r="BO188" s="64">
        <f>IFERROR(1/J188*(X188/H188),"0")</f>
        <v>3.6743092298647849E-3</v>
      </c>
      <c r="BP188" s="64">
        <f>IFERROR(1/J188*(Y188/H188),"0")</f>
        <v>4.6296296296296294E-3</v>
      </c>
    </row>
    <row r="189" spans="1:68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0.79365079365079361</v>
      </c>
      <c r="Y189" s="549">
        <f>IFERROR(Y188/H188,"0")</f>
        <v>1</v>
      </c>
      <c r="Z189" s="549">
        <f>IFERROR(IF(Z188="",0,Z188),"0")</f>
        <v>5.8999999999999999E-3</v>
      </c>
      <c r="AA189" s="550"/>
      <c r="AB189" s="550"/>
      <c r="AC189" s="550"/>
    </row>
    <row r="190" spans="1:68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1</v>
      </c>
      <c r="Y190" s="549">
        <f>IFERROR(SUM(Y188:Y188),"0")</f>
        <v>1.26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189</v>
      </c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112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32</v>
      </c>
      <c r="Y203" s="548">
        <f t="shared" ref="Y203:Y210" si="15">IFERROR(IF(X203="",0,CEILING((X203/$H203),1)*$H203),"")</f>
        <v>32.400000000000006</v>
      </c>
      <c r="Z203" s="36">
        <f>IFERROR(IF(Y203=0,"",ROUNDUP(Y203/H203,0)*0.00902),"")</f>
        <v>5.4120000000000001E-2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33.12592592592592</v>
      </c>
      <c r="BN203" s="64">
        <f t="shared" ref="BN203:BN210" si="17">IFERROR(Y203*I203/H203,"0")</f>
        <v>33.54</v>
      </c>
      <c r="BO203" s="64">
        <f t="shared" ref="BO203:BO210" si="18">IFERROR(1/J203*(X203/H203),"0")</f>
        <v>4.4893378226711557E-2</v>
      </c>
      <c r="BP203" s="64">
        <f t="shared" ref="BP203:BP210" si="19">IFERROR(1/J203*(Y203/H203),"0")</f>
        <v>4.5454545454545463E-2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112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171</v>
      </c>
      <c r="Y206" s="548">
        <f t="shared" si="15"/>
        <v>172.8</v>
      </c>
      <c r="Z206" s="36">
        <f>IFERROR(IF(Y206=0,"",ROUNDUP(Y206/H206,0)*0.00902),"")</f>
        <v>0.28864000000000001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177.01666666666665</v>
      </c>
      <c r="BN206" s="64">
        <f t="shared" si="17"/>
        <v>178.88</v>
      </c>
      <c r="BO206" s="64">
        <f t="shared" si="18"/>
        <v>0.23989898989898989</v>
      </c>
      <c r="BP206" s="64">
        <f t="shared" si="19"/>
        <v>0.24242424242424243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27</v>
      </c>
      <c r="Y207" s="548">
        <f t="shared" si="15"/>
        <v>27</v>
      </c>
      <c r="Z207" s="36">
        <f>IFERROR(IF(Y207=0,"",ROUNDUP(Y207/H207,0)*0.00502),"")</f>
        <v>7.5300000000000006E-2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28.95</v>
      </c>
      <c r="BN207" s="64">
        <f t="shared" si="17"/>
        <v>28.95</v>
      </c>
      <c r="BO207" s="64">
        <f t="shared" si="18"/>
        <v>6.4102564102564111E-2</v>
      </c>
      <c r="BP207" s="64">
        <f t="shared" si="19"/>
        <v>6.4102564102564111E-2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5</v>
      </c>
      <c r="Y210" s="548">
        <f t="shared" si="15"/>
        <v>5.4</v>
      </c>
      <c r="Z210" s="36">
        <f>IFERROR(IF(Y210=0,"",ROUNDUP(Y210/H210,0)*0.00502),"")</f>
        <v>1.506E-2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5.2777777777777777</v>
      </c>
      <c r="BN210" s="64">
        <f t="shared" si="17"/>
        <v>5.7</v>
      </c>
      <c r="BO210" s="64">
        <f t="shared" si="18"/>
        <v>1.1870845204178538E-2</v>
      </c>
      <c r="BP210" s="64">
        <f t="shared" si="19"/>
        <v>1.2820512820512822E-2</v>
      </c>
    </row>
    <row r="211" spans="1:68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55.370370370370367</v>
      </c>
      <c r="Y211" s="549">
        <f>IFERROR(Y203/H203,"0")+IFERROR(Y204/H204,"0")+IFERROR(Y205/H205,"0")+IFERROR(Y206/H206,"0")+IFERROR(Y207/H207,"0")+IFERROR(Y208/H208,"0")+IFERROR(Y209/H209,"0")+IFERROR(Y210/H210,"0")</f>
        <v>56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0.43312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235</v>
      </c>
      <c r="Y212" s="549">
        <f>IFERROR(SUM(Y203:Y210),"0")</f>
        <v>237.60000000000002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115</v>
      </c>
      <c r="Y217" s="548">
        <f t="shared" si="20"/>
        <v>115.19999999999999</v>
      </c>
      <c r="Z217" s="36">
        <f t="shared" ref="Z217:Z222" si="25">IFERROR(IF(Y217=0,"",ROUNDUP(Y217/H217,0)*0.00651),"")</f>
        <v>0.31247999999999998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127.93750000000001</v>
      </c>
      <c r="BN217" s="64">
        <f t="shared" si="22"/>
        <v>128.15999999999997</v>
      </c>
      <c r="BO217" s="64">
        <f t="shared" si="23"/>
        <v>0.26327838827838834</v>
      </c>
      <c r="BP217" s="64">
        <f t="shared" si="24"/>
        <v>0.26373626373626374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159</v>
      </c>
      <c r="Y219" s="548">
        <f t="shared" si="20"/>
        <v>160.79999999999998</v>
      </c>
      <c r="Z219" s="36">
        <f t="shared" si="25"/>
        <v>0.43617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175.69500000000002</v>
      </c>
      <c r="BN219" s="64">
        <f t="shared" si="22"/>
        <v>177.684</v>
      </c>
      <c r="BO219" s="64">
        <f t="shared" si="23"/>
        <v>0.36401098901098905</v>
      </c>
      <c r="BP219" s="64">
        <f t="shared" si="24"/>
        <v>0.36813186813186816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141</v>
      </c>
      <c r="Y220" s="548">
        <f t="shared" si="20"/>
        <v>141.6</v>
      </c>
      <c r="Z220" s="36">
        <f t="shared" si="25"/>
        <v>0.38408999999999999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155.80500000000001</v>
      </c>
      <c r="BN220" s="64">
        <f t="shared" si="22"/>
        <v>156.46800000000002</v>
      </c>
      <c r="BO220" s="64">
        <f t="shared" si="23"/>
        <v>0.32280219780219782</v>
      </c>
      <c r="BP220" s="64">
        <f t="shared" si="24"/>
        <v>0.32417582417582419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192</v>
      </c>
      <c r="Y221" s="548">
        <f t="shared" si="20"/>
        <v>192</v>
      </c>
      <c r="Z221" s="36">
        <f t="shared" si="25"/>
        <v>0.52080000000000004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212.16000000000003</v>
      </c>
      <c r="BN221" s="64">
        <f t="shared" si="22"/>
        <v>212.16000000000003</v>
      </c>
      <c r="BO221" s="64">
        <f t="shared" si="23"/>
        <v>0.43956043956043961</v>
      </c>
      <c r="BP221" s="64">
        <f t="shared" si="24"/>
        <v>0.43956043956043961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223</v>
      </c>
      <c r="Y222" s="548">
        <f t="shared" si="20"/>
        <v>223.2</v>
      </c>
      <c r="Z222" s="36">
        <f t="shared" si="25"/>
        <v>0.60543000000000002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246.97250000000003</v>
      </c>
      <c r="BN222" s="64">
        <f t="shared" si="22"/>
        <v>247.19399999999999</v>
      </c>
      <c r="BO222" s="64">
        <f t="shared" si="23"/>
        <v>0.5105311355311356</v>
      </c>
      <c r="BP222" s="64">
        <f t="shared" si="24"/>
        <v>0.51098901098901106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345.83333333333337</v>
      </c>
      <c r="Y223" s="549">
        <f>IFERROR(Y214/H214,"0")+IFERROR(Y215/H215,"0")+IFERROR(Y216/H216,"0")+IFERROR(Y217/H217,"0")+IFERROR(Y218/H218,"0")+IFERROR(Y219/H219,"0")+IFERROR(Y220/H220,"0")+IFERROR(Y221/H221,"0")+IFERROR(Y222/H222,"0")</f>
        <v>347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2.2589700000000001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830</v>
      </c>
      <c r="Y224" s="549">
        <f>IFERROR(SUM(Y214:Y222),"0")</f>
        <v>832.8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189</v>
      </c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87</v>
      </c>
      <c r="Y226" s="548">
        <f>IFERROR(IF(X226="",0,CEILING((X226/$H226),1)*$H226),"")</f>
        <v>88.8</v>
      </c>
      <c r="Z226" s="36">
        <f>IFERROR(IF(Y226=0,"",ROUNDUP(Y226/H226,0)*0.00651),"")</f>
        <v>0.24087</v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96.135000000000005</v>
      </c>
      <c r="BN226" s="64">
        <f>IFERROR(Y226*I226/H226,"0")</f>
        <v>98.124000000000009</v>
      </c>
      <c r="BO226" s="64">
        <f>IFERROR(1/J226*(X226/H226),"0")</f>
        <v>0.19917582417582419</v>
      </c>
      <c r="BP226" s="64">
        <f>IFERROR(1/J226*(Y226/H226),"0")</f>
        <v>0.20329670329670332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189</v>
      </c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66</v>
      </c>
      <c r="Y227" s="548">
        <f>IFERROR(IF(X227="",0,CEILING((X227/$H227),1)*$H227),"")</f>
        <v>67.2</v>
      </c>
      <c r="Z227" s="36">
        <f>IFERROR(IF(Y227=0,"",ROUNDUP(Y227/H227,0)*0.00651),"")</f>
        <v>0.18228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72.930000000000007</v>
      </c>
      <c r="BN227" s="64">
        <f>IFERROR(Y227*I227/H227,"0")</f>
        <v>74.256000000000014</v>
      </c>
      <c r="BO227" s="64">
        <f>IFERROR(1/J227*(X227/H227),"0")</f>
        <v>0.15109890109890112</v>
      </c>
      <c r="BP227" s="64">
        <f>IFERROR(1/J227*(Y227/H227),"0")</f>
        <v>0.15384615384615388</v>
      </c>
    </row>
    <row r="228" spans="1:68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63.75</v>
      </c>
      <c r="Y228" s="549">
        <f>IFERROR(Y226/H226,"0")+IFERROR(Y227/H227,"0")</f>
        <v>65</v>
      </c>
      <c r="Z228" s="549">
        <f>IFERROR(IF(Z226="",0,Z226),"0")+IFERROR(IF(Z227="",0,Z227),"0")</f>
        <v>0.42315000000000003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153</v>
      </c>
      <c r="Y229" s="549">
        <f>IFERROR(SUM(Y226:Y227),"0")</f>
        <v>156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10</v>
      </c>
      <c r="Y232" s="548">
        <f t="shared" ref="Y232:Y240" si="26">IFERROR(IF(X232="",0,CEILING((X232/$H232),1)*$H232),"")</f>
        <v>11.6</v>
      </c>
      <c r="Z232" s="36">
        <f>IFERROR(IF(Y232=0,"",ROUNDUP(Y232/H232,0)*0.01898),"")</f>
        <v>1.898E-2</v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10.353448275862069</v>
      </c>
      <c r="BN232" s="64">
        <f t="shared" ref="BN232:BN240" si="28">IFERROR(Y232*I232/H232,"0")</f>
        <v>12.01</v>
      </c>
      <c r="BO232" s="64">
        <f t="shared" ref="BO232:BO240" si="29">IFERROR(1/J232*(X232/H232),"0")</f>
        <v>1.3469827586206897E-2</v>
      </c>
      <c r="BP232" s="64">
        <f t="shared" ref="BP232:BP240" si="30">IFERROR(1/J232*(Y232/H232),"0")</f>
        <v>1.5625E-2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0.86206896551724144</v>
      </c>
      <c r="Y241" s="549">
        <f>IFERROR(Y232/H232,"0")+IFERROR(Y233/H233,"0")+IFERROR(Y234/H234,"0")+IFERROR(Y235/H235,"0")+IFERROR(Y236/H236,"0")+IFERROR(Y237/H237,"0")+IFERROR(Y238/H238,"0")+IFERROR(Y239/H239,"0")+IFERROR(Y240/H240,"0")</f>
        <v>1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1.898E-2</v>
      </c>
      <c r="AA241" s="550"/>
      <c r="AB241" s="550"/>
      <c r="AC241" s="550"/>
    </row>
    <row r="242" spans="1:68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10</v>
      </c>
      <c r="Y242" s="549">
        <f>IFERROR(SUM(Y232:Y240),"0")</f>
        <v>11.6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1</v>
      </c>
      <c r="Y248" s="548">
        <f>IFERROR(IF(X248="",0,CEILING((X248/$H248),1)*$H248),"")</f>
        <v>1.8</v>
      </c>
      <c r="Z248" s="36">
        <f>IFERROR(IF(Y248=0,"",ROUNDUP(Y248/H248,0)*0.0059),"")</f>
        <v>5.8999999999999999E-3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1.0972222222222223</v>
      </c>
      <c r="BN248" s="64">
        <f>IFERROR(Y248*I248/H248,"0")</f>
        <v>1.9750000000000001</v>
      </c>
      <c r="BO248" s="64">
        <f>IFERROR(1/J248*(X248/H248),"0")</f>
        <v>2.5720164609053498E-3</v>
      </c>
      <c r="BP248" s="64">
        <f>IFERROR(1/J248*(Y248/H248),"0")</f>
        <v>4.6296296296296294E-3</v>
      </c>
    </row>
    <row r="249" spans="1:68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0.55555555555555558</v>
      </c>
      <c r="Y249" s="549">
        <f>IFERROR(Y248/H248,"0")</f>
        <v>1</v>
      </c>
      <c r="Z249" s="549">
        <f>IFERROR(IF(Z248="",0,Z248),"0")</f>
        <v>5.8999999999999999E-3</v>
      </c>
      <c r="AA249" s="550"/>
      <c r="AB249" s="550"/>
      <c r="AC249" s="550"/>
    </row>
    <row r="250" spans="1:68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1</v>
      </c>
      <c r="Y250" s="549">
        <f>IFERROR(SUM(Y248:Y248),"0")</f>
        <v>1.8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1</v>
      </c>
      <c r="Y254" s="548">
        <f>IFERROR(IF(X254="",0,CEILING((X254/$H254),1)*$H254),"")</f>
        <v>1.8</v>
      </c>
      <c r="Z254" s="36">
        <f>IFERROR(IF(Y254=0,"",ROUNDUP(Y254/H254,0)*0.0059),"")</f>
        <v>1.18E-2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1.2111111111111112</v>
      </c>
      <c r="BN254" s="64">
        <f>IFERROR(Y254*I254/H254,"0")</f>
        <v>2.1800000000000002</v>
      </c>
      <c r="BO254" s="64">
        <f>IFERROR(1/J254*(X254/H254),"0")</f>
        <v>5.1440329218106996E-3</v>
      </c>
      <c r="BP254" s="64">
        <f>IFERROR(1/J254*(Y254/H254),"0")</f>
        <v>9.2592592592592587E-3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2</v>
      </c>
      <c r="Y255" s="548">
        <f>IFERROR(IF(X255="",0,CEILING((X255/$H255),1)*$H255),"")</f>
        <v>2.9699999999999998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2.3838383838383836</v>
      </c>
      <c r="BN255" s="64">
        <f>IFERROR(Y255*I255/H255,"0")</f>
        <v>3.5399999999999996</v>
      </c>
      <c r="BO255" s="64">
        <f>IFERROR(1/J255*(X255/H255),"0")</f>
        <v>9.3527871305649091E-3</v>
      </c>
      <c r="BP255" s="64">
        <f>IFERROR(1/J255*(Y255/H255),"0")</f>
        <v>1.3888888888888886E-2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1</v>
      </c>
      <c r="Y256" s="548">
        <f>IFERROR(IF(X256="",0,CEILING((X256/$H256),1)*$H256),"")</f>
        <v>1.98</v>
      </c>
      <c r="Z256" s="36">
        <f>IFERROR(IF(Y256=0,"",ROUNDUP(Y256/H256,0)*0.0059),"")</f>
        <v>1.18E-2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1.1919191919191918</v>
      </c>
      <c r="BN256" s="64">
        <f>IFERROR(Y256*I256/H256,"0")</f>
        <v>2.36</v>
      </c>
      <c r="BO256" s="64">
        <f>IFERROR(1/J256*(X256/H256),"0")</f>
        <v>4.6763935652824546E-3</v>
      </c>
      <c r="BP256" s="64">
        <f>IFERROR(1/J256*(Y256/H256),"0")</f>
        <v>9.2592592592592587E-3</v>
      </c>
    </row>
    <row r="257" spans="1:68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4.1414141414141419</v>
      </c>
      <c r="Y257" s="549">
        <f>IFERROR(Y252/H252,"0")+IFERROR(Y253/H253,"0")+IFERROR(Y254/H254,"0")+IFERROR(Y255/H255,"0")+IFERROR(Y256/H256,"0")</f>
        <v>7</v>
      </c>
      <c r="Z257" s="549">
        <f>IFERROR(IF(Z252="",0,Z252),"0")+IFERROR(IF(Z253="",0,Z253),"0")+IFERROR(IF(Z254="",0,Z254),"0")+IFERROR(IF(Z255="",0,Z255),"0")+IFERROR(IF(Z256="",0,Z256),"0")</f>
        <v>4.1299999999999996E-2</v>
      </c>
      <c r="AA257" s="550"/>
      <c r="AB257" s="550"/>
      <c r="AC257" s="550"/>
    </row>
    <row r="258" spans="1:68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4</v>
      </c>
      <c r="Y258" s="549">
        <f>IFERROR(SUM(Y252:Y256),"0")</f>
        <v>6.75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104</v>
      </c>
      <c r="Y279" s="548">
        <f>IFERROR(IF(X279="",0,CEILING((X279/$H279),1)*$H279),"")</f>
        <v>105.6</v>
      </c>
      <c r="Z279" s="36">
        <f>IFERROR(IF(Y279=0,"",ROUNDUP(Y279/H279,0)*0.00651),"")</f>
        <v>0.28644000000000003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114.92</v>
      </c>
      <c r="BN279" s="64">
        <f>IFERROR(Y279*I279/H279,"0")</f>
        <v>116.688</v>
      </c>
      <c r="BO279" s="64">
        <f>IFERROR(1/J279*(X279/H279),"0")</f>
        <v>0.23809523809523814</v>
      </c>
      <c r="BP279" s="64">
        <f>IFERROR(1/J279*(Y279/H279),"0")</f>
        <v>0.24175824175824179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189</v>
      </c>
      <c r="Y280" s="548">
        <f>IFERROR(IF(X280="",0,CEILING((X280/$H280),1)*$H280),"")</f>
        <v>189.6</v>
      </c>
      <c r="Z280" s="36">
        <f>IFERROR(IF(Y280=0,"",ROUNDUP(Y280/H280,0)*0.00651),"")</f>
        <v>0.51429000000000002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203.17500000000001</v>
      </c>
      <c r="BN280" s="64">
        <f>IFERROR(Y280*I280/H280,"0")</f>
        <v>203.82000000000002</v>
      </c>
      <c r="BO280" s="64">
        <f>IFERROR(1/J280*(X280/H280),"0")</f>
        <v>0.43269230769230771</v>
      </c>
      <c r="BP280" s="64">
        <f>IFERROR(1/J280*(Y280/H280),"0")</f>
        <v>0.43406593406593408</v>
      </c>
    </row>
    <row r="281" spans="1:68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122.08333333333334</v>
      </c>
      <c r="Y281" s="549">
        <f>IFERROR(Y278/H278,"0")+IFERROR(Y279/H279,"0")+IFERROR(Y280/H280,"0")</f>
        <v>123</v>
      </c>
      <c r="Z281" s="549">
        <f>IFERROR(IF(Z278="",0,Z278),"0")+IFERROR(IF(Z279="",0,Z279),"0")+IFERROR(IF(Z280="",0,Z280),"0")</f>
        <v>0.80073000000000005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293</v>
      </c>
      <c r="Y282" s="549">
        <f>IFERROR(SUM(Y278:Y280),"0")</f>
        <v>295.2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112</v>
      </c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idden="1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hidden="1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hidden="1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44</v>
      </c>
      <c r="Y321" s="548">
        <f>IFERROR(IF(X321="",0,CEILING((X321/$H321),1)*$H321),"")</f>
        <v>46.8</v>
      </c>
      <c r="Z321" s="36">
        <f>IFERROR(IF(Y321=0,"",ROUNDUP(Y321/H321,0)*0.01898),"")</f>
        <v>0.11388000000000001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46.786666666666669</v>
      </c>
      <c r="BN321" s="64">
        <f>IFERROR(Y321*I321/H321,"0")</f>
        <v>49.764000000000003</v>
      </c>
      <c r="BO321" s="64">
        <f>IFERROR(1/J321*(X321/H321),"0")</f>
        <v>8.8141025641025647E-2</v>
      </c>
      <c r="BP321" s="64">
        <f>IFERROR(1/J321*(Y321/H321),"0")</f>
        <v>9.375E-2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18</v>
      </c>
      <c r="Y322" s="548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19.05857142857143</v>
      </c>
      <c r="BN322" s="64">
        <f>IFERROR(Y322*I322/H322,"0")</f>
        <v>26.682000000000002</v>
      </c>
      <c r="BO322" s="64">
        <f>IFERROR(1/J322*(X322/H322),"0")</f>
        <v>3.3482142857142856E-2</v>
      </c>
      <c r="BP322" s="64">
        <f>IFERROR(1/J322*(Y322/H322),"0")</f>
        <v>4.6875E-2</v>
      </c>
    </row>
    <row r="323" spans="1:68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7.7838827838827847</v>
      </c>
      <c r="Y323" s="549">
        <f>IFERROR(Y320/H320,"0")+IFERROR(Y321/H321,"0")+IFERROR(Y322/H322,"0")</f>
        <v>9</v>
      </c>
      <c r="Z323" s="549">
        <f>IFERROR(IF(Z320="",0,Z320),"0")+IFERROR(IF(Z321="",0,Z321),"0")+IFERROR(IF(Z322="",0,Z322),"0")</f>
        <v>0.17082000000000003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62</v>
      </c>
      <c r="Y324" s="549">
        <f>IFERROR(SUM(Y320:Y322),"0")</f>
        <v>72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5</v>
      </c>
      <c r="Y329" s="548">
        <f>IFERROR(IF(X329="",0,CEILING((X329/$H329),1)*$H329),"")</f>
        <v>5.0999999999999996</v>
      </c>
      <c r="Z329" s="36">
        <f>IFERROR(IF(Y329=0,"",ROUNDUP(Y329/H329,0)*0.00651),"")</f>
        <v>1.302E-2</v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5.6470588235294112</v>
      </c>
      <c r="BN329" s="64">
        <f>IFERROR(Y329*I329/H329,"0")</f>
        <v>5.76</v>
      </c>
      <c r="BO329" s="64">
        <f>IFERROR(1/J329*(X329/H329),"0")</f>
        <v>1.0773540185304893E-2</v>
      </c>
      <c r="BP329" s="64">
        <f>IFERROR(1/J329*(Y329/H329),"0")</f>
        <v>1.098901098901099E-2</v>
      </c>
    </row>
    <row r="330" spans="1:68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1.9607843137254903</v>
      </c>
      <c r="Y330" s="549">
        <f>IFERROR(Y326/H326,"0")+IFERROR(Y327/H327,"0")+IFERROR(Y328/H328,"0")+IFERROR(Y329/H329,"0")</f>
        <v>2</v>
      </c>
      <c r="Z330" s="549">
        <f>IFERROR(IF(Z326="",0,Z326),"0")+IFERROR(IF(Z327="",0,Z327),"0")+IFERROR(IF(Z328="",0,Z328),"0")+IFERROR(IF(Z329="",0,Z329),"0")</f>
        <v>1.302E-2</v>
      </c>
      <c r="AA330" s="550"/>
      <c r="AB330" s="550"/>
      <c r="AC330" s="550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5</v>
      </c>
      <c r="Y331" s="549">
        <f>IFERROR(SUM(Y326:Y329),"0")</f>
        <v>5.0999999999999996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189</v>
      </c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3</v>
      </c>
      <c r="Y333" s="548">
        <f>IFERROR(IF(X333="",0,CEILING((X333/$H333),1)*$H333),"")</f>
        <v>4</v>
      </c>
      <c r="Z333" s="36">
        <f>IFERROR(IF(Y333=0,"",ROUNDUP(Y333/H333,0)*0.00474),"")</f>
        <v>9.4800000000000006E-3</v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3.3600000000000003</v>
      </c>
      <c r="BN333" s="64">
        <f>IFERROR(Y333*I333/H333,"0")</f>
        <v>4.4800000000000004</v>
      </c>
      <c r="BO333" s="64">
        <f>IFERROR(1/J333*(X333/H333),"0")</f>
        <v>6.3025210084033615E-3</v>
      </c>
      <c r="BP333" s="64">
        <f>IFERROR(1/J333*(Y333/H333),"0")</f>
        <v>8.4033613445378148E-3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 t="s">
        <v>189</v>
      </c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6</v>
      </c>
      <c r="Y334" s="548">
        <f>IFERROR(IF(X334="",0,CEILING((X334/$H334),1)*$H334),"")</f>
        <v>6</v>
      </c>
      <c r="Z334" s="36">
        <f>IFERROR(IF(Y334=0,"",ROUNDUP(Y334/H334,0)*0.00474),"")</f>
        <v>1.422E-2</v>
      </c>
      <c r="AA334" s="56"/>
      <c r="AB334" s="57"/>
      <c r="AC334" s="391" t="s">
        <v>539</v>
      </c>
      <c r="AG334" s="64"/>
      <c r="AJ334" s="68" t="s">
        <v>108</v>
      </c>
      <c r="AK334" s="68">
        <v>28</v>
      </c>
      <c r="BB334" s="392" t="s">
        <v>1</v>
      </c>
      <c r="BM334" s="64">
        <f>IFERROR(X334*I334/H334,"0")</f>
        <v>6.7200000000000006</v>
      </c>
      <c r="BN334" s="64">
        <f>IFERROR(Y334*I334/H334,"0")</f>
        <v>6.7200000000000006</v>
      </c>
      <c r="BO334" s="64">
        <f>IFERROR(1/J334*(X334/H334),"0")</f>
        <v>1.2605042016806723E-2</v>
      </c>
      <c r="BP334" s="64">
        <f>IFERROR(1/J334*(Y334/H334),"0")</f>
        <v>1.2605042016806723E-2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189</v>
      </c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1</v>
      </c>
      <c r="Y335" s="548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5</v>
      </c>
      <c r="Y336" s="549">
        <f>IFERROR(Y333/H333,"0")+IFERROR(Y334/H334,"0")+IFERROR(Y335/H335,"0")</f>
        <v>6</v>
      </c>
      <c r="Z336" s="549">
        <f>IFERROR(IF(Z333="",0,Z333),"0")+IFERROR(IF(Z334="",0,Z334),"0")+IFERROR(IF(Z335="",0,Z335),"0")</f>
        <v>2.844E-2</v>
      </c>
      <c r="AA336" s="550"/>
      <c r="AB336" s="550"/>
      <c r="AC336" s="550"/>
    </row>
    <row r="337" spans="1:68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10</v>
      </c>
      <c r="Y337" s="549">
        <f>IFERROR(SUM(Y333:Y335),"0")</f>
        <v>12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357</v>
      </c>
      <c r="Y348" s="548">
        <f t="shared" ref="Y348:Y354" si="36">IFERROR(IF(X348="",0,CEILING((X348/$H348),1)*$H348),"")</f>
        <v>360</v>
      </c>
      <c r="Z348" s="36">
        <f>IFERROR(IF(Y348=0,"",ROUNDUP(Y348/H348,0)*0.02175),"")</f>
        <v>0.52200000000000002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368.18599999999998</v>
      </c>
      <c r="BN348" s="64">
        <f t="shared" ref="BN348:BN354" si="38">IFERROR(Y348*I348/H348,"0")</f>
        <v>371.28</v>
      </c>
      <c r="BO348" s="64">
        <f t="shared" ref="BO348:BO354" si="39">IFERROR(1/J348*(X348/H348),"0")</f>
        <v>0.49583333333333335</v>
      </c>
      <c r="BP348" s="64">
        <f t="shared" ref="BP348:BP354" si="40">IFERROR(1/J348*(Y348/H348),"0")</f>
        <v>0.5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180</v>
      </c>
      <c r="Y349" s="548">
        <f t="shared" si="36"/>
        <v>180</v>
      </c>
      <c r="Z349" s="36">
        <f>IFERROR(IF(Y349=0,"",ROUNDUP(Y349/H349,0)*0.02175),"")</f>
        <v>0.26100000000000001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185.64</v>
      </c>
      <c r="BN349" s="64">
        <f t="shared" si="38"/>
        <v>185.64</v>
      </c>
      <c r="BO349" s="64">
        <f t="shared" si="39"/>
        <v>0.25</v>
      </c>
      <c r="BP349" s="64">
        <f t="shared" si="40"/>
        <v>0.25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4">
        <v>4680115884830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271</v>
      </c>
      <c r="Y350" s="548">
        <f t="shared" si="36"/>
        <v>285</v>
      </c>
      <c r="Z350" s="36">
        <f>IFERROR(IF(Y350=0,"",ROUNDUP(Y350/H350,0)*0.02175),"")</f>
        <v>0.41324999999999995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279.49133333333333</v>
      </c>
      <c r="BN350" s="64">
        <f t="shared" si="38"/>
        <v>293.93</v>
      </c>
      <c r="BO350" s="64">
        <f t="shared" si="39"/>
        <v>0.37638888888888888</v>
      </c>
      <c r="BP350" s="64">
        <f t="shared" si="40"/>
        <v>0.39583333333333331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4">
        <v>4680115887046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5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292</v>
      </c>
      <c r="Y351" s="548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301.14933333333335</v>
      </c>
      <c r="BN351" s="64">
        <f t="shared" si="38"/>
        <v>309.39999999999998</v>
      </c>
      <c r="BO351" s="64">
        <f t="shared" si="39"/>
        <v>0.4055555555555555</v>
      </c>
      <c r="BP351" s="64">
        <f t="shared" si="40"/>
        <v>0.41666666666666663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73.333333333333329</v>
      </c>
      <c r="Y355" s="549">
        <f>IFERROR(Y348/H348,"0")+IFERROR(Y349/H349,"0")+IFERROR(Y350/H350,"0")+IFERROR(Y351/H351,"0")+IFERROR(Y352/H352,"0")+IFERROR(Y353/H353,"0")+IFERROR(Y354/H354,"0")</f>
        <v>75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1.6312500000000001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1100</v>
      </c>
      <c r="Y356" s="549">
        <f>IFERROR(SUM(Y348:Y354),"0")</f>
        <v>1125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159</v>
      </c>
      <c r="Y358" s="548">
        <f>IFERROR(IF(X358="",0,CEILING((X358/$H358),1)*$H358),"")</f>
        <v>165</v>
      </c>
      <c r="Z358" s="36">
        <f>IFERROR(IF(Y358=0,"",ROUNDUP(Y358/H358,0)*0.02175),"")</f>
        <v>0.23924999999999999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163.982</v>
      </c>
      <c r="BN358" s="64">
        <f>IFERROR(Y358*I358/H358,"0")</f>
        <v>170.17000000000002</v>
      </c>
      <c r="BO358" s="64">
        <f>IFERROR(1/J358*(X358/H358),"0")</f>
        <v>0.22083333333333333</v>
      </c>
      <c r="BP358" s="64">
        <f>IFERROR(1/J358*(Y358/H358),"0")</f>
        <v>0.22916666666666666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10.6</v>
      </c>
      <c r="Y360" s="549">
        <f>IFERROR(Y358/H358,"0")+IFERROR(Y359/H359,"0")</f>
        <v>11</v>
      </c>
      <c r="Z360" s="549">
        <f>IFERROR(IF(Z358="",0,Z358),"0")+IFERROR(IF(Z359="",0,Z359),"0")</f>
        <v>0.23924999999999999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159</v>
      </c>
      <c r="Y361" s="549">
        <f>IFERROR(SUM(Y358:Y359),"0")</f>
        <v>165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hidden="1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4301031303</v>
      </c>
      <c r="D378" s="554">
        <v>4607091384802</v>
      </c>
      <c r="E378" s="555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112</v>
      </c>
      <c r="M378" s="33" t="s">
        <v>68</v>
      </c>
      <c r="N378" s="33"/>
      <c r="O378" s="32">
        <v>35</v>
      </c>
      <c r="P378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4301031457</v>
      </c>
      <c r="D379" s="554">
        <v>4607091384802</v>
      </c>
      <c r="E379" s="555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hidden="1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26</v>
      </c>
      <c r="Y384" s="548">
        <f>IFERROR(IF(X384="",0,CEILING((X384/$H384),1)*$H384),"")</f>
        <v>26.4</v>
      </c>
      <c r="Z384" s="36">
        <f>IFERROR(IF(Y384=0,"",ROUNDUP(Y384/H384,0)*0.00651),"")</f>
        <v>7.1610000000000007E-2</v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28.860000000000007</v>
      </c>
      <c r="BN384" s="64">
        <f>IFERROR(Y384*I384/H384,"0")</f>
        <v>29.304000000000002</v>
      </c>
      <c r="BO384" s="64">
        <f>IFERROR(1/J384*(X384/H384),"0")</f>
        <v>5.9523809523809534E-2</v>
      </c>
      <c r="BP384" s="64">
        <f>IFERROR(1/J384*(Y384/H384),"0")</f>
        <v>6.0439560439560447E-2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10.833333333333334</v>
      </c>
      <c r="Y386" s="549">
        <f>IFERROR(Y383/H383,"0")+IFERROR(Y384/H384,"0")+IFERROR(Y385/H385,"0")</f>
        <v>11</v>
      </c>
      <c r="Z386" s="549">
        <f>IFERROR(IF(Z383="",0,Z383),"0")+IFERROR(IF(Z384="",0,Z384),"0")+IFERROR(IF(Z385="",0,Z385),"0")</f>
        <v>7.1610000000000007E-2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26</v>
      </c>
      <c r="Y387" s="549">
        <f>IFERROR(SUM(Y383:Y385),"0")</f>
        <v>26.4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112</v>
      </c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54</v>
      </c>
      <c r="Y391" s="548">
        <f t="shared" ref="Y391:Y399" si="41">IFERROR(IF(X391="",0,CEILING((X391/$H391),1)*$H391),"")</f>
        <v>54</v>
      </c>
      <c r="Z391" s="36">
        <f>IFERROR(IF(Y391=0,"",ROUNDUP(Y391/H391,0)*0.00902),"")</f>
        <v>9.0200000000000002E-2</v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55.9</v>
      </c>
      <c r="BN391" s="64">
        <f t="shared" ref="BN391:BN399" si="43">IFERROR(Y391*I391/H391,"0")</f>
        <v>55.9</v>
      </c>
      <c r="BO391" s="64">
        <f t="shared" ref="BO391:BO399" si="44">IFERROR(1/J391*(X391/H391),"0")</f>
        <v>7.575757575757576E-2</v>
      </c>
      <c r="BP391" s="64">
        <f t="shared" ref="BP391:BP399" si="45">IFERROR(1/J391*(Y391/H391),"0")</f>
        <v>7.575757575757576E-2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10</v>
      </c>
      <c r="Y400" s="549">
        <f>IFERROR(Y391/H391,"0")+IFERROR(Y392/H392,"0")+IFERROR(Y393/H393,"0")+IFERROR(Y394/H394,"0")+IFERROR(Y395/H395,"0")+IFERROR(Y396/H396,"0")+IFERROR(Y397/H397,"0")+IFERROR(Y398/H398,"0")+IFERROR(Y399/H399,"0")</f>
        <v>10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9.0200000000000002E-2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54</v>
      </c>
      <c r="Y401" s="549">
        <f>IFERROR(SUM(Y391:Y399),"0")</f>
        <v>54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112</v>
      </c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138</v>
      </c>
      <c r="Y413" s="548">
        <f>IFERROR(IF(X413="",0,CEILING((X413/$H413),1)*$H413),"")</f>
        <v>140.4</v>
      </c>
      <c r="Z413" s="36">
        <f>IFERROR(IF(Y413=0,"",ROUNDUP(Y413/H413,0)*0.00902),"")</f>
        <v>0.23452000000000001</v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142.85555555555553</v>
      </c>
      <c r="BN413" s="64">
        <f>IFERROR(Y413*I413/H413,"0")</f>
        <v>145.34</v>
      </c>
      <c r="BO413" s="64">
        <f>IFERROR(1/J413*(X413/H413),"0")</f>
        <v>0.19360269360269358</v>
      </c>
      <c r="BP413" s="64">
        <f>IFERROR(1/J413*(Y413/H413),"0")</f>
        <v>0.19696969696969696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25.555555555555554</v>
      </c>
      <c r="Y417" s="549">
        <f>IFERROR(Y413/H413,"0")+IFERROR(Y414/H414,"0")+IFERROR(Y415/H415,"0")+IFERROR(Y416/H416,"0")</f>
        <v>26</v>
      </c>
      <c r="Z417" s="549">
        <f>IFERROR(IF(Z413="",0,Z413),"0")+IFERROR(IF(Z414="",0,Z414),"0")+IFERROR(IF(Z415="",0,Z415),"0")+IFERROR(IF(Z416="",0,Z416),"0")</f>
        <v>0.23452000000000001</v>
      </c>
      <c r="AA417" s="550"/>
      <c r="AB417" s="550"/>
      <c r="AC417" s="550"/>
    </row>
    <row r="418" spans="1:68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138</v>
      </c>
      <c r="Y418" s="549">
        <f>IFERROR(SUM(Y413:Y416),"0")</f>
        <v>140.4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143</v>
      </c>
      <c r="Y427" s="548">
        <f t="shared" ref="Y427:Y438" si="47">IFERROR(IF(X427="",0,CEILING((X427/$H427),1)*$H427),"")</f>
        <v>147.84</v>
      </c>
      <c r="Z427" s="36">
        <f t="shared" ref="Z427:Z433" si="48">IFERROR(IF(Y427=0,"",ROUNDUP(Y427/H427,0)*0.01196),"")</f>
        <v>0.33488000000000001</v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152.47916666666666</v>
      </c>
      <c r="BN427" s="64">
        <f t="shared" ref="BN427:BN438" si="50">IFERROR(Y427*I427/H427,"0")</f>
        <v>157.63999999999999</v>
      </c>
      <c r="BO427" s="64">
        <f t="shared" ref="BO427:BO438" si="51">IFERROR(1/J427*(X427/H427),"0")</f>
        <v>0.26041666666666669</v>
      </c>
      <c r="BP427" s="64">
        <f t="shared" ref="BP427:BP438" si="52">IFERROR(1/J427*(Y427/H427),"0")</f>
        <v>0.26923076923076927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84</v>
      </c>
      <c r="Y431" s="548">
        <f t="shared" si="47"/>
        <v>84.48</v>
      </c>
      <c r="Z431" s="36">
        <f t="shared" si="48"/>
        <v>0.19136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89.568181818181813</v>
      </c>
      <c r="BN431" s="64">
        <f t="shared" si="50"/>
        <v>90.08</v>
      </c>
      <c r="BO431" s="64">
        <f t="shared" si="51"/>
        <v>0.15297202797202797</v>
      </c>
      <c r="BP431" s="64">
        <f t="shared" si="52"/>
        <v>0.15384615384615385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185</v>
      </c>
      <c r="Y433" s="548">
        <f t="shared" si="47"/>
        <v>190.08</v>
      </c>
      <c r="Z433" s="36">
        <f t="shared" si="48"/>
        <v>0.43056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197.26325757575756</v>
      </c>
      <c r="BN433" s="64">
        <f t="shared" si="50"/>
        <v>202.67999999999998</v>
      </c>
      <c r="BO433" s="64">
        <f t="shared" si="51"/>
        <v>0.3369026806526807</v>
      </c>
      <c r="BP433" s="64">
        <f t="shared" si="52"/>
        <v>0.34615384615384615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 t="s">
        <v>112</v>
      </c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 t="s">
        <v>108</v>
      </c>
      <c r="AK438" s="68">
        <v>57.6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78.030303030303031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80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0.95680000000000009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412</v>
      </c>
      <c r="Y440" s="549">
        <f>IFERROR(SUM(Y427:Y438),"0")</f>
        <v>422.4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122</v>
      </c>
      <c r="Y442" s="548">
        <f>IFERROR(IF(X442="",0,CEILING((X442/$H442),1)*$H442),"")</f>
        <v>126.72</v>
      </c>
      <c r="Z442" s="36">
        <f>IFERROR(IF(Y442=0,"",ROUNDUP(Y442/H442,0)*0.01196),"")</f>
        <v>0.28704000000000002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130.08712121212122</v>
      </c>
      <c r="BN442" s="64">
        <f>IFERROR(Y442*I442/H442,"0")</f>
        <v>135.11999999999998</v>
      </c>
      <c r="BO442" s="64">
        <f>IFERROR(1/J442*(X442/H442),"0")</f>
        <v>0.22217365967365968</v>
      </c>
      <c r="BP442" s="64">
        <f>IFERROR(1/J442*(Y442/H442),"0")</f>
        <v>0.23076923076923078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112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23.106060606060606</v>
      </c>
      <c r="Y445" s="549">
        <f>IFERROR(Y442/H442,"0")+IFERROR(Y443/H443,"0")+IFERROR(Y444/H444,"0")</f>
        <v>24</v>
      </c>
      <c r="Z445" s="549">
        <f>IFERROR(IF(Z442="",0,Z442),"0")+IFERROR(IF(Z443="",0,Z443),"0")+IFERROR(IF(Z444="",0,Z444),"0")</f>
        <v>0.28704000000000002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122</v>
      </c>
      <c r="Y446" s="549">
        <f>IFERROR(SUM(Y442:Y444),"0")</f>
        <v>126.72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14</v>
      </c>
      <c r="Y448" s="548">
        <f t="shared" ref="Y448:Y453" si="53">IFERROR(IF(X448="",0,CEILING((X448/$H448),1)*$H448),"")</f>
        <v>15.84</v>
      </c>
      <c r="Z448" s="36">
        <f>IFERROR(IF(Y448=0,"",ROUNDUP(Y448/H448,0)*0.01196),"")</f>
        <v>3.5880000000000002E-2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14.928030303030301</v>
      </c>
      <c r="BN448" s="64">
        <f t="shared" ref="BN448:BN453" si="55">IFERROR(Y448*I448/H448,"0")</f>
        <v>16.889999999999997</v>
      </c>
      <c r="BO448" s="64">
        <f t="shared" ref="BO448:BO453" si="56">IFERROR(1/J448*(X448/H448),"0")</f>
        <v>2.5495337995337996E-2</v>
      </c>
      <c r="BP448" s="64">
        <f t="shared" ref="BP448:BP453" si="57">IFERROR(1/J448*(Y448/H448),"0")</f>
        <v>2.8846153846153848E-2</v>
      </c>
    </row>
    <row r="449" spans="1:68" ht="27" hidden="1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61</v>
      </c>
      <c r="Y450" s="548">
        <f t="shared" si="53"/>
        <v>63.36</v>
      </c>
      <c r="Z450" s="36">
        <f>IFERROR(IF(Y450=0,"",ROUNDUP(Y450/H450,0)*0.01196),"")</f>
        <v>0.14352000000000001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65.043560606060609</v>
      </c>
      <c r="BN450" s="64">
        <f t="shared" si="55"/>
        <v>67.559999999999988</v>
      </c>
      <c r="BO450" s="64">
        <f t="shared" si="56"/>
        <v>0.11108682983682984</v>
      </c>
      <c r="BP450" s="64">
        <f t="shared" si="57"/>
        <v>0.11538461538461539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14.204545454545453</v>
      </c>
      <c r="Y454" s="549">
        <f>IFERROR(Y448/H448,"0")+IFERROR(Y449/H449,"0")+IFERROR(Y450/H450,"0")+IFERROR(Y451/H451,"0")+IFERROR(Y452/H452,"0")+IFERROR(Y453/H453,"0")</f>
        <v>15</v>
      </c>
      <c r="Z454" s="549">
        <f>IFERROR(IF(Z448="",0,Z448),"0")+IFERROR(IF(Z449="",0,Z449),"0")+IFERROR(IF(Z450="",0,Z450),"0")+IFERROR(IF(Z451="",0,Z451),"0")+IFERROR(IF(Z452="",0,Z452),"0")+IFERROR(IF(Z453="",0,Z453),"0")</f>
        <v>0.1794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75</v>
      </c>
      <c r="Y455" s="549">
        <f>IFERROR(SUM(Y448:Y453),"0")</f>
        <v>79.2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112</v>
      </c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4941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5061.4299999999994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5253.9686489230335</v>
      </c>
      <c r="Y493" s="549">
        <f>IFERROR(SUM(BN22:BN489),"0")</f>
        <v>5381.2550000000001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10</v>
      </c>
      <c r="Y494" s="38">
        <f>ROUNDUP(SUM(BP22:BP489),0)</f>
        <v>10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5503.9686489230335</v>
      </c>
      <c r="Y495" s="549">
        <f>GrossWeightTotalR+PalletQtyTotalR*25</f>
        <v>5631.2550000000001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1175.9657645721541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1199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10.790549999999996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193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87.9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92</v>
      </c>
      <c r="E502" s="46">
        <f>IFERROR(Y85*1,"0")+IFERROR(Y86*1,"0")+IFERROR(Y87*1,"0")+IFERROR(Y88*1,"0")+IFERROR(Y92*1,"0")+IFERROR(Y93*1,"0")+IFERROR(Y94*1,"0")+IFERROR(Y95*1,"0")</f>
        <v>522.90000000000009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489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99.660000000000011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1226.4000000000001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20.150000000000002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295.2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89.1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1290</v>
      </c>
      <c r="T502" s="46">
        <f>IFERROR(Y373*1,"0")+IFERROR(Y374*1,"0")+IFERROR(Y378*1,"0")+IFERROR(Y379*1,"0")+IFERROR(Y383*1,"0")+IFERROR(Y384*1,"0")+IFERROR(Y385*1,"0")</f>
        <v>26.4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54</v>
      </c>
      <c r="V502" s="46">
        <f>IFERROR(Y409*1,"0")+IFERROR(Y413*1,"0")+IFERROR(Y414*1,"0")+IFERROR(Y415*1,"0")+IFERROR(Y416*1,"0")</f>
        <v>140.4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628.32000000000005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JW8STkwS70fC635ba0Z64dk2svauMfbpWtj38nNXK9Ko+ty/Y14Acd6DnEjKYeL1vkA8q8N7RXM1AC8JyYf57Q==" saltValue="Tsnl4Qo7xs0O1zai4XYea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9"/>
        <filter val="0,86"/>
        <filter val="1 100,00"/>
        <filter val="1 175,97"/>
        <filter val="1,00"/>
        <filter val="1,96"/>
        <filter val="10"/>
        <filter val="10,00"/>
        <filter val="10,60"/>
        <filter val="10,83"/>
        <filter val="100,00"/>
        <filter val="104,00"/>
        <filter val="115,00"/>
        <filter val="122,00"/>
        <filter val="122,08"/>
        <filter val="13,00"/>
        <filter val="138,00"/>
        <filter val="14,00"/>
        <filter val="14,20"/>
        <filter val="141,00"/>
        <filter val="143,00"/>
        <filter val="150,00"/>
        <filter val="153,00"/>
        <filter val="154,00"/>
        <filter val="159,00"/>
        <filter val="16,00"/>
        <filter val="16,55"/>
        <filter val="163,00"/>
        <filter val="171,00"/>
        <filter val="18,00"/>
        <filter val="180,00"/>
        <filter val="185,00"/>
        <filter val="189,00"/>
        <filter val="192,00"/>
        <filter val="196,00"/>
        <filter val="197,00"/>
        <filter val="2,00"/>
        <filter val="20,00"/>
        <filter val="216,00"/>
        <filter val="223,00"/>
        <filter val="23,00"/>
        <filter val="23,11"/>
        <filter val="235,00"/>
        <filter val="24,00"/>
        <filter val="25,56"/>
        <filter val="26,00"/>
        <filter val="26,27"/>
        <filter val="27,00"/>
        <filter val="271,00"/>
        <filter val="292,00"/>
        <filter val="293,00"/>
        <filter val="3,00"/>
        <filter val="32,00"/>
        <filter val="32,15"/>
        <filter val="345,83"/>
        <filter val="356,00"/>
        <filter val="357,00"/>
        <filter val="38,43"/>
        <filter val="39,00"/>
        <filter val="4 941,00"/>
        <filter val="4,00"/>
        <filter val="4,14"/>
        <filter val="41,00"/>
        <filter val="412,00"/>
        <filter val="44,00"/>
        <filter val="45,41"/>
        <filter val="5 253,97"/>
        <filter val="5 503,97"/>
        <filter val="5,00"/>
        <filter val="53,00"/>
        <filter val="54,00"/>
        <filter val="55,37"/>
        <filter val="57,16"/>
        <filter val="6,00"/>
        <filter val="61,00"/>
        <filter val="62,00"/>
        <filter val="63,75"/>
        <filter val="66,00"/>
        <filter val="7,78"/>
        <filter val="73,33"/>
        <filter val="75,00"/>
        <filter val="77,00"/>
        <filter val="78,03"/>
        <filter val="83,21"/>
        <filter val="830,00"/>
        <filter val="84,00"/>
        <filter val="87,00"/>
        <filter val="90,00"/>
        <filter val="92,00"/>
        <filter val="93,00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7 X169 X171 X174 X176 X199 X203:X208 X210 X214:X217 X219:X222 X226:X227 X232 X261 X279:X280 X305 X308 X313 X320:X322 X328:X329 X333:X335 X340:X342 X348:X350 X358 X364 X373 X378 X383:X384 X391 X393 X398 X413 X427 X430:X431 X433 X438 X442 X444 X448:X450 X465 X47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47o+ypGOq6fr5KyNhOop4NH8Gf5/i0mwjR8PmV8hVtTnpQT7mo21ybMAvbZdbxtCt/Ckji7tlyVA8og5eKa4/w==" saltValue="PAQK4J8+cLrmZRa1TsaZ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