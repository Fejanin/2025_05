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015445-C03C-48BE-AFCF-3C58B3B0CA1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16" i="1" l="1"/>
  <c r="BN116" i="1"/>
  <c r="Z116" i="1"/>
  <c r="BP151" i="1"/>
  <c r="BN151" i="1"/>
  <c r="Z151" i="1"/>
  <c r="BP183" i="1"/>
  <c r="BN183" i="1"/>
  <c r="Z183" i="1"/>
  <c r="BP219" i="1"/>
  <c r="BN219" i="1"/>
  <c r="Z219" i="1"/>
  <c r="BP254" i="1"/>
  <c r="BN254" i="1"/>
  <c r="Z254" i="1"/>
  <c r="BP290" i="1"/>
  <c r="BN290" i="1"/>
  <c r="Z290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Y32" i="1"/>
  <c r="Z53" i="1"/>
  <c r="BN53" i="1"/>
  <c r="Z68" i="1"/>
  <c r="BN68" i="1"/>
  <c r="Z72" i="1"/>
  <c r="BN72" i="1"/>
  <c r="Z93" i="1"/>
  <c r="BN93" i="1"/>
  <c r="Z95" i="1"/>
  <c r="BN95" i="1"/>
  <c r="BP102" i="1"/>
  <c r="BN102" i="1"/>
  <c r="Z102" i="1"/>
  <c r="BP137" i="1"/>
  <c r="BN137" i="1"/>
  <c r="Z137" i="1"/>
  <c r="BP171" i="1"/>
  <c r="BN171" i="1"/>
  <c r="Z171" i="1"/>
  <c r="BP207" i="1"/>
  <c r="BN207" i="1"/>
  <c r="Z207" i="1"/>
  <c r="BP236" i="1"/>
  <c r="BN236" i="1"/>
  <c r="Z236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100" i="1"/>
  <c r="BN100" i="1"/>
  <c r="Z100" i="1"/>
  <c r="BP110" i="1"/>
  <c r="BN110" i="1"/>
  <c r="Z110" i="1"/>
  <c r="BP133" i="1"/>
  <c r="BN133" i="1"/>
  <c r="Z133" i="1"/>
  <c r="BP169" i="1"/>
  <c r="BN169" i="1"/>
  <c r="Z169" i="1"/>
  <c r="BP177" i="1"/>
  <c r="BN177" i="1"/>
  <c r="Z177" i="1"/>
  <c r="BP205" i="1"/>
  <c r="BN205" i="1"/>
  <c r="Z205" i="1"/>
  <c r="BP217" i="1"/>
  <c r="BN217" i="1"/>
  <c r="Z217" i="1"/>
  <c r="BP234" i="1"/>
  <c r="BN234" i="1"/>
  <c r="Z234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63" i="1"/>
  <c r="BN263" i="1"/>
  <c r="Z263" i="1"/>
  <c r="BP279" i="1"/>
  <c r="BN279" i="1"/>
  <c r="Z279" i="1"/>
  <c r="J9" i="1"/>
  <c r="X497" i="1"/>
  <c r="Z28" i="1"/>
  <c r="BN28" i="1"/>
  <c r="Z42" i="1"/>
  <c r="BN42" i="1"/>
  <c r="Y59" i="1"/>
  <c r="Z55" i="1"/>
  <c r="BN55" i="1"/>
  <c r="Z62" i="1"/>
  <c r="BN62" i="1"/>
  <c r="Z74" i="1"/>
  <c r="BN74" i="1"/>
  <c r="Z87" i="1"/>
  <c r="BN87" i="1"/>
  <c r="BP104" i="1"/>
  <c r="BN104" i="1"/>
  <c r="Z104" i="1"/>
  <c r="BP118" i="1"/>
  <c r="BN118" i="1"/>
  <c r="Z118" i="1"/>
  <c r="BP144" i="1"/>
  <c r="BN144" i="1"/>
  <c r="Z144" i="1"/>
  <c r="BP153" i="1"/>
  <c r="BN153" i="1"/>
  <c r="Z153" i="1"/>
  <c r="BP173" i="1"/>
  <c r="BN173" i="1"/>
  <c r="Z173" i="1"/>
  <c r="BP194" i="1"/>
  <c r="BN194" i="1"/>
  <c r="Z194" i="1"/>
  <c r="BP209" i="1"/>
  <c r="BN209" i="1"/>
  <c r="Z209" i="1"/>
  <c r="BP221" i="1"/>
  <c r="BN221" i="1"/>
  <c r="Z221" i="1"/>
  <c r="BP238" i="1"/>
  <c r="BN238" i="1"/>
  <c r="Z238" i="1"/>
  <c r="BP256" i="1"/>
  <c r="BN256" i="1"/>
  <c r="Z256" i="1"/>
  <c r="BP270" i="1"/>
  <c r="BN270" i="1"/>
  <c r="Z270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12" i="1"/>
  <c r="Y113" i="1"/>
  <c r="Y119" i="1"/>
  <c r="Y139" i="1"/>
  <c r="BP286" i="1"/>
  <c r="BN286" i="1"/>
  <c r="Z2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292" i="1"/>
  <c r="Y388" i="1"/>
  <c r="Y387" i="1"/>
  <c r="Y486" i="1"/>
  <c r="Y33" i="1"/>
  <c r="Y49" i="1"/>
  <c r="BP86" i="1"/>
  <c r="BN86" i="1"/>
  <c r="Z86" i="1"/>
  <c r="BP94" i="1"/>
  <c r="BN94" i="1"/>
  <c r="Z94" i="1"/>
  <c r="BP150" i="1"/>
  <c r="BN150" i="1"/>
  <c r="Z150" i="1"/>
  <c r="BP184" i="1"/>
  <c r="BN184" i="1"/>
  <c r="Z184" i="1"/>
  <c r="Y186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Y25" i="1"/>
  <c r="Y37" i="1"/>
  <c r="Y45" i="1"/>
  <c r="D503" i="1"/>
  <c r="Y58" i="1"/>
  <c r="Y64" i="1"/>
  <c r="BP61" i="1"/>
  <c r="BN61" i="1"/>
  <c r="Z61" i="1"/>
  <c r="BP73" i="1"/>
  <c r="BN73" i="1"/>
  <c r="Z73" i="1"/>
  <c r="BP103" i="1"/>
  <c r="BN103" i="1"/>
  <c r="Z103" i="1"/>
  <c r="BP111" i="1"/>
  <c r="BN111" i="1"/>
  <c r="Z111" i="1"/>
  <c r="Y120" i="1"/>
  <c r="BP115" i="1"/>
  <c r="BN115" i="1"/>
  <c r="Z115" i="1"/>
  <c r="BP128" i="1"/>
  <c r="BN128" i="1"/>
  <c r="Z128" i="1"/>
  <c r="Z129" i="1" s="1"/>
  <c r="Y135" i="1"/>
  <c r="BP132" i="1"/>
  <c r="BN132" i="1"/>
  <c r="Z132" i="1"/>
  <c r="Z134" i="1" s="1"/>
  <c r="Y155" i="1"/>
  <c r="BP148" i="1"/>
  <c r="BN148" i="1"/>
  <c r="Z148" i="1"/>
  <c r="Y154" i="1"/>
  <c r="BP168" i="1"/>
  <c r="BN168" i="1"/>
  <c r="Z168" i="1"/>
  <c r="BP172" i="1"/>
  <c r="BN172" i="1"/>
  <c r="Z172" i="1"/>
  <c r="BP176" i="1"/>
  <c r="BN176" i="1"/>
  <c r="Z176" i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BP57" i="1"/>
  <c r="BN57" i="1"/>
  <c r="BP63" i="1"/>
  <c r="BN63" i="1"/>
  <c r="Z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BP117" i="1"/>
  <c r="BN117" i="1"/>
  <c r="Z117" i="1"/>
  <c r="Y134" i="1"/>
  <c r="BP138" i="1"/>
  <c r="BN138" i="1"/>
  <c r="Z138" i="1"/>
  <c r="Z139" i="1" s="1"/>
  <c r="Y140" i="1"/>
  <c r="Y146" i="1"/>
  <c r="BP143" i="1"/>
  <c r="BN143" i="1"/>
  <c r="Z143" i="1"/>
  <c r="BP149" i="1"/>
  <c r="BN149" i="1"/>
  <c r="Z149" i="1"/>
  <c r="BP152" i="1"/>
  <c r="BN152" i="1"/>
  <c r="Z152" i="1"/>
  <c r="Y179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Y195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BP273" i="1"/>
  <c r="BN273" i="1"/>
  <c r="Z273" i="1"/>
  <c r="O503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406" i="1"/>
  <c r="Z112" i="1"/>
  <c r="Z24" i="1"/>
  <c r="Z440" i="1"/>
  <c r="Z356" i="1"/>
  <c r="Z274" i="1"/>
  <c r="Z211" i="1"/>
  <c r="Y494" i="1"/>
  <c r="Z179" i="1"/>
  <c r="Z473" i="1"/>
  <c r="Z331" i="1"/>
  <c r="Z302" i="1"/>
  <c r="Z281" i="1"/>
  <c r="Z266" i="1"/>
  <c r="Z241" i="1"/>
  <c r="Z145" i="1"/>
  <c r="Z105" i="1"/>
  <c r="Z96" i="1"/>
  <c r="Y495" i="1"/>
  <c r="Z311" i="1"/>
  <c r="Z76" i="1"/>
  <c r="Z89" i="1"/>
  <c r="Z223" i="1"/>
  <c r="Z44" i="1"/>
  <c r="Z32" i="1"/>
  <c r="Y497" i="1"/>
  <c r="X496" i="1"/>
  <c r="Z154" i="1"/>
  <c r="Z64" i="1"/>
  <c r="Y493" i="1"/>
  <c r="Z455" i="1"/>
  <c r="Z418" i="1"/>
  <c r="Z337" i="1"/>
  <c r="Z318" i="1"/>
  <c r="Z119" i="1"/>
  <c r="Y496" i="1" l="1"/>
  <c r="Z498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<sst xmlns="http://schemas.openxmlformats.org/spreadsheetml/2006/main" count="2367" uniqueCount="778">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</sst>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46013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0.41666666666666669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90</v>
      </c>
      <c r="Y30" s="550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50</v>
      </c>
      <c r="Y32" s="551">
        <f>IFERROR(Y27/H27,"0")+IFERROR(Y28/H28,"0")+IFERROR(Y29/H29,"0")+IFERROR(Y30/H30,"0")+IFERROR(Y31/H31,"0")</f>
        <v>50</v>
      </c>
      <c r="Z32" s="551">
        <f>IFERROR(IF(Z27="",0,Z27),"0")+IFERROR(IF(Z28="",0,Z28),"0")+IFERROR(IF(Z29="",0,Z29),"0")+IFERROR(IF(Z30="",0,Z30),"0")+IFERROR(IF(Z31="",0,Z31),"0")</f>
        <v>0.32550000000000001</v>
      </c>
      <c r="AA32" s="552"/>
      <c r="AB32" s="552"/>
      <c r="AC32" s="552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90</v>
      </c>
      <c r="Y33" s="551">
        <f>IFERROR(SUM(Y27:Y31),"0")</f>
        <v>90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140</v>
      </c>
      <c r="Y43" s="550">
        <f>IFERROR(IF(X43="",0,CEILING((X43/$H43),1)*$H43),"")</f>
        <v>140</v>
      </c>
      <c r="Z43" s="36">
        <f>IFERROR(IF(Y43=0,"",ROUNDUP(Y43/H43,0)*0.00902),"")</f>
        <v>0.31569999999999998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146.65</v>
      </c>
      <c r="BN43" s="64">
        <f>IFERROR(Y43*I43/H43,"0")</f>
        <v>146.65</v>
      </c>
      <c r="BO43" s="64">
        <f>IFERROR(1/J43*(X43/H43),"0")</f>
        <v>0.26515151515151514</v>
      </c>
      <c r="BP43" s="64">
        <f>IFERROR(1/J43*(Y43/H43),"0")</f>
        <v>0.26515151515151514</v>
      </c>
    </row>
    <row r="44" spans="1:68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35</v>
      </c>
      <c r="Y44" s="551">
        <f>IFERROR(Y41/H41,"0")+IFERROR(Y42/H42,"0")+IFERROR(Y43/H43,"0")</f>
        <v>35</v>
      </c>
      <c r="Z44" s="551">
        <f>IFERROR(IF(Z41="",0,Z41),"0")+IFERROR(IF(Z42="",0,Z42),"0")+IFERROR(IF(Z43="",0,Z43),"0")</f>
        <v>0.31569999999999998</v>
      </c>
      <c r="AA44" s="552"/>
      <c r="AB44" s="552"/>
      <c r="AC44" s="552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140</v>
      </c>
      <c r="Y45" s="551">
        <f>IFERROR(SUM(Y41:Y43),"0")</f>
        <v>140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105</v>
      </c>
      <c r="Y47" s="550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58.333333333333329</v>
      </c>
      <c r="Y48" s="551">
        <f>IFERROR(Y47/H47,"0")</f>
        <v>59</v>
      </c>
      <c r="Z48" s="551">
        <f>IFERROR(IF(Z47="",0,Z47),"0")</f>
        <v>0.38408999999999999</v>
      </c>
      <c r="AA48" s="552"/>
      <c r="AB48" s="552"/>
      <c r="AC48" s="552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105</v>
      </c>
      <c r="Y49" s="551">
        <f>IFERROR(SUM(Y47:Y47),"0")</f>
        <v>106.2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157.5</v>
      </c>
      <c r="Y63" s="550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58.333333333333329</v>
      </c>
      <c r="Y64" s="551">
        <f>IFERROR(Y61/H61,"0")+IFERROR(Y62/H62,"0")+IFERROR(Y63/H63,"0")</f>
        <v>59</v>
      </c>
      <c r="Z64" s="551">
        <f>IFERROR(IF(Z61="",0,Z61),"0")+IFERROR(IF(Z62="",0,Z62),"0")+IFERROR(IF(Z63="",0,Z63),"0")</f>
        <v>0.38408999999999999</v>
      </c>
      <c r="AA64" s="552"/>
      <c r="AB64" s="552"/>
      <c r="AC64" s="552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157.5</v>
      </c>
      <c r="Y65" s="551">
        <f>IFERROR(SUM(Y61:Y63),"0")</f>
        <v>159.30000000000001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90</v>
      </c>
      <c r="Y73" s="550">
        <f>IFERROR(IF(X73="",0,CEILING((X73/$H73),1)*$H73),"")</f>
        <v>90</v>
      </c>
      <c r="Z73" s="36">
        <f>IFERROR(IF(Y73=0,"",ROUNDUP(Y73/H73,0)*0.00651),"")</f>
        <v>0.32550000000000001</v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102.29999999999998</v>
      </c>
      <c r="BN73" s="64">
        <f>IFERROR(Y73*I73/H73,"0")</f>
        <v>102.29999999999998</v>
      </c>
      <c r="BO73" s="64">
        <f>IFERROR(1/J73*(X73/H73),"0")</f>
        <v>0.27472527472527475</v>
      </c>
      <c r="BP73" s="64">
        <f>IFERROR(1/J73*(Y73/H73),"0")</f>
        <v>0.27472527472527475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90</v>
      </c>
      <c r="Y75" s="550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100</v>
      </c>
      <c r="Y76" s="551">
        <f>IFERROR(Y72/H72,"0")+IFERROR(Y73/H73,"0")+IFERROR(Y74/H74,"0")+IFERROR(Y75/H75,"0")</f>
        <v>100</v>
      </c>
      <c r="Z76" s="551">
        <f>IFERROR(IF(Z72="",0,Z72),"0")+IFERROR(IF(Z73="",0,Z73),"0")+IFERROR(IF(Z74="",0,Z74),"0")+IFERROR(IF(Z75="",0,Z75),"0")</f>
        <v>0.65100000000000002</v>
      </c>
      <c r="AA76" s="552"/>
      <c r="AB76" s="552"/>
      <c r="AC76" s="552"/>
    </row>
    <row r="77" spans="1:68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180</v>
      </c>
      <c r="Y77" s="551">
        <f>IFERROR(SUM(Y72:Y75),"0")</f>
        <v>180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120</v>
      </c>
      <c r="Y80" s="550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50</v>
      </c>
      <c r="Y81" s="551">
        <f>IFERROR(Y79/H79,"0")+IFERROR(Y80/H80,"0")</f>
        <v>50</v>
      </c>
      <c r="Z81" s="551">
        <f>IFERROR(IF(Z79="",0,Z79),"0")+IFERROR(IF(Z80="",0,Z80),"0")</f>
        <v>0.45100000000000001</v>
      </c>
      <c r="AA81" s="552"/>
      <c r="AB81" s="552"/>
      <c r="AC81" s="552"/>
    </row>
    <row r="82" spans="1:68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120</v>
      </c>
      <c r="Y82" s="551">
        <f>IFERROR(SUM(Y79:Y80),"0")</f>
        <v>120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hidden="1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hidden="1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105</v>
      </c>
      <c r="Y118" s="550">
        <f>IFERROR(IF(X118="",0,CEILING((X118/$H118),1)*$H118),"")</f>
        <v>106.2</v>
      </c>
      <c r="Z118" s="36">
        <f>IFERROR(IF(Y118=0,"",ROUNDUP(Y118/H118,0)*0.00651),"")</f>
        <v>0.38408999999999999</v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115.5</v>
      </c>
      <c r="BN118" s="64">
        <f>IFERROR(Y118*I118/H118,"0")</f>
        <v>116.82000000000001</v>
      </c>
      <c r="BO118" s="64">
        <f>IFERROR(1/J118*(X118/H118),"0")</f>
        <v>0.32051282051282048</v>
      </c>
      <c r="BP118" s="64">
        <f>IFERROR(1/J118*(Y118/H118),"0")</f>
        <v>0.32417582417582419</v>
      </c>
    </row>
    <row r="119" spans="1:68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58.333333333333329</v>
      </c>
      <c r="Y119" s="551">
        <f>IFERROR(Y115/H115,"0")+IFERROR(Y116/H116,"0")+IFERROR(Y117/H117,"0")+IFERROR(Y118/H118,"0")</f>
        <v>59</v>
      </c>
      <c r="Z119" s="551">
        <f>IFERROR(IF(Z115="",0,Z115),"0")+IFERROR(IF(Z116="",0,Z116),"0")+IFERROR(IF(Z117="",0,Z117),"0")+IFERROR(IF(Z118="",0,Z118),"0")</f>
        <v>0.38408999999999999</v>
      </c>
      <c r="AA119" s="552"/>
      <c r="AB119" s="552"/>
      <c r="AC119" s="552"/>
    </row>
    <row r="120" spans="1:68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105</v>
      </c>
      <c r="Y120" s="551">
        <f>IFERROR(SUM(Y115:Y118),"0")</f>
        <v>106.2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66</v>
      </c>
      <c r="Y122" s="550">
        <f>IFERROR(IF(X122="",0,CEILING((X122/$H122),1)*$H122),"")</f>
        <v>67.319999999999993</v>
      </c>
      <c r="Z122" s="36">
        <f>IFERROR(IF(Y122=0,"",ROUNDUP(Y122/H122,0)*0.00651),"")</f>
        <v>0.22134000000000001</v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74.599999999999994</v>
      </c>
      <c r="BN122" s="64">
        <f>IFERROR(Y122*I122/H122,"0")</f>
        <v>76.091999999999985</v>
      </c>
      <c r="BO122" s="64">
        <f>IFERROR(1/J122*(X122/H122),"0")</f>
        <v>0.18315018315018317</v>
      </c>
      <c r="BP122" s="64">
        <f>IFERROR(1/J122*(Y122/H122),"0")</f>
        <v>0.18681318681318682</v>
      </c>
    </row>
    <row r="123" spans="1:68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33.333333333333336</v>
      </c>
      <c r="Y123" s="551">
        <f>IFERROR(Y122/H122,"0")</f>
        <v>34</v>
      </c>
      <c r="Z123" s="551">
        <f>IFERROR(IF(Z122="",0,Z122),"0")</f>
        <v>0.22134000000000001</v>
      </c>
      <c r="AA123" s="552"/>
      <c r="AB123" s="552"/>
      <c r="AC123" s="552"/>
    </row>
    <row r="124" spans="1:68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66</v>
      </c>
      <c r="Y124" s="551">
        <f>IFERROR(SUM(Y122:Y122),"0")</f>
        <v>67.319999999999993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80</v>
      </c>
      <c r="Y219" s="550">
        <f t="shared" si="20"/>
        <v>81.599999999999994</v>
      </c>
      <c r="Z219" s="36">
        <f t="shared" si="25"/>
        <v>0.22134000000000001</v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88.40000000000002</v>
      </c>
      <c r="BN219" s="64">
        <f t="shared" si="22"/>
        <v>90.168000000000006</v>
      </c>
      <c r="BO219" s="64">
        <f t="shared" si="23"/>
        <v>0.18315018315018317</v>
      </c>
      <c r="BP219" s="64">
        <f t="shared" si="24"/>
        <v>0.18681318681318682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140</v>
      </c>
      <c r="Y220" s="550">
        <f t="shared" si="20"/>
        <v>141.6</v>
      </c>
      <c r="Z220" s="36">
        <f t="shared" si="25"/>
        <v>0.38408999999999999</v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154.70000000000002</v>
      </c>
      <c r="BN220" s="64">
        <f t="shared" si="22"/>
        <v>156.46800000000002</v>
      </c>
      <c r="BO220" s="64">
        <f t="shared" si="23"/>
        <v>0.32051282051282054</v>
      </c>
      <c r="BP220" s="64">
        <f t="shared" si="24"/>
        <v>0.32417582417582419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91.666666666666671</v>
      </c>
      <c r="Y223" s="551">
        <f>IFERROR(Y214/H214,"0")+IFERROR(Y215/H215,"0")+IFERROR(Y216/H216,"0")+IFERROR(Y217/H217,"0")+IFERROR(Y218/H218,"0")+IFERROR(Y219/H219,"0")+IFERROR(Y220/H220,"0")+IFERROR(Y221/H221,"0")+IFERROR(Y222/H222,"0")</f>
        <v>93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0.60543000000000002</v>
      </c>
      <c r="AA223" s="552"/>
      <c r="AB223" s="552"/>
      <c r="AC223" s="552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220</v>
      </c>
      <c r="Y224" s="551">
        <f>IFERROR(SUM(Y214:Y222),"0")</f>
        <v>223.2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120</v>
      </c>
      <c r="Y235" s="550">
        <f t="shared" si="26"/>
        <v>120</v>
      </c>
      <c r="Z235" s="36">
        <f>IFERROR(IF(Y235=0,"",ROUNDUP(Y235/H235,0)*0.00902),"")</f>
        <v>0.27060000000000001</v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125.70000000000002</v>
      </c>
      <c r="BN235" s="64">
        <f t="shared" si="28"/>
        <v>125.70000000000002</v>
      </c>
      <c r="BO235" s="64">
        <f t="shared" si="29"/>
        <v>0.22727272727272729</v>
      </c>
      <c r="BP235" s="64">
        <f t="shared" si="30"/>
        <v>0.22727272727272729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120</v>
      </c>
      <c r="Y239" s="550">
        <f t="shared" si="26"/>
        <v>120</v>
      </c>
      <c r="Z239" s="36">
        <f>IFERROR(IF(Y239=0,"",ROUNDUP(Y239/H239,0)*0.00902),"")</f>
        <v>0.27060000000000001</v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125.70000000000002</v>
      </c>
      <c r="BN239" s="64">
        <f t="shared" si="28"/>
        <v>125.70000000000002</v>
      </c>
      <c r="BO239" s="64">
        <f t="shared" si="29"/>
        <v>0.22727272727272729</v>
      </c>
      <c r="BP239" s="64">
        <f t="shared" si="30"/>
        <v>0.22727272727272729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60</v>
      </c>
      <c r="Y241" s="551">
        <f>IFERROR(Y232/H232,"0")+IFERROR(Y233/H233,"0")+IFERROR(Y234/H234,"0")+IFERROR(Y235/H235,"0")+IFERROR(Y236/H236,"0")+IFERROR(Y237/H237,"0")+IFERROR(Y238/H238,"0")+IFERROR(Y239/H239,"0")+IFERROR(Y240/H240,"0")</f>
        <v>60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0.54120000000000001</v>
      </c>
      <c r="AA241" s="552"/>
      <c r="AB241" s="552"/>
      <c r="AC241" s="552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240</v>
      </c>
      <c r="Y242" s="551">
        <f>IFERROR(SUM(Y232:Y240),"0")</f>
        <v>240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120</v>
      </c>
      <c r="Y265" s="550">
        <f>IFERROR(IF(X265="",0,CEILING((X265/$H265),1)*$H265),"")</f>
        <v>120</v>
      </c>
      <c r="Z265" s="36">
        <f>IFERROR(IF(Y265=0,"",ROUNDUP(Y265/H265,0)*0.00902),"")</f>
        <v>0.27060000000000001</v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125.70000000000002</v>
      </c>
      <c r="BN265" s="64">
        <f>IFERROR(Y265*I265/H265,"0")</f>
        <v>125.70000000000002</v>
      </c>
      <c r="BO265" s="64">
        <f>IFERROR(1/J265*(X265/H265),"0")</f>
        <v>0.22727272727272729</v>
      </c>
      <c r="BP265" s="64">
        <f>IFERROR(1/J265*(Y265/H265),"0")</f>
        <v>0.22727272727272729</v>
      </c>
    </row>
    <row r="266" spans="1:68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30</v>
      </c>
      <c r="Y266" s="551">
        <f>IFERROR(Y261/H261,"0")+IFERROR(Y262/H262,"0")+IFERROR(Y263/H263,"0")+IFERROR(Y264/H264,"0")+IFERROR(Y265/H265,"0")</f>
        <v>30</v>
      </c>
      <c r="Z266" s="551">
        <f>IFERROR(IF(Z261="",0,Z261),"0")+IFERROR(IF(Z262="",0,Z262),"0")+IFERROR(IF(Z263="",0,Z263),"0")+IFERROR(IF(Z264="",0,Z264),"0")+IFERROR(IF(Z265="",0,Z265),"0")</f>
        <v>0.27060000000000001</v>
      </c>
      <c r="AA266" s="552"/>
      <c r="AB266" s="552"/>
      <c r="AC266" s="552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120</v>
      </c>
      <c r="Y267" s="551">
        <f>IFERROR(SUM(Y261:Y265),"0")</f>
        <v>120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120</v>
      </c>
      <c r="Y279" s="550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140</v>
      </c>
      <c r="Y280" s="550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108.33333333333334</v>
      </c>
      <c r="Y281" s="551">
        <f>IFERROR(Y278/H278,"0")+IFERROR(Y279/H279,"0")+IFERROR(Y280/H280,"0")</f>
        <v>109</v>
      </c>
      <c r="Z281" s="551">
        <f>IFERROR(IF(Z278="",0,Z278),"0")+IFERROR(IF(Z279="",0,Z279),"0")+IFERROR(IF(Z280="",0,Z280),"0")</f>
        <v>0.70958999999999994</v>
      </c>
      <c r="AA281" s="552"/>
      <c r="AB281" s="552"/>
      <c r="AC281" s="552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260</v>
      </c>
      <c r="Y282" s="551">
        <f>IFERROR(SUM(Y278:Y280),"0")</f>
        <v>261.60000000000002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210</v>
      </c>
      <c r="Y290" s="550">
        <f>IFERROR(IF(X290="",0,CEILING((X290/$H290),1)*$H290),"")</f>
        <v>212.4</v>
      </c>
      <c r="Z290" s="36">
        <f>IFERROR(IF(Y290=0,"",ROUNDUP(Y290/H290,0)*0.00902),"")</f>
        <v>0.53217999999999999</v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221.08333333333331</v>
      </c>
      <c r="BN290" s="64">
        <f>IFERROR(Y290*I290/H290,"0")</f>
        <v>223.60999999999999</v>
      </c>
      <c r="BO290" s="64">
        <f>IFERROR(1/J290*(X290/H290),"0")</f>
        <v>0.44191919191919188</v>
      </c>
      <c r="BP290" s="64">
        <f>IFERROR(1/J290*(Y290/H290),"0")</f>
        <v>0.44696969696969696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58.333333333333329</v>
      </c>
      <c r="Y292" s="551">
        <f>IFERROR(Y290/H290,"0")+IFERROR(Y291/H291,"0")</f>
        <v>59</v>
      </c>
      <c r="Z292" s="551">
        <f>IFERROR(IF(Z290="",0,Z290),"0")+IFERROR(IF(Z291="",0,Z291),"0")</f>
        <v>0.53217999999999999</v>
      </c>
      <c r="AA292" s="552"/>
      <c r="AB292" s="552"/>
      <c r="AC292" s="552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210</v>
      </c>
      <c r="Y293" s="551">
        <f>IFERROR(SUM(Y290:Y291),"0")</f>
        <v>212.4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120</v>
      </c>
      <c r="Y301" s="550">
        <f t="shared" si="31"/>
        <v>120</v>
      </c>
      <c r="Z301" s="36">
        <f>IFERROR(IF(Y301=0,"",ROUNDUP(Y301/H301,0)*0.00902),"")</f>
        <v>0.27060000000000001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125.70000000000002</v>
      </c>
      <c r="BN301" s="64">
        <f t="shared" si="33"/>
        <v>125.70000000000002</v>
      </c>
      <c r="BO301" s="64">
        <f t="shared" si="34"/>
        <v>0.22727272727272729</v>
      </c>
      <c r="BP301" s="64">
        <f t="shared" si="35"/>
        <v>0.22727272727272729</v>
      </c>
    </row>
    <row r="302" spans="1:68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30</v>
      </c>
      <c r="Y302" s="551">
        <f>IFERROR(Y296/H296,"0")+IFERROR(Y297/H297,"0")+IFERROR(Y298/H298,"0")+IFERROR(Y299/H299,"0")+IFERROR(Y300/H300,"0")+IFERROR(Y301/H301,"0")</f>
        <v>30</v>
      </c>
      <c r="Z302" s="551">
        <f>IFERROR(IF(Z296="",0,Z296),"0")+IFERROR(IF(Z297="",0,Z297),"0")+IFERROR(IF(Z298="",0,Z298),"0")+IFERROR(IF(Z299="",0,Z299),"0")+IFERROR(IF(Z300="",0,Z300),"0")+IFERROR(IF(Z301="",0,Z301),"0")</f>
        <v>0.27060000000000001</v>
      </c>
      <c r="AA302" s="552"/>
      <c r="AB302" s="552"/>
      <c r="AC302" s="552"/>
    </row>
    <row r="303" spans="1:68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120</v>
      </c>
      <c r="Y303" s="551">
        <f>IFERROR(SUM(Y296:Y301),"0")</f>
        <v>120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hidden="1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105</v>
      </c>
      <c r="Y309" s="550">
        <f t="shared" si="36"/>
        <v>105</v>
      </c>
      <c r="Z309" s="36">
        <f>IFERROR(IF(Y309=0,"",ROUNDUP(Y309/H309,0)*0.00502),"")</f>
        <v>0.251</v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110.00000000000001</v>
      </c>
      <c r="BN309" s="64">
        <f t="shared" si="38"/>
        <v>110.00000000000001</v>
      </c>
      <c r="BO309" s="64">
        <f t="shared" si="39"/>
        <v>0.21367521367521369</v>
      </c>
      <c r="BP309" s="64">
        <f t="shared" si="40"/>
        <v>0.21367521367521369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90</v>
      </c>
      <c r="Y310" s="550">
        <f t="shared" si="36"/>
        <v>90</v>
      </c>
      <c r="Z310" s="36">
        <f>IFERROR(IF(Y310=0,"",ROUNDUP(Y310/H310,0)*0.00651),"")</f>
        <v>0.32550000000000001</v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101.4</v>
      </c>
      <c r="BN310" s="64">
        <f t="shared" si="38"/>
        <v>101.4</v>
      </c>
      <c r="BO310" s="64">
        <f t="shared" si="39"/>
        <v>0.27472527472527475</v>
      </c>
      <c r="BP310" s="64">
        <f t="shared" si="40"/>
        <v>0.27472527472527475</v>
      </c>
    </row>
    <row r="311" spans="1:68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100</v>
      </c>
      <c r="Y311" s="551">
        <f>IFERROR(Y305/H305,"0")+IFERROR(Y306/H306,"0")+IFERROR(Y307/H307,"0")+IFERROR(Y308/H308,"0")+IFERROR(Y309/H309,"0")+IFERROR(Y310/H310,"0")</f>
        <v>100</v>
      </c>
      <c r="Z311" s="551">
        <f>IFERROR(IF(Z305="",0,Z305),"0")+IFERROR(IF(Z306="",0,Z306),"0")+IFERROR(IF(Z307="",0,Z307),"0")+IFERROR(IF(Z308="",0,Z308),"0")+IFERROR(IF(Z309="",0,Z309),"0")+IFERROR(IF(Z310="",0,Z310),"0")</f>
        <v>0.57650000000000001</v>
      </c>
      <c r="AA311" s="552"/>
      <c r="AB311" s="552"/>
      <c r="AC311" s="552"/>
    </row>
    <row r="312" spans="1:68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195</v>
      </c>
      <c r="Y312" s="551">
        <f>IFERROR(SUM(Y305:Y310),"0")</f>
        <v>195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hidden="1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30</v>
      </c>
      <c r="Y336" s="550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15</v>
      </c>
      <c r="Y337" s="551">
        <f>IFERROR(Y334/H334,"0")+IFERROR(Y335/H335,"0")+IFERROR(Y336/H336,"0")</f>
        <v>15</v>
      </c>
      <c r="Z337" s="551">
        <f>IFERROR(IF(Z334="",0,Z334),"0")+IFERROR(IF(Z335="",0,Z335),"0")+IFERROR(IF(Z336="",0,Z336),"0")</f>
        <v>7.110000000000001E-2</v>
      </c>
      <c r="AA337" s="552"/>
      <c r="AB337" s="552"/>
      <c r="AC337" s="552"/>
    </row>
    <row r="338" spans="1:68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30</v>
      </c>
      <c r="Y338" s="551">
        <f>IFERROR(SUM(Y334:Y336),"0")</f>
        <v>30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105</v>
      </c>
      <c r="Y342" s="550">
        <f>IFERROR(IF(X342="",0,CEILING((X342/$H342),1)*$H342),"")</f>
        <v>105</v>
      </c>
      <c r="Z342" s="36">
        <f>IFERROR(IF(Y342=0,"",ROUNDUP(Y342/H342,0)*0.00651),"")</f>
        <v>0.32550000000000001</v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117.59999999999998</v>
      </c>
      <c r="BN342" s="64">
        <f>IFERROR(Y342*I342/H342,"0")</f>
        <v>117.59999999999998</v>
      </c>
      <c r="BO342" s="64">
        <f>IFERROR(1/J342*(X342/H342),"0")</f>
        <v>0.27472527472527475</v>
      </c>
      <c r="BP342" s="64">
        <f>IFERROR(1/J342*(Y342/H342),"0")</f>
        <v>0.27472527472527475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122.5</v>
      </c>
      <c r="Y343" s="550">
        <f>IFERROR(IF(X343="",0,CEILING((X343/$H343),1)*$H343),"")</f>
        <v>123.9</v>
      </c>
      <c r="Z343" s="36">
        <f>IFERROR(IF(Y343=0,"",ROUNDUP(Y343/H343,0)*0.00651),"")</f>
        <v>0.38408999999999999</v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136.49999999999997</v>
      </c>
      <c r="BN343" s="64">
        <f>IFERROR(Y343*I343/H343,"0")</f>
        <v>138.06</v>
      </c>
      <c r="BO343" s="64">
        <f>IFERROR(1/J343*(X343/H343),"0")</f>
        <v>0.32051282051282048</v>
      </c>
      <c r="BP343" s="64">
        <f>IFERROR(1/J343*(Y343/H343),"0")</f>
        <v>0.32417582417582419</v>
      </c>
    </row>
    <row r="344" spans="1:68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108.33333333333333</v>
      </c>
      <c r="Y344" s="551">
        <f>IFERROR(Y341/H341,"0")+IFERROR(Y342/H342,"0")+IFERROR(Y343/H343,"0")</f>
        <v>109</v>
      </c>
      <c r="Z344" s="551">
        <f>IFERROR(IF(Z341="",0,Z341),"0")+IFERROR(IF(Z342="",0,Z342),"0")+IFERROR(IF(Z343="",0,Z343),"0")</f>
        <v>0.70958999999999994</v>
      </c>
      <c r="AA344" s="552"/>
      <c r="AB344" s="552"/>
      <c r="AC344" s="552"/>
    </row>
    <row r="345" spans="1:68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227.5</v>
      </c>
      <c r="Y345" s="551">
        <f>IFERROR(SUM(Y341:Y343),"0")</f>
        <v>228.9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hidden="1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hidden="1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0</v>
      </c>
      <c r="Y351" s="550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hidden="1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175</v>
      </c>
      <c r="Y355" s="550">
        <f t="shared" si="41"/>
        <v>175</v>
      </c>
      <c r="Z355" s="36">
        <f>IFERROR(IF(Y355=0,"",ROUNDUP(Y355/H355,0)*0.00902),"")</f>
        <v>0.31569999999999998</v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181.65000000000003</v>
      </c>
      <c r="BN355" s="64">
        <f t="shared" si="43"/>
        <v>181.65000000000003</v>
      </c>
      <c r="BO355" s="64">
        <f t="shared" si="44"/>
        <v>0.26515151515151514</v>
      </c>
      <c r="BP355" s="64">
        <f t="shared" si="45"/>
        <v>0.26515151515151514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35</v>
      </c>
      <c r="Y356" s="551">
        <f>IFERROR(Y349/H349,"0")+IFERROR(Y350/H350,"0")+IFERROR(Y351/H351,"0")+IFERROR(Y352/H352,"0")+IFERROR(Y353/H353,"0")+IFERROR(Y354/H354,"0")+IFERROR(Y355/H355,"0")</f>
        <v>35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0.31569999999999998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175</v>
      </c>
      <c r="Y357" s="551">
        <f>IFERROR(SUM(Y349:Y355),"0")</f>
        <v>175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hidden="1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120</v>
      </c>
      <c r="Y360" s="550">
        <f>IFERROR(IF(X360="",0,CEILING((X360/$H360),1)*$H360),"")</f>
        <v>120</v>
      </c>
      <c r="Z360" s="36">
        <f>IFERROR(IF(Y360=0,"",ROUNDUP(Y360/H360,0)*0.00902),"")</f>
        <v>0.27060000000000001</v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125.70000000000002</v>
      </c>
      <c r="BN360" s="64">
        <f>IFERROR(Y360*I360/H360,"0")</f>
        <v>125.70000000000002</v>
      </c>
      <c r="BO360" s="64">
        <f>IFERROR(1/J360*(X360/H360),"0")</f>
        <v>0.22727272727272729</v>
      </c>
      <c r="BP360" s="64">
        <f>IFERROR(1/J360*(Y360/H360),"0")</f>
        <v>0.22727272727272729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30</v>
      </c>
      <c r="Y361" s="551">
        <f>IFERROR(Y359/H359,"0")+IFERROR(Y360/H360,"0")</f>
        <v>30</v>
      </c>
      <c r="Z361" s="551">
        <f>IFERROR(IF(Z359="",0,Z359),"0")+IFERROR(IF(Z360="",0,Z360),"0")</f>
        <v>0.27060000000000001</v>
      </c>
      <c r="AA361" s="552"/>
      <c r="AB361" s="552"/>
      <c r="AC361" s="552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120</v>
      </c>
      <c r="Y362" s="551">
        <f>IFERROR(SUM(Y359:Y360),"0")</f>
        <v>120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105</v>
      </c>
      <c r="Y396" s="550">
        <f t="shared" si="46"/>
        <v>105</v>
      </c>
      <c r="Z396" s="36">
        <f t="shared" si="51"/>
        <v>0.251</v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111.5</v>
      </c>
      <c r="BN396" s="64">
        <f t="shared" si="48"/>
        <v>111.5</v>
      </c>
      <c r="BO396" s="64">
        <f t="shared" si="49"/>
        <v>0.21367521367521369</v>
      </c>
      <c r="BP396" s="64">
        <f t="shared" si="50"/>
        <v>0.21367521367521369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105</v>
      </c>
      <c r="Y397" s="550">
        <f t="shared" si="46"/>
        <v>105</v>
      </c>
      <c r="Z397" s="36">
        <f t="shared" si="51"/>
        <v>0.251</v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111.5</v>
      </c>
      <c r="BN397" s="64">
        <f t="shared" si="48"/>
        <v>111.5</v>
      </c>
      <c r="BO397" s="64">
        <f t="shared" si="49"/>
        <v>0.21367521367521369</v>
      </c>
      <c r="BP397" s="64">
        <f t="shared" si="50"/>
        <v>0.21367521367521369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52.5</v>
      </c>
      <c r="Y399" s="550">
        <f t="shared" si="46"/>
        <v>52.5</v>
      </c>
      <c r="Z399" s="36">
        <f t="shared" si="51"/>
        <v>0.1255</v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55.75</v>
      </c>
      <c r="BN399" s="64">
        <f t="shared" si="48"/>
        <v>55.75</v>
      </c>
      <c r="BO399" s="64">
        <f t="shared" si="49"/>
        <v>0.10683760683760685</v>
      </c>
      <c r="BP399" s="64">
        <f t="shared" si="50"/>
        <v>0.10683760683760685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70</v>
      </c>
      <c r="Y400" s="550">
        <f t="shared" si="46"/>
        <v>71.400000000000006</v>
      </c>
      <c r="Z400" s="36">
        <f t="shared" si="51"/>
        <v>0.17068</v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74.333333333333329</v>
      </c>
      <c r="BN400" s="64">
        <f t="shared" si="48"/>
        <v>75.820000000000007</v>
      </c>
      <c r="BO400" s="64">
        <f t="shared" si="49"/>
        <v>0.14245014245014245</v>
      </c>
      <c r="BP400" s="64">
        <f t="shared" si="50"/>
        <v>0.14529914529914531</v>
      </c>
    </row>
    <row r="401" spans="1:68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158.33333333333331</v>
      </c>
      <c r="Y401" s="551">
        <f>IFERROR(Y392/H392,"0")+IFERROR(Y393/H393,"0")+IFERROR(Y394/H394,"0")+IFERROR(Y395/H395,"0")+IFERROR(Y396/H396,"0")+IFERROR(Y397/H397,"0")+IFERROR(Y398/H398,"0")+IFERROR(Y399/H399,"0")+IFERROR(Y400/H400,"0")</f>
        <v>159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0.79817999999999989</v>
      </c>
      <c r="AA401" s="552"/>
      <c r="AB401" s="552"/>
      <c r="AC401" s="552"/>
    </row>
    <row r="402" spans="1:68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332.5</v>
      </c>
      <c r="Y402" s="551">
        <f>IFERROR(SUM(Y392:Y400),"0")</f>
        <v>333.9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120</v>
      </c>
      <c r="Y404" s="550">
        <f>IFERROR(IF(X404="",0,CEILING((X404/$H404),1)*$H404),"")</f>
        <v>120</v>
      </c>
      <c r="Z404" s="36">
        <f>IFERROR(IF(Y404=0,"",ROUNDUP(Y404/H404,0)*0.00902),"")</f>
        <v>0.45100000000000001</v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131.30000000000001</v>
      </c>
      <c r="BN404" s="64">
        <f>IFERROR(Y404*I404/H404,"0")</f>
        <v>131.30000000000001</v>
      </c>
      <c r="BO404" s="64">
        <f>IFERROR(1/J404*(X404/H404),"0")</f>
        <v>0.37878787878787878</v>
      </c>
      <c r="BP404" s="64">
        <f>IFERROR(1/J404*(Y404/H404),"0")</f>
        <v>0.37878787878787878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66</v>
      </c>
      <c r="Y405" s="550">
        <f>IFERROR(IF(X405="",0,CEILING((X405/$H405),1)*$H405),"")</f>
        <v>67.319999999999993</v>
      </c>
      <c r="Z405" s="36">
        <f>IFERROR(IF(Y405=0,"",ROUNDUP(Y405/H405,0)*0.00651),"")</f>
        <v>0.22134000000000001</v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74.599999999999994</v>
      </c>
      <c r="BN405" s="64">
        <f>IFERROR(Y405*I405/H405,"0")</f>
        <v>76.091999999999985</v>
      </c>
      <c r="BO405" s="64">
        <f>IFERROR(1/J405*(X405/H405),"0")</f>
        <v>0.18315018315018317</v>
      </c>
      <c r="BP405" s="64">
        <f>IFERROR(1/J405*(Y405/H405),"0")</f>
        <v>0.18681318681318682</v>
      </c>
    </row>
    <row r="406" spans="1:68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83.333333333333343</v>
      </c>
      <c r="Y406" s="551">
        <f>IFERROR(Y404/H404,"0")+IFERROR(Y405/H405,"0")</f>
        <v>84</v>
      </c>
      <c r="Z406" s="551">
        <f>IFERROR(IF(Z404="",0,Z404),"0")+IFERROR(IF(Z405="",0,Z405),"0")</f>
        <v>0.67234000000000005</v>
      </c>
      <c r="AA406" s="552"/>
      <c r="AB406" s="552"/>
      <c r="AC406" s="552"/>
    </row>
    <row r="407" spans="1:68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186</v>
      </c>
      <c r="Y407" s="551">
        <f>IFERROR(SUM(Y404:Y405),"0")</f>
        <v>187.32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hidden="1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210</v>
      </c>
      <c r="Y439" s="550">
        <f t="shared" si="52"/>
        <v>211.2</v>
      </c>
      <c r="Z439" s="36">
        <f>IFERROR(IF(Y439=0,"",ROUNDUP(Y439/H439,0)*0.00902),"")</f>
        <v>0.39688000000000001</v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302.31250000000006</v>
      </c>
      <c r="BN439" s="64">
        <f t="shared" si="55"/>
        <v>304.04000000000002</v>
      </c>
      <c r="BO439" s="64">
        <f t="shared" si="56"/>
        <v>0.33143939393939392</v>
      </c>
      <c r="BP439" s="64">
        <f t="shared" si="57"/>
        <v>0.33333333333333337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43.75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44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0.39688000000000001</v>
      </c>
      <c r="AA440" s="552"/>
      <c r="AB440" s="552"/>
      <c r="AC440" s="552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210</v>
      </c>
      <c r="Y441" s="551">
        <f>IFERROR(SUM(Y428:Y439),"0")</f>
        <v>211.2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hidden="1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hidden="1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hidden="1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idden="1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3609.5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3627.5400000000004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4027.8791666666666</v>
      </c>
      <c r="Y494" s="551">
        <f>IFERROR(SUM(BN22:BN490),"0")</f>
        <v>4047.98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9</v>
      </c>
      <c r="Y495" s="38">
        <f>ROUNDUP(SUM(BP22:BP490),0)</f>
        <v>9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4252.8791666666666</v>
      </c>
      <c r="Y496" s="551">
        <f>GrossWeightTotalR+PalletQtyTotalR*25</f>
        <v>4272.9799999999996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1395.4166666666665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1403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9.8573000000000022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90</v>
      </c>
      <c r="C503" s="46">
        <f>IFERROR(Y41*1,"0")+IFERROR(Y42*1,"0")+IFERROR(Y43*1,"0")+IFERROR(Y47*1,"0")</f>
        <v>246.2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459.3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173.51999999999998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223.2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240</v>
      </c>
      <c r="L503" s="46">
        <f>IFERROR(Y261*1,"0")+IFERROR(Y262*1,"0")+IFERROR(Y263*1,"0")+IFERROR(Y264*1,"0")+IFERROR(Y265*1,"0")</f>
        <v>120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261.60000000000002</v>
      </c>
      <c r="P503" s="46">
        <f>IFERROR(Y285*1,"0")+IFERROR(Y286*1,"0")+IFERROR(Y290*1,"0")+IFERROR(Y291*1,"0")</f>
        <v>212.4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345</v>
      </c>
      <c r="R503" s="46">
        <f>IFERROR(Y341*1,"0")+IFERROR(Y342*1,"0")+IFERROR(Y343*1,"0")</f>
        <v>228.9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295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521.22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211.2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95,42"/>
        <filter val="100,00"/>
        <filter val="105,00"/>
        <filter val="108,33"/>
        <filter val="120,00"/>
        <filter val="122,50"/>
        <filter val="140,00"/>
        <filter val="15,00"/>
        <filter val="157,50"/>
        <filter val="158,33"/>
        <filter val="175,00"/>
        <filter val="180,00"/>
        <filter val="186,00"/>
        <filter val="195,00"/>
        <filter val="210,00"/>
        <filter val="220,00"/>
        <filter val="227,50"/>
        <filter val="240,00"/>
        <filter val="260,00"/>
        <filter val="3 609,50"/>
        <filter val="30,00"/>
        <filter val="33,33"/>
        <filter val="332,50"/>
        <filter val="35,00"/>
        <filter val="4 027,88"/>
        <filter val="4 252,88"/>
        <filter val="43,75"/>
        <filter val="50,00"/>
        <filter val="52,50"/>
        <filter val="58,33"/>
        <filter val="60,00"/>
        <filter val="66,00"/>
        <filter val="70,00"/>
        <filter val="80,00"/>
        <filter val="83,33"/>
        <filter val="9"/>
        <filter val="90,00"/>
        <filter val="91,67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