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71588D-252B-4836-8B72-2E252493982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3" i="1" s="1"/>
  <c r="Y274" i="1"/>
  <c r="X273" i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<sst xmlns="http://schemas.openxmlformats.org/spreadsheetml/2006/main" count="1222" uniqueCount="394">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</sst>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7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6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416" t="s">
        <v>0</v>
      </c>
      <c r="E1" s="312"/>
      <c r="F1" s="312"/>
      <c r="G1" s="12" t="s">
        <v>1</v>
      </c>
      <c r="H1" s="416" t="s">
        <v>2</v>
      </c>
      <c r="I1" s="312"/>
      <c r="J1" s="312"/>
      <c r="K1" s="312"/>
      <c r="L1" s="312"/>
      <c r="M1" s="312"/>
      <c r="N1" s="312"/>
      <c r="O1" s="312"/>
      <c r="P1" s="312"/>
      <c r="Q1" s="312"/>
      <c r="R1" s="441" t="s">
        <v>3</v>
      </c>
      <c r="S1" s="312"/>
      <c r="T1" s="31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422" t="s">
        <v>7</v>
      </c>
      <c r="B5" s="311"/>
      <c r="C5" s="290"/>
      <c r="D5" s="346"/>
      <c r="E5" s="348"/>
      <c r="F5" s="327" t="s">
        <v>8</v>
      </c>
      <c r="G5" s="290"/>
      <c r="H5" s="346"/>
      <c r="I5" s="347"/>
      <c r="J5" s="347"/>
      <c r="K5" s="347"/>
      <c r="L5" s="347"/>
      <c r="M5" s="348"/>
      <c r="N5" s="61"/>
      <c r="P5" s="24" t="s">
        <v>9</v>
      </c>
      <c r="Q5" s="317">
        <v>46012</v>
      </c>
      <c r="R5" s="318"/>
      <c r="T5" s="387" t="s">
        <v>10</v>
      </c>
      <c r="U5" s="294"/>
      <c r="V5" s="388" t="s">
        <v>11</v>
      </c>
      <c r="W5" s="318"/>
      <c r="AB5" s="51"/>
      <c r="AC5" s="51"/>
      <c r="AD5" s="51"/>
      <c r="AE5" s="51"/>
    </row>
    <row r="6" spans="1:32" s="262" customFormat="1" ht="24" customHeight="1" x14ac:dyDescent="0.2">
      <c r="A6" s="422" t="s">
        <v>12</v>
      </c>
      <c r="B6" s="311"/>
      <c r="C6" s="290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18"/>
      <c r="N6" s="62"/>
      <c r="P6" s="24" t="s">
        <v>14</v>
      </c>
      <c r="Q6" s="307" t="str">
        <f>IF(Q5=0," ",CHOOSE(WEEKDAY(Q5,2),"Понедельник","Вторник","Среда","Четверг","Пятница","Суббота","Воскресенье"))</f>
        <v>Воскресенье</v>
      </c>
      <c r="R6" s="279"/>
      <c r="T6" s="394" t="s">
        <v>15</v>
      </c>
      <c r="U6" s="294"/>
      <c r="V6" s="366" t="s">
        <v>16</v>
      </c>
      <c r="W6" s="367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391"/>
      <c r="N7" s="63"/>
      <c r="P7" s="24"/>
      <c r="Q7" s="42"/>
      <c r="R7" s="42"/>
      <c r="T7" s="277"/>
      <c r="U7" s="294"/>
      <c r="V7" s="368"/>
      <c r="W7" s="369"/>
      <c r="AB7" s="51"/>
      <c r="AC7" s="51"/>
      <c r="AD7" s="51"/>
      <c r="AE7" s="51"/>
    </row>
    <row r="8" spans="1:32" s="262" customFormat="1" ht="25.5" customHeight="1" x14ac:dyDescent="0.2">
      <c r="A8" s="299" t="s">
        <v>17</v>
      </c>
      <c r="B8" s="287"/>
      <c r="C8" s="288"/>
      <c r="D8" s="433" t="s">
        <v>18</v>
      </c>
      <c r="E8" s="434"/>
      <c r="F8" s="434"/>
      <c r="G8" s="434"/>
      <c r="H8" s="434"/>
      <c r="I8" s="434"/>
      <c r="J8" s="434"/>
      <c r="K8" s="434"/>
      <c r="L8" s="434"/>
      <c r="M8" s="435"/>
      <c r="N8" s="64"/>
      <c r="P8" s="24" t="s">
        <v>19</v>
      </c>
      <c r="Q8" s="390">
        <v>0.41666666666666669</v>
      </c>
      <c r="R8" s="391"/>
      <c r="T8" s="277"/>
      <c r="U8" s="294"/>
      <c r="V8" s="368"/>
      <c r="W8" s="369"/>
      <c r="AB8" s="51"/>
      <c r="AC8" s="51"/>
      <c r="AD8" s="51"/>
      <c r="AE8" s="51"/>
    </row>
    <row r="9" spans="1:32" s="262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38"/>
      <c r="E9" s="339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78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60"/>
      <c r="P9" s="26" t="s">
        <v>20</v>
      </c>
      <c r="Q9" s="457"/>
      <c r="R9" s="330"/>
      <c r="T9" s="277"/>
      <c r="U9" s="294"/>
      <c r="V9" s="370"/>
      <c r="W9" s="37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38"/>
      <c r="E10" s="339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57" t="str">
        <f>IFERROR(VLOOKUP($D$10,Proxy,2,FALSE),"")</f>
        <v/>
      </c>
      <c r="I10" s="277"/>
      <c r="J10" s="277"/>
      <c r="K10" s="277"/>
      <c r="L10" s="277"/>
      <c r="M10" s="277"/>
      <c r="N10" s="261"/>
      <c r="P10" s="26" t="s">
        <v>21</v>
      </c>
      <c r="Q10" s="395"/>
      <c r="R10" s="396"/>
      <c r="U10" s="24" t="s">
        <v>22</v>
      </c>
      <c r="V10" s="444" t="s">
        <v>23</v>
      </c>
      <c r="W10" s="367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6"/>
      <c r="R11" s="318"/>
      <c r="U11" s="24" t="s">
        <v>26</v>
      </c>
      <c r="V11" s="329" t="s">
        <v>27</v>
      </c>
      <c r="W11" s="330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413" t="s">
        <v>28</v>
      </c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290"/>
      <c r="N12" s="65"/>
      <c r="P12" s="24" t="s">
        <v>29</v>
      </c>
      <c r="Q12" s="390"/>
      <c r="R12" s="391"/>
      <c r="S12" s="23"/>
      <c r="U12" s="24"/>
      <c r="V12" s="312"/>
      <c r="W12" s="277"/>
      <c r="AB12" s="51"/>
      <c r="AC12" s="51"/>
      <c r="AD12" s="51"/>
      <c r="AE12" s="51"/>
    </row>
    <row r="13" spans="1:32" s="262" customFormat="1" ht="23.25" customHeight="1" x14ac:dyDescent="0.2">
      <c r="A13" s="413" t="s">
        <v>30</v>
      </c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290"/>
      <c r="N13" s="65"/>
      <c r="O13" s="26"/>
      <c r="P13" s="26" t="s">
        <v>31</v>
      </c>
      <c r="Q13" s="329"/>
      <c r="R13" s="33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413" t="s">
        <v>32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415" t="s">
        <v>33</v>
      </c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290"/>
      <c r="N15" s="66"/>
      <c r="P15" s="397" t="s">
        <v>34</v>
      </c>
      <c r="Q15" s="312"/>
      <c r="R15" s="312"/>
      <c r="S15" s="312"/>
      <c r="T15" s="31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98"/>
      <c r="Q16" s="398"/>
      <c r="R16" s="398"/>
      <c r="S16" s="398"/>
      <c r="T16" s="3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0" t="s">
        <v>35</v>
      </c>
      <c r="B17" s="280" t="s">
        <v>36</v>
      </c>
      <c r="C17" s="401" t="s">
        <v>37</v>
      </c>
      <c r="D17" s="280" t="s">
        <v>38</v>
      </c>
      <c r="E17" s="281"/>
      <c r="F17" s="280" t="s">
        <v>39</v>
      </c>
      <c r="G17" s="280" t="s">
        <v>40</v>
      </c>
      <c r="H17" s="280" t="s">
        <v>41</v>
      </c>
      <c r="I17" s="280" t="s">
        <v>42</v>
      </c>
      <c r="J17" s="280" t="s">
        <v>43</v>
      </c>
      <c r="K17" s="280" t="s">
        <v>44</v>
      </c>
      <c r="L17" s="280" t="s">
        <v>45</v>
      </c>
      <c r="M17" s="280" t="s">
        <v>46</v>
      </c>
      <c r="N17" s="280" t="s">
        <v>47</v>
      </c>
      <c r="O17" s="280" t="s">
        <v>48</v>
      </c>
      <c r="P17" s="280" t="s">
        <v>49</v>
      </c>
      <c r="Q17" s="419"/>
      <c r="R17" s="419"/>
      <c r="S17" s="419"/>
      <c r="T17" s="281"/>
      <c r="U17" s="289" t="s">
        <v>50</v>
      </c>
      <c r="V17" s="290"/>
      <c r="W17" s="280" t="s">
        <v>51</v>
      </c>
      <c r="X17" s="280" t="s">
        <v>52</v>
      </c>
      <c r="Y17" s="291" t="s">
        <v>53</v>
      </c>
      <c r="Z17" s="364" t="s">
        <v>54</v>
      </c>
      <c r="AA17" s="321" t="s">
        <v>55</v>
      </c>
      <c r="AB17" s="321" t="s">
        <v>56</v>
      </c>
      <c r="AC17" s="321" t="s">
        <v>57</v>
      </c>
      <c r="AD17" s="321" t="s">
        <v>58</v>
      </c>
      <c r="AE17" s="322"/>
      <c r="AF17" s="323"/>
      <c r="AG17" s="69"/>
      <c r="BD17" s="68" t="s">
        <v>59</v>
      </c>
    </row>
    <row r="18" spans="1:68" ht="14.25" customHeight="1" x14ac:dyDescent="0.2">
      <c r="A18" s="285"/>
      <c r="B18" s="285"/>
      <c r="C18" s="285"/>
      <c r="D18" s="282"/>
      <c r="E18" s="283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2"/>
      <c r="Q18" s="420"/>
      <c r="R18" s="420"/>
      <c r="S18" s="420"/>
      <c r="T18" s="283"/>
      <c r="U18" s="70" t="s">
        <v>60</v>
      </c>
      <c r="V18" s="70" t="s">
        <v>61</v>
      </c>
      <c r="W18" s="285"/>
      <c r="X18" s="285"/>
      <c r="Y18" s="292"/>
      <c r="Z18" s="365"/>
      <c r="AA18" s="356"/>
      <c r="AB18" s="356"/>
      <c r="AC18" s="356"/>
      <c r="AD18" s="324"/>
      <c r="AE18" s="325"/>
      <c r="AF18" s="326"/>
      <c r="AG18" s="69"/>
      <c r="BD18" s="68"/>
    </row>
    <row r="19" spans="1:68" ht="27.75" hidden="1" customHeight="1" x14ac:dyDescent="0.2">
      <c r="A19" s="274" t="s">
        <v>62</v>
      </c>
      <c r="B19" s="275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48"/>
      <c r="AB19" s="48"/>
      <c r="AC19" s="48"/>
    </row>
    <row r="20" spans="1:68" ht="16.5" hidden="1" customHeight="1" x14ac:dyDescent="0.25">
      <c r="A20" s="284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76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8">
        <v>4607111035912</v>
      </c>
      <c r="E22" s="279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96"/>
      <c r="R22" s="296"/>
      <c r="S22" s="296"/>
      <c r="T22" s="297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8">
        <v>4607111035103</v>
      </c>
      <c r="E23" s="279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99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96"/>
      <c r="R23" s="296"/>
      <c r="S23" s="296"/>
      <c r="T23" s="297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8">
        <v>4607111035929</v>
      </c>
      <c r="E24" s="279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96"/>
      <c r="R24" s="296"/>
      <c r="S24" s="296"/>
      <c r="T24" s="297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8">
        <v>4607111035882</v>
      </c>
      <c r="E25" s="279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96"/>
      <c r="R25" s="296"/>
      <c r="S25" s="296"/>
      <c r="T25" s="297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8">
        <v>4607111035110</v>
      </c>
      <c r="E26" s="279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96"/>
      <c r="R26" s="296"/>
      <c r="S26" s="296"/>
      <c r="T26" s="297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8">
        <v>4607111035905</v>
      </c>
      <c r="E27" s="279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7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302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303"/>
      <c r="P28" s="286" t="s">
        <v>82</v>
      </c>
      <c r="Q28" s="287"/>
      <c r="R28" s="287"/>
      <c r="S28" s="287"/>
      <c r="T28" s="287"/>
      <c r="U28" s="287"/>
      <c r="V28" s="288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303"/>
      <c r="P29" s="286" t="s">
        <v>82</v>
      </c>
      <c r="Q29" s="287"/>
      <c r="R29" s="287"/>
      <c r="S29" s="287"/>
      <c r="T29" s="287"/>
      <c r="U29" s="287"/>
      <c r="V29" s="288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4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3"/>
      <c r="AB30" s="263"/>
      <c r="AC30" s="263"/>
    </row>
    <row r="31" spans="1:68" ht="14.25" hidden="1" customHeight="1" x14ac:dyDescent="0.25">
      <c r="A31" s="276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8">
        <v>4607111039019</v>
      </c>
      <c r="E32" s="279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96"/>
      <c r="R32" s="296"/>
      <c r="S32" s="296"/>
      <c r="T32" s="297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8">
        <v>4607111038708</v>
      </c>
      <c r="E33" s="279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96"/>
      <c r="R33" s="296"/>
      <c r="S33" s="296"/>
      <c r="T33" s="297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2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303"/>
      <c r="P34" s="286" t="s">
        <v>82</v>
      </c>
      <c r="Q34" s="287"/>
      <c r="R34" s="287"/>
      <c r="S34" s="287"/>
      <c r="T34" s="287"/>
      <c r="U34" s="287"/>
      <c r="V34" s="288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303"/>
      <c r="P35" s="286" t="s">
        <v>82</v>
      </c>
      <c r="Q35" s="287"/>
      <c r="R35" s="287"/>
      <c r="S35" s="287"/>
      <c r="T35" s="287"/>
      <c r="U35" s="287"/>
      <c r="V35" s="288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74" t="s">
        <v>90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5"/>
      <c r="AA36" s="48"/>
      <c r="AB36" s="48"/>
      <c r="AC36" s="48"/>
    </row>
    <row r="37" spans="1:68" ht="16.5" hidden="1" customHeight="1" x14ac:dyDescent="0.25">
      <c r="A37" s="284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3"/>
      <c r="AB37" s="263"/>
      <c r="AC37" s="263"/>
    </row>
    <row r="38" spans="1:68" ht="14.25" hidden="1" customHeight="1" x14ac:dyDescent="0.25">
      <c r="A38" s="276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8">
        <v>4607111036537</v>
      </c>
      <c r="E39" s="279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96"/>
      <c r="R39" s="296"/>
      <c r="S39" s="296"/>
      <c r="T39" s="297"/>
      <c r="U39" s="34"/>
      <c r="V39" s="34"/>
      <c r="W39" s="35" t="s">
        <v>69</v>
      </c>
      <c r="X39" s="268">
        <v>98</v>
      </c>
      <c r="Y39" s="269">
        <f>IFERROR(IF(X39="","",X39),"")</f>
        <v>98</v>
      </c>
      <c r="Z39" s="36">
        <f>IFERROR(IF(X39="","",X39*0.00941),"")</f>
        <v>0.92218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188.3364</v>
      </c>
      <c r="BN39" s="67">
        <f>IFERROR(Y39*I39,"0")</f>
        <v>188.3364</v>
      </c>
      <c r="BO39" s="67">
        <f>IFERROR(X39/J39,"0")</f>
        <v>0.7</v>
      </c>
      <c r="BP39" s="67">
        <f>IFERROR(Y39/J39,"0")</f>
        <v>0.7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8">
        <v>4607111036605</v>
      </c>
      <c r="E40" s="279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96"/>
      <c r="R40" s="296"/>
      <c r="S40" s="296"/>
      <c r="T40" s="297"/>
      <c r="U40" s="34"/>
      <c r="V40" s="34"/>
      <c r="W40" s="35" t="s">
        <v>69</v>
      </c>
      <c r="X40" s="268">
        <v>98</v>
      </c>
      <c r="Y40" s="269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302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303"/>
      <c r="P41" s="286" t="s">
        <v>82</v>
      </c>
      <c r="Q41" s="287"/>
      <c r="R41" s="287"/>
      <c r="S41" s="287"/>
      <c r="T41" s="287"/>
      <c r="U41" s="287"/>
      <c r="V41" s="288"/>
      <c r="W41" s="37" t="s">
        <v>69</v>
      </c>
      <c r="X41" s="270">
        <f>IFERROR(SUM(X39:X40),"0")</f>
        <v>196</v>
      </c>
      <c r="Y41" s="270">
        <f>IFERROR(SUM(Y39:Y40),"0")</f>
        <v>196</v>
      </c>
      <c r="Z41" s="270">
        <f>IFERROR(IF(Z39="",0,Z39),"0")+IFERROR(IF(Z40="",0,Z40),"0")</f>
        <v>1.84436</v>
      </c>
      <c r="AA41" s="271"/>
      <c r="AB41" s="271"/>
      <c r="AC41" s="271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303"/>
      <c r="P42" s="286" t="s">
        <v>82</v>
      </c>
      <c r="Q42" s="287"/>
      <c r="R42" s="287"/>
      <c r="S42" s="287"/>
      <c r="T42" s="287"/>
      <c r="U42" s="287"/>
      <c r="V42" s="288"/>
      <c r="W42" s="37" t="s">
        <v>83</v>
      </c>
      <c r="X42" s="270">
        <f>IFERROR(SUMPRODUCT(X39:X40*H39:H40),"0")</f>
        <v>294</v>
      </c>
      <c r="Y42" s="270">
        <f>IFERROR(SUMPRODUCT(Y39:Y40*H39:H40),"0")</f>
        <v>294</v>
      </c>
      <c r="Z42" s="37"/>
      <c r="AA42" s="271"/>
      <c r="AB42" s="271"/>
      <c r="AC42" s="271"/>
    </row>
    <row r="43" spans="1:68" ht="16.5" hidden="1" customHeight="1" x14ac:dyDescent="0.25">
      <c r="A43" s="284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3"/>
      <c r="AB43" s="263"/>
      <c r="AC43" s="263"/>
    </row>
    <row r="44" spans="1:68" ht="14.25" hidden="1" customHeight="1" x14ac:dyDescent="0.25">
      <c r="A44" s="276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8">
        <v>4620207490075</v>
      </c>
      <c r="E45" s="279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6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96"/>
      <c r="R45" s="296"/>
      <c r="S45" s="296"/>
      <c r="T45" s="297"/>
      <c r="U45" s="34"/>
      <c r="V45" s="34"/>
      <c r="W45" s="35" t="s">
        <v>69</v>
      </c>
      <c r="X45" s="268">
        <v>36</v>
      </c>
      <c r="Y45" s="269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8">
        <v>4620207490174</v>
      </c>
      <c r="E46" s="279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96"/>
      <c r="R46" s="296"/>
      <c r="S46" s="296"/>
      <c r="T46" s="297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8">
        <v>4620207490044</v>
      </c>
      <c r="E47" s="279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96"/>
      <c r="R47" s="296"/>
      <c r="S47" s="296"/>
      <c r="T47" s="297"/>
      <c r="U47" s="34"/>
      <c r="V47" s="34"/>
      <c r="W47" s="35" t="s">
        <v>69</v>
      </c>
      <c r="X47" s="268">
        <v>60</v>
      </c>
      <c r="Y47" s="269">
        <f>IFERROR(IF(X47="","",X47),"")</f>
        <v>60</v>
      </c>
      <c r="Z47" s="36">
        <f>IFERROR(IF(X47="","",X47*0.0155),"")</f>
        <v>0.92999999999999994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x14ac:dyDescent="0.2">
      <c r="A48" s="302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303"/>
      <c r="P48" s="286" t="s">
        <v>82</v>
      </c>
      <c r="Q48" s="287"/>
      <c r="R48" s="287"/>
      <c r="S48" s="287"/>
      <c r="T48" s="287"/>
      <c r="U48" s="287"/>
      <c r="V48" s="288"/>
      <c r="W48" s="37" t="s">
        <v>69</v>
      </c>
      <c r="X48" s="270">
        <f>IFERROR(SUM(X45:X47),"0")</f>
        <v>120</v>
      </c>
      <c r="Y48" s="270">
        <f>IFERROR(SUM(Y45:Y47),"0")</f>
        <v>120</v>
      </c>
      <c r="Z48" s="270">
        <f>IFERROR(IF(Z45="",0,Z45),"0")+IFERROR(IF(Z46="",0,Z46),"0")+IFERROR(IF(Z47="",0,Z47),"0")</f>
        <v>1.8599999999999999</v>
      </c>
      <c r="AA48" s="271"/>
      <c r="AB48" s="271"/>
      <c r="AC48" s="271"/>
    </row>
    <row r="49" spans="1:68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303"/>
      <c r="P49" s="286" t="s">
        <v>82</v>
      </c>
      <c r="Q49" s="287"/>
      <c r="R49" s="287"/>
      <c r="S49" s="287"/>
      <c r="T49" s="287"/>
      <c r="U49" s="287"/>
      <c r="V49" s="288"/>
      <c r="W49" s="37" t="s">
        <v>83</v>
      </c>
      <c r="X49" s="270">
        <f>IFERROR(SUMPRODUCT(X45:X47*H45:H47),"0")</f>
        <v>672</v>
      </c>
      <c r="Y49" s="270">
        <f>IFERROR(SUMPRODUCT(Y45:Y47*H45:H47),"0")</f>
        <v>672</v>
      </c>
      <c r="Z49" s="37"/>
      <c r="AA49" s="271"/>
      <c r="AB49" s="271"/>
      <c r="AC49" s="271"/>
    </row>
    <row r="50" spans="1:68" ht="16.5" hidden="1" customHeight="1" x14ac:dyDescent="0.25">
      <c r="A50" s="284" t="s">
        <v>112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3"/>
      <c r="AB50" s="263"/>
      <c r="AC50" s="263"/>
    </row>
    <row r="51" spans="1:68" ht="14.25" hidden="1" customHeight="1" x14ac:dyDescent="0.25">
      <c r="A51" s="276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8">
        <v>4607111039385</v>
      </c>
      <c r="E52" s="279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96"/>
      <c r="R52" s="296"/>
      <c r="S52" s="296"/>
      <c r="T52" s="297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78">
        <v>4607111038982</v>
      </c>
      <c r="E53" s="279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0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96"/>
      <c r="R53" s="296"/>
      <c r="S53" s="296"/>
      <c r="T53" s="29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8">
        <v>4607111039354</v>
      </c>
      <c r="E54" s="279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3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96"/>
      <c r="R54" s="296"/>
      <c r="S54" s="296"/>
      <c r="T54" s="297"/>
      <c r="U54" s="34"/>
      <c r="V54" s="34"/>
      <c r="W54" s="35" t="s">
        <v>69</v>
      </c>
      <c r="X54" s="268">
        <v>12</v>
      </c>
      <c r="Y54" s="269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8">
        <v>4607111039330</v>
      </c>
      <c r="E55" s="279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96"/>
      <c r="R55" s="296"/>
      <c r="S55" s="296"/>
      <c r="T55" s="297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302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303"/>
      <c r="P56" s="286" t="s">
        <v>82</v>
      </c>
      <c r="Q56" s="287"/>
      <c r="R56" s="287"/>
      <c r="S56" s="287"/>
      <c r="T56" s="287"/>
      <c r="U56" s="287"/>
      <c r="V56" s="288"/>
      <c r="W56" s="37" t="s">
        <v>69</v>
      </c>
      <c r="X56" s="270">
        <f>IFERROR(SUM(X52:X55),"0")</f>
        <v>60</v>
      </c>
      <c r="Y56" s="270">
        <f>IFERROR(SUM(Y52:Y55),"0")</f>
        <v>60</v>
      </c>
      <c r="Z56" s="270">
        <f>IFERROR(IF(Z52="",0,Z52),"0")+IFERROR(IF(Z53="",0,Z53),"0")+IFERROR(IF(Z54="",0,Z54),"0")+IFERROR(IF(Z55="",0,Z55),"0")</f>
        <v>0.92999999999999994</v>
      </c>
      <c r="AA56" s="271"/>
      <c r="AB56" s="271"/>
      <c r="AC56" s="271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303"/>
      <c r="P57" s="286" t="s">
        <v>82</v>
      </c>
      <c r="Q57" s="287"/>
      <c r="R57" s="287"/>
      <c r="S57" s="287"/>
      <c r="T57" s="287"/>
      <c r="U57" s="287"/>
      <c r="V57" s="288"/>
      <c r="W57" s="37" t="s">
        <v>83</v>
      </c>
      <c r="X57" s="270">
        <f>IFERROR(SUMPRODUCT(X52:X55*H52:H55),"0")</f>
        <v>412.8</v>
      </c>
      <c r="Y57" s="270">
        <f>IFERROR(SUMPRODUCT(Y52:Y55*H52:H55),"0")</f>
        <v>412.8</v>
      </c>
      <c r="Z57" s="37"/>
      <c r="AA57" s="271"/>
      <c r="AB57" s="271"/>
      <c r="AC57" s="271"/>
    </row>
    <row r="58" spans="1:68" ht="16.5" hidden="1" customHeight="1" x14ac:dyDescent="0.25">
      <c r="A58" s="284" t="s">
        <v>123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3"/>
      <c r="AB58" s="263"/>
      <c r="AC58" s="263"/>
    </row>
    <row r="59" spans="1:68" ht="14.25" hidden="1" customHeight="1" x14ac:dyDescent="0.25">
      <c r="A59" s="276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8">
        <v>4620207490822</v>
      </c>
      <c r="E60" s="279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2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96"/>
      <c r="R60" s="296"/>
      <c r="S60" s="296"/>
      <c r="T60" s="297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2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303"/>
      <c r="P61" s="286" t="s">
        <v>82</v>
      </c>
      <c r="Q61" s="287"/>
      <c r="R61" s="287"/>
      <c r="S61" s="287"/>
      <c r="T61" s="287"/>
      <c r="U61" s="287"/>
      <c r="V61" s="288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303"/>
      <c r="P62" s="286" t="s">
        <v>82</v>
      </c>
      <c r="Q62" s="287"/>
      <c r="R62" s="287"/>
      <c r="S62" s="287"/>
      <c r="T62" s="287"/>
      <c r="U62" s="287"/>
      <c r="V62" s="288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8">
        <v>4607111039712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4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96"/>
      <c r="R64" s="296"/>
      <c r="S64" s="296"/>
      <c r="T64" s="29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302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303"/>
      <c r="P65" s="286" t="s">
        <v>82</v>
      </c>
      <c r="Q65" s="287"/>
      <c r="R65" s="287"/>
      <c r="S65" s="287"/>
      <c r="T65" s="287"/>
      <c r="U65" s="287"/>
      <c r="V65" s="288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303"/>
      <c r="P66" s="286" t="s">
        <v>82</v>
      </c>
      <c r="Q66" s="287"/>
      <c r="R66" s="287"/>
      <c r="S66" s="287"/>
      <c r="T66" s="287"/>
      <c r="U66" s="287"/>
      <c r="V66" s="288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8">
        <v>4607111037008</v>
      </c>
      <c r="E68" s="279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96"/>
      <c r="R68" s="296"/>
      <c r="S68" s="296"/>
      <c r="T68" s="297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8">
        <v>4607111037398</v>
      </c>
      <c r="E69" s="279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2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303"/>
      <c r="P70" s="286" t="s">
        <v>82</v>
      </c>
      <c r="Q70" s="287"/>
      <c r="R70" s="287"/>
      <c r="S70" s="287"/>
      <c r="T70" s="287"/>
      <c r="U70" s="287"/>
      <c r="V70" s="288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303"/>
      <c r="P71" s="286" t="s">
        <v>82</v>
      </c>
      <c r="Q71" s="287"/>
      <c r="R71" s="287"/>
      <c r="S71" s="287"/>
      <c r="T71" s="287"/>
      <c r="U71" s="287"/>
      <c r="V71" s="288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8">
        <v>4607111039705</v>
      </c>
      <c r="E73" s="279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96"/>
      <c r="R73" s="296"/>
      <c r="S73" s="296"/>
      <c r="T73" s="297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78">
        <v>4607111039729</v>
      </c>
      <c r="E74" s="279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5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96"/>
      <c r="R74" s="296"/>
      <c r="S74" s="296"/>
      <c r="T74" s="297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78">
        <v>4620207490228</v>
      </c>
      <c r="E75" s="279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96"/>
      <c r="R75" s="296"/>
      <c r="S75" s="296"/>
      <c r="T75" s="297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2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303"/>
      <c r="P76" s="286" t="s">
        <v>82</v>
      </c>
      <c r="Q76" s="287"/>
      <c r="R76" s="287"/>
      <c r="S76" s="287"/>
      <c r="T76" s="287"/>
      <c r="U76" s="287"/>
      <c r="V76" s="288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303"/>
      <c r="P77" s="286" t="s">
        <v>82</v>
      </c>
      <c r="Q77" s="287"/>
      <c r="R77" s="287"/>
      <c r="S77" s="287"/>
      <c r="T77" s="287"/>
      <c r="U77" s="287"/>
      <c r="V77" s="288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4" t="s">
        <v>144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76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78">
        <v>4607111037411</v>
      </c>
      <c r="E80" s="279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36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96"/>
      <c r="R80" s="296"/>
      <c r="S80" s="296"/>
      <c r="T80" s="297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8">
        <v>4607111036728</v>
      </c>
      <c r="E81" s="279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96"/>
      <c r="R81" s="296"/>
      <c r="S81" s="296"/>
      <c r="T81" s="297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302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303"/>
      <c r="P82" s="286" t="s">
        <v>82</v>
      </c>
      <c r="Q82" s="287"/>
      <c r="R82" s="287"/>
      <c r="S82" s="287"/>
      <c r="T82" s="287"/>
      <c r="U82" s="287"/>
      <c r="V82" s="288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303"/>
      <c r="P83" s="286" t="s">
        <v>82</v>
      </c>
      <c r="Q83" s="287"/>
      <c r="R83" s="287"/>
      <c r="S83" s="287"/>
      <c r="T83" s="287"/>
      <c r="U83" s="287"/>
      <c r="V83" s="288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hidden="1" customHeight="1" x14ac:dyDescent="0.25">
      <c r="A84" s="284" t="s">
        <v>151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76" t="s">
        <v>136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8">
        <v>4607111033659</v>
      </c>
      <c r="E86" s="279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4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02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303"/>
      <c r="P87" s="286" t="s">
        <v>82</v>
      </c>
      <c r="Q87" s="287"/>
      <c r="R87" s="287"/>
      <c r="S87" s="287"/>
      <c r="T87" s="287"/>
      <c r="U87" s="287"/>
      <c r="V87" s="288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303"/>
      <c r="P88" s="286" t="s">
        <v>82</v>
      </c>
      <c r="Q88" s="287"/>
      <c r="R88" s="287"/>
      <c r="S88" s="287"/>
      <c r="T88" s="287"/>
      <c r="U88" s="287"/>
      <c r="V88" s="288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hidden="1" customHeight="1" x14ac:dyDescent="0.25">
      <c r="A89" s="284" t="s">
        <v>155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3"/>
      <c r="AB89" s="263"/>
      <c r="AC89" s="263"/>
    </row>
    <row r="90" spans="1:68" ht="14.25" hidden="1" customHeight="1" x14ac:dyDescent="0.25">
      <c r="A90" s="276" t="s">
        <v>156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8">
        <v>4607111034120</v>
      </c>
      <c r="E91" s="279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8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96"/>
      <c r="R91" s="296"/>
      <c r="S91" s="296"/>
      <c r="T91" s="297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8">
        <v>4607111034137</v>
      </c>
      <c r="E92" s="279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2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96"/>
      <c r="R92" s="296"/>
      <c r="S92" s="296"/>
      <c r="T92" s="297"/>
      <c r="U92" s="34"/>
      <c r="V92" s="34"/>
      <c r="W92" s="35" t="s">
        <v>69</v>
      </c>
      <c r="X92" s="268">
        <v>70</v>
      </c>
      <c r="Y92" s="269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30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303"/>
      <c r="P93" s="286" t="s">
        <v>82</v>
      </c>
      <c r="Q93" s="287"/>
      <c r="R93" s="287"/>
      <c r="S93" s="287"/>
      <c r="T93" s="287"/>
      <c r="U93" s="287"/>
      <c r="V93" s="288"/>
      <c r="W93" s="37" t="s">
        <v>69</v>
      </c>
      <c r="X93" s="270">
        <f>IFERROR(SUM(X91:X92),"0")</f>
        <v>140</v>
      </c>
      <c r="Y93" s="270">
        <f>IFERROR(SUM(Y91:Y92),"0")</f>
        <v>140</v>
      </c>
      <c r="Z93" s="270">
        <f>IFERROR(IF(Z91="",0,Z91),"0")+IFERROR(IF(Z92="",0,Z92),"0")</f>
        <v>2.5032000000000001</v>
      </c>
      <c r="AA93" s="271"/>
      <c r="AB93" s="271"/>
      <c r="AC93" s="271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303"/>
      <c r="P94" s="286" t="s">
        <v>82</v>
      </c>
      <c r="Q94" s="287"/>
      <c r="R94" s="287"/>
      <c r="S94" s="287"/>
      <c r="T94" s="287"/>
      <c r="U94" s="287"/>
      <c r="V94" s="288"/>
      <c r="W94" s="37" t="s">
        <v>83</v>
      </c>
      <c r="X94" s="270">
        <f>IFERROR(SUMPRODUCT(X91:X92*H91:H92),"0")</f>
        <v>504</v>
      </c>
      <c r="Y94" s="270">
        <f>IFERROR(SUMPRODUCT(Y91:Y92*H91:H92),"0")</f>
        <v>504</v>
      </c>
      <c r="Z94" s="37"/>
      <c r="AA94" s="271"/>
      <c r="AB94" s="271"/>
      <c r="AC94" s="271"/>
    </row>
    <row r="95" spans="1:68" ht="16.5" hidden="1" customHeight="1" x14ac:dyDescent="0.25">
      <c r="A95" s="284" t="s">
        <v>163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3"/>
      <c r="AB95" s="263"/>
      <c r="AC95" s="263"/>
    </row>
    <row r="96" spans="1:68" ht="14.25" hidden="1" customHeight="1" x14ac:dyDescent="0.25">
      <c r="A96" s="276" t="s">
        <v>136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8">
        <v>4620207491027</v>
      </c>
      <c r="E97" s="279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44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96"/>
      <c r="R97" s="296"/>
      <c r="S97" s="296"/>
      <c r="T97" s="297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8">
        <v>4620207491003</v>
      </c>
      <c r="E98" s="279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96"/>
      <c r="R98" s="296"/>
      <c r="S98" s="296"/>
      <c r="T98" s="297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8">
        <v>4620207491034</v>
      </c>
      <c r="E99" s="279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4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96"/>
      <c r="R99" s="296"/>
      <c r="S99" s="296"/>
      <c r="T99" s="297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8">
        <v>4620207491010</v>
      </c>
      <c r="E100" s="279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96"/>
      <c r="R100" s="296"/>
      <c r="S100" s="296"/>
      <c r="T100" s="297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8">
        <v>4607111035028</v>
      </c>
      <c r="E101" s="279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38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96"/>
      <c r="R101" s="296"/>
      <c r="S101" s="296"/>
      <c r="T101" s="297"/>
      <c r="U101" s="34"/>
      <c r="V101" s="34"/>
      <c r="W101" s="35" t="s">
        <v>69</v>
      </c>
      <c r="X101" s="268">
        <v>42</v>
      </c>
      <c r="Y101" s="269">
        <f t="shared" si="6"/>
        <v>42</v>
      </c>
      <c r="Z101" s="36">
        <f t="shared" si="7"/>
        <v>0.75095999999999996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8">
        <v>4607111036407</v>
      </c>
      <c r="E102" s="279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96"/>
      <c r="R102" s="296"/>
      <c r="S102" s="296"/>
      <c r="T102" s="297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302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303"/>
      <c r="P103" s="286" t="s">
        <v>82</v>
      </c>
      <c r="Q103" s="287"/>
      <c r="R103" s="287"/>
      <c r="S103" s="287"/>
      <c r="T103" s="287"/>
      <c r="U103" s="287"/>
      <c r="V103" s="288"/>
      <c r="W103" s="37" t="s">
        <v>69</v>
      </c>
      <c r="X103" s="270">
        <f>IFERROR(SUM(X97:X102),"0")</f>
        <v>294</v>
      </c>
      <c r="Y103" s="270">
        <f>IFERROR(SUM(Y97:Y102),"0")</f>
        <v>294</v>
      </c>
      <c r="Z103" s="270">
        <f>IFERROR(IF(Z97="",0,Z97),"0")+IFERROR(IF(Z98="",0,Z98),"0")+IFERROR(IF(Z99="",0,Z99),"0")+IFERROR(IF(Z100="",0,Z100),"0")+IFERROR(IF(Z101="",0,Z101),"0")+IFERROR(IF(Z102="",0,Z102),"0")</f>
        <v>5.2567200000000005</v>
      </c>
      <c r="AA103" s="271"/>
      <c r="AB103" s="271"/>
      <c r="AC103" s="271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303"/>
      <c r="P104" s="286" t="s">
        <v>82</v>
      </c>
      <c r="Q104" s="287"/>
      <c r="R104" s="287"/>
      <c r="S104" s="287"/>
      <c r="T104" s="287"/>
      <c r="U104" s="287"/>
      <c r="V104" s="288"/>
      <c r="W104" s="37" t="s">
        <v>83</v>
      </c>
      <c r="X104" s="270">
        <f>IFERROR(SUMPRODUCT(X97:X102*H97:H102),"0")</f>
        <v>905.51999999999987</v>
      </c>
      <c r="Y104" s="270">
        <f>IFERROR(SUMPRODUCT(Y97:Y102*H97:H102),"0")</f>
        <v>905.51999999999987</v>
      </c>
      <c r="Z104" s="37"/>
      <c r="AA104" s="271"/>
      <c r="AB104" s="271"/>
      <c r="AC104" s="271"/>
    </row>
    <row r="105" spans="1:68" ht="16.5" hidden="1" customHeight="1" x14ac:dyDescent="0.25">
      <c r="A105" s="284" t="s">
        <v>178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78">
        <v>4607025784012</v>
      </c>
      <c r="E107" s="279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298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96"/>
      <c r="R107" s="296"/>
      <c r="S107" s="296"/>
      <c r="T107" s="297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78">
        <v>4607025784319</v>
      </c>
      <c r="E108" s="279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5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96"/>
      <c r="R108" s="296"/>
      <c r="S108" s="296"/>
      <c r="T108" s="297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302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303"/>
      <c r="P109" s="286" t="s">
        <v>82</v>
      </c>
      <c r="Q109" s="287"/>
      <c r="R109" s="287"/>
      <c r="S109" s="287"/>
      <c r="T109" s="287"/>
      <c r="U109" s="287"/>
      <c r="V109" s="288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303"/>
      <c r="P110" s="286" t="s">
        <v>82</v>
      </c>
      <c r="Q110" s="287"/>
      <c r="R110" s="287"/>
      <c r="S110" s="287"/>
      <c r="T110" s="287"/>
      <c r="U110" s="287"/>
      <c r="V110" s="288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4" t="s">
        <v>184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78">
        <v>4620207491393</v>
      </c>
      <c r="E113" s="279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96"/>
      <c r="R113" s="296"/>
      <c r="S113" s="296"/>
      <c r="T113" s="297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78">
        <v>4620207491157</v>
      </c>
      <c r="E114" s="279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30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96"/>
      <c r="R114" s="296"/>
      <c r="S114" s="296"/>
      <c r="T114" s="297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8">
        <v>4607111039262</v>
      </c>
      <c r="E115" s="279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41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96"/>
      <c r="R115" s="296"/>
      <c r="S115" s="296"/>
      <c r="T115" s="297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8">
        <v>4607111039248</v>
      </c>
      <c r="E116" s="279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96"/>
      <c r="R116" s="296"/>
      <c r="S116" s="296"/>
      <c r="T116" s="297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8">
        <v>4607111037145</v>
      </c>
      <c r="E117" s="279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96"/>
      <c r="R117" s="296"/>
      <c r="S117" s="296"/>
      <c r="T117" s="297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8">
        <v>4607111039293</v>
      </c>
      <c r="E118" s="279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96"/>
      <c r="R118" s="296"/>
      <c r="S118" s="296"/>
      <c r="T118" s="297"/>
      <c r="U118" s="34"/>
      <c r="V118" s="34"/>
      <c r="W118" s="35" t="s">
        <v>69</v>
      </c>
      <c r="X118" s="268">
        <v>36</v>
      </c>
      <c r="Y118" s="269">
        <f t="shared" si="12"/>
        <v>36</v>
      </c>
      <c r="Z118" s="36">
        <f t="shared" si="13"/>
        <v>0.55800000000000005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8">
        <v>4607111039279</v>
      </c>
      <c r="E119" s="279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96"/>
      <c r="R119" s="296"/>
      <c r="S119" s="296"/>
      <c r="T119" s="297"/>
      <c r="U119" s="34"/>
      <c r="V119" s="34"/>
      <c r="W119" s="35" t="s">
        <v>69</v>
      </c>
      <c r="X119" s="268">
        <v>132</v>
      </c>
      <c r="Y119" s="269">
        <f t="shared" si="12"/>
        <v>132</v>
      </c>
      <c r="Z119" s="36">
        <f t="shared" si="13"/>
        <v>2.0459999999999998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78">
        <v>4607111037435</v>
      </c>
      <c r="E120" s="279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96"/>
      <c r="R120" s="296"/>
      <c r="S120" s="296"/>
      <c r="T120" s="297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302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303"/>
      <c r="P121" s="286" t="s">
        <v>82</v>
      </c>
      <c r="Q121" s="287"/>
      <c r="R121" s="287"/>
      <c r="S121" s="287"/>
      <c r="T121" s="287"/>
      <c r="U121" s="287"/>
      <c r="V121" s="288"/>
      <c r="W121" s="37" t="s">
        <v>69</v>
      </c>
      <c r="X121" s="270">
        <f>IFERROR(SUM(X113:X120),"0")</f>
        <v>264</v>
      </c>
      <c r="Y121" s="270">
        <f>IFERROR(SUM(Y113:Y120),"0")</f>
        <v>264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4.0920000000000005</v>
      </c>
      <c r="AA121" s="271"/>
      <c r="AB121" s="271"/>
      <c r="AC121" s="271"/>
    </row>
    <row r="122" spans="1:68" x14ac:dyDescent="0.2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303"/>
      <c r="P122" s="286" t="s">
        <v>82</v>
      </c>
      <c r="Q122" s="287"/>
      <c r="R122" s="287"/>
      <c r="S122" s="287"/>
      <c r="T122" s="287"/>
      <c r="U122" s="287"/>
      <c r="V122" s="288"/>
      <c r="W122" s="37" t="s">
        <v>83</v>
      </c>
      <c r="X122" s="270">
        <f>IFERROR(SUMPRODUCT(X113:X120*H113:H120),"0")</f>
        <v>1812</v>
      </c>
      <c r="Y122" s="270">
        <f>IFERROR(SUMPRODUCT(Y113:Y120*H113:H120),"0")</f>
        <v>1812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78">
        <v>4620207490983</v>
      </c>
      <c r="E124" s="279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3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96"/>
      <c r="R124" s="296"/>
      <c r="S124" s="296"/>
      <c r="T124" s="297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302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303"/>
      <c r="P125" s="286" t="s">
        <v>82</v>
      </c>
      <c r="Q125" s="287"/>
      <c r="R125" s="287"/>
      <c r="S125" s="287"/>
      <c r="T125" s="287"/>
      <c r="U125" s="287"/>
      <c r="V125" s="288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303"/>
      <c r="P126" s="286" t="s">
        <v>82</v>
      </c>
      <c r="Q126" s="287"/>
      <c r="R126" s="287"/>
      <c r="S126" s="287"/>
      <c r="T126" s="287"/>
      <c r="U126" s="287"/>
      <c r="V126" s="288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8">
        <v>4620207491140</v>
      </c>
      <c r="E128" s="279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34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96"/>
      <c r="R128" s="296"/>
      <c r="S128" s="296"/>
      <c r="T128" s="297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302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303"/>
      <c r="P129" s="286" t="s">
        <v>82</v>
      </c>
      <c r="Q129" s="287"/>
      <c r="R129" s="287"/>
      <c r="S129" s="287"/>
      <c r="T129" s="287"/>
      <c r="U129" s="287"/>
      <c r="V129" s="288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303"/>
      <c r="P130" s="286" t="s">
        <v>82</v>
      </c>
      <c r="Q130" s="287"/>
      <c r="R130" s="287"/>
      <c r="S130" s="287"/>
      <c r="T130" s="287"/>
      <c r="U130" s="287"/>
      <c r="V130" s="288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4" t="s">
        <v>213</v>
      </c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8">
        <v>4607111034014</v>
      </c>
      <c r="E133" s="279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33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96"/>
      <c r="R133" s="296"/>
      <c r="S133" s="296"/>
      <c r="T133" s="297"/>
      <c r="U133" s="34"/>
      <c r="V133" s="34"/>
      <c r="W133" s="35" t="s">
        <v>69</v>
      </c>
      <c r="X133" s="268">
        <v>168</v>
      </c>
      <c r="Y133" s="269">
        <f>IFERROR(IF(X133="","",X133),"")</f>
        <v>168</v>
      </c>
      <c r="Z133" s="36">
        <f>IFERROR(IF(X133="","",X133*0.01788),"")</f>
        <v>3.0038399999999998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622.20479999999998</v>
      </c>
      <c r="BN133" s="67">
        <f>IFERROR(Y133*I133,"0")</f>
        <v>622.20479999999998</v>
      </c>
      <c r="BO133" s="67">
        <f>IFERROR(X133/J133,"0")</f>
        <v>2.4</v>
      </c>
      <c r="BP133" s="67">
        <f>IFERROR(Y133/J133,"0")</f>
        <v>2.4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8">
        <v>4607111033994</v>
      </c>
      <c r="E134" s="279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3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96"/>
      <c r="R134" s="296"/>
      <c r="S134" s="296"/>
      <c r="T134" s="297"/>
      <c r="U134" s="34"/>
      <c r="V134" s="34"/>
      <c r="W134" s="35" t="s">
        <v>69</v>
      </c>
      <c r="X134" s="268">
        <v>154</v>
      </c>
      <c r="Y134" s="269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x14ac:dyDescent="0.2">
      <c r="A135" s="302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303"/>
      <c r="P135" s="286" t="s">
        <v>82</v>
      </c>
      <c r="Q135" s="287"/>
      <c r="R135" s="287"/>
      <c r="S135" s="287"/>
      <c r="T135" s="287"/>
      <c r="U135" s="287"/>
      <c r="V135" s="288"/>
      <c r="W135" s="37" t="s">
        <v>69</v>
      </c>
      <c r="X135" s="270">
        <f>IFERROR(SUM(X133:X134),"0")</f>
        <v>322</v>
      </c>
      <c r="Y135" s="270">
        <f>IFERROR(SUM(Y133:Y134),"0")</f>
        <v>322</v>
      </c>
      <c r="Z135" s="270">
        <f>IFERROR(IF(Z133="",0,Z133),"0")+IFERROR(IF(Z134="",0,Z134),"0")</f>
        <v>5.7573600000000003</v>
      </c>
      <c r="AA135" s="271"/>
      <c r="AB135" s="271"/>
      <c r="AC135" s="271"/>
    </row>
    <row r="136" spans="1:68" x14ac:dyDescent="0.2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303"/>
      <c r="P136" s="286" t="s">
        <v>82</v>
      </c>
      <c r="Q136" s="287"/>
      <c r="R136" s="287"/>
      <c r="S136" s="287"/>
      <c r="T136" s="287"/>
      <c r="U136" s="287"/>
      <c r="V136" s="288"/>
      <c r="W136" s="37" t="s">
        <v>83</v>
      </c>
      <c r="X136" s="270">
        <f>IFERROR(SUMPRODUCT(X133:X134*H133:H134),"0")</f>
        <v>966</v>
      </c>
      <c r="Y136" s="270">
        <f>IFERROR(SUMPRODUCT(Y133:Y134*H133:H134),"0")</f>
        <v>966</v>
      </c>
      <c r="Z136" s="37"/>
      <c r="AA136" s="271"/>
      <c r="AB136" s="271"/>
      <c r="AC136" s="271"/>
    </row>
    <row r="137" spans="1:68" ht="16.5" hidden="1" customHeight="1" x14ac:dyDescent="0.25">
      <c r="A137" s="284" t="s">
        <v>221</v>
      </c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78">
        <v>4607111039095</v>
      </c>
      <c r="E139" s="279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34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96"/>
      <c r="R139" s="296"/>
      <c r="S139" s="296"/>
      <c r="T139" s="297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8">
        <v>4607111034199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96"/>
      <c r="R140" s="296"/>
      <c r="S140" s="296"/>
      <c r="T140" s="297"/>
      <c r="U140" s="34"/>
      <c r="V140" s="34"/>
      <c r="W140" s="35" t="s">
        <v>69</v>
      </c>
      <c r="X140" s="268">
        <v>84</v>
      </c>
      <c r="Y140" s="269">
        <f>IFERROR(IF(X140="","",X140),"")</f>
        <v>84</v>
      </c>
      <c r="Z140" s="36">
        <f>IFERROR(IF(X140="","",X140*0.01788),"")</f>
        <v>1.5019199999999999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311.10239999999999</v>
      </c>
      <c r="BN140" s="67">
        <f>IFERROR(Y140*I140,"0")</f>
        <v>311.10239999999999</v>
      </c>
      <c r="BO140" s="67">
        <f>IFERROR(X140/J140,"0")</f>
        <v>1.2</v>
      </c>
      <c r="BP140" s="67">
        <f>IFERROR(Y140/J140,"0")</f>
        <v>1.2</v>
      </c>
    </row>
    <row r="141" spans="1:68" x14ac:dyDescent="0.2">
      <c r="A141" s="30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303"/>
      <c r="P141" s="286" t="s">
        <v>82</v>
      </c>
      <c r="Q141" s="287"/>
      <c r="R141" s="287"/>
      <c r="S141" s="287"/>
      <c r="T141" s="287"/>
      <c r="U141" s="287"/>
      <c r="V141" s="288"/>
      <c r="W141" s="37" t="s">
        <v>69</v>
      </c>
      <c r="X141" s="270">
        <f>IFERROR(SUM(X139:X140),"0")</f>
        <v>84</v>
      </c>
      <c r="Y141" s="270">
        <f>IFERROR(SUM(Y139:Y140),"0")</f>
        <v>84</v>
      </c>
      <c r="Z141" s="270">
        <f>IFERROR(IF(Z139="",0,Z139),"0")+IFERROR(IF(Z140="",0,Z140),"0")</f>
        <v>1.5019199999999999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303"/>
      <c r="P142" s="286" t="s">
        <v>82</v>
      </c>
      <c r="Q142" s="287"/>
      <c r="R142" s="287"/>
      <c r="S142" s="287"/>
      <c r="T142" s="287"/>
      <c r="U142" s="287"/>
      <c r="V142" s="288"/>
      <c r="W142" s="37" t="s">
        <v>83</v>
      </c>
      <c r="X142" s="270">
        <f>IFERROR(SUMPRODUCT(X139:X140*H139:H140),"0")</f>
        <v>252</v>
      </c>
      <c r="Y142" s="270">
        <f>IFERROR(SUMPRODUCT(Y139:Y140*H139:H140),"0")</f>
        <v>252</v>
      </c>
      <c r="Z142" s="37"/>
      <c r="AA142" s="271"/>
      <c r="AB142" s="271"/>
      <c r="AC142" s="271"/>
    </row>
    <row r="143" spans="1:68" ht="16.5" hidden="1" customHeight="1" x14ac:dyDescent="0.25">
      <c r="A143" s="284" t="s">
        <v>228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8">
        <v>4620207490914</v>
      </c>
      <c r="E145" s="279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4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96"/>
      <c r="R145" s="296"/>
      <c r="S145" s="296"/>
      <c r="T145" s="297"/>
      <c r="U145" s="34"/>
      <c r="V145" s="34"/>
      <c r="W145" s="35" t="s">
        <v>69</v>
      </c>
      <c r="X145" s="268">
        <v>84</v>
      </c>
      <c r="Y145" s="269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8">
        <v>4620207490853</v>
      </c>
      <c r="E146" s="279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3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96"/>
      <c r="R146" s="296"/>
      <c r="S146" s="296"/>
      <c r="T146" s="297"/>
      <c r="U146" s="34"/>
      <c r="V146" s="34"/>
      <c r="W146" s="35" t="s">
        <v>69</v>
      </c>
      <c r="X146" s="268">
        <v>28</v>
      </c>
      <c r="Y146" s="269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302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303"/>
      <c r="P147" s="286" t="s">
        <v>82</v>
      </c>
      <c r="Q147" s="287"/>
      <c r="R147" s="287"/>
      <c r="S147" s="287"/>
      <c r="T147" s="287"/>
      <c r="U147" s="287"/>
      <c r="V147" s="288"/>
      <c r="W147" s="37" t="s">
        <v>69</v>
      </c>
      <c r="X147" s="270">
        <f>IFERROR(SUM(X145:X146),"0")</f>
        <v>112</v>
      </c>
      <c r="Y147" s="270">
        <f>IFERROR(SUM(Y145:Y146),"0")</f>
        <v>112</v>
      </c>
      <c r="Z147" s="270">
        <f>IFERROR(IF(Z145="",0,Z145),"0")+IFERROR(IF(Z146="",0,Z146),"0")</f>
        <v>2.0025599999999999</v>
      </c>
      <c r="AA147" s="271"/>
      <c r="AB147" s="271"/>
      <c r="AC147" s="271"/>
    </row>
    <row r="148" spans="1:68" x14ac:dyDescent="0.2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303"/>
      <c r="P148" s="286" t="s">
        <v>82</v>
      </c>
      <c r="Q148" s="287"/>
      <c r="R148" s="287"/>
      <c r="S148" s="287"/>
      <c r="T148" s="287"/>
      <c r="U148" s="287"/>
      <c r="V148" s="288"/>
      <c r="W148" s="37" t="s">
        <v>83</v>
      </c>
      <c r="X148" s="270">
        <f>IFERROR(SUMPRODUCT(X145:X146*H145:H146),"0")</f>
        <v>268.8</v>
      </c>
      <c r="Y148" s="270">
        <f>IFERROR(SUMPRODUCT(Y145:Y146*H145:H146),"0")</f>
        <v>268.8</v>
      </c>
      <c r="Z148" s="37"/>
      <c r="AA148" s="271"/>
      <c r="AB148" s="271"/>
      <c r="AC148" s="271"/>
    </row>
    <row r="149" spans="1:68" ht="16.5" hidden="1" customHeight="1" x14ac:dyDescent="0.25">
      <c r="A149" s="284" t="s">
        <v>233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8">
        <v>4607111035806</v>
      </c>
      <c r="E151" s="279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96"/>
      <c r="R151" s="296"/>
      <c r="S151" s="296"/>
      <c r="T151" s="297"/>
      <c r="U151" s="34"/>
      <c r="V151" s="34"/>
      <c r="W151" s="35" t="s">
        <v>69</v>
      </c>
      <c r="X151" s="268">
        <v>42</v>
      </c>
      <c r="Y151" s="269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302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303"/>
      <c r="P152" s="286" t="s">
        <v>82</v>
      </c>
      <c r="Q152" s="287"/>
      <c r="R152" s="287"/>
      <c r="S152" s="287"/>
      <c r="T152" s="287"/>
      <c r="U152" s="287"/>
      <c r="V152" s="288"/>
      <c r="W152" s="37" t="s">
        <v>69</v>
      </c>
      <c r="X152" s="270">
        <f>IFERROR(SUM(X151:X151),"0")</f>
        <v>42</v>
      </c>
      <c r="Y152" s="270">
        <f>IFERROR(SUM(Y151:Y151),"0")</f>
        <v>42</v>
      </c>
      <c r="Z152" s="270">
        <f>IFERROR(IF(Z151="",0,Z151),"0")</f>
        <v>0.75095999999999996</v>
      </c>
      <c r="AA152" s="271"/>
      <c r="AB152" s="271"/>
      <c r="AC152" s="271"/>
    </row>
    <row r="153" spans="1:68" x14ac:dyDescent="0.2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303"/>
      <c r="P153" s="286" t="s">
        <v>82</v>
      </c>
      <c r="Q153" s="287"/>
      <c r="R153" s="287"/>
      <c r="S153" s="287"/>
      <c r="T153" s="287"/>
      <c r="U153" s="287"/>
      <c r="V153" s="288"/>
      <c r="W153" s="37" t="s">
        <v>83</v>
      </c>
      <c r="X153" s="270">
        <f>IFERROR(SUMPRODUCT(X151:X151*H151:H151),"0")</f>
        <v>126</v>
      </c>
      <c r="Y153" s="270">
        <f>IFERROR(SUMPRODUCT(Y151:Y151*H151:H151),"0")</f>
        <v>126</v>
      </c>
      <c r="Z153" s="37"/>
      <c r="AA153" s="271"/>
      <c r="AB153" s="271"/>
      <c r="AC153" s="271"/>
    </row>
    <row r="154" spans="1:68" ht="16.5" hidden="1" customHeight="1" x14ac:dyDescent="0.25">
      <c r="A154" s="284" t="s">
        <v>237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8">
        <v>4607111039613</v>
      </c>
      <c r="E156" s="279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5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96"/>
      <c r="R156" s="296"/>
      <c r="S156" s="296"/>
      <c r="T156" s="297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302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303"/>
      <c r="P157" s="286" t="s">
        <v>82</v>
      </c>
      <c r="Q157" s="287"/>
      <c r="R157" s="287"/>
      <c r="S157" s="287"/>
      <c r="T157" s="287"/>
      <c r="U157" s="287"/>
      <c r="V157" s="288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303"/>
      <c r="P158" s="286" t="s">
        <v>82</v>
      </c>
      <c r="Q158" s="287"/>
      <c r="R158" s="287"/>
      <c r="S158" s="287"/>
      <c r="T158" s="287"/>
      <c r="U158" s="287"/>
      <c r="V158" s="288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4" t="s">
        <v>240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8">
        <v>4607111035646</v>
      </c>
      <c r="E161" s="279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7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96"/>
      <c r="R161" s="296"/>
      <c r="S161" s="296"/>
      <c r="T161" s="297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302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303"/>
      <c r="P162" s="286" t="s">
        <v>82</v>
      </c>
      <c r="Q162" s="287"/>
      <c r="R162" s="287"/>
      <c r="S162" s="287"/>
      <c r="T162" s="287"/>
      <c r="U162" s="287"/>
      <c r="V162" s="288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303"/>
      <c r="P163" s="286" t="s">
        <v>82</v>
      </c>
      <c r="Q163" s="287"/>
      <c r="R163" s="287"/>
      <c r="S163" s="287"/>
      <c r="T163" s="287"/>
      <c r="U163" s="287"/>
      <c r="V163" s="288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4" t="s">
        <v>245</v>
      </c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8">
        <v>4607111036568</v>
      </c>
      <c r="E166" s="279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4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96"/>
      <c r="R166" s="296"/>
      <c r="S166" s="296"/>
      <c r="T166" s="297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302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303"/>
      <c r="P167" s="286" t="s">
        <v>82</v>
      </c>
      <c r="Q167" s="287"/>
      <c r="R167" s="287"/>
      <c r="S167" s="287"/>
      <c r="T167" s="287"/>
      <c r="U167" s="287"/>
      <c r="V167" s="288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303"/>
      <c r="P168" s="286" t="s">
        <v>82</v>
      </c>
      <c r="Q168" s="287"/>
      <c r="R168" s="287"/>
      <c r="S168" s="287"/>
      <c r="T168" s="287"/>
      <c r="U168" s="287"/>
      <c r="V168" s="288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hidden="1" customHeight="1" x14ac:dyDescent="0.2">
      <c r="A169" s="274" t="s">
        <v>249</v>
      </c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48"/>
      <c r="AB169" s="48"/>
      <c r="AC169" s="48"/>
    </row>
    <row r="170" spans="1:68" ht="16.5" hidden="1" customHeight="1" x14ac:dyDescent="0.25">
      <c r="A170" s="284" t="s">
        <v>250</v>
      </c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8">
        <v>4607111036384</v>
      </c>
      <c r="E172" s="279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45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96"/>
      <c r="R172" s="296"/>
      <c r="S172" s="296"/>
      <c r="T172" s="297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78">
        <v>4607111036216</v>
      </c>
      <c r="E173" s="279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96"/>
      <c r="R173" s="296"/>
      <c r="S173" s="296"/>
      <c r="T173" s="29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02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303"/>
      <c r="P174" s="286" t="s">
        <v>82</v>
      </c>
      <c r="Q174" s="287"/>
      <c r="R174" s="287"/>
      <c r="S174" s="287"/>
      <c r="T174" s="287"/>
      <c r="U174" s="287"/>
      <c r="V174" s="288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303"/>
      <c r="P175" s="286" t="s">
        <v>82</v>
      </c>
      <c r="Q175" s="287"/>
      <c r="R175" s="287"/>
      <c r="S175" s="287"/>
      <c r="T175" s="287"/>
      <c r="U175" s="287"/>
      <c r="V175" s="288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74" t="s">
        <v>257</v>
      </c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5"/>
      <c r="AA176" s="48"/>
      <c r="AB176" s="48"/>
      <c r="AC176" s="48"/>
    </row>
    <row r="177" spans="1:68" ht="16.5" hidden="1" customHeight="1" x14ac:dyDescent="0.25">
      <c r="A177" s="284" t="s">
        <v>258</v>
      </c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8">
        <v>4607111035691</v>
      </c>
      <c r="E179" s="279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96"/>
      <c r="R179" s="296"/>
      <c r="S179" s="296"/>
      <c r="T179" s="297"/>
      <c r="U179" s="34"/>
      <c r="V179" s="34"/>
      <c r="W179" s="35" t="s">
        <v>69</v>
      </c>
      <c r="X179" s="268">
        <v>140</v>
      </c>
      <c r="Y179" s="269">
        <f>IFERROR(IF(X179="","",X179),"")</f>
        <v>140</v>
      </c>
      <c r="Z179" s="36">
        <f>IFERROR(IF(X179="","",X179*0.01788),"")</f>
        <v>2.5032000000000001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474.32</v>
      </c>
      <c r="BN179" s="67">
        <f>IFERROR(Y179*I179,"0")</f>
        <v>474.32</v>
      </c>
      <c r="BO179" s="67">
        <f>IFERROR(X179/J179,"0")</f>
        <v>2</v>
      </c>
      <c r="BP179" s="67">
        <f>IFERROR(Y179/J179,"0")</f>
        <v>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8">
        <v>4607111035721</v>
      </c>
      <c r="E180" s="279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40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96"/>
      <c r="R180" s="296"/>
      <c r="S180" s="296"/>
      <c r="T180" s="297"/>
      <c r="U180" s="34"/>
      <c r="V180" s="34"/>
      <c r="W180" s="35" t="s">
        <v>69</v>
      </c>
      <c r="X180" s="268">
        <v>70</v>
      </c>
      <c r="Y180" s="269">
        <f>IFERROR(IF(X180="","",X180),"")</f>
        <v>70</v>
      </c>
      <c r="Z180" s="36">
        <f>IFERROR(IF(X180="","",X180*0.01788),"")</f>
        <v>1.2516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237.16</v>
      </c>
      <c r="BN180" s="67">
        <f>IFERROR(Y180*I180,"0")</f>
        <v>237.16</v>
      </c>
      <c r="BO180" s="67">
        <f>IFERROR(X180/J180,"0")</f>
        <v>1</v>
      </c>
      <c r="BP180" s="67">
        <f>IFERROR(Y180/J180,"0")</f>
        <v>1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8">
        <v>4607111038487</v>
      </c>
      <c r="E181" s="279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96"/>
      <c r="R181" s="296"/>
      <c r="S181" s="296"/>
      <c r="T181" s="297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302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303"/>
      <c r="P182" s="286" t="s">
        <v>82</v>
      </c>
      <c r="Q182" s="287"/>
      <c r="R182" s="287"/>
      <c r="S182" s="287"/>
      <c r="T182" s="287"/>
      <c r="U182" s="287"/>
      <c r="V182" s="288"/>
      <c r="W182" s="37" t="s">
        <v>69</v>
      </c>
      <c r="X182" s="270">
        <f>IFERROR(SUM(X179:X181),"0")</f>
        <v>210</v>
      </c>
      <c r="Y182" s="270">
        <f>IFERROR(SUM(Y179:Y181),"0")</f>
        <v>210</v>
      </c>
      <c r="Z182" s="270">
        <f>IFERROR(IF(Z179="",0,Z179),"0")+IFERROR(IF(Z180="",0,Z180),"0")+IFERROR(IF(Z181="",0,Z181),"0")</f>
        <v>3.7548000000000004</v>
      </c>
      <c r="AA182" s="271"/>
      <c r="AB182" s="271"/>
      <c r="AC182" s="271"/>
    </row>
    <row r="183" spans="1:68" x14ac:dyDescent="0.2">
      <c r="A183" s="277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303"/>
      <c r="P183" s="286" t="s">
        <v>82</v>
      </c>
      <c r="Q183" s="287"/>
      <c r="R183" s="287"/>
      <c r="S183" s="287"/>
      <c r="T183" s="287"/>
      <c r="U183" s="287"/>
      <c r="V183" s="288"/>
      <c r="W183" s="37" t="s">
        <v>83</v>
      </c>
      <c r="X183" s="270">
        <f>IFERROR(SUMPRODUCT(X179:X181*H179:H181),"0")</f>
        <v>630</v>
      </c>
      <c r="Y183" s="270">
        <f>IFERROR(SUMPRODUCT(Y179:Y181*H179:H181),"0")</f>
        <v>630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8">
        <v>4680115885875</v>
      </c>
      <c r="E185" s="279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400" t="s">
        <v>273</v>
      </c>
      <c r="Q185" s="296"/>
      <c r="R185" s="296"/>
      <c r="S185" s="296"/>
      <c r="T185" s="29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302"/>
      <c r="B186" s="277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303"/>
      <c r="P186" s="286" t="s">
        <v>82</v>
      </c>
      <c r="Q186" s="287"/>
      <c r="R186" s="287"/>
      <c r="S186" s="287"/>
      <c r="T186" s="287"/>
      <c r="U186" s="287"/>
      <c r="V186" s="288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7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303"/>
      <c r="P187" s="286" t="s">
        <v>82</v>
      </c>
      <c r="Q187" s="287"/>
      <c r="R187" s="287"/>
      <c r="S187" s="287"/>
      <c r="T187" s="287"/>
      <c r="U187" s="287"/>
      <c r="V187" s="288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74" t="s">
        <v>276</v>
      </c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5"/>
      <c r="AA188" s="48"/>
      <c r="AB188" s="48"/>
      <c r="AC188" s="48"/>
    </row>
    <row r="189" spans="1:68" ht="16.5" hidden="1" customHeight="1" x14ac:dyDescent="0.25">
      <c r="A189" s="284" t="s">
        <v>277</v>
      </c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8">
        <v>4620207491133</v>
      </c>
      <c r="E191" s="279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3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96"/>
      <c r="R191" s="296"/>
      <c r="S191" s="296"/>
      <c r="T191" s="29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302"/>
      <c r="B192" s="277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303"/>
      <c r="P192" s="286" t="s">
        <v>82</v>
      </c>
      <c r="Q192" s="287"/>
      <c r="R192" s="287"/>
      <c r="S192" s="287"/>
      <c r="T192" s="287"/>
      <c r="U192" s="287"/>
      <c r="V192" s="288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7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303"/>
      <c r="P193" s="286" t="s">
        <v>82</v>
      </c>
      <c r="Q193" s="287"/>
      <c r="R193" s="287"/>
      <c r="S193" s="287"/>
      <c r="T193" s="287"/>
      <c r="U193" s="287"/>
      <c r="V193" s="288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8">
        <v>4620207491188</v>
      </c>
      <c r="E195" s="279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4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96"/>
      <c r="R195" s="296"/>
      <c r="S195" s="296"/>
      <c r="T195" s="297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8">
        <v>4620207490198</v>
      </c>
      <c r="E196" s="279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96"/>
      <c r="R196" s="296"/>
      <c r="S196" s="296"/>
      <c r="T196" s="297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8">
        <v>4620207490235</v>
      </c>
      <c r="E197" s="279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0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96"/>
      <c r="R197" s="296"/>
      <c r="S197" s="296"/>
      <c r="T197" s="297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8">
        <v>4620207490259</v>
      </c>
      <c r="E198" s="279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96"/>
      <c r="R198" s="296"/>
      <c r="S198" s="296"/>
      <c r="T198" s="297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8">
        <v>4620207490143</v>
      </c>
      <c r="E199" s="279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96"/>
      <c r="R199" s="296"/>
      <c r="S199" s="296"/>
      <c r="T199" s="297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02"/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303"/>
      <c r="P200" s="286" t="s">
        <v>82</v>
      </c>
      <c r="Q200" s="287"/>
      <c r="R200" s="287"/>
      <c r="S200" s="287"/>
      <c r="T200" s="287"/>
      <c r="U200" s="287"/>
      <c r="V200" s="288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7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303"/>
      <c r="P201" s="286" t="s">
        <v>82</v>
      </c>
      <c r="Q201" s="287"/>
      <c r="R201" s="287"/>
      <c r="S201" s="287"/>
      <c r="T201" s="287"/>
      <c r="U201" s="287"/>
      <c r="V201" s="288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4" t="s">
        <v>295</v>
      </c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78">
        <v>4620207491096</v>
      </c>
      <c r="E204" s="279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96"/>
      <c r="R204" s="296"/>
      <c r="S204" s="296"/>
      <c r="T204" s="297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302"/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303"/>
      <c r="P205" s="286" t="s">
        <v>82</v>
      </c>
      <c r="Q205" s="287"/>
      <c r="R205" s="287"/>
      <c r="S205" s="287"/>
      <c r="T205" s="287"/>
      <c r="U205" s="287"/>
      <c r="V205" s="288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7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303"/>
      <c r="P206" s="286" t="s">
        <v>82</v>
      </c>
      <c r="Q206" s="287"/>
      <c r="R206" s="287"/>
      <c r="S206" s="287"/>
      <c r="T206" s="287"/>
      <c r="U206" s="287"/>
      <c r="V206" s="288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4" t="s">
        <v>299</v>
      </c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78">
        <v>4620207490709</v>
      </c>
      <c r="E209" s="279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45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96"/>
      <c r="R209" s="296"/>
      <c r="S209" s="296"/>
      <c r="T209" s="29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2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303"/>
      <c r="P210" s="286" t="s">
        <v>82</v>
      </c>
      <c r="Q210" s="287"/>
      <c r="R210" s="287"/>
      <c r="S210" s="287"/>
      <c r="T210" s="287"/>
      <c r="U210" s="287"/>
      <c r="V210" s="288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303"/>
      <c r="P211" s="286" t="s">
        <v>82</v>
      </c>
      <c r="Q211" s="287"/>
      <c r="R211" s="287"/>
      <c r="S211" s="287"/>
      <c r="T211" s="287"/>
      <c r="U211" s="287"/>
      <c r="V211" s="288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78">
        <v>4620207490549</v>
      </c>
      <c r="E213" s="279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44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78">
        <v>4620207490501</v>
      </c>
      <c r="E214" s="279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2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2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303"/>
      <c r="P215" s="286" t="s">
        <v>82</v>
      </c>
      <c r="Q215" s="287"/>
      <c r="R215" s="287"/>
      <c r="S215" s="287"/>
      <c r="T215" s="287"/>
      <c r="U215" s="287"/>
      <c r="V215" s="288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303"/>
      <c r="P216" s="286" t="s">
        <v>82</v>
      </c>
      <c r="Q216" s="287"/>
      <c r="R216" s="287"/>
      <c r="S216" s="287"/>
      <c r="T216" s="287"/>
      <c r="U216" s="287"/>
      <c r="V216" s="288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74" t="s">
        <v>308</v>
      </c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5"/>
      <c r="AA217" s="48"/>
      <c r="AB217" s="48"/>
      <c r="AC217" s="48"/>
    </row>
    <row r="218" spans="1:68" ht="16.5" hidden="1" customHeight="1" x14ac:dyDescent="0.25">
      <c r="A218" s="284" t="s">
        <v>309</v>
      </c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78">
        <v>4607111036162</v>
      </c>
      <c r="E220" s="279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96"/>
      <c r="R220" s="296"/>
      <c r="S220" s="296"/>
      <c r="T220" s="297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2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303"/>
      <c r="P221" s="286" t="s">
        <v>82</v>
      </c>
      <c r="Q221" s="287"/>
      <c r="R221" s="287"/>
      <c r="S221" s="287"/>
      <c r="T221" s="287"/>
      <c r="U221" s="287"/>
      <c r="V221" s="288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303"/>
      <c r="P222" s="286" t="s">
        <v>82</v>
      </c>
      <c r="Q222" s="287"/>
      <c r="R222" s="287"/>
      <c r="S222" s="287"/>
      <c r="T222" s="287"/>
      <c r="U222" s="287"/>
      <c r="V222" s="288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74" t="s">
        <v>313</v>
      </c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5"/>
      <c r="AA223" s="48"/>
      <c r="AB223" s="48"/>
      <c r="AC223" s="48"/>
    </row>
    <row r="224" spans="1:68" ht="16.5" hidden="1" customHeight="1" x14ac:dyDescent="0.25">
      <c r="A224" s="284" t="s">
        <v>314</v>
      </c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78">
        <v>4607111035899</v>
      </c>
      <c r="E226" s="279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3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96"/>
      <c r="R226" s="296"/>
      <c r="S226" s="296"/>
      <c r="T226" s="297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302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303"/>
      <c r="P227" s="286" t="s">
        <v>82</v>
      </c>
      <c r="Q227" s="287"/>
      <c r="R227" s="287"/>
      <c r="S227" s="287"/>
      <c r="T227" s="287"/>
      <c r="U227" s="287"/>
      <c r="V227" s="288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303"/>
      <c r="P228" s="286" t="s">
        <v>82</v>
      </c>
      <c r="Q228" s="287"/>
      <c r="R228" s="287"/>
      <c r="S228" s="287"/>
      <c r="T228" s="287"/>
      <c r="U228" s="287"/>
      <c r="V228" s="288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74" t="s">
        <v>317</v>
      </c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5"/>
      <c r="AA229" s="48"/>
      <c r="AB229" s="48"/>
      <c r="AC229" s="48"/>
    </row>
    <row r="230" spans="1:68" ht="16.5" hidden="1" customHeight="1" x14ac:dyDescent="0.25">
      <c r="A230" s="284" t="s">
        <v>318</v>
      </c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78">
        <v>4607111039774</v>
      </c>
      <c r="E232" s="279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7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96"/>
      <c r="R232" s="296"/>
      <c r="S232" s="296"/>
      <c r="T232" s="297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02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303"/>
      <c r="P233" s="286" t="s">
        <v>82</v>
      </c>
      <c r="Q233" s="287"/>
      <c r="R233" s="287"/>
      <c r="S233" s="287"/>
      <c r="T233" s="287"/>
      <c r="U233" s="287"/>
      <c r="V233" s="288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303"/>
      <c r="P234" s="286" t="s">
        <v>82</v>
      </c>
      <c r="Q234" s="287"/>
      <c r="R234" s="287"/>
      <c r="S234" s="287"/>
      <c r="T234" s="287"/>
      <c r="U234" s="287"/>
      <c r="V234" s="288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78">
        <v>4607111039361</v>
      </c>
      <c r="E236" s="279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4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96"/>
      <c r="R236" s="296"/>
      <c r="S236" s="296"/>
      <c r="T236" s="297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303"/>
      <c r="P237" s="286" t="s">
        <v>82</v>
      </c>
      <c r="Q237" s="287"/>
      <c r="R237" s="287"/>
      <c r="S237" s="287"/>
      <c r="T237" s="287"/>
      <c r="U237" s="287"/>
      <c r="V237" s="288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303"/>
      <c r="P238" s="286" t="s">
        <v>82</v>
      </c>
      <c r="Q238" s="287"/>
      <c r="R238" s="287"/>
      <c r="S238" s="287"/>
      <c r="T238" s="287"/>
      <c r="U238" s="287"/>
      <c r="V238" s="288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74" t="s">
        <v>325</v>
      </c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5"/>
      <c r="AA239" s="48"/>
      <c r="AB239" s="48"/>
      <c r="AC239" s="48"/>
    </row>
    <row r="240" spans="1:68" ht="16.5" hidden="1" customHeight="1" x14ac:dyDescent="0.25">
      <c r="A240" s="284" t="s">
        <v>325</v>
      </c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78">
        <v>4640242181264</v>
      </c>
      <c r="E242" s="279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42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96"/>
      <c r="R242" s="296"/>
      <c r="S242" s="296"/>
      <c r="T242" s="297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78">
        <v>4640242181325</v>
      </c>
      <c r="E243" s="279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30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96"/>
      <c r="R243" s="296"/>
      <c r="S243" s="296"/>
      <c r="T243" s="297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302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303"/>
      <c r="P244" s="286" t="s">
        <v>82</v>
      </c>
      <c r="Q244" s="287"/>
      <c r="R244" s="287"/>
      <c r="S244" s="287"/>
      <c r="T244" s="287"/>
      <c r="U244" s="287"/>
      <c r="V244" s="288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303"/>
      <c r="P245" s="286" t="s">
        <v>82</v>
      </c>
      <c r="Q245" s="287"/>
      <c r="R245" s="287"/>
      <c r="S245" s="287"/>
      <c r="T245" s="287"/>
      <c r="U245" s="287"/>
      <c r="V245" s="288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8">
        <v>4640242180397</v>
      </c>
      <c r="E247" s="279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3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96"/>
      <c r="R247" s="296"/>
      <c r="S247" s="296"/>
      <c r="T247" s="297"/>
      <c r="U247" s="34"/>
      <c r="V247" s="34"/>
      <c r="W247" s="35" t="s">
        <v>69</v>
      </c>
      <c r="X247" s="268">
        <v>240</v>
      </c>
      <c r="Y247" s="269">
        <f>IFERROR(IF(X247="","",X247),"")</f>
        <v>240</v>
      </c>
      <c r="Z247" s="36">
        <f>IFERROR(IF(X247="","",X247*0.0155),"")</f>
        <v>3.7199999999999998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1502.3999999999999</v>
      </c>
      <c r="BN247" s="67">
        <f>IFERROR(Y247*I247,"0")</f>
        <v>1502.3999999999999</v>
      </c>
      <c r="BO247" s="67">
        <f>IFERROR(X247/J247,"0")</f>
        <v>2.8571428571428572</v>
      </c>
      <c r="BP247" s="67">
        <f>IFERROR(Y247/J247,"0")</f>
        <v>2.8571428571428572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78">
        <v>4640242181219</v>
      </c>
      <c r="E248" s="279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7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96"/>
      <c r="R248" s="296"/>
      <c r="S248" s="296"/>
      <c r="T248" s="297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30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303"/>
      <c r="P249" s="286" t="s">
        <v>82</v>
      </c>
      <c r="Q249" s="287"/>
      <c r="R249" s="287"/>
      <c r="S249" s="287"/>
      <c r="T249" s="287"/>
      <c r="U249" s="287"/>
      <c r="V249" s="288"/>
      <c r="W249" s="37" t="s">
        <v>69</v>
      </c>
      <c r="X249" s="270">
        <f>IFERROR(SUM(X247:X248),"0")</f>
        <v>240</v>
      </c>
      <c r="Y249" s="270">
        <f>IFERROR(SUM(Y247:Y248),"0")</f>
        <v>240</v>
      </c>
      <c r="Z249" s="270">
        <f>IFERROR(IF(Z247="",0,Z247),"0")+IFERROR(IF(Z248="",0,Z248),"0")</f>
        <v>3.7199999999999998</v>
      </c>
      <c r="AA249" s="271"/>
      <c r="AB249" s="271"/>
      <c r="AC249" s="271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303"/>
      <c r="P250" s="286" t="s">
        <v>82</v>
      </c>
      <c r="Q250" s="287"/>
      <c r="R250" s="287"/>
      <c r="S250" s="287"/>
      <c r="T250" s="287"/>
      <c r="U250" s="287"/>
      <c r="V250" s="288"/>
      <c r="W250" s="37" t="s">
        <v>83</v>
      </c>
      <c r="X250" s="270">
        <f>IFERROR(SUMPRODUCT(X247:X248*H247:H248),"0")</f>
        <v>1440</v>
      </c>
      <c r="Y250" s="270">
        <f>IFERROR(SUMPRODUCT(Y247:Y248*H247:H248),"0")</f>
        <v>1440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78">
        <v>4640242180304</v>
      </c>
      <c r="E252" s="279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96"/>
      <c r="R252" s="296"/>
      <c r="S252" s="296"/>
      <c r="T252" s="29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78">
        <v>4640242180236</v>
      </c>
      <c r="E253" s="279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32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96"/>
      <c r="R253" s="296"/>
      <c r="S253" s="296"/>
      <c r="T253" s="297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78">
        <v>4640242180410</v>
      </c>
      <c r="E254" s="279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5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96"/>
      <c r="R254" s="296"/>
      <c r="S254" s="296"/>
      <c r="T254" s="297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2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303"/>
      <c r="P255" s="286" t="s">
        <v>82</v>
      </c>
      <c r="Q255" s="287"/>
      <c r="R255" s="287"/>
      <c r="S255" s="287"/>
      <c r="T255" s="287"/>
      <c r="U255" s="287"/>
      <c r="V255" s="288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303"/>
      <c r="P256" s="286" t="s">
        <v>82</v>
      </c>
      <c r="Q256" s="287"/>
      <c r="R256" s="287"/>
      <c r="S256" s="287"/>
      <c r="T256" s="287"/>
      <c r="U256" s="287"/>
      <c r="V256" s="288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78">
        <v>4640242181554</v>
      </c>
      <c r="E258" s="279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96"/>
      <c r="R258" s="296"/>
      <c r="S258" s="296"/>
      <c r="T258" s="297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8">
        <v>4640242181561</v>
      </c>
      <c r="E259" s="279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4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96"/>
      <c r="R259" s="296"/>
      <c r="S259" s="296"/>
      <c r="T259" s="297"/>
      <c r="U259" s="34"/>
      <c r="V259" s="34"/>
      <c r="W259" s="35" t="s">
        <v>69</v>
      </c>
      <c r="X259" s="268">
        <v>504</v>
      </c>
      <c r="Y259" s="269">
        <f t="shared" si="18"/>
        <v>504</v>
      </c>
      <c r="Z259" s="36">
        <f>IFERROR(IF(X259="","",X259*0.00936),"")</f>
        <v>4.7174399999999999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1961.568</v>
      </c>
      <c r="BN259" s="67">
        <f t="shared" si="20"/>
        <v>1961.568</v>
      </c>
      <c r="BO259" s="67">
        <f t="shared" si="21"/>
        <v>4</v>
      </c>
      <c r="BP259" s="67">
        <f t="shared" si="22"/>
        <v>4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78">
        <v>4640242181424</v>
      </c>
      <c r="E260" s="279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96"/>
      <c r="R260" s="296"/>
      <c r="S260" s="296"/>
      <c r="T260" s="297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78">
        <v>4640242181523</v>
      </c>
      <c r="E261" s="279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96"/>
      <c r="R261" s="296"/>
      <c r="S261" s="296"/>
      <c r="T261" s="297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78">
        <v>4640242181486</v>
      </c>
      <c r="E262" s="279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31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96"/>
      <c r="R262" s="296"/>
      <c r="S262" s="296"/>
      <c r="T262" s="297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78">
        <v>4640242181493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96"/>
      <c r="R263" s="296"/>
      <c r="S263" s="296"/>
      <c r="T263" s="297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78">
        <v>4640242181509</v>
      </c>
      <c r="E264" s="279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40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96"/>
      <c r="R264" s="296"/>
      <c r="S264" s="296"/>
      <c r="T264" s="297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78">
        <v>4640242181240</v>
      </c>
      <c r="E265" s="279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96"/>
      <c r="R265" s="296"/>
      <c r="S265" s="296"/>
      <c r="T265" s="297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78">
        <v>4640242181318</v>
      </c>
      <c r="E266" s="279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96"/>
      <c r="R266" s="296"/>
      <c r="S266" s="296"/>
      <c r="T266" s="297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78">
        <v>4640242181387</v>
      </c>
      <c r="E267" s="279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9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96"/>
      <c r="R267" s="296"/>
      <c r="S267" s="296"/>
      <c r="T267" s="297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302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303"/>
      <c r="P268" s="286" t="s">
        <v>82</v>
      </c>
      <c r="Q268" s="287"/>
      <c r="R268" s="287"/>
      <c r="S268" s="287"/>
      <c r="T268" s="287"/>
      <c r="U268" s="287"/>
      <c r="V268" s="288"/>
      <c r="W268" s="37" t="s">
        <v>69</v>
      </c>
      <c r="X268" s="270">
        <f>IFERROR(SUM(X258:X267),"0")</f>
        <v>504</v>
      </c>
      <c r="Y268" s="270">
        <f>IFERROR(SUM(Y258:Y267),"0")</f>
        <v>504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4.7174399999999999</v>
      </c>
      <c r="AA268" s="271"/>
      <c r="AB268" s="271"/>
      <c r="AC268" s="271"/>
    </row>
    <row r="269" spans="1:68" x14ac:dyDescent="0.2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303"/>
      <c r="P269" s="286" t="s">
        <v>82</v>
      </c>
      <c r="Q269" s="287"/>
      <c r="R269" s="287"/>
      <c r="S269" s="287"/>
      <c r="T269" s="287"/>
      <c r="U269" s="287"/>
      <c r="V269" s="288"/>
      <c r="W269" s="37" t="s">
        <v>83</v>
      </c>
      <c r="X269" s="270">
        <f>IFERROR(SUMPRODUCT(X258:X267*H258:H267),"0")</f>
        <v>1864.8000000000002</v>
      </c>
      <c r="Y269" s="270">
        <f>IFERROR(SUMPRODUCT(Y258:Y267*H258:H267),"0")</f>
        <v>1864.8000000000002</v>
      </c>
      <c r="Z269" s="37"/>
      <c r="AA269" s="271"/>
      <c r="AB269" s="271"/>
      <c r="AC269" s="271"/>
    </row>
    <row r="270" spans="1:68" ht="15" customHeight="1" x14ac:dyDescent="0.2">
      <c r="A270" s="293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94"/>
      <c r="P270" s="310" t="s">
        <v>365</v>
      </c>
      <c r="Q270" s="311"/>
      <c r="R270" s="311"/>
      <c r="S270" s="311"/>
      <c r="T270" s="311"/>
      <c r="U270" s="311"/>
      <c r="V270" s="290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10693.2</v>
      </c>
      <c r="Y270" s="270">
        <f>IFERROR(Y29+Y35+Y42+Y49+Y57+Y62+Y66+Y71+Y77+Y83+Y88+Y94+Y104+Y110+Y122+Y126+Y130+Y136+Y142+Y148+Y153+Y158+Y163+Y168+Y175+Y183+Y187+Y193+Y201+Y206+Y211+Y216+Y222+Y228+Y234+Y238+Y245+Y250+Y256+Y269,"0")</f>
        <v>10693.2</v>
      </c>
      <c r="Z270" s="37"/>
      <c r="AA270" s="271"/>
      <c r="AB270" s="271"/>
      <c r="AC270" s="271"/>
    </row>
    <row r="271" spans="1:68" x14ac:dyDescent="0.2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4"/>
      <c r="P271" s="310" t="s">
        <v>366</v>
      </c>
      <c r="Q271" s="311"/>
      <c r="R271" s="311"/>
      <c r="S271" s="311"/>
      <c r="T271" s="311"/>
      <c r="U271" s="311"/>
      <c r="V271" s="290"/>
      <c r="W271" s="37" t="s">
        <v>83</v>
      </c>
      <c r="X271" s="270">
        <f>IFERROR(SUM(BM22:BM267),"0")</f>
        <v>11856.207999999999</v>
      </c>
      <c r="Y271" s="270">
        <f>IFERROR(SUM(BN22:BN267),"0")</f>
        <v>11856.207999999999</v>
      </c>
      <c r="Z271" s="37"/>
      <c r="AA271" s="271"/>
      <c r="AB271" s="271"/>
      <c r="AC271" s="271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4"/>
      <c r="P272" s="310" t="s">
        <v>367</v>
      </c>
      <c r="Q272" s="311"/>
      <c r="R272" s="311"/>
      <c r="S272" s="311"/>
      <c r="T272" s="311"/>
      <c r="U272" s="311"/>
      <c r="V272" s="290"/>
      <c r="W272" s="37" t="s">
        <v>368</v>
      </c>
      <c r="X272" s="38">
        <f>ROUNDUP(SUM(BO22:BO267),0)</f>
        <v>33</v>
      </c>
      <c r="Y272" s="38">
        <f>ROUNDUP(SUM(BP22:BP267),0)</f>
        <v>33</v>
      </c>
      <c r="Z272" s="37"/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4"/>
      <c r="P273" s="310" t="s">
        <v>369</v>
      </c>
      <c r="Q273" s="311"/>
      <c r="R273" s="311"/>
      <c r="S273" s="311"/>
      <c r="T273" s="311"/>
      <c r="U273" s="311"/>
      <c r="V273" s="290"/>
      <c r="W273" s="37" t="s">
        <v>83</v>
      </c>
      <c r="X273" s="270">
        <f>GrossWeightTotal+PalletQtyTotal*25</f>
        <v>12681.207999999999</v>
      </c>
      <c r="Y273" s="270">
        <f>GrossWeightTotalR+PalletQtyTotalR*25</f>
        <v>12681.207999999999</v>
      </c>
      <c r="Z273" s="37"/>
      <c r="AA273" s="271"/>
      <c r="AB273" s="271"/>
      <c r="AC273" s="271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4"/>
      <c r="P274" s="310" t="s">
        <v>370</v>
      </c>
      <c r="Q274" s="311"/>
      <c r="R274" s="311"/>
      <c r="S274" s="311"/>
      <c r="T274" s="311"/>
      <c r="U274" s="311"/>
      <c r="V274" s="290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2746</v>
      </c>
      <c r="Y274" s="270">
        <f>IFERROR(Y28+Y34+Y41+Y48+Y56+Y61+Y65+Y70+Y76+Y82+Y87+Y93+Y103+Y109+Y121+Y125+Y129+Y135+Y141+Y147+Y152+Y157+Y162+Y167+Y174+Y182+Y186+Y192+Y200+Y205+Y210+Y215+Y221+Y227+Y233+Y237+Y244+Y249+Y255+Y268,"0")</f>
        <v>2746</v>
      </c>
      <c r="Z274" s="37"/>
      <c r="AA274" s="271"/>
      <c r="AB274" s="271"/>
      <c r="AC274" s="271"/>
    </row>
    <row r="275" spans="1:32" ht="14.25" hidden="1" customHeight="1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4"/>
      <c r="P275" s="310" t="s">
        <v>371</v>
      </c>
      <c r="Q275" s="311"/>
      <c r="R275" s="311"/>
      <c r="S275" s="311"/>
      <c r="T275" s="311"/>
      <c r="U275" s="311"/>
      <c r="V275" s="290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40.488839999999996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72" t="s">
        <v>62</v>
      </c>
      <c r="C277" s="315"/>
      <c r="D277" s="272" t="s">
        <v>90</v>
      </c>
      <c r="E277" s="314"/>
      <c r="F277" s="314"/>
      <c r="G277" s="314"/>
      <c r="H277" s="314"/>
      <c r="I277" s="314"/>
      <c r="J277" s="314"/>
      <c r="K277" s="314"/>
      <c r="L277" s="314"/>
      <c r="M277" s="314"/>
      <c r="N277" s="314"/>
      <c r="O277" s="314"/>
      <c r="P277" s="314"/>
      <c r="Q277" s="314"/>
      <c r="R277" s="314"/>
      <c r="S277" s="314"/>
      <c r="T277" s="314"/>
      <c r="U277" s="315"/>
      <c r="V277" s="265" t="s">
        <v>249</v>
      </c>
      <c r="W277" s="265" t="s">
        <v>257</v>
      </c>
      <c r="X277" s="272" t="s">
        <v>276</v>
      </c>
      <c r="Y277" s="314"/>
      <c r="Z277" s="31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453" t="s">
        <v>374</v>
      </c>
      <c r="B278" s="272" t="s">
        <v>62</v>
      </c>
      <c r="C278" s="272" t="s">
        <v>84</v>
      </c>
      <c r="D278" s="272" t="s">
        <v>91</v>
      </c>
      <c r="E278" s="272" t="s">
        <v>102</v>
      </c>
      <c r="F278" s="272" t="s">
        <v>112</v>
      </c>
      <c r="G278" s="272" t="s">
        <v>123</v>
      </c>
      <c r="H278" s="272" t="s">
        <v>144</v>
      </c>
      <c r="I278" s="272" t="s">
        <v>151</v>
      </c>
      <c r="J278" s="272" t="s">
        <v>155</v>
      </c>
      <c r="K278" s="272" t="s">
        <v>163</v>
      </c>
      <c r="L278" s="272" t="s">
        <v>178</v>
      </c>
      <c r="M278" s="272" t="s">
        <v>184</v>
      </c>
      <c r="N278" s="266"/>
      <c r="O278" s="272" t="s">
        <v>213</v>
      </c>
      <c r="P278" s="272" t="s">
        <v>221</v>
      </c>
      <c r="Q278" s="272" t="s">
        <v>228</v>
      </c>
      <c r="R278" s="272" t="s">
        <v>233</v>
      </c>
      <c r="S278" s="272" t="s">
        <v>237</v>
      </c>
      <c r="T278" s="272" t="s">
        <v>240</v>
      </c>
      <c r="U278" s="272" t="s">
        <v>245</v>
      </c>
      <c r="V278" s="272" t="s">
        <v>250</v>
      </c>
      <c r="W278" s="272" t="s">
        <v>258</v>
      </c>
      <c r="X278" s="272" t="s">
        <v>277</v>
      </c>
      <c r="Y278" s="272" t="s">
        <v>295</v>
      </c>
      <c r="Z278" s="272" t="s">
        <v>299</v>
      </c>
      <c r="AA278" s="272" t="s">
        <v>309</v>
      </c>
      <c r="AB278" s="272" t="s">
        <v>314</v>
      </c>
      <c r="AC278" s="272" t="s">
        <v>318</v>
      </c>
      <c r="AD278" s="272" t="s">
        <v>325</v>
      </c>
      <c r="AF278" s="266"/>
    </row>
    <row r="279" spans="1:32" ht="13.5" customHeight="1" thickBot="1" x14ac:dyDescent="0.25">
      <c r="A279" s="454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3"/>
      <c r="M279" s="273"/>
      <c r="N279" s="266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294</v>
      </c>
      <c r="E280" s="46">
        <f>IFERROR(X45*H45,"0")+IFERROR(X46*H46,"0")+IFERROR(X47*H47,"0")</f>
        <v>672</v>
      </c>
      <c r="F280" s="46">
        <f>IFERROR(X52*H52,"0")+IFERROR(X53*H53,"0")+IFERROR(X54*H54,"0")+IFERROR(X55*H55,"0")</f>
        <v>412.8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151.20000000000002</v>
      </c>
      <c r="J280" s="46">
        <f>IFERROR(X91*H91,"0")+IFERROR(X92*H92,"0")</f>
        <v>504</v>
      </c>
      <c r="K280" s="46">
        <f>IFERROR(X97*H97,"0")+IFERROR(X98*H98,"0")+IFERROR(X99*H99,"0")+IFERROR(X100*H100,"0")+IFERROR(X101*H101,"0")+IFERROR(X102*H102,"0")</f>
        <v>905.51999999999987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1812</v>
      </c>
      <c r="N280" s="266"/>
      <c r="O280" s="46">
        <f>IFERROR(X133*H133,"0")+IFERROR(X134*H134,"0")</f>
        <v>966</v>
      </c>
      <c r="P280" s="46">
        <f>IFERROR(X139*H139,"0")+IFERROR(X140*H140,"0")</f>
        <v>252</v>
      </c>
      <c r="Q280" s="46">
        <f>IFERROR(X145*H145,"0")+IFERROR(X146*H146,"0")</f>
        <v>268.8</v>
      </c>
      <c r="R280" s="46">
        <f>IFERROR(X151*H151,"0")</f>
        <v>126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0</v>
      </c>
      <c r="W280" s="46">
        <f>IFERROR(X179*H179,"0")+IFERROR(X180*H180,"0")+IFERROR(X181*H181,"0")+IFERROR(X185*H185,"0")</f>
        <v>630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3304.8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3196.8</v>
      </c>
      <c r="B283" s="60">
        <f>SUMPRODUCT(--(BB:BB="ПГП"),--(W:W="кор"),H:H,Y:Y)+SUMPRODUCT(--(BB:BB="ПГП"),--(W:W="кг"),Y:Y)</f>
        <v>7496.4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812,00"/>
        <filter val="1 864,80"/>
        <filter val="10 693,20"/>
        <filter val="11 856,21"/>
        <filter val="112,00"/>
        <filter val="12 681,21"/>
        <filter val="12,00"/>
        <filter val="120,00"/>
        <filter val="126,00"/>
        <filter val="132,00"/>
        <filter val="14,00"/>
        <filter val="140,00"/>
        <filter val="151,20"/>
        <filter val="154,00"/>
        <filter val="168,00"/>
        <filter val="196,00"/>
        <filter val="2 746,00"/>
        <filter val="210,00"/>
        <filter val="24,00"/>
        <filter val="240,00"/>
        <filter val="252,00"/>
        <filter val="264,00"/>
        <filter val="268,80"/>
        <filter val="28,00"/>
        <filter val="294,00"/>
        <filter val="300,00"/>
        <filter val="322,00"/>
        <filter val="33"/>
        <filter val="36,00"/>
        <filter val="412,80"/>
        <filter val="42,00"/>
        <filter val="48,00"/>
        <filter val="504,00"/>
        <filter val="56,00"/>
        <filter val="60,00"/>
        <filter val="630,00"/>
        <filter val="672,00"/>
        <filter val="70,00"/>
        <filter val="72,00"/>
        <filter val="84,00"/>
        <filter val="905,52"/>
        <filter val="94,08"/>
        <filter val="966,00"/>
        <filter val="98,00"/>
      </filters>
    </filterColumn>
    <filterColumn colId="29" showButton="0"/>
    <filterColumn colId="30" showButton="0"/>
  </autoFilter>
  <mergeCells count="490"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19:T119"/>
    <mergeCell ref="P183:V183"/>
    <mergeCell ref="D60:E60"/>
    <mergeCell ref="P73:T73"/>
    <mergeCell ref="P87:V87"/>
    <mergeCell ref="P245:V245"/>
    <mergeCell ref="D45:E45"/>
    <mergeCell ref="P244:V244"/>
    <mergeCell ref="P115:T115"/>
    <mergeCell ref="D254:E254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A219:Z219"/>
    <mergeCell ref="Q11:R11"/>
    <mergeCell ref="Q12:R12"/>
    <mergeCell ref="A13:M13"/>
    <mergeCell ref="A15:M15"/>
    <mergeCell ref="W17:W1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P249:V249"/>
    <mergeCell ref="P28:V28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2025-12-19T11:40:18Z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