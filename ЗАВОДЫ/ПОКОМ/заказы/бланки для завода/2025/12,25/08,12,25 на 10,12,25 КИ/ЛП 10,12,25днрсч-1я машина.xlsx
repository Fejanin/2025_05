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бланки для завода\2025\12,25\08,12,25 на 10,12,25 КИ\"/>
    </mc:Choice>
  </mc:AlternateContent>
  <xr:revisionPtr revIDLastSave="0" documentId="13_ncr:1_{FCDBF838-495B-4BB1-8624-98715B8902D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BP482" i="1" s="1"/>
  <c r="P482" i="1"/>
  <c r="X480" i="1"/>
  <c r="X479" i="1"/>
  <c r="BO478" i="1"/>
  <c r="BM478" i="1"/>
  <c r="Y478" i="1"/>
  <c r="Y480" i="1" s="1"/>
  <c r="P478" i="1"/>
  <c r="X476" i="1"/>
  <c r="X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BP460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Y456" i="1" s="1"/>
  <c r="P452" i="1"/>
  <c r="X450" i="1"/>
  <c r="X449" i="1"/>
  <c r="BO448" i="1"/>
  <c r="BM448" i="1"/>
  <c r="Y448" i="1"/>
  <c r="BP448" i="1" s="1"/>
  <c r="P448" i="1"/>
  <c r="BO447" i="1"/>
  <c r="BM447" i="1"/>
  <c r="Y447" i="1"/>
  <c r="P447" i="1"/>
  <c r="BO446" i="1"/>
  <c r="BM446" i="1"/>
  <c r="Y446" i="1"/>
  <c r="BP446" i="1" s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Y405" i="1" s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BP295" i="1" s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Z248" i="1" s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N35" i="1"/>
  <c r="BM35" i="1"/>
  <c r="Z35" i="1"/>
  <c r="Z36" i="1" s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H10" i="1"/>
  <c r="A9" i="1"/>
  <c r="A10" i="1" s="1"/>
  <c r="D7" i="1"/>
  <c r="Q6" i="1"/>
  <c r="P2" i="1"/>
  <c r="BP73" i="1" l="1"/>
  <c r="BN73" i="1"/>
  <c r="Z73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19" i="1"/>
  <c r="BN219" i="1"/>
  <c r="Z219" i="1"/>
  <c r="BP264" i="1"/>
  <c r="BN264" i="1"/>
  <c r="Z264" i="1"/>
  <c r="BP299" i="1"/>
  <c r="BN299" i="1"/>
  <c r="Z299" i="1"/>
  <c r="BP323" i="1"/>
  <c r="BN323" i="1"/>
  <c r="Z323" i="1"/>
  <c r="Z29" i="1"/>
  <c r="BN29" i="1"/>
  <c r="BP54" i="1"/>
  <c r="BN54" i="1"/>
  <c r="Z54" i="1"/>
  <c r="BP92" i="1"/>
  <c r="BN92" i="1"/>
  <c r="Z92" i="1"/>
  <c r="BP126" i="1"/>
  <c r="BN126" i="1"/>
  <c r="Z126" i="1"/>
  <c r="BP171" i="1"/>
  <c r="BN171" i="1"/>
  <c r="Z171" i="1"/>
  <c r="BP209" i="1"/>
  <c r="BN209" i="1"/>
  <c r="Z20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Z373" i="1"/>
  <c r="BN373" i="1"/>
  <c r="U501" i="1"/>
  <c r="Z391" i="1"/>
  <c r="BN391" i="1"/>
  <c r="Z410" i="1"/>
  <c r="BN410" i="1"/>
  <c r="Z424" i="1"/>
  <c r="BN424" i="1"/>
  <c r="Z432" i="1"/>
  <c r="BN432" i="1"/>
  <c r="Z448" i="1"/>
  <c r="BN448" i="1"/>
  <c r="Z460" i="1"/>
  <c r="BN460" i="1"/>
  <c r="Z478" i="1"/>
  <c r="Z479" i="1" s="1"/>
  <c r="BN478" i="1"/>
  <c r="BP478" i="1"/>
  <c r="Y479" i="1"/>
  <c r="Z482" i="1"/>
  <c r="BN482" i="1"/>
  <c r="J9" i="1"/>
  <c r="Y49" i="1"/>
  <c r="Y48" i="1"/>
  <c r="BP47" i="1"/>
  <c r="BN47" i="1"/>
  <c r="Z47" i="1"/>
  <c r="Z48" i="1" s="1"/>
  <c r="Y58" i="1"/>
  <c r="BP52" i="1"/>
  <c r="BN52" i="1"/>
  <c r="Z52" i="1"/>
  <c r="BP69" i="1"/>
  <c r="BN69" i="1"/>
  <c r="Z69" i="1"/>
  <c r="F9" i="1"/>
  <c r="F10" i="1"/>
  <c r="B501" i="1"/>
  <c r="X493" i="1"/>
  <c r="X494" i="1" s="1"/>
  <c r="Z27" i="1"/>
  <c r="BN27" i="1"/>
  <c r="BP27" i="1"/>
  <c r="Z31" i="1"/>
  <c r="BN31" i="1"/>
  <c r="Y37" i="1"/>
  <c r="Y36" i="1"/>
  <c r="BP35" i="1"/>
  <c r="BP41" i="1"/>
  <c r="BN41" i="1"/>
  <c r="Z41" i="1"/>
  <c r="BP56" i="1"/>
  <c r="BN56" i="1"/>
  <c r="Z56" i="1"/>
  <c r="Y64" i="1"/>
  <c r="Z75" i="1"/>
  <c r="BN75" i="1"/>
  <c r="Z88" i="1"/>
  <c r="BN88" i="1"/>
  <c r="Y96" i="1"/>
  <c r="Z94" i="1"/>
  <c r="BN94" i="1"/>
  <c r="Z103" i="1"/>
  <c r="BN103" i="1"/>
  <c r="Z109" i="1"/>
  <c r="BN109" i="1"/>
  <c r="Y117" i="1"/>
  <c r="Z115" i="1"/>
  <c r="BN115" i="1"/>
  <c r="Z130" i="1"/>
  <c r="BN130" i="1"/>
  <c r="BP130" i="1"/>
  <c r="Z147" i="1"/>
  <c r="BN147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BP259" i="1"/>
  <c r="BN259" i="1"/>
  <c r="Z259" i="1"/>
  <c r="BP280" i="1"/>
  <c r="BN280" i="1"/>
  <c r="Z280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8" i="1"/>
  <c r="BN248" i="1"/>
  <c r="BP255" i="1"/>
  <c r="BN255" i="1"/>
  <c r="Z255" i="1"/>
  <c r="BP266" i="1"/>
  <c r="BN266" i="1"/>
  <c r="Z266" i="1"/>
  <c r="BP291" i="1"/>
  <c r="BN291" i="1"/>
  <c r="Z291" i="1"/>
  <c r="Y455" i="1"/>
  <c r="Y286" i="1"/>
  <c r="Z295" i="1"/>
  <c r="BN295" i="1"/>
  <c r="Z301" i="1"/>
  <c r="BN301" i="1"/>
  <c r="Z309" i="1"/>
  <c r="BN309" i="1"/>
  <c r="Z315" i="1"/>
  <c r="BN315" i="1"/>
  <c r="Z321" i="1"/>
  <c r="BN321" i="1"/>
  <c r="BP321" i="1"/>
  <c r="Z329" i="1"/>
  <c r="BN329" i="1"/>
  <c r="Z344" i="1"/>
  <c r="BN344" i="1"/>
  <c r="Z348" i="1"/>
  <c r="BN348" i="1"/>
  <c r="Z369" i="1"/>
  <c r="BN369" i="1"/>
  <c r="Y375" i="1"/>
  <c r="Z379" i="1"/>
  <c r="BN379" i="1"/>
  <c r="Z389" i="1"/>
  <c r="BN389" i="1"/>
  <c r="Z393" i="1"/>
  <c r="BN393" i="1"/>
  <c r="Z404" i="1"/>
  <c r="Z405" i="1" s="1"/>
  <c r="BN404" i="1"/>
  <c r="BP404" i="1"/>
  <c r="Z408" i="1"/>
  <c r="BN408" i="1"/>
  <c r="BP408" i="1"/>
  <c r="Z426" i="1"/>
  <c r="BN426" i="1"/>
  <c r="Z430" i="1"/>
  <c r="BN430" i="1"/>
  <c r="Z438" i="1"/>
  <c r="BN438" i="1"/>
  <c r="Z446" i="1"/>
  <c r="BN446" i="1"/>
  <c r="Z452" i="1"/>
  <c r="BN452" i="1"/>
  <c r="BP452" i="1"/>
  <c r="Z462" i="1"/>
  <c r="BN462" i="1"/>
  <c r="Z474" i="1"/>
  <c r="BN474" i="1"/>
  <c r="Y484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Z464" i="1" s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12" i="1" l="1"/>
  <c r="Z325" i="1"/>
  <c r="Z286" i="1"/>
  <c r="Z370" i="1"/>
  <c r="Z77" i="1"/>
  <c r="Z64" i="1"/>
  <c r="Z127" i="1"/>
  <c r="Z110" i="1"/>
  <c r="Z268" i="1"/>
  <c r="Z204" i="1"/>
  <c r="Z260" i="1"/>
  <c r="Z58" i="1"/>
  <c r="Z32" i="1"/>
  <c r="Z312" i="1"/>
  <c r="Z305" i="1"/>
  <c r="Z449" i="1"/>
  <c r="Z395" i="1"/>
  <c r="Z235" i="1"/>
  <c r="Z434" i="1"/>
  <c r="Z350" i="1"/>
  <c r="Z331" i="1"/>
  <c r="Z216" i="1"/>
  <c r="Y492" i="1"/>
  <c r="Z104" i="1"/>
  <c r="Z470" i="1"/>
  <c r="Z338" i="1"/>
  <c r="Z296" i="1"/>
  <c r="Z172" i="1"/>
  <c r="Z117" i="1"/>
  <c r="Z96" i="1"/>
  <c r="Z70" i="1"/>
  <c r="Y491" i="1"/>
  <c r="Y493" i="1"/>
  <c r="Z149" i="1"/>
  <c r="Y495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<sst xmlns="http://schemas.openxmlformats.org/spreadsheetml/2006/main" count="2353" uniqueCount="769">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</sst>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9" t="s">
        <v>0</v>
      </c>
      <c r="E1" s="587"/>
      <c r="F1" s="587"/>
      <c r="G1" s="12" t="s">
        <v>1</v>
      </c>
      <c r="H1" s="639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82" t="s">
        <v>8</v>
      </c>
      <c r="B5" s="676"/>
      <c r="C5" s="677"/>
      <c r="D5" s="643"/>
      <c r="E5" s="644"/>
      <c r="F5" s="840" t="s">
        <v>9</v>
      </c>
      <c r="G5" s="677"/>
      <c r="H5" s="643" t="s">
        <v>768</v>
      </c>
      <c r="I5" s="786"/>
      <c r="J5" s="786"/>
      <c r="K5" s="786"/>
      <c r="L5" s="786"/>
      <c r="M5" s="644"/>
      <c r="N5" s="58"/>
      <c r="P5" s="24" t="s">
        <v>10</v>
      </c>
      <c r="Q5" s="851">
        <v>46001</v>
      </c>
      <c r="R5" s="681"/>
      <c r="T5" s="725" t="s">
        <v>11</v>
      </c>
      <c r="U5" s="726"/>
      <c r="V5" s="731" t="s">
        <v>12</v>
      </c>
      <c r="W5" s="681"/>
      <c r="AB5" s="51"/>
      <c r="AC5" s="51"/>
      <c r="AD5" s="51"/>
      <c r="AE5" s="51"/>
    </row>
    <row r="6" spans="1:32" s="539" customFormat="1" ht="24" customHeight="1" x14ac:dyDescent="0.2">
      <c r="A6" s="682" t="s">
        <v>13</v>
      </c>
      <c r="B6" s="676"/>
      <c r="C6" s="677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81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Среда</v>
      </c>
      <c r="R6" s="550"/>
      <c r="T6" s="739" t="s">
        <v>16</v>
      </c>
      <c r="U6" s="726"/>
      <c r="V6" s="769" t="s">
        <v>17</v>
      </c>
      <c r="W6" s="59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3" t="str">
        <f>IFERROR(VLOOKUP(DeliveryAddress,Table,3,0),1)</f>
        <v>1</v>
      </c>
      <c r="E7" s="624"/>
      <c r="F7" s="624"/>
      <c r="G7" s="624"/>
      <c r="H7" s="624"/>
      <c r="I7" s="624"/>
      <c r="J7" s="624"/>
      <c r="K7" s="624"/>
      <c r="L7" s="624"/>
      <c r="M7" s="625"/>
      <c r="N7" s="60"/>
      <c r="P7" s="24"/>
      <c r="Q7" s="42"/>
      <c r="R7" s="42"/>
      <c r="T7" s="559"/>
      <c r="U7" s="726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32" t="s">
        <v>19</v>
      </c>
      <c r="E8" s="633"/>
      <c r="F8" s="633"/>
      <c r="G8" s="633"/>
      <c r="H8" s="633"/>
      <c r="I8" s="633"/>
      <c r="J8" s="633"/>
      <c r="K8" s="633"/>
      <c r="L8" s="633"/>
      <c r="M8" s="634"/>
      <c r="N8" s="61"/>
      <c r="P8" s="24" t="s">
        <v>20</v>
      </c>
      <c r="Q8" s="688">
        <v>0.41666666666666669</v>
      </c>
      <c r="R8" s="625"/>
      <c r="T8" s="559"/>
      <c r="U8" s="726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5"/>
      <c r="E9" s="568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7"/>
      <c r="P9" s="26" t="s">
        <v>21</v>
      </c>
      <c r="Q9" s="671"/>
      <c r="R9" s="672"/>
      <c r="T9" s="559"/>
      <c r="U9" s="726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5"/>
      <c r="E10" s="568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0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0"/>
      <c r="R11" s="681"/>
      <c r="U11" s="24" t="s">
        <v>27</v>
      </c>
      <c r="V11" s="767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76"/>
      <c r="C12" s="676"/>
      <c r="D12" s="676"/>
      <c r="E12" s="676"/>
      <c r="F12" s="676"/>
      <c r="G12" s="676"/>
      <c r="H12" s="676"/>
      <c r="I12" s="676"/>
      <c r="J12" s="676"/>
      <c r="K12" s="676"/>
      <c r="L12" s="676"/>
      <c r="M12" s="677"/>
      <c r="N12" s="62"/>
      <c r="P12" s="24" t="s">
        <v>30</v>
      </c>
      <c r="Q12" s="688"/>
      <c r="R12" s="625"/>
      <c r="S12" s="23"/>
      <c r="U12" s="24"/>
      <c r="V12" s="587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76"/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7"/>
      <c r="N13" s="62"/>
      <c r="O13" s="26"/>
      <c r="P13" s="26" t="s">
        <v>32</v>
      </c>
      <c r="Q13" s="767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76"/>
      <c r="C14" s="676"/>
      <c r="D14" s="676"/>
      <c r="E14" s="676"/>
      <c r="F14" s="676"/>
      <c r="G14" s="676"/>
      <c r="H14" s="676"/>
      <c r="I14" s="676"/>
      <c r="J14" s="676"/>
      <c r="K14" s="676"/>
      <c r="L14" s="676"/>
      <c r="M14" s="6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20" t="s">
        <v>34</v>
      </c>
      <c r="B15" s="676"/>
      <c r="C15" s="676"/>
      <c r="D15" s="676"/>
      <c r="E15" s="676"/>
      <c r="F15" s="676"/>
      <c r="G15" s="676"/>
      <c r="H15" s="676"/>
      <c r="I15" s="676"/>
      <c r="J15" s="676"/>
      <c r="K15" s="676"/>
      <c r="L15" s="676"/>
      <c r="M15" s="677"/>
      <c r="N15" s="63"/>
      <c r="P15" s="69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02" t="s">
        <v>38</v>
      </c>
      <c r="D17" s="579" t="s">
        <v>39</v>
      </c>
      <c r="E17" s="665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664"/>
      <c r="R17" s="664"/>
      <c r="S17" s="664"/>
      <c r="T17" s="665"/>
      <c r="U17" s="868" t="s">
        <v>51</v>
      </c>
      <c r="V17" s="677"/>
      <c r="W17" s="579" t="s">
        <v>52</v>
      </c>
      <c r="X17" s="579" t="s">
        <v>53</v>
      </c>
      <c r="Y17" s="866" t="s">
        <v>54</v>
      </c>
      <c r="Z17" s="765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80"/>
      <c r="B18" s="580"/>
      <c r="C18" s="580"/>
      <c r="D18" s="666"/>
      <c r="E18" s="668"/>
      <c r="F18" s="580"/>
      <c r="G18" s="580"/>
      <c r="H18" s="580"/>
      <c r="I18" s="580"/>
      <c r="J18" s="580"/>
      <c r="K18" s="580"/>
      <c r="L18" s="580"/>
      <c r="M18" s="580"/>
      <c r="N18" s="580"/>
      <c r="O18" s="580"/>
      <c r="P18" s="666"/>
      <c r="Q18" s="667"/>
      <c r="R18" s="667"/>
      <c r="S18" s="667"/>
      <c r="T18" s="668"/>
      <c r="U18" s="67" t="s">
        <v>61</v>
      </c>
      <c r="V18" s="67" t="s">
        <v>62</v>
      </c>
      <c r="W18" s="580"/>
      <c r="X18" s="580"/>
      <c r="Y18" s="867"/>
      <c r="Z18" s="766"/>
      <c r="AA18" s="759"/>
      <c r="AB18" s="759"/>
      <c r="AC18" s="759"/>
      <c r="AD18" s="835"/>
      <c r="AE18" s="836"/>
      <c r="AF18" s="837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2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3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3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2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3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3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2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3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3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0" t="s">
        <v>103</v>
      </c>
      <c r="B38" s="571"/>
      <c r="C38" s="571"/>
      <c r="D38" s="571"/>
      <c r="E38" s="571"/>
      <c r="F38" s="571"/>
      <c r="G38" s="571"/>
      <c r="H38" s="571"/>
      <c r="I38" s="571"/>
      <c r="J38" s="571"/>
      <c r="K38" s="571"/>
      <c r="L38" s="571"/>
      <c r="M38" s="571"/>
      <c r="N38" s="571"/>
      <c r="O38" s="571"/>
      <c r="P38" s="571"/>
      <c r="Q38" s="571"/>
      <c r="R38" s="571"/>
      <c r="S38" s="571"/>
      <c r="T38" s="571"/>
      <c r="U38" s="571"/>
      <c r="V38" s="571"/>
      <c r="W38" s="571"/>
      <c r="X38" s="571"/>
      <c r="Y38" s="571"/>
      <c r="Z38" s="571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58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2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3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9.2592592592592595</v>
      </c>
      <c r="Y44" s="547">
        <f>IFERROR(Y41/H41,"0")+IFERROR(Y42/H42,"0")+IFERROR(Y43/H43,"0")</f>
        <v>10</v>
      </c>
      <c r="Z44" s="547">
        <f>IFERROR(IF(Z41="",0,Z41),"0")+IFERROR(IF(Z42="",0,Z42),"0")+IFERROR(IF(Z43="",0,Z43),"0")</f>
        <v>0.1898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3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100</v>
      </c>
      <c r="Y45" s="547">
        <f>IFERROR(SUM(Y41:Y43),"0")</f>
        <v>108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2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3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3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2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3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3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2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3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3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2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3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3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2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3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3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6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2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3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3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2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3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3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400</v>
      </c>
      <c r="Y92" s="546">
        <f>IFERROR(IF(X92="",0,CEILING((X92/$H92),1)*$H92),"")</f>
        <v>405</v>
      </c>
      <c r="Z92" s="36">
        <f>IFERROR(IF(Y92=0,"",ROUNDUP(Y92/H92,0)*0.01898),"")</f>
        <v>0.94900000000000007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424.39506172839509</v>
      </c>
      <c r="BN92" s="64">
        <f>IFERROR(Y92*I92/H92,"0")</f>
        <v>429.7</v>
      </c>
      <c r="BO92" s="64">
        <f>IFERROR(1/J92*(X92/H92),"0")</f>
        <v>0.77160493827160492</v>
      </c>
      <c r="BP92" s="64">
        <f>IFERROR(1/J92*(Y92/H92),"0")</f>
        <v>0.78125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180</v>
      </c>
      <c r="Y94" s="546">
        <f>IFERROR(IF(X94="",0,CEILING((X94/$H94),1)*$H94),"")</f>
        <v>180.9</v>
      </c>
      <c r="Z94" s="36">
        <f>IFERROR(IF(Y94=0,"",ROUNDUP(Y94/H94,0)*0.00651),"")</f>
        <v>0.43617</v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196.79999999999998</v>
      </c>
      <c r="BN94" s="64">
        <f>IFERROR(Y94*I94/H94,"0")</f>
        <v>197.78399999999999</v>
      </c>
      <c r="BO94" s="64">
        <f>IFERROR(1/J94*(X94/H94),"0")</f>
        <v>0.36630036630036628</v>
      </c>
      <c r="BP94" s="64">
        <f>IFERROR(1/J94*(Y94/H94),"0")</f>
        <v>0.36813186813186816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2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3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116.04938271604937</v>
      </c>
      <c r="Y96" s="547">
        <f>IFERROR(Y92/H92,"0")+IFERROR(Y93/H93,"0")+IFERROR(Y94/H94,"0")+IFERROR(Y95/H95,"0")</f>
        <v>117</v>
      </c>
      <c r="Z96" s="547">
        <f>IFERROR(IF(Z92="",0,Z92),"0")+IFERROR(IF(Z93="",0,Z93),"0")+IFERROR(IF(Z94="",0,Z94),"0")+IFERROR(IF(Z95="",0,Z95),"0")</f>
        <v>1.38517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3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580</v>
      </c>
      <c r="Y97" s="547">
        <f>IFERROR(SUM(Y92:Y95),"0")</f>
        <v>585.9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500</v>
      </c>
      <c r="Y100" s="546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2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3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46.296296296296291</v>
      </c>
      <c r="Y104" s="547">
        <f>IFERROR(Y100/H100,"0")+IFERROR(Y101/H101,"0")+IFERROR(Y102/H102,"0")+IFERROR(Y103/H103,"0")</f>
        <v>47</v>
      </c>
      <c r="Z104" s="547">
        <f>IFERROR(IF(Z100="",0,Z100),"0")+IFERROR(IF(Z101="",0,Z101),"0")+IFERROR(IF(Z102="",0,Z102),"0")+IFERROR(IF(Z103="",0,Z103),"0")</f>
        <v>0.89205999999999996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3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500</v>
      </c>
      <c r="Y105" s="547">
        <f>IFERROR(SUM(Y100:Y103),"0")</f>
        <v>507.6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2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3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3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300</v>
      </c>
      <c r="Y113" s="546">
        <f>IFERROR(IF(X113="",0,CEILING((X113/$H113),1)*$H113),"")</f>
        <v>307.8</v>
      </c>
      <c r="Z113" s="36">
        <f>IFERROR(IF(Y113=0,"",ROUNDUP(Y113/H113,0)*0.01898),"")</f>
        <v>0.72123999999999999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318.07407407407402</v>
      </c>
      <c r="BN113" s="64">
        <f>IFERROR(Y113*I113/H113,"0")</f>
        <v>326.34399999999999</v>
      </c>
      <c r="BO113" s="64">
        <f>IFERROR(1/J113*(X113/H113),"0")</f>
        <v>0.57870370370370372</v>
      </c>
      <c r="BP113" s="64">
        <f>IFERROR(1/J113*(Y113/H113),"0")</f>
        <v>0.59375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450</v>
      </c>
      <c r="Y115" s="546">
        <f>IFERROR(IF(X115="",0,CEILING((X115/$H115),1)*$H115),"")</f>
        <v>450.90000000000003</v>
      </c>
      <c r="Z115" s="36">
        <f>IFERROR(IF(Y115=0,"",ROUNDUP(Y115/H115,0)*0.00651),"")</f>
        <v>1.08717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492</v>
      </c>
      <c r="BN115" s="64">
        <f>IFERROR(Y115*I115/H115,"0")</f>
        <v>492.98399999999998</v>
      </c>
      <c r="BO115" s="64">
        <f>IFERROR(1/J115*(X115/H115),"0")</f>
        <v>0.91575091575091572</v>
      </c>
      <c r="BP115" s="64">
        <f>IFERROR(1/J115*(Y115/H115),"0")</f>
        <v>0.91758241758241765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2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3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203.7037037037037</v>
      </c>
      <c r="Y117" s="547">
        <f>IFERROR(Y113/H113,"0")+IFERROR(Y114/H114,"0")+IFERROR(Y115/H115,"0")+IFERROR(Y116/H116,"0")</f>
        <v>205</v>
      </c>
      <c r="Z117" s="547">
        <f>IFERROR(IF(Z113="",0,Z113),"0")+IFERROR(IF(Z114="",0,Z114),"0")+IFERROR(IF(Z115="",0,Z115),"0")+IFERROR(IF(Z116="",0,Z116),"0")</f>
        <v>1.8084099999999999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3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750</v>
      </c>
      <c r="Y118" s="547">
        <f>IFERROR(SUM(Y113:Y116),"0")</f>
        <v>758.7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2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3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3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2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3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3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2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3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3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2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3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3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2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3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3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58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2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3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3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2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3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3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70" t="s">
        <v>254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2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3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3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2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3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3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2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3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3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2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3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3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2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3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3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2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3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3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2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3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3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4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2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3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3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2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3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3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2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3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3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2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3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3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4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2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3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3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2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3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3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72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3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hidden="1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3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3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3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2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3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3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2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3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3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2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3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3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2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3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3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2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3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3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2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3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hidden="1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3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2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3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3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2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3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3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4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2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3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3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2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3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3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252</v>
      </c>
      <c r="Y336" s="546">
        <f>IFERROR(IF(X336="",0,CEILING((X336/$H336),1)*$H336),"")</f>
        <v>252</v>
      </c>
      <c r="Z336" s="36">
        <f>IFERROR(IF(Y336=0,"",ROUNDUP(Y336/H336,0)*0.00651),"")</f>
        <v>0.78120000000000001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282.23999999999995</v>
      </c>
      <c r="BN336" s="64">
        <f>IFERROR(Y336*I336/H336,"0")</f>
        <v>282.23999999999995</v>
      </c>
      <c r="BO336" s="64">
        <f>IFERROR(1/J336*(X336/H336),"0")</f>
        <v>0.65934065934065944</v>
      </c>
      <c r="BP336" s="64">
        <f>IFERROR(1/J336*(Y336/H336),"0")</f>
        <v>0.65934065934065944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42</v>
      </c>
      <c r="Y337" s="546">
        <f>IFERROR(IF(X337="",0,CEILING((X337/$H337),1)*$H337),"")</f>
        <v>42</v>
      </c>
      <c r="Z337" s="36">
        <f>IFERROR(IF(Y337=0,"",ROUNDUP(Y337/H337,0)*0.00651),"")</f>
        <v>0.13020000000000001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46.8</v>
      </c>
      <c r="BN337" s="64">
        <f>IFERROR(Y337*I337/H337,"0")</f>
        <v>46.8</v>
      </c>
      <c r="BO337" s="64">
        <f>IFERROR(1/J337*(X337/H337),"0")</f>
        <v>0.1098901098901099</v>
      </c>
      <c r="BP337" s="64">
        <f>IFERROR(1/J337*(Y337/H337),"0")</f>
        <v>0.1098901098901099</v>
      </c>
    </row>
    <row r="338" spans="1:68" x14ac:dyDescent="0.2">
      <c r="A338" s="572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3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140</v>
      </c>
      <c r="Y338" s="547">
        <f>IFERROR(Y335/H335,"0")+IFERROR(Y336/H336,"0")+IFERROR(Y337/H337,"0")</f>
        <v>140</v>
      </c>
      <c r="Z338" s="547">
        <f>IFERROR(IF(Z335="",0,Z335),"0")+IFERROR(IF(Z336="",0,Z336),"0")+IFERROR(IF(Z337="",0,Z337),"0")</f>
        <v>0.91139999999999999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3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294</v>
      </c>
      <c r="Y339" s="547">
        <f>IFERROR(SUM(Y335:Y337),"0")</f>
        <v>294</v>
      </c>
      <c r="Z339" s="37"/>
      <c r="AA339" s="548"/>
      <c r="AB339" s="548"/>
      <c r="AC339" s="548"/>
    </row>
    <row r="340" spans="1:68" ht="27.75" hidden="1" customHeight="1" x14ac:dyDescent="0.2">
      <c r="A340" s="570" t="s">
        <v>534</v>
      </c>
      <c r="B340" s="571"/>
      <c r="C340" s="571"/>
      <c r="D340" s="571"/>
      <c r="E340" s="571"/>
      <c r="F340" s="571"/>
      <c r="G340" s="571"/>
      <c r="H340" s="571"/>
      <c r="I340" s="571"/>
      <c r="J340" s="571"/>
      <c r="K340" s="571"/>
      <c r="L340" s="571"/>
      <c r="M340" s="571"/>
      <c r="N340" s="571"/>
      <c r="O340" s="571"/>
      <c r="P340" s="571"/>
      <c r="Q340" s="571"/>
      <c r="R340" s="571"/>
      <c r="S340" s="571"/>
      <c r="T340" s="571"/>
      <c r="U340" s="571"/>
      <c r="V340" s="571"/>
      <c r="W340" s="571"/>
      <c r="X340" s="571"/>
      <c r="Y340" s="571"/>
      <c r="Z340" s="571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970</v>
      </c>
      <c r="Y343" s="546">
        <f t="shared" ref="Y343:Y349" si="36">IFERROR(IF(X343="",0,CEILING((X343/$H343),1)*$H343),"")</f>
        <v>975</v>
      </c>
      <c r="Z343" s="36">
        <f>IFERROR(IF(Y343=0,"",ROUNDUP(Y343/H343,0)*0.02175),"")</f>
        <v>1.4137499999999998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1000.3933333333334</v>
      </c>
      <c r="BN343" s="64">
        <f t="shared" ref="BN343:BN349" si="38">IFERROR(Y343*I343/H343,"0")</f>
        <v>1005.55</v>
      </c>
      <c r="BO343" s="64">
        <f t="shared" ref="BO343:BO349" si="39">IFERROR(1/J343*(X343/H343),"0")</f>
        <v>1.3472222222222223</v>
      </c>
      <c r="BP343" s="64">
        <f t="shared" ref="BP343:BP349" si="40">IFERROR(1/J343*(Y343/H343),"0")</f>
        <v>1.3541666666666665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1370</v>
      </c>
      <c r="Y344" s="546">
        <f t="shared" si="36"/>
        <v>1380</v>
      </c>
      <c r="Z344" s="36">
        <f>IFERROR(IF(Y344=0,"",ROUNDUP(Y344/H344,0)*0.02175),"")</f>
        <v>2.0009999999999999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1412.9266666666667</v>
      </c>
      <c r="BN344" s="64">
        <f t="shared" si="38"/>
        <v>1423.2400000000002</v>
      </c>
      <c r="BO344" s="64">
        <f t="shared" si="39"/>
        <v>1.9027777777777777</v>
      </c>
      <c r="BP344" s="64">
        <f t="shared" si="40"/>
        <v>1.9166666666666665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1950</v>
      </c>
      <c r="Y345" s="546">
        <f t="shared" si="36"/>
        <v>1950</v>
      </c>
      <c r="Z345" s="36">
        <f>IFERROR(IF(Y345=0,"",ROUNDUP(Y345/H345,0)*0.02175),"")</f>
        <v>2.8274999999999997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2011.1</v>
      </c>
      <c r="BN345" s="64">
        <f t="shared" si="38"/>
        <v>2011.1</v>
      </c>
      <c r="BO345" s="64">
        <f t="shared" si="39"/>
        <v>2.708333333333333</v>
      </c>
      <c r="BP345" s="64">
        <f t="shared" si="40"/>
        <v>2.708333333333333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2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3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286</v>
      </c>
      <c r="Y350" s="547">
        <f>IFERROR(Y343/H343,"0")+IFERROR(Y344/H344,"0")+IFERROR(Y345/H345,"0")+IFERROR(Y346/H346,"0")+IFERROR(Y347/H347,"0")+IFERROR(Y348/H348,"0")+IFERROR(Y349/H349,"0")</f>
        <v>287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6.2422499999999994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3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4290</v>
      </c>
      <c r="Y351" s="547">
        <f>IFERROR(SUM(Y343:Y349),"0")</f>
        <v>4305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1950</v>
      </c>
      <c r="Y353" s="546">
        <f>IFERROR(IF(X353="",0,CEILING((X353/$H353),1)*$H353),"")</f>
        <v>1950</v>
      </c>
      <c r="Z353" s="36">
        <f>IFERROR(IF(Y353=0,"",ROUNDUP(Y353/H353,0)*0.02175),"")</f>
        <v>2.8274999999999997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2011.1</v>
      </c>
      <c r="BN353" s="64">
        <f>IFERROR(Y353*I353/H353,"0")</f>
        <v>2011.1</v>
      </c>
      <c r="BO353" s="64">
        <f>IFERROR(1/J353*(X353/H353),"0")</f>
        <v>2.708333333333333</v>
      </c>
      <c r="BP353" s="64">
        <f>IFERROR(1/J353*(Y353/H353),"0")</f>
        <v>2.708333333333333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2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3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130</v>
      </c>
      <c r="Y355" s="547">
        <f>IFERROR(Y353/H353,"0")+IFERROR(Y354/H354,"0")</f>
        <v>130</v>
      </c>
      <c r="Z355" s="547">
        <f>IFERROR(IF(Z353="",0,Z353),"0")+IFERROR(IF(Z354="",0,Z354),"0")</f>
        <v>2.8274999999999997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3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1950</v>
      </c>
      <c r="Y356" s="547">
        <f>IFERROR(SUM(Y353:Y354),"0")</f>
        <v>1950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7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2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3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3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2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3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3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2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3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3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2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3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3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4870</v>
      </c>
      <c r="Y378" s="546">
        <f>IFERROR(IF(X378="",0,CEILING((X378/$H378),1)*$H378),"")</f>
        <v>4878</v>
      </c>
      <c r="Z378" s="36">
        <f>IFERROR(IF(Y378=0,"",ROUNDUP(Y378/H378,0)*0.01898),"")</f>
        <v>10.28716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5137.3088888888888</v>
      </c>
      <c r="BN378" s="64">
        <f>IFERROR(Y378*I378/H378,"0")</f>
        <v>5145.7479999999996</v>
      </c>
      <c r="BO378" s="64">
        <f>IFERROR(1/J378*(X378/H378),"0")</f>
        <v>8.4548611111111107</v>
      </c>
      <c r="BP378" s="64">
        <f>IFERROR(1/J378*(Y378/H378),"0")</f>
        <v>8.46875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80</v>
      </c>
      <c r="Y379" s="546">
        <f>IFERROR(IF(X379="",0,CEILING((X379/$H379),1)*$H379),"")</f>
        <v>81.599999999999994</v>
      </c>
      <c r="Z379" s="36">
        <f>IFERROR(IF(Y379=0,"",ROUNDUP(Y379/H379,0)*0.00651),"")</f>
        <v>0.22134000000000001</v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88.800000000000011</v>
      </c>
      <c r="BN379" s="64">
        <f>IFERROR(Y379*I379/H379,"0")</f>
        <v>90.575999999999993</v>
      </c>
      <c r="BO379" s="64">
        <f>IFERROR(1/J379*(X379/H379),"0")</f>
        <v>0.18315018315018317</v>
      </c>
      <c r="BP379" s="64">
        <f>IFERROR(1/J379*(Y379/H379),"0")</f>
        <v>0.18681318681318682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2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3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574.44444444444446</v>
      </c>
      <c r="Y381" s="547">
        <f>IFERROR(Y378/H378,"0")+IFERROR(Y379/H379,"0")+IFERROR(Y380/H380,"0")</f>
        <v>576</v>
      </c>
      <c r="Z381" s="547">
        <f>IFERROR(IF(Z378="",0,Z378),"0")+IFERROR(IF(Z379="",0,Z379),"0")+IFERROR(IF(Z380="",0,Z380),"0")</f>
        <v>10.5085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3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4950</v>
      </c>
      <c r="Y382" s="547">
        <f>IFERROR(SUM(Y378:Y380),"0")</f>
        <v>4959.6000000000004</v>
      </c>
      <c r="Z382" s="37"/>
      <c r="AA382" s="548"/>
      <c r="AB382" s="548"/>
      <c r="AC382" s="548"/>
    </row>
    <row r="383" spans="1:68" ht="27.75" hidden="1" customHeight="1" x14ac:dyDescent="0.2">
      <c r="A383" s="570" t="s">
        <v>588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2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3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3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2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3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3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6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2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3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3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2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3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3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2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3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3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70" t="s">
        <v>639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100</v>
      </c>
      <c r="Y422" s="546">
        <f t="shared" ref="Y422:Y433" si="47">IFERROR(IF(X422="",0,CEILING((X422/$H422),1)*$H422),"")</f>
        <v>100.32000000000001</v>
      </c>
      <c r="Z422" s="36">
        <f t="shared" ref="Z422:Z428" si="48">IFERROR(IF(Y422=0,"",ROUNDUP(Y422/H422,0)*0.01196),"")</f>
        <v>0.22724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106.62878787878788</v>
      </c>
      <c r="BN422" s="64">
        <f t="shared" ref="BN422:BN433" si="50">IFERROR(Y422*I422/H422,"0")</f>
        <v>106.97</v>
      </c>
      <c r="BO422" s="64">
        <f t="shared" ref="BO422:BO433" si="51">IFERROR(1/J422*(X422/H422),"0")</f>
        <v>0.18210955710955709</v>
      </c>
      <c r="BP422" s="64">
        <f t="shared" ref="BP422:BP433" si="52">IFERROR(1/J422*(Y422/H422),"0")</f>
        <v>0.18269230769230771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100</v>
      </c>
      <c r="Y425" s="546">
        <f t="shared" si="47"/>
        <v>100.32000000000001</v>
      </c>
      <c r="Z425" s="36">
        <f t="shared" si="48"/>
        <v>0.22724</v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106.62878787878788</v>
      </c>
      <c r="BN425" s="64">
        <f t="shared" si="50"/>
        <v>106.97</v>
      </c>
      <c r="BO425" s="64">
        <f t="shared" si="51"/>
        <v>0.18210955710955709</v>
      </c>
      <c r="BP425" s="64">
        <f t="shared" si="52"/>
        <v>0.18269230769230771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1950</v>
      </c>
      <c r="Y426" s="546">
        <f t="shared" si="47"/>
        <v>1953.6000000000001</v>
      </c>
      <c r="Z426" s="36">
        <f t="shared" si="48"/>
        <v>4.4252000000000002</v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2079.2613636363635</v>
      </c>
      <c r="BN426" s="64">
        <f t="shared" si="50"/>
        <v>2083.1</v>
      </c>
      <c r="BO426" s="64">
        <f t="shared" si="51"/>
        <v>3.5511363636363638</v>
      </c>
      <c r="BP426" s="64">
        <f t="shared" si="52"/>
        <v>3.5576923076923079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970</v>
      </c>
      <c r="Y428" s="546">
        <f t="shared" si="47"/>
        <v>971.5200000000001</v>
      </c>
      <c r="Z428" s="36">
        <f t="shared" si="48"/>
        <v>2.2006399999999999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1034.2992424242423</v>
      </c>
      <c r="BN428" s="64">
        <f t="shared" si="50"/>
        <v>1035.92</v>
      </c>
      <c r="BO428" s="64">
        <f t="shared" si="51"/>
        <v>1.7664627039627039</v>
      </c>
      <c r="BP428" s="64">
        <f t="shared" si="52"/>
        <v>1.7692307692307694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70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2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3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590.90909090909088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592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7.0803200000000004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3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3120</v>
      </c>
      <c r="Y435" s="547">
        <f>IFERROR(SUM(Y422:Y433),"0")</f>
        <v>3125.76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970</v>
      </c>
      <c r="Y437" s="546">
        <f>IFERROR(IF(X437="",0,CEILING((X437/$H437),1)*$H437),"")</f>
        <v>971.5200000000001</v>
      </c>
      <c r="Z437" s="36">
        <f>IFERROR(IF(Y437=0,"",ROUNDUP(Y437/H437,0)*0.01196),"")</f>
        <v>2.2006399999999999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1034.2992424242423</v>
      </c>
      <c r="BN437" s="64">
        <f>IFERROR(Y437*I437/H437,"0")</f>
        <v>1035.92</v>
      </c>
      <c r="BO437" s="64">
        <f>IFERROR(1/J437*(X437/H437),"0")</f>
        <v>1.7664627039627039</v>
      </c>
      <c r="BP437" s="64">
        <f>IFERROR(1/J437*(Y437/H437),"0")</f>
        <v>1.7692307692307694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2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3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183.71212121212119</v>
      </c>
      <c r="Y440" s="547">
        <f>IFERROR(Y437/H437,"0")+IFERROR(Y438/H438,"0")+IFERROR(Y439/H439,"0")</f>
        <v>184</v>
      </c>
      <c r="Z440" s="547">
        <f>IFERROR(IF(Z437="",0,Z437),"0")+IFERROR(IF(Z438="",0,Z438),"0")+IFERROR(IF(Z439="",0,Z439),"0")</f>
        <v>2.2006399999999999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3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970</v>
      </c>
      <c r="Y441" s="547">
        <f>IFERROR(SUM(Y437:Y439),"0")</f>
        <v>971.5200000000001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500</v>
      </c>
      <c r="Y444" s="546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533.14393939393938</v>
      </c>
      <c r="BN444" s="64">
        <f t="shared" si="55"/>
        <v>534.85</v>
      </c>
      <c r="BO444" s="64">
        <f t="shared" si="56"/>
        <v>0.91054778554778548</v>
      </c>
      <c r="BP444" s="64">
        <f t="shared" si="57"/>
        <v>0.91346153846153855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1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2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3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94.696969696969688</v>
      </c>
      <c r="Y449" s="547">
        <f>IFERROR(Y443/H443,"0")+IFERROR(Y444/H444,"0")+IFERROR(Y445/H445,"0")+IFERROR(Y446/H446,"0")+IFERROR(Y447/H447,"0")+IFERROR(Y448/H448,"0")</f>
        <v>95</v>
      </c>
      <c r="Z449" s="547">
        <f>IFERROR(IF(Z443="",0,Z443),"0")+IFERROR(IF(Z444="",0,Z444),"0")+IFERROR(IF(Z445="",0,Z445),"0")+IFERROR(IF(Z446="",0,Z446),"0")+IFERROR(IF(Z447="",0,Z447),"0")+IFERROR(IF(Z448="",0,Z448),"0")</f>
        <v>1.1362000000000001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3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500</v>
      </c>
      <c r="Y450" s="547">
        <f>IFERROR(SUM(Y443:Y448),"0")</f>
        <v>501.6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2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2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3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3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70" t="s">
        <v>702</v>
      </c>
      <c r="B457" s="571"/>
      <c r="C457" s="571"/>
      <c r="D457" s="571"/>
      <c r="E457" s="571"/>
      <c r="F457" s="571"/>
      <c r="G457" s="571"/>
      <c r="H457" s="571"/>
      <c r="I457" s="571"/>
      <c r="J457" s="571"/>
      <c r="K457" s="571"/>
      <c r="L457" s="571"/>
      <c r="M457" s="571"/>
      <c r="N457" s="571"/>
      <c r="O457" s="571"/>
      <c r="P457" s="571"/>
      <c r="Q457" s="571"/>
      <c r="R457" s="571"/>
      <c r="S457" s="571"/>
      <c r="T457" s="571"/>
      <c r="U457" s="571"/>
      <c r="V457" s="571"/>
      <c r="W457" s="571"/>
      <c r="X457" s="571"/>
      <c r="Y457" s="571"/>
      <c r="Z457" s="571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2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3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3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5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2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3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3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2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3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3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2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3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3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1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2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3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3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2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3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3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6"/>
      <c r="P491" s="675" t="s">
        <v>742</v>
      </c>
      <c r="Q491" s="676"/>
      <c r="R491" s="676"/>
      <c r="S491" s="676"/>
      <c r="T491" s="676"/>
      <c r="U491" s="676"/>
      <c r="V491" s="677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18004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18067.68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6"/>
      <c r="P492" s="675" t="s">
        <v>743</v>
      </c>
      <c r="Q492" s="676"/>
      <c r="R492" s="676"/>
      <c r="S492" s="676"/>
      <c r="T492" s="676"/>
      <c r="U492" s="676"/>
      <c r="V492" s="677"/>
      <c r="W492" s="37" t="s">
        <v>70</v>
      </c>
      <c r="X492" s="547">
        <f>IFERROR(SUM(BM22:BM488),"0")</f>
        <v>18938.977166105502</v>
      </c>
      <c r="Y492" s="547">
        <f>IFERROR(SUM(BN22:BN488),"0")</f>
        <v>19005.865999999995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6"/>
      <c r="P493" s="675" t="s">
        <v>744</v>
      </c>
      <c r="Q493" s="676"/>
      <c r="R493" s="676"/>
      <c r="S493" s="676"/>
      <c r="T493" s="676"/>
      <c r="U493" s="676"/>
      <c r="V493" s="677"/>
      <c r="W493" s="37" t="s">
        <v>745</v>
      </c>
      <c r="X493" s="38">
        <f>ROUNDUP(SUM(BO22:BO488),0)</f>
        <v>30</v>
      </c>
      <c r="Y493" s="38">
        <f>ROUNDUP(SUM(BP22:BP488),0)</f>
        <v>31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26"/>
      <c r="P494" s="675" t="s">
        <v>746</v>
      </c>
      <c r="Q494" s="676"/>
      <c r="R494" s="676"/>
      <c r="S494" s="676"/>
      <c r="T494" s="676"/>
      <c r="U494" s="676"/>
      <c r="V494" s="677"/>
      <c r="W494" s="37" t="s">
        <v>70</v>
      </c>
      <c r="X494" s="547">
        <f>GrossWeightTotal+PalletQtyTotal*25</f>
        <v>19688.977166105502</v>
      </c>
      <c r="Y494" s="547">
        <f>GrossWeightTotalR+PalletQtyTotalR*25</f>
        <v>19780.865999999995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26"/>
      <c r="P495" s="675" t="s">
        <v>747</v>
      </c>
      <c r="Q495" s="676"/>
      <c r="R495" s="676"/>
      <c r="S495" s="676"/>
      <c r="T495" s="676"/>
      <c r="U495" s="676"/>
      <c r="V495" s="677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2375.0712682379344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2383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26"/>
      <c r="P496" s="675" t="s">
        <v>748</v>
      </c>
      <c r="Q496" s="676"/>
      <c r="R496" s="676"/>
      <c r="S496" s="676"/>
      <c r="T496" s="676"/>
      <c r="U496" s="676"/>
      <c r="V496" s="677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35.182250000000003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83" t="s">
        <v>103</v>
      </c>
      <c r="D498" s="584"/>
      <c r="E498" s="584"/>
      <c r="F498" s="584"/>
      <c r="G498" s="584"/>
      <c r="H498" s="585"/>
      <c r="I498" s="583" t="s">
        <v>254</v>
      </c>
      <c r="J498" s="584"/>
      <c r="K498" s="584"/>
      <c r="L498" s="584"/>
      <c r="M498" s="584"/>
      <c r="N498" s="584"/>
      <c r="O498" s="584"/>
      <c r="P498" s="584"/>
      <c r="Q498" s="584"/>
      <c r="R498" s="585"/>
      <c r="S498" s="583" t="s">
        <v>534</v>
      </c>
      <c r="T498" s="585"/>
      <c r="U498" s="583" t="s">
        <v>588</v>
      </c>
      <c r="V498" s="584"/>
      <c r="W498" s="585"/>
      <c r="X498" s="542" t="s">
        <v>639</v>
      </c>
      <c r="Y498" s="583" t="s">
        <v>702</v>
      </c>
      <c r="Z498" s="585"/>
      <c r="AB498" s="52"/>
      <c r="AC498" s="52"/>
      <c r="AF498" s="543"/>
    </row>
    <row r="499" spans="1:32" ht="14.25" customHeight="1" thickTop="1" x14ac:dyDescent="0.2">
      <c r="A499" s="854" t="s">
        <v>751</v>
      </c>
      <c r="B499" s="583" t="s">
        <v>63</v>
      </c>
      <c r="C499" s="583" t="s">
        <v>104</v>
      </c>
      <c r="D499" s="583" t="s">
        <v>121</v>
      </c>
      <c r="E499" s="583" t="s">
        <v>175</v>
      </c>
      <c r="F499" s="583" t="s">
        <v>194</v>
      </c>
      <c r="G499" s="583" t="s">
        <v>224</v>
      </c>
      <c r="H499" s="583" t="s">
        <v>103</v>
      </c>
      <c r="I499" s="583" t="s">
        <v>255</v>
      </c>
      <c r="J499" s="583" t="s">
        <v>299</v>
      </c>
      <c r="K499" s="583" t="s">
        <v>358</v>
      </c>
      <c r="L499" s="583" t="s">
        <v>400</v>
      </c>
      <c r="M499" s="583" t="s">
        <v>416</v>
      </c>
      <c r="N499" s="543"/>
      <c r="O499" s="583" t="s">
        <v>427</v>
      </c>
      <c r="P499" s="583" t="s">
        <v>436</v>
      </c>
      <c r="Q499" s="583" t="s">
        <v>449</v>
      </c>
      <c r="R499" s="583" t="s">
        <v>524</v>
      </c>
      <c r="S499" s="583" t="s">
        <v>535</v>
      </c>
      <c r="T499" s="583" t="s">
        <v>570</v>
      </c>
      <c r="U499" s="583" t="s">
        <v>589</v>
      </c>
      <c r="V499" s="583" t="s">
        <v>620</v>
      </c>
      <c r="W499" s="583" t="s">
        <v>635</v>
      </c>
      <c r="X499" s="583" t="s">
        <v>639</v>
      </c>
      <c r="Y499" s="583" t="s">
        <v>702</v>
      </c>
      <c r="Z499" s="583" t="s">
        <v>738</v>
      </c>
      <c r="AB499" s="52"/>
      <c r="AC499" s="52"/>
      <c r="AF499" s="543"/>
    </row>
    <row r="500" spans="1:32" ht="13.5" customHeight="1" thickBot="1" x14ac:dyDescent="0.25">
      <c r="A500" s="855"/>
      <c r="B500" s="600"/>
      <c r="C500" s="600"/>
      <c r="D500" s="600"/>
      <c r="E500" s="600"/>
      <c r="F500" s="600"/>
      <c r="G500" s="600"/>
      <c r="H500" s="600"/>
      <c r="I500" s="600"/>
      <c r="J500" s="600"/>
      <c r="K500" s="600"/>
      <c r="L500" s="600"/>
      <c r="M500" s="600"/>
      <c r="N500" s="543"/>
      <c r="O500" s="600"/>
      <c r="P500" s="600"/>
      <c r="Q500" s="600"/>
      <c r="R500" s="600"/>
      <c r="S500" s="600"/>
      <c r="T500" s="600"/>
      <c r="U500" s="600"/>
      <c r="V500" s="600"/>
      <c r="W500" s="600"/>
      <c r="X500" s="600"/>
      <c r="Y500" s="600"/>
      <c r="Z500" s="600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108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IFERROR(Y86*1,"0")+IFERROR(Y87*1,"0")+IFERROR(Y88*1,"0")+IFERROR(Y92*1,"0")+IFERROR(Y93*1,"0")+IFERROR(Y94*1,"0")+IFERROR(Y95*1,"0")</f>
        <v>585.9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1266.3000000000002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1" s="46">
        <f>IFERROR(Y335*1,"0")+IFERROR(Y336*1,"0")+IFERROR(Y337*1,"0")</f>
        <v>294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6255</v>
      </c>
      <c r="T501" s="46">
        <f>IFERROR(Y368*1,"0")+IFERROR(Y369*1,"0")+IFERROR(Y373*1,"0")+IFERROR(Y374*1,"0")+IFERROR(Y378*1,"0")+IFERROR(Y379*1,"0")+IFERROR(Y380*1,"0")</f>
        <v>4959.6000000000004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4598.880000000001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70,00"/>
        <filter val="1 950,00"/>
        <filter val="100,00"/>
        <filter val="116,05"/>
        <filter val="130,00"/>
        <filter val="140,00"/>
        <filter val="18 004,00"/>
        <filter val="18 938,98"/>
        <filter val="180,00"/>
        <filter val="183,71"/>
        <filter val="19 688,98"/>
        <filter val="2 375,07"/>
        <filter val="203,70"/>
        <filter val="252,00"/>
        <filter val="286,00"/>
        <filter val="294,00"/>
        <filter val="3 120,00"/>
        <filter val="30"/>
        <filter val="300,00"/>
        <filter val="4 290,00"/>
        <filter val="4 870,00"/>
        <filter val="4 950,00"/>
        <filter val="400,00"/>
        <filter val="42,00"/>
        <filter val="450,00"/>
        <filter val="46,30"/>
        <filter val="500,00"/>
        <filter val="574,44"/>
        <filter val="580,00"/>
        <filter val="590,91"/>
        <filter val="750,00"/>
        <filter val="80,00"/>
        <filter val="9,26"/>
        <filter val="94,70"/>
        <filter val="97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D69:E69"/>
    <mergeCell ref="A96:O97"/>
    <mergeCell ref="D354:E354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D169:E169"/>
    <mergeCell ref="P204:V204"/>
    <mergeCell ref="P82:V82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